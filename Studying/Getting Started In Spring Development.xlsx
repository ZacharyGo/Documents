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V:\Tutorials\Programming\Java Spring\Getting Started In Spring Development\"/>
    </mc:Choice>
  </mc:AlternateContent>
  <xr:revisionPtr revIDLastSave="0" documentId="13_ncr:1_{F656A4C8-3E07-472C-89CC-64F98D93BA92}" xr6:coauthVersionLast="47" xr6:coauthVersionMax="47" xr10:uidLastSave="{00000000-0000-0000-0000-000000000000}"/>
  <bookViews>
    <workbookView xWindow="-120" yWindow="-120" windowWidth="29040" windowHeight="17790" activeTab="2" xr2:uid="{9AEB4AC7-ABD4-4182-8FDA-BC733B9A113C}"/>
  </bookViews>
  <sheets>
    <sheet name="LearningSpringWithSpringBoot" sheetId="1" r:id="rId1"/>
    <sheet name="Creating Your First Spring Boot" sheetId="2" r:id="rId2"/>
    <sheet name="Spring  Spring Data 2" sheetId="3" r:id="rId3"/>
  </sheets>
  <definedNames>
    <definedName name="_xlnm._FilterDatabase" localSheetId="2" hidden="1">'Spring  Spring Data 2'!$A$10:$V$565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65" i="3" l="1"/>
  <c r="C565" i="3"/>
  <c r="G565" i="3" s="1"/>
  <c r="I565" i="3" s="1"/>
  <c r="B565" i="3"/>
  <c r="C564" i="3"/>
  <c r="G564" i="3" s="1"/>
  <c r="B564" i="3"/>
  <c r="C563" i="3"/>
  <c r="G563" i="3" s="1"/>
  <c r="B563" i="3"/>
  <c r="C562" i="3"/>
  <c r="G562" i="3" s="1"/>
  <c r="B562" i="3"/>
  <c r="C561" i="3"/>
  <c r="G561" i="3" s="1"/>
  <c r="B561" i="3"/>
  <c r="C560" i="3"/>
  <c r="G560" i="3" s="1"/>
  <c r="B560" i="3"/>
  <c r="C559" i="3"/>
  <c r="G559" i="3" s="1"/>
  <c r="I559" i="3" s="1"/>
  <c r="B559" i="3"/>
  <c r="C558" i="3"/>
  <c r="G558" i="3" s="1"/>
  <c r="B558" i="3"/>
  <c r="C557" i="3"/>
  <c r="G557" i="3" s="1"/>
  <c r="I557" i="3" s="1"/>
  <c r="B557" i="3"/>
  <c r="C556" i="3"/>
  <c r="G556" i="3" s="1"/>
  <c r="B556" i="3"/>
  <c r="C555" i="3"/>
  <c r="F555" i="3" s="1"/>
  <c r="B555" i="3"/>
  <c r="C554" i="3"/>
  <c r="G554" i="3" s="1"/>
  <c r="B554" i="3"/>
  <c r="C553" i="3"/>
  <c r="G553" i="3" s="1"/>
  <c r="B553" i="3"/>
  <c r="C552" i="3"/>
  <c r="G552" i="3" s="1"/>
  <c r="B552" i="3"/>
  <c r="C551" i="3"/>
  <c r="G551" i="3" s="1"/>
  <c r="B551" i="3"/>
  <c r="C550" i="3"/>
  <c r="G550" i="3" s="1"/>
  <c r="B550" i="3"/>
  <c r="C549" i="3"/>
  <c r="F549" i="3" s="1"/>
  <c r="B549" i="3"/>
  <c r="C548" i="3"/>
  <c r="F548" i="3" s="1"/>
  <c r="B548" i="3"/>
  <c r="C547" i="3"/>
  <c r="G547" i="3" s="1"/>
  <c r="B547" i="3"/>
  <c r="C546" i="3"/>
  <c r="G546" i="3" s="1"/>
  <c r="B546" i="3"/>
  <c r="C545" i="3"/>
  <c r="G545" i="3" s="1"/>
  <c r="B545" i="3"/>
  <c r="C544" i="3"/>
  <c r="G544" i="3" s="1"/>
  <c r="B544" i="3"/>
  <c r="G543" i="3"/>
  <c r="I543" i="3" s="1"/>
  <c r="C543" i="3"/>
  <c r="F543" i="3" s="1"/>
  <c r="B543" i="3"/>
  <c r="C542" i="3"/>
  <c r="G542" i="3" s="1"/>
  <c r="B542" i="3"/>
  <c r="C541" i="3"/>
  <c r="G541" i="3" s="1"/>
  <c r="B541" i="3"/>
  <c r="C540" i="3"/>
  <c r="F540" i="3" s="1"/>
  <c r="B540" i="3"/>
  <c r="C539" i="3"/>
  <c r="F539" i="3" s="1"/>
  <c r="B539" i="3"/>
  <c r="C538" i="3"/>
  <c r="F538" i="3" s="1"/>
  <c r="B538" i="3"/>
  <c r="C537" i="3"/>
  <c r="G537" i="3" s="1"/>
  <c r="B537" i="3"/>
  <c r="C536" i="3"/>
  <c r="B536" i="3"/>
  <c r="C535" i="3"/>
  <c r="G535" i="3" s="1"/>
  <c r="B535" i="3"/>
  <c r="C534" i="3"/>
  <c r="G534" i="3" s="1"/>
  <c r="B534" i="3"/>
  <c r="C533" i="3"/>
  <c r="F533" i="3" s="1"/>
  <c r="B533" i="3"/>
  <c r="C532" i="3"/>
  <c r="F532" i="3" s="1"/>
  <c r="B532" i="3"/>
  <c r="C531" i="3"/>
  <c r="F531" i="3" s="1"/>
  <c r="B531" i="3"/>
  <c r="C530" i="3"/>
  <c r="F530" i="3" s="1"/>
  <c r="B530" i="3"/>
  <c r="C529" i="3"/>
  <c r="F529" i="3" s="1"/>
  <c r="B529" i="3"/>
  <c r="C528" i="3"/>
  <c r="F528" i="3" s="1"/>
  <c r="B528" i="3"/>
  <c r="C527" i="3"/>
  <c r="G527" i="3" s="1"/>
  <c r="B527" i="3"/>
  <c r="C526" i="3"/>
  <c r="G526" i="3" s="1"/>
  <c r="B526" i="3"/>
  <c r="C525" i="3"/>
  <c r="G525" i="3" s="1"/>
  <c r="B525" i="3"/>
  <c r="C524" i="3"/>
  <c r="B524" i="3"/>
  <c r="C523" i="3"/>
  <c r="G523" i="3" s="1"/>
  <c r="B523" i="3"/>
  <c r="C522" i="3"/>
  <c r="G522" i="3" s="1"/>
  <c r="B522" i="3"/>
  <c r="C521" i="3"/>
  <c r="G521" i="3" s="1"/>
  <c r="B521" i="3"/>
  <c r="C520" i="3"/>
  <c r="B520" i="3"/>
  <c r="C519" i="3"/>
  <c r="F519" i="3" s="1"/>
  <c r="B519" i="3"/>
  <c r="C518" i="3"/>
  <c r="G518" i="3" s="1"/>
  <c r="B518" i="3"/>
  <c r="C517" i="3"/>
  <c r="G517" i="3" s="1"/>
  <c r="B517" i="3"/>
  <c r="C516" i="3"/>
  <c r="B516" i="3"/>
  <c r="C515" i="3"/>
  <c r="G515" i="3" s="1"/>
  <c r="B515" i="3"/>
  <c r="C514" i="3"/>
  <c r="G514" i="3" s="1"/>
  <c r="B514" i="3"/>
  <c r="C513" i="3"/>
  <c r="G513" i="3" s="1"/>
  <c r="B513" i="3"/>
  <c r="C512" i="3"/>
  <c r="B512" i="3"/>
  <c r="C511" i="3"/>
  <c r="G511" i="3" s="1"/>
  <c r="B511" i="3"/>
  <c r="C510" i="3"/>
  <c r="G510" i="3" s="1"/>
  <c r="B510" i="3"/>
  <c r="C509" i="3"/>
  <c r="G509" i="3" s="1"/>
  <c r="B509" i="3"/>
  <c r="C508" i="3"/>
  <c r="B508" i="3"/>
  <c r="C507" i="3"/>
  <c r="G507" i="3" s="1"/>
  <c r="B507" i="3"/>
  <c r="C506" i="3"/>
  <c r="F506" i="3" s="1"/>
  <c r="B506" i="3"/>
  <c r="C505" i="3"/>
  <c r="G505" i="3" s="1"/>
  <c r="B505" i="3"/>
  <c r="C504" i="3"/>
  <c r="F504" i="3" s="1"/>
  <c r="B504" i="3"/>
  <c r="C503" i="3"/>
  <c r="G503" i="3" s="1"/>
  <c r="B503" i="3"/>
  <c r="G502" i="3"/>
  <c r="I502" i="3" s="1"/>
  <c r="C502" i="3"/>
  <c r="F502" i="3" s="1"/>
  <c r="B502" i="3"/>
  <c r="C501" i="3"/>
  <c r="G501" i="3" s="1"/>
  <c r="B501" i="3"/>
  <c r="C500" i="3"/>
  <c r="F500" i="3" s="1"/>
  <c r="B500" i="3"/>
  <c r="C499" i="3"/>
  <c r="G499" i="3" s="1"/>
  <c r="B499" i="3"/>
  <c r="C498" i="3"/>
  <c r="F498" i="3" s="1"/>
  <c r="B498" i="3"/>
  <c r="C497" i="3"/>
  <c r="F497" i="3" s="1"/>
  <c r="B497" i="3"/>
  <c r="C496" i="3"/>
  <c r="G496" i="3" s="1"/>
  <c r="B496" i="3"/>
  <c r="C495" i="3"/>
  <c r="G495" i="3" s="1"/>
  <c r="H495" i="3" s="1"/>
  <c r="B495" i="3"/>
  <c r="C494" i="3"/>
  <c r="G494" i="3" s="1"/>
  <c r="I494" i="3" s="1"/>
  <c r="B494" i="3"/>
  <c r="C493" i="3"/>
  <c r="G493" i="3" s="1"/>
  <c r="H493" i="3" s="1"/>
  <c r="B493" i="3"/>
  <c r="C492" i="3"/>
  <c r="G492" i="3" s="1"/>
  <c r="B492" i="3"/>
  <c r="C491" i="3"/>
  <c r="G491" i="3" s="1"/>
  <c r="H491" i="3" s="1"/>
  <c r="B491" i="3"/>
  <c r="C490" i="3"/>
  <c r="G490" i="3" s="1"/>
  <c r="B490" i="3"/>
  <c r="C489" i="3"/>
  <c r="G489" i="3" s="1"/>
  <c r="H489" i="3" s="1"/>
  <c r="B489" i="3"/>
  <c r="C488" i="3"/>
  <c r="G488" i="3" s="1"/>
  <c r="B488" i="3"/>
  <c r="C487" i="3"/>
  <c r="F487" i="3" s="1"/>
  <c r="B487" i="3"/>
  <c r="C486" i="3"/>
  <c r="G486" i="3" s="1"/>
  <c r="I486" i="3" s="1"/>
  <c r="B486" i="3"/>
  <c r="C485" i="3"/>
  <c r="F485" i="3" s="1"/>
  <c r="B485" i="3"/>
  <c r="C484" i="3"/>
  <c r="F484" i="3" s="1"/>
  <c r="B484" i="3"/>
  <c r="C483" i="3"/>
  <c r="F483" i="3" s="1"/>
  <c r="B483" i="3"/>
  <c r="C482" i="3"/>
  <c r="G482" i="3" s="1"/>
  <c r="B482" i="3"/>
  <c r="C481" i="3"/>
  <c r="F481" i="3" s="1"/>
  <c r="B481" i="3"/>
  <c r="C480" i="3"/>
  <c r="G480" i="3" s="1"/>
  <c r="I480" i="3" s="1"/>
  <c r="B480" i="3"/>
  <c r="C479" i="3"/>
  <c r="F479" i="3" s="1"/>
  <c r="B479" i="3"/>
  <c r="C478" i="3"/>
  <c r="F478" i="3" s="1"/>
  <c r="B478" i="3"/>
  <c r="C477" i="3"/>
  <c r="F477" i="3" s="1"/>
  <c r="B477" i="3"/>
  <c r="C476" i="3"/>
  <c r="F476" i="3" s="1"/>
  <c r="B476" i="3"/>
  <c r="C475" i="3"/>
  <c r="G475" i="3" s="1"/>
  <c r="H475" i="3" s="1"/>
  <c r="B475" i="3"/>
  <c r="C474" i="3"/>
  <c r="F474" i="3" s="1"/>
  <c r="B474" i="3"/>
  <c r="C473" i="3"/>
  <c r="G473" i="3" s="1"/>
  <c r="B473" i="3"/>
  <c r="C472" i="3"/>
  <c r="F472" i="3" s="1"/>
  <c r="B472" i="3"/>
  <c r="C471" i="3"/>
  <c r="F471" i="3" s="1"/>
  <c r="B471" i="3"/>
  <c r="C470" i="3"/>
  <c r="F470" i="3" s="1"/>
  <c r="B470" i="3"/>
  <c r="C469" i="3"/>
  <c r="F469" i="3" s="1"/>
  <c r="B469" i="3"/>
  <c r="G468" i="3"/>
  <c r="C468" i="3"/>
  <c r="F468" i="3" s="1"/>
  <c r="B468" i="3"/>
  <c r="C467" i="3"/>
  <c r="F467" i="3" s="1"/>
  <c r="B467" i="3"/>
  <c r="C466" i="3"/>
  <c r="F466" i="3" s="1"/>
  <c r="B466" i="3"/>
  <c r="C465" i="3"/>
  <c r="F465" i="3" s="1"/>
  <c r="B465" i="3"/>
  <c r="C464" i="3"/>
  <c r="F464" i="3" s="1"/>
  <c r="B464" i="3"/>
  <c r="C463" i="3"/>
  <c r="F463" i="3" s="1"/>
  <c r="B463" i="3"/>
  <c r="C462" i="3"/>
  <c r="F462" i="3" s="1"/>
  <c r="B462" i="3"/>
  <c r="C461" i="3"/>
  <c r="F461" i="3" s="1"/>
  <c r="B461" i="3"/>
  <c r="C460" i="3"/>
  <c r="F460" i="3" s="1"/>
  <c r="B460" i="3"/>
  <c r="C459" i="3"/>
  <c r="F459" i="3" s="1"/>
  <c r="B459" i="3"/>
  <c r="C458" i="3"/>
  <c r="F458" i="3" s="1"/>
  <c r="B458" i="3"/>
  <c r="C457" i="3"/>
  <c r="F457" i="3" s="1"/>
  <c r="B457" i="3"/>
  <c r="C456" i="3"/>
  <c r="F456" i="3" s="1"/>
  <c r="B456" i="3"/>
  <c r="C455" i="3"/>
  <c r="F455" i="3" s="1"/>
  <c r="B455" i="3"/>
  <c r="C454" i="3"/>
  <c r="F454" i="3" s="1"/>
  <c r="B454" i="3"/>
  <c r="C453" i="3"/>
  <c r="F453" i="3" s="1"/>
  <c r="B453" i="3"/>
  <c r="C452" i="3"/>
  <c r="F452" i="3" s="1"/>
  <c r="B452" i="3"/>
  <c r="C451" i="3"/>
  <c r="F451" i="3" s="1"/>
  <c r="B451" i="3"/>
  <c r="C450" i="3"/>
  <c r="F450" i="3" s="1"/>
  <c r="B450" i="3"/>
  <c r="C449" i="3"/>
  <c r="F449" i="3" s="1"/>
  <c r="B449" i="3"/>
  <c r="C448" i="3"/>
  <c r="F448" i="3" s="1"/>
  <c r="B448" i="3"/>
  <c r="C447" i="3"/>
  <c r="F447" i="3" s="1"/>
  <c r="B447" i="3"/>
  <c r="C446" i="3"/>
  <c r="B446" i="3"/>
  <c r="C445" i="3"/>
  <c r="G445" i="3" s="1"/>
  <c r="B445" i="3"/>
  <c r="C444" i="3"/>
  <c r="G444" i="3" s="1"/>
  <c r="B444" i="3"/>
  <c r="C443" i="3"/>
  <c r="F443" i="3" s="1"/>
  <c r="B443" i="3"/>
  <c r="C442" i="3"/>
  <c r="G442" i="3" s="1"/>
  <c r="B442" i="3"/>
  <c r="C441" i="3"/>
  <c r="G441" i="3" s="1"/>
  <c r="B441" i="3"/>
  <c r="C440" i="3"/>
  <c r="G440" i="3" s="1"/>
  <c r="B440" i="3"/>
  <c r="C439" i="3"/>
  <c r="G439" i="3" s="1"/>
  <c r="B439" i="3"/>
  <c r="C438" i="3"/>
  <c r="G438" i="3" s="1"/>
  <c r="I438" i="3" s="1"/>
  <c r="B438" i="3"/>
  <c r="C437" i="3"/>
  <c r="F437" i="3" s="1"/>
  <c r="B437" i="3"/>
  <c r="C436" i="3"/>
  <c r="F436" i="3" s="1"/>
  <c r="B436" i="3"/>
  <c r="C435" i="3"/>
  <c r="F435" i="3" s="1"/>
  <c r="B435" i="3"/>
  <c r="C434" i="3"/>
  <c r="G434" i="3" s="1"/>
  <c r="B434" i="3"/>
  <c r="C433" i="3"/>
  <c r="F433" i="3" s="1"/>
  <c r="B433" i="3"/>
  <c r="C432" i="3"/>
  <c r="F432" i="3" s="1"/>
  <c r="B432" i="3"/>
  <c r="C431" i="3"/>
  <c r="G431" i="3" s="1"/>
  <c r="B431" i="3"/>
  <c r="C430" i="3"/>
  <c r="G430" i="3" s="1"/>
  <c r="B430" i="3"/>
  <c r="C429" i="3"/>
  <c r="G429" i="3" s="1"/>
  <c r="B429" i="3"/>
  <c r="C428" i="3"/>
  <c r="G428" i="3" s="1"/>
  <c r="B428" i="3"/>
  <c r="C427" i="3"/>
  <c r="G427" i="3" s="1"/>
  <c r="B427" i="3"/>
  <c r="C426" i="3"/>
  <c r="G426" i="3" s="1"/>
  <c r="B426" i="3"/>
  <c r="C425" i="3"/>
  <c r="G425" i="3" s="1"/>
  <c r="B425" i="3"/>
  <c r="C424" i="3"/>
  <c r="G424" i="3" s="1"/>
  <c r="H424" i="3" s="1"/>
  <c r="B424" i="3"/>
  <c r="C423" i="3"/>
  <c r="G423" i="3" s="1"/>
  <c r="B423" i="3"/>
  <c r="C422" i="3"/>
  <c r="G422" i="3" s="1"/>
  <c r="B422" i="3"/>
  <c r="C421" i="3"/>
  <c r="G421" i="3" s="1"/>
  <c r="B421" i="3"/>
  <c r="G420" i="3"/>
  <c r="H420" i="3" s="1"/>
  <c r="C420" i="3"/>
  <c r="F420" i="3" s="1"/>
  <c r="B420" i="3"/>
  <c r="C419" i="3"/>
  <c r="B419" i="3"/>
  <c r="C418" i="3"/>
  <c r="F418" i="3" s="1"/>
  <c r="B418" i="3"/>
  <c r="C417" i="3"/>
  <c r="G417" i="3" s="1"/>
  <c r="B417" i="3"/>
  <c r="C416" i="3"/>
  <c r="G416" i="3" s="1"/>
  <c r="B416" i="3"/>
  <c r="G415" i="3"/>
  <c r="H415" i="3" s="1"/>
  <c r="C415" i="3"/>
  <c r="F415" i="3" s="1"/>
  <c r="B415" i="3"/>
  <c r="C414" i="3"/>
  <c r="G414" i="3" s="1"/>
  <c r="B414" i="3"/>
  <c r="C413" i="3"/>
  <c r="F413" i="3" s="1"/>
  <c r="B413" i="3"/>
  <c r="C412" i="3"/>
  <c r="G412" i="3" s="1"/>
  <c r="B412" i="3"/>
  <c r="C411" i="3"/>
  <c r="G411" i="3" s="1"/>
  <c r="H411" i="3" s="1"/>
  <c r="B411" i="3"/>
  <c r="C410" i="3"/>
  <c r="G410" i="3" s="1"/>
  <c r="B410" i="3"/>
  <c r="C409" i="3"/>
  <c r="G409" i="3" s="1"/>
  <c r="B409" i="3"/>
  <c r="C408" i="3"/>
  <c r="G408" i="3" s="1"/>
  <c r="B408" i="3"/>
  <c r="G407" i="3"/>
  <c r="H407" i="3" s="1"/>
  <c r="C407" i="3"/>
  <c r="F407" i="3" s="1"/>
  <c r="B407" i="3"/>
  <c r="C406" i="3"/>
  <c r="G406" i="3" s="1"/>
  <c r="B406" i="3"/>
  <c r="C405" i="3"/>
  <c r="F405" i="3" s="1"/>
  <c r="B405" i="3"/>
  <c r="C404" i="3"/>
  <c r="G404" i="3" s="1"/>
  <c r="B404" i="3"/>
  <c r="C403" i="3"/>
  <c r="G403" i="3" s="1"/>
  <c r="B403" i="3"/>
  <c r="C402" i="3"/>
  <c r="G402" i="3" s="1"/>
  <c r="B402" i="3"/>
  <c r="C401" i="3"/>
  <c r="B401" i="3"/>
  <c r="C400" i="3"/>
  <c r="G400" i="3" s="1"/>
  <c r="B400" i="3"/>
  <c r="C399" i="3"/>
  <c r="F399" i="3" s="1"/>
  <c r="B399" i="3"/>
  <c r="C398" i="3"/>
  <c r="G398" i="3" s="1"/>
  <c r="B398" i="3"/>
  <c r="C397" i="3"/>
  <c r="B397" i="3"/>
  <c r="C396" i="3"/>
  <c r="G396" i="3" s="1"/>
  <c r="B396" i="3"/>
  <c r="C395" i="3"/>
  <c r="G395" i="3" s="1"/>
  <c r="B395" i="3"/>
  <c r="C394" i="3"/>
  <c r="F394" i="3" s="1"/>
  <c r="B394" i="3"/>
  <c r="C393" i="3"/>
  <c r="B393" i="3"/>
  <c r="C392" i="3"/>
  <c r="F392" i="3" s="1"/>
  <c r="B392" i="3"/>
  <c r="C391" i="3"/>
  <c r="F391" i="3" s="1"/>
  <c r="B391" i="3"/>
  <c r="C390" i="3"/>
  <c r="F390" i="3" s="1"/>
  <c r="B390" i="3"/>
  <c r="G389" i="3"/>
  <c r="C389" i="3"/>
  <c r="F389" i="3" s="1"/>
  <c r="B389" i="3"/>
  <c r="C388" i="3"/>
  <c r="G388" i="3" s="1"/>
  <c r="H388" i="3" s="1"/>
  <c r="B388" i="3"/>
  <c r="C387" i="3"/>
  <c r="G387" i="3" s="1"/>
  <c r="B387" i="3"/>
  <c r="C386" i="3"/>
  <c r="G386" i="3" s="1"/>
  <c r="B386" i="3"/>
  <c r="C385" i="3"/>
  <c r="G385" i="3" s="1"/>
  <c r="B385" i="3"/>
  <c r="G384" i="3"/>
  <c r="H384" i="3" s="1"/>
  <c r="C384" i="3"/>
  <c r="F384" i="3" s="1"/>
  <c r="B384" i="3"/>
  <c r="C383" i="3"/>
  <c r="G383" i="3" s="1"/>
  <c r="B383" i="3"/>
  <c r="C382" i="3"/>
  <c r="F382" i="3" s="1"/>
  <c r="B382" i="3"/>
  <c r="C381" i="3"/>
  <c r="F381" i="3" s="1"/>
  <c r="B381" i="3"/>
  <c r="C380" i="3"/>
  <c r="F380" i="3" s="1"/>
  <c r="B380" i="3"/>
  <c r="C379" i="3"/>
  <c r="F379" i="3" s="1"/>
  <c r="B379" i="3"/>
  <c r="C378" i="3"/>
  <c r="F378" i="3" s="1"/>
  <c r="B378" i="3"/>
  <c r="G377" i="3"/>
  <c r="H377" i="3" s="1"/>
  <c r="C377" i="3"/>
  <c r="F377" i="3" s="1"/>
  <c r="B377" i="3"/>
  <c r="C376" i="3"/>
  <c r="F376" i="3" s="1"/>
  <c r="B376" i="3"/>
  <c r="C375" i="3"/>
  <c r="F375" i="3" s="1"/>
  <c r="B375" i="3"/>
  <c r="C374" i="3"/>
  <c r="F374" i="3" s="1"/>
  <c r="B374" i="3"/>
  <c r="C373" i="3"/>
  <c r="G373" i="3" s="1"/>
  <c r="B373" i="3"/>
  <c r="C372" i="3"/>
  <c r="F372" i="3" s="1"/>
  <c r="B372" i="3"/>
  <c r="C371" i="3"/>
  <c r="B371" i="3"/>
  <c r="C370" i="3"/>
  <c r="F370" i="3" s="1"/>
  <c r="B370" i="3"/>
  <c r="C369" i="3"/>
  <c r="G369" i="3" s="1"/>
  <c r="B369" i="3"/>
  <c r="C368" i="3"/>
  <c r="F368" i="3" s="1"/>
  <c r="B368" i="3"/>
  <c r="C367" i="3"/>
  <c r="G367" i="3" s="1"/>
  <c r="B367" i="3"/>
  <c r="C366" i="3"/>
  <c r="F366" i="3" s="1"/>
  <c r="B366" i="3"/>
  <c r="C365" i="3"/>
  <c r="G365" i="3" s="1"/>
  <c r="B365" i="3"/>
  <c r="C364" i="3"/>
  <c r="G364" i="3" s="1"/>
  <c r="B364" i="3"/>
  <c r="C363" i="3"/>
  <c r="F363" i="3" s="1"/>
  <c r="B363" i="3"/>
  <c r="G362" i="3"/>
  <c r="C362" i="3"/>
  <c r="F362" i="3" s="1"/>
  <c r="B362" i="3"/>
  <c r="C361" i="3"/>
  <c r="F361" i="3" s="1"/>
  <c r="B361" i="3"/>
  <c r="C360" i="3"/>
  <c r="B360" i="3"/>
  <c r="C359" i="3"/>
  <c r="F359" i="3" s="1"/>
  <c r="B359" i="3"/>
  <c r="G358" i="3"/>
  <c r="C358" i="3"/>
  <c r="F358" i="3" s="1"/>
  <c r="B358" i="3"/>
  <c r="C357" i="3"/>
  <c r="F357" i="3" s="1"/>
  <c r="B357" i="3"/>
  <c r="C356" i="3"/>
  <c r="G356" i="3" s="1"/>
  <c r="B356" i="3"/>
  <c r="C355" i="3"/>
  <c r="F355" i="3" s="1"/>
  <c r="B355" i="3"/>
  <c r="C354" i="3"/>
  <c r="G354" i="3" s="1"/>
  <c r="B354" i="3"/>
  <c r="C353" i="3"/>
  <c r="F353" i="3" s="1"/>
  <c r="B353" i="3"/>
  <c r="C352" i="3"/>
  <c r="F352" i="3" s="1"/>
  <c r="B352" i="3"/>
  <c r="C351" i="3"/>
  <c r="F351" i="3" s="1"/>
  <c r="B351" i="3"/>
  <c r="C350" i="3"/>
  <c r="F350" i="3" s="1"/>
  <c r="B350" i="3"/>
  <c r="C349" i="3"/>
  <c r="F349" i="3" s="1"/>
  <c r="B349" i="3"/>
  <c r="C348" i="3"/>
  <c r="F348" i="3" s="1"/>
  <c r="B348" i="3"/>
  <c r="C347" i="3"/>
  <c r="F347" i="3" s="1"/>
  <c r="B347" i="3"/>
  <c r="C346" i="3"/>
  <c r="F346" i="3" s="1"/>
  <c r="B346" i="3"/>
  <c r="C345" i="3"/>
  <c r="F345" i="3" s="1"/>
  <c r="B345" i="3"/>
  <c r="C344" i="3"/>
  <c r="F344" i="3" s="1"/>
  <c r="B344" i="3"/>
  <c r="C343" i="3"/>
  <c r="F343" i="3" s="1"/>
  <c r="B343" i="3"/>
  <c r="C342" i="3"/>
  <c r="F342" i="3" s="1"/>
  <c r="B342" i="3"/>
  <c r="C341" i="3"/>
  <c r="F341" i="3" s="1"/>
  <c r="B341" i="3"/>
  <c r="C340" i="3"/>
  <c r="F340" i="3" s="1"/>
  <c r="B340" i="3"/>
  <c r="C339" i="3"/>
  <c r="F339" i="3" s="1"/>
  <c r="B339" i="3"/>
  <c r="C338" i="3"/>
  <c r="F338" i="3" s="1"/>
  <c r="B338" i="3"/>
  <c r="C337" i="3"/>
  <c r="F337" i="3" s="1"/>
  <c r="B337" i="3"/>
  <c r="G336" i="3"/>
  <c r="C336" i="3"/>
  <c r="F336" i="3" s="1"/>
  <c r="B336" i="3"/>
  <c r="C335" i="3"/>
  <c r="F335" i="3" s="1"/>
  <c r="B335" i="3"/>
  <c r="C334" i="3"/>
  <c r="G334" i="3" s="1"/>
  <c r="B334" i="3"/>
  <c r="G333" i="3"/>
  <c r="C333" i="3"/>
  <c r="F333" i="3" s="1"/>
  <c r="B333" i="3"/>
  <c r="C332" i="3"/>
  <c r="G332" i="3" s="1"/>
  <c r="B332" i="3"/>
  <c r="G331" i="3"/>
  <c r="H331" i="3" s="1"/>
  <c r="C331" i="3"/>
  <c r="F331" i="3" s="1"/>
  <c r="B331" i="3"/>
  <c r="C330" i="3"/>
  <c r="F330" i="3" s="1"/>
  <c r="B330" i="3"/>
  <c r="C329" i="3"/>
  <c r="F329" i="3" s="1"/>
  <c r="B329" i="3"/>
  <c r="C328" i="3"/>
  <c r="F328" i="3" s="1"/>
  <c r="B328" i="3"/>
  <c r="C327" i="3"/>
  <c r="B327" i="3"/>
  <c r="C326" i="3"/>
  <c r="F326" i="3" s="1"/>
  <c r="B326" i="3"/>
  <c r="C325" i="3"/>
  <c r="G325" i="3" s="1"/>
  <c r="I325" i="3" s="1"/>
  <c r="B325" i="3"/>
  <c r="C324" i="3"/>
  <c r="G324" i="3" s="1"/>
  <c r="B324" i="3"/>
  <c r="C323" i="3"/>
  <c r="G323" i="3" s="1"/>
  <c r="B323" i="3"/>
  <c r="C322" i="3"/>
  <c r="G322" i="3" s="1"/>
  <c r="B322" i="3"/>
  <c r="C321" i="3"/>
  <c r="G321" i="3" s="1"/>
  <c r="I321" i="3" s="1"/>
  <c r="B321" i="3"/>
  <c r="C320" i="3"/>
  <c r="G320" i="3" s="1"/>
  <c r="B320" i="3"/>
  <c r="C319" i="3"/>
  <c r="G319" i="3" s="1"/>
  <c r="B319" i="3"/>
  <c r="C318" i="3"/>
  <c r="G318" i="3" s="1"/>
  <c r="B318" i="3"/>
  <c r="C317" i="3"/>
  <c r="G317" i="3" s="1"/>
  <c r="I317" i="3" s="1"/>
  <c r="B317" i="3"/>
  <c r="C316" i="3"/>
  <c r="F316" i="3" s="1"/>
  <c r="B316" i="3"/>
  <c r="C315" i="3"/>
  <c r="G315" i="3" s="1"/>
  <c r="B315" i="3"/>
  <c r="G314" i="3"/>
  <c r="H314" i="3" s="1"/>
  <c r="C314" i="3"/>
  <c r="F314" i="3" s="1"/>
  <c r="B314" i="3"/>
  <c r="C313" i="3"/>
  <c r="G313" i="3" s="1"/>
  <c r="H313" i="3" s="1"/>
  <c r="B313" i="3"/>
  <c r="C312" i="3"/>
  <c r="G312" i="3" s="1"/>
  <c r="B312" i="3"/>
  <c r="C311" i="3"/>
  <c r="G311" i="3" s="1"/>
  <c r="B311" i="3"/>
  <c r="C310" i="3"/>
  <c r="G310" i="3" s="1"/>
  <c r="B310" i="3"/>
  <c r="C309" i="3"/>
  <c r="G309" i="3" s="1"/>
  <c r="H309" i="3" s="1"/>
  <c r="B309" i="3"/>
  <c r="C308" i="3"/>
  <c r="F308" i="3" s="1"/>
  <c r="B308" i="3"/>
  <c r="C307" i="3"/>
  <c r="G307" i="3" s="1"/>
  <c r="B307" i="3"/>
  <c r="C306" i="3"/>
  <c r="F306" i="3" s="1"/>
  <c r="B306" i="3"/>
  <c r="C305" i="3"/>
  <c r="B305" i="3"/>
  <c r="C304" i="3"/>
  <c r="G304" i="3" s="1"/>
  <c r="B304" i="3"/>
  <c r="C303" i="3"/>
  <c r="G303" i="3" s="1"/>
  <c r="B303" i="3"/>
  <c r="C302" i="3"/>
  <c r="G302" i="3" s="1"/>
  <c r="B302" i="3"/>
  <c r="C301" i="3"/>
  <c r="B301" i="3"/>
  <c r="C300" i="3"/>
  <c r="F300" i="3" s="1"/>
  <c r="B300" i="3"/>
  <c r="C299" i="3"/>
  <c r="G299" i="3" s="1"/>
  <c r="B299" i="3"/>
  <c r="C298" i="3"/>
  <c r="F298" i="3" s="1"/>
  <c r="B298" i="3"/>
  <c r="G297" i="3"/>
  <c r="C297" i="3"/>
  <c r="F297" i="3" s="1"/>
  <c r="B297" i="3"/>
  <c r="C296" i="3"/>
  <c r="G296" i="3" s="1"/>
  <c r="B296" i="3"/>
  <c r="C295" i="3"/>
  <c r="F295" i="3" s="1"/>
  <c r="B295" i="3"/>
  <c r="G294" i="3"/>
  <c r="C294" i="3"/>
  <c r="F294" i="3" s="1"/>
  <c r="B294" i="3"/>
  <c r="C293" i="3"/>
  <c r="F293" i="3" s="1"/>
  <c r="B293" i="3"/>
  <c r="C292" i="3"/>
  <c r="F292" i="3" s="1"/>
  <c r="B292" i="3"/>
  <c r="C291" i="3"/>
  <c r="F291" i="3" s="1"/>
  <c r="B291" i="3"/>
  <c r="G290" i="3"/>
  <c r="H290" i="3" s="1"/>
  <c r="C290" i="3"/>
  <c r="F290" i="3" s="1"/>
  <c r="B290" i="3"/>
  <c r="C289" i="3"/>
  <c r="G289" i="3" s="1"/>
  <c r="B289" i="3"/>
  <c r="C288" i="3"/>
  <c r="G288" i="3" s="1"/>
  <c r="H288" i="3" s="1"/>
  <c r="B288" i="3"/>
  <c r="C287" i="3"/>
  <c r="F287" i="3" s="1"/>
  <c r="B287" i="3"/>
  <c r="C286" i="3"/>
  <c r="F286" i="3" s="1"/>
  <c r="B286" i="3"/>
  <c r="C285" i="3"/>
  <c r="G285" i="3" s="1"/>
  <c r="B285" i="3"/>
  <c r="C284" i="3"/>
  <c r="G284" i="3" s="1"/>
  <c r="H284" i="3" s="1"/>
  <c r="B284" i="3"/>
  <c r="C283" i="3"/>
  <c r="F283" i="3" s="1"/>
  <c r="B283" i="3"/>
  <c r="C282" i="3"/>
  <c r="G282" i="3" s="1"/>
  <c r="B282" i="3"/>
  <c r="C281" i="3"/>
  <c r="G281" i="3" s="1"/>
  <c r="B281" i="3"/>
  <c r="C280" i="3"/>
  <c r="G280" i="3" s="1"/>
  <c r="H280" i="3" s="1"/>
  <c r="B280" i="3"/>
  <c r="C279" i="3"/>
  <c r="F279" i="3" s="1"/>
  <c r="B279" i="3"/>
  <c r="C278" i="3"/>
  <c r="G278" i="3" s="1"/>
  <c r="H278" i="3" s="1"/>
  <c r="B278" i="3"/>
  <c r="C277" i="3"/>
  <c r="B277" i="3"/>
  <c r="C276" i="3"/>
  <c r="G276" i="3" s="1"/>
  <c r="H276" i="3" s="1"/>
  <c r="B276" i="3"/>
  <c r="C275" i="3"/>
  <c r="F275" i="3" s="1"/>
  <c r="B275" i="3"/>
  <c r="C274" i="3"/>
  <c r="G274" i="3" s="1"/>
  <c r="B274" i="3"/>
  <c r="C273" i="3"/>
  <c r="G273" i="3" s="1"/>
  <c r="B273" i="3"/>
  <c r="C272" i="3"/>
  <c r="B272" i="3"/>
  <c r="G271" i="3"/>
  <c r="H271" i="3" s="1"/>
  <c r="C271" i="3"/>
  <c r="F271" i="3" s="1"/>
  <c r="B271" i="3"/>
  <c r="C270" i="3"/>
  <c r="B270" i="3"/>
  <c r="C269" i="3"/>
  <c r="G269" i="3" s="1"/>
  <c r="B269" i="3"/>
  <c r="C268" i="3"/>
  <c r="G268" i="3" s="1"/>
  <c r="H268" i="3" s="1"/>
  <c r="B268" i="3"/>
  <c r="C267" i="3"/>
  <c r="F267" i="3" s="1"/>
  <c r="B267" i="3"/>
  <c r="C266" i="3"/>
  <c r="F266" i="3" s="1"/>
  <c r="B266" i="3"/>
  <c r="C265" i="3"/>
  <c r="B265" i="3"/>
  <c r="C264" i="3"/>
  <c r="G264" i="3" s="1"/>
  <c r="B264" i="3"/>
  <c r="C263" i="3"/>
  <c r="B263" i="3"/>
  <c r="C262" i="3"/>
  <c r="B262" i="3"/>
  <c r="C261" i="3"/>
  <c r="B261" i="3"/>
  <c r="C260" i="3"/>
  <c r="G260" i="3" s="1"/>
  <c r="B260" i="3"/>
  <c r="C259" i="3"/>
  <c r="B259" i="3"/>
  <c r="C258" i="3"/>
  <c r="F258" i="3" s="1"/>
  <c r="B258" i="3"/>
  <c r="G257" i="3"/>
  <c r="H257" i="3" s="1"/>
  <c r="C257" i="3"/>
  <c r="F257" i="3" s="1"/>
  <c r="B257" i="3"/>
  <c r="C256" i="3"/>
  <c r="G256" i="3" s="1"/>
  <c r="B256" i="3"/>
  <c r="C255" i="3"/>
  <c r="B255" i="3"/>
  <c r="C254" i="3"/>
  <c r="G254" i="3" s="1"/>
  <c r="B254" i="3"/>
  <c r="C253" i="3"/>
  <c r="G253" i="3" s="1"/>
  <c r="H253" i="3" s="1"/>
  <c r="B253" i="3"/>
  <c r="C252" i="3"/>
  <c r="G252" i="3" s="1"/>
  <c r="B252" i="3"/>
  <c r="C251" i="3"/>
  <c r="B251" i="3"/>
  <c r="C250" i="3"/>
  <c r="G250" i="3" s="1"/>
  <c r="H250" i="3" s="1"/>
  <c r="B250" i="3"/>
  <c r="C249" i="3"/>
  <c r="G249" i="3" s="1"/>
  <c r="H249" i="3" s="1"/>
  <c r="B249" i="3"/>
  <c r="C248" i="3"/>
  <c r="G248" i="3" s="1"/>
  <c r="B248" i="3"/>
  <c r="C247" i="3"/>
  <c r="B247" i="3"/>
  <c r="C246" i="3"/>
  <c r="G246" i="3" s="1"/>
  <c r="B246" i="3"/>
  <c r="C245" i="3"/>
  <c r="G245" i="3" s="1"/>
  <c r="H245" i="3" s="1"/>
  <c r="B245" i="3"/>
  <c r="C244" i="3"/>
  <c r="G244" i="3" s="1"/>
  <c r="B244" i="3"/>
  <c r="C243" i="3"/>
  <c r="B243" i="3"/>
  <c r="C242" i="3"/>
  <c r="F242" i="3" s="1"/>
  <c r="B242" i="3"/>
  <c r="C241" i="3"/>
  <c r="B241" i="3"/>
  <c r="C240" i="3"/>
  <c r="B240" i="3"/>
  <c r="C239" i="3"/>
  <c r="F239" i="3" s="1"/>
  <c r="B239" i="3"/>
  <c r="C238" i="3"/>
  <c r="F238" i="3" s="1"/>
  <c r="B238" i="3"/>
  <c r="C237" i="3"/>
  <c r="F237" i="3" s="1"/>
  <c r="B237" i="3"/>
  <c r="G236" i="3"/>
  <c r="C236" i="3"/>
  <c r="F236" i="3" s="1"/>
  <c r="B236" i="3"/>
  <c r="C235" i="3"/>
  <c r="F235" i="3" s="1"/>
  <c r="B235" i="3"/>
  <c r="C234" i="3"/>
  <c r="F234" i="3" s="1"/>
  <c r="B234" i="3"/>
  <c r="C233" i="3"/>
  <c r="F233" i="3" s="1"/>
  <c r="B233" i="3"/>
  <c r="C232" i="3"/>
  <c r="F232" i="3" s="1"/>
  <c r="B232" i="3"/>
  <c r="C231" i="3"/>
  <c r="F231" i="3" s="1"/>
  <c r="B231" i="3"/>
  <c r="C230" i="3"/>
  <c r="F230" i="3" s="1"/>
  <c r="B230" i="3"/>
  <c r="C229" i="3"/>
  <c r="F229" i="3" s="1"/>
  <c r="B229" i="3"/>
  <c r="C228" i="3"/>
  <c r="F228" i="3" s="1"/>
  <c r="B228" i="3"/>
  <c r="C227" i="3"/>
  <c r="F227" i="3" s="1"/>
  <c r="B227" i="3"/>
  <c r="C226" i="3"/>
  <c r="F226" i="3" s="1"/>
  <c r="B226" i="3"/>
  <c r="C225" i="3"/>
  <c r="F225" i="3" s="1"/>
  <c r="B225" i="3"/>
  <c r="C224" i="3"/>
  <c r="F224" i="3" s="1"/>
  <c r="B224" i="3"/>
  <c r="C223" i="3"/>
  <c r="F223" i="3" s="1"/>
  <c r="B223" i="3"/>
  <c r="C222" i="3"/>
  <c r="F222" i="3" s="1"/>
  <c r="B222" i="3"/>
  <c r="C221" i="3"/>
  <c r="F221" i="3" s="1"/>
  <c r="B221" i="3"/>
  <c r="C220" i="3"/>
  <c r="B220" i="3"/>
  <c r="C219" i="3"/>
  <c r="B219" i="3"/>
  <c r="G218" i="3"/>
  <c r="C218" i="3"/>
  <c r="F218" i="3" s="1"/>
  <c r="B218" i="3"/>
  <c r="C217" i="3"/>
  <c r="B217" i="3"/>
  <c r="C216" i="3"/>
  <c r="F216" i="3" s="1"/>
  <c r="B216" i="3"/>
  <c r="C215" i="3"/>
  <c r="B215" i="3"/>
  <c r="C214" i="3"/>
  <c r="F214" i="3" s="1"/>
  <c r="B214" i="3"/>
  <c r="C213" i="3"/>
  <c r="B213" i="3"/>
  <c r="C212" i="3"/>
  <c r="B212" i="3"/>
  <c r="C211" i="3"/>
  <c r="B211" i="3"/>
  <c r="C210" i="3"/>
  <c r="B210" i="3"/>
  <c r="C209" i="3"/>
  <c r="F209" i="3" s="1"/>
  <c r="B209" i="3"/>
  <c r="C208" i="3"/>
  <c r="F208" i="3" s="1"/>
  <c r="B208" i="3"/>
  <c r="C207" i="3"/>
  <c r="B207" i="3"/>
  <c r="G206" i="3"/>
  <c r="I206" i="3" s="1"/>
  <c r="C206" i="3"/>
  <c r="F206" i="3" s="1"/>
  <c r="B206" i="3"/>
  <c r="C205" i="3"/>
  <c r="B205" i="3"/>
  <c r="C204" i="3"/>
  <c r="B204" i="3"/>
  <c r="C203" i="3"/>
  <c r="F203" i="3" s="1"/>
  <c r="B203" i="3"/>
  <c r="C202" i="3"/>
  <c r="B202" i="3"/>
  <c r="C201" i="3"/>
  <c r="B201" i="3"/>
  <c r="C200" i="3"/>
  <c r="B200" i="3"/>
  <c r="C199" i="3"/>
  <c r="B199" i="3"/>
  <c r="G198" i="3"/>
  <c r="I198" i="3" s="1"/>
  <c r="C198" i="3"/>
  <c r="F198" i="3" s="1"/>
  <c r="B198" i="3"/>
  <c r="C197" i="3"/>
  <c r="F197" i="3" s="1"/>
  <c r="B197" i="3"/>
  <c r="C196" i="3"/>
  <c r="B196" i="3"/>
  <c r="G195" i="3"/>
  <c r="I195" i="3" s="1"/>
  <c r="C195" i="3"/>
  <c r="F195" i="3" s="1"/>
  <c r="B195" i="3"/>
  <c r="C194" i="3"/>
  <c r="B194" i="3"/>
  <c r="G193" i="3"/>
  <c r="I193" i="3" s="1"/>
  <c r="C193" i="3"/>
  <c r="F193" i="3" s="1"/>
  <c r="B193" i="3"/>
  <c r="C192" i="3"/>
  <c r="B192" i="3"/>
  <c r="C191" i="3"/>
  <c r="B191" i="3"/>
  <c r="C190" i="3"/>
  <c r="F190" i="3" s="1"/>
  <c r="B190" i="3"/>
  <c r="C189" i="3"/>
  <c r="F189" i="3" s="1"/>
  <c r="B189" i="3"/>
  <c r="C188" i="3"/>
  <c r="B188" i="3"/>
  <c r="C187" i="3"/>
  <c r="F187" i="3" s="1"/>
  <c r="B187" i="3"/>
  <c r="C186" i="3"/>
  <c r="B186" i="3"/>
  <c r="C185" i="3"/>
  <c r="F185" i="3" s="1"/>
  <c r="B185" i="3"/>
  <c r="C184" i="3"/>
  <c r="B184" i="3"/>
  <c r="C183" i="3"/>
  <c r="B183" i="3"/>
  <c r="C182" i="3"/>
  <c r="F182" i="3" s="1"/>
  <c r="B182" i="3"/>
  <c r="G181" i="3"/>
  <c r="I181" i="3" s="1"/>
  <c r="C181" i="3"/>
  <c r="F181" i="3" s="1"/>
  <c r="B181" i="3"/>
  <c r="C180" i="3"/>
  <c r="B180" i="3"/>
  <c r="C179" i="3"/>
  <c r="B179" i="3"/>
  <c r="C178" i="3"/>
  <c r="B178" i="3"/>
  <c r="C177" i="3"/>
  <c r="F177" i="3" s="1"/>
  <c r="B177" i="3"/>
  <c r="C176" i="3"/>
  <c r="B176" i="3"/>
  <c r="C175" i="3"/>
  <c r="B175" i="3"/>
  <c r="C174" i="3"/>
  <c r="F174" i="3" s="1"/>
  <c r="B174" i="3"/>
  <c r="C173" i="3"/>
  <c r="F173" i="3" s="1"/>
  <c r="B173" i="3"/>
  <c r="C172" i="3"/>
  <c r="B172" i="3"/>
  <c r="C171" i="3"/>
  <c r="B171" i="3"/>
  <c r="C170" i="3"/>
  <c r="B170" i="3"/>
  <c r="C169" i="3"/>
  <c r="F169" i="3" s="1"/>
  <c r="B169" i="3"/>
  <c r="C168" i="3"/>
  <c r="B168" i="3"/>
  <c r="C167" i="3"/>
  <c r="B167" i="3"/>
  <c r="C166" i="3"/>
  <c r="F166" i="3" s="1"/>
  <c r="B166" i="3"/>
  <c r="G165" i="3"/>
  <c r="I165" i="3" s="1"/>
  <c r="C165" i="3"/>
  <c r="F165" i="3" s="1"/>
  <c r="B165" i="3"/>
  <c r="C164" i="3"/>
  <c r="B164" i="3"/>
  <c r="G163" i="3"/>
  <c r="I163" i="3" s="1"/>
  <c r="C163" i="3"/>
  <c r="F163" i="3" s="1"/>
  <c r="B163" i="3"/>
  <c r="C162" i="3"/>
  <c r="B162" i="3"/>
  <c r="C161" i="3"/>
  <c r="F161" i="3" s="1"/>
  <c r="B161" i="3"/>
  <c r="C160" i="3"/>
  <c r="B160" i="3"/>
  <c r="C159" i="3"/>
  <c r="F159" i="3" s="1"/>
  <c r="B159" i="3"/>
  <c r="C158" i="3"/>
  <c r="F158" i="3" s="1"/>
  <c r="B158" i="3"/>
  <c r="C157" i="3"/>
  <c r="F157" i="3" s="1"/>
  <c r="B157" i="3"/>
  <c r="C156" i="3"/>
  <c r="B156" i="3"/>
  <c r="G155" i="3"/>
  <c r="I155" i="3" s="1"/>
  <c r="C155" i="3"/>
  <c r="F155" i="3" s="1"/>
  <c r="B155" i="3"/>
  <c r="C154" i="3"/>
  <c r="B154" i="3"/>
  <c r="C153" i="3"/>
  <c r="F153" i="3" s="1"/>
  <c r="B153" i="3"/>
  <c r="C152" i="3"/>
  <c r="B152" i="3"/>
  <c r="C151" i="3"/>
  <c r="B151" i="3"/>
  <c r="C150" i="3"/>
  <c r="F150" i="3" s="1"/>
  <c r="B150" i="3"/>
  <c r="C149" i="3"/>
  <c r="F149" i="3" s="1"/>
  <c r="B149" i="3"/>
  <c r="C148" i="3"/>
  <c r="B148" i="3"/>
  <c r="C147" i="3"/>
  <c r="B147" i="3"/>
  <c r="C146" i="3"/>
  <c r="B146" i="3"/>
  <c r="C145" i="3"/>
  <c r="F145" i="3" s="1"/>
  <c r="B145" i="3"/>
  <c r="C144" i="3"/>
  <c r="F144" i="3" s="1"/>
  <c r="B144" i="3"/>
  <c r="C143" i="3"/>
  <c r="B143" i="3"/>
  <c r="C142" i="3"/>
  <c r="F142" i="3" s="1"/>
  <c r="B142" i="3"/>
  <c r="C141" i="3"/>
  <c r="F141" i="3" s="1"/>
  <c r="B141" i="3"/>
  <c r="C140" i="3"/>
  <c r="B140" i="3"/>
  <c r="C139" i="3"/>
  <c r="B139" i="3"/>
  <c r="C138" i="3"/>
  <c r="F138" i="3" s="1"/>
  <c r="B138" i="3"/>
  <c r="C137" i="3"/>
  <c r="B137" i="3"/>
  <c r="C136" i="3"/>
  <c r="B136" i="3"/>
  <c r="C135" i="3"/>
  <c r="B135" i="3"/>
  <c r="C134" i="3"/>
  <c r="B134" i="3"/>
  <c r="C133" i="3"/>
  <c r="B133" i="3"/>
  <c r="C132" i="3"/>
  <c r="F132" i="3" s="1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F124" i="3" s="1"/>
  <c r="B124" i="3"/>
  <c r="C123" i="3"/>
  <c r="B123" i="3"/>
  <c r="G122" i="3"/>
  <c r="I122" i="3" s="1"/>
  <c r="C122" i="3"/>
  <c r="F122" i="3" s="1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F103" i="3" s="1"/>
  <c r="B103" i="3"/>
  <c r="C102" i="3"/>
  <c r="B102" i="3"/>
  <c r="C101" i="3"/>
  <c r="B101" i="3"/>
  <c r="C100" i="3"/>
  <c r="B100" i="3"/>
  <c r="C99" i="3"/>
  <c r="B99" i="3"/>
  <c r="C98" i="3"/>
  <c r="B98" i="3"/>
  <c r="C97" i="3"/>
  <c r="F97" i="3" s="1"/>
  <c r="B97" i="3"/>
  <c r="C96" i="3"/>
  <c r="B96" i="3"/>
  <c r="C95" i="3"/>
  <c r="F95" i="3" s="1"/>
  <c r="B95" i="3"/>
  <c r="C94" i="3"/>
  <c r="B94" i="3"/>
  <c r="C93" i="3"/>
  <c r="B93" i="3"/>
  <c r="G92" i="3"/>
  <c r="C92" i="3"/>
  <c r="F92" i="3" s="1"/>
  <c r="B92" i="3"/>
  <c r="C91" i="3"/>
  <c r="F91" i="3" s="1"/>
  <c r="B91" i="3"/>
  <c r="C90" i="3"/>
  <c r="B90" i="3"/>
  <c r="C89" i="3"/>
  <c r="B89" i="3"/>
  <c r="C88" i="3"/>
  <c r="F88" i="3" s="1"/>
  <c r="B88" i="3"/>
  <c r="C87" i="3"/>
  <c r="F87" i="3" s="1"/>
  <c r="B87" i="3"/>
  <c r="C86" i="3"/>
  <c r="B86" i="3"/>
  <c r="C85" i="3"/>
  <c r="B85" i="3"/>
  <c r="G84" i="3"/>
  <c r="H84" i="3" s="1"/>
  <c r="C84" i="3"/>
  <c r="F84" i="3" s="1"/>
  <c r="B84" i="3"/>
  <c r="C83" i="3"/>
  <c r="B83" i="3"/>
  <c r="C82" i="3"/>
  <c r="B82" i="3"/>
  <c r="C81" i="3"/>
  <c r="F81" i="3" s="1"/>
  <c r="B81" i="3"/>
  <c r="C80" i="3"/>
  <c r="F80" i="3" s="1"/>
  <c r="B80" i="3"/>
  <c r="C79" i="3"/>
  <c r="B79" i="3"/>
  <c r="C78" i="3"/>
  <c r="F78" i="3" s="1"/>
  <c r="B78" i="3"/>
  <c r="C77" i="3"/>
  <c r="B77" i="3"/>
  <c r="C76" i="3"/>
  <c r="B76" i="3"/>
  <c r="C75" i="3"/>
  <c r="B75" i="3"/>
  <c r="C74" i="3"/>
  <c r="B74" i="3"/>
  <c r="C73" i="3"/>
  <c r="B73" i="3"/>
  <c r="C72" i="3"/>
  <c r="F72" i="3" s="1"/>
  <c r="B72" i="3"/>
  <c r="C71" i="3"/>
  <c r="B71" i="3"/>
  <c r="C70" i="3"/>
  <c r="B70" i="3"/>
  <c r="C69" i="3"/>
  <c r="B69" i="3"/>
  <c r="C68" i="3"/>
  <c r="F68" i="3" s="1"/>
  <c r="B68" i="3"/>
  <c r="C67" i="3"/>
  <c r="B67" i="3"/>
  <c r="C66" i="3"/>
  <c r="F66" i="3" s="1"/>
  <c r="B66" i="3"/>
  <c r="C65" i="3"/>
  <c r="B65" i="3"/>
  <c r="C64" i="3"/>
  <c r="F64" i="3" s="1"/>
  <c r="B64" i="3"/>
  <c r="C63" i="3"/>
  <c r="F63" i="3" s="1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G49" i="3"/>
  <c r="H49" i="3" s="1"/>
  <c r="C49" i="3"/>
  <c r="F49" i="3" s="1"/>
  <c r="B49" i="3"/>
  <c r="C48" i="3"/>
  <c r="B48" i="3"/>
  <c r="C47" i="3"/>
  <c r="F47" i="3" s="1"/>
  <c r="B47" i="3"/>
  <c r="C46" i="3"/>
  <c r="B46" i="3"/>
  <c r="C45" i="3"/>
  <c r="B45" i="3"/>
  <c r="C44" i="3"/>
  <c r="B44" i="3"/>
  <c r="K43" i="3"/>
  <c r="C43" i="3"/>
  <c r="B43" i="3"/>
  <c r="C42" i="3"/>
  <c r="B42" i="3"/>
  <c r="C41" i="3"/>
  <c r="B41" i="3"/>
  <c r="C40" i="3"/>
  <c r="F40" i="3" s="1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Q10" i="3"/>
  <c r="C10" i="3"/>
  <c r="B10" i="3"/>
  <c r="E10" i="3" s="1"/>
  <c r="B14" i="2"/>
  <c r="D14" i="2" s="1"/>
  <c r="C14" i="2"/>
  <c r="F14" i="2" s="1"/>
  <c r="Q14" i="2"/>
  <c r="B15" i="2"/>
  <c r="D15" i="2" s="1"/>
  <c r="C15" i="2"/>
  <c r="G15" i="2" s="1"/>
  <c r="F15" i="2"/>
  <c r="Q15" i="2"/>
  <c r="B16" i="2"/>
  <c r="D16" i="2" s="1"/>
  <c r="F16" i="2" s="1"/>
  <c r="C16" i="2"/>
  <c r="G16" i="2" s="1"/>
  <c r="Q16" i="2"/>
  <c r="B17" i="2"/>
  <c r="C17" i="2"/>
  <c r="Q17" i="2"/>
  <c r="B18" i="2"/>
  <c r="C18" i="2"/>
  <c r="G18" i="2" s="1"/>
  <c r="F18" i="2"/>
  <c r="Q18" i="2"/>
  <c r="B19" i="2"/>
  <c r="C19" i="2"/>
  <c r="G19" i="2" s="1"/>
  <c r="H19" i="2" s="1"/>
  <c r="Q19" i="2"/>
  <c r="B20" i="2"/>
  <c r="C20" i="2"/>
  <c r="F20" i="2" s="1"/>
  <c r="Q20" i="2"/>
  <c r="B21" i="2"/>
  <c r="C21" i="2"/>
  <c r="F21" i="2"/>
  <c r="G21" i="2"/>
  <c r="Q21" i="2"/>
  <c r="B22" i="2"/>
  <c r="C22" i="2"/>
  <c r="F22" i="2" s="1"/>
  <c r="G22" i="2"/>
  <c r="Q22" i="2"/>
  <c r="B23" i="2"/>
  <c r="D23" i="2" s="1"/>
  <c r="C23" i="2"/>
  <c r="G23" i="2" s="1"/>
  <c r="F23" i="2"/>
  <c r="Q23" i="2"/>
  <c r="B24" i="2"/>
  <c r="C24" i="2"/>
  <c r="F24" i="2"/>
  <c r="G24" i="2"/>
  <c r="H24" i="2" s="1"/>
  <c r="K24" i="2"/>
  <c r="L24" i="2" s="1"/>
  <c r="Q24" i="2"/>
  <c r="B25" i="2"/>
  <c r="C25" i="2"/>
  <c r="G25" i="2" s="1"/>
  <c r="H25" i="2" s="1"/>
  <c r="Q25" i="2"/>
  <c r="B26" i="2"/>
  <c r="C26" i="2"/>
  <c r="F26" i="2"/>
  <c r="G26" i="2"/>
  <c r="H26" i="2"/>
  <c r="I26" i="2"/>
  <c r="Q26" i="2"/>
  <c r="B27" i="2"/>
  <c r="C27" i="2"/>
  <c r="F27" i="2" s="1"/>
  <c r="G27" i="2"/>
  <c r="I27" i="2" s="1"/>
  <c r="H27" i="2"/>
  <c r="Q27" i="2"/>
  <c r="B28" i="2"/>
  <c r="C28" i="2"/>
  <c r="Q28" i="2"/>
  <c r="B29" i="2"/>
  <c r="C29" i="2"/>
  <c r="F29" i="2"/>
  <c r="G29" i="2"/>
  <c r="H29" i="2" s="1"/>
  <c r="I29" i="2"/>
  <c r="B30" i="2"/>
  <c r="C30" i="2"/>
  <c r="F30" i="2"/>
  <c r="G30" i="2"/>
  <c r="K30" i="2"/>
  <c r="L30" i="2"/>
  <c r="O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K38" i="2"/>
  <c r="L38" i="2" s="1"/>
  <c r="N38" i="2"/>
  <c r="B39" i="2"/>
  <c r="C39" i="2"/>
  <c r="B40" i="2"/>
  <c r="C40" i="2"/>
  <c r="F40" i="2"/>
  <c r="G40" i="2"/>
  <c r="B41" i="2"/>
  <c r="C41" i="2"/>
  <c r="F41" i="2" s="1"/>
  <c r="B42" i="2"/>
  <c r="C42" i="2"/>
  <c r="G42" i="2"/>
  <c r="B43" i="2"/>
  <c r="C43" i="2"/>
  <c r="B44" i="2"/>
  <c r="C44" i="2"/>
  <c r="F44" i="2"/>
  <c r="G44" i="2"/>
  <c r="B45" i="2"/>
  <c r="C45" i="2"/>
  <c r="B46" i="2"/>
  <c r="C46" i="2"/>
  <c r="F46" i="2"/>
  <c r="G46" i="2"/>
  <c r="B47" i="2"/>
  <c r="C47" i="2"/>
  <c r="B48" i="2"/>
  <c r="C48" i="2"/>
  <c r="G48" i="2"/>
  <c r="B49" i="2"/>
  <c r="C49" i="2"/>
  <c r="B50" i="2"/>
  <c r="C50" i="2"/>
  <c r="F50" i="2" s="1"/>
  <c r="G50" i="2"/>
  <c r="B51" i="2"/>
  <c r="C51" i="2"/>
  <c r="G51" i="2"/>
  <c r="B52" i="2"/>
  <c r="C52" i="2"/>
  <c r="F52" i="2"/>
  <c r="G52" i="2"/>
  <c r="B53" i="2"/>
  <c r="C53" i="2"/>
  <c r="F53" i="2" s="1"/>
  <c r="B54" i="2"/>
  <c r="C54" i="2"/>
  <c r="B55" i="2"/>
  <c r="C55" i="2"/>
  <c r="F55" i="2" s="1"/>
  <c r="G55" i="2"/>
  <c r="B56" i="2"/>
  <c r="C56" i="2"/>
  <c r="F56" i="2"/>
  <c r="G56" i="2"/>
  <c r="B57" i="2"/>
  <c r="C57" i="2"/>
  <c r="G57" i="2" s="1"/>
  <c r="F57" i="2"/>
  <c r="B58" i="2"/>
  <c r="C58" i="2"/>
  <c r="B59" i="2"/>
  <c r="C59" i="2"/>
  <c r="F59" i="2"/>
  <c r="G59" i="2"/>
  <c r="B60" i="2"/>
  <c r="D60" i="2" s="1"/>
  <c r="C60" i="2"/>
  <c r="E60" i="2"/>
  <c r="F60" i="2"/>
  <c r="G60" i="2"/>
  <c r="B61" i="2"/>
  <c r="E61" i="2" s="1"/>
  <c r="E62" i="2" s="1"/>
  <c r="E63" i="2" s="1"/>
  <c r="E64" i="2" s="1"/>
  <c r="E65" i="2" s="1"/>
  <c r="C61" i="2"/>
  <c r="D61" i="2" s="1"/>
  <c r="D62" i="2" s="1"/>
  <c r="F62" i="2" s="1"/>
  <c r="K61" i="2"/>
  <c r="L61" i="2"/>
  <c r="M61" i="2" s="1"/>
  <c r="N61" i="2"/>
  <c r="O61" i="2"/>
  <c r="B62" i="2"/>
  <c r="C62" i="2"/>
  <c r="G62" i="2"/>
  <c r="H62" i="2"/>
  <c r="I62" i="2"/>
  <c r="B63" i="2"/>
  <c r="C63" i="2"/>
  <c r="B64" i="2"/>
  <c r="C64" i="2"/>
  <c r="G64" i="2" s="1"/>
  <c r="B65" i="2"/>
  <c r="C65" i="2"/>
  <c r="G65" i="2"/>
  <c r="H65" i="2"/>
  <c r="I65" i="2"/>
  <c r="B66" i="2"/>
  <c r="C66" i="2"/>
  <c r="F66" i="2" s="1"/>
  <c r="G66" i="2"/>
  <c r="H66" i="2"/>
  <c r="I66" i="2"/>
  <c r="B67" i="2"/>
  <c r="C67" i="2"/>
  <c r="B68" i="2"/>
  <c r="C68" i="2"/>
  <c r="G68" i="2" s="1"/>
  <c r="B69" i="2"/>
  <c r="C69" i="2"/>
  <c r="F69" i="2" s="1"/>
  <c r="G69" i="2"/>
  <c r="H69" i="2"/>
  <c r="I69" i="2"/>
  <c r="B70" i="2"/>
  <c r="C70" i="2"/>
  <c r="F70" i="2" s="1"/>
  <c r="G70" i="2"/>
  <c r="H70" i="2"/>
  <c r="I70" i="2"/>
  <c r="B71" i="2"/>
  <c r="C71" i="2"/>
  <c r="B72" i="2"/>
  <c r="C72" i="2"/>
  <c r="G72" i="2"/>
  <c r="B73" i="2"/>
  <c r="C73" i="2"/>
  <c r="F73" i="2" s="1"/>
  <c r="G73" i="2"/>
  <c r="H73" i="2"/>
  <c r="I73" i="2"/>
  <c r="B74" i="2"/>
  <c r="C74" i="2"/>
  <c r="G74" i="2" s="1"/>
  <c r="I74" i="2" s="1"/>
  <c r="H74" i="2"/>
  <c r="B75" i="2"/>
  <c r="C75" i="2"/>
  <c r="B76" i="2"/>
  <c r="C76" i="2"/>
  <c r="G76" i="2" s="1"/>
  <c r="B77" i="2"/>
  <c r="C77" i="2"/>
  <c r="G77" i="2"/>
  <c r="H77" i="2"/>
  <c r="I77" i="2"/>
  <c r="B78" i="2"/>
  <c r="C78" i="2"/>
  <c r="F78" i="2" s="1"/>
  <c r="B79" i="2"/>
  <c r="C79" i="2"/>
  <c r="B80" i="2"/>
  <c r="C80" i="2"/>
  <c r="B81" i="2"/>
  <c r="C81" i="2"/>
  <c r="B82" i="2"/>
  <c r="C82" i="2"/>
  <c r="B83" i="2"/>
  <c r="D83" i="2" s="1"/>
  <c r="C83" i="2"/>
  <c r="E83" i="2"/>
  <c r="B84" i="2"/>
  <c r="C84" i="2"/>
  <c r="K84" i="2"/>
  <c r="B85" i="2"/>
  <c r="C85" i="2"/>
  <c r="G85" i="2" s="1"/>
  <c r="B86" i="2"/>
  <c r="C86" i="2"/>
  <c r="F86" i="2" s="1"/>
  <c r="G86" i="2"/>
  <c r="I86" i="2" s="1"/>
  <c r="B87" i="2"/>
  <c r="C87" i="2"/>
  <c r="F87" i="2" s="1"/>
  <c r="G87" i="2"/>
  <c r="B88" i="2"/>
  <c r="C88" i="2"/>
  <c r="G88" i="2"/>
  <c r="I88" i="2" s="1"/>
  <c r="H88" i="2"/>
  <c r="B89" i="2"/>
  <c r="C89" i="2"/>
  <c r="F89" i="2" s="1"/>
  <c r="G89" i="2"/>
  <c r="B90" i="2"/>
  <c r="C90" i="2"/>
  <c r="F90" i="2" s="1"/>
  <c r="G90" i="2"/>
  <c r="I90" i="2" s="1"/>
  <c r="H90" i="2"/>
  <c r="B91" i="2"/>
  <c r="C91" i="2"/>
  <c r="G91" i="2" s="1"/>
  <c r="B92" i="2"/>
  <c r="C92" i="2"/>
  <c r="F92" i="2" s="1"/>
  <c r="B93" i="2"/>
  <c r="C93" i="2"/>
  <c r="F93" i="2" s="1"/>
  <c r="G93" i="2"/>
  <c r="I93" i="2" s="1"/>
  <c r="B94" i="2"/>
  <c r="C94" i="2"/>
  <c r="G94" i="2" s="1"/>
  <c r="B95" i="2"/>
  <c r="C95" i="2"/>
  <c r="F95" i="2" s="1"/>
  <c r="B96" i="2"/>
  <c r="C96" i="2"/>
  <c r="G96" i="2" s="1"/>
  <c r="F96" i="2"/>
  <c r="B97" i="2"/>
  <c r="C97" i="2"/>
  <c r="B98" i="2"/>
  <c r="C98" i="2"/>
  <c r="F98" i="2"/>
  <c r="G98" i="2"/>
  <c r="I98" i="2" s="1"/>
  <c r="H98" i="2"/>
  <c r="B99" i="2"/>
  <c r="C99" i="2"/>
  <c r="F99" i="2" s="1"/>
  <c r="G99" i="2"/>
  <c r="I99" i="2" s="1"/>
  <c r="H99" i="2"/>
  <c r="B100" i="2"/>
  <c r="C100" i="2"/>
  <c r="G100" i="2"/>
  <c r="H100" i="2" s="1"/>
  <c r="B101" i="2"/>
  <c r="C101" i="2"/>
  <c r="F101" i="2" s="1"/>
  <c r="G101" i="2"/>
  <c r="I101" i="2" s="1"/>
  <c r="H101" i="2"/>
  <c r="B102" i="2"/>
  <c r="C102" i="2"/>
  <c r="F102" i="2" s="1"/>
  <c r="G102" i="2"/>
  <c r="H102" i="2" s="1"/>
  <c r="B103" i="2"/>
  <c r="C103" i="2"/>
  <c r="F103" i="2" s="1"/>
  <c r="G103" i="2"/>
  <c r="I103" i="2" s="1"/>
  <c r="H103" i="2"/>
  <c r="B104" i="2"/>
  <c r="C104" i="2"/>
  <c r="F104" i="2" s="1"/>
  <c r="G104" i="2"/>
  <c r="H104" i="2"/>
  <c r="I104" i="2"/>
  <c r="B105" i="2"/>
  <c r="C105" i="2"/>
  <c r="B106" i="2"/>
  <c r="E106" i="2" s="1"/>
  <c r="C106" i="2"/>
  <c r="D106" i="2"/>
  <c r="D107" i="2" s="1"/>
  <c r="B107" i="2"/>
  <c r="C107" i="2"/>
  <c r="F107" i="2"/>
  <c r="G107" i="2"/>
  <c r="I107" i="2" s="1"/>
  <c r="H107" i="2"/>
  <c r="K107" i="2"/>
  <c r="N107" i="2" s="1"/>
  <c r="L107" i="2"/>
  <c r="O107" i="2"/>
  <c r="Q107" i="2"/>
  <c r="B108" i="2"/>
  <c r="D108" i="2" s="1"/>
  <c r="C108" i="2"/>
  <c r="B109" i="2"/>
  <c r="C109" i="2"/>
  <c r="B110" i="2"/>
  <c r="C110" i="2"/>
  <c r="G110" i="2" s="1"/>
  <c r="I110" i="2" s="1"/>
  <c r="F110" i="2"/>
  <c r="H110" i="2"/>
  <c r="B111" i="2"/>
  <c r="C111" i="2"/>
  <c r="G111" i="2" s="1"/>
  <c r="H111" i="2"/>
  <c r="I111" i="2"/>
  <c r="B112" i="2"/>
  <c r="C112" i="2"/>
  <c r="B113" i="2"/>
  <c r="C113" i="2"/>
  <c r="B114" i="2"/>
  <c r="C114" i="2"/>
  <c r="G114" i="2" s="1"/>
  <c r="I114" i="2" s="1"/>
  <c r="H114" i="2"/>
  <c r="B115" i="2"/>
  <c r="C115" i="2"/>
  <c r="G115" i="2" s="1"/>
  <c r="F115" i="2"/>
  <c r="H115" i="2"/>
  <c r="I115" i="2"/>
  <c r="B116" i="2"/>
  <c r="C116" i="2"/>
  <c r="B117" i="2"/>
  <c r="C117" i="2"/>
  <c r="B118" i="2"/>
  <c r="C118" i="2"/>
  <c r="F118" i="2"/>
  <c r="G118" i="2"/>
  <c r="B119" i="2"/>
  <c r="C119" i="2"/>
  <c r="F119" i="2"/>
  <c r="G119" i="2"/>
  <c r="B120" i="2"/>
  <c r="C120" i="2"/>
  <c r="F120" i="2"/>
  <c r="G120" i="2"/>
  <c r="B121" i="2"/>
  <c r="C121" i="2"/>
  <c r="F121" i="2"/>
  <c r="G121" i="2"/>
  <c r="B122" i="2"/>
  <c r="C122" i="2"/>
  <c r="G122" i="2" s="1"/>
  <c r="F122" i="2"/>
  <c r="B123" i="2"/>
  <c r="D123" i="2" s="1"/>
  <c r="C123" i="2"/>
  <c r="F123" i="2" s="1"/>
  <c r="E123" i="2"/>
  <c r="E124" i="2" s="1"/>
  <c r="E125" i="2" s="1"/>
  <c r="E126" i="2" s="1"/>
  <c r="E127" i="2" s="1"/>
  <c r="B124" i="2"/>
  <c r="C124" i="2"/>
  <c r="B125" i="2"/>
  <c r="C125" i="2"/>
  <c r="G125" i="2"/>
  <c r="B126" i="2"/>
  <c r="C126" i="2"/>
  <c r="F126" i="2"/>
  <c r="G126" i="2"/>
  <c r="B127" i="2"/>
  <c r="C127" i="2"/>
  <c r="G127" i="2" s="1"/>
  <c r="F127" i="2"/>
  <c r="B128" i="2"/>
  <c r="C128" i="2"/>
  <c r="B129" i="2"/>
  <c r="C129" i="2"/>
  <c r="F129" i="2" s="1"/>
  <c r="G129" i="2"/>
  <c r="B130" i="2"/>
  <c r="C130" i="2"/>
  <c r="F130" i="2"/>
  <c r="G130" i="2"/>
  <c r="B131" i="2"/>
  <c r="C131" i="2"/>
  <c r="G131" i="2" s="1"/>
  <c r="F131" i="2"/>
  <c r="B132" i="2"/>
  <c r="C132" i="2"/>
  <c r="B133" i="2"/>
  <c r="C133" i="2"/>
  <c r="F133" i="2" s="1"/>
  <c r="G133" i="2"/>
  <c r="B134" i="2"/>
  <c r="C134" i="2"/>
  <c r="F134" i="2"/>
  <c r="G134" i="2"/>
  <c r="B135" i="2"/>
  <c r="C135" i="2"/>
  <c r="G135" i="2" s="1"/>
  <c r="F135" i="2"/>
  <c r="B136" i="2"/>
  <c r="C136" i="2"/>
  <c r="B137" i="2"/>
  <c r="C137" i="2"/>
  <c r="F137" i="2" s="1"/>
  <c r="G137" i="2"/>
  <c r="B138" i="2"/>
  <c r="C138" i="2"/>
  <c r="F138" i="2"/>
  <c r="G138" i="2"/>
  <c r="B139" i="2"/>
  <c r="C139" i="2"/>
  <c r="G139" i="2" s="1"/>
  <c r="F139" i="2"/>
  <c r="B140" i="2"/>
  <c r="C140" i="2"/>
  <c r="B141" i="2"/>
  <c r="C141" i="2"/>
  <c r="F141" i="2"/>
  <c r="G141" i="2"/>
  <c r="H141" i="2" s="1"/>
  <c r="B142" i="2"/>
  <c r="C142" i="2"/>
  <c r="B143" i="2"/>
  <c r="C143" i="2"/>
  <c r="F143" i="2" s="1"/>
  <c r="B144" i="2"/>
  <c r="C144" i="2"/>
  <c r="F144" i="2"/>
  <c r="G144" i="2"/>
  <c r="B145" i="2"/>
  <c r="C145" i="2"/>
  <c r="F145" i="2"/>
  <c r="G145" i="2"/>
  <c r="H145" i="2" s="1"/>
  <c r="B146" i="2"/>
  <c r="C146" i="2"/>
  <c r="B147" i="2"/>
  <c r="C147" i="2"/>
  <c r="F147" i="2" s="1"/>
  <c r="B148" i="2"/>
  <c r="C148" i="2"/>
  <c r="F148" i="2"/>
  <c r="G148" i="2"/>
  <c r="B149" i="2"/>
  <c r="C149" i="2"/>
  <c r="F149" i="2"/>
  <c r="G149" i="2"/>
  <c r="H149" i="2" s="1"/>
  <c r="B150" i="2"/>
  <c r="C150" i="2"/>
  <c r="B151" i="2"/>
  <c r="C151" i="2"/>
  <c r="F151" i="2" s="1"/>
  <c r="B152" i="2"/>
  <c r="C152" i="2"/>
  <c r="F152" i="2"/>
  <c r="G152" i="2"/>
  <c r="B153" i="2"/>
  <c r="C153" i="2"/>
  <c r="F153" i="2"/>
  <c r="G153" i="2"/>
  <c r="H153" i="2" s="1"/>
  <c r="B154" i="2"/>
  <c r="C154" i="2"/>
  <c r="B155" i="2"/>
  <c r="C155" i="2"/>
  <c r="F155" i="2" s="1"/>
  <c r="B156" i="2"/>
  <c r="C156" i="2"/>
  <c r="F156" i="2"/>
  <c r="G156" i="2"/>
  <c r="B157" i="2"/>
  <c r="C157" i="2"/>
  <c r="F157" i="2"/>
  <c r="G157" i="2"/>
  <c r="H157" i="2" s="1"/>
  <c r="B158" i="2"/>
  <c r="C158" i="2"/>
  <c r="B159" i="2"/>
  <c r="C159" i="2"/>
  <c r="F159" i="2" s="1"/>
  <c r="B160" i="2"/>
  <c r="C160" i="2"/>
  <c r="F160" i="2"/>
  <c r="G160" i="2"/>
  <c r="B161" i="2"/>
  <c r="C161" i="2"/>
  <c r="G161" i="2"/>
  <c r="B162" i="2"/>
  <c r="C162" i="2"/>
  <c r="B163" i="2"/>
  <c r="C163" i="2"/>
  <c r="B164" i="2"/>
  <c r="C164" i="2"/>
  <c r="G164" i="2"/>
  <c r="B165" i="2"/>
  <c r="C165" i="2"/>
  <c r="G165" i="2"/>
  <c r="B166" i="2"/>
  <c r="C166" i="2"/>
  <c r="B167" i="2"/>
  <c r="C167" i="2"/>
  <c r="B168" i="2"/>
  <c r="C168" i="2"/>
  <c r="G168" i="2"/>
  <c r="B169" i="2"/>
  <c r="C169" i="2"/>
  <c r="G169" i="2"/>
  <c r="B170" i="2"/>
  <c r="C170" i="2"/>
  <c r="B14" i="1"/>
  <c r="D14" i="1" s="1"/>
  <c r="D15" i="1" s="1"/>
  <c r="C14" i="1"/>
  <c r="E14" i="1"/>
  <c r="E15" i="1" s="1"/>
  <c r="Q14" i="1"/>
  <c r="B15" i="1"/>
  <c r="C15" i="1"/>
  <c r="F15" i="1"/>
  <c r="G15" i="1"/>
  <c r="H15" i="1" s="1"/>
  <c r="Q15" i="1"/>
  <c r="B16" i="1"/>
  <c r="E16" i="1" s="1"/>
  <c r="C16" i="1"/>
  <c r="G16" i="1" s="1"/>
  <c r="D16" i="1"/>
  <c r="F16" i="1" s="1"/>
  <c r="Q16" i="1"/>
  <c r="B17" i="1"/>
  <c r="C17" i="1"/>
  <c r="E17" i="1"/>
  <c r="F17" i="1"/>
  <c r="G17" i="1"/>
  <c r="Q17" i="1"/>
  <c r="B18" i="1"/>
  <c r="C18" i="1"/>
  <c r="F18" i="1"/>
  <c r="G18" i="1"/>
  <c r="H18" i="1"/>
  <c r="I18" i="1"/>
  <c r="Q18" i="1"/>
  <c r="B19" i="1"/>
  <c r="C19" i="1"/>
  <c r="Q19" i="1"/>
  <c r="B20" i="1"/>
  <c r="C20" i="1"/>
  <c r="F20" i="1"/>
  <c r="G20" i="1"/>
  <c r="I20" i="1" s="1"/>
  <c r="H20" i="1"/>
  <c r="Q20" i="1"/>
  <c r="B21" i="1"/>
  <c r="C21" i="1"/>
  <c r="Q21" i="1"/>
  <c r="B22" i="1"/>
  <c r="C22" i="1"/>
  <c r="G22" i="1" s="1"/>
  <c r="F22" i="1"/>
  <c r="Q22" i="1"/>
  <c r="B23" i="1"/>
  <c r="C23" i="1"/>
  <c r="F23" i="1" s="1"/>
  <c r="D23" i="1"/>
  <c r="E23" i="1"/>
  <c r="G23" i="1"/>
  <c r="H23" i="1" s="1"/>
  <c r="Q23" i="1"/>
  <c r="B24" i="1"/>
  <c r="E24" i="1" s="1"/>
  <c r="C24" i="1"/>
  <c r="G24" i="1" s="1"/>
  <c r="D24" i="1"/>
  <c r="F24" i="1"/>
  <c r="K24" i="1"/>
  <c r="L24" i="1" s="1"/>
  <c r="M24" i="1"/>
  <c r="Q24" i="1"/>
  <c r="B25" i="1"/>
  <c r="D25" i="1" s="1"/>
  <c r="F25" i="1" s="1"/>
  <c r="C25" i="1"/>
  <c r="G25" i="1"/>
  <c r="I25" i="1" s="1"/>
  <c r="H25" i="1"/>
  <c r="J25" i="1" s="1"/>
  <c r="Q25" i="1"/>
  <c r="B26" i="1"/>
  <c r="C26" i="1"/>
  <c r="Q26" i="1"/>
  <c r="B27" i="1"/>
  <c r="C27" i="1"/>
  <c r="G27" i="1" s="1"/>
  <c r="F27" i="1"/>
  <c r="Q27" i="1"/>
  <c r="B28" i="1"/>
  <c r="C28" i="1"/>
  <c r="G28" i="1"/>
  <c r="H28" i="1" s="1"/>
  <c r="I28" i="1"/>
  <c r="Q28" i="1"/>
  <c r="B29" i="1"/>
  <c r="C29" i="1"/>
  <c r="G29" i="1" s="1"/>
  <c r="F29" i="1"/>
  <c r="Q29" i="1"/>
  <c r="B30" i="1"/>
  <c r="C30" i="1"/>
  <c r="F30" i="1"/>
  <c r="G30" i="1"/>
  <c r="H30" i="1" s="1"/>
  <c r="I30" i="1"/>
  <c r="K30" i="1"/>
  <c r="L30" i="1"/>
  <c r="M30" i="1" s="1"/>
  <c r="Q30" i="1"/>
  <c r="B31" i="1"/>
  <c r="C31" i="1"/>
  <c r="Q31" i="1"/>
  <c r="B32" i="1"/>
  <c r="C32" i="1"/>
  <c r="G32" i="1" s="1"/>
  <c r="I32" i="1" s="1"/>
  <c r="F32" i="1"/>
  <c r="Q32" i="1"/>
  <c r="B33" i="1"/>
  <c r="C33" i="1"/>
  <c r="G33" i="1" s="1"/>
  <c r="H33" i="1" s="1"/>
  <c r="I33" i="1"/>
  <c r="Q33" i="1"/>
  <c r="B34" i="1"/>
  <c r="C34" i="1"/>
  <c r="G34" i="1" s="1"/>
  <c r="Q34" i="1"/>
  <c r="B35" i="1"/>
  <c r="C35" i="1"/>
  <c r="F35" i="1"/>
  <c r="G35" i="1"/>
  <c r="H35" i="1" s="1"/>
  <c r="I35" i="1"/>
  <c r="Q35" i="1"/>
  <c r="B36" i="1"/>
  <c r="C36" i="1"/>
  <c r="F36" i="1"/>
  <c r="G36" i="1"/>
  <c r="H36" i="1"/>
  <c r="I36" i="1"/>
  <c r="Q36" i="1"/>
  <c r="B37" i="1"/>
  <c r="C37" i="1"/>
  <c r="Q37" i="1"/>
  <c r="B38" i="1"/>
  <c r="C38" i="1"/>
  <c r="F38" i="1"/>
  <c r="G38" i="1"/>
  <c r="I38" i="1" s="1"/>
  <c r="H38" i="1"/>
  <c r="Q38" i="1"/>
  <c r="B39" i="1"/>
  <c r="C39" i="1"/>
  <c r="F39" i="1" s="1"/>
  <c r="G39" i="1"/>
  <c r="H39" i="1" s="1"/>
  <c r="I39" i="1"/>
  <c r="Q39" i="1"/>
  <c r="B40" i="1"/>
  <c r="C40" i="1"/>
  <c r="G40" i="1" s="1"/>
  <c r="I40" i="1" s="1"/>
  <c r="Q40" i="1"/>
  <c r="B41" i="1"/>
  <c r="C41" i="1"/>
  <c r="F41" i="1"/>
  <c r="G41" i="1"/>
  <c r="H41" i="1" s="1"/>
  <c r="I41" i="1"/>
  <c r="Q41" i="1"/>
  <c r="B42" i="1"/>
  <c r="C42" i="1"/>
  <c r="F42" i="1" s="1"/>
  <c r="G42" i="1"/>
  <c r="H42" i="1" s="1"/>
  <c r="I42" i="1"/>
  <c r="Q42" i="1"/>
  <c r="B43" i="1"/>
  <c r="C43" i="1"/>
  <c r="F43" i="1" s="1"/>
  <c r="Q43" i="1"/>
  <c r="B44" i="1"/>
  <c r="C44" i="1"/>
  <c r="F44" i="1"/>
  <c r="G44" i="1"/>
  <c r="H44" i="1" s="1"/>
  <c r="I44" i="1"/>
  <c r="Q44" i="1"/>
  <c r="B45" i="1"/>
  <c r="C45" i="1"/>
  <c r="F45" i="1" s="1"/>
  <c r="Q45" i="1"/>
  <c r="B46" i="1"/>
  <c r="C46" i="1"/>
  <c r="D46" i="1"/>
  <c r="E46" i="1"/>
  <c r="F46" i="1"/>
  <c r="G46" i="1"/>
  <c r="I46" i="1" s="1"/>
  <c r="Q46" i="1"/>
  <c r="B47" i="1"/>
  <c r="E47" i="1" s="1"/>
  <c r="C47" i="1"/>
  <c r="G47" i="1" s="1"/>
  <c r="F47" i="1"/>
  <c r="K47" i="1"/>
  <c r="L47" i="1" s="1"/>
  <c r="Q47" i="1"/>
  <c r="B48" i="1"/>
  <c r="C48" i="1"/>
  <c r="Q48" i="1"/>
  <c r="B49" i="1"/>
  <c r="C49" i="1"/>
  <c r="F49" i="1"/>
  <c r="G49" i="1"/>
  <c r="Q49" i="1"/>
  <c r="B50" i="1"/>
  <c r="C50" i="1"/>
  <c r="Q50" i="1"/>
  <c r="B51" i="1"/>
  <c r="C51" i="1"/>
  <c r="G51" i="1"/>
  <c r="Q51" i="1"/>
  <c r="B52" i="1"/>
  <c r="C52" i="1"/>
  <c r="Q52" i="1"/>
  <c r="B53" i="1"/>
  <c r="C53" i="1"/>
  <c r="G53" i="1" s="1"/>
  <c r="H53" i="1" s="1"/>
  <c r="F53" i="1"/>
  <c r="I53" i="1"/>
  <c r="Q53" i="1"/>
  <c r="B54" i="1"/>
  <c r="C54" i="1"/>
  <c r="G54" i="1"/>
  <c r="H54" i="1" s="1"/>
  <c r="Q54" i="1"/>
  <c r="B55" i="1"/>
  <c r="C55" i="1"/>
  <c r="G55" i="1"/>
  <c r="H55" i="1" s="1"/>
  <c r="I55" i="1"/>
  <c r="Q55" i="1"/>
  <c r="B56" i="1"/>
  <c r="C56" i="1"/>
  <c r="F56" i="1" s="1"/>
  <c r="Q56" i="1"/>
  <c r="B57" i="1"/>
  <c r="C57" i="1"/>
  <c r="G57" i="1"/>
  <c r="H57" i="1" s="1"/>
  <c r="I57" i="1"/>
  <c r="Q57" i="1"/>
  <c r="B58" i="1"/>
  <c r="C58" i="1"/>
  <c r="F58" i="1" s="1"/>
  <c r="G58" i="1"/>
  <c r="H58" i="1" s="1"/>
  <c r="Q58" i="1"/>
  <c r="B59" i="1"/>
  <c r="C59" i="1"/>
  <c r="F59" i="1" s="1"/>
  <c r="G59" i="1"/>
  <c r="Q59" i="1"/>
  <c r="B60" i="1"/>
  <c r="C60" i="1"/>
  <c r="G60" i="1"/>
  <c r="I60" i="1" s="1"/>
  <c r="H60" i="1"/>
  <c r="Q60" i="1"/>
  <c r="B61" i="1"/>
  <c r="C61" i="1"/>
  <c r="Q61" i="1"/>
  <c r="B62" i="1"/>
  <c r="C62" i="1"/>
  <c r="F62" i="1"/>
  <c r="Q62" i="1"/>
  <c r="B63" i="1"/>
  <c r="C63" i="1"/>
  <c r="Q63" i="1"/>
  <c r="B64" i="1"/>
  <c r="C64" i="1"/>
  <c r="G64" i="1" s="1"/>
  <c r="F64" i="1"/>
  <c r="Q64" i="1"/>
  <c r="B65" i="1"/>
  <c r="C65" i="1"/>
  <c r="F65" i="1"/>
  <c r="G65" i="1"/>
  <c r="H65" i="1" s="1"/>
  <c r="Q65" i="1"/>
  <c r="B66" i="1"/>
  <c r="C66" i="1"/>
  <c r="F66" i="1" s="1"/>
  <c r="G66" i="1"/>
  <c r="H66" i="1" s="1"/>
  <c r="Q66" i="1"/>
  <c r="B67" i="1"/>
  <c r="C67" i="1"/>
  <c r="F67" i="1" s="1"/>
  <c r="G67" i="1"/>
  <c r="Q67" i="1"/>
  <c r="B68" i="1"/>
  <c r="C68" i="1"/>
  <c r="F68" i="1"/>
  <c r="G68" i="1"/>
  <c r="I68" i="1" s="1"/>
  <c r="H68" i="1"/>
  <c r="Q68" i="1"/>
  <c r="B69" i="1"/>
  <c r="D69" i="1" s="1"/>
  <c r="C69" i="1"/>
  <c r="E69" i="1"/>
  <c r="E70" i="1" s="1"/>
  <c r="Q69" i="1"/>
  <c r="B70" i="1"/>
  <c r="C70" i="1"/>
  <c r="D70" i="1" s="1"/>
  <c r="F70" i="1"/>
  <c r="K70" i="1"/>
  <c r="L70" i="1"/>
  <c r="M70" i="1" s="1"/>
  <c r="Q70" i="1"/>
  <c r="B71" i="1"/>
  <c r="E71" i="1" s="1"/>
  <c r="E72" i="1" s="1"/>
  <c r="C71" i="1"/>
  <c r="G71" i="1"/>
  <c r="H71" i="1" s="1"/>
  <c r="Q71" i="1"/>
  <c r="B72" i="1"/>
  <c r="C72" i="1"/>
  <c r="F72" i="1" s="1"/>
  <c r="G72" i="1"/>
  <c r="Q72" i="1"/>
  <c r="B73" i="1"/>
  <c r="C73" i="1"/>
  <c r="F73" i="1"/>
  <c r="G73" i="1"/>
  <c r="I73" i="1" s="1"/>
  <c r="H73" i="1"/>
  <c r="Q73" i="1"/>
  <c r="B74" i="1"/>
  <c r="C74" i="1"/>
  <c r="Q74" i="1"/>
  <c r="B75" i="1"/>
  <c r="C75" i="1"/>
  <c r="F75" i="1"/>
  <c r="Q75" i="1"/>
  <c r="B76" i="1"/>
  <c r="C76" i="1"/>
  <c r="Q76" i="1"/>
  <c r="B77" i="1"/>
  <c r="C77" i="1"/>
  <c r="G77" i="1" s="1"/>
  <c r="Q77" i="1"/>
  <c r="B78" i="1"/>
  <c r="C78" i="1"/>
  <c r="F78" i="1"/>
  <c r="G78" i="1"/>
  <c r="H78" i="1" s="1"/>
  <c r="I78" i="1"/>
  <c r="Q78" i="1"/>
  <c r="B79" i="1"/>
  <c r="C79" i="1"/>
  <c r="G79" i="1"/>
  <c r="H79" i="1" s="1"/>
  <c r="Q79" i="1"/>
  <c r="B80" i="1"/>
  <c r="C80" i="1"/>
  <c r="F80" i="1" s="1"/>
  <c r="G80" i="1"/>
  <c r="Q80" i="1"/>
  <c r="B81" i="1"/>
  <c r="C81" i="1"/>
  <c r="F81" i="1"/>
  <c r="G81" i="1"/>
  <c r="I81" i="1" s="1"/>
  <c r="H81" i="1"/>
  <c r="Q81" i="1"/>
  <c r="B82" i="1"/>
  <c r="C82" i="1"/>
  <c r="Q82" i="1"/>
  <c r="B83" i="1"/>
  <c r="C83" i="1"/>
  <c r="G83" i="1" s="1"/>
  <c r="I83" i="1" s="1"/>
  <c r="D83" i="1"/>
  <c r="E83" i="1"/>
  <c r="F83" i="1"/>
  <c r="H83" i="1"/>
  <c r="Q83" i="1"/>
  <c r="B84" i="1"/>
  <c r="D84" i="1" s="1"/>
  <c r="C84" i="1"/>
  <c r="K84" i="1"/>
  <c r="M84" i="1" s="1"/>
  <c r="L84" i="1"/>
  <c r="Q84" i="1"/>
  <c r="B85" i="1"/>
  <c r="D85" i="1" s="1"/>
  <c r="C85" i="1"/>
  <c r="F85" i="1" s="1"/>
  <c r="G85" i="1"/>
  <c r="Q85" i="1"/>
  <c r="B86" i="1"/>
  <c r="C86" i="1"/>
  <c r="F86" i="1"/>
  <c r="G86" i="1"/>
  <c r="I86" i="1" s="1"/>
  <c r="H86" i="1"/>
  <c r="Q86" i="1"/>
  <c r="B87" i="1"/>
  <c r="C87" i="1"/>
  <c r="Q87" i="1"/>
  <c r="B88" i="1"/>
  <c r="C88" i="1"/>
  <c r="Q88" i="1"/>
  <c r="B89" i="1"/>
  <c r="C89" i="1"/>
  <c r="Q89" i="1"/>
  <c r="B90" i="1"/>
  <c r="C90" i="1"/>
  <c r="G90" i="1" s="1"/>
  <c r="F90" i="1"/>
  <c r="Q90" i="1"/>
  <c r="B91" i="1"/>
  <c r="C91" i="1"/>
  <c r="G91" i="1"/>
  <c r="H91" i="1" s="1"/>
  <c r="Q91" i="1"/>
  <c r="B92" i="1"/>
  <c r="C92" i="1"/>
  <c r="F92" i="1" s="1"/>
  <c r="G92" i="1"/>
  <c r="H92" i="1" s="1"/>
  <c r="Q92" i="1"/>
  <c r="B93" i="1"/>
  <c r="C93" i="1"/>
  <c r="F93" i="1" s="1"/>
  <c r="G93" i="1"/>
  <c r="Q93" i="1"/>
  <c r="B94" i="1"/>
  <c r="C94" i="1"/>
  <c r="G94" i="1"/>
  <c r="I94" i="1" s="1"/>
  <c r="H94" i="1"/>
  <c r="Q94" i="1"/>
  <c r="B95" i="1"/>
  <c r="C95" i="1"/>
  <c r="Q95" i="1"/>
  <c r="B96" i="1"/>
  <c r="C96" i="1"/>
  <c r="F96" i="1"/>
  <c r="Q96" i="1"/>
  <c r="B97" i="1"/>
  <c r="C97" i="1"/>
  <c r="Q97" i="1"/>
  <c r="B98" i="1"/>
  <c r="C98" i="1"/>
  <c r="G98" i="1" s="1"/>
  <c r="F98" i="1"/>
  <c r="Q98" i="1"/>
  <c r="B99" i="1"/>
  <c r="C99" i="1"/>
  <c r="F99" i="1"/>
  <c r="G99" i="1"/>
  <c r="H99" i="1" s="1"/>
  <c r="I99" i="1"/>
  <c r="Q99" i="1"/>
  <c r="B100" i="1"/>
  <c r="C100" i="1"/>
  <c r="F100" i="1" s="1"/>
  <c r="G100" i="1"/>
  <c r="H100" i="1" s="1"/>
  <c r="Q100" i="1"/>
  <c r="B101" i="1"/>
  <c r="C101" i="1"/>
  <c r="F101" i="1" s="1"/>
  <c r="G101" i="1"/>
  <c r="Q101" i="1"/>
  <c r="B102" i="1"/>
  <c r="C102" i="1"/>
  <c r="F102" i="1"/>
  <c r="G102" i="1"/>
  <c r="I102" i="1" s="1"/>
  <c r="H102" i="1"/>
  <c r="Q102" i="1"/>
  <c r="B103" i="1"/>
  <c r="D103" i="1" s="1"/>
  <c r="C103" i="1"/>
  <c r="E103" i="1"/>
  <c r="E104" i="1" s="1"/>
  <c r="Q103" i="1"/>
  <c r="B104" i="1"/>
  <c r="C104" i="1"/>
  <c r="D104" i="1" s="1"/>
  <c r="F104" i="1"/>
  <c r="K104" i="1"/>
  <c r="L104" i="1"/>
  <c r="M104" i="1" s="1"/>
  <c r="Q104" i="1"/>
  <c r="B105" i="1"/>
  <c r="E105" i="1" s="1"/>
  <c r="C105" i="1"/>
  <c r="G105" i="1"/>
  <c r="Q105" i="1"/>
  <c r="B106" i="1"/>
  <c r="C106" i="1"/>
  <c r="F106" i="1" s="1"/>
  <c r="E106" i="1"/>
  <c r="E107" i="1" s="1"/>
  <c r="E108" i="1" s="1"/>
  <c r="E109" i="1" s="1"/>
  <c r="G106" i="1"/>
  <c r="Q106" i="1"/>
  <c r="B107" i="1"/>
  <c r="C107" i="1"/>
  <c r="F107" i="1"/>
  <c r="G107" i="1"/>
  <c r="I107" i="1" s="1"/>
  <c r="H107" i="1"/>
  <c r="Q107" i="1"/>
  <c r="B108" i="1"/>
  <c r="C108" i="1"/>
  <c r="Q108" i="1"/>
  <c r="B109" i="1"/>
  <c r="C109" i="1"/>
  <c r="F109" i="1"/>
  <c r="Q109" i="1"/>
  <c r="B110" i="1"/>
  <c r="C110" i="1"/>
  <c r="G110" i="1" s="1"/>
  <c r="H110" i="1" s="1"/>
  <c r="I110" i="1"/>
  <c r="Q110" i="1"/>
  <c r="B111" i="1"/>
  <c r="C111" i="1"/>
  <c r="G111" i="1" s="1"/>
  <c r="H111" i="1" s="1"/>
  <c r="I111" i="1"/>
  <c r="Q111" i="1"/>
  <c r="B112" i="1"/>
  <c r="C112" i="1"/>
  <c r="F112" i="1"/>
  <c r="G112" i="1"/>
  <c r="H112" i="1" s="1"/>
  <c r="Q112" i="1"/>
  <c r="B113" i="1"/>
  <c r="C113" i="1"/>
  <c r="F113" i="1" s="1"/>
  <c r="G113" i="1"/>
  <c r="Q113" i="1"/>
  <c r="B114" i="1"/>
  <c r="C114" i="1"/>
  <c r="G114" i="1"/>
  <c r="Q114" i="1"/>
  <c r="B115" i="1"/>
  <c r="C115" i="1"/>
  <c r="F115" i="1"/>
  <c r="G115" i="1"/>
  <c r="I115" i="1" s="1"/>
  <c r="H115" i="1"/>
  <c r="Q115" i="1"/>
  <c r="B116" i="1"/>
  <c r="C116" i="1"/>
  <c r="Q116" i="1"/>
  <c r="B117" i="1"/>
  <c r="C117" i="1"/>
  <c r="F117" i="1"/>
  <c r="Q117" i="1"/>
  <c r="B118" i="1"/>
  <c r="C118" i="1"/>
  <c r="G118" i="1" s="1"/>
  <c r="H118" i="1" s="1"/>
  <c r="F118" i="1"/>
  <c r="I118" i="1"/>
  <c r="Q118" i="1"/>
  <c r="B119" i="1"/>
  <c r="C119" i="1"/>
  <c r="G119" i="1" s="1"/>
  <c r="H119" i="1" s="1"/>
  <c r="F119" i="1"/>
  <c r="I119" i="1"/>
  <c r="Q119" i="1"/>
  <c r="B120" i="1"/>
  <c r="C120" i="1"/>
  <c r="D120" i="1"/>
  <c r="E120" i="1"/>
  <c r="F120" i="1"/>
  <c r="G120" i="1"/>
  <c r="H120" i="1" s="1"/>
  <c r="Q120" i="1"/>
  <c r="B121" i="1"/>
  <c r="C121" i="1"/>
  <c r="F121" i="1" s="1"/>
  <c r="D121" i="1"/>
  <c r="G121" i="1"/>
  <c r="H121" i="1" s="1"/>
  <c r="K121" i="1"/>
  <c r="L121" i="1" s="1"/>
  <c r="M121" i="1"/>
  <c r="Q121" i="1"/>
  <c r="B122" i="1"/>
  <c r="C122" i="1"/>
  <c r="G122" i="1" s="1"/>
  <c r="I122" i="1" s="1"/>
  <c r="D122" i="1"/>
  <c r="Q122" i="1"/>
  <c r="B123" i="1"/>
  <c r="D123" i="1" s="1"/>
  <c r="C123" i="1"/>
  <c r="G123" i="1" s="1"/>
  <c r="F123" i="1"/>
  <c r="Q123" i="1"/>
  <c r="B124" i="1"/>
  <c r="D124" i="1" s="1"/>
  <c r="D125" i="1" s="1"/>
  <c r="C124" i="1"/>
  <c r="G124" i="1" s="1"/>
  <c r="H124" i="1" s="1"/>
  <c r="I124" i="1"/>
  <c r="Q124" i="1"/>
  <c r="B125" i="1"/>
  <c r="C125" i="1"/>
  <c r="G125" i="1"/>
  <c r="H125" i="1" s="1"/>
  <c r="I125" i="1"/>
  <c r="Q125" i="1"/>
  <c r="B126" i="1"/>
  <c r="C126" i="1"/>
  <c r="F126" i="1" s="1"/>
  <c r="G126" i="1"/>
  <c r="H126" i="1"/>
  <c r="I126" i="1"/>
  <c r="Q126" i="1"/>
  <c r="B127" i="1"/>
  <c r="C127" i="1"/>
  <c r="F127" i="1" s="1"/>
  <c r="G127" i="1"/>
  <c r="Q127" i="1"/>
  <c r="B128" i="1"/>
  <c r="C128" i="1"/>
  <c r="G128" i="1"/>
  <c r="I128" i="1" s="1"/>
  <c r="Q128" i="1"/>
  <c r="B129" i="1"/>
  <c r="C129" i="1"/>
  <c r="Q129" i="1"/>
  <c r="B130" i="1"/>
  <c r="C130" i="1"/>
  <c r="G130" i="1" s="1"/>
  <c r="I130" i="1" s="1"/>
  <c r="F130" i="1"/>
  <c r="H130" i="1"/>
  <c r="Q130" i="1"/>
  <c r="B131" i="1"/>
  <c r="C131" i="1"/>
  <c r="F131" i="1"/>
  <c r="G131" i="1"/>
  <c r="H131" i="1"/>
  <c r="I131" i="1"/>
  <c r="Q131" i="1"/>
  <c r="B132" i="1"/>
  <c r="C132" i="1"/>
  <c r="G132" i="1" s="1"/>
  <c r="H132" i="1" s="1"/>
  <c r="F132" i="1"/>
  <c r="I132" i="1"/>
  <c r="Q132" i="1"/>
  <c r="B133" i="1"/>
  <c r="C133" i="1"/>
  <c r="F133" i="1"/>
  <c r="G133" i="1"/>
  <c r="H133" i="1" s="1"/>
  <c r="Q133" i="1"/>
  <c r="B134" i="1"/>
  <c r="C134" i="1"/>
  <c r="G134" i="1"/>
  <c r="H134" i="1" s="1"/>
  <c r="Q134" i="1"/>
  <c r="B135" i="1"/>
  <c r="C135" i="1"/>
  <c r="F135" i="1" s="1"/>
  <c r="Q135" i="1"/>
  <c r="B136" i="1"/>
  <c r="C136" i="1"/>
  <c r="F136" i="1"/>
  <c r="G136" i="1"/>
  <c r="I136" i="1" s="1"/>
  <c r="Q136" i="1"/>
  <c r="B137" i="1"/>
  <c r="C137" i="1"/>
  <c r="Q137" i="1"/>
  <c r="B138" i="1"/>
  <c r="C138" i="1"/>
  <c r="G138" i="1" s="1"/>
  <c r="I138" i="1" s="1"/>
  <c r="F138" i="1"/>
  <c r="H138" i="1"/>
  <c r="Q138" i="1"/>
  <c r="B139" i="1"/>
  <c r="C139" i="1"/>
  <c r="F139" i="1"/>
  <c r="G139" i="1"/>
  <c r="I139" i="1" s="1"/>
  <c r="H139" i="1"/>
  <c r="Q139" i="1"/>
  <c r="B140" i="1"/>
  <c r="C140" i="1"/>
  <c r="G140" i="1" s="1"/>
  <c r="H140" i="1" s="1"/>
  <c r="F140" i="1"/>
  <c r="I140" i="1"/>
  <c r="Q140" i="1"/>
  <c r="B141" i="1"/>
  <c r="C141" i="1"/>
  <c r="F141" i="1"/>
  <c r="G141" i="1"/>
  <c r="H141" i="1" s="1"/>
  <c r="I141" i="1"/>
  <c r="Q141" i="1"/>
  <c r="B142" i="1"/>
  <c r="C142" i="1"/>
  <c r="F142" i="1" s="1"/>
  <c r="G142" i="1"/>
  <c r="H142" i="1"/>
  <c r="I142" i="1"/>
  <c r="Q142" i="1"/>
  <c r="B143" i="1"/>
  <c r="C143" i="1"/>
  <c r="F143" i="1" s="1"/>
  <c r="G143" i="1"/>
  <c r="Q143" i="1"/>
  <c r="B144" i="1"/>
  <c r="C144" i="1"/>
  <c r="F144" i="1"/>
  <c r="G144" i="1"/>
  <c r="I144" i="1" s="1"/>
  <c r="H144" i="1"/>
  <c r="Q144" i="1"/>
  <c r="B145" i="1"/>
  <c r="C145" i="1"/>
  <c r="Q145" i="1"/>
  <c r="B146" i="1"/>
  <c r="C146" i="1"/>
  <c r="G146" i="1" s="1"/>
  <c r="I146" i="1" s="1"/>
  <c r="F146" i="1"/>
  <c r="Q146" i="1"/>
  <c r="B147" i="1"/>
  <c r="C147" i="1"/>
  <c r="G147" i="1" s="1"/>
  <c r="F147" i="1"/>
  <c r="Q147" i="1"/>
  <c r="B148" i="1"/>
  <c r="C148" i="1"/>
  <c r="G148" i="1" s="1"/>
  <c r="H148" i="1" s="1"/>
  <c r="Q148" i="1"/>
  <c r="B149" i="1"/>
  <c r="C149" i="1"/>
  <c r="F149" i="1"/>
  <c r="G149" i="1"/>
  <c r="H149" i="1" s="1"/>
  <c r="Q149" i="1"/>
  <c r="B150" i="1"/>
  <c r="C150" i="1"/>
  <c r="F150" i="1" s="1"/>
  <c r="G150" i="1"/>
  <c r="H150" i="1" s="1"/>
  <c r="I150" i="1"/>
  <c r="Q150" i="1"/>
  <c r="B151" i="1"/>
  <c r="C151" i="1"/>
  <c r="F151" i="1"/>
  <c r="G151" i="1"/>
  <c r="Q151" i="1"/>
  <c r="B152" i="1"/>
  <c r="C152" i="1"/>
  <c r="F152" i="1"/>
  <c r="G152" i="1"/>
  <c r="H152" i="1"/>
  <c r="I152" i="1"/>
  <c r="Q152" i="1"/>
  <c r="B153" i="1"/>
  <c r="C153" i="1"/>
  <c r="Q153" i="1"/>
  <c r="B154" i="1"/>
  <c r="C154" i="1"/>
  <c r="F154" i="1"/>
  <c r="G154" i="1"/>
  <c r="I154" i="1" s="1"/>
  <c r="Q154" i="1"/>
  <c r="B155" i="1"/>
  <c r="C155" i="1"/>
  <c r="G155" i="1" s="1"/>
  <c r="F155" i="1"/>
  <c r="Q155" i="1"/>
  <c r="B156" i="1"/>
  <c r="C156" i="1"/>
  <c r="F156" i="1"/>
  <c r="G156" i="1"/>
  <c r="H156" i="1" s="1"/>
  <c r="I156" i="1"/>
  <c r="Q156" i="1"/>
  <c r="B157" i="1"/>
  <c r="C157" i="1"/>
  <c r="F157" i="1"/>
  <c r="G157" i="1"/>
  <c r="H157" i="1" s="1"/>
  <c r="Q157" i="1"/>
  <c r="B158" i="1"/>
  <c r="C158" i="1"/>
  <c r="F158" i="1"/>
  <c r="G158" i="1"/>
  <c r="H158" i="1"/>
  <c r="I158" i="1"/>
  <c r="Q158" i="1"/>
  <c r="B159" i="1"/>
  <c r="C159" i="1"/>
  <c r="F159" i="1" s="1"/>
  <c r="Q159" i="1"/>
  <c r="B160" i="1"/>
  <c r="C160" i="1"/>
  <c r="F160" i="1"/>
  <c r="G160" i="1"/>
  <c r="H160" i="1" s="1"/>
  <c r="Q160" i="1"/>
  <c r="B161" i="1"/>
  <c r="C161" i="1"/>
  <c r="F161" i="1"/>
  <c r="G161" i="1"/>
  <c r="H161" i="1"/>
  <c r="I161" i="1"/>
  <c r="Q161" i="1"/>
  <c r="B162" i="1"/>
  <c r="C162" i="1"/>
  <c r="F162" i="1" s="1"/>
  <c r="Q162" i="1"/>
  <c r="B163" i="1"/>
  <c r="C163" i="1"/>
  <c r="F163" i="1"/>
  <c r="G163" i="1"/>
  <c r="I163" i="1" s="1"/>
  <c r="H163" i="1"/>
  <c r="Q163" i="1"/>
  <c r="B164" i="1"/>
  <c r="C164" i="1"/>
  <c r="G164" i="1" s="1"/>
  <c r="Q164" i="1"/>
  <c r="B165" i="1"/>
  <c r="C165" i="1"/>
  <c r="G165" i="1" s="1"/>
  <c r="F165" i="1"/>
  <c r="Q165" i="1"/>
  <c r="B166" i="1"/>
  <c r="C166" i="1"/>
  <c r="F166" i="1"/>
  <c r="G166" i="1"/>
  <c r="H166" i="1"/>
  <c r="I166" i="1"/>
  <c r="Q166" i="1"/>
  <c r="B167" i="1"/>
  <c r="C167" i="1"/>
  <c r="F167" i="1" s="1"/>
  <c r="Q167" i="1"/>
  <c r="B168" i="1"/>
  <c r="C168" i="1"/>
  <c r="F168" i="1"/>
  <c r="G168" i="1"/>
  <c r="H168" i="1" s="1"/>
  <c r="Q168" i="1"/>
  <c r="B169" i="1"/>
  <c r="C169" i="1"/>
  <c r="F169" i="1"/>
  <c r="G169" i="1"/>
  <c r="H169" i="1"/>
  <c r="I169" i="1"/>
  <c r="Q169" i="1"/>
  <c r="B170" i="1"/>
  <c r="C170" i="1"/>
  <c r="F170" i="1" s="1"/>
  <c r="Q170" i="1"/>
  <c r="G29" i="3" l="1"/>
  <c r="H29" i="3" s="1"/>
  <c r="F29" i="3"/>
  <c r="G22" i="3"/>
  <c r="F22" i="3"/>
  <c r="G99" i="3"/>
  <c r="G129" i="3"/>
  <c r="I129" i="3" s="1"/>
  <c r="F129" i="3"/>
  <c r="G133" i="3"/>
  <c r="F133" i="3"/>
  <c r="G136" i="3"/>
  <c r="I136" i="3" s="1"/>
  <c r="F136" i="3"/>
  <c r="G140" i="3"/>
  <c r="F140" i="3"/>
  <c r="G210" i="3"/>
  <c r="F210" i="3"/>
  <c r="G240" i="3"/>
  <c r="H240" i="3" s="1"/>
  <c r="F240" i="3"/>
  <c r="G393" i="3"/>
  <c r="F393" i="3"/>
  <c r="G397" i="3"/>
  <c r="I397" i="3" s="1"/>
  <c r="F397" i="3"/>
  <c r="G401" i="3"/>
  <c r="F401" i="3"/>
  <c r="G21" i="3"/>
  <c r="H21" i="3" s="1"/>
  <c r="G14" i="3"/>
  <c r="F14" i="3"/>
  <c r="G56" i="3"/>
  <c r="G39" i="3"/>
  <c r="H39" i="3" s="1"/>
  <c r="F96" i="3"/>
  <c r="G12" i="3"/>
  <c r="H12" i="3" s="1"/>
  <c r="G16" i="3"/>
  <c r="F16" i="3"/>
  <c r="G20" i="3"/>
  <c r="F20" i="3"/>
  <c r="G24" i="3"/>
  <c r="F24" i="3"/>
  <c r="G28" i="3"/>
  <c r="F28" i="3"/>
  <c r="G32" i="3"/>
  <c r="F32" i="3"/>
  <c r="G43" i="3"/>
  <c r="F43" i="3"/>
  <c r="G50" i="3"/>
  <c r="F50" i="3"/>
  <c r="G54" i="3"/>
  <c r="F54" i="3"/>
  <c r="G58" i="3"/>
  <c r="F58" i="3"/>
  <c r="G62" i="3"/>
  <c r="G70" i="3"/>
  <c r="H70" i="3" s="1"/>
  <c r="F70" i="3"/>
  <c r="G74" i="3"/>
  <c r="H74" i="3" s="1"/>
  <c r="F74" i="3"/>
  <c r="G85" i="3"/>
  <c r="G89" i="3"/>
  <c r="F89" i="3"/>
  <c r="G96" i="3"/>
  <c r="I96" i="3" s="1"/>
  <c r="G103" i="3"/>
  <c r="I103" i="3" s="1"/>
  <c r="G107" i="3"/>
  <c r="F107" i="3"/>
  <c r="G111" i="3"/>
  <c r="F111" i="3"/>
  <c r="G115" i="3"/>
  <c r="H115" i="3" s="1"/>
  <c r="F115" i="3"/>
  <c r="G119" i="3"/>
  <c r="H119" i="3" s="1"/>
  <c r="F119" i="3"/>
  <c r="G126" i="3"/>
  <c r="F126" i="3"/>
  <c r="G148" i="3"/>
  <c r="F148" i="3"/>
  <c r="G152" i="3"/>
  <c r="F152" i="3"/>
  <c r="G159" i="3"/>
  <c r="I159" i="3" s="1"/>
  <c r="G170" i="3"/>
  <c r="F170" i="3"/>
  <c r="G178" i="3"/>
  <c r="F178" i="3"/>
  <c r="G196" i="3"/>
  <c r="F196" i="3"/>
  <c r="G199" i="3"/>
  <c r="F199" i="3"/>
  <c r="G233" i="3"/>
  <c r="G371" i="3"/>
  <c r="F371" i="3"/>
  <c r="G13" i="3"/>
  <c r="H13" i="3" s="1"/>
  <c r="F13" i="3"/>
  <c r="G25" i="3"/>
  <c r="H25" i="3" s="1"/>
  <c r="F25" i="3"/>
  <c r="G26" i="3"/>
  <c r="H26" i="3" s="1"/>
  <c r="F26" i="3"/>
  <c r="G60" i="3"/>
  <c r="F60" i="3"/>
  <c r="G46" i="3"/>
  <c r="F46" i="3"/>
  <c r="G36" i="3"/>
  <c r="H36" i="3" s="1"/>
  <c r="G78" i="3"/>
  <c r="H78" i="3" s="1"/>
  <c r="G82" i="3"/>
  <c r="H82" i="3" s="1"/>
  <c r="G93" i="3"/>
  <c r="G100" i="3"/>
  <c r="F100" i="3"/>
  <c r="G123" i="3"/>
  <c r="I123" i="3" s="1"/>
  <c r="F123" i="3"/>
  <c r="G130" i="3"/>
  <c r="F130" i="3"/>
  <c r="G137" i="3"/>
  <c r="I137" i="3" s="1"/>
  <c r="F137" i="3"/>
  <c r="G156" i="3"/>
  <c r="F156" i="3"/>
  <c r="G186" i="3"/>
  <c r="F186" i="3"/>
  <c r="G207" i="3"/>
  <c r="F207" i="3"/>
  <c r="G211" i="3"/>
  <c r="F211" i="3"/>
  <c r="G215" i="3"/>
  <c r="F215" i="3"/>
  <c r="G241" i="3"/>
  <c r="H241" i="3" s="1"/>
  <c r="F241" i="3"/>
  <c r="G272" i="3"/>
  <c r="H272" i="3" s="1"/>
  <c r="F272" i="3"/>
  <c r="G360" i="3"/>
  <c r="F360" i="3"/>
  <c r="G17" i="3"/>
  <c r="H17" i="3" s="1"/>
  <c r="F17" i="3"/>
  <c r="G75" i="3"/>
  <c r="H75" i="3" s="1"/>
  <c r="F75" i="3"/>
  <c r="G86" i="3"/>
  <c r="H86" i="3" s="1"/>
  <c r="F86" i="3"/>
  <c r="G108" i="3"/>
  <c r="F108" i="3"/>
  <c r="G112" i="3"/>
  <c r="F112" i="3"/>
  <c r="G120" i="3"/>
  <c r="F120" i="3"/>
  <c r="G127" i="3"/>
  <c r="F127" i="3"/>
  <c r="G134" i="3"/>
  <c r="F134" i="3"/>
  <c r="G160" i="3"/>
  <c r="F160" i="3"/>
  <c r="G167" i="3"/>
  <c r="I167" i="3" s="1"/>
  <c r="F167" i="3"/>
  <c r="G171" i="3"/>
  <c r="I171" i="3" s="1"/>
  <c r="F171" i="3"/>
  <c r="G175" i="3"/>
  <c r="I175" i="3" s="1"/>
  <c r="F175" i="3"/>
  <c r="G179" i="3"/>
  <c r="I179" i="3" s="1"/>
  <c r="F179" i="3"/>
  <c r="G200" i="3"/>
  <c r="F200" i="3"/>
  <c r="G204" i="3"/>
  <c r="F204" i="3"/>
  <c r="G261" i="3"/>
  <c r="H261" i="3" s="1"/>
  <c r="F261" i="3"/>
  <c r="F265" i="3"/>
  <c r="G265" i="3"/>
  <c r="H265" i="3" s="1"/>
  <c r="G508" i="3"/>
  <c r="I508" i="3" s="1"/>
  <c r="F508" i="3"/>
  <c r="G512" i="3"/>
  <c r="F512" i="3"/>
  <c r="G516" i="3"/>
  <c r="F516" i="3"/>
  <c r="G520" i="3"/>
  <c r="F520" i="3"/>
  <c r="G524" i="3"/>
  <c r="I524" i="3" s="1"/>
  <c r="F524" i="3"/>
  <c r="G536" i="3"/>
  <c r="F536" i="3"/>
  <c r="G51" i="3"/>
  <c r="H51" i="3" s="1"/>
  <c r="F51" i="3"/>
  <c r="G55" i="3"/>
  <c r="H55" i="3" s="1"/>
  <c r="F55" i="3"/>
  <c r="G59" i="3"/>
  <c r="H59" i="3" s="1"/>
  <c r="F59" i="3"/>
  <c r="G67" i="3"/>
  <c r="H67" i="3" s="1"/>
  <c r="F67" i="3"/>
  <c r="G71" i="3"/>
  <c r="H71" i="3" s="1"/>
  <c r="F71" i="3"/>
  <c r="G90" i="3"/>
  <c r="F90" i="3"/>
  <c r="G104" i="3"/>
  <c r="F104" i="3"/>
  <c r="G116" i="3"/>
  <c r="I116" i="3" s="1"/>
  <c r="F116" i="3"/>
  <c r="G10" i="3"/>
  <c r="F10" i="3"/>
  <c r="G37" i="3"/>
  <c r="H37" i="3" s="1"/>
  <c r="F37" i="3"/>
  <c r="G41" i="3"/>
  <c r="F41" i="3"/>
  <c r="G44" i="3"/>
  <c r="F44" i="3"/>
  <c r="G48" i="3"/>
  <c r="F48" i="3"/>
  <c r="G79" i="3"/>
  <c r="H79" i="3" s="1"/>
  <c r="G83" i="3"/>
  <c r="H83" i="3" s="1"/>
  <c r="F83" i="3"/>
  <c r="G94" i="3"/>
  <c r="F94" i="3"/>
  <c r="G97" i="3"/>
  <c r="G101" i="3"/>
  <c r="I101" i="3" s="1"/>
  <c r="F101" i="3"/>
  <c r="G131" i="3"/>
  <c r="I131" i="3" s="1"/>
  <c r="F131" i="3"/>
  <c r="G164" i="3"/>
  <c r="I164" i="3" s="1"/>
  <c r="F164" i="3"/>
  <c r="G183" i="3"/>
  <c r="I183" i="3" s="1"/>
  <c r="F183" i="3"/>
  <c r="G194" i="3"/>
  <c r="F194" i="3"/>
  <c r="G197" i="3"/>
  <c r="I197" i="3" s="1"/>
  <c r="G212" i="3"/>
  <c r="F212" i="3"/>
  <c r="G219" i="3"/>
  <c r="F219" i="3"/>
  <c r="F277" i="3"/>
  <c r="G277" i="3"/>
  <c r="G327" i="3"/>
  <c r="F327" i="3"/>
  <c r="G109" i="3"/>
  <c r="F109" i="3"/>
  <c r="G113" i="3"/>
  <c r="F113" i="3"/>
  <c r="G117" i="3"/>
  <c r="H117" i="3" s="1"/>
  <c r="F117" i="3"/>
  <c r="G121" i="3"/>
  <c r="I121" i="3" s="1"/>
  <c r="F121" i="3"/>
  <c r="G124" i="3"/>
  <c r="I124" i="3" s="1"/>
  <c r="G135" i="3"/>
  <c r="F135" i="3"/>
  <c r="G146" i="3"/>
  <c r="F146" i="3"/>
  <c r="G154" i="3"/>
  <c r="F154" i="3"/>
  <c r="G168" i="3"/>
  <c r="F168" i="3"/>
  <c r="G172" i="3"/>
  <c r="I172" i="3" s="1"/>
  <c r="F172" i="3"/>
  <c r="G176" i="3"/>
  <c r="F176" i="3"/>
  <c r="G180" i="3"/>
  <c r="F180" i="3"/>
  <c r="G187" i="3"/>
  <c r="I187" i="3" s="1"/>
  <c r="G191" i="3"/>
  <c r="I191" i="3" s="1"/>
  <c r="F191" i="3"/>
  <c r="G201" i="3"/>
  <c r="F201" i="3"/>
  <c r="G205" i="3"/>
  <c r="F205" i="3"/>
  <c r="G216" i="3"/>
  <c r="G262" i="3"/>
  <c r="F262" i="3"/>
  <c r="G270" i="3"/>
  <c r="H270" i="3" s="1"/>
  <c r="F270" i="3"/>
  <c r="G446" i="3"/>
  <c r="F446" i="3"/>
  <c r="G33" i="3"/>
  <c r="H33" i="3" s="1"/>
  <c r="G30" i="3"/>
  <c r="F76" i="3"/>
  <c r="G105" i="3"/>
  <c r="I105" i="3" s="1"/>
  <c r="F105" i="3"/>
  <c r="G38" i="3"/>
  <c r="H38" i="3" s="1"/>
  <c r="F38" i="3"/>
  <c r="G45" i="3"/>
  <c r="H45" i="3" s="1"/>
  <c r="F45" i="3"/>
  <c r="G98" i="3"/>
  <c r="F98" i="3"/>
  <c r="G102" i="3"/>
  <c r="G128" i="3"/>
  <c r="I128" i="3" s="1"/>
  <c r="F128" i="3"/>
  <c r="G139" i="3"/>
  <c r="F139" i="3"/>
  <c r="G184" i="3"/>
  <c r="F184" i="3"/>
  <c r="G213" i="3"/>
  <c r="F213" i="3"/>
  <c r="G220" i="3"/>
  <c r="F220" i="3"/>
  <c r="G243" i="3"/>
  <c r="F243" i="3"/>
  <c r="G247" i="3"/>
  <c r="F247" i="3"/>
  <c r="G251" i="3"/>
  <c r="F251" i="3"/>
  <c r="G255" i="3"/>
  <c r="H255" i="3" s="1"/>
  <c r="F255" i="3"/>
  <c r="G419" i="3"/>
  <c r="F419" i="3"/>
  <c r="G18" i="3"/>
  <c r="F18" i="3"/>
  <c r="G34" i="3"/>
  <c r="F34" i="3"/>
  <c r="G52" i="3"/>
  <c r="I52" i="3" s="1"/>
  <c r="F52" i="3"/>
  <c r="G11" i="3"/>
  <c r="H11" i="3" s="1"/>
  <c r="F11" i="3"/>
  <c r="G15" i="3"/>
  <c r="H15" i="3" s="1"/>
  <c r="F15" i="3"/>
  <c r="G19" i="3"/>
  <c r="H19" i="3" s="1"/>
  <c r="F19" i="3"/>
  <c r="G23" i="3"/>
  <c r="H23" i="3" s="1"/>
  <c r="F23" i="3"/>
  <c r="G27" i="3"/>
  <c r="H27" i="3" s="1"/>
  <c r="F27" i="3"/>
  <c r="G31" i="3"/>
  <c r="H31" i="3" s="1"/>
  <c r="F31" i="3"/>
  <c r="G35" i="3"/>
  <c r="F35" i="3"/>
  <c r="G42" i="3"/>
  <c r="I42" i="3" s="1"/>
  <c r="G53" i="3"/>
  <c r="H53" i="3" s="1"/>
  <c r="G57" i="3"/>
  <c r="H57" i="3" s="1"/>
  <c r="F57" i="3"/>
  <c r="G61" i="3"/>
  <c r="H61" i="3" s="1"/>
  <c r="F61" i="3"/>
  <c r="G69" i="3"/>
  <c r="F69" i="3"/>
  <c r="G77" i="3"/>
  <c r="F77" i="3"/>
  <c r="G106" i="3"/>
  <c r="F106" i="3"/>
  <c r="G110" i="3"/>
  <c r="I110" i="3" s="1"/>
  <c r="G114" i="3"/>
  <c r="I114" i="3" s="1"/>
  <c r="F114" i="3"/>
  <c r="G118" i="3"/>
  <c r="F118" i="3"/>
  <c r="G125" i="3"/>
  <c r="I125" i="3" s="1"/>
  <c r="F125" i="3"/>
  <c r="G143" i="3"/>
  <c r="F143" i="3"/>
  <c r="G147" i="3"/>
  <c r="F147" i="3"/>
  <c r="G151" i="3"/>
  <c r="I151" i="3" s="1"/>
  <c r="F151" i="3"/>
  <c r="G162" i="3"/>
  <c r="F162" i="3"/>
  <c r="G188" i="3"/>
  <c r="F188" i="3"/>
  <c r="G192" i="3"/>
  <c r="F192" i="3"/>
  <c r="G202" i="3"/>
  <c r="F202" i="3"/>
  <c r="G217" i="3"/>
  <c r="F217" i="3"/>
  <c r="G259" i="3"/>
  <c r="F259" i="3"/>
  <c r="G263" i="3"/>
  <c r="F263" i="3"/>
  <c r="G301" i="3"/>
  <c r="H301" i="3" s="1"/>
  <c r="F301" i="3"/>
  <c r="G305" i="3"/>
  <c r="H305" i="3" s="1"/>
  <c r="F305" i="3"/>
  <c r="G279" i="3"/>
  <c r="G326" i="3"/>
  <c r="G370" i="3"/>
  <c r="I370" i="3" s="1"/>
  <c r="G476" i="3"/>
  <c r="I476" i="3" s="1"/>
  <c r="F561" i="3"/>
  <c r="F553" i="3"/>
  <c r="F545" i="3"/>
  <c r="F537" i="3"/>
  <c r="F521" i="3"/>
  <c r="F513" i="3"/>
  <c r="F505" i="3"/>
  <c r="F489" i="3"/>
  <c r="F473" i="3"/>
  <c r="F441" i="3"/>
  <c r="F425" i="3"/>
  <c r="F417" i="3"/>
  <c r="F409" i="3"/>
  <c r="F385" i="3"/>
  <c r="F369" i="3"/>
  <c r="F321" i="3"/>
  <c r="F313" i="3"/>
  <c r="F289" i="3"/>
  <c r="F281" i="3"/>
  <c r="F273" i="3"/>
  <c r="F249" i="3"/>
  <c r="F560" i="3"/>
  <c r="F552" i="3"/>
  <c r="F544" i="3"/>
  <c r="F496" i="3"/>
  <c r="F488" i="3"/>
  <c r="F480" i="3"/>
  <c r="F440" i="3"/>
  <c r="F424" i="3"/>
  <c r="F416" i="3"/>
  <c r="F408" i="3"/>
  <c r="F400" i="3"/>
  <c r="F320" i="3"/>
  <c r="F312" i="3"/>
  <c r="F304" i="3"/>
  <c r="F296" i="3"/>
  <c r="F288" i="3"/>
  <c r="F280" i="3"/>
  <c r="F264" i="3"/>
  <c r="F256" i="3"/>
  <c r="F248" i="3"/>
  <c r="F559" i="3"/>
  <c r="F551" i="3"/>
  <c r="F535" i="3"/>
  <c r="F527" i="3"/>
  <c r="F511" i="3"/>
  <c r="F503" i="3"/>
  <c r="F495" i="3"/>
  <c r="F439" i="3"/>
  <c r="F431" i="3"/>
  <c r="F423" i="3"/>
  <c r="F383" i="3"/>
  <c r="F367" i="3"/>
  <c r="F319" i="3"/>
  <c r="F311" i="3"/>
  <c r="F303" i="3"/>
  <c r="F558" i="3"/>
  <c r="F550" i="3"/>
  <c r="F542" i="3"/>
  <c r="F534" i="3"/>
  <c r="F526" i="3"/>
  <c r="F518" i="3"/>
  <c r="F510" i="3"/>
  <c r="F494" i="3"/>
  <c r="F486" i="3"/>
  <c r="F438" i="3"/>
  <c r="F430" i="3"/>
  <c r="F422" i="3"/>
  <c r="F414" i="3"/>
  <c r="F406" i="3"/>
  <c r="F398" i="3"/>
  <c r="F334" i="3"/>
  <c r="F318" i="3"/>
  <c r="F310" i="3"/>
  <c r="F302" i="3"/>
  <c r="F278" i="3"/>
  <c r="F254" i="3"/>
  <c r="F246" i="3"/>
  <c r="G298" i="3"/>
  <c r="H298" i="3" s="1"/>
  <c r="G379" i="3"/>
  <c r="H379" i="3" s="1"/>
  <c r="G413" i="3"/>
  <c r="G443" i="3"/>
  <c r="I443" i="3" s="1"/>
  <c r="F557" i="3"/>
  <c r="F541" i="3"/>
  <c r="F525" i="3"/>
  <c r="F517" i="3"/>
  <c r="F509" i="3"/>
  <c r="F501" i="3"/>
  <c r="F493" i="3"/>
  <c r="F445" i="3"/>
  <c r="F429" i="3"/>
  <c r="F421" i="3"/>
  <c r="F373" i="3"/>
  <c r="F365" i="3"/>
  <c r="F325" i="3"/>
  <c r="F317" i="3"/>
  <c r="F309" i="3"/>
  <c r="F285" i="3"/>
  <c r="F269" i="3"/>
  <c r="F253" i="3"/>
  <c r="F245" i="3"/>
  <c r="F564" i="3"/>
  <c r="F556" i="3"/>
  <c r="F492" i="3"/>
  <c r="F444" i="3"/>
  <c r="F428" i="3"/>
  <c r="F412" i="3"/>
  <c r="F404" i="3"/>
  <c r="F396" i="3"/>
  <c r="F388" i="3"/>
  <c r="F364" i="3"/>
  <c r="F356" i="3"/>
  <c r="F332" i="3"/>
  <c r="F324" i="3"/>
  <c r="F284" i="3"/>
  <c r="F276" i="3"/>
  <c r="F268" i="3"/>
  <c r="F260" i="3"/>
  <c r="F252" i="3"/>
  <c r="F244" i="3"/>
  <c r="G275" i="3"/>
  <c r="H275" i="3" s="1"/>
  <c r="F563" i="3"/>
  <c r="F547" i="3"/>
  <c r="F523" i="3"/>
  <c r="F515" i="3"/>
  <c r="F507" i="3"/>
  <c r="F499" i="3"/>
  <c r="F491" i="3"/>
  <c r="F475" i="3"/>
  <c r="F427" i="3"/>
  <c r="F411" i="3"/>
  <c r="F403" i="3"/>
  <c r="F395" i="3"/>
  <c r="F387" i="3"/>
  <c r="F323" i="3"/>
  <c r="F315" i="3"/>
  <c r="F307" i="3"/>
  <c r="F299" i="3"/>
  <c r="F562" i="3"/>
  <c r="F554" i="3"/>
  <c r="F546" i="3"/>
  <c r="F522" i="3"/>
  <c r="F514" i="3"/>
  <c r="F490" i="3"/>
  <c r="F482" i="3"/>
  <c r="F442" i="3"/>
  <c r="F434" i="3"/>
  <c r="F426" i="3"/>
  <c r="F410" i="3"/>
  <c r="F402" i="3"/>
  <c r="F386" i="3"/>
  <c r="F354" i="3"/>
  <c r="F322" i="3"/>
  <c r="F282" i="3"/>
  <c r="F274" i="3"/>
  <c r="F250" i="3"/>
  <c r="I118" i="3"/>
  <c r="H118" i="3"/>
  <c r="H383" i="3"/>
  <c r="I383" i="3"/>
  <c r="G68" i="3"/>
  <c r="H68" i="3" s="1"/>
  <c r="H122" i="3"/>
  <c r="G141" i="3"/>
  <c r="G169" i="3"/>
  <c r="I169" i="3" s="1"/>
  <c r="G208" i="3"/>
  <c r="I208" i="3" s="1"/>
  <c r="G234" i="3"/>
  <c r="G266" i="3"/>
  <c r="G306" i="3"/>
  <c r="I314" i="3"/>
  <c r="G458" i="3"/>
  <c r="I458" i="3" s="1"/>
  <c r="G500" i="3"/>
  <c r="G531" i="3"/>
  <c r="H131" i="3"/>
  <c r="G432" i="3"/>
  <c r="G466" i="3"/>
  <c r="G528" i="3"/>
  <c r="I528" i="3" s="1"/>
  <c r="G40" i="3"/>
  <c r="H40" i="3" s="1"/>
  <c r="G66" i="3"/>
  <c r="H66" i="3" s="1"/>
  <c r="G145" i="3"/>
  <c r="I145" i="3" s="1"/>
  <c r="G173" i="3"/>
  <c r="I173" i="3" s="1"/>
  <c r="G203" i="3"/>
  <c r="G258" i="3"/>
  <c r="H258" i="3" s="1"/>
  <c r="G293" i="3"/>
  <c r="H293" i="3" s="1"/>
  <c r="G328" i="3"/>
  <c r="G337" i="3"/>
  <c r="I337" i="3" s="1"/>
  <c r="G374" i="3"/>
  <c r="I374" i="3" s="1"/>
  <c r="I377" i="3"/>
  <c r="G380" i="3"/>
  <c r="G405" i="3"/>
  <c r="G498" i="3"/>
  <c r="I498" i="3" s="1"/>
  <c r="G506" i="3"/>
  <c r="G519" i="3"/>
  <c r="H121" i="3"/>
  <c r="G161" i="3"/>
  <c r="I161" i="3" s="1"/>
  <c r="I276" i="3"/>
  <c r="G436" i="3"/>
  <c r="I436" i="3" s="1"/>
  <c r="G452" i="3"/>
  <c r="G474" i="3"/>
  <c r="G504" i="3"/>
  <c r="I115" i="3"/>
  <c r="I117" i="3"/>
  <c r="G132" i="3"/>
  <c r="I132" i="3" s="1"/>
  <c r="G149" i="3"/>
  <c r="I149" i="3" s="1"/>
  <c r="G177" i="3"/>
  <c r="I177" i="3" s="1"/>
  <c r="G368" i="3"/>
  <c r="I368" i="3" s="1"/>
  <c r="G418" i="3"/>
  <c r="G64" i="3"/>
  <c r="H64" i="3" s="1"/>
  <c r="H111" i="3"/>
  <c r="I111" i="3"/>
  <c r="I541" i="3"/>
  <c r="H541" i="3"/>
  <c r="I134" i="3"/>
  <c r="H134" i="3"/>
  <c r="H422" i="3"/>
  <c r="I422" i="3"/>
  <c r="I518" i="3"/>
  <c r="H518" i="3"/>
  <c r="I126" i="3"/>
  <c r="H126" i="3"/>
  <c r="I319" i="3"/>
  <c r="H319" i="3"/>
  <c r="I439" i="3"/>
  <c r="H439" i="3"/>
  <c r="I488" i="3"/>
  <c r="H488" i="3"/>
  <c r="I492" i="3"/>
  <c r="H492" i="3"/>
  <c r="I512" i="3"/>
  <c r="H512" i="3"/>
  <c r="I516" i="3"/>
  <c r="H516" i="3"/>
  <c r="H113" i="3"/>
  <c r="I113" i="3"/>
  <c r="I323" i="3"/>
  <c r="H323" i="3"/>
  <c r="H130" i="3"/>
  <c r="I130" i="3"/>
  <c r="I120" i="3"/>
  <c r="H120" i="3"/>
  <c r="I490" i="3"/>
  <c r="H490" i="3"/>
  <c r="I510" i="3"/>
  <c r="H510" i="3"/>
  <c r="I514" i="3"/>
  <c r="H514" i="3"/>
  <c r="H124" i="3"/>
  <c r="G153" i="3"/>
  <c r="I153" i="3" s="1"/>
  <c r="G189" i="3"/>
  <c r="I189" i="3" s="1"/>
  <c r="G238" i="3"/>
  <c r="H238" i="3" s="1"/>
  <c r="G329" i="3"/>
  <c r="I331" i="3"/>
  <c r="G372" i="3"/>
  <c r="I372" i="3" s="1"/>
  <c r="G375" i="3"/>
  <c r="H375" i="3" s="1"/>
  <c r="G447" i="3"/>
  <c r="G462" i="3"/>
  <c r="H462" i="3" s="1"/>
  <c r="H494" i="3"/>
  <c r="H502" i="3"/>
  <c r="H129" i="3"/>
  <c r="H137" i="3"/>
  <c r="G214" i="3"/>
  <c r="H214" i="3" s="1"/>
  <c r="G366" i="3"/>
  <c r="I366" i="3" s="1"/>
  <c r="G450" i="3"/>
  <c r="G453" i="3"/>
  <c r="I453" i="3" s="1"/>
  <c r="G456" i="3"/>
  <c r="G472" i="3"/>
  <c r="G483" i="3"/>
  <c r="I483" i="3" s="1"/>
  <c r="I33" i="3"/>
  <c r="G478" i="3"/>
  <c r="H486" i="3"/>
  <c r="G47" i="3"/>
  <c r="H47" i="3" s="1"/>
  <c r="G88" i="3"/>
  <c r="H136" i="3"/>
  <c r="G157" i="3"/>
  <c r="I157" i="3" s="1"/>
  <c r="G185" i="3"/>
  <c r="I185" i="3" s="1"/>
  <c r="H198" i="3"/>
  <c r="H206" i="3"/>
  <c r="G242" i="3"/>
  <c r="H242" i="3" s="1"/>
  <c r="G330" i="3"/>
  <c r="G448" i="3"/>
  <c r="G454" i="3"/>
  <c r="G457" i="3"/>
  <c r="I457" i="3" s="1"/>
  <c r="G470" i="3"/>
  <c r="G481" i="3"/>
  <c r="H481" i="3" s="1"/>
  <c r="G484" i="3"/>
  <c r="I484" i="3" s="1"/>
  <c r="G530" i="3"/>
  <c r="I530" i="3" s="1"/>
  <c r="G533" i="3"/>
  <c r="G549" i="3"/>
  <c r="H125" i="3"/>
  <c r="G464" i="3"/>
  <c r="I489" i="3"/>
  <c r="G63" i="3"/>
  <c r="H63" i="3" s="1"/>
  <c r="H109" i="3"/>
  <c r="I109" i="3"/>
  <c r="H16" i="3"/>
  <c r="I16" i="3"/>
  <c r="H32" i="3"/>
  <c r="I32" i="3"/>
  <c r="I10" i="3"/>
  <c r="H10" i="3"/>
  <c r="J10" i="3" s="1"/>
  <c r="H20" i="3"/>
  <c r="I20" i="3"/>
  <c r="H30" i="3"/>
  <c r="I30" i="3"/>
  <c r="H107" i="3"/>
  <c r="I107" i="3"/>
  <c r="H22" i="3"/>
  <c r="I22" i="3"/>
  <c r="H24" i="3"/>
  <c r="I24" i="3"/>
  <c r="H34" i="3"/>
  <c r="I34" i="3"/>
  <c r="H14" i="3"/>
  <c r="I14" i="3"/>
  <c r="H18" i="3"/>
  <c r="I18" i="3"/>
  <c r="H28" i="3"/>
  <c r="I28" i="3"/>
  <c r="H42" i="3"/>
  <c r="G76" i="3"/>
  <c r="H76" i="3" s="1"/>
  <c r="I36" i="3"/>
  <c r="I40" i="3"/>
  <c r="G72" i="3"/>
  <c r="H72" i="3" s="1"/>
  <c r="I25" i="3"/>
  <c r="G80" i="3"/>
  <c r="H80" i="3" s="1"/>
  <c r="E11" i="3"/>
  <c r="E12" i="3" s="1"/>
  <c r="I43" i="3"/>
  <c r="H43" i="3"/>
  <c r="I46" i="3"/>
  <c r="H46" i="3"/>
  <c r="I54" i="3"/>
  <c r="H54" i="3"/>
  <c r="I62" i="3"/>
  <c r="H62" i="3"/>
  <c r="I12" i="3"/>
  <c r="I37" i="3"/>
  <c r="I21" i="3"/>
  <c r="I39" i="3"/>
  <c r="I48" i="3"/>
  <c r="H48" i="3"/>
  <c r="I56" i="3"/>
  <c r="H56" i="3"/>
  <c r="H69" i="3"/>
  <c r="I69" i="3"/>
  <c r="I89" i="3"/>
  <c r="H89" i="3"/>
  <c r="I11" i="3"/>
  <c r="I19" i="3"/>
  <c r="I17" i="3"/>
  <c r="I27" i="3"/>
  <c r="I50" i="3"/>
  <c r="H50" i="3"/>
  <c r="I58" i="3"/>
  <c r="H58" i="3"/>
  <c r="H77" i="3"/>
  <c r="I77" i="3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I13" i="3"/>
  <c r="I15" i="3"/>
  <c r="I29" i="3"/>
  <c r="I31" i="3"/>
  <c r="I44" i="3"/>
  <c r="H44" i="3"/>
  <c r="H52" i="3"/>
  <c r="I60" i="3"/>
  <c r="H60" i="3"/>
  <c r="H85" i="3"/>
  <c r="I85" i="3"/>
  <c r="I93" i="3"/>
  <c r="H93" i="3"/>
  <c r="I45" i="3"/>
  <c r="I49" i="3"/>
  <c r="I51" i="3"/>
  <c r="I53" i="3"/>
  <c r="I55" i="3"/>
  <c r="I57" i="3"/>
  <c r="I59" i="3"/>
  <c r="I61" i="3"/>
  <c r="G65" i="3"/>
  <c r="G73" i="3"/>
  <c r="I74" i="3"/>
  <c r="G81" i="3"/>
  <c r="I82" i="3"/>
  <c r="G87" i="3"/>
  <c r="G91" i="3"/>
  <c r="G95" i="3"/>
  <c r="I106" i="3"/>
  <c r="H106" i="3"/>
  <c r="I112" i="3"/>
  <c r="H112" i="3"/>
  <c r="I88" i="3"/>
  <c r="H88" i="3"/>
  <c r="I92" i="3"/>
  <c r="H92" i="3"/>
  <c r="H96" i="3"/>
  <c r="I98" i="3"/>
  <c r="H98" i="3"/>
  <c r="I100" i="3"/>
  <c r="H100" i="3"/>
  <c r="L43" i="3"/>
  <c r="M43" i="3" s="1"/>
  <c r="I63" i="3"/>
  <c r="I71" i="3"/>
  <c r="I79" i="3"/>
  <c r="I108" i="3"/>
  <c r="H108" i="3"/>
  <c r="I70" i="3"/>
  <c r="I86" i="3"/>
  <c r="I97" i="3"/>
  <c r="H97" i="3"/>
  <c r="I99" i="3"/>
  <c r="H99" i="3"/>
  <c r="I102" i="3"/>
  <c r="H102" i="3"/>
  <c r="I76" i="3"/>
  <c r="I84" i="3"/>
  <c r="I90" i="3"/>
  <c r="H90" i="3"/>
  <c r="I94" i="3"/>
  <c r="H94" i="3"/>
  <c r="I104" i="3"/>
  <c r="H104" i="3"/>
  <c r="H110" i="3"/>
  <c r="I67" i="3"/>
  <c r="I75" i="3"/>
  <c r="I83" i="3"/>
  <c r="H116" i="3"/>
  <c r="I178" i="3"/>
  <c r="H178" i="3"/>
  <c r="I202" i="3"/>
  <c r="H202" i="3"/>
  <c r="I205" i="3"/>
  <c r="H205" i="3"/>
  <c r="I210" i="3"/>
  <c r="H210" i="3"/>
  <c r="H220" i="3"/>
  <c r="I220" i="3"/>
  <c r="H101" i="3"/>
  <c r="H103" i="3"/>
  <c r="H105" i="3"/>
  <c r="I147" i="3"/>
  <c r="H147" i="3"/>
  <c r="I170" i="3"/>
  <c r="H170" i="3"/>
  <c r="I192" i="3"/>
  <c r="H192" i="3"/>
  <c r="I217" i="3"/>
  <c r="H217" i="3"/>
  <c r="G144" i="3"/>
  <c r="I156" i="3"/>
  <c r="H156" i="3"/>
  <c r="I162" i="3"/>
  <c r="H162" i="3"/>
  <c r="I184" i="3"/>
  <c r="H184" i="3"/>
  <c r="G138" i="3"/>
  <c r="I146" i="3"/>
  <c r="H146" i="3"/>
  <c r="I148" i="3"/>
  <c r="H148" i="3"/>
  <c r="I154" i="3"/>
  <c r="H154" i="3"/>
  <c r="I176" i="3"/>
  <c r="H176" i="3"/>
  <c r="I200" i="3"/>
  <c r="H200" i="3"/>
  <c r="I211" i="3"/>
  <c r="H211" i="3"/>
  <c r="H114" i="3"/>
  <c r="H123" i="3"/>
  <c r="I168" i="3"/>
  <c r="H168" i="3"/>
  <c r="I215" i="3"/>
  <c r="H215" i="3"/>
  <c r="I160" i="3"/>
  <c r="H160" i="3"/>
  <c r="I196" i="3"/>
  <c r="H196" i="3"/>
  <c r="I201" i="3"/>
  <c r="H201" i="3"/>
  <c r="I212" i="3"/>
  <c r="H212" i="3"/>
  <c r="I139" i="3"/>
  <c r="H139" i="3"/>
  <c r="G142" i="3"/>
  <c r="I143" i="3"/>
  <c r="H143" i="3"/>
  <c r="I152" i="3"/>
  <c r="H152" i="3"/>
  <c r="I188" i="3"/>
  <c r="H188" i="3"/>
  <c r="I194" i="3"/>
  <c r="H194" i="3"/>
  <c r="I204" i="3"/>
  <c r="H204" i="3"/>
  <c r="I219" i="3"/>
  <c r="H219" i="3"/>
  <c r="I141" i="3"/>
  <c r="H141" i="3"/>
  <c r="I180" i="3"/>
  <c r="H180" i="3"/>
  <c r="I186" i="3"/>
  <c r="H186" i="3"/>
  <c r="I213" i="3"/>
  <c r="H213" i="3"/>
  <c r="G150" i="3"/>
  <c r="H151" i="3"/>
  <c r="G158" i="3"/>
  <c r="G166" i="3"/>
  <c r="H167" i="3"/>
  <c r="G174" i="3"/>
  <c r="H175" i="3"/>
  <c r="G182" i="3"/>
  <c r="H183" i="3"/>
  <c r="G190" i="3"/>
  <c r="H191" i="3"/>
  <c r="G209" i="3"/>
  <c r="G224" i="3"/>
  <c r="G228" i="3"/>
  <c r="G232" i="3"/>
  <c r="H246" i="3"/>
  <c r="I246" i="3"/>
  <c r="H260" i="3"/>
  <c r="I260" i="3"/>
  <c r="H263" i="3"/>
  <c r="I263" i="3"/>
  <c r="H274" i="3"/>
  <c r="I274" i="3"/>
  <c r="H216" i="3"/>
  <c r="I216" i="3"/>
  <c r="H244" i="3"/>
  <c r="I244" i="3"/>
  <c r="H252" i="3"/>
  <c r="I252" i="3"/>
  <c r="I255" i="3"/>
  <c r="H149" i="3"/>
  <c r="H157" i="3"/>
  <c r="H165" i="3"/>
  <c r="H173" i="3"/>
  <c r="H181" i="3"/>
  <c r="H189" i="3"/>
  <c r="H197" i="3"/>
  <c r="G223" i="3"/>
  <c r="G227" i="3"/>
  <c r="G231" i="3"/>
  <c r="H247" i="3"/>
  <c r="I247" i="3"/>
  <c r="H264" i="3"/>
  <c r="I264" i="3"/>
  <c r="I199" i="3"/>
  <c r="H199" i="3"/>
  <c r="H234" i="3"/>
  <c r="I234" i="3"/>
  <c r="H236" i="3"/>
  <c r="I236" i="3"/>
  <c r="H256" i="3"/>
  <c r="I256" i="3"/>
  <c r="H155" i="3"/>
  <c r="H163" i="3"/>
  <c r="H171" i="3"/>
  <c r="H179" i="3"/>
  <c r="H187" i="3"/>
  <c r="H195" i="3"/>
  <c r="H208" i="3"/>
  <c r="G222" i="3"/>
  <c r="G226" i="3"/>
  <c r="G230" i="3"/>
  <c r="H248" i="3"/>
  <c r="I248" i="3"/>
  <c r="H282" i="3"/>
  <c r="I282" i="3"/>
  <c r="I203" i="3"/>
  <c r="H203" i="3"/>
  <c r="I214" i="3"/>
  <c r="H218" i="3"/>
  <c r="I218" i="3"/>
  <c r="H145" i="3"/>
  <c r="H161" i="3"/>
  <c r="H177" i="3"/>
  <c r="H185" i="3"/>
  <c r="H193" i="3"/>
  <c r="G221" i="3"/>
  <c r="G225" i="3"/>
  <c r="G229" i="3"/>
  <c r="I233" i="3"/>
  <c r="H233" i="3"/>
  <c r="G235" i="3"/>
  <c r="H259" i="3"/>
  <c r="I259" i="3"/>
  <c r="H262" i="3"/>
  <c r="I262" i="3"/>
  <c r="I207" i="3"/>
  <c r="H207" i="3"/>
  <c r="H243" i="3"/>
  <c r="I243" i="3"/>
  <c r="H251" i="3"/>
  <c r="I251" i="3"/>
  <c r="H254" i="3"/>
  <c r="I254" i="3"/>
  <c r="I238" i="3"/>
  <c r="I240" i="3"/>
  <c r="I241" i="3"/>
  <c r="I249" i="3"/>
  <c r="I257" i="3"/>
  <c r="I265" i="3"/>
  <c r="G267" i="3"/>
  <c r="I271" i="3"/>
  <c r="H273" i="3"/>
  <c r="I273" i="3"/>
  <c r="G286" i="3"/>
  <c r="I288" i="3"/>
  <c r="I290" i="3"/>
  <c r="G291" i="3"/>
  <c r="H303" i="3"/>
  <c r="I303" i="3"/>
  <c r="H311" i="3"/>
  <c r="I311" i="3"/>
  <c r="H269" i="3"/>
  <c r="I269" i="3"/>
  <c r="I284" i="3"/>
  <c r="H294" i="3"/>
  <c r="I294" i="3"/>
  <c r="G237" i="3"/>
  <c r="G239" i="3"/>
  <c r="I280" i="3"/>
  <c r="H299" i="3"/>
  <c r="I299" i="3"/>
  <c r="H304" i="3"/>
  <c r="I304" i="3"/>
  <c r="H312" i="3"/>
  <c r="I312" i="3"/>
  <c r="I278" i="3"/>
  <c r="G287" i="3"/>
  <c r="I245" i="3"/>
  <c r="I253" i="3"/>
  <c r="I261" i="3"/>
  <c r="I272" i="3"/>
  <c r="G283" i="3"/>
  <c r="H289" i="3"/>
  <c r="I289" i="3"/>
  <c r="I320" i="3"/>
  <c r="H320" i="3"/>
  <c r="I268" i="3"/>
  <c r="H285" i="3"/>
  <c r="I285" i="3"/>
  <c r="H296" i="3"/>
  <c r="I296" i="3"/>
  <c r="H281" i="3"/>
  <c r="I281" i="3"/>
  <c r="G295" i="3"/>
  <c r="H302" i="3"/>
  <c r="I302" i="3"/>
  <c r="H307" i="3"/>
  <c r="I307" i="3"/>
  <c r="H310" i="3"/>
  <c r="I310" i="3"/>
  <c r="H315" i="3"/>
  <c r="I315" i="3"/>
  <c r="I250" i="3"/>
  <c r="I258" i="3"/>
  <c r="I275" i="3"/>
  <c r="H277" i="3"/>
  <c r="I277" i="3"/>
  <c r="H297" i="3"/>
  <c r="I297" i="3"/>
  <c r="G292" i="3"/>
  <c r="I293" i="3"/>
  <c r="G300" i="3"/>
  <c r="I301" i="3"/>
  <c r="G308" i="3"/>
  <c r="I309" i="3"/>
  <c r="G316" i="3"/>
  <c r="G346" i="3"/>
  <c r="I324" i="3"/>
  <c r="H324" i="3"/>
  <c r="I332" i="3"/>
  <c r="H332" i="3"/>
  <c r="G350" i="3"/>
  <c r="I328" i="3"/>
  <c r="H328" i="3"/>
  <c r="I336" i="3"/>
  <c r="H336" i="3"/>
  <c r="I305" i="3"/>
  <c r="I313" i="3"/>
  <c r="H321" i="3"/>
  <c r="I322" i="3"/>
  <c r="H322" i="3"/>
  <c r="I354" i="3"/>
  <c r="H354" i="3"/>
  <c r="H317" i="3"/>
  <c r="H325" i="3"/>
  <c r="I326" i="3"/>
  <c r="H326" i="3"/>
  <c r="H333" i="3"/>
  <c r="I333" i="3"/>
  <c r="I318" i="3"/>
  <c r="H318" i="3"/>
  <c r="G335" i="3"/>
  <c r="G342" i="3"/>
  <c r="H337" i="3"/>
  <c r="I393" i="3"/>
  <c r="H393" i="3"/>
  <c r="I369" i="3"/>
  <c r="H369" i="3"/>
  <c r="I334" i="3"/>
  <c r="H334" i="3"/>
  <c r="G341" i="3"/>
  <c r="G345" i="3"/>
  <c r="G349" i="3"/>
  <c r="G353" i="3"/>
  <c r="I373" i="3"/>
  <c r="H373" i="3"/>
  <c r="G338" i="3"/>
  <c r="G339" i="3"/>
  <c r="G340" i="3"/>
  <c r="G344" i="3"/>
  <c r="G348" i="3"/>
  <c r="G352" i="3"/>
  <c r="I356" i="3"/>
  <c r="H356" i="3"/>
  <c r="I358" i="3"/>
  <c r="H358" i="3"/>
  <c r="I360" i="3"/>
  <c r="H360" i="3"/>
  <c r="I362" i="3"/>
  <c r="H362" i="3"/>
  <c r="I364" i="3"/>
  <c r="H364" i="3"/>
  <c r="I367" i="3"/>
  <c r="H367" i="3"/>
  <c r="I330" i="3"/>
  <c r="H330" i="3"/>
  <c r="I385" i="3"/>
  <c r="H385" i="3"/>
  <c r="G343" i="3"/>
  <c r="G347" i="3"/>
  <c r="G351" i="3"/>
  <c r="G355" i="3"/>
  <c r="I371" i="3"/>
  <c r="H371" i="3"/>
  <c r="G357" i="3"/>
  <c r="G359" i="3"/>
  <c r="G361" i="3"/>
  <c r="G363" i="3"/>
  <c r="I365" i="3"/>
  <c r="H365" i="3"/>
  <c r="H386" i="3"/>
  <c r="I386" i="3"/>
  <c r="G376" i="3"/>
  <c r="I384" i="3"/>
  <c r="I400" i="3"/>
  <c r="H400" i="3"/>
  <c r="I404" i="3"/>
  <c r="H404" i="3"/>
  <c r="H412" i="3"/>
  <c r="I412" i="3"/>
  <c r="G382" i="3"/>
  <c r="I387" i="3"/>
  <c r="H387" i="3"/>
  <c r="H410" i="3"/>
  <c r="I410" i="3"/>
  <c r="H366" i="3"/>
  <c r="H368" i="3"/>
  <c r="H370" i="3"/>
  <c r="H372" i="3"/>
  <c r="H374" i="3"/>
  <c r="I379" i="3"/>
  <c r="I388" i="3"/>
  <c r="I389" i="3"/>
  <c r="H389" i="3"/>
  <c r="G390" i="3"/>
  <c r="G392" i="3"/>
  <c r="I401" i="3"/>
  <c r="H401" i="3"/>
  <c r="G378" i="3"/>
  <c r="G391" i="3"/>
  <c r="I375" i="3"/>
  <c r="G381" i="3"/>
  <c r="I395" i="3"/>
  <c r="H395" i="3"/>
  <c r="I398" i="3"/>
  <c r="H398" i="3"/>
  <c r="I402" i="3"/>
  <c r="H402" i="3"/>
  <c r="H408" i="3"/>
  <c r="I408" i="3"/>
  <c r="H416" i="3"/>
  <c r="I416" i="3"/>
  <c r="G394" i="3"/>
  <c r="I403" i="3"/>
  <c r="H403" i="3"/>
  <c r="H406" i="3"/>
  <c r="I406" i="3"/>
  <c r="H414" i="3"/>
  <c r="I414" i="3"/>
  <c r="I396" i="3"/>
  <c r="H396" i="3"/>
  <c r="H409" i="3"/>
  <c r="I409" i="3"/>
  <c r="H417" i="3"/>
  <c r="I417" i="3"/>
  <c r="I411" i="3"/>
  <c r="I420" i="3"/>
  <c r="I424" i="3"/>
  <c r="I429" i="3"/>
  <c r="H429" i="3"/>
  <c r="I430" i="3"/>
  <c r="H430" i="3"/>
  <c r="G433" i="3"/>
  <c r="I442" i="3"/>
  <c r="H442" i="3"/>
  <c r="G399" i="3"/>
  <c r="G435" i="3"/>
  <c r="H397" i="3"/>
  <c r="I445" i="3"/>
  <c r="H445" i="3"/>
  <c r="I419" i="3"/>
  <c r="H419" i="3"/>
  <c r="I427" i="3"/>
  <c r="H427" i="3"/>
  <c r="I428" i="3"/>
  <c r="H428" i="3"/>
  <c r="I407" i="3"/>
  <c r="I415" i="3"/>
  <c r="I423" i="3"/>
  <c r="H423" i="3"/>
  <c r="I440" i="3"/>
  <c r="H440" i="3"/>
  <c r="I431" i="3"/>
  <c r="H431" i="3"/>
  <c r="I432" i="3"/>
  <c r="H432" i="3"/>
  <c r="I446" i="3"/>
  <c r="H446" i="3"/>
  <c r="I425" i="3"/>
  <c r="H425" i="3"/>
  <c r="I426" i="3"/>
  <c r="H426" i="3"/>
  <c r="I434" i="3"/>
  <c r="H434" i="3"/>
  <c r="I441" i="3"/>
  <c r="H441" i="3"/>
  <c r="I421" i="3"/>
  <c r="H421" i="3"/>
  <c r="G437" i="3"/>
  <c r="G449" i="3"/>
  <c r="G460" i="3"/>
  <c r="G461" i="3"/>
  <c r="G467" i="3"/>
  <c r="I468" i="3"/>
  <c r="H468" i="3"/>
  <c r="I475" i="3"/>
  <c r="G477" i="3"/>
  <c r="H483" i="3"/>
  <c r="G471" i="3"/>
  <c r="I472" i="3"/>
  <c r="H472" i="3"/>
  <c r="I450" i="3"/>
  <c r="H450" i="3"/>
  <c r="G451" i="3"/>
  <c r="G465" i="3"/>
  <c r="I466" i="3"/>
  <c r="H466" i="3"/>
  <c r="I452" i="3"/>
  <c r="H452" i="3"/>
  <c r="I474" i="3"/>
  <c r="H474" i="3"/>
  <c r="H436" i="3"/>
  <c r="H438" i="3"/>
  <c r="I454" i="3"/>
  <c r="H454" i="3"/>
  <c r="G455" i="3"/>
  <c r="G469" i="3"/>
  <c r="I470" i="3"/>
  <c r="H470" i="3"/>
  <c r="I478" i="3"/>
  <c r="H478" i="3"/>
  <c r="I482" i="3"/>
  <c r="H482" i="3"/>
  <c r="I448" i="3"/>
  <c r="H448" i="3"/>
  <c r="I456" i="3"/>
  <c r="H456" i="3"/>
  <c r="G463" i="3"/>
  <c r="I464" i="3"/>
  <c r="H464" i="3"/>
  <c r="H473" i="3"/>
  <c r="I473" i="3"/>
  <c r="I444" i="3"/>
  <c r="H444" i="3"/>
  <c r="H457" i="3"/>
  <c r="G459" i="3"/>
  <c r="I503" i="3"/>
  <c r="H503" i="3"/>
  <c r="H476" i="3"/>
  <c r="I481" i="3"/>
  <c r="I491" i="3"/>
  <c r="I495" i="3"/>
  <c r="G485" i="3"/>
  <c r="I496" i="3"/>
  <c r="H496" i="3"/>
  <c r="I500" i="3"/>
  <c r="H500" i="3"/>
  <c r="I535" i="3"/>
  <c r="H535" i="3"/>
  <c r="H480" i="3"/>
  <c r="H484" i="3"/>
  <c r="I493" i="3"/>
  <c r="G479" i="3"/>
  <c r="G487" i="3"/>
  <c r="G497" i="3"/>
  <c r="I499" i="3"/>
  <c r="H499" i="3"/>
  <c r="I501" i="3"/>
  <c r="H501" i="3"/>
  <c r="I520" i="3"/>
  <c r="H520" i="3"/>
  <c r="I511" i="3"/>
  <c r="H511" i="3"/>
  <c r="I505" i="3"/>
  <c r="H505" i="3"/>
  <c r="I526" i="3"/>
  <c r="H526" i="3"/>
  <c r="G532" i="3"/>
  <c r="I546" i="3"/>
  <c r="H546" i="3"/>
  <c r="I513" i="3"/>
  <c r="H513" i="3"/>
  <c r="I527" i="3"/>
  <c r="H527" i="3"/>
  <c r="I534" i="3"/>
  <c r="H534" i="3"/>
  <c r="G540" i="3"/>
  <c r="I509" i="3"/>
  <c r="H509" i="3"/>
  <c r="G529" i="3"/>
  <c r="I542" i="3"/>
  <c r="H542" i="3"/>
  <c r="H508" i="3"/>
  <c r="I515" i="3"/>
  <c r="H515" i="3"/>
  <c r="I523" i="3"/>
  <c r="H523" i="3"/>
  <c r="H524" i="3"/>
  <c r="I533" i="3"/>
  <c r="H533" i="3"/>
  <c r="I562" i="3"/>
  <c r="H562" i="3"/>
  <c r="I507" i="3"/>
  <c r="H507" i="3"/>
  <c r="I521" i="3"/>
  <c r="H521" i="3"/>
  <c r="I522" i="3"/>
  <c r="H522" i="3"/>
  <c r="I531" i="3"/>
  <c r="H531" i="3"/>
  <c r="I517" i="3"/>
  <c r="H517" i="3"/>
  <c r="G548" i="3"/>
  <c r="I556" i="3"/>
  <c r="H556" i="3"/>
  <c r="I544" i="3"/>
  <c r="H544" i="3"/>
  <c r="I554" i="3"/>
  <c r="H554" i="3"/>
  <c r="I558" i="3"/>
  <c r="H558" i="3"/>
  <c r="I560" i="3"/>
  <c r="H560" i="3"/>
  <c r="G539" i="3"/>
  <c r="G538" i="3"/>
  <c r="I547" i="3"/>
  <c r="H547" i="3"/>
  <c r="G555" i="3"/>
  <c r="I563" i="3"/>
  <c r="H563" i="3"/>
  <c r="I519" i="3"/>
  <c r="H519" i="3"/>
  <c r="I525" i="3"/>
  <c r="H525" i="3"/>
  <c r="I537" i="3"/>
  <c r="H537" i="3"/>
  <c r="I545" i="3"/>
  <c r="H545" i="3"/>
  <c r="I551" i="3"/>
  <c r="H551" i="3"/>
  <c r="I553" i="3"/>
  <c r="H553" i="3"/>
  <c r="I561" i="3"/>
  <c r="H561" i="3"/>
  <c r="I564" i="3"/>
  <c r="H564" i="3"/>
  <c r="I550" i="3"/>
  <c r="H550" i="3"/>
  <c r="H557" i="3"/>
  <c r="I536" i="3"/>
  <c r="H536" i="3"/>
  <c r="H543" i="3"/>
  <c r="I552" i="3"/>
  <c r="H552" i="3"/>
  <c r="H559" i="3"/>
  <c r="H565" i="3"/>
  <c r="H165" i="1"/>
  <c r="I165" i="1"/>
  <c r="H155" i="1"/>
  <c r="I155" i="1"/>
  <c r="F125" i="1"/>
  <c r="D126" i="1"/>
  <c r="D127" i="1" s="1"/>
  <c r="I164" i="1"/>
  <c r="H164" i="1"/>
  <c r="H147" i="1"/>
  <c r="I147" i="1"/>
  <c r="H123" i="1"/>
  <c r="I123" i="1"/>
  <c r="F129" i="1"/>
  <c r="G129" i="1"/>
  <c r="H165" i="2"/>
  <c r="I165" i="2"/>
  <c r="F50" i="1"/>
  <c r="G50" i="1"/>
  <c r="H17" i="1"/>
  <c r="I17" i="1"/>
  <c r="G48" i="1"/>
  <c r="G31" i="1"/>
  <c r="H127" i="1"/>
  <c r="I127" i="1"/>
  <c r="F76" i="1"/>
  <c r="G76" i="1"/>
  <c r="F162" i="2"/>
  <c r="G162" i="2"/>
  <c r="G117" i="1"/>
  <c r="G63" i="1"/>
  <c r="D128" i="1"/>
  <c r="F128" i="1" s="1"/>
  <c r="G109" i="1"/>
  <c r="I149" i="1"/>
  <c r="H136" i="1"/>
  <c r="E121" i="1"/>
  <c r="E122" i="1" s="1"/>
  <c r="I112" i="1"/>
  <c r="F110" i="1"/>
  <c r="I91" i="1"/>
  <c r="H90" i="1"/>
  <c r="I90" i="1"/>
  <c r="F87" i="1"/>
  <c r="G87" i="1"/>
  <c r="D86" i="1"/>
  <c r="E86" i="1"/>
  <c r="E87" i="1" s="1"/>
  <c r="E88" i="1" s="1"/>
  <c r="F82" i="1"/>
  <c r="G82" i="1"/>
  <c r="H77" i="1"/>
  <c r="I77" i="1"/>
  <c r="G74" i="1"/>
  <c r="E73" i="1"/>
  <c r="E74" i="1" s="1"/>
  <c r="E75" i="1" s="1"/>
  <c r="I65" i="1"/>
  <c r="F170" i="2"/>
  <c r="G170" i="2"/>
  <c r="F116" i="1"/>
  <c r="G116" i="1"/>
  <c r="H101" i="1"/>
  <c r="I101" i="1"/>
  <c r="D87" i="1"/>
  <c r="F69" i="1"/>
  <c r="G69" i="1"/>
  <c r="H64" i="1"/>
  <c r="I64" i="1"/>
  <c r="F61" i="1"/>
  <c r="G61" i="1"/>
  <c r="I51" i="1"/>
  <c r="H51" i="1"/>
  <c r="H49" i="1"/>
  <c r="I49" i="1"/>
  <c r="F167" i="2"/>
  <c r="G167" i="2"/>
  <c r="H151" i="1"/>
  <c r="I151" i="1"/>
  <c r="H143" i="1"/>
  <c r="I143" i="1"/>
  <c r="G159" i="1"/>
  <c r="I157" i="1"/>
  <c r="H128" i="1"/>
  <c r="F124" i="1"/>
  <c r="H122" i="1"/>
  <c r="J122" i="1" s="1"/>
  <c r="H113" i="1"/>
  <c r="I113" i="1"/>
  <c r="F103" i="1"/>
  <c r="G103" i="1"/>
  <c r="H98" i="1"/>
  <c r="I98" i="1"/>
  <c r="F95" i="1"/>
  <c r="G95" i="1"/>
  <c r="D88" i="1"/>
  <c r="F88" i="1" s="1"/>
  <c r="H59" i="1"/>
  <c r="I59" i="1"/>
  <c r="H135" i="2"/>
  <c r="I135" i="2"/>
  <c r="H122" i="2"/>
  <c r="I122" i="2"/>
  <c r="G108" i="1"/>
  <c r="F145" i="1"/>
  <c r="G145" i="1"/>
  <c r="G167" i="1"/>
  <c r="F164" i="1"/>
  <c r="G170" i="1"/>
  <c r="I168" i="1"/>
  <c r="G162" i="1"/>
  <c r="I160" i="1"/>
  <c r="I148" i="1"/>
  <c r="F137" i="1"/>
  <c r="G137" i="1"/>
  <c r="G135" i="1"/>
  <c r="I134" i="1"/>
  <c r="F122" i="1"/>
  <c r="I121" i="1"/>
  <c r="H114" i="1"/>
  <c r="I114" i="1"/>
  <c r="H105" i="1"/>
  <c r="J105" i="1" s="1"/>
  <c r="I105" i="1"/>
  <c r="H85" i="1"/>
  <c r="I85" i="1"/>
  <c r="F84" i="1"/>
  <c r="G84" i="1"/>
  <c r="H80" i="1"/>
  <c r="I80" i="1"/>
  <c r="H72" i="1"/>
  <c r="I72" i="1"/>
  <c r="D71" i="1"/>
  <c r="F71" i="1" s="1"/>
  <c r="F21" i="1"/>
  <c r="G21" i="1"/>
  <c r="E124" i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F89" i="1"/>
  <c r="G89" i="1"/>
  <c r="F52" i="1"/>
  <c r="G52" i="1"/>
  <c r="G97" i="1"/>
  <c r="H154" i="1"/>
  <c r="F153" i="1"/>
  <c r="G153" i="1"/>
  <c r="F148" i="1"/>
  <c r="H146" i="1"/>
  <c r="I133" i="1"/>
  <c r="I120" i="1"/>
  <c r="H106" i="1"/>
  <c r="I106" i="1"/>
  <c r="D105" i="1"/>
  <c r="F105" i="1" s="1"/>
  <c r="H93" i="1"/>
  <c r="I93" i="1"/>
  <c r="H67" i="1"/>
  <c r="I67" i="1"/>
  <c r="H47" i="1"/>
  <c r="I47" i="1"/>
  <c r="H29" i="1"/>
  <c r="I29" i="1"/>
  <c r="G104" i="1"/>
  <c r="G96" i="1"/>
  <c r="G88" i="1"/>
  <c r="G75" i="1"/>
  <c r="G70" i="1"/>
  <c r="G62" i="1"/>
  <c r="H46" i="1"/>
  <c r="D31" i="1"/>
  <c r="D32" i="1" s="1"/>
  <c r="D33" i="1" s="1"/>
  <c r="D34" i="1" s="1"/>
  <c r="F26" i="1"/>
  <c r="G26" i="1"/>
  <c r="I23" i="1"/>
  <c r="H16" i="1"/>
  <c r="I16" i="1"/>
  <c r="H168" i="2"/>
  <c r="I168" i="2"/>
  <c r="H160" i="2"/>
  <c r="I160" i="2"/>
  <c r="H139" i="2"/>
  <c r="I139" i="2"/>
  <c r="F33" i="1"/>
  <c r="D26" i="1"/>
  <c r="D27" i="1" s="1"/>
  <c r="F158" i="2"/>
  <c r="G158" i="2"/>
  <c r="H156" i="2"/>
  <c r="I156" i="2"/>
  <c r="F124" i="2"/>
  <c r="G124" i="2"/>
  <c r="H121" i="2"/>
  <c r="I121" i="2"/>
  <c r="H119" i="2"/>
  <c r="I119" i="2"/>
  <c r="I100" i="1"/>
  <c r="I92" i="1"/>
  <c r="I79" i="1"/>
  <c r="I71" i="1"/>
  <c r="J71" i="1" s="1"/>
  <c r="I66" i="1"/>
  <c r="I58" i="1"/>
  <c r="F55" i="1"/>
  <c r="I54" i="1"/>
  <c r="D47" i="1"/>
  <c r="D48" i="1" s="1"/>
  <c r="H22" i="1"/>
  <c r="I22" i="1"/>
  <c r="D17" i="1"/>
  <c r="D18" i="1" s="1"/>
  <c r="D19" i="1" s="1"/>
  <c r="F154" i="2"/>
  <c r="G154" i="2"/>
  <c r="H152" i="2"/>
  <c r="I152" i="2"/>
  <c r="F128" i="2"/>
  <c r="G128" i="2"/>
  <c r="G106" i="2"/>
  <c r="F106" i="2"/>
  <c r="M47" i="1"/>
  <c r="H34" i="1"/>
  <c r="I34" i="1"/>
  <c r="H27" i="1"/>
  <c r="I27" i="1"/>
  <c r="K25" i="1"/>
  <c r="L25" i="1"/>
  <c r="M25" i="1"/>
  <c r="G19" i="1"/>
  <c r="I15" i="1"/>
  <c r="F14" i="1"/>
  <c r="G14" i="1"/>
  <c r="H169" i="2"/>
  <c r="I169" i="2"/>
  <c r="F166" i="2"/>
  <c r="G166" i="2"/>
  <c r="F163" i="2"/>
  <c r="G163" i="2"/>
  <c r="H161" i="2"/>
  <c r="I161" i="2"/>
  <c r="F150" i="2"/>
  <c r="G150" i="2"/>
  <c r="H148" i="2"/>
  <c r="I148" i="2"/>
  <c r="F132" i="2"/>
  <c r="G132" i="2"/>
  <c r="E18" i="1"/>
  <c r="E19" i="1" s="1"/>
  <c r="H164" i="2"/>
  <c r="I164" i="2"/>
  <c r="F146" i="2"/>
  <c r="G146" i="2"/>
  <c r="H144" i="2"/>
  <c r="I144" i="2"/>
  <c r="F136" i="2"/>
  <c r="G136" i="2"/>
  <c r="E123" i="1"/>
  <c r="E110" i="1"/>
  <c r="E111" i="1" s="1"/>
  <c r="E112" i="1" s="1"/>
  <c r="E113" i="1" s="1"/>
  <c r="E114" i="1" s="1"/>
  <c r="E115" i="1" s="1"/>
  <c r="E116" i="1" s="1"/>
  <c r="E117" i="1" s="1"/>
  <c r="E118" i="1" s="1"/>
  <c r="E119" i="1" s="1"/>
  <c r="E89" i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84" i="1"/>
  <c r="E85" i="1" s="1"/>
  <c r="E76" i="1"/>
  <c r="E77" i="1" s="1"/>
  <c r="E78" i="1" s="1"/>
  <c r="E79" i="1" s="1"/>
  <c r="E80" i="1" s="1"/>
  <c r="E81" i="1" s="1"/>
  <c r="E82" i="1" s="1"/>
  <c r="G56" i="1"/>
  <c r="E50" i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48" i="1"/>
  <c r="E49" i="1" s="1"/>
  <c r="G43" i="1"/>
  <c r="H40" i="1"/>
  <c r="H32" i="1"/>
  <c r="D28" i="1"/>
  <c r="H24" i="1"/>
  <c r="I24" i="1"/>
  <c r="F142" i="2"/>
  <c r="G142" i="2"/>
  <c r="F140" i="2"/>
  <c r="G140" i="2"/>
  <c r="H127" i="2"/>
  <c r="I127" i="2"/>
  <c r="H120" i="2"/>
  <c r="I120" i="2"/>
  <c r="H118" i="2"/>
  <c r="I118" i="2"/>
  <c r="G45" i="1"/>
  <c r="G37" i="1"/>
  <c r="D29" i="1"/>
  <c r="D30" i="1" s="1"/>
  <c r="H131" i="2"/>
  <c r="I131" i="2"/>
  <c r="F125" i="2"/>
  <c r="F168" i="2"/>
  <c r="F164" i="2"/>
  <c r="I157" i="2"/>
  <c r="I153" i="2"/>
  <c r="I149" i="2"/>
  <c r="I145" i="2"/>
  <c r="I141" i="2"/>
  <c r="H138" i="2"/>
  <c r="I138" i="2"/>
  <c r="H134" i="2"/>
  <c r="I134" i="2"/>
  <c r="H130" i="2"/>
  <c r="I130" i="2"/>
  <c r="H126" i="2"/>
  <c r="I126" i="2"/>
  <c r="D124" i="2"/>
  <c r="G117" i="2"/>
  <c r="G108" i="2"/>
  <c r="F108" i="2"/>
  <c r="F28" i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20" i="1"/>
  <c r="E21" i="1" s="1"/>
  <c r="E22" i="1" s="1"/>
  <c r="F169" i="2"/>
  <c r="F165" i="2"/>
  <c r="F161" i="2"/>
  <c r="H137" i="2"/>
  <c r="I137" i="2"/>
  <c r="H133" i="2"/>
  <c r="I133" i="2"/>
  <c r="H129" i="2"/>
  <c r="I129" i="2"/>
  <c r="H125" i="2"/>
  <c r="I125" i="2"/>
  <c r="G112" i="2"/>
  <c r="F112" i="2"/>
  <c r="I85" i="2"/>
  <c r="H85" i="2"/>
  <c r="F79" i="2"/>
  <c r="G79" i="2"/>
  <c r="F105" i="2"/>
  <c r="G105" i="2"/>
  <c r="I94" i="2"/>
  <c r="H94" i="2"/>
  <c r="I89" i="2"/>
  <c r="H89" i="2"/>
  <c r="D126" i="2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G116" i="2"/>
  <c r="F116" i="2"/>
  <c r="G109" i="2"/>
  <c r="F109" i="2"/>
  <c r="D109" i="2"/>
  <c r="D110" i="2" s="1"/>
  <c r="D111" i="2" s="1"/>
  <c r="F111" i="2" s="1"/>
  <c r="G159" i="2"/>
  <c r="G155" i="2"/>
  <c r="G151" i="2"/>
  <c r="G147" i="2"/>
  <c r="G143" i="2"/>
  <c r="G123" i="2"/>
  <c r="I91" i="2"/>
  <c r="H91" i="2"/>
  <c r="F84" i="2"/>
  <c r="G84" i="2"/>
  <c r="E132" i="2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28" i="2"/>
  <c r="E129" i="2" s="1"/>
  <c r="E130" i="2" s="1"/>
  <c r="E131" i="2" s="1"/>
  <c r="D125" i="2"/>
  <c r="G113" i="2"/>
  <c r="F113" i="2"/>
  <c r="D84" i="2"/>
  <c r="H22" i="2"/>
  <c r="I22" i="2"/>
  <c r="H18" i="2"/>
  <c r="I18" i="2"/>
  <c r="H93" i="2"/>
  <c r="G92" i="2"/>
  <c r="H86" i="2"/>
  <c r="D63" i="2"/>
  <c r="F63" i="2"/>
  <c r="G63" i="2"/>
  <c r="I102" i="2"/>
  <c r="I100" i="2"/>
  <c r="H72" i="2"/>
  <c r="I72" i="2"/>
  <c r="H68" i="2"/>
  <c r="I68" i="2"/>
  <c r="M107" i="2"/>
  <c r="G95" i="2"/>
  <c r="D85" i="2"/>
  <c r="F85" i="2" s="1"/>
  <c r="H76" i="2"/>
  <c r="I76" i="2"/>
  <c r="E107" i="2"/>
  <c r="I96" i="2"/>
  <c r="H96" i="2"/>
  <c r="I87" i="2"/>
  <c r="H87" i="2"/>
  <c r="F80" i="2"/>
  <c r="G80" i="2"/>
  <c r="E112" i="2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08" i="2"/>
  <c r="E109" i="2" s="1"/>
  <c r="E110" i="2" s="1"/>
  <c r="E111" i="2" s="1"/>
  <c r="G97" i="2"/>
  <c r="D86" i="2"/>
  <c r="D87" i="2" s="1"/>
  <c r="D88" i="2" s="1"/>
  <c r="L84" i="2"/>
  <c r="O84" i="2" s="1"/>
  <c r="N84" i="2"/>
  <c r="E84" i="2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G71" i="2"/>
  <c r="H64" i="2"/>
  <c r="I64" i="2"/>
  <c r="G54" i="2"/>
  <c r="F83" i="2"/>
  <c r="G83" i="2"/>
  <c r="F72" i="2"/>
  <c r="H60" i="2"/>
  <c r="I60" i="2"/>
  <c r="H44" i="2"/>
  <c r="I44" i="2"/>
  <c r="H42" i="2"/>
  <c r="I42" i="2"/>
  <c r="Q61" i="2"/>
  <c r="H57" i="2"/>
  <c r="I57" i="2"/>
  <c r="H30" i="2"/>
  <c r="I30" i="2"/>
  <c r="F82" i="2"/>
  <c r="G82" i="2"/>
  <c r="F64" i="2"/>
  <c r="D64" i="2"/>
  <c r="D65" i="2" s="1"/>
  <c r="F75" i="2"/>
  <c r="G75" i="2"/>
  <c r="F67" i="2"/>
  <c r="G67" i="2"/>
  <c r="J62" i="2"/>
  <c r="F81" i="2"/>
  <c r="G81" i="2"/>
  <c r="E66" i="2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F76" i="2"/>
  <c r="F61" i="2"/>
  <c r="G61" i="2"/>
  <c r="F58" i="2"/>
  <c r="G58" i="2"/>
  <c r="H52" i="2"/>
  <c r="I52" i="2"/>
  <c r="F49" i="2"/>
  <c r="G49" i="2"/>
  <c r="H59" i="2"/>
  <c r="I59" i="2"/>
  <c r="H56" i="2"/>
  <c r="I56" i="2"/>
  <c r="H51" i="2"/>
  <c r="I51" i="2"/>
  <c r="F47" i="2"/>
  <c r="G47" i="2"/>
  <c r="D27" i="2"/>
  <c r="D28" i="2" s="1"/>
  <c r="D29" i="2" s="1"/>
  <c r="D30" i="2" s="1"/>
  <c r="D31" i="2" s="1"/>
  <c r="H50" i="2"/>
  <c r="I50" i="2"/>
  <c r="G45" i="2"/>
  <c r="F43" i="2"/>
  <c r="G43" i="2"/>
  <c r="F37" i="2"/>
  <c r="G37" i="2"/>
  <c r="F35" i="2"/>
  <c r="G35" i="2"/>
  <c r="F33" i="2"/>
  <c r="G33" i="2"/>
  <c r="G31" i="2"/>
  <c r="G78" i="2"/>
  <c r="H55" i="2"/>
  <c r="I55" i="2"/>
  <c r="O38" i="2"/>
  <c r="Q38" i="2" s="1"/>
  <c r="M38" i="2"/>
  <c r="D37" i="2"/>
  <c r="E37" i="2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H48" i="2"/>
  <c r="I48" i="2"/>
  <c r="G53" i="2"/>
  <c r="H46" i="2"/>
  <c r="I46" i="2"/>
  <c r="D38" i="2"/>
  <c r="D39" i="2" s="1"/>
  <c r="D40" i="2" s="1"/>
  <c r="D41" i="2" s="1"/>
  <c r="D42" i="2" s="1"/>
  <c r="E23" i="2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I19" i="2"/>
  <c r="H40" i="2"/>
  <c r="I40" i="2"/>
  <c r="D24" i="2"/>
  <c r="D25" i="2" s="1"/>
  <c r="D26" i="2" s="1"/>
  <c r="H23" i="2"/>
  <c r="I23" i="2"/>
  <c r="H15" i="2"/>
  <c r="I15" i="2"/>
  <c r="F38" i="2"/>
  <c r="G38" i="2"/>
  <c r="F36" i="2"/>
  <c r="G36" i="2"/>
  <c r="F34" i="2"/>
  <c r="G34" i="2"/>
  <c r="F32" i="2"/>
  <c r="G32" i="2"/>
  <c r="D17" i="2"/>
  <c r="M30" i="2"/>
  <c r="N30" i="2"/>
  <c r="Q30" i="2" s="1"/>
  <c r="G28" i="2"/>
  <c r="I25" i="2"/>
  <c r="J25" i="2" s="1"/>
  <c r="I24" i="2"/>
  <c r="H21" i="2"/>
  <c r="I21" i="2"/>
  <c r="E17" i="2"/>
  <c r="E18" i="2" s="1"/>
  <c r="G41" i="2"/>
  <c r="G39" i="2"/>
  <c r="F25" i="2"/>
  <c r="H16" i="2"/>
  <c r="I16" i="2"/>
  <c r="D18" i="2"/>
  <c r="D19" i="2" s="1"/>
  <c r="G14" i="2"/>
  <c r="M24" i="2"/>
  <c r="E19" i="2"/>
  <c r="E20" i="2" s="1"/>
  <c r="E21" i="2" s="1"/>
  <c r="E22" i="2" s="1"/>
  <c r="G17" i="2"/>
  <c r="G20" i="2"/>
  <c r="F17" i="2"/>
  <c r="E14" i="2"/>
  <c r="E15" i="2" s="1"/>
  <c r="E16" i="2" s="1"/>
  <c r="I135" i="3" l="1"/>
  <c r="H135" i="3"/>
  <c r="H443" i="3"/>
  <c r="I270" i="3"/>
  <c r="H159" i="3"/>
  <c r="I23" i="3"/>
  <c r="I38" i="3"/>
  <c r="H498" i="3"/>
  <c r="H132" i="3"/>
  <c r="H413" i="3"/>
  <c r="I413" i="3"/>
  <c r="F30" i="3"/>
  <c r="H41" i="3"/>
  <c r="I41" i="3"/>
  <c r="F36" i="3"/>
  <c r="F39" i="3"/>
  <c r="I462" i="3"/>
  <c r="I66" i="3"/>
  <c r="I26" i="3"/>
  <c r="I298" i="3"/>
  <c r="F73" i="3"/>
  <c r="F53" i="3"/>
  <c r="F79" i="3"/>
  <c r="F62" i="3"/>
  <c r="I119" i="3"/>
  <c r="F33" i="3"/>
  <c r="H327" i="3"/>
  <c r="I327" i="3"/>
  <c r="F85" i="3"/>
  <c r="F56" i="3"/>
  <c r="F99" i="3"/>
  <c r="I47" i="3"/>
  <c r="H530" i="3"/>
  <c r="H164" i="3"/>
  <c r="I78" i="3"/>
  <c r="E13" i="3"/>
  <c r="F110" i="3"/>
  <c r="F42" i="3"/>
  <c r="F93" i="3"/>
  <c r="I140" i="3"/>
  <c r="H140" i="3"/>
  <c r="I242" i="3"/>
  <c r="H279" i="3"/>
  <c r="I279" i="3"/>
  <c r="F65" i="3"/>
  <c r="H172" i="3"/>
  <c r="H458" i="3"/>
  <c r="H453" i="3"/>
  <c r="I64" i="3"/>
  <c r="H128" i="3"/>
  <c r="F102" i="3"/>
  <c r="F82" i="3"/>
  <c r="F12" i="3"/>
  <c r="V12" i="3" s="1"/>
  <c r="H153" i="3"/>
  <c r="H35" i="3"/>
  <c r="I35" i="3"/>
  <c r="I127" i="3"/>
  <c r="H127" i="3"/>
  <c r="F21" i="3"/>
  <c r="I133" i="3"/>
  <c r="H133" i="3"/>
  <c r="H169" i="3"/>
  <c r="H306" i="3"/>
  <c r="I306" i="3"/>
  <c r="H418" i="3"/>
  <c r="I418" i="3"/>
  <c r="I504" i="3"/>
  <c r="H504" i="3"/>
  <c r="H266" i="3"/>
  <c r="I266" i="3"/>
  <c r="H528" i="3"/>
  <c r="I68" i="3"/>
  <c r="H405" i="3"/>
  <c r="I405" i="3"/>
  <c r="I506" i="3"/>
  <c r="H506" i="3"/>
  <c r="I380" i="3"/>
  <c r="H380" i="3"/>
  <c r="I549" i="3"/>
  <c r="H549" i="3"/>
  <c r="H329" i="3"/>
  <c r="I329" i="3"/>
  <c r="H447" i="3"/>
  <c r="I447" i="3"/>
  <c r="U10" i="3"/>
  <c r="R10" i="3" s="1"/>
  <c r="N11" i="3" s="1"/>
  <c r="I80" i="3"/>
  <c r="I72" i="3"/>
  <c r="I399" i="3"/>
  <c r="H399" i="3"/>
  <c r="I455" i="3"/>
  <c r="H455" i="3"/>
  <c r="I451" i="3"/>
  <c r="H451" i="3"/>
  <c r="I338" i="3"/>
  <c r="H338" i="3"/>
  <c r="I174" i="3"/>
  <c r="H174" i="3"/>
  <c r="H390" i="3"/>
  <c r="I390" i="3"/>
  <c r="H292" i="3"/>
  <c r="I292" i="3"/>
  <c r="I231" i="3"/>
  <c r="H231" i="3"/>
  <c r="I437" i="3"/>
  <c r="H437" i="3"/>
  <c r="H291" i="3"/>
  <c r="I291" i="3"/>
  <c r="H308" i="3"/>
  <c r="I308" i="3"/>
  <c r="I351" i="3"/>
  <c r="H351" i="3"/>
  <c r="I449" i="3"/>
  <c r="H449" i="3"/>
  <c r="I353" i="3"/>
  <c r="H353" i="3"/>
  <c r="I538" i="3"/>
  <c r="H538" i="3"/>
  <c r="I548" i="3"/>
  <c r="H548" i="3"/>
  <c r="I540" i="3"/>
  <c r="H540" i="3"/>
  <c r="H487" i="3"/>
  <c r="I487" i="3"/>
  <c r="I459" i="3"/>
  <c r="H459" i="3"/>
  <c r="I363" i="3"/>
  <c r="H363" i="3"/>
  <c r="I347" i="3"/>
  <c r="H347" i="3"/>
  <c r="I352" i="3"/>
  <c r="H352" i="3"/>
  <c r="I349" i="3"/>
  <c r="H349" i="3"/>
  <c r="I229" i="3"/>
  <c r="H229" i="3"/>
  <c r="H226" i="3"/>
  <c r="I226" i="3"/>
  <c r="I150" i="3"/>
  <c r="H150" i="3"/>
  <c r="H81" i="3"/>
  <c r="I81" i="3"/>
  <c r="I555" i="3"/>
  <c r="H555" i="3"/>
  <c r="H479" i="3"/>
  <c r="I479" i="3"/>
  <c r="I391" i="3"/>
  <c r="H391" i="3"/>
  <c r="I382" i="3"/>
  <c r="H382" i="3"/>
  <c r="I376" i="3"/>
  <c r="H376" i="3"/>
  <c r="I357" i="3"/>
  <c r="H357" i="3"/>
  <c r="I343" i="3"/>
  <c r="H343" i="3"/>
  <c r="I348" i="3"/>
  <c r="H348" i="3"/>
  <c r="I345" i="3"/>
  <c r="H345" i="3"/>
  <c r="I239" i="3"/>
  <c r="H239" i="3"/>
  <c r="I227" i="3"/>
  <c r="H227" i="3"/>
  <c r="H232" i="3"/>
  <c r="I232" i="3"/>
  <c r="I190" i="3"/>
  <c r="H190" i="3"/>
  <c r="J11" i="3"/>
  <c r="K10" i="3"/>
  <c r="L10" i="3" s="1"/>
  <c r="I341" i="3"/>
  <c r="H341" i="3"/>
  <c r="I346" i="3"/>
  <c r="H346" i="3"/>
  <c r="I237" i="3"/>
  <c r="H237" i="3"/>
  <c r="I225" i="3"/>
  <c r="H225" i="3"/>
  <c r="H222" i="3"/>
  <c r="I222" i="3"/>
  <c r="I209" i="3"/>
  <c r="H209" i="3"/>
  <c r="I166" i="3"/>
  <c r="H166" i="3"/>
  <c r="I532" i="3"/>
  <c r="H532" i="3"/>
  <c r="I497" i="3"/>
  <c r="H497" i="3"/>
  <c r="I469" i="3"/>
  <c r="H469" i="3"/>
  <c r="I378" i="3"/>
  <c r="H378" i="3"/>
  <c r="I361" i="3"/>
  <c r="H361" i="3"/>
  <c r="I344" i="3"/>
  <c r="H344" i="3"/>
  <c r="I342" i="3"/>
  <c r="H342" i="3"/>
  <c r="I350" i="3"/>
  <c r="H350" i="3"/>
  <c r="H316" i="3"/>
  <c r="I316" i="3"/>
  <c r="H300" i="3"/>
  <c r="I300" i="3"/>
  <c r="I235" i="3"/>
  <c r="H235" i="3"/>
  <c r="I223" i="3"/>
  <c r="H223" i="3"/>
  <c r="H228" i="3"/>
  <c r="I228" i="3"/>
  <c r="I95" i="3"/>
  <c r="H95" i="3"/>
  <c r="H73" i="3"/>
  <c r="I73" i="3"/>
  <c r="J44" i="3"/>
  <c r="I529" i="3"/>
  <c r="H529" i="3"/>
  <c r="H485" i="3"/>
  <c r="I485" i="3"/>
  <c r="I463" i="3"/>
  <c r="H463" i="3"/>
  <c r="I465" i="3"/>
  <c r="H465" i="3"/>
  <c r="I467" i="3"/>
  <c r="H467" i="3"/>
  <c r="I433" i="3"/>
  <c r="H433" i="3"/>
  <c r="H287" i="3"/>
  <c r="I287" i="3"/>
  <c r="H286" i="3"/>
  <c r="I286" i="3"/>
  <c r="H267" i="3"/>
  <c r="I267" i="3"/>
  <c r="I221" i="3"/>
  <c r="H221" i="3"/>
  <c r="I182" i="3"/>
  <c r="H182" i="3"/>
  <c r="I91" i="3"/>
  <c r="H91" i="3"/>
  <c r="I461" i="3"/>
  <c r="H461" i="3"/>
  <c r="I394" i="3"/>
  <c r="H394" i="3"/>
  <c r="I340" i="3"/>
  <c r="H340" i="3"/>
  <c r="H224" i="3"/>
  <c r="I224" i="3"/>
  <c r="I158" i="3"/>
  <c r="H158" i="3"/>
  <c r="I142" i="3"/>
  <c r="H142" i="3"/>
  <c r="I87" i="3"/>
  <c r="H87" i="3"/>
  <c r="I539" i="3"/>
  <c r="H539" i="3"/>
  <c r="I471" i="3"/>
  <c r="H471" i="3"/>
  <c r="H477" i="3"/>
  <c r="I477" i="3"/>
  <c r="I460" i="3"/>
  <c r="H460" i="3"/>
  <c r="I435" i="3"/>
  <c r="H435" i="3"/>
  <c r="H381" i="3"/>
  <c r="I381" i="3"/>
  <c r="I392" i="3"/>
  <c r="H392" i="3"/>
  <c r="I359" i="3"/>
  <c r="H359" i="3"/>
  <c r="I355" i="3"/>
  <c r="H355" i="3"/>
  <c r="H339" i="3"/>
  <c r="I339" i="3"/>
  <c r="H335" i="3"/>
  <c r="I335" i="3"/>
  <c r="H295" i="3"/>
  <c r="I295" i="3"/>
  <c r="H283" i="3"/>
  <c r="I283" i="3"/>
  <c r="H230" i="3"/>
  <c r="I230" i="3"/>
  <c r="I138" i="3"/>
  <c r="H138" i="3"/>
  <c r="I144" i="3"/>
  <c r="H144" i="3"/>
  <c r="H65" i="3"/>
  <c r="I65" i="3"/>
  <c r="D32" i="2"/>
  <c r="D33" i="2" s="1"/>
  <c r="D34" i="2" s="1"/>
  <c r="D35" i="2" s="1"/>
  <c r="D36" i="2" s="1"/>
  <c r="F31" i="2"/>
  <c r="F65" i="2"/>
  <c r="D66" i="2"/>
  <c r="D67" i="2" s="1"/>
  <c r="D68" i="2" s="1"/>
  <c r="D49" i="1"/>
  <c r="D50" i="1" s="1"/>
  <c r="D51" i="1" s="1"/>
  <c r="F48" i="1"/>
  <c r="F34" i="1"/>
  <c r="D35" i="1"/>
  <c r="D36" i="1" s="1"/>
  <c r="D37" i="1" s="1"/>
  <c r="D89" i="2"/>
  <c r="D90" i="2" s="1"/>
  <c r="D91" i="2" s="1"/>
  <c r="F88" i="2"/>
  <c r="F42" i="2"/>
  <c r="D43" i="2"/>
  <c r="D44" i="2" s="1"/>
  <c r="D45" i="2" s="1"/>
  <c r="F19" i="1"/>
  <c r="D20" i="1"/>
  <c r="D21" i="1" s="1"/>
  <c r="D22" i="1" s="1"/>
  <c r="D20" i="2"/>
  <c r="D21" i="2" s="1"/>
  <c r="D22" i="2" s="1"/>
  <c r="F19" i="2"/>
  <c r="J26" i="2"/>
  <c r="K25" i="2"/>
  <c r="L25" i="2" s="1"/>
  <c r="H43" i="1"/>
  <c r="I43" i="1"/>
  <c r="I104" i="1"/>
  <c r="H104" i="1"/>
  <c r="H170" i="2"/>
  <c r="I170" i="2"/>
  <c r="H50" i="1"/>
  <c r="I50" i="1"/>
  <c r="H28" i="2"/>
  <c r="I28" i="2"/>
  <c r="H37" i="2"/>
  <c r="I37" i="2"/>
  <c r="H61" i="2"/>
  <c r="I61" i="2"/>
  <c r="H75" i="2"/>
  <c r="I75" i="2"/>
  <c r="H82" i="2"/>
  <c r="I82" i="2"/>
  <c r="M84" i="2"/>
  <c r="J85" i="2"/>
  <c r="H158" i="2"/>
  <c r="I158" i="2"/>
  <c r="H97" i="1"/>
  <c r="I97" i="1"/>
  <c r="H135" i="1"/>
  <c r="I135" i="1"/>
  <c r="D72" i="1"/>
  <c r="D73" i="1" s="1"/>
  <c r="D74" i="1" s="1"/>
  <c r="H103" i="1"/>
  <c r="I103" i="1"/>
  <c r="H69" i="1"/>
  <c r="I69" i="1"/>
  <c r="H74" i="1"/>
  <c r="I74" i="1"/>
  <c r="F31" i="1"/>
  <c r="H132" i="2"/>
  <c r="I132" i="2"/>
  <c r="H14" i="1"/>
  <c r="J14" i="1" s="1"/>
  <c r="I14" i="1"/>
  <c r="H21" i="1"/>
  <c r="I21" i="1"/>
  <c r="J85" i="1"/>
  <c r="H137" i="1"/>
  <c r="I137" i="1"/>
  <c r="H170" i="1"/>
  <c r="I170" i="1"/>
  <c r="I108" i="1"/>
  <c r="H108" i="1"/>
  <c r="I109" i="1"/>
  <c r="H109" i="1"/>
  <c r="H162" i="2"/>
  <c r="I162" i="2"/>
  <c r="H17" i="2"/>
  <c r="I17" i="2"/>
  <c r="H147" i="2"/>
  <c r="I147" i="2"/>
  <c r="H136" i="2"/>
  <c r="I136" i="2"/>
  <c r="I117" i="1"/>
  <c r="H117" i="1"/>
  <c r="H151" i="2"/>
  <c r="I151" i="2"/>
  <c r="H117" i="2"/>
  <c r="I117" i="2"/>
  <c r="H14" i="2"/>
  <c r="I14" i="2"/>
  <c r="H41" i="2"/>
  <c r="I41" i="2"/>
  <c r="H36" i="2"/>
  <c r="I36" i="2"/>
  <c r="H31" i="2"/>
  <c r="I31" i="2"/>
  <c r="H71" i="2"/>
  <c r="I71" i="2"/>
  <c r="H123" i="2"/>
  <c r="I123" i="2"/>
  <c r="H106" i="2"/>
  <c r="I106" i="2"/>
  <c r="I62" i="1"/>
  <c r="H62" i="1"/>
  <c r="H95" i="1"/>
  <c r="I95" i="1"/>
  <c r="D89" i="1"/>
  <c r="D90" i="1" s="1"/>
  <c r="D91" i="1" s="1"/>
  <c r="H61" i="1"/>
  <c r="I61" i="1"/>
  <c r="H87" i="1"/>
  <c r="I87" i="1"/>
  <c r="D129" i="1"/>
  <c r="D130" i="1" s="1"/>
  <c r="D131" i="1" s="1"/>
  <c r="D132" i="1" s="1"/>
  <c r="D133" i="1" s="1"/>
  <c r="D134" i="1" s="1"/>
  <c r="H49" i="2"/>
  <c r="I49" i="2"/>
  <c r="H154" i="2"/>
  <c r="I154" i="2"/>
  <c r="H129" i="1"/>
  <c r="I129" i="1"/>
  <c r="I95" i="2"/>
  <c r="H95" i="2"/>
  <c r="H43" i="2"/>
  <c r="I43" i="2"/>
  <c r="H81" i="2"/>
  <c r="I81" i="2"/>
  <c r="H83" i="2"/>
  <c r="I83" i="2"/>
  <c r="H80" i="2"/>
  <c r="I80" i="2"/>
  <c r="H155" i="2"/>
  <c r="I155" i="2"/>
  <c r="D112" i="2"/>
  <c r="D113" i="2" s="1"/>
  <c r="D114" i="2" s="1"/>
  <c r="H112" i="2"/>
  <c r="I112" i="2"/>
  <c r="H56" i="1"/>
  <c r="I56" i="1"/>
  <c r="H146" i="2"/>
  <c r="I146" i="2"/>
  <c r="H163" i="2"/>
  <c r="I163" i="2"/>
  <c r="H128" i="2"/>
  <c r="I128" i="2"/>
  <c r="J72" i="1"/>
  <c r="K71" i="1"/>
  <c r="H124" i="2"/>
  <c r="I124" i="2"/>
  <c r="I70" i="1"/>
  <c r="H70" i="1"/>
  <c r="H52" i="1"/>
  <c r="I52" i="1"/>
  <c r="H167" i="1"/>
  <c r="I167" i="1"/>
  <c r="H167" i="2"/>
  <c r="I167" i="2"/>
  <c r="H76" i="1"/>
  <c r="I76" i="1"/>
  <c r="H48" i="1"/>
  <c r="I48" i="1"/>
  <c r="D106" i="1"/>
  <c r="D107" i="1" s="1"/>
  <c r="D108" i="1" s="1"/>
  <c r="H37" i="1"/>
  <c r="I37" i="1"/>
  <c r="H38" i="2"/>
  <c r="I38" i="2"/>
  <c r="F28" i="2"/>
  <c r="H33" i="2"/>
  <c r="I33" i="2"/>
  <c r="H63" i="2"/>
  <c r="I63" i="2"/>
  <c r="H113" i="2"/>
  <c r="I113" i="2"/>
  <c r="H45" i="1"/>
  <c r="I45" i="1"/>
  <c r="H140" i="2"/>
  <c r="I140" i="2"/>
  <c r="H26" i="1"/>
  <c r="J26" i="1" s="1"/>
  <c r="I26" i="1"/>
  <c r="I75" i="1"/>
  <c r="H75" i="1"/>
  <c r="I116" i="1"/>
  <c r="H116" i="1"/>
  <c r="H116" i="2"/>
  <c r="I116" i="2"/>
  <c r="H34" i="2"/>
  <c r="I34" i="2"/>
  <c r="H53" i="2"/>
  <c r="I53" i="2"/>
  <c r="H105" i="2"/>
  <c r="I105" i="2"/>
  <c r="H47" i="2"/>
  <c r="I47" i="2"/>
  <c r="J63" i="2"/>
  <c r="K62" i="2"/>
  <c r="N62" i="2" s="1"/>
  <c r="L62" i="2"/>
  <c r="O62" i="2" s="1"/>
  <c r="H54" i="2"/>
  <c r="I54" i="2"/>
  <c r="I97" i="2"/>
  <c r="H97" i="2"/>
  <c r="I92" i="2"/>
  <c r="H92" i="2"/>
  <c r="H84" i="2"/>
  <c r="I84" i="2"/>
  <c r="H143" i="2"/>
  <c r="I143" i="2"/>
  <c r="H159" i="2"/>
  <c r="I159" i="2"/>
  <c r="H109" i="2"/>
  <c r="I109" i="2"/>
  <c r="H166" i="2"/>
  <c r="I166" i="2"/>
  <c r="H19" i="1"/>
  <c r="I19" i="1"/>
  <c r="I88" i="1"/>
  <c r="H88" i="1"/>
  <c r="H153" i="1"/>
  <c r="I153" i="1"/>
  <c r="H89" i="1"/>
  <c r="I89" i="1"/>
  <c r="K105" i="1"/>
  <c r="L105" i="1" s="1"/>
  <c r="J106" i="1"/>
  <c r="J123" i="1"/>
  <c r="K122" i="1"/>
  <c r="L122" i="1"/>
  <c r="M122" i="1" s="1"/>
  <c r="H63" i="1"/>
  <c r="I63" i="1"/>
  <c r="H31" i="1"/>
  <c r="J31" i="1" s="1"/>
  <c r="I31" i="1"/>
  <c r="H39" i="2"/>
  <c r="J39" i="2" s="1"/>
  <c r="I39" i="2"/>
  <c r="H78" i="2"/>
  <c r="I78" i="2"/>
  <c r="H20" i="2"/>
  <c r="I20" i="2"/>
  <c r="H32" i="2"/>
  <c r="I32" i="2"/>
  <c r="H35" i="2"/>
  <c r="I35" i="2"/>
  <c r="H45" i="2"/>
  <c r="I45" i="2"/>
  <c r="H58" i="2"/>
  <c r="I58" i="2"/>
  <c r="H67" i="2"/>
  <c r="I67" i="2"/>
  <c r="Q84" i="2"/>
  <c r="F39" i="2"/>
  <c r="H79" i="2"/>
  <c r="I79" i="2"/>
  <c r="H108" i="2"/>
  <c r="I108" i="2"/>
  <c r="H142" i="2"/>
  <c r="I142" i="2"/>
  <c r="H150" i="2"/>
  <c r="I150" i="2"/>
  <c r="I96" i="1"/>
  <c r="H96" i="1"/>
  <c r="H84" i="1"/>
  <c r="I84" i="1"/>
  <c r="I162" i="1"/>
  <c r="H162" i="1"/>
  <c r="H145" i="1"/>
  <c r="I145" i="1"/>
  <c r="H159" i="1"/>
  <c r="I159" i="1"/>
  <c r="H82" i="1"/>
  <c r="I82" i="1"/>
  <c r="E14" i="3" l="1"/>
  <c r="V13" i="3"/>
  <c r="S10" i="3"/>
  <c r="O11" i="3" s="1"/>
  <c r="M10" i="3"/>
  <c r="K44" i="3"/>
  <c r="L44" i="3" s="1"/>
  <c r="M44" i="3" s="1"/>
  <c r="J45" i="3"/>
  <c r="K11" i="3"/>
  <c r="J12" i="3"/>
  <c r="J108" i="2"/>
  <c r="K85" i="1"/>
  <c r="L85" i="1" s="1"/>
  <c r="M85" i="1" s="1"/>
  <c r="J86" i="1"/>
  <c r="F51" i="1"/>
  <c r="D52" i="1"/>
  <c r="D53" i="1" s="1"/>
  <c r="D54" i="1" s="1"/>
  <c r="F91" i="1"/>
  <c r="D92" i="1"/>
  <c r="D93" i="1" s="1"/>
  <c r="D94" i="1" s="1"/>
  <c r="M62" i="2"/>
  <c r="P62" i="2" s="1"/>
  <c r="L71" i="1"/>
  <c r="M71" i="1" s="1"/>
  <c r="J14" i="2"/>
  <c r="M25" i="2"/>
  <c r="F45" i="2"/>
  <c r="D46" i="2"/>
  <c r="D47" i="2" s="1"/>
  <c r="D48" i="2" s="1"/>
  <c r="F68" i="2"/>
  <c r="D69" i="2"/>
  <c r="D70" i="2" s="1"/>
  <c r="D71" i="2" s="1"/>
  <c r="J86" i="2"/>
  <c r="K85" i="2"/>
  <c r="N85" i="2" s="1"/>
  <c r="L85" i="2"/>
  <c r="O85" i="2" s="1"/>
  <c r="Q62" i="2"/>
  <c r="L39" i="2"/>
  <c r="O39" i="2" s="1"/>
  <c r="K39" i="2"/>
  <c r="N39" i="2" s="1"/>
  <c r="J40" i="2"/>
  <c r="K123" i="1"/>
  <c r="J124" i="1"/>
  <c r="J64" i="2"/>
  <c r="K63" i="2"/>
  <c r="N63" i="2" s="1"/>
  <c r="J27" i="1"/>
  <c r="K26" i="1"/>
  <c r="L26" i="1" s="1"/>
  <c r="M26" i="1" s="1"/>
  <c r="D109" i="1"/>
  <c r="D110" i="1" s="1"/>
  <c r="D111" i="1" s="1"/>
  <c r="F108" i="1"/>
  <c r="D135" i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F134" i="1"/>
  <c r="M105" i="1"/>
  <c r="F74" i="1"/>
  <c r="D75" i="1"/>
  <c r="D76" i="1" s="1"/>
  <c r="D77" i="1" s="1"/>
  <c r="K72" i="1"/>
  <c r="L72" i="1"/>
  <c r="M72" i="1" s="1"/>
  <c r="J73" i="1"/>
  <c r="J31" i="2"/>
  <c r="F37" i="1"/>
  <c r="D38" i="1"/>
  <c r="D39" i="1" s="1"/>
  <c r="D40" i="1" s="1"/>
  <c r="F114" i="2"/>
  <c r="D115" i="2"/>
  <c r="D116" i="2" s="1"/>
  <c r="D117" i="2" s="1"/>
  <c r="L31" i="1"/>
  <c r="J32" i="1"/>
  <c r="K31" i="1"/>
  <c r="M31" i="1" s="1"/>
  <c r="K106" i="1"/>
  <c r="L106" i="1"/>
  <c r="M106" i="1"/>
  <c r="J107" i="1"/>
  <c r="J48" i="1"/>
  <c r="J15" i="1"/>
  <c r="K14" i="1"/>
  <c r="K26" i="2"/>
  <c r="M26" i="2" s="1"/>
  <c r="L26" i="2"/>
  <c r="J27" i="2"/>
  <c r="F91" i="2"/>
  <c r="D92" i="2"/>
  <c r="D93" i="2" s="1"/>
  <c r="D94" i="2" s="1"/>
  <c r="T10" i="3" l="1"/>
  <c r="P11" i="3" s="1"/>
  <c r="Q11" i="3" s="1"/>
  <c r="U11" i="3" s="1"/>
  <c r="R11" i="3" s="1"/>
  <c r="N12" i="3" s="1"/>
  <c r="E15" i="3"/>
  <c r="V14" i="3"/>
  <c r="K45" i="3"/>
  <c r="J46" i="3"/>
  <c r="L11" i="3"/>
  <c r="M11" i="3" s="1"/>
  <c r="K12" i="3"/>
  <c r="L12" i="3" s="1"/>
  <c r="J13" i="3"/>
  <c r="K27" i="2"/>
  <c r="M27" i="2" s="1"/>
  <c r="L27" i="2"/>
  <c r="J28" i="2"/>
  <c r="J49" i="1"/>
  <c r="K48" i="1"/>
  <c r="L48" i="1" s="1"/>
  <c r="M48" i="1" s="1"/>
  <c r="D112" i="1"/>
  <c r="D113" i="1" s="1"/>
  <c r="D114" i="1" s="1"/>
  <c r="F111" i="1"/>
  <c r="J65" i="2"/>
  <c r="K64" i="2"/>
  <c r="N64" i="2" s="1"/>
  <c r="L64" i="2"/>
  <c r="O64" i="2" s="1"/>
  <c r="F48" i="2"/>
  <c r="D49" i="2"/>
  <c r="D50" i="2" s="1"/>
  <c r="D51" i="2" s="1"/>
  <c r="D55" i="1"/>
  <c r="D56" i="1" s="1"/>
  <c r="D57" i="1" s="1"/>
  <c r="F54" i="1"/>
  <c r="K107" i="1"/>
  <c r="L107" i="1"/>
  <c r="J108" i="1"/>
  <c r="M107" i="1"/>
  <c r="D118" i="2"/>
  <c r="D119" i="2" s="1"/>
  <c r="D120" i="2" s="1"/>
  <c r="D121" i="2" s="1"/>
  <c r="D122" i="2" s="1"/>
  <c r="F117" i="2"/>
  <c r="J125" i="1"/>
  <c r="K124" i="1"/>
  <c r="K86" i="1"/>
  <c r="M86" i="1" s="1"/>
  <c r="L86" i="1"/>
  <c r="J87" i="1"/>
  <c r="L14" i="1"/>
  <c r="M14" i="1" s="1"/>
  <c r="L123" i="1"/>
  <c r="M123" i="1" s="1"/>
  <c r="M85" i="2"/>
  <c r="P85" i="2" s="1"/>
  <c r="Q85" i="2" s="1"/>
  <c r="J32" i="2"/>
  <c r="K31" i="2"/>
  <c r="N31" i="2" s="1"/>
  <c r="L31" i="2"/>
  <c r="O31" i="2" s="1"/>
  <c r="J41" i="2"/>
  <c r="K40" i="2"/>
  <c r="N40" i="2" s="1"/>
  <c r="K86" i="2"/>
  <c r="N86" i="2" s="1"/>
  <c r="J87" i="2"/>
  <c r="J28" i="1"/>
  <c r="K27" i="1"/>
  <c r="M27" i="1" s="1"/>
  <c r="L27" i="1"/>
  <c r="K14" i="2"/>
  <c r="M14" i="2" s="1"/>
  <c r="L14" i="2"/>
  <c r="J15" i="2"/>
  <c r="D95" i="2"/>
  <c r="D96" i="2" s="1"/>
  <c r="D97" i="2" s="1"/>
  <c r="F94" i="2"/>
  <c r="L63" i="2"/>
  <c r="O63" i="2" s="1"/>
  <c r="Q39" i="2"/>
  <c r="D72" i="2"/>
  <c r="D73" i="2" s="1"/>
  <c r="D74" i="2" s="1"/>
  <c r="F71" i="2"/>
  <c r="F94" i="1"/>
  <c r="D95" i="1"/>
  <c r="D96" i="1" s="1"/>
  <c r="D97" i="1" s="1"/>
  <c r="J109" i="2"/>
  <c r="K108" i="2"/>
  <c r="N108" i="2" s="1"/>
  <c r="L108" i="2"/>
  <c r="O108" i="2" s="1"/>
  <c r="D78" i="1"/>
  <c r="D79" i="1" s="1"/>
  <c r="F77" i="1"/>
  <c r="D41" i="1"/>
  <c r="D42" i="1" s="1"/>
  <c r="D43" i="1" s="1"/>
  <c r="D44" i="1" s="1"/>
  <c r="D45" i="1" s="1"/>
  <c r="F40" i="1"/>
  <c r="K15" i="1"/>
  <c r="L15" i="1" s="1"/>
  <c r="M15" i="1" s="1"/>
  <c r="J16" i="1"/>
  <c r="J33" i="1"/>
  <c r="K32" i="1"/>
  <c r="L32" i="1" s="1"/>
  <c r="M32" i="1" s="1"/>
  <c r="K73" i="1"/>
  <c r="L73" i="1" s="1"/>
  <c r="M73" i="1" s="1"/>
  <c r="J74" i="1"/>
  <c r="M39" i="2"/>
  <c r="P39" i="2" s="1"/>
  <c r="S11" i="3" l="1"/>
  <c r="O12" i="3" s="1"/>
  <c r="E16" i="3"/>
  <c r="V15" i="3"/>
  <c r="T11" i="3"/>
  <c r="P12" i="3" s="1"/>
  <c r="Q12" i="3" s="1"/>
  <c r="U12" i="3" s="1"/>
  <c r="M12" i="3"/>
  <c r="K46" i="3"/>
  <c r="J47" i="3"/>
  <c r="K13" i="3"/>
  <c r="L13" i="3" s="1"/>
  <c r="M13" i="3" s="1"/>
  <c r="J14" i="3"/>
  <c r="L45" i="3"/>
  <c r="M45" i="3" s="1"/>
  <c r="K49" i="1"/>
  <c r="L49" i="1"/>
  <c r="M49" i="1"/>
  <c r="J50" i="1"/>
  <c r="J17" i="1"/>
  <c r="K16" i="1"/>
  <c r="L16" i="1" s="1"/>
  <c r="J109" i="1"/>
  <c r="K108" i="1"/>
  <c r="L108" i="1" s="1"/>
  <c r="K28" i="2"/>
  <c r="M28" i="2" s="1"/>
  <c r="L28" i="2"/>
  <c r="J29" i="2"/>
  <c r="L41" i="2"/>
  <c r="O41" i="2" s="1"/>
  <c r="K41" i="2"/>
  <c r="N41" i="2" s="1"/>
  <c r="J42" i="2"/>
  <c r="M41" i="2"/>
  <c r="P41" i="2" s="1"/>
  <c r="L124" i="1"/>
  <c r="M124" i="1" s="1"/>
  <c r="K65" i="2"/>
  <c r="N65" i="2" s="1"/>
  <c r="L65" i="2"/>
  <c r="O65" i="2" s="1"/>
  <c r="M65" i="2"/>
  <c r="P65" i="2" s="1"/>
  <c r="J66" i="2"/>
  <c r="K33" i="1"/>
  <c r="L33" i="1" s="1"/>
  <c r="J34" i="1"/>
  <c r="F79" i="1"/>
  <c r="D80" i="1"/>
  <c r="D81" i="1" s="1"/>
  <c r="D82" i="1" s="1"/>
  <c r="J75" i="1"/>
  <c r="K74" i="1"/>
  <c r="L74" i="1" s="1"/>
  <c r="M74" i="1" s="1"/>
  <c r="M64" i="2"/>
  <c r="P64" i="2" s="1"/>
  <c r="Q64" i="2" s="1"/>
  <c r="J110" i="2"/>
  <c r="K109" i="2"/>
  <c r="N109" i="2" s="1"/>
  <c r="M108" i="2"/>
  <c r="P108" i="2" s="1"/>
  <c r="Q108" i="2" s="1"/>
  <c r="F97" i="2"/>
  <c r="D98" i="2"/>
  <c r="D99" i="2" s="1"/>
  <c r="D100" i="2" s="1"/>
  <c r="J29" i="1"/>
  <c r="K28" i="1"/>
  <c r="L28" i="1" s="1"/>
  <c r="L40" i="2"/>
  <c r="O40" i="2" s="1"/>
  <c r="K125" i="1"/>
  <c r="L125" i="1" s="1"/>
  <c r="M125" i="1" s="1"/>
  <c r="J126" i="1"/>
  <c r="F57" i="1"/>
  <c r="D58" i="1"/>
  <c r="D59" i="1" s="1"/>
  <c r="D60" i="1" s="1"/>
  <c r="F114" i="1"/>
  <c r="D115" i="1"/>
  <c r="D116" i="1" s="1"/>
  <c r="D117" i="1" s="1"/>
  <c r="D118" i="1" s="1"/>
  <c r="D119" i="1" s="1"/>
  <c r="D98" i="1"/>
  <c r="D99" i="1" s="1"/>
  <c r="D100" i="1" s="1"/>
  <c r="D101" i="1" s="1"/>
  <c r="D102" i="1" s="1"/>
  <c r="F97" i="1"/>
  <c r="J16" i="2"/>
  <c r="K15" i="2"/>
  <c r="L86" i="2"/>
  <c r="M63" i="2"/>
  <c r="P63" i="2" s="1"/>
  <c r="Q63" i="2" s="1"/>
  <c r="J88" i="1"/>
  <c r="L87" i="1"/>
  <c r="K87" i="1"/>
  <c r="M87" i="1" s="1"/>
  <c r="D52" i="2"/>
  <c r="D53" i="2" s="1"/>
  <c r="D54" i="2" s="1"/>
  <c r="F51" i="2"/>
  <c r="D75" i="2"/>
  <c r="D76" i="2" s="1"/>
  <c r="D77" i="2" s="1"/>
  <c r="F74" i="2"/>
  <c r="K32" i="2"/>
  <c r="N32" i="2" s="1"/>
  <c r="J33" i="2"/>
  <c r="J88" i="2"/>
  <c r="K87" i="2"/>
  <c r="N87" i="2" s="1"/>
  <c r="L87" i="2"/>
  <c r="O87" i="2" s="1"/>
  <c r="M87" i="2"/>
  <c r="P87" i="2" s="1"/>
  <c r="M31" i="2"/>
  <c r="P31" i="2" s="1"/>
  <c r="Q31" i="2" s="1"/>
  <c r="E17" i="3" l="1"/>
  <c r="V16" i="3"/>
  <c r="L46" i="3"/>
  <c r="M46" i="3" s="1"/>
  <c r="R12" i="3"/>
  <c r="N13" i="3" s="1"/>
  <c r="K47" i="3"/>
  <c r="J48" i="3"/>
  <c r="K14" i="3"/>
  <c r="J15" i="3"/>
  <c r="J35" i="1"/>
  <c r="K34" i="1"/>
  <c r="D78" i="2"/>
  <c r="D79" i="2" s="1"/>
  <c r="D80" i="2" s="1"/>
  <c r="D81" i="2" s="1"/>
  <c r="D82" i="2" s="1"/>
  <c r="F77" i="2"/>
  <c r="O86" i="2"/>
  <c r="M86" i="2"/>
  <c r="P86" i="2" s="1"/>
  <c r="L109" i="2"/>
  <c r="O109" i="2" s="1"/>
  <c r="M33" i="1"/>
  <c r="L42" i="2"/>
  <c r="O42" i="2" s="1"/>
  <c r="M42" i="2"/>
  <c r="P42" i="2" s="1"/>
  <c r="J43" i="2"/>
  <c r="K42" i="2"/>
  <c r="N42" i="2" s="1"/>
  <c r="M16" i="1"/>
  <c r="Q87" i="2"/>
  <c r="L15" i="2"/>
  <c r="M15" i="2" s="1"/>
  <c r="M109" i="2"/>
  <c r="P109" i="2" s="1"/>
  <c r="Q41" i="2"/>
  <c r="M108" i="1"/>
  <c r="M50" i="1"/>
  <c r="J51" i="1"/>
  <c r="K50" i="1"/>
  <c r="L50" i="1"/>
  <c r="F54" i="2"/>
  <c r="D55" i="2"/>
  <c r="D56" i="2" s="1"/>
  <c r="D57" i="2" s="1"/>
  <c r="D58" i="2" s="1"/>
  <c r="D59" i="2" s="1"/>
  <c r="Q109" i="2"/>
  <c r="L66" i="2"/>
  <c r="O66" i="2" s="1"/>
  <c r="M66" i="2"/>
  <c r="P66" i="2" s="1"/>
  <c r="J67" i="2"/>
  <c r="K66" i="2"/>
  <c r="N66" i="2" s="1"/>
  <c r="K88" i="1"/>
  <c r="L88" i="1"/>
  <c r="M88" i="1"/>
  <c r="J89" i="1"/>
  <c r="K17" i="1"/>
  <c r="M17" i="1" s="1"/>
  <c r="L17" i="1"/>
  <c r="J18" i="1"/>
  <c r="M28" i="1"/>
  <c r="K110" i="2"/>
  <c r="N110" i="2" s="1"/>
  <c r="L110" i="2"/>
  <c r="O110" i="2" s="1"/>
  <c r="J111" i="2"/>
  <c r="M40" i="2"/>
  <c r="P40" i="2" s="1"/>
  <c r="Q40" i="2" s="1"/>
  <c r="K88" i="2"/>
  <c r="N88" i="2" s="1"/>
  <c r="J89" i="2"/>
  <c r="L88" i="2"/>
  <c r="O88" i="2" s="1"/>
  <c r="F60" i="1"/>
  <c r="D61" i="1"/>
  <c r="D62" i="1" s="1"/>
  <c r="D63" i="1" s="1"/>
  <c r="K29" i="1"/>
  <c r="L29" i="1" s="1"/>
  <c r="K75" i="1"/>
  <c r="L75" i="1"/>
  <c r="M75" i="1"/>
  <c r="J76" i="1"/>
  <c r="J34" i="2"/>
  <c r="K33" i="2"/>
  <c r="N33" i="2" s="1"/>
  <c r="L33" i="2"/>
  <c r="O33" i="2" s="1"/>
  <c r="K16" i="2"/>
  <c r="L16" i="2"/>
  <c r="M16" i="2"/>
  <c r="J17" i="2"/>
  <c r="K29" i="2"/>
  <c r="O29" i="2" s="1"/>
  <c r="L29" i="2"/>
  <c r="P29" i="2" s="1"/>
  <c r="J110" i="1"/>
  <c r="K109" i="1"/>
  <c r="L109" i="1" s="1"/>
  <c r="L32" i="2"/>
  <c r="O32" i="2" s="1"/>
  <c r="K126" i="1"/>
  <c r="L126" i="1" s="1"/>
  <c r="J127" i="1"/>
  <c r="D101" i="2"/>
  <c r="D102" i="2" s="1"/>
  <c r="D103" i="2" s="1"/>
  <c r="D104" i="2" s="1"/>
  <c r="D105" i="2" s="1"/>
  <c r="F100" i="2"/>
  <c r="Q65" i="2"/>
  <c r="E18" i="3" l="1"/>
  <c r="V17" i="3"/>
  <c r="S12" i="3"/>
  <c r="O13" i="3" s="1"/>
  <c r="L14" i="3"/>
  <c r="M14" i="3" s="1"/>
  <c r="L47" i="3"/>
  <c r="M47" i="3" s="1"/>
  <c r="K48" i="3"/>
  <c r="J49" i="3"/>
  <c r="K15" i="3"/>
  <c r="L15" i="3" s="1"/>
  <c r="M15" i="3" s="1"/>
  <c r="J16" i="3"/>
  <c r="T12" i="3"/>
  <c r="P13" i="3" s="1"/>
  <c r="Q13" i="3" s="1"/>
  <c r="U13" i="3" s="1"/>
  <c r="J44" i="2"/>
  <c r="K43" i="2"/>
  <c r="N43" i="2" s="1"/>
  <c r="K34" i="2"/>
  <c r="N34" i="2" s="1"/>
  <c r="L34" i="2"/>
  <c r="O34" i="2" s="1"/>
  <c r="J35" i="2"/>
  <c r="D64" i="1"/>
  <c r="D65" i="1" s="1"/>
  <c r="D66" i="1" s="1"/>
  <c r="D67" i="1" s="1"/>
  <c r="D68" i="1" s="1"/>
  <c r="F63" i="1"/>
  <c r="M110" i="2"/>
  <c r="P110" i="2" s="1"/>
  <c r="L89" i="1"/>
  <c r="M89" i="1" s="1"/>
  <c r="J90" i="1"/>
  <c r="K89" i="1"/>
  <c r="L34" i="1"/>
  <c r="M34" i="1" s="1"/>
  <c r="K35" i="1"/>
  <c r="L35" i="1"/>
  <c r="M35" i="1" s="1"/>
  <c r="J36" i="1"/>
  <c r="Q110" i="2"/>
  <c r="K111" i="2"/>
  <c r="N111" i="2" s="1"/>
  <c r="L111" i="2"/>
  <c r="O111" i="2" s="1"/>
  <c r="J112" i="2"/>
  <c r="M109" i="1"/>
  <c r="J90" i="2"/>
  <c r="K89" i="2"/>
  <c r="N89" i="2" s="1"/>
  <c r="L89" i="2"/>
  <c r="O89" i="2" s="1"/>
  <c r="M126" i="1"/>
  <c r="M29" i="1"/>
  <c r="J18" i="2"/>
  <c r="K17" i="2"/>
  <c r="L17" i="2" s="1"/>
  <c r="M88" i="2"/>
  <c r="P88" i="2" s="1"/>
  <c r="Q88" i="2" s="1"/>
  <c r="K18" i="1"/>
  <c r="L18" i="1" s="1"/>
  <c r="J19" i="1"/>
  <c r="Q66" i="2"/>
  <c r="Q86" i="2"/>
  <c r="Q29" i="2"/>
  <c r="M32" i="2"/>
  <c r="P32" i="2" s="1"/>
  <c r="Q32" i="2" s="1"/>
  <c r="J77" i="1"/>
  <c r="K76" i="1"/>
  <c r="L76" i="1" s="1"/>
  <c r="J111" i="1"/>
  <c r="K110" i="1"/>
  <c r="K127" i="1"/>
  <c r="L127" i="1" s="1"/>
  <c r="J128" i="1"/>
  <c r="M29" i="2"/>
  <c r="M33" i="2"/>
  <c r="P33" i="2" s="1"/>
  <c r="Q33" i="2" s="1"/>
  <c r="J68" i="2"/>
  <c r="K67" i="2"/>
  <c r="N67" i="2" s="1"/>
  <c r="K51" i="1"/>
  <c r="L51" i="1" s="1"/>
  <c r="M51" i="1" s="1"/>
  <c r="J52" i="1"/>
  <c r="Q42" i="2"/>
  <c r="E19" i="3" l="1"/>
  <c r="V18" i="3"/>
  <c r="R13" i="3"/>
  <c r="N14" i="3" s="1"/>
  <c r="K49" i="3"/>
  <c r="L49" i="3" s="1"/>
  <c r="J50" i="3"/>
  <c r="L48" i="3"/>
  <c r="M48" i="3" s="1"/>
  <c r="K16" i="3"/>
  <c r="L16" i="3" s="1"/>
  <c r="J17" i="3"/>
  <c r="J53" i="1"/>
  <c r="K52" i="1"/>
  <c r="L52" i="1" s="1"/>
  <c r="M52" i="1" s="1"/>
  <c r="L110" i="1"/>
  <c r="M110" i="1" s="1"/>
  <c r="M17" i="2"/>
  <c r="J45" i="2"/>
  <c r="K44" i="2"/>
  <c r="N44" i="2" s="1"/>
  <c r="J69" i="2"/>
  <c r="K68" i="2"/>
  <c r="N68" i="2" s="1"/>
  <c r="K90" i="2"/>
  <c r="N90" i="2" s="1"/>
  <c r="J91" i="2"/>
  <c r="L90" i="2"/>
  <c r="O90" i="2" s="1"/>
  <c r="M90" i="2"/>
  <c r="P90" i="2" s="1"/>
  <c r="M112" i="2"/>
  <c r="P112" i="2" s="1"/>
  <c r="J113" i="2"/>
  <c r="K112" i="2"/>
  <c r="N112" i="2" s="1"/>
  <c r="L112" i="2"/>
  <c r="O112" i="2" s="1"/>
  <c r="M127" i="1"/>
  <c r="J78" i="1"/>
  <c r="K77" i="1"/>
  <c r="L77" i="1" s="1"/>
  <c r="M77" i="1" s="1"/>
  <c r="M18" i="1"/>
  <c r="M111" i="2"/>
  <c r="P111" i="2" s="1"/>
  <c r="L43" i="2"/>
  <c r="O43" i="2" s="1"/>
  <c r="J91" i="1"/>
  <c r="K90" i="1"/>
  <c r="L90" i="1"/>
  <c r="M90" i="1" s="1"/>
  <c r="J112" i="1"/>
  <c r="K111" i="1"/>
  <c r="L111" i="1"/>
  <c r="M111" i="1" s="1"/>
  <c r="J19" i="2"/>
  <c r="K18" i="2"/>
  <c r="L18" i="2" s="1"/>
  <c r="J20" i="1"/>
  <c r="K19" i="1"/>
  <c r="L19" i="1" s="1"/>
  <c r="M19" i="1" s="1"/>
  <c r="L67" i="2"/>
  <c r="O67" i="2" s="1"/>
  <c r="M76" i="1"/>
  <c r="J36" i="2"/>
  <c r="K35" i="2"/>
  <c r="N35" i="2" s="1"/>
  <c r="K36" i="1"/>
  <c r="L36" i="1"/>
  <c r="M36" i="1" s="1"/>
  <c r="J37" i="1"/>
  <c r="K128" i="1"/>
  <c r="M128" i="1" s="1"/>
  <c r="L128" i="1"/>
  <c r="J129" i="1"/>
  <c r="M89" i="2"/>
  <c r="P89" i="2" s="1"/>
  <c r="Q89" i="2" s="1"/>
  <c r="Q111" i="2"/>
  <c r="M34" i="2"/>
  <c r="P34" i="2" s="1"/>
  <c r="Q34" i="2" s="1"/>
  <c r="E20" i="3" l="1"/>
  <c r="V19" i="3"/>
  <c r="M16" i="3"/>
  <c r="M49" i="3"/>
  <c r="K50" i="3"/>
  <c r="L50" i="3" s="1"/>
  <c r="M50" i="3" s="1"/>
  <c r="J51" i="3"/>
  <c r="K17" i="3"/>
  <c r="L17" i="3" s="1"/>
  <c r="M17" i="3" s="1"/>
  <c r="J18" i="3"/>
  <c r="S13" i="3"/>
  <c r="O14" i="3" s="1"/>
  <c r="K36" i="2"/>
  <c r="N36" i="2" s="1"/>
  <c r="L36" i="2"/>
  <c r="O36" i="2" s="1"/>
  <c r="J37" i="2"/>
  <c r="K78" i="1"/>
  <c r="L78" i="1" s="1"/>
  <c r="M78" i="1" s="1"/>
  <c r="J79" i="1"/>
  <c r="K19" i="2"/>
  <c r="L19" i="2" s="1"/>
  <c r="M19" i="2" s="1"/>
  <c r="J20" i="2"/>
  <c r="K91" i="1"/>
  <c r="M91" i="1" s="1"/>
  <c r="L91" i="1"/>
  <c r="J92" i="1"/>
  <c r="J92" i="2"/>
  <c r="K91" i="2"/>
  <c r="N91" i="2" s="1"/>
  <c r="L45" i="2"/>
  <c r="O45" i="2" s="1"/>
  <c r="M45" i="2"/>
  <c r="P45" i="2" s="1"/>
  <c r="J46" i="2"/>
  <c r="K45" i="2"/>
  <c r="N45" i="2" s="1"/>
  <c r="M67" i="2"/>
  <c r="P67" i="2" s="1"/>
  <c r="Q67" i="2" s="1"/>
  <c r="Q90" i="2"/>
  <c r="M43" i="2"/>
  <c r="P43" i="2" s="1"/>
  <c r="Q43" i="2" s="1"/>
  <c r="L44" i="2"/>
  <c r="O44" i="2" s="1"/>
  <c r="J54" i="1"/>
  <c r="K53" i="1"/>
  <c r="L53" i="1"/>
  <c r="M53" i="1" s="1"/>
  <c r="M18" i="2"/>
  <c r="K69" i="2"/>
  <c r="N69" i="2" s="1"/>
  <c r="L69" i="2"/>
  <c r="O69" i="2" s="1"/>
  <c r="J70" i="2"/>
  <c r="Q112" i="2"/>
  <c r="L68" i="2"/>
  <c r="O68" i="2" s="1"/>
  <c r="K37" i="1"/>
  <c r="L37" i="1"/>
  <c r="M37" i="1"/>
  <c r="J38" i="1"/>
  <c r="J130" i="1"/>
  <c r="K129" i="1"/>
  <c r="L129" i="1" s="1"/>
  <c r="M129" i="1" s="1"/>
  <c r="L35" i="2"/>
  <c r="O35" i="2" s="1"/>
  <c r="K20" i="1"/>
  <c r="M20" i="1" s="1"/>
  <c r="L20" i="1"/>
  <c r="J21" i="1"/>
  <c r="K112" i="1"/>
  <c r="M112" i="1" s="1"/>
  <c r="J113" i="1"/>
  <c r="L112" i="1"/>
  <c r="J114" i="2"/>
  <c r="K113" i="2"/>
  <c r="N113" i="2" s="1"/>
  <c r="E21" i="3" l="1"/>
  <c r="V20" i="3"/>
  <c r="T13" i="3"/>
  <c r="P14" i="3" s="1"/>
  <c r="Q14" i="3" s="1"/>
  <c r="U14" i="3" s="1"/>
  <c r="K51" i="3"/>
  <c r="L51" i="3" s="1"/>
  <c r="J52" i="3"/>
  <c r="K18" i="3"/>
  <c r="L18" i="3" s="1"/>
  <c r="J19" i="3"/>
  <c r="K114" i="2"/>
  <c r="N114" i="2" s="1"/>
  <c r="L114" i="2"/>
  <c r="O114" i="2" s="1"/>
  <c r="M114" i="2"/>
  <c r="P114" i="2" s="1"/>
  <c r="J115" i="2"/>
  <c r="J21" i="2"/>
  <c r="K20" i="2"/>
  <c r="M20" i="2" s="1"/>
  <c r="L20" i="2"/>
  <c r="L91" i="2"/>
  <c r="O91" i="2" s="1"/>
  <c r="M36" i="2"/>
  <c r="P36" i="2" s="1"/>
  <c r="M113" i="1"/>
  <c r="K113" i="1"/>
  <c r="J114" i="1"/>
  <c r="L113" i="1"/>
  <c r="M68" i="2"/>
  <c r="P68" i="2" s="1"/>
  <c r="Q68" i="2" s="1"/>
  <c r="M35" i="2"/>
  <c r="P35" i="2" s="1"/>
  <c r="Q35" i="2" s="1"/>
  <c r="K92" i="2"/>
  <c r="N92" i="2" s="1"/>
  <c r="J93" i="2"/>
  <c r="M44" i="2"/>
  <c r="P44" i="2" s="1"/>
  <c r="Q44" i="2" s="1"/>
  <c r="K37" i="2"/>
  <c r="N37" i="2" s="1"/>
  <c r="L37" i="2"/>
  <c r="O37" i="2" s="1"/>
  <c r="M37" i="2"/>
  <c r="P37" i="2" s="1"/>
  <c r="L113" i="2"/>
  <c r="O113" i="2" s="1"/>
  <c r="J131" i="1"/>
  <c r="K130" i="1"/>
  <c r="L130" i="1" s="1"/>
  <c r="M130" i="1" s="1"/>
  <c r="J71" i="2"/>
  <c r="K70" i="2"/>
  <c r="N70" i="2" s="1"/>
  <c r="Q45" i="2"/>
  <c r="J93" i="1"/>
  <c r="K92" i="1"/>
  <c r="M92" i="1" s="1"/>
  <c r="L92" i="1"/>
  <c r="Q36" i="2"/>
  <c r="L21" i="1"/>
  <c r="M21" i="1"/>
  <c r="J22" i="1"/>
  <c r="K21" i="1"/>
  <c r="K38" i="1"/>
  <c r="J39" i="1"/>
  <c r="L38" i="1"/>
  <c r="M38" i="1" s="1"/>
  <c r="M69" i="2"/>
  <c r="P69" i="2" s="1"/>
  <c r="Q69" i="2" s="1"/>
  <c r="J55" i="1"/>
  <c r="K54" i="1"/>
  <c r="L54" i="1"/>
  <c r="M54" i="1"/>
  <c r="J47" i="2"/>
  <c r="K46" i="2"/>
  <c r="N46" i="2" s="1"/>
  <c r="J80" i="1"/>
  <c r="K79" i="1"/>
  <c r="M79" i="1" s="1"/>
  <c r="L79" i="1"/>
  <c r="E22" i="3" l="1"/>
  <c r="V21" i="3"/>
  <c r="M51" i="3"/>
  <c r="M18" i="3"/>
  <c r="R14" i="3"/>
  <c r="N15" i="3" s="1"/>
  <c r="K52" i="3"/>
  <c r="L52" i="3" s="1"/>
  <c r="M52" i="3" s="1"/>
  <c r="J53" i="3"/>
  <c r="K19" i="3"/>
  <c r="L19" i="3" s="1"/>
  <c r="J20" i="3"/>
  <c r="K115" i="2"/>
  <c r="N115" i="2" s="1"/>
  <c r="L115" i="2"/>
  <c r="O115" i="2" s="1"/>
  <c r="J116" i="2"/>
  <c r="M91" i="2"/>
  <c r="P91" i="2" s="1"/>
  <c r="Q91" i="2" s="1"/>
  <c r="Q114" i="2"/>
  <c r="J94" i="2"/>
  <c r="K93" i="2"/>
  <c r="N93" i="2" s="1"/>
  <c r="L93" i="2"/>
  <c r="O93" i="2" s="1"/>
  <c r="M46" i="2"/>
  <c r="P46" i="2" s="1"/>
  <c r="K21" i="2"/>
  <c r="J22" i="2"/>
  <c r="K39" i="1"/>
  <c r="L39" i="1" s="1"/>
  <c r="M39" i="1" s="1"/>
  <c r="J40" i="1"/>
  <c r="Q37" i="2"/>
  <c r="K80" i="1"/>
  <c r="L80" i="1" s="1"/>
  <c r="M80" i="1" s="1"/>
  <c r="J81" i="1"/>
  <c r="K93" i="1"/>
  <c r="M93" i="1" s="1"/>
  <c r="L93" i="1"/>
  <c r="J94" i="1"/>
  <c r="L92" i="2"/>
  <c r="O92" i="2" s="1"/>
  <c r="Q92" i="2" s="1"/>
  <c r="K114" i="1"/>
  <c r="L114" i="1"/>
  <c r="M114" i="1" s="1"/>
  <c r="J115" i="1"/>
  <c r="L131" i="1"/>
  <c r="M131" i="1" s="1"/>
  <c r="J132" i="1"/>
  <c r="K131" i="1"/>
  <c r="K47" i="2"/>
  <c r="N47" i="2" s="1"/>
  <c r="L47" i="2"/>
  <c r="O47" i="2" s="1"/>
  <c r="J48" i="2"/>
  <c r="J72" i="2"/>
  <c r="K71" i="2"/>
  <c r="N71" i="2" s="1"/>
  <c r="L71" i="2"/>
  <c r="O71" i="2" s="1"/>
  <c r="L46" i="2"/>
  <c r="O46" i="2" s="1"/>
  <c r="Q46" i="2" s="1"/>
  <c r="L70" i="2"/>
  <c r="O70" i="2" s="1"/>
  <c r="M113" i="2"/>
  <c r="P113" i="2" s="1"/>
  <c r="Q113" i="2" s="1"/>
  <c r="K55" i="1"/>
  <c r="L55" i="1"/>
  <c r="M55" i="1" s="1"/>
  <c r="J56" i="1"/>
  <c r="J23" i="1"/>
  <c r="K22" i="1"/>
  <c r="M22" i="1" s="1"/>
  <c r="L22" i="1"/>
  <c r="M92" i="2"/>
  <c r="P92" i="2" s="1"/>
  <c r="E23" i="3" l="1"/>
  <c r="V22" i="3"/>
  <c r="M19" i="3"/>
  <c r="K53" i="3"/>
  <c r="J54" i="3"/>
  <c r="K20" i="3"/>
  <c r="J21" i="3"/>
  <c r="S14" i="3"/>
  <c r="O15" i="3" s="1"/>
  <c r="K94" i="1"/>
  <c r="L94" i="1" s="1"/>
  <c r="M94" i="1" s="1"/>
  <c r="J95" i="1"/>
  <c r="M116" i="2"/>
  <c r="P116" i="2" s="1"/>
  <c r="J117" i="2"/>
  <c r="K116" i="2"/>
  <c r="N116" i="2" s="1"/>
  <c r="L116" i="2"/>
  <c r="O116" i="2" s="1"/>
  <c r="J41" i="1"/>
  <c r="K40" i="1"/>
  <c r="M40" i="1" s="1"/>
  <c r="L40" i="1"/>
  <c r="M115" i="2"/>
  <c r="P115" i="2" s="1"/>
  <c r="Q115" i="2" s="1"/>
  <c r="M47" i="2"/>
  <c r="P47" i="2" s="1"/>
  <c r="M93" i="2"/>
  <c r="P93" i="2" s="1"/>
  <c r="J133" i="1"/>
  <c r="K132" i="1"/>
  <c r="L132" i="1" s="1"/>
  <c r="J73" i="2"/>
  <c r="K72" i="2"/>
  <c r="N72" i="2" s="1"/>
  <c r="K115" i="1"/>
  <c r="L115" i="1" s="1"/>
  <c r="M115" i="1" s="1"/>
  <c r="J116" i="1"/>
  <c r="K81" i="1"/>
  <c r="M81" i="1" s="1"/>
  <c r="L81" i="1"/>
  <c r="J82" i="1"/>
  <c r="L21" i="2"/>
  <c r="M21" i="2" s="1"/>
  <c r="K94" i="2"/>
  <c r="N94" i="2" s="1"/>
  <c r="J95" i="2"/>
  <c r="L94" i="2"/>
  <c r="O94" i="2" s="1"/>
  <c r="L48" i="2"/>
  <c r="O48" i="2" s="1"/>
  <c r="J49" i="2"/>
  <c r="K48" i="2"/>
  <c r="N48" i="2" s="1"/>
  <c r="M70" i="2"/>
  <c r="P70" i="2" s="1"/>
  <c r="Q70" i="2" s="1"/>
  <c r="K23" i="1"/>
  <c r="L23" i="1" s="1"/>
  <c r="M23" i="1" s="1"/>
  <c r="Q47" i="2"/>
  <c r="J23" i="2"/>
  <c r="K22" i="2"/>
  <c r="Q93" i="2"/>
  <c r="J57" i="1"/>
  <c r="K56" i="1"/>
  <c r="L56" i="1" s="1"/>
  <c r="M71" i="2"/>
  <c r="P71" i="2" s="1"/>
  <c r="Q71" i="2" s="1"/>
  <c r="E24" i="3" l="1"/>
  <c r="V23" i="3"/>
  <c r="L20" i="3"/>
  <c r="M20" i="3" s="1"/>
  <c r="L53" i="3"/>
  <c r="M53" i="3" s="1"/>
  <c r="T14" i="3"/>
  <c r="P15" i="3" s="1"/>
  <c r="Q15" i="3" s="1"/>
  <c r="U15" i="3" s="1"/>
  <c r="K54" i="3"/>
  <c r="J55" i="3"/>
  <c r="K21" i="3"/>
  <c r="L21" i="3" s="1"/>
  <c r="J22" i="3"/>
  <c r="J118" i="2"/>
  <c r="K117" i="2"/>
  <c r="N117" i="2" s="1"/>
  <c r="L117" i="2"/>
  <c r="O117" i="2" s="1"/>
  <c r="M117" i="2"/>
  <c r="P117" i="2" s="1"/>
  <c r="K57" i="1"/>
  <c r="L57" i="1" s="1"/>
  <c r="J58" i="1"/>
  <c r="M94" i="2"/>
  <c r="P94" i="2" s="1"/>
  <c r="K73" i="2"/>
  <c r="N73" i="2" s="1"/>
  <c r="L73" i="2"/>
  <c r="O73" i="2" s="1"/>
  <c r="M73" i="2"/>
  <c r="P73" i="2" s="1"/>
  <c r="J74" i="2"/>
  <c r="Q94" i="2"/>
  <c r="M132" i="1"/>
  <c r="J42" i="1"/>
  <c r="K41" i="1"/>
  <c r="L41" i="1" s="1"/>
  <c r="M41" i="1" s="1"/>
  <c r="K133" i="1"/>
  <c r="M133" i="1" s="1"/>
  <c r="L133" i="1"/>
  <c r="J134" i="1"/>
  <c r="J96" i="1"/>
  <c r="K95" i="1"/>
  <c r="L95" i="1" s="1"/>
  <c r="M95" i="1" s="1"/>
  <c r="J117" i="1"/>
  <c r="L116" i="1"/>
  <c r="M116" i="1"/>
  <c r="K116" i="1"/>
  <c r="L22" i="2"/>
  <c r="M22" i="2" s="1"/>
  <c r="J83" i="1"/>
  <c r="K82" i="1"/>
  <c r="L82" i="1" s="1"/>
  <c r="L72" i="2"/>
  <c r="O72" i="2" s="1"/>
  <c r="K95" i="2"/>
  <c r="N95" i="2" s="1"/>
  <c r="L95" i="2"/>
  <c r="O95" i="2" s="1"/>
  <c r="J96" i="2"/>
  <c r="M95" i="2"/>
  <c r="P95" i="2" s="1"/>
  <c r="K23" i="2"/>
  <c r="L23" i="2" s="1"/>
  <c r="M48" i="2"/>
  <c r="P48" i="2" s="1"/>
  <c r="Q48" i="2" s="1"/>
  <c r="M56" i="1"/>
  <c r="K49" i="2"/>
  <c r="N49" i="2" s="1"/>
  <c r="J50" i="2"/>
  <c r="Q116" i="2"/>
  <c r="V24" i="3" l="1"/>
  <c r="E25" i="3"/>
  <c r="R15" i="3"/>
  <c r="N16" i="3" s="1"/>
  <c r="L54" i="3"/>
  <c r="M54" i="3" s="1"/>
  <c r="K22" i="3"/>
  <c r="L22" i="3" s="1"/>
  <c r="J23" i="3"/>
  <c r="M21" i="3"/>
  <c r="K55" i="3"/>
  <c r="L55" i="3" s="1"/>
  <c r="J56" i="3"/>
  <c r="K134" i="1"/>
  <c r="M134" i="1" s="1"/>
  <c r="J135" i="1"/>
  <c r="L134" i="1"/>
  <c r="M57" i="1"/>
  <c r="M23" i="2"/>
  <c r="M82" i="1"/>
  <c r="M72" i="2"/>
  <c r="P72" i="2" s="1"/>
  <c r="Q72" i="2" s="1"/>
  <c r="J118" i="1"/>
  <c r="K117" i="1"/>
  <c r="L117" i="1" s="1"/>
  <c r="L74" i="2"/>
  <c r="O74" i="2" s="1"/>
  <c r="J75" i="2"/>
  <c r="K74" i="2"/>
  <c r="N74" i="2" s="1"/>
  <c r="L49" i="2"/>
  <c r="J97" i="2"/>
  <c r="K96" i="2"/>
  <c r="N96" i="2" s="1"/>
  <c r="Q73" i="2"/>
  <c r="Q117" i="2"/>
  <c r="K83" i="1"/>
  <c r="L83" i="1" s="1"/>
  <c r="M83" i="1" s="1"/>
  <c r="K96" i="1"/>
  <c r="L96" i="1"/>
  <c r="M96" i="1"/>
  <c r="J97" i="1"/>
  <c r="K42" i="1"/>
  <c r="L42" i="1" s="1"/>
  <c r="M42" i="1" s="1"/>
  <c r="J43" i="1"/>
  <c r="J119" i="2"/>
  <c r="K118" i="2"/>
  <c r="N118" i="2" s="1"/>
  <c r="L118" i="2"/>
  <c r="O118" i="2" s="1"/>
  <c r="L50" i="2"/>
  <c r="O50" i="2" s="1"/>
  <c r="J51" i="2"/>
  <c r="K50" i="2"/>
  <c r="N50" i="2" s="1"/>
  <c r="Q95" i="2"/>
  <c r="J59" i="1"/>
  <c r="K58" i="1"/>
  <c r="L58" i="1" s="1"/>
  <c r="E26" i="3" l="1"/>
  <c r="V25" i="3"/>
  <c r="K56" i="3"/>
  <c r="L56" i="3" s="1"/>
  <c r="M56" i="3" s="1"/>
  <c r="J57" i="3"/>
  <c r="M55" i="3"/>
  <c r="S15" i="3"/>
  <c r="O16" i="3" s="1"/>
  <c r="M22" i="3"/>
  <c r="K23" i="3"/>
  <c r="L23" i="3" s="1"/>
  <c r="M23" i="3" s="1"/>
  <c r="J24" i="3"/>
  <c r="J76" i="2"/>
  <c r="K75" i="2"/>
  <c r="N75" i="2" s="1"/>
  <c r="K59" i="1"/>
  <c r="L59" i="1"/>
  <c r="M59" i="1"/>
  <c r="J60" i="1"/>
  <c r="M118" i="2"/>
  <c r="P118" i="2" s="1"/>
  <c r="J98" i="1"/>
  <c r="K97" i="1"/>
  <c r="L97" i="1" s="1"/>
  <c r="M74" i="2"/>
  <c r="P74" i="2" s="1"/>
  <c r="Q74" i="2" s="1"/>
  <c r="L118" i="1"/>
  <c r="M118" i="1"/>
  <c r="J119" i="1"/>
  <c r="K118" i="1"/>
  <c r="K135" i="1"/>
  <c r="M135" i="1" s="1"/>
  <c r="L135" i="1"/>
  <c r="J136" i="1"/>
  <c r="M50" i="2"/>
  <c r="P50" i="2" s="1"/>
  <c r="Q50" i="2" s="1"/>
  <c r="K97" i="2"/>
  <c r="N97" i="2" s="1"/>
  <c r="L97" i="2"/>
  <c r="O97" i="2" s="1"/>
  <c r="J98" i="2"/>
  <c r="M117" i="1"/>
  <c r="M58" i="1"/>
  <c r="Q118" i="2"/>
  <c r="J44" i="1"/>
  <c r="K43" i="1"/>
  <c r="L43" i="1"/>
  <c r="M43" i="1" s="1"/>
  <c r="O49" i="2"/>
  <c r="M49" i="2"/>
  <c r="P49" i="2" s="1"/>
  <c r="M96" i="2"/>
  <c r="P96" i="2" s="1"/>
  <c r="Q96" i="2" s="1"/>
  <c r="J120" i="2"/>
  <c r="K119" i="2"/>
  <c r="N119" i="2" s="1"/>
  <c r="L119" i="2"/>
  <c r="O119" i="2" s="1"/>
  <c r="L96" i="2"/>
  <c r="O96" i="2" s="1"/>
  <c r="J52" i="2"/>
  <c r="K51" i="2"/>
  <c r="N51" i="2" s="1"/>
  <c r="L51" i="2"/>
  <c r="O51" i="2" s="1"/>
  <c r="E27" i="3" l="1"/>
  <c r="V26" i="3"/>
  <c r="T15" i="3"/>
  <c r="P16" i="3" s="1"/>
  <c r="Q16" i="3" s="1"/>
  <c r="U16" i="3" s="1"/>
  <c r="K57" i="3"/>
  <c r="J58" i="3"/>
  <c r="K24" i="3"/>
  <c r="L24" i="3" s="1"/>
  <c r="J25" i="3"/>
  <c r="J121" i="2"/>
  <c r="K120" i="2"/>
  <c r="N120" i="2" s="1"/>
  <c r="L120" i="2"/>
  <c r="O120" i="2" s="1"/>
  <c r="M120" i="2"/>
  <c r="P120" i="2" s="1"/>
  <c r="J99" i="1"/>
  <c r="K98" i="1"/>
  <c r="K60" i="1"/>
  <c r="L60" i="1"/>
  <c r="M60" i="1"/>
  <c r="J61" i="1"/>
  <c r="Q49" i="2"/>
  <c r="L98" i="2"/>
  <c r="O98" i="2" s="1"/>
  <c r="J99" i="2"/>
  <c r="K98" i="2"/>
  <c r="N98" i="2" s="1"/>
  <c r="M119" i="2"/>
  <c r="P119" i="2" s="1"/>
  <c r="M97" i="2"/>
  <c r="P97" i="2" s="1"/>
  <c r="M97" i="1"/>
  <c r="L75" i="2"/>
  <c r="K44" i="1"/>
  <c r="L44" i="1" s="1"/>
  <c r="J45" i="1"/>
  <c r="J53" i="2"/>
  <c r="K52" i="2"/>
  <c r="N52" i="2" s="1"/>
  <c r="K136" i="1"/>
  <c r="J137" i="1"/>
  <c r="M51" i="2"/>
  <c r="P51" i="2" s="1"/>
  <c r="Q51" i="2" s="1"/>
  <c r="Q119" i="2"/>
  <c r="Q97" i="2"/>
  <c r="J120" i="1"/>
  <c r="K119" i="1"/>
  <c r="L119" i="1" s="1"/>
  <c r="M119" i="1" s="1"/>
  <c r="J77" i="2"/>
  <c r="K76" i="2"/>
  <c r="N76" i="2" s="1"/>
  <c r="L76" i="2"/>
  <c r="O76" i="2" s="1"/>
  <c r="E28" i="3" l="1"/>
  <c r="V27" i="3"/>
  <c r="R16" i="3"/>
  <c r="N17" i="3" s="1"/>
  <c r="K25" i="3"/>
  <c r="L25" i="3" s="1"/>
  <c r="M25" i="3" s="1"/>
  <c r="J26" i="3"/>
  <c r="K58" i="3"/>
  <c r="L58" i="3" s="1"/>
  <c r="M58" i="3" s="1"/>
  <c r="J59" i="3"/>
  <c r="L57" i="3"/>
  <c r="M57" i="3" s="1"/>
  <c r="M24" i="3"/>
  <c r="J138" i="1"/>
  <c r="K137" i="1"/>
  <c r="M44" i="1"/>
  <c r="K99" i="2"/>
  <c r="N99" i="2" s="1"/>
  <c r="J100" i="2"/>
  <c r="L98" i="1"/>
  <c r="M98" i="1" s="1"/>
  <c r="K120" i="1"/>
  <c r="L120" i="1"/>
  <c r="M120" i="1"/>
  <c r="L136" i="1"/>
  <c r="M136" i="1" s="1"/>
  <c r="M98" i="2"/>
  <c r="P98" i="2" s="1"/>
  <c r="O75" i="2"/>
  <c r="M75" i="2"/>
  <c r="P75" i="2" s="1"/>
  <c r="J62" i="1"/>
  <c r="K61" i="1"/>
  <c r="L61" i="1" s="1"/>
  <c r="K99" i="1"/>
  <c r="L99" i="1" s="1"/>
  <c r="J100" i="1"/>
  <c r="K53" i="2"/>
  <c r="N53" i="2" s="1"/>
  <c r="J54" i="2"/>
  <c r="M76" i="2"/>
  <c r="P76" i="2" s="1"/>
  <c r="Q76" i="2" s="1"/>
  <c r="K77" i="2"/>
  <c r="N77" i="2" s="1"/>
  <c r="L77" i="2"/>
  <c r="O77" i="2" s="1"/>
  <c r="M77" i="2"/>
  <c r="P77" i="2" s="1"/>
  <c r="J78" i="2"/>
  <c r="L52" i="2"/>
  <c r="Q120" i="2"/>
  <c r="K45" i="1"/>
  <c r="L45" i="1" s="1"/>
  <c r="M45" i="1" s="1"/>
  <c r="J46" i="1"/>
  <c r="Q98" i="2"/>
  <c r="J122" i="2"/>
  <c r="K121" i="2"/>
  <c r="N121" i="2" s="1"/>
  <c r="E29" i="3" l="1"/>
  <c r="V28" i="3"/>
  <c r="K59" i="3"/>
  <c r="J60" i="3"/>
  <c r="S16" i="3"/>
  <c r="O17" i="3" s="1"/>
  <c r="K26" i="3"/>
  <c r="L26" i="3" s="1"/>
  <c r="J27" i="3"/>
  <c r="J55" i="2"/>
  <c r="K54" i="2"/>
  <c r="N54" i="2" s="1"/>
  <c r="K46" i="1"/>
  <c r="M46" i="1" s="1"/>
  <c r="L46" i="1"/>
  <c r="L137" i="1"/>
  <c r="M137" i="1" s="1"/>
  <c r="O52" i="2"/>
  <c r="M52" i="2"/>
  <c r="P52" i="2" s="1"/>
  <c r="M61" i="1"/>
  <c r="L78" i="2"/>
  <c r="O78" i="2" s="1"/>
  <c r="M78" i="2"/>
  <c r="P78" i="2" s="1"/>
  <c r="J79" i="2"/>
  <c r="K78" i="2"/>
  <c r="N78" i="2" s="1"/>
  <c r="J101" i="1"/>
  <c r="K100" i="1"/>
  <c r="M100" i="1" s="1"/>
  <c r="L100" i="1"/>
  <c r="Q77" i="2"/>
  <c r="M99" i="1"/>
  <c r="J101" i="2"/>
  <c r="K100" i="2"/>
  <c r="N100" i="2" s="1"/>
  <c r="L100" i="2"/>
  <c r="O100" i="2" s="1"/>
  <c r="J139" i="1"/>
  <c r="K138" i="1"/>
  <c r="L138" i="1" s="1"/>
  <c r="L121" i="2"/>
  <c r="O121" i="2" s="1"/>
  <c r="Q121" i="2" s="1"/>
  <c r="J123" i="2"/>
  <c r="K122" i="2"/>
  <c r="N122" i="2" s="1"/>
  <c r="Q75" i="2"/>
  <c r="L99" i="2"/>
  <c r="L53" i="2"/>
  <c r="K62" i="1"/>
  <c r="L62" i="1" s="1"/>
  <c r="M62" i="1" s="1"/>
  <c r="J63" i="1"/>
  <c r="M121" i="2"/>
  <c r="P121" i="2" s="1"/>
  <c r="E30" i="3" l="1"/>
  <c r="V29" i="3"/>
  <c r="T16" i="3"/>
  <c r="P17" i="3" s="1"/>
  <c r="Q17" i="3" s="1"/>
  <c r="U17" i="3" s="1"/>
  <c r="K60" i="3"/>
  <c r="L60" i="3" s="1"/>
  <c r="M60" i="3" s="1"/>
  <c r="J61" i="3"/>
  <c r="L59" i="3"/>
  <c r="M59" i="3" s="1"/>
  <c r="M26" i="3"/>
  <c r="J28" i="3"/>
  <c r="K27" i="3"/>
  <c r="L27" i="3" s="1"/>
  <c r="Q52" i="2"/>
  <c r="K55" i="2"/>
  <c r="N55" i="2" s="1"/>
  <c r="L55" i="2"/>
  <c r="O55" i="2" s="1"/>
  <c r="J56" i="2"/>
  <c r="M55" i="2"/>
  <c r="P55" i="2" s="1"/>
  <c r="M138" i="1"/>
  <c r="L139" i="1"/>
  <c r="J140" i="1"/>
  <c r="K139" i="1"/>
  <c r="M139" i="1" s="1"/>
  <c r="L122" i="2"/>
  <c r="L54" i="2"/>
  <c r="O99" i="2"/>
  <c r="Q99" i="2" s="1"/>
  <c r="M99" i="2"/>
  <c r="P99" i="2" s="1"/>
  <c r="K123" i="2"/>
  <c r="N123" i="2" s="1"/>
  <c r="J124" i="2"/>
  <c r="K101" i="2"/>
  <c r="N101" i="2" s="1"/>
  <c r="L101" i="2"/>
  <c r="O101" i="2" s="1"/>
  <c r="J102" i="2"/>
  <c r="Q78" i="2"/>
  <c r="O53" i="2"/>
  <c r="M53" i="2"/>
  <c r="P53" i="2" s="1"/>
  <c r="J64" i="1"/>
  <c r="K63" i="1"/>
  <c r="L63" i="1" s="1"/>
  <c r="K101" i="1"/>
  <c r="L101" i="1" s="1"/>
  <c r="M101" i="1" s="1"/>
  <c r="J102" i="1"/>
  <c r="M100" i="2"/>
  <c r="P100" i="2" s="1"/>
  <c r="Q100" i="2" s="1"/>
  <c r="L79" i="2"/>
  <c r="O79" i="2" s="1"/>
  <c r="M79" i="2"/>
  <c r="P79" i="2" s="1"/>
  <c r="J80" i="2"/>
  <c r="K79" i="2"/>
  <c r="N79" i="2" s="1"/>
  <c r="V30" i="3" l="1"/>
  <c r="E31" i="3"/>
  <c r="R17" i="3"/>
  <c r="N18" i="3" s="1"/>
  <c r="K61" i="3"/>
  <c r="L61" i="3" s="1"/>
  <c r="J62" i="3"/>
  <c r="M27" i="3"/>
  <c r="K28" i="3"/>
  <c r="L28" i="3" s="1"/>
  <c r="M28" i="3" s="1"/>
  <c r="J29" i="3"/>
  <c r="K124" i="2"/>
  <c r="N124" i="2" s="1"/>
  <c r="J125" i="2"/>
  <c r="J57" i="2"/>
  <c r="K56" i="2"/>
  <c r="N56" i="2" s="1"/>
  <c r="J65" i="1"/>
  <c r="K64" i="1"/>
  <c r="M64" i="1" s="1"/>
  <c r="L64" i="1"/>
  <c r="M101" i="2"/>
  <c r="P101" i="2" s="1"/>
  <c r="Q101" i="2"/>
  <c r="M63" i="1"/>
  <c r="O122" i="2"/>
  <c r="Q122" i="2" s="1"/>
  <c r="M122" i="2"/>
  <c r="P122" i="2" s="1"/>
  <c r="Q55" i="2"/>
  <c r="Q53" i="2"/>
  <c r="L123" i="2"/>
  <c r="J141" i="1"/>
  <c r="K140" i="1"/>
  <c r="L140" i="1" s="1"/>
  <c r="L80" i="2"/>
  <c r="O80" i="2" s="1"/>
  <c r="K80" i="2"/>
  <c r="N80" i="2" s="1"/>
  <c r="M80" i="2"/>
  <c r="P80" i="2" s="1"/>
  <c r="J81" i="2"/>
  <c r="O54" i="2"/>
  <c r="M54" i="2"/>
  <c r="P54" i="2" s="1"/>
  <c r="K102" i="1"/>
  <c r="L102" i="1" s="1"/>
  <c r="J103" i="1"/>
  <c r="Q79" i="2"/>
  <c r="J103" i="2"/>
  <c r="K102" i="2"/>
  <c r="N102" i="2" s="1"/>
  <c r="E32" i="3" l="1"/>
  <c r="V31" i="3"/>
  <c r="M61" i="3"/>
  <c r="J30" i="3"/>
  <c r="K29" i="3"/>
  <c r="L29" i="3" s="1"/>
  <c r="M29" i="3" s="1"/>
  <c r="S17" i="3"/>
  <c r="O18" i="3" s="1"/>
  <c r="K62" i="3"/>
  <c r="L62" i="3" s="1"/>
  <c r="J63" i="3"/>
  <c r="Q54" i="2"/>
  <c r="K125" i="2"/>
  <c r="N125" i="2" s="1"/>
  <c r="J126" i="2"/>
  <c r="K103" i="2"/>
  <c r="N103" i="2" s="1"/>
  <c r="J104" i="2"/>
  <c r="L56" i="2"/>
  <c r="O56" i="2" s="1"/>
  <c r="L81" i="2"/>
  <c r="O81" i="2" s="1"/>
  <c r="M81" i="2"/>
  <c r="P81" i="2" s="1"/>
  <c r="J82" i="2"/>
  <c r="K81" i="2"/>
  <c r="N81" i="2" s="1"/>
  <c r="K103" i="1"/>
  <c r="L103" i="1" s="1"/>
  <c r="Q80" i="2"/>
  <c r="M124" i="2"/>
  <c r="P124" i="2" s="1"/>
  <c r="Q124" i="2" s="1"/>
  <c r="K141" i="1"/>
  <c r="L141" i="1" s="1"/>
  <c r="J142" i="1"/>
  <c r="M102" i="1"/>
  <c r="L102" i="2"/>
  <c r="O102" i="2" s="1"/>
  <c r="M140" i="1"/>
  <c r="O123" i="2"/>
  <c r="Q123" i="2" s="1"/>
  <c r="M123" i="2"/>
  <c r="P123" i="2" s="1"/>
  <c r="K57" i="2"/>
  <c r="N57" i="2" s="1"/>
  <c r="L57" i="2"/>
  <c r="O57" i="2" s="1"/>
  <c r="J58" i="2"/>
  <c r="K65" i="1"/>
  <c r="L65" i="1"/>
  <c r="M65" i="1"/>
  <c r="J66" i="1"/>
  <c r="L124" i="2"/>
  <c r="O124" i="2" s="1"/>
  <c r="E33" i="3" l="1"/>
  <c r="V32" i="3"/>
  <c r="M62" i="3"/>
  <c r="T17" i="3"/>
  <c r="P18" i="3" s="1"/>
  <c r="Q18" i="3" s="1"/>
  <c r="U18" i="3" s="1"/>
  <c r="J64" i="3"/>
  <c r="K63" i="3"/>
  <c r="L63" i="3" s="1"/>
  <c r="K30" i="3"/>
  <c r="L30" i="3" s="1"/>
  <c r="J31" i="3"/>
  <c r="K104" i="2"/>
  <c r="N104" i="2" s="1"/>
  <c r="L104" i="2"/>
  <c r="O104" i="2" s="1"/>
  <c r="J105" i="2"/>
  <c r="L125" i="2"/>
  <c r="O125" i="2" s="1"/>
  <c r="M57" i="2"/>
  <c r="P57" i="2" s="1"/>
  <c r="M103" i="1"/>
  <c r="L103" i="2"/>
  <c r="O103" i="2" s="1"/>
  <c r="M102" i="2"/>
  <c r="P102" i="2" s="1"/>
  <c r="Q102" i="2" s="1"/>
  <c r="K126" i="2"/>
  <c r="N126" i="2" s="1"/>
  <c r="J127" i="2"/>
  <c r="J59" i="2"/>
  <c r="K58" i="2"/>
  <c r="N58" i="2" s="1"/>
  <c r="Q57" i="2"/>
  <c r="M141" i="1"/>
  <c r="Q81" i="2"/>
  <c r="K142" i="1"/>
  <c r="L142" i="1" s="1"/>
  <c r="J143" i="1"/>
  <c r="J67" i="1"/>
  <c r="K66" i="1"/>
  <c r="L66" i="1" s="1"/>
  <c r="M66" i="1" s="1"/>
  <c r="J83" i="2"/>
  <c r="K82" i="2"/>
  <c r="N82" i="2" s="1"/>
  <c r="M56" i="2"/>
  <c r="P56" i="2" s="1"/>
  <c r="Q56" i="2" s="1"/>
  <c r="V33" i="3" l="1"/>
  <c r="E34" i="3"/>
  <c r="R18" i="3"/>
  <c r="N19" i="3" s="1"/>
  <c r="J32" i="3"/>
  <c r="K31" i="3"/>
  <c r="L31" i="3" s="1"/>
  <c r="K64" i="3"/>
  <c r="J65" i="3"/>
  <c r="M63" i="3"/>
  <c r="M30" i="3"/>
  <c r="K83" i="2"/>
  <c r="N83" i="2" s="1"/>
  <c r="M104" i="2"/>
  <c r="P104" i="2" s="1"/>
  <c r="Q104" i="2" s="1"/>
  <c r="K67" i="1"/>
  <c r="J68" i="1"/>
  <c r="M125" i="2"/>
  <c r="P125" i="2" s="1"/>
  <c r="Q125" i="2" s="1"/>
  <c r="L126" i="2"/>
  <c r="O126" i="2" s="1"/>
  <c r="L58" i="2"/>
  <c r="L82" i="2"/>
  <c r="O82" i="2" s="1"/>
  <c r="M142" i="1"/>
  <c r="J60" i="2"/>
  <c r="K59" i="2"/>
  <c r="N59" i="2" s="1"/>
  <c r="M103" i="2"/>
  <c r="P103" i="2" s="1"/>
  <c r="Q103" i="2" s="1"/>
  <c r="K127" i="2"/>
  <c r="N127" i="2" s="1"/>
  <c r="J128" i="2"/>
  <c r="J106" i="2"/>
  <c r="K105" i="2"/>
  <c r="N105" i="2" s="1"/>
  <c r="L105" i="2"/>
  <c r="O105" i="2" s="1"/>
  <c r="J144" i="1"/>
  <c r="K143" i="1"/>
  <c r="L143" i="1" s="1"/>
  <c r="E35" i="3" l="1"/>
  <c r="V34" i="3"/>
  <c r="L64" i="3"/>
  <c r="M64" i="3" s="1"/>
  <c r="M31" i="3"/>
  <c r="K32" i="3"/>
  <c r="L32" i="3" s="1"/>
  <c r="J33" i="3"/>
  <c r="K65" i="3"/>
  <c r="J66" i="3"/>
  <c r="S18" i="3"/>
  <c r="O19" i="3" s="1"/>
  <c r="L127" i="2"/>
  <c r="O127" i="2" s="1"/>
  <c r="Q127" i="2" s="1"/>
  <c r="O58" i="2"/>
  <c r="M58" i="2"/>
  <c r="P58" i="2" s="1"/>
  <c r="L67" i="1"/>
  <c r="M67" i="1" s="1"/>
  <c r="K106" i="2"/>
  <c r="N106" i="2" s="1"/>
  <c r="M126" i="2"/>
  <c r="P126" i="2" s="1"/>
  <c r="Q126" i="2" s="1"/>
  <c r="L59" i="2"/>
  <c r="O59" i="2" s="1"/>
  <c r="M105" i="2"/>
  <c r="P105" i="2" s="1"/>
  <c r="Q105" i="2" s="1"/>
  <c r="K144" i="1"/>
  <c r="L144" i="1"/>
  <c r="M144" i="1" s="1"/>
  <c r="J145" i="1"/>
  <c r="K60" i="2"/>
  <c r="N60" i="2" s="1"/>
  <c r="L60" i="2"/>
  <c r="O60" i="2" s="1"/>
  <c r="M60" i="2"/>
  <c r="P60" i="2" s="1"/>
  <c r="M143" i="1"/>
  <c r="K128" i="2"/>
  <c r="N128" i="2" s="1"/>
  <c r="J129" i="2"/>
  <c r="L83" i="2"/>
  <c r="K68" i="1"/>
  <c r="L68" i="1" s="1"/>
  <c r="J69" i="1"/>
  <c r="M82" i="2"/>
  <c r="P82" i="2" s="1"/>
  <c r="Q82" i="2" s="1"/>
  <c r="M127" i="2"/>
  <c r="P127" i="2" s="1"/>
  <c r="E36" i="3" l="1"/>
  <c r="V35" i="3"/>
  <c r="T18" i="3"/>
  <c r="P19" i="3" s="1"/>
  <c r="Q19" i="3" s="1"/>
  <c r="U19" i="3" s="1"/>
  <c r="R19" i="3" s="1"/>
  <c r="N20" i="3" s="1"/>
  <c r="M32" i="3"/>
  <c r="L65" i="3"/>
  <c r="M65" i="3" s="1"/>
  <c r="J34" i="3"/>
  <c r="K33" i="3"/>
  <c r="L33" i="3" s="1"/>
  <c r="K66" i="3"/>
  <c r="J67" i="3"/>
  <c r="O83" i="2"/>
  <c r="M83" i="2"/>
  <c r="P83" i="2" s="1"/>
  <c r="M59" i="2"/>
  <c r="P59" i="2" s="1"/>
  <c r="Q59" i="2" s="1"/>
  <c r="Q58" i="2"/>
  <c r="K129" i="2"/>
  <c r="N129" i="2" s="1"/>
  <c r="J130" i="2"/>
  <c r="J146" i="1"/>
  <c r="K145" i="1"/>
  <c r="L145" i="1" s="1"/>
  <c r="L106" i="2"/>
  <c r="O106" i="2" s="1"/>
  <c r="Q60" i="2"/>
  <c r="K69" i="1"/>
  <c r="L69" i="1" s="1"/>
  <c r="M68" i="1"/>
  <c r="L128" i="2"/>
  <c r="O128" i="2" s="1"/>
  <c r="V36" i="3" l="1"/>
  <c r="E37" i="3"/>
  <c r="L66" i="3"/>
  <c r="M66" i="3" s="1"/>
  <c r="M33" i="3"/>
  <c r="S19" i="3"/>
  <c r="O20" i="3" s="1"/>
  <c r="K34" i="3"/>
  <c r="J35" i="3"/>
  <c r="L34" i="3"/>
  <c r="M34" i="3" s="1"/>
  <c r="J68" i="3"/>
  <c r="K67" i="3"/>
  <c r="L67" i="3" s="1"/>
  <c r="M69" i="1"/>
  <c r="M145" i="1"/>
  <c r="J147" i="1"/>
  <c r="K146" i="1"/>
  <c r="M128" i="2"/>
  <c r="P128" i="2" s="1"/>
  <c r="Q128" i="2" s="1"/>
  <c r="Q83" i="2"/>
  <c r="L129" i="2"/>
  <c r="M106" i="2"/>
  <c r="P106" i="2" s="1"/>
  <c r="Q106" i="2" s="1"/>
  <c r="K130" i="2"/>
  <c r="N130" i="2" s="1"/>
  <c r="J131" i="2"/>
  <c r="E38" i="3" l="1"/>
  <c r="V37" i="3"/>
  <c r="T19" i="3"/>
  <c r="P20" i="3" s="1"/>
  <c r="Q20" i="3" s="1"/>
  <c r="U20" i="3" s="1"/>
  <c r="R20" i="3" s="1"/>
  <c r="N21" i="3" s="1"/>
  <c r="M67" i="3"/>
  <c r="J36" i="3"/>
  <c r="K35" i="3"/>
  <c r="L35" i="3" s="1"/>
  <c r="J69" i="3"/>
  <c r="K68" i="3"/>
  <c r="L68" i="3" s="1"/>
  <c r="L146" i="1"/>
  <c r="M146" i="1" s="1"/>
  <c r="L130" i="2"/>
  <c r="J148" i="1"/>
  <c r="K147" i="1"/>
  <c r="O129" i="2"/>
  <c r="M129" i="2"/>
  <c r="P129" i="2" s="1"/>
  <c r="K131" i="2"/>
  <c r="N131" i="2" s="1"/>
  <c r="J132" i="2"/>
  <c r="E39" i="3" l="1"/>
  <c r="V38" i="3"/>
  <c r="M68" i="3"/>
  <c r="K36" i="3"/>
  <c r="L36" i="3" s="1"/>
  <c r="M36" i="3" s="1"/>
  <c r="J37" i="3"/>
  <c r="M35" i="3"/>
  <c r="K69" i="3"/>
  <c r="L69" i="3" s="1"/>
  <c r="M69" i="3" s="1"/>
  <c r="J70" i="3"/>
  <c r="S20" i="3"/>
  <c r="O21" i="3" s="1"/>
  <c r="J149" i="1"/>
  <c r="K148" i="1"/>
  <c r="L147" i="1"/>
  <c r="M147" i="1" s="1"/>
  <c r="O130" i="2"/>
  <c r="M130" i="2"/>
  <c r="P130" i="2" s="1"/>
  <c r="K132" i="2"/>
  <c r="N132" i="2" s="1"/>
  <c r="J133" i="2"/>
  <c r="L131" i="2"/>
  <c r="O131" i="2" s="1"/>
  <c r="Q129" i="2"/>
  <c r="V39" i="3" l="1"/>
  <c r="E40" i="3"/>
  <c r="T20" i="3"/>
  <c r="P21" i="3" s="1"/>
  <c r="Q21" i="3" s="1"/>
  <c r="U21" i="3" s="1"/>
  <c r="J38" i="3"/>
  <c r="K37" i="3"/>
  <c r="L37" i="3" s="1"/>
  <c r="K70" i="3"/>
  <c r="L70" i="3" s="1"/>
  <c r="J71" i="3"/>
  <c r="Q130" i="2"/>
  <c r="M131" i="2"/>
  <c r="P131" i="2" s="1"/>
  <c r="Q131" i="2" s="1"/>
  <c r="L148" i="1"/>
  <c r="M148" i="1" s="1"/>
  <c r="K133" i="2"/>
  <c r="N133" i="2" s="1"/>
  <c r="J134" i="2"/>
  <c r="K149" i="1"/>
  <c r="M149" i="1" s="1"/>
  <c r="J150" i="1"/>
  <c r="L149" i="1"/>
  <c r="L132" i="2"/>
  <c r="E41" i="3" l="1"/>
  <c r="V40" i="3"/>
  <c r="M70" i="3"/>
  <c r="M37" i="3"/>
  <c r="K38" i="3"/>
  <c r="L38" i="3" s="1"/>
  <c r="M38" i="3" s="1"/>
  <c r="J39" i="3"/>
  <c r="K71" i="3"/>
  <c r="L71" i="3" s="1"/>
  <c r="J72" i="3"/>
  <c r="R21" i="3"/>
  <c r="N22" i="3" s="1"/>
  <c r="O132" i="2"/>
  <c r="M132" i="2"/>
  <c r="P132" i="2" s="1"/>
  <c r="J151" i="1"/>
  <c r="K150" i="1"/>
  <c r="L150" i="1" s="1"/>
  <c r="M133" i="2"/>
  <c r="P133" i="2" s="1"/>
  <c r="Q133" i="2"/>
  <c r="L133" i="2"/>
  <c r="O133" i="2" s="1"/>
  <c r="K134" i="2"/>
  <c r="N134" i="2" s="1"/>
  <c r="J135" i="2"/>
  <c r="E42" i="3" l="1"/>
  <c r="V41" i="3"/>
  <c r="M71" i="3"/>
  <c r="S21" i="3"/>
  <c r="O22" i="3" s="1"/>
  <c r="K72" i="3"/>
  <c r="J73" i="3"/>
  <c r="J40" i="3"/>
  <c r="K39" i="3"/>
  <c r="L39" i="3" s="1"/>
  <c r="M39" i="3" s="1"/>
  <c r="K151" i="1"/>
  <c r="L151" i="1"/>
  <c r="M151" i="1" s="1"/>
  <c r="J152" i="1"/>
  <c r="K135" i="2"/>
  <c r="N135" i="2" s="1"/>
  <c r="J136" i="2"/>
  <c r="M150" i="1"/>
  <c r="L134" i="2"/>
  <c r="Q132" i="2"/>
  <c r="T21" i="3" l="1"/>
  <c r="P22" i="3" s="1"/>
  <c r="V42" i="3"/>
  <c r="E43" i="3"/>
  <c r="Q22" i="3"/>
  <c r="U22" i="3" s="1"/>
  <c r="R22" i="3" s="1"/>
  <c r="N23" i="3" s="1"/>
  <c r="K73" i="3"/>
  <c r="J74" i="3"/>
  <c r="L72" i="3"/>
  <c r="M72" i="3" s="1"/>
  <c r="K40" i="3"/>
  <c r="L40" i="3" s="1"/>
  <c r="M40" i="3" s="1"/>
  <c r="J41" i="3"/>
  <c r="K136" i="2"/>
  <c r="N136" i="2" s="1"/>
  <c r="J137" i="2"/>
  <c r="K152" i="1"/>
  <c r="L152" i="1"/>
  <c r="M152" i="1" s="1"/>
  <c r="J153" i="1"/>
  <c r="L135" i="2"/>
  <c r="O134" i="2"/>
  <c r="M134" i="2"/>
  <c r="P134" i="2" s="1"/>
  <c r="E44" i="3" l="1"/>
  <c r="V43" i="3"/>
  <c r="K74" i="3"/>
  <c r="J75" i="3"/>
  <c r="L73" i="3"/>
  <c r="M73" i="3" s="1"/>
  <c r="S22" i="3"/>
  <c r="O23" i="3" s="1"/>
  <c r="J42" i="3"/>
  <c r="K41" i="3"/>
  <c r="L41" i="3" s="1"/>
  <c r="M41" i="3" s="1"/>
  <c r="K137" i="2"/>
  <c r="N137" i="2" s="1"/>
  <c r="J138" i="2"/>
  <c r="Q134" i="2"/>
  <c r="J154" i="1"/>
  <c r="K153" i="1"/>
  <c r="L153" i="1" s="1"/>
  <c r="M153" i="1" s="1"/>
  <c r="O135" i="2"/>
  <c r="M135" i="2"/>
  <c r="P135" i="2" s="1"/>
  <c r="L136" i="2"/>
  <c r="O136" i="2" s="1"/>
  <c r="E45" i="3" l="1"/>
  <c r="V44" i="3"/>
  <c r="T22" i="3"/>
  <c r="P23" i="3" s="1"/>
  <c r="Q23" i="3" s="1"/>
  <c r="U23" i="3" s="1"/>
  <c r="R23" i="3" s="1"/>
  <c r="N24" i="3" s="1"/>
  <c r="L74" i="3"/>
  <c r="M74" i="3" s="1"/>
  <c r="J76" i="3"/>
  <c r="K75" i="3"/>
  <c r="L75" i="3" s="1"/>
  <c r="K42" i="3"/>
  <c r="L42" i="3" s="1"/>
  <c r="M42" i="3" s="1"/>
  <c r="M136" i="2"/>
  <c r="P136" i="2" s="1"/>
  <c r="Q136" i="2" s="1"/>
  <c r="K138" i="2"/>
  <c r="N138" i="2" s="1"/>
  <c r="J139" i="2"/>
  <c r="J155" i="1"/>
  <c r="K154" i="1"/>
  <c r="L154" i="1"/>
  <c r="M154" i="1" s="1"/>
  <c r="Q135" i="2"/>
  <c r="L137" i="2"/>
  <c r="E46" i="3" l="1"/>
  <c r="V45" i="3"/>
  <c r="M75" i="3"/>
  <c r="J77" i="3"/>
  <c r="K76" i="3"/>
  <c r="L76" i="3" s="1"/>
  <c r="S23" i="3"/>
  <c r="O24" i="3" s="1"/>
  <c r="J156" i="1"/>
  <c r="K155" i="1"/>
  <c r="K139" i="2"/>
  <c r="N139" i="2" s="1"/>
  <c r="J140" i="2"/>
  <c r="O137" i="2"/>
  <c r="M137" i="2"/>
  <c r="P137" i="2" s="1"/>
  <c r="L138" i="2"/>
  <c r="O138" i="2" s="1"/>
  <c r="E47" i="3" l="1"/>
  <c r="V46" i="3"/>
  <c r="T23" i="3"/>
  <c r="P24" i="3" s="1"/>
  <c r="Q24" i="3" s="1"/>
  <c r="U24" i="3" s="1"/>
  <c r="M76" i="3"/>
  <c r="K77" i="3"/>
  <c r="L77" i="3" s="1"/>
  <c r="J78" i="3"/>
  <c r="L139" i="2"/>
  <c r="O139" i="2" s="1"/>
  <c r="L155" i="1"/>
  <c r="M155" i="1" s="1"/>
  <c r="L156" i="1"/>
  <c r="J157" i="1"/>
  <c r="K156" i="1"/>
  <c r="M156" i="1" s="1"/>
  <c r="K140" i="2"/>
  <c r="N140" i="2" s="1"/>
  <c r="J141" i="2"/>
  <c r="M138" i="2"/>
  <c r="P138" i="2" s="1"/>
  <c r="Q138" i="2" s="1"/>
  <c r="Q137" i="2"/>
  <c r="E48" i="3" l="1"/>
  <c r="V47" i="3"/>
  <c r="R24" i="3"/>
  <c r="N25" i="3" s="1"/>
  <c r="M77" i="3"/>
  <c r="K78" i="3"/>
  <c r="J79" i="3"/>
  <c r="J158" i="1"/>
  <c r="K157" i="1"/>
  <c r="K141" i="2"/>
  <c r="N141" i="2" s="1"/>
  <c r="J142" i="2"/>
  <c r="M139" i="2"/>
  <c r="P139" i="2" s="1"/>
  <c r="Q139" i="2" s="1"/>
  <c r="L140" i="2"/>
  <c r="O140" i="2" s="1"/>
  <c r="E49" i="3" l="1"/>
  <c r="V48" i="3"/>
  <c r="K79" i="3"/>
  <c r="L79" i="3" s="1"/>
  <c r="J80" i="3"/>
  <c r="L78" i="3"/>
  <c r="M78" i="3" s="1"/>
  <c r="S24" i="3"/>
  <c r="O25" i="3" s="1"/>
  <c r="M140" i="2"/>
  <c r="P140" i="2" s="1"/>
  <c r="Q140" i="2" s="1"/>
  <c r="L141" i="2"/>
  <c r="O141" i="2" s="1"/>
  <c r="L157" i="1"/>
  <c r="M157" i="1" s="1"/>
  <c r="K158" i="1"/>
  <c r="J159" i="1"/>
  <c r="J143" i="2"/>
  <c r="K142" i="2"/>
  <c r="N142" i="2" s="1"/>
  <c r="L142" i="2"/>
  <c r="O142" i="2" s="1"/>
  <c r="E50" i="3" l="1"/>
  <c r="V49" i="3"/>
  <c r="T24" i="3"/>
  <c r="P25" i="3" s="1"/>
  <c r="Q25" i="3" s="1"/>
  <c r="U25" i="3" s="1"/>
  <c r="R25" i="3" s="1"/>
  <c r="N26" i="3" s="1"/>
  <c r="K80" i="3"/>
  <c r="L80" i="3" s="1"/>
  <c r="J81" i="3"/>
  <c r="M79" i="3"/>
  <c r="J144" i="2"/>
  <c r="K143" i="2"/>
  <c r="N143" i="2" s="1"/>
  <c r="M142" i="2"/>
  <c r="P142" i="2" s="1"/>
  <c r="Q142" i="2" s="1"/>
  <c r="L158" i="1"/>
  <c r="M158" i="1" s="1"/>
  <c r="M141" i="2"/>
  <c r="P141" i="2" s="1"/>
  <c r="Q141" i="2" s="1"/>
  <c r="J160" i="1"/>
  <c r="K159" i="1"/>
  <c r="V50" i="3" l="1"/>
  <c r="E51" i="3"/>
  <c r="K81" i="3"/>
  <c r="L81" i="3" s="1"/>
  <c r="J82" i="3"/>
  <c r="M80" i="3"/>
  <c r="S25" i="3"/>
  <c r="O26" i="3" s="1"/>
  <c r="K160" i="1"/>
  <c r="M160" i="1" s="1"/>
  <c r="L160" i="1"/>
  <c r="J161" i="1"/>
  <c r="K144" i="2"/>
  <c r="N144" i="2" s="1"/>
  <c r="J145" i="2"/>
  <c r="L159" i="1"/>
  <c r="M159" i="1" s="1"/>
  <c r="L143" i="2"/>
  <c r="O143" i="2" s="1"/>
  <c r="E52" i="3" l="1"/>
  <c r="V51" i="3"/>
  <c r="T25" i="3"/>
  <c r="P26" i="3" s="1"/>
  <c r="Q26" i="3" s="1"/>
  <c r="U26" i="3" s="1"/>
  <c r="K82" i="3"/>
  <c r="L82" i="3" s="1"/>
  <c r="J83" i="3"/>
  <c r="M81" i="3"/>
  <c r="M143" i="2"/>
  <c r="P143" i="2" s="1"/>
  <c r="Q143" i="2" s="1"/>
  <c r="K161" i="1"/>
  <c r="L161" i="1" s="1"/>
  <c r="M161" i="1" s="1"/>
  <c r="J162" i="1"/>
  <c r="K145" i="2"/>
  <c r="N145" i="2" s="1"/>
  <c r="J146" i="2"/>
  <c r="L144" i="2"/>
  <c r="O144" i="2" s="1"/>
  <c r="E53" i="3" l="1"/>
  <c r="V52" i="3"/>
  <c r="R26" i="3"/>
  <c r="N27" i="3" s="1"/>
  <c r="J84" i="3"/>
  <c r="K83" i="3"/>
  <c r="L83" i="3" s="1"/>
  <c r="M82" i="3"/>
  <c r="M144" i="2"/>
  <c r="P144" i="2" s="1"/>
  <c r="Q144" i="2" s="1"/>
  <c r="J163" i="1"/>
  <c r="K162" i="1"/>
  <c r="L162" i="1" s="1"/>
  <c r="M162" i="1" s="1"/>
  <c r="M145" i="2"/>
  <c r="P145" i="2" s="1"/>
  <c r="Q145" i="2" s="1"/>
  <c r="J147" i="2"/>
  <c r="K146" i="2"/>
  <c r="N146" i="2" s="1"/>
  <c r="L145" i="2"/>
  <c r="O145" i="2" s="1"/>
  <c r="V53" i="3" l="1"/>
  <c r="E54" i="3"/>
  <c r="M83" i="3"/>
  <c r="J85" i="3"/>
  <c r="K84" i="3"/>
  <c r="L84" i="3" s="1"/>
  <c r="S26" i="3"/>
  <c r="O27" i="3" s="1"/>
  <c r="J164" i="1"/>
  <c r="K163" i="1"/>
  <c r="L163" i="1" s="1"/>
  <c r="L146" i="2"/>
  <c r="O146" i="2" s="1"/>
  <c r="J148" i="2"/>
  <c r="K147" i="2"/>
  <c r="N147" i="2" s="1"/>
  <c r="E55" i="3" l="1"/>
  <c r="V54" i="3"/>
  <c r="T26" i="3"/>
  <c r="P27" i="3" s="1"/>
  <c r="Q27" i="3" s="1"/>
  <c r="U27" i="3" s="1"/>
  <c r="K85" i="3"/>
  <c r="L85" i="3" s="1"/>
  <c r="J86" i="3"/>
  <c r="M84" i="3"/>
  <c r="K148" i="2"/>
  <c r="N148" i="2" s="1"/>
  <c r="J149" i="2"/>
  <c r="M163" i="1"/>
  <c r="M146" i="2"/>
  <c r="P146" i="2" s="1"/>
  <c r="Q146" i="2" s="1"/>
  <c r="J165" i="1"/>
  <c r="K164" i="1"/>
  <c r="L164" i="1" s="1"/>
  <c r="L147" i="2"/>
  <c r="O147" i="2" s="1"/>
  <c r="E56" i="3" l="1"/>
  <c r="V55" i="3"/>
  <c r="R27" i="3"/>
  <c r="N28" i="3" s="1"/>
  <c r="M85" i="3"/>
  <c r="K86" i="3"/>
  <c r="L86" i="3" s="1"/>
  <c r="J87" i="3"/>
  <c r="M147" i="2"/>
  <c r="P147" i="2" s="1"/>
  <c r="Q147" i="2" s="1"/>
  <c r="M164" i="1"/>
  <c r="L148" i="2"/>
  <c r="O148" i="2" s="1"/>
  <c r="K149" i="2"/>
  <c r="N149" i="2" s="1"/>
  <c r="J150" i="2"/>
  <c r="J166" i="1"/>
  <c r="K165" i="1"/>
  <c r="V56" i="3" l="1"/>
  <c r="E57" i="3"/>
  <c r="J88" i="3"/>
  <c r="K87" i="3"/>
  <c r="M86" i="3"/>
  <c r="S27" i="3"/>
  <c r="O28" i="3" s="1"/>
  <c r="L165" i="1"/>
  <c r="M165" i="1" s="1"/>
  <c r="K166" i="1"/>
  <c r="M166" i="1" s="1"/>
  <c r="J167" i="1"/>
  <c r="L166" i="1"/>
  <c r="L149" i="2"/>
  <c r="O149" i="2" s="1"/>
  <c r="J151" i="2"/>
  <c r="K150" i="2"/>
  <c r="N150" i="2" s="1"/>
  <c r="L150" i="2"/>
  <c r="O150" i="2" s="1"/>
  <c r="M148" i="2"/>
  <c r="P148" i="2" s="1"/>
  <c r="Q148" i="2" s="1"/>
  <c r="M149" i="2"/>
  <c r="P149" i="2" s="1"/>
  <c r="Q149" i="2" s="1"/>
  <c r="E58" i="3" l="1"/>
  <c r="V57" i="3"/>
  <c r="T27" i="3"/>
  <c r="P28" i="3" s="1"/>
  <c r="Q28" i="3" s="1"/>
  <c r="U28" i="3" s="1"/>
  <c r="L87" i="3"/>
  <c r="M87" i="3" s="1"/>
  <c r="J89" i="3"/>
  <c r="K88" i="3"/>
  <c r="L88" i="3" s="1"/>
  <c r="J168" i="1"/>
  <c r="K167" i="1"/>
  <c r="J152" i="2"/>
  <c r="K151" i="2"/>
  <c r="N151" i="2" s="1"/>
  <c r="L151" i="2"/>
  <c r="O151" i="2" s="1"/>
  <c r="M150" i="2"/>
  <c r="P150" i="2" s="1"/>
  <c r="Q150" i="2"/>
  <c r="E59" i="3" l="1"/>
  <c r="V58" i="3"/>
  <c r="R28" i="3"/>
  <c r="N29" i="3" s="1"/>
  <c r="M88" i="3"/>
  <c r="J90" i="3"/>
  <c r="K89" i="3"/>
  <c r="L89" i="3" s="1"/>
  <c r="M151" i="2"/>
  <c r="P151" i="2" s="1"/>
  <c r="Q151" i="2"/>
  <c r="K152" i="2"/>
  <c r="N152" i="2" s="1"/>
  <c r="J153" i="2"/>
  <c r="L167" i="1"/>
  <c r="M167" i="1" s="1"/>
  <c r="K168" i="1"/>
  <c r="L168" i="1"/>
  <c r="J169" i="1"/>
  <c r="M168" i="1"/>
  <c r="V59" i="3" l="1"/>
  <c r="E60" i="3"/>
  <c r="J91" i="3"/>
  <c r="K90" i="3"/>
  <c r="M89" i="3"/>
  <c r="S28" i="3"/>
  <c r="O29" i="3" s="1"/>
  <c r="K153" i="2"/>
  <c r="N153" i="2" s="1"/>
  <c r="J154" i="2"/>
  <c r="L152" i="2"/>
  <c r="O152" i="2" s="1"/>
  <c r="K169" i="1"/>
  <c r="M169" i="1" s="1"/>
  <c r="L169" i="1"/>
  <c r="J170" i="1"/>
  <c r="E61" i="3" l="1"/>
  <c r="V60" i="3"/>
  <c r="T28" i="3"/>
  <c r="P29" i="3" s="1"/>
  <c r="Q29" i="3" s="1"/>
  <c r="U29" i="3" s="1"/>
  <c r="J92" i="3"/>
  <c r="K91" i="3"/>
  <c r="L90" i="3"/>
  <c r="M90" i="3" s="1"/>
  <c r="J155" i="2"/>
  <c r="K154" i="2"/>
  <c r="N154" i="2" s="1"/>
  <c r="K170" i="1"/>
  <c r="L153" i="2"/>
  <c r="M152" i="2"/>
  <c r="P152" i="2" s="1"/>
  <c r="Q152" i="2" s="1"/>
  <c r="E62" i="3" l="1"/>
  <c r="V61" i="3"/>
  <c r="R29" i="3"/>
  <c r="N30" i="3" s="1"/>
  <c r="J93" i="3"/>
  <c r="K92" i="3"/>
  <c r="L92" i="3" s="1"/>
  <c r="L91" i="3"/>
  <c r="M91" i="3" s="1"/>
  <c r="L154" i="2"/>
  <c r="O154" i="2" s="1"/>
  <c r="Q154" i="2" s="1"/>
  <c r="M154" i="2"/>
  <c r="P154" i="2" s="1"/>
  <c r="L170" i="1"/>
  <c r="M170" i="1" s="1"/>
  <c r="J156" i="2"/>
  <c r="K155" i="2"/>
  <c r="N155" i="2" s="1"/>
  <c r="L155" i="2"/>
  <c r="O155" i="2" s="1"/>
  <c r="O153" i="2"/>
  <c r="Q153" i="2" s="1"/>
  <c r="M153" i="2"/>
  <c r="P153" i="2" s="1"/>
  <c r="V62" i="3" l="1"/>
  <c r="E63" i="3"/>
  <c r="M92" i="3"/>
  <c r="S29" i="3"/>
  <c r="J94" i="3"/>
  <c r="K93" i="3"/>
  <c r="K156" i="2"/>
  <c r="N156" i="2" s="1"/>
  <c r="J157" i="2"/>
  <c r="M155" i="2"/>
  <c r="P155" i="2" s="1"/>
  <c r="Q155" i="2" s="1"/>
  <c r="E64" i="3" l="1"/>
  <c r="V63" i="3"/>
  <c r="L93" i="3"/>
  <c r="M93" i="3" s="1"/>
  <c r="J95" i="3"/>
  <c r="K94" i="3"/>
  <c r="T29" i="3"/>
  <c r="Q30" i="3" s="1"/>
  <c r="U30" i="3" s="1"/>
  <c r="K157" i="2"/>
  <c r="N157" i="2" s="1"/>
  <c r="L157" i="2"/>
  <c r="O157" i="2" s="1"/>
  <c r="J158" i="2"/>
  <c r="L156" i="2"/>
  <c r="E65" i="3" l="1"/>
  <c r="V64" i="3"/>
  <c r="R30" i="3"/>
  <c r="N31" i="3" s="1"/>
  <c r="J96" i="3"/>
  <c r="K95" i="3"/>
  <c r="L94" i="3"/>
  <c r="M94" i="3" s="1"/>
  <c r="M157" i="2"/>
  <c r="P157" i="2" s="1"/>
  <c r="O156" i="2"/>
  <c r="M156" i="2"/>
  <c r="P156" i="2" s="1"/>
  <c r="J159" i="2"/>
  <c r="K158" i="2"/>
  <c r="N158" i="2" s="1"/>
  <c r="Q157" i="2"/>
  <c r="V65" i="3" l="1"/>
  <c r="E66" i="3"/>
  <c r="S30" i="3"/>
  <c r="O31" i="3" s="1"/>
  <c r="J97" i="3"/>
  <c r="K96" i="3"/>
  <c r="L95" i="3"/>
  <c r="M95" i="3" s="1"/>
  <c r="J160" i="2"/>
  <c r="K159" i="2"/>
  <c r="N159" i="2" s="1"/>
  <c r="L158" i="2"/>
  <c r="O158" i="2" s="1"/>
  <c r="Q156" i="2"/>
  <c r="E67" i="3" l="1"/>
  <c r="V66" i="3"/>
  <c r="K97" i="3"/>
  <c r="J98" i="3"/>
  <c r="L96" i="3"/>
  <c r="M96" i="3" s="1"/>
  <c r="T30" i="3"/>
  <c r="P31" i="3" s="1"/>
  <c r="Q31" i="3" s="1"/>
  <c r="U31" i="3" s="1"/>
  <c r="M158" i="2"/>
  <c r="P158" i="2" s="1"/>
  <c r="Q158" i="2" s="1"/>
  <c r="L159" i="2"/>
  <c r="O159" i="2" s="1"/>
  <c r="K160" i="2"/>
  <c r="N160" i="2" s="1"/>
  <c r="J161" i="2"/>
  <c r="E68" i="3" l="1"/>
  <c r="V67" i="3"/>
  <c r="R31" i="3"/>
  <c r="N32" i="3" s="1"/>
  <c r="J99" i="3"/>
  <c r="K98" i="3"/>
  <c r="L98" i="3" s="1"/>
  <c r="L97" i="3"/>
  <c r="M97" i="3" s="1"/>
  <c r="M159" i="2"/>
  <c r="P159" i="2" s="1"/>
  <c r="Q159" i="2" s="1"/>
  <c r="L160" i="2"/>
  <c r="O160" i="2" s="1"/>
  <c r="K161" i="2"/>
  <c r="N161" i="2" s="1"/>
  <c r="J162" i="2"/>
  <c r="E69" i="3" l="1"/>
  <c r="V68" i="3"/>
  <c r="J100" i="3"/>
  <c r="K99" i="3"/>
  <c r="L99" i="3" s="1"/>
  <c r="M98" i="3"/>
  <c r="S31" i="3"/>
  <c r="O32" i="3" s="1"/>
  <c r="M160" i="2"/>
  <c r="P160" i="2" s="1"/>
  <c r="Q160" i="2" s="1"/>
  <c r="L161" i="2"/>
  <c r="O161" i="2" s="1"/>
  <c r="J163" i="2"/>
  <c r="K162" i="2"/>
  <c r="N162" i="2" s="1"/>
  <c r="E70" i="3" l="1"/>
  <c r="V69" i="3"/>
  <c r="T31" i="3"/>
  <c r="P32" i="3" s="1"/>
  <c r="Q32" i="3" s="1"/>
  <c r="U32" i="3" s="1"/>
  <c r="M99" i="3"/>
  <c r="K100" i="3"/>
  <c r="J101" i="3"/>
  <c r="J164" i="2"/>
  <c r="K163" i="2"/>
  <c r="N163" i="2" s="1"/>
  <c r="L163" i="2"/>
  <c r="O163" i="2" s="1"/>
  <c r="M162" i="2"/>
  <c r="P162" i="2" s="1"/>
  <c r="Q162" i="2" s="1"/>
  <c r="M161" i="2"/>
  <c r="P161" i="2" s="1"/>
  <c r="Q161" i="2" s="1"/>
  <c r="L162" i="2"/>
  <c r="O162" i="2" s="1"/>
  <c r="E71" i="3" l="1"/>
  <c r="V70" i="3"/>
  <c r="R32" i="3"/>
  <c r="N33" i="3" s="1"/>
  <c r="J102" i="3"/>
  <c r="K101" i="3"/>
  <c r="L100" i="3"/>
  <c r="M100" i="3" s="1"/>
  <c r="M163" i="2"/>
  <c r="P163" i="2" s="1"/>
  <c r="Q163" i="2"/>
  <c r="K164" i="2"/>
  <c r="N164" i="2" s="1"/>
  <c r="J165" i="2"/>
  <c r="E72" i="3" l="1"/>
  <c r="V71" i="3"/>
  <c r="L101" i="3"/>
  <c r="M101" i="3" s="1"/>
  <c r="S32" i="3"/>
  <c r="O33" i="3" s="1"/>
  <c r="K102" i="3"/>
  <c r="J103" i="3"/>
  <c r="K165" i="2"/>
  <c r="N165" i="2" s="1"/>
  <c r="L165" i="2"/>
  <c r="O165" i="2" s="1"/>
  <c r="J166" i="2"/>
  <c r="L164" i="2"/>
  <c r="E73" i="3" l="1"/>
  <c r="V72" i="3"/>
  <c r="L102" i="3"/>
  <c r="M102" i="3" s="1"/>
  <c r="J104" i="3"/>
  <c r="K103" i="3"/>
  <c r="L103" i="3" s="1"/>
  <c r="T32" i="3"/>
  <c r="P33" i="3" s="1"/>
  <c r="Q33" i="3" s="1"/>
  <c r="U33" i="3" s="1"/>
  <c r="J167" i="2"/>
  <c r="K166" i="2"/>
  <c r="N166" i="2" s="1"/>
  <c r="L166" i="2"/>
  <c r="O166" i="2" s="1"/>
  <c r="O164" i="2"/>
  <c r="M164" i="2"/>
  <c r="P164" i="2" s="1"/>
  <c r="M165" i="2"/>
  <c r="P165" i="2" s="1"/>
  <c r="Q165" i="2" s="1"/>
  <c r="V73" i="3" l="1"/>
  <c r="E74" i="3"/>
  <c r="R33" i="3"/>
  <c r="N34" i="3" s="1"/>
  <c r="M103" i="3"/>
  <c r="K104" i="3"/>
  <c r="L104" i="3" s="1"/>
  <c r="J105" i="3"/>
  <c r="Q164" i="2"/>
  <c r="J168" i="2"/>
  <c r="K167" i="2"/>
  <c r="N167" i="2" s="1"/>
  <c r="M167" i="2"/>
  <c r="P167" i="2" s="1"/>
  <c r="L167" i="2"/>
  <c r="O167" i="2" s="1"/>
  <c r="M166" i="2"/>
  <c r="P166" i="2" s="1"/>
  <c r="Q166" i="2" s="1"/>
  <c r="E75" i="3" l="1"/>
  <c r="V74" i="3"/>
  <c r="J106" i="3"/>
  <c r="K105" i="3"/>
  <c r="L105" i="3" s="1"/>
  <c r="M104" i="3"/>
  <c r="S33" i="3"/>
  <c r="O34" i="3" s="1"/>
  <c r="Q167" i="2"/>
  <c r="K168" i="2"/>
  <c r="N168" i="2" s="1"/>
  <c r="J169" i="2"/>
  <c r="E76" i="3" l="1"/>
  <c r="V75" i="3"/>
  <c r="T33" i="3"/>
  <c r="P34" i="3" s="1"/>
  <c r="Q34" i="3" s="1"/>
  <c r="U34" i="3" s="1"/>
  <c r="R34" i="3" s="1"/>
  <c r="N35" i="3" s="1"/>
  <c r="M105" i="3"/>
  <c r="K106" i="3"/>
  <c r="J107" i="3"/>
  <c r="K169" i="2"/>
  <c r="N169" i="2" s="1"/>
  <c r="J170" i="2"/>
  <c r="L168" i="2"/>
  <c r="O168" i="2" s="1"/>
  <c r="V76" i="3" l="1"/>
  <c r="E77" i="3"/>
  <c r="J108" i="3"/>
  <c r="K107" i="3"/>
  <c r="L106" i="3"/>
  <c r="M106" i="3" s="1"/>
  <c r="S34" i="3"/>
  <c r="O35" i="3" s="1"/>
  <c r="M168" i="2"/>
  <c r="P168" i="2" s="1"/>
  <c r="Q168" i="2" s="1"/>
  <c r="K170" i="2"/>
  <c r="N170" i="2" s="1"/>
  <c r="L170" i="2"/>
  <c r="O170" i="2" s="1"/>
  <c r="L169" i="2"/>
  <c r="O169" i="2" s="1"/>
  <c r="E78" i="3" l="1"/>
  <c r="V77" i="3"/>
  <c r="T34" i="3"/>
  <c r="P35" i="3" s="1"/>
  <c r="Q35" i="3" s="1"/>
  <c r="U35" i="3" s="1"/>
  <c r="R35" i="3" s="1"/>
  <c r="N36" i="3" s="1"/>
  <c r="L107" i="3"/>
  <c r="M107" i="3" s="1"/>
  <c r="K108" i="3"/>
  <c r="J109" i="3"/>
  <c r="M169" i="2"/>
  <c r="P169" i="2" s="1"/>
  <c r="Q169" i="2" s="1"/>
  <c r="M170" i="2"/>
  <c r="P170" i="2" s="1"/>
  <c r="Q170" i="2" s="1"/>
  <c r="E79" i="3" l="1"/>
  <c r="V78" i="3"/>
  <c r="L108" i="3"/>
  <c r="M108" i="3" s="1"/>
  <c r="S35" i="3"/>
  <c r="O36" i="3" s="1"/>
  <c r="J110" i="3"/>
  <c r="K109" i="3"/>
  <c r="V79" i="3" l="1"/>
  <c r="E80" i="3"/>
  <c r="L109" i="3"/>
  <c r="M109" i="3" s="1"/>
  <c r="K110" i="3"/>
  <c r="J111" i="3"/>
  <c r="T35" i="3"/>
  <c r="P36" i="3" s="1"/>
  <c r="Q36" i="3" s="1"/>
  <c r="U36" i="3" s="1"/>
  <c r="E81" i="3" l="1"/>
  <c r="V80" i="3"/>
  <c r="R36" i="3"/>
  <c r="N37" i="3" s="1"/>
  <c r="J112" i="3"/>
  <c r="K111" i="3"/>
  <c r="L110" i="3"/>
  <c r="M110" i="3" s="1"/>
  <c r="E82" i="3" l="1"/>
  <c r="V81" i="3"/>
  <c r="L111" i="3"/>
  <c r="M111" i="3" s="1"/>
  <c r="J113" i="3"/>
  <c r="K112" i="3"/>
  <c r="L112" i="3" s="1"/>
  <c r="S36" i="3"/>
  <c r="V82" i="3" l="1"/>
  <c r="E83" i="3"/>
  <c r="M112" i="3"/>
  <c r="O37" i="3"/>
  <c r="T36" i="3"/>
  <c r="P37" i="3" s="1"/>
  <c r="J114" i="3"/>
  <c r="K113" i="3"/>
  <c r="E84" i="3" l="1"/>
  <c r="V83" i="3"/>
  <c r="L113" i="3"/>
  <c r="M113" i="3" s="1"/>
  <c r="K114" i="3"/>
  <c r="L114" i="3" s="1"/>
  <c r="M114" i="3" s="1"/>
  <c r="J115" i="3"/>
  <c r="Q37" i="3"/>
  <c r="U37" i="3" s="1"/>
  <c r="E85" i="3" l="1"/>
  <c r="V84" i="3"/>
  <c r="R37" i="3"/>
  <c r="N38" i="3" s="1"/>
  <c r="J116" i="3"/>
  <c r="K115" i="3"/>
  <c r="V85" i="3" l="1"/>
  <c r="E86" i="3"/>
  <c r="L115" i="3"/>
  <c r="M115" i="3" s="1"/>
  <c r="K116" i="3"/>
  <c r="L116" i="3" s="1"/>
  <c r="J117" i="3"/>
  <c r="S37" i="3"/>
  <c r="O38" i="3" s="1"/>
  <c r="E87" i="3" l="1"/>
  <c r="V86" i="3"/>
  <c r="K117" i="3"/>
  <c r="J118" i="3"/>
  <c r="M116" i="3"/>
  <c r="T37" i="3"/>
  <c r="P38" i="3" s="1"/>
  <c r="Q38" i="3" s="1"/>
  <c r="U38" i="3" s="1"/>
  <c r="E88" i="3" l="1"/>
  <c r="V87" i="3"/>
  <c r="R38" i="3"/>
  <c r="N39" i="3" s="1"/>
  <c r="L117" i="3"/>
  <c r="M117" i="3" s="1"/>
  <c r="K118" i="3"/>
  <c r="J119" i="3"/>
  <c r="E89" i="3" l="1"/>
  <c r="V88" i="3"/>
  <c r="L118" i="3"/>
  <c r="M118" i="3" s="1"/>
  <c r="K119" i="3"/>
  <c r="L119" i="3" s="1"/>
  <c r="J120" i="3"/>
  <c r="S38" i="3"/>
  <c r="O39" i="3" s="1"/>
  <c r="E90" i="3" l="1"/>
  <c r="V89" i="3"/>
  <c r="M119" i="3"/>
  <c r="T38" i="3"/>
  <c r="Q39" i="3" s="1"/>
  <c r="U39" i="3" s="1"/>
  <c r="K120" i="3"/>
  <c r="L120" i="3" s="1"/>
  <c r="M120" i="3" s="1"/>
  <c r="J121" i="3"/>
  <c r="E91" i="3" l="1"/>
  <c r="V90" i="3"/>
  <c r="K121" i="3"/>
  <c r="L121" i="3" s="1"/>
  <c r="J122" i="3"/>
  <c r="R39" i="3"/>
  <c r="N40" i="3" s="1"/>
  <c r="E92" i="3" l="1"/>
  <c r="V91" i="3"/>
  <c r="M121" i="3"/>
  <c r="S39" i="3"/>
  <c r="O40" i="3" s="1"/>
  <c r="K122" i="3"/>
  <c r="L122" i="3" s="1"/>
  <c r="J123" i="3"/>
  <c r="E93" i="3" l="1"/>
  <c r="V92" i="3"/>
  <c r="M122" i="3"/>
  <c r="K123" i="3"/>
  <c r="L123" i="3" s="1"/>
  <c r="M123" i="3" s="1"/>
  <c r="J124" i="3"/>
  <c r="T39" i="3"/>
  <c r="P40" i="3" s="1"/>
  <c r="Q40" i="3" s="1"/>
  <c r="U40" i="3" s="1"/>
  <c r="V93" i="3" l="1"/>
  <c r="E94" i="3"/>
  <c r="R40" i="3"/>
  <c r="N41" i="3" s="1"/>
  <c r="K124" i="3"/>
  <c r="L124" i="3" s="1"/>
  <c r="M124" i="3" s="1"/>
  <c r="J125" i="3"/>
  <c r="E95" i="3" l="1"/>
  <c r="V94" i="3"/>
  <c r="K125" i="3"/>
  <c r="J126" i="3"/>
  <c r="S40" i="3"/>
  <c r="O41" i="3" s="1"/>
  <c r="E96" i="3" l="1"/>
  <c r="V95" i="3"/>
  <c r="T40" i="3"/>
  <c r="P41" i="3" s="1"/>
  <c r="Q41" i="3" s="1"/>
  <c r="U41" i="3" s="1"/>
  <c r="K126" i="3"/>
  <c r="J127" i="3"/>
  <c r="L125" i="3"/>
  <c r="M125" i="3" s="1"/>
  <c r="V96" i="3" l="1"/>
  <c r="E97" i="3"/>
  <c r="L126" i="3"/>
  <c r="M126" i="3" s="1"/>
  <c r="R41" i="3"/>
  <c r="N42" i="3" s="1"/>
  <c r="K127" i="3"/>
  <c r="J128" i="3"/>
  <c r="E98" i="3" l="1"/>
  <c r="V97" i="3"/>
  <c r="L127" i="3"/>
  <c r="M127" i="3" s="1"/>
  <c r="K128" i="3"/>
  <c r="L128" i="3" s="1"/>
  <c r="J129" i="3"/>
  <c r="S41" i="3"/>
  <c r="O42" i="3" s="1"/>
  <c r="E99" i="3" l="1"/>
  <c r="V98" i="3"/>
  <c r="M128" i="3"/>
  <c r="K129" i="3"/>
  <c r="J130" i="3"/>
  <c r="T41" i="3"/>
  <c r="Q42" i="3" s="1"/>
  <c r="U42" i="3" s="1"/>
  <c r="V99" i="3" l="1"/>
  <c r="E100" i="3"/>
  <c r="R42" i="3"/>
  <c r="N43" i="3" s="1"/>
  <c r="K130" i="3"/>
  <c r="J131" i="3"/>
  <c r="L129" i="3"/>
  <c r="M129" i="3" s="1"/>
  <c r="E101" i="3" l="1"/>
  <c r="V100" i="3"/>
  <c r="L130" i="3"/>
  <c r="M130" i="3" s="1"/>
  <c r="K131" i="3"/>
  <c r="L131" i="3" s="1"/>
  <c r="J132" i="3"/>
  <c r="S42" i="3"/>
  <c r="E102" i="3" l="1"/>
  <c r="V101" i="3"/>
  <c r="O43" i="3"/>
  <c r="T42" i="3"/>
  <c r="P43" i="3" s="1"/>
  <c r="M131" i="3"/>
  <c r="K132" i="3"/>
  <c r="J133" i="3"/>
  <c r="V102" i="3" l="1"/>
  <c r="E103" i="3"/>
  <c r="K133" i="3"/>
  <c r="J134" i="3"/>
  <c r="L132" i="3"/>
  <c r="M132" i="3" s="1"/>
  <c r="Q43" i="3"/>
  <c r="U43" i="3" s="1"/>
  <c r="E104" i="3" l="1"/>
  <c r="V103" i="3"/>
  <c r="R43" i="3"/>
  <c r="N44" i="3" s="1"/>
  <c r="K134" i="3"/>
  <c r="L134" i="3" s="1"/>
  <c r="J135" i="3"/>
  <c r="L133" i="3"/>
  <c r="M133" i="3" s="1"/>
  <c r="E105" i="3" l="1"/>
  <c r="V104" i="3"/>
  <c r="M134" i="3"/>
  <c r="S43" i="3"/>
  <c r="O44" i="3" s="1"/>
  <c r="K135" i="3"/>
  <c r="L135" i="3" s="1"/>
  <c r="J136" i="3"/>
  <c r="E106" i="3" l="1"/>
  <c r="V105" i="3"/>
  <c r="T43" i="3"/>
  <c r="P44" i="3" s="1"/>
  <c r="Q44" i="3" s="1"/>
  <c r="U44" i="3" s="1"/>
  <c r="R44" i="3" s="1"/>
  <c r="N45" i="3" s="1"/>
  <c r="M135" i="3"/>
  <c r="J137" i="3"/>
  <c r="K136" i="3"/>
  <c r="L136" i="3" s="1"/>
  <c r="E107" i="3" l="1"/>
  <c r="V106" i="3"/>
  <c r="M136" i="3"/>
  <c r="J138" i="3"/>
  <c r="K137" i="3"/>
  <c r="L137" i="3" s="1"/>
  <c r="S44" i="3"/>
  <c r="O45" i="3" s="1"/>
  <c r="E108" i="3" l="1"/>
  <c r="V107" i="3"/>
  <c r="M137" i="3"/>
  <c r="T44" i="3"/>
  <c r="P45" i="3" s="1"/>
  <c r="Q45" i="3" s="1"/>
  <c r="U45" i="3" s="1"/>
  <c r="J139" i="3"/>
  <c r="K138" i="3"/>
  <c r="E109" i="3" l="1"/>
  <c r="V108" i="3"/>
  <c r="R45" i="3"/>
  <c r="N46" i="3" s="1"/>
  <c r="L138" i="3"/>
  <c r="M138" i="3" s="1"/>
  <c r="K139" i="3"/>
  <c r="L139" i="3" s="1"/>
  <c r="J140" i="3"/>
  <c r="E110" i="3" l="1"/>
  <c r="V109" i="3"/>
  <c r="M139" i="3"/>
  <c r="J141" i="3"/>
  <c r="K140" i="3"/>
  <c r="L140" i="3" s="1"/>
  <c r="S45" i="3"/>
  <c r="O46" i="3" s="1"/>
  <c r="V110" i="3" l="1"/>
  <c r="E111" i="3"/>
  <c r="M140" i="3"/>
  <c r="T45" i="3"/>
  <c r="P46" i="3" s="1"/>
  <c r="Q46" i="3" s="1"/>
  <c r="U46" i="3" s="1"/>
  <c r="K141" i="3"/>
  <c r="L141" i="3" s="1"/>
  <c r="J142" i="3"/>
  <c r="E112" i="3" l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V111" i="3"/>
  <c r="M141" i="3"/>
  <c r="R46" i="3"/>
  <c r="N47" i="3" s="1"/>
  <c r="J143" i="3"/>
  <c r="K142" i="3"/>
  <c r="L142" i="3" s="1"/>
  <c r="K143" i="3" l="1"/>
  <c r="L143" i="3" s="1"/>
  <c r="J144" i="3"/>
  <c r="M142" i="3"/>
  <c r="S46" i="3"/>
  <c r="O47" i="3" s="1"/>
  <c r="T46" i="3" l="1"/>
  <c r="P47" i="3" s="1"/>
  <c r="Q47" i="3" s="1"/>
  <c r="U47" i="3" s="1"/>
  <c r="R47" i="3" s="1"/>
  <c r="N48" i="3" s="1"/>
  <c r="M143" i="3"/>
  <c r="J145" i="3"/>
  <c r="K144" i="3"/>
  <c r="L144" i="3" l="1"/>
  <c r="M144" i="3" s="1"/>
  <c r="J146" i="3"/>
  <c r="K145" i="3"/>
  <c r="S47" i="3"/>
  <c r="O48" i="3" s="1"/>
  <c r="L145" i="3" l="1"/>
  <c r="M145" i="3" s="1"/>
  <c r="K146" i="3"/>
  <c r="J147" i="3"/>
  <c r="L146" i="3"/>
  <c r="T47" i="3"/>
  <c r="P48" i="3" s="1"/>
  <c r="Q48" i="3" s="1"/>
  <c r="U48" i="3" s="1"/>
  <c r="M146" i="3" l="1"/>
  <c r="R48" i="3"/>
  <c r="N49" i="3" s="1"/>
  <c r="K147" i="3"/>
  <c r="L147" i="3" s="1"/>
  <c r="J148" i="3"/>
  <c r="M147" i="3" l="1"/>
  <c r="K148" i="3"/>
  <c r="J149" i="3"/>
  <c r="S48" i="3"/>
  <c r="O49" i="3" s="1"/>
  <c r="T48" i="3" l="1"/>
  <c r="P49" i="3" s="1"/>
  <c r="Q49" i="3" s="1"/>
  <c r="U49" i="3" s="1"/>
  <c r="R49" i="3" s="1"/>
  <c r="N50" i="3" s="1"/>
  <c r="K149" i="3"/>
  <c r="L149" i="3" s="1"/>
  <c r="J150" i="3"/>
  <c r="L148" i="3"/>
  <c r="M148" i="3" s="1"/>
  <c r="M149" i="3" l="1"/>
  <c r="K150" i="3"/>
  <c r="L150" i="3" s="1"/>
  <c r="J151" i="3"/>
  <c r="S49" i="3"/>
  <c r="T49" i="3" l="1"/>
  <c r="Q50" i="3" s="1"/>
  <c r="U50" i="3" s="1"/>
  <c r="M150" i="3"/>
  <c r="K151" i="3"/>
  <c r="L151" i="3" s="1"/>
  <c r="J152" i="3"/>
  <c r="R50" i="3" l="1"/>
  <c r="N51" i="3" s="1"/>
  <c r="J153" i="3"/>
  <c r="K152" i="3"/>
  <c r="M151" i="3"/>
  <c r="L152" i="3" l="1"/>
  <c r="M152" i="3" s="1"/>
  <c r="J154" i="3"/>
  <c r="K153" i="3"/>
  <c r="S50" i="3"/>
  <c r="O51" i="3" s="1"/>
  <c r="L153" i="3" l="1"/>
  <c r="M153" i="3" s="1"/>
  <c r="K154" i="3"/>
  <c r="J155" i="3"/>
  <c r="L154" i="3"/>
  <c r="T50" i="3"/>
  <c r="P51" i="3" s="1"/>
  <c r="Q51" i="3" s="1"/>
  <c r="U51" i="3" s="1"/>
  <c r="M154" i="3" l="1"/>
  <c r="R51" i="3"/>
  <c r="N52" i="3" s="1"/>
  <c r="K155" i="3"/>
  <c r="J156" i="3"/>
  <c r="K156" i="3" l="1"/>
  <c r="J157" i="3"/>
  <c r="L155" i="3"/>
  <c r="M155" i="3" s="1"/>
  <c r="S51" i="3"/>
  <c r="O52" i="3" s="1"/>
  <c r="K157" i="3" l="1"/>
  <c r="J158" i="3"/>
  <c r="L156" i="3"/>
  <c r="M156" i="3" s="1"/>
  <c r="T51" i="3"/>
  <c r="P52" i="3" s="1"/>
  <c r="Q52" i="3" s="1"/>
  <c r="U52" i="3" s="1"/>
  <c r="R52" i="3" l="1"/>
  <c r="N53" i="3" s="1"/>
  <c r="K158" i="3"/>
  <c r="J159" i="3"/>
  <c r="L157" i="3"/>
  <c r="M157" i="3" s="1"/>
  <c r="L158" i="3" l="1"/>
  <c r="M158" i="3" s="1"/>
  <c r="K159" i="3"/>
  <c r="J160" i="3"/>
  <c r="S52" i="3"/>
  <c r="O53" i="3" s="1"/>
  <c r="J161" i="3" l="1"/>
  <c r="K160" i="3"/>
  <c r="L159" i="3"/>
  <c r="M159" i="3" s="1"/>
  <c r="T52" i="3"/>
  <c r="P53" i="3" s="1"/>
  <c r="Q53" i="3" s="1"/>
  <c r="U53" i="3" s="1"/>
  <c r="R53" i="3" l="1"/>
  <c r="N54" i="3" s="1"/>
  <c r="L160" i="3"/>
  <c r="M160" i="3" s="1"/>
  <c r="J162" i="3"/>
  <c r="K161" i="3"/>
  <c r="L161" i="3" s="1"/>
  <c r="M161" i="3" s="1"/>
  <c r="K162" i="3" l="1"/>
  <c r="J163" i="3"/>
  <c r="S53" i="3"/>
  <c r="O54" i="3" s="1"/>
  <c r="T53" i="3" l="1"/>
  <c r="P54" i="3" s="1"/>
  <c r="Q54" i="3" s="1"/>
  <c r="U54" i="3" s="1"/>
  <c r="L162" i="3"/>
  <c r="M162" i="3" s="1"/>
  <c r="K163" i="3"/>
  <c r="L163" i="3" s="1"/>
  <c r="J164" i="3"/>
  <c r="R54" i="3" l="1"/>
  <c r="N55" i="3" s="1"/>
  <c r="K164" i="3"/>
  <c r="J165" i="3"/>
  <c r="M163" i="3"/>
  <c r="K165" i="3" l="1"/>
  <c r="J166" i="3"/>
  <c r="L164" i="3"/>
  <c r="M164" i="3" s="1"/>
  <c r="S54" i="3"/>
  <c r="O55" i="3" s="1"/>
  <c r="K166" i="3" l="1"/>
  <c r="L166" i="3" s="1"/>
  <c r="J167" i="3"/>
  <c r="L165" i="3"/>
  <c r="M165" i="3" s="1"/>
  <c r="T54" i="3"/>
  <c r="P55" i="3" s="1"/>
  <c r="Q55" i="3" s="1"/>
  <c r="U55" i="3" s="1"/>
  <c r="R55" i="3" l="1"/>
  <c r="N56" i="3" s="1"/>
  <c r="K167" i="3"/>
  <c r="J168" i="3"/>
  <c r="M166" i="3"/>
  <c r="L167" i="3" l="1"/>
  <c r="M167" i="3" s="1"/>
  <c r="J169" i="3"/>
  <c r="K168" i="3"/>
  <c r="L168" i="3" s="1"/>
  <c r="S55" i="3"/>
  <c r="O56" i="3" s="1"/>
  <c r="M168" i="3" l="1"/>
  <c r="J170" i="3"/>
  <c r="K169" i="3"/>
  <c r="T55" i="3"/>
  <c r="P56" i="3" s="1"/>
  <c r="Q56" i="3" s="1"/>
  <c r="U56" i="3" s="1"/>
  <c r="R56" i="3" l="1"/>
  <c r="N57" i="3" s="1"/>
  <c r="K170" i="3"/>
  <c r="J171" i="3"/>
  <c r="L169" i="3"/>
  <c r="M169" i="3" s="1"/>
  <c r="K171" i="3" l="1"/>
  <c r="J172" i="3"/>
  <c r="L170" i="3"/>
  <c r="M170" i="3" s="1"/>
  <c r="S56" i="3"/>
  <c r="O57" i="3" s="1"/>
  <c r="K172" i="3" l="1"/>
  <c r="J173" i="3"/>
  <c r="L171" i="3"/>
  <c r="M171" i="3" s="1"/>
  <c r="T56" i="3"/>
  <c r="P57" i="3" s="1"/>
  <c r="Q57" i="3" s="1"/>
  <c r="U57" i="3" s="1"/>
  <c r="R57" i="3" l="1"/>
  <c r="N58" i="3" s="1"/>
  <c r="K173" i="3"/>
  <c r="J174" i="3"/>
  <c r="L172" i="3"/>
  <c r="M172" i="3" s="1"/>
  <c r="K174" i="3" l="1"/>
  <c r="L174" i="3" s="1"/>
  <c r="J175" i="3"/>
  <c r="L173" i="3"/>
  <c r="M173" i="3" s="1"/>
  <c r="S57" i="3"/>
  <c r="O58" i="3" s="1"/>
  <c r="K175" i="3" l="1"/>
  <c r="L175" i="3" s="1"/>
  <c r="J176" i="3"/>
  <c r="M174" i="3"/>
  <c r="T57" i="3"/>
  <c r="P58" i="3" s="1"/>
  <c r="Q58" i="3" s="1"/>
  <c r="U58" i="3" s="1"/>
  <c r="R58" i="3" l="1"/>
  <c r="N59" i="3" s="1"/>
  <c r="J177" i="3"/>
  <c r="K176" i="3"/>
  <c r="M175" i="3"/>
  <c r="L176" i="3" l="1"/>
  <c r="M176" i="3" s="1"/>
  <c r="J178" i="3"/>
  <c r="K177" i="3"/>
  <c r="S58" i="3"/>
  <c r="O59" i="3" s="1"/>
  <c r="L177" i="3" l="1"/>
  <c r="M177" i="3" s="1"/>
  <c r="K178" i="3"/>
  <c r="L178" i="3" s="1"/>
  <c r="J179" i="3"/>
  <c r="T58" i="3"/>
  <c r="P59" i="3" s="1"/>
  <c r="Q59" i="3" s="1"/>
  <c r="U59" i="3" s="1"/>
  <c r="M178" i="3" l="1"/>
  <c r="R59" i="3"/>
  <c r="N60" i="3" s="1"/>
  <c r="K179" i="3"/>
  <c r="J180" i="3"/>
  <c r="K180" i="3" l="1"/>
  <c r="L180" i="3" s="1"/>
  <c r="J181" i="3"/>
  <c r="L179" i="3"/>
  <c r="M179" i="3" s="1"/>
  <c r="S59" i="3"/>
  <c r="O60" i="3" s="1"/>
  <c r="K181" i="3" l="1"/>
  <c r="J182" i="3"/>
  <c r="M180" i="3"/>
  <c r="T59" i="3"/>
  <c r="P60" i="3" s="1"/>
  <c r="Q60" i="3" s="1"/>
  <c r="U60" i="3" s="1"/>
  <c r="R60" i="3" l="1"/>
  <c r="N61" i="3" s="1"/>
  <c r="K182" i="3"/>
  <c r="J183" i="3"/>
  <c r="L181" i="3"/>
  <c r="M181" i="3" s="1"/>
  <c r="K183" i="3" l="1"/>
  <c r="L183" i="3" s="1"/>
  <c r="J184" i="3"/>
  <c r="L182" i="3"/>
  <c r="M182" i="3" s="1"/>
  <c r="S60" i="3"/>
  <c r="O61" i="3" s="1"/>
  <c r="J185" i="3" l="1"/>
  <c r="K184" i="3"/>
  <c r="M183" i="3"/>
  <c r="T60" i="3"/>
  <c r="P61" i="3" s="1"/>
  <c r="Q61" i="3" s="1"/>
  <c r="U61" i="3" s="1"/>
  <c r="R61" i="3" l="1"/>
  <c r="N62" i="3" s="1"/>
  <c r="L184" i="3"/>
  <c r="M184" i="3" s="1"/>
  <c r="J186" i="3"/>
  <c r="K185" i="3"/>
  <c r="L185" i="3" s="1"/>
  <c r="M185" i="3" s="1"/>
  <c r="S61" i="3" l="1"/>
  <c r="O62" i="3" s="1"/>
  <c r="K186" i="3"/>
  <c r="L186" i="3" s="1"/>
  <c r="J187" i="3"/>
  <c r="T61" i="3" l="1"/>
  <c r="P62" i="3" s="1"/>
  <c r="Q62" i="3" s="1"/>
  <c r="U62" i="3" s="1"/>
  <c r="R62" i="3" s="1"/>
  <c r="N63" i="3" s="1"/>
  <c r="M186" i="3"/>
  <c r="K187" i="3"/>
  <c r="J188" i="3"/>
  <c r="L187" i="3" l="1"/>
  <c r="M187" i="3" s="1"/>
  <c r="K188" i="3"/>
  <c r="J189" i="3"/>
  <c r="S62" i="3"/>
  <c r="O63" i="3" s="1"/>
  <c r="K189" i="3" l="1"/>
  <c r="J190" i="3"/>
  <c r="L188" i="3"/>
  <c r="M188" i="3" s="1"/>
  <c r="T62" i="3"/>
  <c r="P63" i="3" s="1"/>
  <c r="Q63" i="3" s="1"/>
  <c r="U63" i="3" s="1"/>
  <c r="R63" i="3" l="1"/>
  <c r="N64" i="3" s="1"/>
  <c r="K190" i="3"/>
  <c r="J191" i="3"/>
  <c r="L189" i="3"/>
  <c r="M189" i="3" s="1"/>
  <c r="S63" i="3" l="1"/>
  <c r="O64" i="3" s="1"/>
  <c r="K191" i="3"/>
  <c r="J192" i="3"/>
  <c r="L190" i="3"/>
  <c r="M190" i="3" s="1"/>
  <c r="J193" i="3" l="1"/>
  <c r="K192" i="3"/>
  <c r="L191" i="3"/>
  <c r="M191" i="3" s="1"/>
  <c r="T63" i="3"/>
  <c r="P64" i="3" s="1"/>
  <c r="Q64" i="3" s="1"/>
  <c r="U64" i="3" s="1"/>
  <c r="R64" i="3" l="1"/>
  <c r="N65" i="3" s="1"/>
  <c r="L192" i="3"/>
  <c r="M192" i="3" s="1"/>
  <c r="J194" i="3"/>
  <c r="K193" i="3"/>
  <c r="L193" i="3" s="1"/>
  <c r="M193" i="3" s="1"/>
  <c r="K194" i="3" l="1"/>
  <c r="J195" i="3"/>
  <c r="L194" i="3"/>
  <c r="S64" i="3"/>
  <c r="O65" i="3" s="1"/>
  <c r="M194" i="3" l="1"/>
  <c r="T64" i="3"/>
  <c r="P65" i="3" s="1"/>
  <c r="Q65" i="3" s="1"/>
  <c r="U65" i="3" s="1"/>
  <c r="K195" i="3"/>
  <c r="J196" i="3"/>
  <c r="R65" i="3" l="1"/>
  <c r="N66" i="3" s="1"/>
  <c r="K196" i="3"/>
  <c r="L196" i="3" s="1"/>
  <c r="J197" i="3"/>
  <c r="L195" i="3"/>
  <c r="M195" i="3" s="1"/>
  <c r="K197" i="3" l="1"/>
  <c r="J198" i="3"/>
  <c r="M196" i="3"/>
  <c r="S65" i="3"/>
  <c r="O66" i="3" s="1"/>
  <c r="T65" i="3" l="1"/>
  <c r="P66" i="3" s="1"/>
  <c r="Q66" i="3" s="1"/>
  <c r="U66" i="3" s="1"/>
  <c r="J199" i="3"/>
  <c r="K198" i="3"/>
  <c r="L197" i="3"/>
  <c r="M197" i="3" s="1"/>
  <c r="R66" i="3" l="1"/>
  <c r="N67" i="3" s="1"/>
  <c r="L198" i="3"/>
  <c r="M198" i="3" s="1"/>
  <c r="K199" i="3"/>
  <c r="J200" i="3"/>
  <c r="S66" i="3" l="1"/>
  <c r="L199" i="3"/>
  <c r="M199" i="3" s="1"/>
  <c r="J201" i="3"/>
  <c r="K200" i="3"/>
  <c r="L200" i="3" s="1"/>
  <c r="M200" i="3" s="1"/>
  <c r="O67" i="3" l="1"/>
  <c r="T66" i="3"/>
  <c r="P67" i="3" s="1"/>
  <c r="K201" i="3"/>
  <c r="J202" i="3"/>
  <c r="Q67" i="3" l="1"/>
  <c r="U67" i="3" s="1"/>
  <c r="R67" i="3" s="1"/>
  <c r="N68" i="3" s="1"/>
  <c r="J203" i="3"/>
  <c r="K202" i="3"/>
  <c r="L202" i="3" s="1"/>
  <c r="L201" i="3"/>
  <c r="M201" i="3" s="1"/>
  <c r="S67" i="3" l="1"/>
  <c r="O68" i="3" s="1"/>
  <c r="K203" i="3"/>
  <c r="L203" i="3" s="1"/>
  <c r="J204" i="3"/>
  <c r="M202" i="3"/>
  <c r="T67" i="3" l="1"/>
  <c r="P68" i="3" s="1"/>
  <c r="Q68" i="3" s="1"/>
  <c r="U68" i="3" s="1"/>
  <c r="R68" i="3" s="1"/>
  <c r="N69" i="3" s="1"/>
  <c r="M203" i="3"/>
  <c r="J205" i="3"/>
  <c r="K204" i="3"/>
  <c r="S68" i="3" l="1"/>
  <c r="O69" i="3" s="1"/>
  <c r="J206" i="3"/>
  <c r="K205" i="3"/>
  <c r="L204" i="3"/>
  <c r="M204" i="3" s="1"/>
  <c r="T68" i="3" l="1"/>
  <c r="P69" i="3" s="1"/>
  <c r="Q69" i="3" s="1"/>
  <c r="U69" i="3" s="1"/>
  <c r="R69" i="3" s="1"/>
  <c r="N70" i="3" s="1"/>
  <c r="L205" i="3"/>
  <c r="M205" i="3" s="1"/>
  <c r="K206" i="3"/>
  <c r="J207" i="3"/>
  <c r="S69" i="3" l="1"/>
  <c r="O70" i="3" s="1"/>
  <c r="J208" i="3"/>
  <c r="K207" i="3"/>
  <c r="L206" i="3"/>
  <c r="M206" i="3" s="1"/>
  <c r="T69" i="3" l="1"/>
  <c r="P70" i="3" s="1"/>
  <c r="Q70" i="3" s="1"/>
  <c r="U70" i="3" s="1"/>
  <c r="R70" i="3" s="1"/>
  <c r="N71" i="3" s="1"/>
  <c r="L207" i="3"/>
  <c r="M207" i="3" s="1"/>
  <c r="K208" i="3"/>
  <c r="J209" i="3"/>
  <c r="L208" i="3" l="1"/>
  <c r="M208" i="3" s="1"/>
  <c r="S70" i="3"/>
  <c r="O71" i="3" s="1"/>
  <c r="J210" i="3"/>
  <c r="K209" i="3"/>
  <c r="K210" i="3" l="1"/>
  <c r="J211" i="3"/>
  <c r="L209" i="3"/>
  <c r="M209" i="3" s="1"/>
  <c r="T70" i="3"/>
  <c r="P71" i="3" s="1"/>
  <c r="Q71" i="3" s="1"/>
  <c r="U71" i="3" s="1"/>
  <c r="R71" i="3" l="1"/>
  <c r="N72" i="3" s="1"/>
  <c r="J212" i="3"/>
  <c r="K211" i="3"/>
  <c r="L211" i="3" s="1"/>
  <c r="L210" i="3"/>
  <c r="M210" i="3" s="1"/>
  <c r="J213" i="3" l="1"/>
  <c r="K212" i="3"/>
  <c r="M211" i="3"/>
  <c r="S71" i="3"/>
  <c r="O72" i="3" s="1"/>
  <c r="T71" i="3" l="1"/>
  <c r="P72" i="3" s="1"/>
  <c r="Q72" i="3" s="1"/>
  <c r="U72" i="3" s="1"/>
  <c r="J214" i="3"/>
  <c r="K213" i="3"/>
  <c r="L212" i="3"/>
  <c r="M212" i="3" s="1"/>
  <c r="R72" i="3" l="1"/>
  <c r="N73" i="3" s="1"/>
  <c r="L213" i="3"/>
  <c r="M213" i="3" s="1"/>
  <c r="K214" i="3"/>
  <c r="J215" i="3"/>
  <c r="L214" i="3" l="1"/>
  <c r="M214" i="3" s="1"/>
  <c r="S72" i="3"/>
  <c r="J216" i="3"/>
  <c r="K215" i="3"/>
  <c r="L215" i="3" s="1"/>
  <c r="M215" i="3" l="1"/>
  <c r="J217" i="3"/>
  <c r="K216" i="3"/>
  <c r="T72" i="3"/>
  <c r="Q73" i="3" s="1"/>
  <c r="U73" i="3" s="1"/>
  <c r="R73" i="3" l="1"/>
  <c r="N74" i="3" s="1"/>
  <c r="L216" i="3"/>
  <c r="M216" i="3" s="1"/>
  <c r="J218" i="3"/>
  <c r="K217" i="3"/>
  <c r="L217" i="3" s="1"/>
  <c r="M217" i="3" s="1"/>
  <c r="S73" i="3" l="1"/>
  <c r="O74" i="3" s="1"/>
  <c r="K218" i="3"/>
  <c r="J219" i="3"/>
  <c r="T73" i="3" l="1"/>
  <c r="P74" i="3" s="1"/>
  <c r="Q74" i="3"/>
  <c r="U74" i="3" s="1"/>
  <c r="R74" i="3" s="1"/>
  <c r="N75" i="3" s="1"/>
  <c r="J220" i="3"/>
  <c r="K219" i="3"/>
  <c r="L219" i="3" s="1"/>
  <c r="L218" i="3"/>
  <c r="M218" i="3" s="1"/>
  <c r="J221" i="3" l="1"/>
  <c r="K220" i="3"/>
  <c r="S74" i="3"/>
  <c r="O75" i="3" s="1"/>
  <c r="M219" i="3"/>
  <c r="T74" i="3" l="1"/>
  <c r="P75" i="3" s="1"/>
  <c r="Q75" i="3" s="1"/>
  <c r="U75" i="3" s="1"/>
  <c r="L220" i="3"/>
  <c r="M220" i="3" s="1"/>
  <c r="J222" i="3"/>
  <c r="K221" i="3"/>
  <c r="L221" i="3" s="1"/>
  <c r="R75" i="3" l="1"/>
  <c r="N76" i="3" s="1"/>
  <c r="M221" i="3"/>
  <c r="J223" i="3"/>
  <c r="K222" i="3"/>
  <c r="L222" i="3" s="1"/>
  <c r="M222" i="3" l="1"/>
  <c r="J224" i="3"/>
  <c r="K223" i="3"/>
  <c r="L223" i="3" s="1"/>
  <c r="S75" i="3"/>
  <c r="O76" i="3" s="1"/>
  <c r="T75" i="3" l="1"/>
  <c r="P76" i="3" s="1"/>
  <c r="Q76" i="3" s="1"/>
  <c r="U76" i="3" s="1"/>
  <c r="M223" i="3"/>
  <c r="J225" i="3"/>
  <c r="K224" i="3"/>
  <c r="R76" i="3" l="1"/>
  <c r="N77" i="3" s="1"/>
  <c r="J226" i="3"/>
  <c r="K225" i="3"/>
  <c r="L225" i="3" s="1"/>
  <c r="L224" i="3"/>
  <c r="M224" i="3" s="1"/>
  <c r="M225" i="3" l="1"/>
  <c r="J227" i="3"/>
  <c r="K226" i="3"/>
  <c r="S76" i="3"/>
  <c r="O77" i="3" s="1"/>
  <c r="T76" i="3" l="1"/>
  <c r="P77" i="3" s="1"/>
  <c r="Q77" i="3" s="1"/>
  <c r="U77" i="3" s="1"/>
  <c r="J228" i="3"/>
  <c r="K227" i="3"/>
  <c r="L227" i="3" s="1"/>
  <c r="L226" i="3"/>
  <c r="M226" i="3" s="1"/>
  <c r="R77" i="3" l="1"/>
  <c r="N78" i="3" s="1"/>
  <c r="M227" i="3"/>
  <c r="J229" i="3"/>
  <c r="K228" i="3"/>
  <c r="L228" i="3" s="1"/>
  <c r="J230" i="3" l="1"/>
  <c r="K229" i="3"/>
  <c r="L229" i="3" s="1"/>
  <c r="M228" i="3"/>
  <c r="S77" i="3"/>
  <c r="O78" i="3" s="1"/>
  <c r="M229" i="3" l="1"/>
  <c r="T77" i="3"/>
  <c r="P78" i="3" s="1"/>
  <c r="Q78" i="3" s="1"/>
  <c r="U78" i="3" s="1"/>
  <c r="J231" i="3"/>
  <c r="K230" i="3"/>
  <c r="L230" i="3" s="1"/>
  <c r="R78" i="3" l="1"/>
  <c r="N79" i="3" s="1"/>
  <c r="M230" i="3"/>
  <c r="J232" i="3"/>
  <c r="K231" i="3"/>
  <c r="L231" i="3" s="1"/>
  <c r="M231" i="3" l="1"/>
  <c r="J233" i="3"/>
  <c r="K232" i="3"/>
  <c r="S78" i="3"/>
  <c r="O79" i="3" s="1"/>
  <c r="L232" i="3" l="1"/>
  <c r="M232" i="3" s="1"/>
  <c r="T78" i="3"/>
  <c r="Q79" i="3" s="1"/>
  <c r="U79" i="3" s="1"/>
  <c r="J234" i="3"/>
  <c r="K233" i="3"/>
  <c r="R79" i="3" l="1"/>
  <c r="N80" i="3" s="1"/>
  <c r="L233" i="3"/>
  <c r="M233" i="3" s="1"/>
  <c r="J235" i="3"/>
  <c r="K234" i="3"/>
  <c r="L234" i="3" s="1"/>
  <c r="M234" i="3" s="1"/>
  <c r="J236" i="3" l="1"/>
  <c r="K235" i="3"/>
  <c r="L235" i="3" s="1"/>
  <c r="S79" i="3"/>
  <c r="O80" i="3" s="1"/>
  <c r="T79" i="3" l="1"/>
  <c r="P80" i="3" s="1"/>
  <c r="Q80" i="3" s="1"/>
  <c r="U80" i="3" s="1"/>
  <c r="R80" i="3" s="1"/>
  <c r="N81" i="3" s="1"/>
  <c r="M235" i="3"/>
  <c r="J237" i="3"/>
  <c r="K236" i="3"/>
  <c r="L236" i="3" l="1"/>
  <c r="M236" i="3" s="1"/>
  <c r="K237" i="3"/>
  <c r="L237" i="3" s="1"/>
  <c r="J238" i="3"/>
  <c r="S80" i="3"/>
  <c r="O81" i="3" s="1"/>
  <c r="M237" i="3" l="1"/>
  <c r="J239" i="3"/>
  <c r="K238" i="3"/>
  <c r="T80" i="3"/>
  <c r="P81" i="3" s="1"/>
  <c r="Q81" i="3" s="1"/>
  <c r="U81" i="3" s="1"/>
  <c r="R81" i="3" l="1"/>
  <c r="N82" i="3" s="1"/>
  <c r="K239" i="3"/>
  <c r="L239" i="3" s="1"/>
  <c r="M239" i="3" s="1"/>
  <c r="J240" i="3"/>
  <c r="L238" i="3"/>
  <c r="M238" i="3" s="1"/>
  <c r="K240" i="3" l="1"/>
  <c r="J241" i="3"/>
  <c r="S81" i="3"/>
  <c r="O82" i="3" s="1"/>
  <c r="T81" i="3" l="1"/>
  <c r="P82" i="3" s="1"/>
  <c r="Q82" i="3" s="1"/>
  <c r="U82" i="3" s="1"/>
  <c r="K241" i="3"/>
  <c r="L241" i="3" s="1"/>
  <c r="J242" i="3"/>
  <c r="L240" i="3"/>
  <c r="M240" i="3" s="1"/>
  <c r="R82" i="3" l="1"/>
  <c r="N83" i="3" s="1"/>
  <c r="J243" i="3"/>
  <c r="K242" i="3"/>
  <c r="L242" i="3" s="1"/>
  <c r="M241" i="3"/>
  <c r="M242" i="3" l="1"/>
  <c r="J244" i="3"/>
  <c r="K243" i="3"/>
  <c r="S82" i="3"/>
  <c r="O83" i="3" s="1"/>
  <c r="T82" i="3" l="1"/>
  <c r="P83" i="3" s="1"/>
  <c r="Q83" i="3" s="1"/>
  <c r="U83" i="3" s="1"/>
  <c r="R83" i="3" s="1"/>
  <c r="N84" i="3" s="1"/>
  <c r="K244" i="3"/>
  <c r="L244" i="3" s="1"/>
  <c r="M244" i="3" s="1"/>
  <c r="J245" i="3"/>
  <c r="L243" i="3"/>
  <c r="M243" i="3" s="1"/>
  <c r="K245" i="3" l="1"/>
  <c r="L245" i="3" s="1"/>
  <c r="J246" i="3"/>
  <c r="S83" i="3"/>
  <c r="O84" i="3" s="1"/>
  <c r="T83" i="3" l="1"/>
  <c r="P84" i="3" s="1"/>
  <c r="Q84" i="3" s="1"/>
  <c r="U84" i="3" s="1"/>
  <c r="K246" i="3"/>
  <c r="J247" i="3"/>
  <c r="M245" i="3"/>
  <c r="R84" i="3" l="1"/>
  <c r="N85" i="3" s="1"/>
  <c r="K247" i="3"/>
  <c r="L247" i="3" s="1"/>
  <c r="J248" i="3"/>
  <c r="L246" i="3"/>
  <c r="M246" i="3" s="1"/>
  <c r="K248" i="3" l="1"/>
  <c r="L248" i="3" s="1"/>
  <c r="J249" i="3"/>
  <c r="M247" i="3"/>
  <c r="S84" i="3"/>
  <c r="O85" i="3" s="1"/>
  <c r="K249" i="3" l="1"/>
  <c r="J250" i="3"/>
  <c r="T84" i="3"/>
  <c r="Q85" i="3" s="1"/>
  <c r="U85" i="3" s="1"/>
  <c r="M248" i="3"/>
  <c r="R85" i="3" l="1"/>
  <c r="N86" i="3" s="1"/>
  <c r="J251" i="3"/>
  <c r="K250" i="3"/>
  <c r="L249" i="3"/>
  <c r="M249" i="3" s="1"/>
  <c r="J252" i="3" l="1"/>
  <c r="K251" i="3"/>
  <c r="L251" i="3" s="1"/>
  <c r="L250" i="3"/>
  <c r="M250" i="3" s="1"/>
  <c r="S85" i="3"/>
  <c r="O86" i="3" s="1"/>
  <c r="M251" i="3" l="1"/>
  <c r="K252" i="3"/>
  <c r="L252" i="3" s="1"/>
  <c r="M252" i="3" s="1"/>
  <c r="J253" i="3"/>
  <c r="T85" i="3"/>
  <c r="P86" i="3" s="1"/>
  <c r="Q86" i="3" s="1"/>
  <c r="U86" i="3" s="1"/>
  <c r="R86" i="3" l="1"/>
  <c r="N87" i="3" s="1"/>
  <c r="K253" i="3"/>
  <c r="L253" i="3" s="1"/>
  <c r="J254" i="3"/>
  <c r="K254" i="3" l="1"/>
  <c r="L254" i="3" s="1"/>
  <c r="J255" i="3"/>
  <c r="M253" i="3"/>
  <c r="S86" i="3"/>
  <c r="O87" i="3" s="1"/>
  <c r="T86" i="3" l="1"/>
  <c r="P87" i="3" s="1"/>
  <c r="Q87" i="3" s="1"/>
  <c r="U87" i="3" s="1"/>
  <c r="K255" i="3"/>
  <c r="J256" i="3"/>
  <c r="M254" i="3"/>
  <c r="R87" i="3" l="1"/>
  <c r="N88" i="3" s="1"/>
  <c r="L255" i="3"/>
  <c r="M255" i="3" s="1"/>
  <c r="K256" i="3"/>
  <c r="L256" i="3" s="1"/>
  <c r="J257" i="3"/>
  <c r="M256" i="3" l="1"/>
  <c r="S87" i="3"/>
  <c r="O88" i="3" s="1"/>
  <c r="K257" i="3"/>
  <c r="J258" i="3"/>
  <c r="L257" i="3" l="1"/>
  <c r="M257" i="3" s="1"/>
  <c r="T87" i="3"/>
  <c r="P88" i="3" s="1"/>
  <c r="Q88" i="3" s="1"/>
  <c r="U88" i="3" s="1"/>
  <c r="J259" i="3"/>
  <c r="K258" i="3"/>
  <c r="R88" i="3" l="1"/>
  <c r="N89" i="3" s="1"/>
  <c r="J260" i="3"/>
  <c r="K259" i="3"/>
  <c r="L259" i="3" s="1"/>
  <c r="L258" i="3"/>
  <c r="M258" i="3" s="1"/>
  <c r="M259" i="3" l="1"/>
  <c r="S88" i="3"/>
  <c r="O89" i="3" s="1"/>
  <c r="K260" i="3"/>
  <c r="L260" i="3" s="1"/>
  <c r="M260" i="3" s="1"/>
  <c r="J261" i="3"/>
  <c r="T88" i="3" l="1"/>
  <c r="P89" i="3" s="1"/>
  <c r="Q89" i="3"/>
  <c r="U89" i="3" s="1"/>
  <c r="R89" i="3" s="1"/>
  <c r="N90" i="3" s="1"/>
  <c r="K261" i="3"/>
  <c r="L261" i="3" s="1"/>
  <c r="J262" i="3"/>
  <c r="M261" i="3" l="1"/>
  <c r="K262" i="3"/>
  <c r="L262" i="3" s="1"/>
  <c r="J263" i="3"/>
  <c r="S89" i="3"/>
  <c r="O90" i="3" s="1"/>
  <c r="K263" i="3" l="1"/>
  <c r="J264" i="3"/>
  <c r="T89" i="3"/>
  <c r="P90" i="3" s="1"/>
  <c r="Q90" i="3" s="1"/>
  <c r="U90" i="3" s="1"/>
  <c r="M262" i="3"/>
  <c r="R90" i="3" l="1"/>
  <c r="N91" i="3" s="1"/>
  <c r="L263" i="3"/>
  <c r="M263" i="3" s="1"/>
  <c r="K264" i="3"/>
  <c r="L264" i="3" s="1"/>
  <c r="J265" i="3"/>
  <c r="M264" i="3" l="1"/>
  <c r="S90" i="3"/>
  <c r="O91" i="3" s="1"/>
  <c r="J266" i="3"/>
  <c r="K265" i="3"/>
  <c r="L265" i="3" s="1"/>
  <c r="T90" i="3" l="1"/>
  <c r="P91" i="3" s="1"/>
  <c r="Q91" i="3" s="1"/>
  <c r="U91" i="3" s="1"/>
  <c r="R91" i="3" s="1"/>
  <c r="N92" i="3" s="1"/>
  <c r="M265" i="3"/>
  <c r="K266" i="3"/>
  <c r="L266" i="3" s="1"/>
  <c r="J267" i="3"/>
  <c r="M266" i="3" l="1"/>
  <c r="K267" i="3"/>
  <c r="L267" i="3" s="1"/>
  <c r="J268" i="3"/>
  <c r="S91" i="3"/>
  <c r="O92" i="3" s="1"/>
  <c r="M267" i="3" l="1"/>
  <c r="K268" i="3"/>
  <c r="L268" i="3" s="1"/>
  <c r="J269" i="3"/>
  <c r="T91" i="3"/>
  <c r="P92" i="3" s="1"/>
  <c r="Q92" i="3" s="1"/>
  <c r="U92" i="3" s="1"/>
  <c r="R92" i="3" l="1"/>
  <c r="N93" i="3" s="1"/>
  <c r="J270" i="3"/>
  <c r="K269" i="3"/>
  <c r="L269" i="3" s="1"/>
  <c r="M268" i="3"/>
  <c r="M269" i="3" l="1"/>
  <c r="K270" i="3"/>
  <c r="J271" i="3"/>
  <c r="S92" i="3"/>
  <c r="T92" i="3" l="1"/>
  <c r="Q93" i="3" s="1"/>
  <c r="U93" i="3" s="1"/>
  <c r="L270" i="3"/>
  <c r="M270" i="3" s="1"/>
  <c r="K271" i="3"/>
  <c r="J272" i="3"/>
  <c r="R93" i="3" l="1"/>
  <c r="N94" i="3" s="1"/>
  <c r="K272" i="3"/>
  <c r="L272" i="3" s="1"/>
  <c r="J273" i="3"/>
  <c r="L271" i="3"/>
  <c r="M271" i="3" s="1"/>
  <c r="J274" i="3" l="1"/>
  <c r="K273" i="3"/>
  <c r="L273" i="3" s="1"/>
  <c r="S93" i="3"/>
  <c r="O94" i="3" s="1"/>
  <c r="M272" i="3"/>
  <c r="T93" i="3" l="1"/>
  <c r="P94" i="3" s="1"/>
  <c r="Q94" i="3" s="1"/>
  <c r="U94" i="3" s="1"/>
  <c r="R94" i="3" s="1"/>
  <c r="N95" i="3" s="1"/>
  <c r="M273" i="3"/>
  <c r="K274" i="3"/>
  <c r="L274" i="3" s="1"/>
  <c r="J275" i="3"/>
  <c r="K275" i="3" l="1"/>
  <c r="L275" i="3" s="1"/>
  <c r="M275" i="3" s="1"/>
  <c r="J276" i="3"/>
  <c r="M274" i="3"/>
  <c r="S94" i="3"/>
  <c r="O95" i="3" s="1"/>
  <c r="K276" i="3" l="1"/>
  <c r="L276" i="3" s="1"/>
  <c r="J277" i="3"/>
  <c r="T94" i="3"/>
  <c r="P95" i="3" s="1"/>
  <c r="Q95" i="3" s="1"/>
  <c r="U95" i="3" s="1"/>
  <c r="R95" i="3" l="1"/>
  <c r="N96" i="3" s="1"/>
  <c r="J278" i="3"/>
  <c r="K277" i="3"/>
  <c r="L277" i="3" s="1"/>
  <c r="M276" i="3"/>
  <c r="M277" i="3" l="1"/>
  <c r="J279" i="3"/>
  <c r="K278" i="3"/>
  <c r="L278" i="3" s="1"/>
  <c r="S95" i="3"/>
  <c r="O96" i="3" s="1"/>
  <c r="T95" i="3" l="1"/>
  <c r="Q96" i="3" s="1"/>
  <c r="U96" i="3" s="1"/>
  <c r="R96" i="3" s="1"/>
  <c r="N97" i="3" s="1"/>
  <c r="M278" i="3"/>
  <c r="K279" i="3"/>
  <c r="L279" i="3" s="1"/>
  <c r="M279" i="3" s="1"/>
  <c r="J280" i="3"/>
  <c r="S96" i="3" l="1"/>
  <c r="O97" i="3" s="1"/>
  <c r="J281" i="3"/>
  <c r="K280" i="3"/>
  <c r="L280" i="3" s="1"/>
  <c r="T96" i="3" l="1"/>
  <c r="P97" i="3" s="1"/>
  <c r="Q97" i="3" s="1"/>
  <c r="U97" i="3" s="1"/>
  <c r="R97" i="3" s="1"/>
  <c r="N98" i="3" s="1"/>
  <c r="J282" i="3"/>
  <c r="K281" i="3"/>
  <c r="L281" i="3" s="1"/>
  <c r="M280" i="3"/>
  <c r="M281" i="3" l="1"/>
  <c r="J283" i="3"/>
  <c r="K282" i="3"/>
  <c r="S97" i="3"/>
  <c r="O98" i="3" s="1"/>
  <c r="T97" i="3" l="1"/>
  <c r="P98" i="3" s="1"/>
  <c r="Q98" i="3" s="1"/>
  <c r="U98" i="3" s="1"/>
  <c r="R98" i="3" s="1"/>
  <c r="K283" i="3"/>
  <c r="J284" i="3"/>
  <c r="L282" i="3"/>
  <c r="M282" i="3" s="1"/>
  <c r="N99" i="3" l="1"/>
  <c r="S98" i="3"/>
  <c r="O99" i="3" s="1"/>
  <c r="L283" i="3"/>
  <c r="M283" i="3" s="1"/>
  <c r="J285" i="3"/>
  <c r="K284" i="3"/>
  <c r="L284" i="3" s="1"/>
  <c r="T98" i="3" l="1"/>
  <c r="Q99" i="3" s="1"/>
  <c r="U99" i="3" s="1"/>
  <c r="R99" i="3" s="1"/>
  <c r="N100" i="3" s="1"/>
  <c r="J286" i="3"/>
  <c r="K285" i="3"/>
  <c r="M284" i="3"/>
  <c r="J287" i="3" l="1"/>
  <c r="K286" i="3"/>
  <c r="L286" i="3" s="1"/>
  <c r="L285" i="3"/>
  <c r="M285" i="3" s="1"/>
  <c r="S99" i="3"/>
  <c r="O100" i="3" s="1"/>
  <c r="M286" i="3" l="1"/>
  <c r="K287" i="3"/>
  <c r="L287" i="3" s="1"/>
  <c r="J288" i="3"/>
  <c r="T99" i="3"/>
  <c r="P100" i="3" s="1"/>
  <c r="Q100" i="3" s="1"/>
  <c r="U100" i="3" s="1"/>
  <c r="R100" i="3" l="1"/>
  <c r="N101" i="3" s="1"/>
  <c r="J289" i="3"/>
  <c r="K288" i="3"/>
  <c r="L288" i="3" s="1"/>
  <c r="M287" i="3"/>
  <c r="S100" i="3" l="1"/>
  <c r="O101" i="3" s="1"/>
  <c r="J290" i="3"/>
  <c r="K289" i="3"/>
  <c r="L289" i="3" s="1"/>
  <c r="M288" i="3"/>
  <c r="T100" i="3" l="1"/>
  <c r="P101" i="3" s="1"/>
  <c r="Q101" i="3" s="1"/>
  <c r="U101" i="3" s="1"/>
  <c r="R101" i="3" s="1"/>
  <c r="N102" i="3" s="1"/>
  <c r="M289" i="3"/>
  <c r="J291" i="3"/>
  <c r="K290" i="3"/>
  <c r="L290" i="3" s="1"/>
  <c r="M290" i="3" l="1"/>
  <c r="K291" i="3"/>
  <c r="L291" i="3" s="1"/>
  <c r="J292" i="3"/>
  <c r="S101" i="3"/>
  <c r="O102" i="3" s="1"/>
  <c r="M291" i="3" l="1"/>
  <c r="T101" i="3"/>
  <c r="P102" i="3" s="1"/>
  <c r="Q102" i="3" s="1"/>
  <c r="U102" i="3" s="1"/>
  <c r="J293" i="3"/>
  <c r="K292" i="3"/>
  <c r="L292" i="3" s="1"/>
  <c r="R102" i="3" l="1"/>
  <c r="N103" i="3" s="1"/>
  <c r="M292" i="3"/>
  <c r="J294" i="3"/>
  <c r="K293" i="3"/>
  <c r="L293" i="3" s="1"/>
  <c r="S102" i="3" l="1"/>
  <c r="O103" i="3" s="1"/>
  <c r="M293" i="3"/>
  <c r="J295" i="3"/>
  <c r="K294" i="3"/>
  <c r="L294" i="3" s="1"/>
  <c r="T102" i="3" l="1"/>
  <c r="P103" i="3" s="1"/>
  <c r="Q103" i="3" s="1"/>
  <c r="U103" i="3" s="1"/>
  <c r="R103" i="3" s="1"/>
  <c r="N104" i="3" s="1"/>
  <c r="M294" i="3"/>
  <c r="K295" i="3"/>
  <c r="L295" i="3" s="1"/>
  <c r="J296" i="3"/>
  <c r="K296" i="3" l="1"/>
  <c r="L296" i="3" s="1"/>
  <c r="M296" i="3" s="1"/>
  <c r="J297" i="3"/>
  <c r="M295" i="3"/>
  <c r="S103" i="3"/>
  <c r="O104" i="3" s="1"/>
  <c r="T103" i="3" l="1"/>
  <c r="P104" i="3" s="1"/>
  <c r="Q104" i="3" s="1"/>
  <c r="U104" i="3" s="1"/>
  <c r="J298" i="3"/>
  <c r="K297" i="3"/>
  <c r="L297" i="3" s="1"/>
  <c r="R104" i="3" l="1"/>
  <c r="N105" i="3" s="1"/>
  <c r="K298" i="3"/>
  <c r="L298" i="3" s="1"/>
  <c r="M298" i="3" s="1"/>
  <c r="J299" i="3"/>
  <c r="M297" i="3"/>
  <c r="S104" i="3" l="1"/>
  <c r="O105" i="3" s="1"/>
  <c r="K299" i="3"/>
  <c r="J300" i="3"/>
  <c r="T104" i="3" l="1"/>
  <c r="P105" i="3" s="1"/>
  <c r="Q105" i="3" s="1"/>
  <c r="U105" i="3" s="1"/>
  <c r="R105" i="3" s="1"/>
  <c r="N106" i="3" s="1"/>
  <c r="L299" i="3"/>
  <c r="M299" i="3" s="1"/>
  <c r="J301" i="3"/>
  <c r="K300" i="3"/>
  <c r="K301" i="3" l="1"/>
  <c r="J302" i="3"/>
  <c r="L300" i="3"/>
  <c r="M300" i="3" s="1"/>
  <c r="S105" i="3"/>
  <c r="O106" i="3" s="1"/>
  <c r="L301" i="3" l="1"/>
  <c r="M301" i="3" s="1"/>
  <c r="J303" i="3"/>
  <c r="K302" i="3"/>
  <c r="L302" i="3" s="1"/>
  <c r="T105" i="3"/>
  <c r="P106" i="3" s="1"/>
  <c r="Q106" i="3" s="1"/>
  <c r="U106" i="3" s="1"/>
  <c r="R106" i="3" l="1"/>
  <c r="N107" i="3" s="1"/>
  <c r="J304" i="3"/>
  <c r="K303" i="3"/>
  <c r="L303" i="3" s="1"/>
  <c r="M302" i="3"/>
  <c r="K304" i="3" l="1"/>
  <c r="L304" i="3" s="1"/>
  <c r="M304" i="3" s="1"/>
  <c r="J305" i="3"/>
  <c r="M303" i="3"/>
  <c r="S106" i="3"/>
  <c r="O107" i="3" s="1"/>
  <c r="T106" i="3" l="1"/>
  <c r="P107" i="3" s="1"/>
  <c r="Q107" i="3" s="1"/>
  <c r="U107" i="3" s="1"/>
  <c r="K305" i="3"/>
  <c r="L305" i="3" s="1"/>
  <c r="J306" i="3"/>
  <c r="R107" i="3" l="1"/>
  <c r="N108" i="3" s="1"/>
  <c r="K306" i="3"/>
  <c r="L306" i="3" s="1"/>
  <c r="J307" i="3"/>
  <c r="M305" i="3"/>
  <c r="K307" i="3" l="1"/>
  <c r="L307" i="3" s="1"/>
  <c r="J308" i="3"/>
  <c r="M306" i="3"/>
  <c r="S107" i="3"/>
  <c r="O108" i="3" s="1"/>
  <c r="T107" i="3" l="1"/>
  <c r="P108" i="3" s="1"/>
  <c r="Q108" i="3" s="1"/>
  <c r="U108" i="3" s="1"/>
  <c r="R108" i="3" s="1"/>
  <c r="N109" i="3" s="1"/>
  <c r="K308" i="3"/>
  <c r="J309" i="3"/>
  <c r="M307" i="3"/>
  <c r="S108" i="3" l="1"/>
  <c r="O109" i="3" s="1"/>
  <c r="L308" i="3"/>
  <c r="M308" i="3" s="1"/>
  <c r="K309" i="3"/>
  <c r="L309" i="3" s="1"/>
  <c r="J310" i="3"/>
  <c r="T108" i="3" l="1"/>
  <c r="P109" i="3" s="1"/>
  <c r="Q109" i="3" s="1"/>
  <c r="U109" i="3" s="1"/>
  <c r="R109" i="3" s="1"/>
  <c r="N110" i="3" s="1"/>
  <c r="J311" i="3"/>
  <c r="K310" i="3"/>
  <c r="L310" i="3" s="1"/>
  <c r="M309" i="3"/>
  <c r="M310" i="3" l="1"/>
  <c r="J312" i="3"/>
  <c r="K311" i="3"/>
  <c r="S109" i="3"/>
  <c r="K312" i="3" l="1"/>
  <c r="L312" i="3" s="1"/>
  <c r="M312" i="3" s="1"/>
  <c r="J313" i="3"/>
  <c r="L311" i="3"/>
  <c r="M311" i="3" s="1"/>
  <c r="T109" i="3"/>
  <c r="Q110" i="3" s="1"/>
  <c r="U110" i="3" s="1"/>
  <c r="R110" i="3" l="1"/>
  <c r="N111" i="3" s="1"/>
  <c r="K313" i="3"/>
  <c r="L313" i="3" s="1"/>
  <c r="J314" i="3"/>
  <c r="S110" i="3" l="1"/>
  <c r="O111" i="3" s="1"/>
  <c r="K314" i="3"/>
  <c r="L314" i="3" s="1"/>
  <c r="J315" i="3"/>
  <c r="M313" i="3"/>
  <c r="T110" i="3" l="1"/>
  <c r="P111" i="3" s="1"/>
  <c r="Q111" i="3" s="1"/>
  <c r="U111" i="3" s="1"/>
  <c r="R111" i="3" s="1"/>
  <c r="N112" i="3" s="1"/>
  <c r="K315" i="3"/>
  <c r="L315" i="3" s="1"/>
  <c r="J316" i="3"/>
  <c r="M314" i="3"/>
  <c r="S111" i="3" l="1"/>
  <c r="O112" i="3" s="1"/>
  <c r="M315" i="3"/>
  <c r="J317" i="3"/>
  <c r="K316" i="3"/>
  <c r="K317" i="3" l="1"/>
  <c r="J318" i="3"/>
  <c r="L316" i="3"/>
  <c r="M316" i="3" s="1"/>
  <c r="T111" i="3"/>
  <c r="P112" i="3" s="1"/>
  <c r="Q112" i="3" s="1"/>
  <c r="U112" i="3" s="1"/>
  <c r="R112" i="3" l="1"/>
  <c r="N113" i="3" s="1"/>
  <c r="J319" i="3"/>
  <c r="K318" i="3"/>
  <c r="L317" i="3"/>
  <c r="M317" i="3" s="1"/>
  <c r="S112" i="3" l="1"/>
  <c r="O113" i="3" s="1"/>
  <c r="L318" i="3"/>
  <c r="M318" i="3" s="1"/>
  <c r="J320" i="3"/>
  <c r="K319" i="3"/>
  <c r="T112" i="3" l="1"/>
  <c r="P113" i="3" s="1"/>
  <c r="Q113" i="3" s="1"/>
  <c r="U113" i="3" s="1"/>
  <c r="R113" i="3" s="1"/>
  <c r="N114" i="3" s="1"/>
  <c r="K320" i="3"/>
  <c r="L320" i="3" s="1"/>
  <c r="M320" i="3" s="1"/>
  <c r="J321" i="3"/>
  <c r="L319" i="3"/>
  <c r="M319" i="3" s="1"/>
  <c r="S113" i="3" l="1"/>
  <c r="O114" i="3" s="1"/>
  <c r="K321" i="3"/>
  <c r="J322" i="3"/>
  <c r="T113" i="3" l="1"/>
  <c r="P114" i="3" s="1"/>
  <c r="Q114" i="3" s="1"/>
  <c r="U114" i="3" s="1"/>
  <c r="R114" i="3" s="1"/>
  <c r="N115" i="3" s="1"/>
  <c r="J323" i="3"/>
  <c r="K322" i="3"/>
  <c r="L321" i="3"/>
  <c r="M321" i="3" s="1"/>
  <c r="J324" i="3" l="1"/>
  <c r="K323" i="3"/>
  <c r="L322" i="3"/>
  <c r="M322" i="3" s="1"/>
  <c r="S114" i="3"/>
  <c r="O115" i="3" s="1"/>
  <c r="K324" i="3" l="1"/>
  <c r="L324" i="3" s="1"/>
  <c r="M324" i="3" s="1"/>
  <c r="J325" i="3"/>
  <c r="L323" i="3"/>
  <c r="M323" i="3" s="1"/>
  <c r="T114" i="3"/>
  <c r="P115" i="3" s="1"/>
  <c r="Q115" i="3" s="1"/>
  <c r="U115" i="3" s="1"/>
  <c r="R115" i="3" l="1"/>
  <c r="N116" i="3" s="1"/>
  <c r="J326" i="3"/>
  <c r="K325" i="3"/>
  <c r="S115" i="3" l="1"/>
  <c r="O116" i="3" s="1"/>
  <c r="J327" i="3"/>
  <c r="K326" i="3"/>
  <c r="L325" i="3"/>
  <c r="M325" i="3" s="1"/>
  <c r="T115" i="3" l="1"/>
  <c r="P116" i="3" s="1"/>
  <c r="Q116" i="3" s="1"/>
  <c r="U116" i="3" s="1"/>
  <c r="R116" i="3" s="1"/>
  <c r="N117" i="3" s="1"/>
  <c r="L326" i="3"/>
  <c r="M326" i="3" s="1"/>
  <c r="J328" i="3"/>
  <c r="K327" i="3"/>
  <c r="L327" i="3" s="1"/>
  <c r="M327" i="3" s="1"/>
  <c r="S116" i="3" l="1"/>
  <c r="O117" i="3" s="1"/>
  <c r="J329" i="3"/>
  <c r="K328" i="3"/>
  <c r="T116" i="3" l="1"/>
  <c r="P117" i="3" s="1"/>
  <c r="Q117" i="3" s="1"/>
  <c r="U117" i="3" s="1"/>
  <c r="R117" i="3" s="1"/>
  <c r="N118" i="3" s="1"/>
  <c r="L328" i="3"/>
  <c r="M328" i="3" s="1"/>
  <c r="J330" i="3"/>
  <c r="K329" i="3"/>
  <c r="L329" i="3" s="1"/>
  <c r="M329" i="3" s="1"/>
  <c r="J331" i="3" l="1"/>
  <c r="K330" i="3"/>
  <c r="L330" i="3" s="1"/>
  <c r="M330" i="3" s="1"/>
  <c r="S117" i="3"/>
  <c r="O118" i="3" l="1"/>
  <c r="T117" i="3"/>
  <c r="P118" i="3" s="1"/>
  <c r="J332" i="3"/>
  <c r="K331" i="3"/>
  <c r="L331" i="3" s="1"/>
  <c r="M331" i="3" l="1"/>
  <c r="J333" i="3"/>
  <c r="K332" i="3"/>
  <c r="L332" i="3" s="1"/>
  <c r="Q118" i="3"/>
  <c r="U118" i="3" s="1"/>
  <c r="J334" i="3" l="1"/>
  <c r="K333" i="3"/>
  <c r="R118" i="3"/>
  <c r="N119" i="3" s="1"/>
  <c r="M332" i="3"/>
  <c r="S118" i="3" l="1"/>
  <c r="O119" i="3" s="1"/>
  <c r="L333" i="3"/>
  <c r="M333" i="3" s="1"/>
  <c r="J335" i="3"/>
  <c r="K334" i="3"/>
  <c r="T118" i="3" l="1"/>
  <c r="P119" i="3" s="1"/>
  <c r="Q119" i="3" s="1"/>
  <c r="U119" i="3" s="1"/>
  <c r="R119" i="3" s="1"/>
  <c r="N120" i="3" s="1"/>
  <c r="J336" i="3"/>
  <c r="K335" i="3"/>
  <c r="L334" i="3"/>
  <c r="M334" i="3" s="1"/>
  <c r="L335" i="3" l="1"/>
  <c r="M335" i="3" s="1"/>
  <c r="J337" i="3"/>
  <c r="K336" i="3"/>
  <c r="S119" i="3"/>
  <c r="O120" i="3" s="1"/>
  <c r="T119" i="3" l="1"/>
  <c r="P120" i="3" s="1"/>
  <c r="Q120" i="3" s="1"/>
  <c r="U120" i="3" s="1"/>
  <c r="R120" i="3" s="1"/>
  <c r="N121" i="3" s="1"/>
  <c r="J338" i="3"/>
  <c r="K337" i="3"/>
  <c r="L336" i="3"/>
  <c r="M336" i="3" s="1"/>
  <c r="L337" i="3" l="1"/>
  <c r="M337" i="3" s="1"/>
  <c r="S120" i="3"/>
  <c r="O121" i="3" s="1"/>
  <c r="J339" i="3"/>
  <c r="K338" i="3"/>
  <c r="L338" i="3" s="1"/>
  <c r="M338" i="3" l="1"/>
  <c r="J340" i="3"/>
  <c r="K339" i="3"/>
  <c r="T120" i="3"/>
  <c r="P121" i="3" s="1"/>
  <c r="Q121" i="3" s="1"/>
  <c r="U121" i="3" s="1"/>
  <c r="R121" i="3" l="1"/>
  <c r="N122" i="3" s="1"/>
  <c r="L339" i="3"/>
  <c r="M339" i="3" s="1"/>
  <c r="J341" i="3"/>
  <c r="K340" i="3"/>
  <c r="S121" i="3" l="1"/>
  <c r="O122" i="3" s="1"/>
  <c r="J342" i="3"/>
  <c r="K341" i="3"/>
  <c r="L340" i="3"/>
  <c r="M340" i="3" s="1"/>
  <c r="T121" i="3" l="1"/>
  <c r="P122" i="3" s="1"/>
  <c r="Q122" i="3" s="1"/>
  <c r="U122" i="3" s="1"/>
  <c r="R122" i="3" s="1"/>
  <c r="N123" i="3" s="1"/>
  <c r="L341" i="3"/>
  <c r="M341" i="3" s="1"/>
  <c r="J343" i="3"/>
  <c r="K342" i="3"/>
  <c r="L342" i="3" s="1"/>
  <c r="M342" i="3" s="1"/>
  <c r="J344" i="3" l="1"/>
  <c r="K343" i="3"/>
  <c r="S122" i="3"/>
  <c r="O123" i="3" s="1"/>
  <c r="T122" i="3" l="1"/>
  <c r="P123" i="3" s="1"/>
  <c r="Q123" i="3" s="1"/>
  <c r="U123" i="3" s="1"/>
  <c r="L343" i="3"/>
  <c r="M343" i="3" s="1"/>
  <c r="J345" i="3"/>
  <c r="K344" i="3"/>
  <c r="L344" i="3" s="1"/>
  <c r="R123" i="3" l="1"/>
  <c r="N124" i="3" s="1"/>
  <c r="J346" i="3"/>
  <c r="K345" i="3"/>
  <c r="L345" i="3" s="1"/>
  <c r="M344" i="3"/>
  <c r="M345" i="3" l="1"/>
  <c r="J347" i="3"/>
  <c r="K346" i="3"/>
  <c r="S123" i="3"/>
  <c r="O124" i="3" s="1"/>
  <c r="T123" i="3" l="1"/>
  <c r="P124" i="3" s="1"/>
  <c r="Q124" i="3" s="1"/>
  <c r="U124" i="3" s="1"/>
  <c r="J348" i="3"/>
  <c r="K347" i="3"/>
  <c r="L346" i="3"/>
  <c r="M346" i="3" s="1"/>
  <c r="R124" i="3" l="1"/>
  <c r="N125" i="3" s="1"/>
  <c r="L347" i="3"/>
  <c r="M347" i="3" s="1"/>
  <c r="J349" i="3"/>
  <c r="K348" i="3"/>
  <c r="L348" i="3" s="1"/>
  <c r="M348" i="3" s="1"/>
  <c r="J350" i="3" l="1"/>
  <c r="K349" i="3"/>
  <c r="L349" i="3" s="1"/>
  <c r="S124" i="3"/>
  <c r="O125" i="3" s="1"/>
  <c r="T124" i="3" l="1"/>
  <c r="P125" i="3" s="1"/>
  <c r="Q125" i="3" s="1"/>
  <c r="U125" i="3" s="1"/>
  <c r="M349" i="3"/>
  <c r="J351" i="3"/>
  <c r="K350" i="3"/>
  <c r="L350" i="3" s="1"/>
  <c r="R125" i="3" l="1"/>
  <c r="N126" i="3" s="1"/>
  <c r="M350" i="3"/>
  <c r="J352" i="3"/>
  <c r="K351" i="3"/>
  <c r="L351" i="3" s="1"/>
  <c r="J353" i="3" l="1"/>
  <c r="K352" i="3"/>
  <c r="M351" i="3"/>
  <c r="S125" i="3"/>
  <c r="O126" i="3" s="1"/>
  <c r="T125" i="3" l="1"/>
  <c r="P126" i="3" s="1"/>
  <c r="Q126" i="3" s="1"/>
  <c r="U126" i="3" s="1"/>
  <c r="J354" i="3"/>
  <c r="K353" i="3"/>
  <c r="L352" i="3"/>
  <c r="M352" i="3" s="1"/>
  <c r="R126" i="3" l="1"/>
  <c r="N127" i="3" s="1"/>
  <c r="J355" i="3"/>
  <c r="K354" i="3"/>
  <c r="L353" i="3"/>
  <c r="M353" i="3" s="1"/>
  <c r="L354" i="3" l="1"/>
  <c r="M354" i="3" s="1"/>
  <c r="J356" i="3"/>
  <c r="K355" i="3"/>
  <c r="S126" i="3"/>
  <c r="O127" i="3" s="1"/>
  <c r="T126" i="3" l="1"/>
  <c r="P127" i="3" s="1"/>
  <c r="Q127" i="3" s="1"/>
  <c r="U127" i="3" s="1"/>
  <c r="L355" i="3"/>
  <c r="M355" i="3" s="1"/>
  <c r="K356" i="3"/>
  <c r="L356" i="3" s="1"/>
  <c r="J357" i="3"/>
  <c r="R127" i="3" l="1"/>
  <c r="N128" i="3" s="1"/>
  <c r="J358" i="3"/>
  <c r="K357" i="3"/>
  <c r="M356" i="3"/>
  <c r="S127" i="3" l="1"/>
  <c r="L357" i="3"/>
  <c r="M357" i="3" s="1"/>
  <c r="K358" i="3"/>
  <c r="L358" i="3" s="1"/>
  <c r="J359" i="3"/>
  <c r="O128" i="3" l="1"/>
  <c r="T127" i="3"/>
  <c r="P128" i="3" s="1"/>
  <c r="Q128" i="3" s="1"/>
  <c r="U128" i="3" s="1"/>
  <c r="J360" i="3"/>
  <c r="K359" i="3"/>
  <c r="M358" i="3"/>
  <c r="R128" i="3" l="1"/>
  <c r="L359" i="3"/>
  <c r="M359" i="3" s="1"/>
  <c r="K360" i="3"/>
  <c r="J361" i="3"/>
  <c r="N129" i="3" l="1"/>
  <c r="S128" i="3"/>
  <c r="O129" i="3" s="1"/>
  <c r="L360" i="3"/>
  <c r="M360" i="3" s="1"/>
  <c r="J362" i="3"/>
  <c r="K361" i="3"/>
  <c r="T128" i="3" l="1"/>
  <c r="P129" i="3" s="1"/>
  <c r="Q129" i="3" s="1"/>
  <c r="U129" i="3" s="1"/>
  <c r="L361" i="3"/>
  <c r="M361" i="3" s="1"/>
  <c r="K362" i="3"/>
  <c r="J363" i="3"/>
  <c r="R129" i="3" l="1"/>
  <c r="S129" i="3" s="1"/>
  <c r="O130" i="3" s="1"/>
  <c r="J364" i="3"/>
  <c r="K363" i="3"/>
  <c r="L362" i="3"/>
  <c r="M362" i="3" s="1"/>
  <c r="N130" i="3" l="1"/>
  <c r="T129" i="3"/>
  <c r="P130" i="3" s="1"/>
  <c r="Q130" i="3" s="1"/>
  <c r="U130" i="3" s="1"/>
  <c r="R130" i="3" s="1"/>
  <c r="N131" i="3" s="1"/>
  <c r="K364" i="3"/>
  <c r="L364" i="3" s="1"/>
  <c r="J365" i="3"/>
  <c r="L363" i="3"/>
  <c r="M363" i="3" s="1"/>
  <c r="S130" i="3" l="1"/>
  <c r="O131" i="3" s="1"/>
  <c r="M364" i="3"/>
  <c r="J366" i="3"/>
  <c r="K365" i="3"/>
  <c r="L365" i="3" s="1"/>
  <c r="M365" i="3" s="1"/>
  <c r="T130" i="3" l="1"/>
  <c r="P131" i="3" s="1"/>
  <c r="Q131" i="3" s="1"/>
  <c r="U131" i="3" s="1"/>
  <c r="R131" i="3" s="1"/>
  <c r="N132" i="3" s="1"/>
  <c r="K366" i="3"/>
  <c r="J367" i="3"/>
  <c r="S131" i="3" l="1"/>
  <c r="O132" i="3" s="1"/>
  <c r="J368" i="3"/>
  <c r="K367" i="3"/>
  <c r="L366" i="3"/>
  <c r="M366" i="3" s="1"/>
  <c r="T131" i="3" l="1"/>
  <c r="P132" i="3" s="1"/>
  <c r="Q132" i="3" s="1"/>
  <c r="U132" i="3" s="1"/>
  <c r="R132" i="3" s="1"/>
  <c r="N133" i="3" s="1"/>
  <c r="L367" i="3"/>
  <c r="M367" i="3" s="1"/>
  <c r="K368" i="3"/>
  <c r="J369" i="3"/>
  <c r="L368" i="3" l="1"/>
  <c r="M368" i="3" s="1"/>
  <c r="J370" i="3"/>
  <c r="K369" i="3"/>
  <c r="L369" i="3" s="1"/>
  <c r="S132" i="3"/>
  <c r="O133" i="3" s="1"/>
  <c r="M369" i="3" l="1"/>
  <c r="K370" i="3"/>
  <c r="J371" i="3"/>
  <c r="T132" i="3"/>
  <c r="P133" i="3" s="1"/>
  <c r="Q133" i="3" s="1"/>
  <c r="U133" i="3" s="1"/>
  <c r="R133" i="3" l="1"/>
  <c r="N134" i="3" s="1"/>
  <c r="J372" i="3"/>
  <c r="K371" i="3"/>
  <c r="L370" i="3"/>
  <c r="M370" i="3" s="1"/>
  <c r="S133" i="3" l="1"/>
  <c r="O134" i="3" s="1"/>
  <c r="L371" i="3"/>
  <c r="M371" i="3" s="1"/>
  <c r="K372" i="3"/>
  <c r="J373" i="3"/>
  <c r="T133" i="3" l="1"/>
  <c r="P134" i="3" s="1"/>
  <c r="Q134" i="3" s="1"/>
  <c r="U134" i="3" s="1"/>
  <c r="R134" i="3" s="1"/>
  <c r="N135" i="3" s="1"/>
  <c r="J374" i="3"/>
  <c r="K373" i="3"/>
  <c r="L372" i="3"/>
  <c r="M372" i="3" s="1"/>
  <c r="J375" i="3" l="1"/>
  <c r="K374" i="3"/>
  <c r="L374" i="3" s="1"/>
  <c r="L373" i="3"/>
  <c r="M373" i="3" s="1"/>
  <c r="S134" i="3"/>
  <c r="O135" i="3" s="1"/>
  <c r="T134" i="3" l="1"/>
  <c r="P135" i="3" s="1"/>
  <c r="Q135" i="3" s="1"/>
  <c r="U135" i="3" s="1"/>
  <c r="R135" i="3" s="1"/>
  <c r="N136" i="3" s="1"/>
  <c r="M374" i="3"/>
  <c r="J376" i="3"/>
  <c r="K375" i="3"/>
  <c r="L375" i="3" s="1"/>
  <c r="M375" i="3" l="1"/>
  <c r="J377" i="3"/>
  <c r="K376" i="3"/>
  <c r="L376" i="3" s="1"/>
  <c r="S135" i="3"/>
  <c r="O136" i="3" s="1"/>
  <c r="T135" i="3" l="1"/>
  <c r="P136" i="3" s="1"/>
  <c r="Q136" i="3" s="1"/>
  <c r="U136" i="3" s="1"/>
  <c r="J378" i="3"/>
  <c r="K377" i="3"/>
  <c r="L377" i="3" s="1"/>
  <c r="M377" i="3" s="1"/>
  <c r="M376" i="3"/>
  <c r="R136" i="3" l="1"/>
  <c r="N137" i="3" s="1"/>
  <c r="J379" i="3"/>
  <c r="K378" i="3"/>
  <c r="L378" i="3" s="1"/>
  <c r="M378" i="3" l="1"/>
  <c r="J380" i="3"/>
  <c r="K379" i="3"/>
  <c r="S136" i="3"/>
  <c r="O137" i="3" s="1"/>
  <c r="T136" i="3" l="1"/>
  <c r="P137" i="3" s="1"/>
  <c r="Q137" i="3" s="1"/>
  <c r="U137" i="3" s="1"/>
  <c r="L379" i="3"/>
  <c r="M379" i="3" s="1"/>
  <c r="J381" i="3"/>
  <c r="K380" i="3"/>
  <c r="L380" i="3" s="1"/>
  <c r="R137" i="3" l="1"/>
  <c r="N138" i="3" s="1"/>
  <c r="M380" i="3"/>
  <c r="J382" i="3"/>
  <c r="K381" i="3"/>
  <c r="L381" i="3" l="1"/>
  <c r="M381" i="3" s="1"/>
  <c r="J383" i="3"/>
  <c r="K382" i="3"/>
  <c r="L382" i="3" s="1"/>
  <c r="S137" i="3"/>
  <c r="O138" i="3" s="1"/>
  <c r="T137" i="3" l="1"/>
  <c r="P138" i="3" s="1"/>
  <c r="Q138" i="3" s="1"/>
  <c r="U138" i="3" s="1"/>
  <c r="R138" i="3" s="1"/>
  <c r="N139" i="3" s="1"/>
  <c r="M382" i="3"/>
  <c r="J384" i="3"/>
  <c r="K383" i="3"/>
  <c r="L383" i="3" s="1"/>
  <c r="M383" i="3" l="1"/>
  <c r="S138" i="3"/>
  <c r="O139" i="3" s="1"/>
  <c r="J385" i="3"/>
  <c r="K384" i="3"/>
  <c r="L384" i="3" s="1"/>
  <c r="T138" i="3" l="1"/>
  <c r="P139" i="3" s="1"/>
  <c r="Q139" i="3" s="1"/>
  <c r="U139" i="3" s="1"/>
  <c r="R139" i="3" s="1"/>
  <c r="N140" i="3" s="1"/>
  <c r="M384" i="3"/>
  <c r="J386" i="3"/>
  <c r="K385" i="3"/>
  <c r="L385" i="3" s="1"/>
  <c r="M385" i="3" l="1"/>
  <c r="J387" i="3"/>
  <c r="K386" i="3"/>
  <c r="L386" i="3" s="1"/>
  <c r="S139" i="3"/>
  <c r="O140" i="3" s="1"/>
  <c r="M386" i="3" l="1"/>
  <c r="T139" i="3"/>
  <c r="P140" i="3" s="1"/>
  <c r="Q140" i="3" s="1"/>
  <c r="U140" i="3" s="1"/>
  <c r="J388" i="3"/>
  <c r="K387" i="3"/>
  <c r="L387" i="3" s="1"/>
  <c r="R140" i="3" l="1"/>
  <c r="N141" i="3" s="1"/>
  <c r="J389" i="3"/>
  <c r="K388" i="3"/>
  <c r="M387" i="3"/>
  <c r="L388" i="3" l="1"/>
  <c r="M388" i="3" s="1"/>
  <c r="J390" i="3"/>
  <c r="K389" i="3"/>
  <c r="L389" i="3" s="1"/>
  <c r="S140" i="3"/>
  <c r="O141" i="3" s="1"/>
  <c r="M389" i="3" l="1"/>
  <c r="J391" i="3"/>
  <c r="K390" i="3"/>
  <c r="T140" i="3"/>
  <c r="P141" i="3" s="1"/>
  <c r="Q141" i="3" s="1"/>
  <c r="U141" i="3" s="1"/>
  <c r="J392" i="3" l="1"/>
  <c r="K391" i="3"/>
  <c r="L391" i="3" s="1"/>
  <c r="R141" i="3"/>
  <c r="N142" i="3" s="1"/>
  <c r="L390" i="3"/>
  <c r="M390" i="3" s="1"/>
  <c r="S141" i="3" l="1"/>
  <c r="O142" i="3" s="1"/>
  <c r="M391" i="3"/>
  <c r="J393" i="3"/>
  <c r="K392" i="3"/>
  <c r="L392" i="3" l="1"/>
  <c r="M392" i="3" s="1"/>
  <c r="J394" i="3"/>
  <c r="K393" i="3"/>
  <c r="L393" i="3" s="1"/>
  <c r="T141" i="3"/>
  <c r="P142" i="3" s="1"/>
  <c r="Q142" i="3" s="1"/>
  <c r="U142" i="3" s="1"/>
  <c r="J395" i="3" l="1"/>
  <c r="K394" i="3"/>
  <c r="M393" i="3"/>
  <c r="R142" i="3"/>
  <c r="N143" i="3" s="1"/>
  <c r="S142" i="3" l="1"/>
  <c r="O143" i="3" s="1"/>
  <c r="L394" i="3"/>
  <c r="M394" i="3" s="1"/>
  <c r="K395" i="3"/>
  <c r="J396" i="3"/>
  <c r="L395" i="3" l="1"/>
  <c r="M395" i="3" s="1"/>
  <c r="T142" i="3"/>
  <c r="P143" i="3" s="1"/>
  <c r="Q143" i="3" s="1"/>
  <c r="U143" i="3" s="1"/>
  <c r="J397" i="3"/>
  <c r="K396" i="3"/>
  <c r="L396" i="3" s="1"/>
  <c r="R143" i="3" l="1"/>
  <c r="N144" i="3" s="1"/>
  <c r="M396" i="3"/>
  <c r="K397" i="3"/>
  <c r="J398" i="3"/>
  <c r="L397" i="3" l="1"/>
  <c r="M397" i="3" s="1"/>
  <c r="J399" i="3"/>
  <c r="K398" i="3"/>
  <c r="L398" i="3" s="1"/>
  <c r="S143" i="3"/>
  <c r="O144" i="3" s="1"/>
  <c r="M398" i="3" l="1"/>
  <c r="K399" i="3"/>
  <c r="J400" i="3"/>
  <c r="T143" i="3"/>
  <c r="P144" i="3" s="1"/>
  <c r="Q144" i="3" s="1"/>
  <c r="U144" i="3" s="1"/>
  <c r="R144" i="3" l="1"/>
  <c r="N145" i="3" s="1"/>
  <c r="J401" i="3"/>
  <c r="K400" i="3"/>
  <c r="L399" i="3"/>
  <c r="M399" i="3" s="1"/>
  <c r="K401" i="3" l="1"/>
  <c r="J402" i="3"/>
  <c r="L400" i="3"/>
  <c r="M400" i="3" s="1"/>
  <c r="S144" i="3"/>
  <c r="O145" i="3" l="1"/>
  <c r="T144" i="3"/>
  <c r="P145" i="3" s="1"/>
  <c r="J403" i="3"/>
  <c r="K402" i="3"/>
  <c r="L402" i="3" s="1"/>
  <c r="L401" i="3"/>
  <c r="M401" i="3" s="1"/>
  <c r="K403" i="3" l="1"/>
  <c r="J404" i="3"/>
  <c r="M402" i="3"/>
  <c r="Q145" i="3"/>
  <c r="U145" i="3" s="1"/>
  <c r="R145" i="3" l="1"/>
  <c r="N146" i="3" s="1"/>
  <c r="J405" i="3"/>
  <c r="K404" i="3"/>
  <c r="L403" i="3"/>
  <c r="M403" i="3" s="1"/>
  <c r="J406" i="3" l="1"/>
  <c r="K405" i="3"/>
  <c r="L405" i="3" s="1"/>
  <c r="L404" i="3"/>
  <c r="M404" i="3" s="1"/>
  <c r="S145" i="3"/>
  <c r="O146" i="3" s="1"/>
  <c r="M405" i="3" l="1"/>
  <c r="K406" i="3"/>
  <c r="L406" i="3" s="1"/>
  <c r="J407" i="3"/>
  <c r="T145" i="3"/>
  <c r="P146" i="3" s="1"/>
  <c r="Q146" i="3" s="1"/>
  <c r="U146" i="3" s="1"/>
  <c r="R146" i="3" l="1"/>
  <c r="N147" i="3" s="1"/>
  <c r="M406" i="3"/>
  <c r="K407" i="3"/>
  <c r="L407" i="3" s="1"/>
  <c r="J408" i="3"/>
  <c r="K408" i="3" l="1"/>
  <c r="L408" i="3" s="1"/>
  <c r="J409" i="3"/>
  <c r="M407" i="3"/>
  <c r="S146" i="3"/>
  <c r="O147" i="3" s="1"/>
  <c r="T146" i="3" l="1"/>
  <c r="P147" i="3" s="1"/>
  <c r="Q147" i="3" s="1"/>
  <c r="U147" i="3" s="1"/>
  <c r="K409" i="3"/>
  <c r="L409" i="3" s="1"/>
  <c r="J410" i="3"/>
  <c r="M408" i="3"/>
  <c r="R147" i="3" l="1"/>
  <c r="N148" i="3" s="1"/>
  <c r="K410" i="3"/>
  <c r="L410" i="3" s="1"/>
  <c r="J411" i="3"/>
  <c r="M409" i="3"/>
  <c r="K411" i="3" l="1"/>
  <c r="L411" i="3" s="1"/>
  <c r="J412" i="3"/>
  <c r="M410" i="3"/>
  <c r="S147" i="3"/>
  <c r="O148" i="3" s="1"/>
  <c r="T147" i="3" l="1"/>
  <c r="P148" i="3" s="1"/>
  <c r="Q148" i="3" s="1"/>
  <c r="U148" i="3" s="1"/>
  <c r="J413" i="3"/>
  <c r="K412" i="3"/>
  <c r="L412" i="3" s="1"/>
  <c r="M411" i="3"/>
  <c r="R148" i="3" l="1"/>
  <c r="N149" i="3" s="1"/>
  <c r="M412" i="3"/>
  <c r="J414" i="3"/>
  <c r="K413" i="3"/>
  <c r="L413" i="3" s="1"/>
  <c r="M413" i="3" l="1"/>
  <c r="K414" i="3"/>
  <c r="L414" i="3" s="1"/>
  <c r="M414" i="3" s="1"/>
  <c r="J415" i="3"/>
  <c r="S148" i="3"/>
  <c r="O149" i="3" s="1"/>
  <c r="K415" i="3" l="1"/>
  <c r="J416" i="3"/>
  <c r="T148" i="3"/>
  <c r="P149" i="3" s="1"/>
  <c r="Q149" i="3" s="1"/>
  <c r="U149" i="3" s="1"/>
  <c r="R149" i="3" l="1"/>
  <c r="N150" i="3" s="1"/>
  <c r="K416" i="3"/>
  <c r="L416" i="3" s="1"/>
  <c r="J417" i="3"/>
  <c r="L415" i="3"/>
  <c r="M415" i="3" s="1"/>
  <c r="M416" i="3" l="1"/>
  <c r="K417" i="3"/>
  <c r="J418" i="3"/>
  <c r="S149" i="3"/>
  <c r="O150" i="3" s="1"/>
  <c r="T149" i="3" l="1"/>
  <c r="P150" i="3" s="1"/>
  <c r="Q150" i="3" s="1"/>
  <c r="U150" i="3" s="1"/>
  <c r="R150" i="3" s="1"/>
  <c r="N151" i="3" s="1"/>
  <c r="L417" i="3"/>
  <c r="M417" i="3" s="1"/>
  <c r="J419" i="3"/>
  <c r="K418" i="3"/>
  <c r="L418" i="3" s="1"/>
  <c r="M418" i="3" s="1"/>
  <c r="K419" i="3" l="1"/>
  <c r="L419" i="3" s="1"/>
  <c r="J420" i="3"/>
  <c r="S150" i="3"/>
  <c r="O151" i="3" s="1"/>
  <c r="T150" i="3" l="1"/>
  <c r="P151" i="3" s="1"/>
  <c r="Q151" i="3" s="1"/>
  <c r="U151" i="3" s="1"/>
  <c r="K420" i="3"/>
  <c r="J421" i="3"/>
  <c r="M419" i="3"/>
  <c r="R151" i="3" l="1"/>
  <c r="N152" i="3" s="1"/>
  <c r="J422" i="3"/>
  <c r="K421" i="3"/>
  <c r="L420" i="3"/>
  <c r="M420" i="3" s="1"/>
  <c r="S151" i="3" l="1"/>
  <c r="O152" i="3" s="1"/>
  <c r="J423" i="3"/>
  <c r="K422" i="3"/>
  <c r="L421" i="3"/>
  <c r="M421" i="3" s="1"/>
  <c r="T151" i="3" l="1"/>
  <c r="P152" i="3" s="1"/>
  <c r="Q152" i="3" s="1"/>
  <c r="U152" i="3" s="1"/>
  <c r="R152" i="3" s="1"/>
  <c r="N153" i="3" s="1"/>
  <c r="L422" i="3"/>
  <c r="M422" i="3" s="1"/>
  <c r="K423" i="3"/>
  <c r="J424" i="3"/>
  <c r="L423" i="3" l="1"/>
  <c r="M423" i="3" s="1"/>
  <c r="J425" i="3"/>
  <c r="K424" i="3"/>
  <c r="L424" i="3" s="1"/>
  <c r="S152" i="3"/>
  <c r="O153" i="3" s="1"/>
  <c r="T152" i="3" l="1"/>
  <c r="P153" i="3" s="1"/>
  <c r="Q153" i="3" s="1"/>
  <c r="U153" i="3" s="1"/>
  <c r="M424" i="3"/>
  <c r="J426" i="3"/>
  <c r="K425" i="3"/>
  <c r="L425" i="3" s="1"/>
  <c r="R153" i="3" l="1"/>
  <c r="N154" i="3" s="1"/>
  <c r="M425" i="3"/>
  <c r="J427" i="3"/>
  <c r="K426" i="3"/>
  <c r="K427" i="3" l="1"/>
  <c r="L427" i="3" s="1"/>
  <c r="J428" i="3"/>
  <c r="L426" i="3"/>
  <c r="M426" i="3" s="1"/>
  <c r="S153" i="3"/>
  <c r="O154" i="3" s="1"/>
  <c r="J429" i="3" l="1"/>
  <c r="K428" i="3"/>
  <c r="M427" i="3"/>
  <c r="T153" i="3"/>
  <c r="P154" i="3" s="1"/>
  <c r="Q154" i="3" s="1"/>
  <c r="U154" i="3" s="1"/>
  <c r="R154" i="3" l="1"/>
  <c r="N155" i="3" s="1"/>
  <c r="L428" i="3"/>
  <c r="M428" i="3" s="1"/>
  <c r="K429" i="3"/>
  <c r="J430" i="3"/>
  <c r="S154" i="3" l="1"/>
  <c r="O155" i="3" s="1"/>
  <c r="L429" i="3"/>
  <c r="M429" i="3" s="1"/>
  <c r="J431" i="3"/>
  <c r="K430" i="3"/>
  <c r="L430" i="3" s="1"/>
  <c r="M430" i="3" l="1"/>
  <c r="J432" i="3"/>
  <c r="K431" i="3"/>
  <c r="T154" i="3"/>
  <c r="P155" i="3" s="1"/>
  <c r="Q155" i="3" s="1"/>
  <c r="U155" i="3" s="1"/>
  <c r="R155" i="3" l="1"/>
  <c r="N156" i="3" s="1"/>
  <c r="L431" i="3"/>
  <c r="M431" i="3" s="1"/>
  <c r="J433" i="3"/>
  <c r="K432" i="3"/>
  <c r="L432" i="3" s="1"/>
  <c r="M432" i="3" s="1"/>
  <c r="S155" i="3" l="1"/>
  <c r="O156" i="3" s="1"/>
  <c r="J434" i="3"/>
  <c r="K433" i="3"/>
  <c r="L433" i="3" s="1"/>
  <c r="T155" i="3" l="1"/>
  <c r="P156" i="3" s="1"/>
  <c r="Q156" i="3" s="1"/>
  <c r="U156" i="3" s="1"/>
  <c r="R156" i="3" s="1"/>
  <c r="N157" i="3" s="1"/>
  <c r="M433" i="3"/>
  <c r="J435" i="3"/>
  <c r="K434" i="3"/>
  <c r="J436" i="3" l="1"/>
  <c r="K435" i="3"/>
  <c r="L434" i="3"/>
  <c r="M434" i="3" s="1"/>
  <c r="S156" i="3"/>
  <c r="O157" i="3" s="1"/>
  <c r="J437" i="3" l="1"/>
  <c r="K436" i="3"/>
  <c r="L435" i="3"/>
  <c r="M435" i="3" s="1"/>
  <c r="T156" i="3"/>
  <c r="P157" i="3" s="1"/>
  <c r="Q157" i="3" s="1"/>
  <c r="U157" i="3" s="1"/>
  <c r="R157" i="3" l="1"/>
  <c r="N158" i="3" s="1"/>
  <c r="J438" i="3"/>
  <c r="K437" i="3"/>
  <c r="L437" i="3" s="1"/>
  <c r="M437" i="3" s="1"/>
  <c r="L436" i="3"/>
  <c r="M436" i="3" s="1"/>
  <c r="S157" i="3" l="1"/>
  <c r="O158" i="3" s="1"/>
  <c r="K438" i="3"/>
  <c r="J439" i="3"/>
  <c r="L438" i="3"/>
  <c r="M438" i="3" s="1"/>
  <c r="T157" i="3" l="1"/>
  <c r="P158" i="3" s="1"/>
  <c r="Q158" i="3" s="1"/>
  <c r="U158" i="3" s="1"/>
  <c r="R158" i="3" s="1"/>
  <c r="N159" i="3" s="1"/>
  <c r="K439" i="3"/>
  <c r="J440" i="3"/>
  <c r="K440" i="3" l="1"/>
  <c r="L440" i="3" s="1"/>
  <c r="J441" i="3"/>
  <c r="L439" i="3"/>
  <c r="M439" i="3" s="1"/>
  <c r="S158" i="3"/>
  <c r="O159" i="3" s="1"/>
  <c r="K441" i="3" l="1"/>
  <c r="L441" i="3" s="1"/>
  <c r="J442" i="3"/>
  <c r="M440" i="3"/>
  <c r="T158" i="3"/>
  <c r="P159" i="3" s="1"/>
  <c r="Q159" i="3" s="1"/>
  <c r="U159" i="3" s="1"/>
  <c r="R159" i="3" l="1"/>
  <c r="N160" i="3" s="1"/>
  <c r="K442" i="3"/>
  <c r="L442" i="3" s="1"/>
  <c r="J443" i="3"/>
  <c r="M441" i="3"/>
  <c r="S159" i="3" l="1"/>
  <c r="O160" i="3" s="1"/>
  <c r="M442" i="3"/>
  <c r="K443" i="3"/>
  <c r="J444" i="3"/>
  <c r="T159" i="3" l="1"/>
  <c r="P160" i="3" s="1"/>
  <c r="Q160" i="3" s="1"/>
  <c r="U160" i="3" s="1"/>
  <c r="R160" i="3" s="1"/>
  <c r="N161" i="3" s="1"/>
  <c r="K444" i="3"/>
  <c r="L444" i="3" s="1"/>
  <c r="J445" i="3"/>
  <c r="L443" i="3"/>
  <c r="M443" i="3" s="1"/>
  <c r="M444" i="3" l="1"/>
  <c r="S160" i="3"/>
  <c r="O161" i="3" s="1"/>
  <c r="J446" i="3"/>
  <c r="K445" i="3"/>
  <c r="L445" i="3" l="1"/>
  <c r="M445" i="3" s="1"/>
  <c r="J447" i="3"/>
  <c r="K446" i="3"/>
  <c r="T160" i="3"/>
  <c r="P161" i="3" s="1"/>
  <c r="Q161" i="3" s="1"/>
  <c r="U161" i="3" s="1"/>
  <c r="R161" i="3" l="1"/>
  <c r="N162" i="3" s="1"/>
  <c r="L446" i="3"/>
  <c r="M446" i="3" s="1"/>
  <c r="J448" i="3"/>
  <c r="K447" i="3"/>
  <c r="L447" i="3" l="1"/>
  <c r="M447" i="3" s="1"/>
  <c r="J449" i="3"/>
  <c r="K448" i="3"/>
  <c r="S161" i="3"/>
  <c r="O162" i="3" s="1"/>
  <c r="T161" i="3" l="1"/>
  <c r="P162" i="3" s="1"/>
  <c r="Q162" i="3" s="1"/>
  <c r="U162" i="3" s="1"/>
  <c r="L448" i="3"/>
  <c r="M448" i="3" s="1"/>
  <c r="J450" i="3"/>
  <c r="K449" i="3"/>
  <c r="R162" i="3" l="1"/>
  <c r="N163" i="3" s="1"/>
  <c r="J451" i="3"/>
  <c r="K450" i="3"/>
  <c r="L449" i="3"/>
  <c r="M449" i="3" s="1"/>
  <c r="L450" i="3" l="1"/>
  <c r="M450" i="3" s="1"/>
  <c r="S162" i="3"/>
  <c r="O163" i="3" s="1"/>
  <c r="J452" i="3"/>
  <c r="K451" i="3"/>
  <c r="L451" i="3" s="1"/>
  <c r="M451" i="3" s="1"/>
  <c r="T162" i="3" l="1"/>
  <c r="P163" i="3" s="1"/>
  <c r="Q163" i="3" s="1"/>
  <c r="U163" i="3" s="1"/>
  <c r="J453" i="3"/>
  <c r="K452" i="3"/>
  <c r="R163" i="3" l="1"/>
  <c r="N164" i="3" s="1"/>
  <c r="L452" i="3"/>
  <c r="M452" i="3" s="1"/>
  <c r="J454" i="3"/>
  <c r="K453" i="3"/>
  <c r="L453" i="3" l="1"/>
  <c r="M453" i="3" s="1"/>
  <c r="J455" i="3"/>
  <c r="K454" i="3"/>
  <c r="L454" i="3" s="1"/>
  <c r="S163" i="3"/>
  <c r="O164" i="3" s="1"/>
  <c r="M454" i="3" l="1"/>
  <c r="T163" i="3"/>
  <c r="P164" i="3" s="1"/>
  <c r="Q164" i="3" s="1"/>
  <c r="U164" i="3" s="1"/>
  <c r="J456" i="3"/>
  <c r="K455" i="3"/>
  <c r="L455" i="3" s="1"/>
  <c r="R164" i="3" l="1"/>
  <c r="N165" i="3" s="1"/>
  <c r="J457" i="3"/>
  <c r="K456" i="3"/>
  <c r="M455" i="3"/>
  <c r="L456" i="3" l="1"/>
  <c r="M456" i="3" s="1"/>
  <c r="J458" i="3"/>
  <c r="K457" i="3"/>
  <c r="L457" i="3" s="1"/>
  <c r="S164" i="3"/>
  <c r="O165" i="3" s="1"/>
  <c r="M457" i="3" l="1"/>
  <c r="J459" i="3"/>
  <c r="K458" i="3"/>
  <c r="T164" i="3"/>
  <c r="P165" i="3" s="1"/>
  <c r="Q165" i="3" s="1"/>
  <c r="U165" i="3" s="1"/>
  <c r="R165" i="3" l="1"/>
  <c r="N166" i="3" s="1"/>
  <c r="L458" i="3"/>
  <c r="M458" i="3" s="1"/>
  <c r="J460" i="3"/>
  <c r="K459" i="3"/>
  <c r="L459" i="3" s="1"/>
  <c r="M459" i="3" s="1"/>
  <c r="J461" i="3" l="1"/>
  <c r="K460" i="3"/>
  <c r="L460" i="3" s="1"/>
  <c r="S165" i="3"/>
  <c r="O166" i="3" s="1"/>
  <c r="M460" i="3" l="1"/>
  <c r="T165" i="3"/>
  <c r="P166" i="3" s="1"/>
  <c r="Q166" i="3" s="1"/>
  <c r="U166" i="3" s="1"/>
  <c r="J462" i="3"/>
  <c r="K461" i="3"/>
  <c r="R166" i="3" l="1"/>
  <c r="N167" i="3" s="1"/>
  <c r="L461" i="3"/>
  <c r="M461" i="3" s="1"/>
  <c r="K462" i="3"/>
  <c r="L462" i="3" s="1"/>
  <c r="M462" i="3" s="1"/>
  <c r="J463" i="3"/>
  <c r="J464" i="3" l="1"/>
  <c r="K463" i="3"/>
  <c r="L463" i="3" s="1"/>
  <c r="S166" i="3"/>
  <c r="O167" i="3" s="1"/>
  <c r="T166" i="3" l="1"/>
  <c r="P167" i="3" s="1"/>
  <c r="Q167" i="3" s="1"/>
  <c r="U167" i="3" s="1"/>
  <c r="M463" i="3"/>
  <c r="K464" i="3"/>
  <c r="J465" i="3"/>
  <c r="R167" i="3" l="1"/>
  <c r="N168" i="3" s="1"/>
  <c r="L464" i="3"/>
  <c r="M464" i="3" s="1"/>
  <c r="J466" i="3"/>
  <c r="K465" i="3"/>
  <c r="L465" i="3" s="1"/>
  <c r="M465" i="3" s="1"/>
  <c r="S167" i="3" l="1"/>
  <c r="O168" i="3" s="1"/>
  <c r="K466" i="3"/>
  <c r="L466" i="3" s="1"/>
  <c r="M466" i="3" s="1"/>
  <c r="J467" i="3"/>
  <c r="T167" i="3" l="1"/>
  <c r="P168" i="3" s="1"/>
  <c r="Q168" i="3" s="1"/>
  <c r="U168" i="3" s="1"/>
  <c r="R168" i="3" s="1"/>
  <c r="N169" i="3" s="1"/>
  <c r="J468" i="3"/>
  <c r="K467" i="3"/>
  <c r="L467" i="3" l="1"/>
  <c r="M467" i="3" s="1"/>
  <c r="K468" i="3"/>
  <c r="J469" i="3"/>
  <c r="L468" i="3"/>
  <c r="S168" i="3"/>
  <c r="M468" i="3" l="1"/>
  <c r="J470" i="3"/>
  <c r="K469" i="3"/>
  <c r="L469" i="3" s="1"/>
  <c r="O169" i="3"/>
  <c r="T168" i="3"/>
  <c r="P169" i="3" s="1"/>
  <c r="Q169" i="3" l="1"/>
  <c r="U169" i="3" s="1"/>
  <c r="M469" i="3"/>
  <c r="K470" i="3"/>
  <c r="L470" i="3" s="1"/>
  <c r="J471" i="3"/>
  <c r="M470" i="3" l="1"/>
  <c r="J472" i="3"/>
  <c r="K471" i="3"/>
  <c r="L471" i="3" s="1"/>
  <c r="R169" i="3"/>
  <c r="N170" i="3" s="1"/>
  <c r="M471" i="3" l="1"/>
  <c r="S169" i="3"/>
  <c r="O170" i="3" s="1"/>
  <c r="K472" i="3"/>
  <c r="L472" i="3" s="1"/>
  <c r="M472" i="3" s="1"/>
  <c r="J473" i="3"/>
  <c r="T169" i="3" l="1"/>
  <c r="P170" i="3" s="1"/>
  <c r="Q170" i="3" s="1"/>
  <c r="U170" i="3" s="1"/>
  <c r="K473" i="3"/>
  <c r="L473" i="3" s="1"/>
  <c r="J474" i="3"/>
  <c r="M473" i="3" l="1"/>
  <c r="R170" i="3"/>
  <c r="N171" i="3" s="1"/>
  <c r="K474" i="3"/>
  <c r="J475" i="3"/>
  <c r="L474" i="3" l="1"/>
  <c r="M474" i="3" s="1"/>
  <c r="J476" i="3"/>
  <c r="K475" i="3"/>
  <c r="S170" i="3"/>
  <c r="O171" i="3" l="1"/>
  <c r="T170" i="3"/>
  <c r="P171" i="3" s="1"/>
  <c r="L475" i="3"/>
  <c r="M475" i="3" s="1"/>
  <c r="J477" i="3"/>
  <c r="K476" i="3"/>
  <c r="L476" i="3" s="1"/>
  <c r="M476" i="3" l="1"/>
  <c r="Q171" i="3"/>
  <c r="U171" i="3" s="1"/>
  <c r="J478" i="3"/>
  <c r="K477" i="3"/>
  <c r="R171" i="3" l="1"/>
  <c r="N172" i="3" s="1"/>
  <c r="L477" i="3"/>
  <c r="M477" i="3" s="1"/>
  <c r="K478" i="3"/>
  <c r="J479" i="3"/>
  <c r="L478" i="3" l="1"/>
  <c r="M478" i="3" s="1"/>
  <c r="S171" i="3"/>
  <c r="O172" i="3" s="1"/>
  <c r="J480" i="3"/>
  <c r="K479" i="3"/>
  <c r="L479" i="3" s="1"/>
  <c r="T171" i="3" l="1"/>
  <c r="P172" i="3" s="1"/>
  <c r="Q172" i="3" s="1"/>
  <c r="U172" i="3" s="1"/>
  <c r="M479" i="3"/>
  <c r="K480" i="3"/>
  <c r="L480" i="3" s="1"/>
  <c r="J481" i="3"/>
  <c r="R172" i="3" l="1"/>
  <c r="N173" i="3" s="1"/>
  <c r="J482" i="3"/>
  <c r="K481" i="3"/>
  <c r="L481" i="3" s="1"/>
  <c r="M480" i="3"/>
  <c r="M481" i="3" l="1"/>
  <c r="J483" i="3"/>
  <c r="K482" i="3"/>
  <c r="S172" i="3"/>
  <c r="O173" i="3" s="1"/>
  <c r="T172" i="3" l="1"/>
  <c r="P173" i="3" s="1"/>
  <c r="Q173" i="3" s="1"/>
  <c r="U173" i="3" s="1"/>
  <c r="L482" i="3"/>
  <c r="M482" i="3" s="1"/>
  <c r="J484" i="3"/>
  <c r="K483" i="3"/>
  <c r="L483" i="3" s="1"/>
  <c r="R173" i="3" l="1"/>
  <c r="N174" i="3" s="1"/>
  <c r="M483" i="3"/>
  <c r="K484" i="3"/>
  <c r="L484" i="3" s="1"/>
  <c r="M484" i="3" s="1"/>
  <c r="J485" i="3"/>
  <c r="J486" i="3" l="1"/>
  <c r="K485" i="3"/>
  <c r="S173" i="3"/>
  <c r="O174" i="3" s="1"/>
  <c r="T173" i="3" l="1"/>
  <c r="P174" i="3" s="1"/>
  <c r="Q174" i="3" s="1"/>
  <c r="U174" i="3" s="1"/>
  <c r="R174" i="3" s="1"/>
  <c r="N175" i="3" s="1"/>
  <c r="L485" i="3"/>
  <c r="M485" i="3" s="1"/>
  <c r="K486" i="3"/>
  <c r="J487" i="3"/>
  <c r="S174" i="3" l="1"/>
  <c r="O175" i="3" s="1"/>
  <c r="J488" i="3"/>
  <c r="K487" i="3"/>
  <c r="L487" i="3" s="1"/>
  <c r="L486" i="3"/>
  <c r="M486" i="3" s="1"/>
  <c r="M487" i="3" l="1"/>
  <c r="K488" i="3"/>
  <c r="L488" i="3" s="1"/>
  <c r="M488" i="3" s="1"/>
  <c r="J489" i="3"/>
  <c r="T174" i="3"/>
  <c r="P175" i="3" s="1"/>
  <c r="Q175" i="3" s="1"/>
  <c r="U175" i="3" s="1"/>
  <c r="R175" i="3" l="1"/>
  <c r="N176" i="3" s="1"/>
  <c r="J490" i="3"/>
  <c r="K489" i="3"/>
  <c r="L489" i="3" s="1"/>
  <c r="S175" i="3" l="1"/>
  <c r="O176" i="3" s="1"/>
  <c r="M489" i="3"/>
  <c r="K490" i="3"/>
  <c r="L490" i="3" s="1"/>
  <c r="M490" i="3" s="1"/>
  <c r="J491" i="3"/>
  <c r="T175" i="3" l="1"/>
  <c r="P176" i="3" s="1"/>
  <c r="Q176" i="3" s="1"/>
  <c r="U176" i="3" s="1"/>
  <c r="R176" i="3" s="1"/>
  <c r="N177" i="3" s="1"/>
  <c r="J492" i="3"/>
  <c r="K491" i="3"/>
  <c r="L491" i="3" l="1"/>
  <c r="M491" i="3" s="1"/>
  <c r="K492" i="3"/>
  <c r="L492" i="3" s="1"/>
  <c r="J493" i="3"/>
  <c r="S176" i="3"/>
  <c r="O177" i="3" s="1"/>
  <c r="T176" i="3" l="1"/>
  <c r="P177" i="3" s="1"/>
  <c r="Q177" i="3" s="1"/>
  <c r="U177" i="3" s="1"/>
  <c r="R177" i="3" s="1"/>
  <c r="N178" i="3" s="1"/>
  <c r="M492" i="3"/>
  <c r="J494" i="3"/>
  <c r="K493" i="3"/>
  <c r="L493" i="3" s="1"/>
  <c r="M493" i="3" l="1"/>
  <c r="K494" i="3"/>
  <c r="L494" i="3" s="1"/>
  <c r="J495" i="3"/>
  <c r="S177" i="3"/>
  <c r="O178" i="3" s="1"/>
  <c r="T177" i="3" l="1"/>
  <c r="P178" i="3" s="1"/>
  <c r="Q178" i="3" s="1"/>
  <c r="U178" i="3" s="1"/>
  <c r="R178" i="3" s="1"/>
  <c r="N179" i="3" s="1"/>
  <c r="M494" i="3"/>
  <c r="K495" i="3"/>
  <c r="J496" i="3"/>
  <c r="J497" i="3" l="1"/>
  <c r="K496" i="3"/>
  <c r="L496" i="3" s="1"/>
  <c r="L495" i="3"/>
  <c r="M495" i="3" s="1"/>
  <c r="S178" i="3"/>
  <c r="O179" i="3" s="1"/>
  <c r="M496" i="3" l="1"/>
  <c r="K497" i="3"/>
  <c r="J498" i="3"/>
  <c r="T178" i="3"/>
  <c r="P179" i="3" s="1"/>
  <c r="Q179" i="3" s="1"/>
  <c r="U179" i="3" s="1"/>
  <c r="R179" i="3" l="1"/>
  <c r="N180" i="3" s="1"/>
  <c r="J499" i="3"/>
  <c r="K498" i="3"/>
  <c r="L497" i="3"/>
  <c r="M497" i="3" s="1"/>
  <c r="L498" i="3" l="1"/>
  <c r="M498" i="3" s="1"/>
  <c r="K499" i="3"/>
  <c r="J500" i="3"/>
  <c r="S179" i="3"/>
  <c r="O180" i="3" s="1"/>
  <c r="L499" i="3" l="1"/>
  <c r="M499" i="3" s="1"/>
  <c r="J501" i="3"/>
  <c r="K500" i="3"/>
  <c r="L500" i="3" s="1"/>
  <c r="T179" i="3"/>
  <c r="P180" i="3" s="1"/>
  <c r="Q180" i="3" s="1"/>
  <c r="U180" i="3" s="1"/>
  <c r="R180" i="3" l="1"/>
  <c r="N181" i="3" s="1"/>
  <c r="M500" i="3"/>
  <c r="K501" i="3"/>
  <c r="L501" i="3" s="1"/>
  <c r="J502" i="3"/>
  <c r="M501" i="3" l="1"/>
  <c r="J503" i="3"/>
  <c r="K502" i="3"/>
  <c r="S180" i="3"/>
  <c r="O181" i="3" s="1"/>
  <c r="T180" i="3" l="1"/>
  <c r="P181" i="3" s="1"/>
  <c r="Q181" i="3" s="1"/>
  <c r="U181" i="3" s="1"/>
  <c r="R181" i="3" s="1"/>
  <c r="N182" i="3" s="1"/>
  <c r="L502" i="3"/>
  <c r="M502" i="3" s="1"/>
  <c r="J504" i="3"/>
  <c r="K503" i="3"/>
  <c r="L503" i="3" s="1"/>
  <c r="M503" i="3" s="1"/>
  <c r="K504" i="3" l="1"/>
  <c r="J505" i="3"/>
  <c r="S181" i="3"/>
  <c r="O182" i="3" s="1"/>
  <c r="T181" i="3" l="1"/>
  <c r="P182" i="3" s="1"/>
  <c r="Q182" i="3" s="1"/>
  <c r="U182" i="3" s="1"/>
  <c r="R182" i="3" s="1"/>
  <c r="N183" i="3" s="1"/>
  <c r="K505" i="3"/>
  <c r="J506" i="3"/>
  <c r="L504" i="3"/>
  <c r="M504" i="3" s="1"/>
  <c r="S182" i="3" l="1"/>
  <c r="O183" i="3" s="1"/>
  <c r="K506" i="3"/>
  <c r="J507" i="3"/>
  <c r="L505" i="3"/>
  <c r="M505" i="3" s="1"/>
  <c r="J508" i="3" l="1"/>
  <c r="K507" i="3"/>
  <c r="L506" i="3"/>
  <c r="M506" i="3" s="1"/>
  <c r="T182" i="3"/>
  <c r="P183" i="3" s="1"/>
  <c r="Q183" i="3" s="1"/>
  <c r="U183" i="3" s="1"/>
  <c r="R183" i="3" l="1"/>
  <c r="N184" i="3" s="1"/>
  <c r="K508" i="3"/>
  <c r="L508" i="3" s="1"/>
  <c r="J509" i="3"/>
  <c r="L507" i="3"/>
  <c r="M507" i="3" s="1"/>
  <c r="S183" i="3" l="1"/>
  <c r="O184" i="3" s="1"/>
  <c r="J510" i="3"/>
  <c r="K509" i="3"/>
  <c r="M508" i="3"/>
  <c r="T183" i="3" l="1"/>
  <c r="P184" i="3" s="1"/>
  <c r="Q184" i="3" s="1"/>
  <c r="U184" i="3" s="1"/>
  <c r="R184" i="3" s="1"/>
  <c r="N185" i="3" s="1"/>
  <c r="K510" i="3"/>
  <c r="J511" i="3"/>
  <c r="L509" i="3"/>
  <c r="M509" i="3" s="1"/>
  <c r="K511" i="3" l="1"/>
  <c r="J512" i="3"/>
  <c r="L510" i="3"/>
  <c r="M510" i="3" s="1"/>
  <c r="S184" i="3"/>
  <c r="L511" i="3" l="1"/>
  <c r="M511" i="3" s="1"/>
  <c r="K512" i="3"/>
  <c r="J513" i="3"/>
  <c r="O185" i="3"/>
  <c r="T184" i="3"/>
  <c r="P185" i="3" s="1"/>
  <c r="Q185" i="3" l="1"/>
  <c r="U185" i="3" s="1"/>
  <c r="K513" i="3"/>
  <c r="J514" i="3"/>
  <c r="L512" i="3"/>
  <c r="M512" i="3" s="1"/>
  <c r="K514" i="3" l="1"/>
  <c r="J515" i="3"/>
  <c r="L513" i="3"/>
  <c r="M513" i="3" s="1"/>
  <c r="R185" i="3"/>
  <c r="N186" i="3" s="1"/>
  <c r="S185" i="3" l="1"/>
  <c r="O186" i="3" s="1"/>
  <c r="K515" i="3"/>
  <c r="J516" i="3"/>
  <c r="L514" i="3"/>
  <c r="M514" i="3" s="1"/>
  <c r="T185" i="3" l="1"/>
  <c r="P186" i="3" s="1"/>
  <c r="Q186" i="3" s="1"/>
  <c r="U186" i="3" s="1"/>
  <c r="R186" i="3" s="1"/>
  <c r="N187" i="3" s="1"/>
  <c r="L515" i="3"/>
  <c r="M515" i="3" s="1"/>
  <c r="K516" i="3"/>
  <c r="J517" i="3"/>
  <c r="L516" i="3" l="1"/>
  <c r="M516" i="3" s="1"/>
  <c r="S186" i="3"/>
  <c r="O187" i="3" s="1"/>
  <c r="K517" i="3"/>
  <c r="J518" i="3"/>
  <c r="L517" i="3" l="1"/>
  <c r="M517" i="3" s="1"/>
  <c r="T186" i="3"/>
  <c r="P187" i="3" s="1"/>
  <c r="Q187" i="3" s="1"/>
  <c r="U187" i="3" s="1"/>
  <c r="K518" i="3"/>
  <c r="J519" i="3"/>
  <c r="R187" i="3" l="1"/>
  <c r="N188" i="3" s="1"/>
  <c r="K519" i="3"/>
  <c r="J520" i="3"/>
  <c r="L518" i="3"/>
  <c r="M518" i="3" s="1"/>
  <c r="L519" i="3" l="1"/>
  <c r="M519" i="3" s="1"/>
  <c r="S187" i="3"/>
  <c r="O188" i="3" s="1"/>
  <c r="K520" i="3"/>
  <c r="J521" i="3"/>
  <c r="K521" i="3" l="1"/>
  <c r="J522" i="3"/>
  <c r="L520" i="3"/>
  <c r="M520" i="3" s="1"/>
  <c r="T187" i="3"/>
  <c r="P188" i="3" s="1"/>
  <c r="Q188" i="3" s="1"/>
  <c r="U188" i="3" s="1"/>
  <c r="R188" i="3" l="1"/>
  <c r="N189" i="3" s="1"/>
  <c r="K522" i="3"/>
  <c r="J523" i="3"/>
  <c r="L521" i="3"/>
  <c r="M521" i="3" s="1"/>
  <c r="K523" i="3" l="1"/>
  <c r="J524" i="3"/>
  <c r="L523" i="3"/>
  <c r="L522" i="3"/>
  <c r="M522" i="3" s="1"/>
  <c r="S188" i="3"/>
  <c r="M523" i="3" l="1"/>
  <c r="K524" i="3"/>
  <c r="J525" i="3"/>
  <c r="O189" i="3"/>
  <c r="T188" i="3"/>
  <c r="P189" i="3" s="1"/>
  <c r="J526" i="3" l="1"/>
  <c r="K525" i="3"/>
  <c r="L525" i="3" s="1"/>
  <c r="Q189" i="3"/>
  <c r="U189" i="3" s="1"/>
  <c r="L524" i="3"/>
  <c r="M524" i="3" s="1"/>
  <c r="J527" i="3" l="1"/>
  <c r="K526" i="3"/>
  <c r="M525" i="3"/>
  <c r="R189" i="3"/>
  <c r="N190" i="3" s="1"/>
  <c r="S189" i="3" l="1"/>
  <c r="O190" i="3" s="1"/>
  <c r="J528" i="3"/>
  <c r="K527" i="3"/>
  <c r="L527" i="3" s="1"/>
  <c r="L526" i="3"/>
  <c r="M526" i="3" s="1"/>
  <c r="M527" i="3" l="1"/>
  <c r="J529" i="3"/>
  <c r="K528" i="3"/>
  <c r="L528" i="3" s="1"/>
  <c r="T189" i="3"/>
  <c r="P190" i="3" s="1"/>
  <c r="Q190" i="3" s="1"/>
  <c r="U190" i="3" s="1"/>
  <c r="R190" i="3" l="1"/>
  <c r="N191" i="3" s="1"/>
  <c r="M528" i="3"/>
  <c r="J530" i="3"/>
  <c r="K529" i="3"/>
  <c r="L529" i="3" s="1"/>
  <c r="J531" i="3" l="1"/>
  <c r="K530" i="3"/>
  <c r="M529" i="3"/>
  <c r="S190" i="3"/>
  <c r="O191" i="3" s="1"/>
  <c r="T190" i="3" l="1"/>
  <c r="P191" i="3" s="1"/>
  <c r="Q191" i="3" s="1"/>
  <c r="U191" i="3" s="1"/>
  <c r="L530" i="3"/>
  <c r="M530" i="3" s="1"/>
  <c r="J532" i="3"/>
  <c r="K531" i="3"/>
  <c r="L531" i="3" s="1"/>
  <c r="R191" i="3" l="1"/>
  <c r="N192" i="3" s="1"/>
  <c r="K532" i="3"/>
  <c r="L532" i="3" s="1"/>
  <c r="J533" i="3"/>
  <c r="M531" i="3"/>
  <c r="S191" i="3" l="1"/>
  <c r="O192" i="3" s="1"/>
  <c r="J534" i="3"/>
  <c r="K533" i="3"/>
  <c r="M532" i="3"/>
  <c r="T191" i="3" l="1"/>
  <c r="P192" i="3" s="1"/>
  <c r="Q192" i="3" s="1"/>
  <c r="U192" i="3" s="1"/>
  <c r="R192" i="3" s="1"/>
  <c r="N193" i="3" s="1"/>
  <c r="K534" i="3"/>
  <c r="J535" i="3"/>
  <c r="L533" i="3"/>
  <c r="M533" i="3" s="1"/>
  <c r="J536" i="3" l="1"/>
  <c r="K535" i="3"/>
  <c r="S192" i="3"/>
  <c r="O193" i="3" s="1"/>
  <c r="L534" i="3"/>
  <c r="M534" i="3" s="1"/>
  <c r="T192" i="3" l="1"/>
  <c r="P193" i="3" s="1"/>
  <c r="Q193" i="3" s="1"/>
  <c r="U193" i="3" s="1"/>
  <c r="J537" i="3"/>
  <c r="K536" i="3"/>
  <c r="L535" i="3"/>
  <c r="M535" i="3" s="1"/>
  <c r="R193" i="3" l="1"/>
  <c r="N194" i="3" s="1"/>
  <c r="J538" i="3"/>
  <c r="K537" i="3"/>
  <c r="L536" i="3"/>
  <c r="M536" i="3" s="1"/>
  <c r="J539" i="3" l="1"/>
  <c r="K538" i="3"/>
  <c r="L537" i="3"/>
  <c r="M537" i="3" s="1"/>
  <c r="S193" i="3"/>
  <c r="O194" i="3" s="1"/>
  <c r="K539" i="3" l="1"/>
  <c r="J540" i="3"/>
  <c r="L538" i="3"/>
  <c r="M538" i="3" s="1"/>
  <c r="T193" i="3"/>
  <c r="P194" i="3" s="1"/>
  <c r="Q194" i="3" s="1"/>
  <c r="U194" i="3" s="1"/>
  <c r="R194" i="3" l="1"/>
  <c r="N195" i="3" s="1"/>
  <c r="J541" i="3"/>
  <c r="K540" i="3"/>
  <c r="L540" i="3" s="1"/>
  <c r="L539" i="3"/>
  <c r="M539" i="3" s="1"/>
  <c r="M540" i="3" l="1"/>
  <c r="K541" i="3"/>
  <c r="J542" i="3"/>
  <c r="S194" i="3"/>
  <c r="O195" i="3" s="1"/>
  <c r="T194" i="3" l="1"/>
  <c r="P195" i="3" s="1"/>
  <c r="Q195" i="3" s="1"/>
  <c r="U195" i="3" s="1"/>
  <c r="J543" i="3"/>
  <c r="K542" i="3"/>
  <c r="L541" i="3"/>
  <c r="M541" i="3" s="1"/>
  <c r="R195" i="3" l="1"/>
  <c r="N196" i="3" s="1"/>
  <c r="L542" i="3"/>
  <c r="M542" i="3" s="1"/>
  <c r="K543" i="3"/>
  <c r="J544" i="3"/>
  <c r="L543" i="3" l="1"/>
  <c r="M543" i="3" s="1"/>
  <c r="S195" i="3"/>
  <c r="O196" i="3" s="1"/>
  <c r="J545" i="3"/>
  <c r="K544" i="3"/>
  <c r="L544" i="3" s="1"/>
  <c r="M544" i="3" s="1"/>
  <c r="J546" i="3" l="1"/>
  <c r="K545" i="3"/>
  <c r="T195" i="3"/>
  <c r="P196" i="3" s="1"/>
  <c r="Q196" i="3" s="1"/>
  <c r="U196" i="3" s="1"/>
  <c r="R196" i="3" l="1"/>
  <c r="N197" i="3" s="1"/>
  <c r="K546" i="3"/>
  <c r="J547" i="3"/>
  <c r="L545" i="3"/>
  <c r="M545" i="3" s="1"/>
  <c r="J548" i="3" l="1"/>
  <c r="K547" i="3"/>
  <c r="S196" i="3"/>
  <c r="O197" i="3" s="1"/>
  <c r="L546" i="3"/>
  <c r="M546" i="3" s="1"/>
  <c r="K548" i="3" l="1"/>
  <c r="L548" i="3" s="1"/>
  <c r="J549" i="3"/>
  <c r="L547" i="3"/>
  <c r="M547" i="3" s="1"/>
  <c r="T196" i="3"/>
  <c r="P197" i="3" s="1"/>
  <c r="Q197" i="3" s="1"/>
  <c r="U197" i="3" s="1"/>
  <c r="R197" i="3" l="1"/>
  <c r="N198" i="3" s="1"/>
  <c r="J550" i="3"/>
  <c r="K549" i="3"/>
  <c r="M548" i="3"/>
  <c r="L549" i="3" l="1"/>
  <c r="M549" i="3" s="1"/>
  <c r="K550" i="3"/>
  <c r="J551" i="3"/>
  <c r="S197" i="3"/>
  <c r="O198" i="3" s="1"/>
  <c r="J552" i="3" l="1"/>
  <c r="K551" i="3"/>
  <c r="L550" i="3"/>
  <c r="M550" i="3" s="1"/>
  <c r="T197" i="3"/>
  <c r="P198" i="3" s="1"/>
  <c r="Q198" i="3" s="1"/>
  <c r="U198" i="3" s="1"/>
  <c r="R198" i="3" l="1"/>
  <c r="N199" i="3" s="1"/>
  <c r="K552" i="3"/>
  <c r="L552" i="3" s="1"/>
  <c r="J553" i="3"/>
  <c r="L551" i="3"/>
  <c r="M551" i="3" s="1"/>
  <c r="M552" i="3" l="1"/>
  <c r="S198" i="3"/>
  <c r="O199" i="3" s="1"/>
  <c r="J554" i="3"/>
  <c r="K553" i="3"/>
  <c r="T198" i="3" l="1"/>
  <c r="P199" i="3" s="1"/>
  <c r="Q199" i="3" s="1"/>
  <c r="U199" i="3" s="1"/>
  <c r="R199" i="3" s="1"/>
  <c r="N200" i="3" s="1"/>
  <c r="L553" i="3"/>
  <c r="M553" i="3" s="1"/>
  <c r="J555" i="3"/>
  <c r="K554" i="3"/>
  <c r="L554" i="3" s="1"/>
  <c r="M554" i="3" s="1"/>
  <c r="K555" i="3" l="1"/>
  <c r="J556" i="3"/>
  <c r="S199" i="3"/>
  <c r="O200" i="3" s="1"/>
  <c r="J557" i="3" l="1"/>
  <c r="K556" i="3"/>
  <c r="T199" i="3"/>
  <c r="P200" i="3" s="1"/>
  <c r="Q200" i="3" s="1"/>
  <c r="U200" i="3" s="1"/>
  <c r="L555" i="3"/>
  <c r="M555" i="3" s="1"/>
  <c r="R200" i="3" l="1"/>
  <c r="N201" i="3" s="1"/>
  <c r="L556" i="3"/>
  <c r="M556" i="3" s="1"/>
  <c r="K557" i="3"/>
  <c r="J558" i="3"/>
  <c r="L557" i="3" l="1"/>
  <c r="M557" i="3" s="1"/>
  <c r="S200" i="3"/>
  <c r="O201" i="3" s="1"/>
  <c r="J559" i="3"/>
  <c r="K558" i="3"/>
  <c r="K559" i="3" l="1"/>
  <c r="J560" i="3"/>
  <c r="L558" i="3"/>
  <c r="M558" i="3" s="1"/>
  <c r="T200" i="3"/>
  <c r="P201" i="3" s="1"/>
  <c r="Q201" i="3" s="1"/>
  <c r="U201" i="3" s="1"/>
  <c r="R201" i="3" l="1"/>
  <c r="N202" i="3" s="1"/>
  <c r="J561" i="3"/>
  <c r="K560" i="3"/>
  <c r="L559" i="3"/>
  <c r="M559" i="3" s="1"/>
  <c r="L560" i="3" l="1"/>
  <c r="M560" i="3" s="1"/>
  <c r="J562" i="3"/>
  <c r="K561" i="3"/>
  <c r="S201" i="3"/>
  <c r="O202" i="3" s="1"/>
  <c r="K562" i="3" l="1"/>
  <c r="J563" i="3"/>
  <c r="L561" i="3"/>
  <c r="M561" i="3" s="1"/>
  <c r="T201" i="3"/>
  <c r="P202" i="3" s="1"/>
  <c r="Q202" i="3" s="1"/>
  <c r="U202" i="3" s="1"/>
  <c r="R202" i="3" l="1"/>
  <c r="N203" i="3" s="1"/>
  <c r="J564" i="3"/>
  <c r="K563" i="3"/>
  <c r="L563" i="3" s="1"/>
  <c r="L562" i="3"/>
  <c r="M562" i="3" s="1"/>
  <c r="M563" i="3" l="1"/>
  <c r="S202" i="3"/>
  <c r="O203" i="3" s="1"/>
  <c r="J565" i="3"/>
  <c r="K564" i="3"/>
  <c r="T202" i="3" l="1"/>
  <c r="P203" i="3" s="1"/>
  <c r="Q203" i="3" s="1"/>
  <c r="U203" i="3" s="1"/>
  <c r="R203" i="3" s="1"/>
  <c r="N204" i="3" s="1"/>
  <c r="L564" i="3"/>
  <c r="M564" i="3" s="1"/>
  <c r="K565" i="3"/>
  <c r="L565" i="3" l="1"/>
  <c r="M565" i="3" s="1"/>
  <c r="S203" i="3"/>
  <c r="O204" i="3" s="1"/>
  <c r="T203" i="3" l="1"/>
  <c r="P204" i="3" s="1"/>
  <c r="Q204" i="3" s="1"/>
  <c r="U204" i="3" s="1"/>
  <c r="R204" i="3" l="1"/>
  <c r="N205" i="3" s="1"/>
  <c r="S204" i="3" l="1"/>
  <c r="O205" i="3" s="1"/>
  <c r="T204" i="3" l="1"/>
  <c r="P205" i="3" s="1"/>
  <c r="Q205" i="3" s="1"/>
  <c r="U205" i="3" s="1"/>
  <c r="R205" i="3" l="1"/>
  <c r="N206" i="3" s="1"/>
  <c r="S205" i="3" l="1"/>
  <c r="O206" i="3" s="1"/>
  <c r="T205" i="3" l="1"/>
  <c r="P206" i="3" s="1"/>
  <c r="Q206" i="3" s="1"/>
  <c r="U206" i="3" s="1"/>
  <c r="R206" i="3" s="1"/>
  <c r="N207" i="3" s="1"/>
  <c r="S206" i="3" l="1"/>
  <c r="O207" i="3" s="1"/>
  <c r="T206" i="3" l="1"/>
  <c r="P207" i="3" s="1"/>
  <c r="Q207" i="3" s="1"/>
  <c r="U207" i="3" s="1"/>
  <c r="R207" i="3" s="1"/>
  <c r="N208" i="3" s="1"/>
  <c r="S207" i="3" l="1"/>
  <c r="O208" i="3" s="1"/>
  <c r="T207" i="3" l="1"/>
  <c r="P208" i="3" s="1"/>
  <c r="Q208" i="3" s="1"/>
  <c r="U208" i="3" s="1"/>
  <c r="R208" i="3" l="1"/>
  <c r="N209" i="3" s="1"/>
  <c r="S208" i="3" l="1"/>
  <c r="O209" i="3" s="1"/>
  <c r="T208" i="3" l="1"/>
  <c r="P209" i="3" s="1"/>
  <c r="Q209" i="3" s="1"/>
  <c r="U209" i="3" s="1"/>
  <c r="R209" i="3" l="1"/>
  <c r="N210" i="3" s="1"/>
  <c r="S209" i="3" l="1"/>
  <c r="O210" i="3" s="1"/>
  <c r="T209" i="3" l="1"/>
  <c r="P210" i="3" s="1"/>
  <c r="Q210" i="3" s="1"/>
  <c r="U210" i="3" s="1"/>
  <c r="R210" i="3" l="1"/>
  <c r="N211" i="3" s="1"/>
  <c r="S210" i="3" l="1"/>
  <c r="O211" i="3" s="1"/>
  <c r="T210" i="3" l="1"/>
  <c r="P211" i="3" s="1"/>
  <c r="Q211" i="3" s="1"/>
  <c r="U211" i="3" s="1"/>
  <c r="R211" i="3" s="1"/>
  <c r="N212" i="3" s="1"/>
  <c r="S211" i="3" l="1"/>
  <c r="O212" i="3" s="1"/>
  <c r="T211" i="3" l="1"/>
  <c r="P212" i="3" s="1"/>
  <c r="Q212" i="3" s="1"/>
  <c r="U212" i="3" s="1"/>
  <c r="R212" i="3" s="1"/>
  <c r="N213" i="3" s="1"/>
  <c r="S212" i="3" l="1"/>
  <c r="O213" i="3" s="1"/>
  <c r="T212" i="3" l="1"/>
  <c r="P213" i="3" s="1"/>
  <c r="Q213" i="3" s="1"/>
  <c r="U213" i="3" s="1"/>
  <c r="R213" i="3" s="1"/>
  <c r="N214" i="3" s="1"/>
  <c r="S213" i="3" l="1"/>
  <c r="O214" i="3" s="1"/>
  <c r="T213" i="3" l="1"/>
  <c r="P214" i="3" s="1"/>
  <c r="Q214" i="3" s="1"/>
  <c r="U214" i="3" s="1"/>
  <c r="R214" i="3" s="1"/>
  <c r="N215" i="3" s="1"/>
  <c r="S214" i="3" l="1"/>
  <c r="O215" i="3" s="1"/>
  <c r="T214" i="3" l="1"/>
  <c r="P215" i="3" s="1"/>
  <c r="Q215" i="3" s="1"/>
  <c r="U215" i="3" s="1"/>
  <c r="R215" i="3" l="1"/>
  <c r="N216" i="3" s="1"/>
  <c r="S215" i="3" l="1"/>
  <c r="O216" i="3" s="1"/>
  <c r="T215" i="3" l="1"/>
  <c r="P216" i="3" s="1"/>
  <c r="Q216" i="3" s="1"/>
  <c r="U216" i="3" s="1"/>
  <c r="R216" i="3" l="1"/>
  <c r="N217" i="3" s="1"/>
  <c r="S216" i="3" l="1"/>
  <c r="O217" i="3" s="1"/>
  <c r="T216" i="3" l="1"/>
  <c r="P217" i="3" s="1"/>
  <c r="Q217" i="3" s="1"/>
  <c r="U217" i="3" s="1"/>
  <c r="R217" i="3" l="1"/>
  <c r="N218" i="3" s="1"/>
  <c r="S217" i="3" l="1"/>
  <c r="O218" i="3" s="1"/>
  <c r="T217" i="3" l="1"/>
  <c r="P218" i="3" s="1"/>
  <c r="Q218" i="3" s="1"/>
  <c r="U218" i="3" s="1"/>
  <c r="R218" i="3" l="1"/>
  <c r="N219" i="3" s="1"/>
  <c r="S218" i="3" l="1"/>
  <c r="O219" i="3" s="1"/>
  <c r="T218" i="3" l="1"/>
  <c r="P219" i="3" s="1"/>
  <c r="Q219" i="3" s="1"/>
  <c r="U219" i="3" s="1"/>
  <c r="R219" i="3" l="1"/>
  <c r="N220" i="3" s="1"/>
  <c r="S219" i="3" l="1"/>
  <c r="O220" i="3" l="1"/>
  <c r="T219" i="3"/>
  <c r="P220" i="3" s="1"/>
  <c r="Q220" i="3" l="1"/>
  <c r="U220" i="3" s="1"/>
  <c r="R220" i="3" l="1"/>
  <c r="N221" i="3" s="1"/>
  <c r="S220" i="3" l="1"/>
  <c r="O221" i="3" s="1"/>
  <c r="T220" i="3" l="1"/>
  <c r="P221" i="3" s="1"/>
  <c r="Q221" i="3" s="1"/>
  <c r="U221" i="3" s="1"/>
  <c r="R221" i="3" s="1"/>
  <c r="N222" i="3" s="1"/>
  <c r="S221" i="3" l="1"/>
  <c r="O222" i="3" s="1"/>
  <c r="T221" i="3" l="1"/>
  <c r="P222" i="3" s="1"/>
  <c r="Q222" i="3" s="1"/>
  <c r="U222" i="3" s="1"/>
  <c r="R222" i="3" l="1"/>
  <c r="N223" i="3" s="1"/>
  <c r="S222" i="3" l="1"/>
  <c r="O223" i="3" s="1"/>
  <c r="T222" i="3" l="1"/>
  <c r="P223" i="3" s="1"/>
  <c r="Q223" i="3" s="1"/>
  <c r="U223" i="3" s="1"/>
  <c r="R223" i="3" s="1"/>
  <c r="N224" i="3" s="1"/>
  <c r="S223" i="3" l="1"/>
  <c r="O224" i="3" s="1"/>
  <c r="T223" i="3" l="1"/>
  <c r="P224" i="3" s="1"/>
  <c r="Q224" i="3" s="1"/>
  <c r="U224" i="3" s="1"/>
  <c r="R224" i="3" s="1"/>
  <c r="N225" i="3" s="1"/>
  <c r="S224" i="3" l="1"/>
  <c r="O225" i="3" s="1"/>
  <c r="T224" i="3" l="1"/>
  <c r="P225" i="3" s="1"/>
  <c r="Q225" i="3" s="1"/>
  <c r="U225" i="3" s="1"/>
  <c r="R225" i="3" s="1"/>
  <c r="N226" i="3" s="1"/>
  <c r="S225" i="3" l="1"/>
  <c r="O226" i="3" s="1"/>
  <c r="T225" i="3" l="1"/>
  <c r="P226" i="3" s="1"/>
  <c r="Q226" i="3" s="1"/>
  <c r="U226" i="3" s="1"/>
  <c r="R226" i="3" l="1"/>
  <c r="N227" i="3" s="1"/>
  <c r="S226" i="3" l="1"/>
  <c r="O227" i="3" s="1"/>
  <c r="T226" i="3" l="1"/>
  <c r="P227" i="3" s="1"/>
  <c r="Q227" i="3" s="1"/>
  <c r="U227" i="3" s="1"/>
  <c r="R227" i="3" l="1"/>
  <c r="N228" i="3" s="1"/>
  <c r="S227" i="3" l="1"/>
  <c r="O228" i="3" s="1"/>
  <c r="T227" i="3" l="1"/>
  <c r="P228" i="3" s="1"/>
  <c r="Q228" i="3" s="1"/>
  <c r="U228" i="3" s="1"/>
  <c r="R228" i="3" s="1"/>
  <c r="N229" i="3" s="1"/>
  <c r="S228" i="3" l="1"/>
  <c r="O229" i="3" s="1"/>
  <c r="T228" i="3" l="1"/>
  <c r="P229" i="3" s="1"/>
  <c r="Q229" i="3" s="1"/>
  <c r="U229" i="3" s="1"/>
  <c r="R229" i="3" s="1"/>
  <c r="N230" i="3" s="1"/>
  <c r="S229" i="3" l="1"/>
  <c r="O230" i="3" s="1"/>
  <c r="T229" i="3" l="1"/>
  <c r="P230" i="3" s="1"/>
  <c r="Q230" i="3"/>
  <c r="U230" i="3" s="1"/>
  <c r="R230" i="3" s="1"/>
  <c r="N231" i="3" s="1"/>
  <c r="S230" i="3" l="1"/>
  <c r="O231" i="3" s="1"/>
  <c r="T230" i="3" l="1"/>
  <c r="P231" i="3" s="1"/>
  <c r="Q231" i="3" s="1"/>
  <c r="U231" i="3" s="1"/>
  <c r="R231" i="3" l="1"/>
  <c r="N232" i="3" s="1"/>
  <c r="S231" i="3" l="1"/>
  <c r="O232" i="3" s="1"/>
  <c r="T231" i="3" l="1"/>
  <c r="P232" i="3" s="1"/>
  <c r="Q232" i="3" s="1"/>
  <c r="U232" i="3" s="1"/>
  <c r="R232" i="3" l="1"/>
  <c r="N233" i="3" s="1"/>
  <c r="S232" i="3" l="1"/>
  <c r="O233" i="3" s="1"/>
  <c r="T232" i="3" l="1"/>
  <c r="P233" i="3" s="1"/>
  <c r="Q233" i="3" s="1"/>
  <c r="U233" i="3" s="1"/>
  <c r="R233" i="3" s="1"/>
  <c r="N234" i="3" s="1"/>
  <c r="S233" i="3" l="1"/>
  <c r="O234" i="3" s="1"/>
  <c r="T233" i="3" l="1"/>
  <c r="P234" i="3" s="1"/>
  <c r="Q234" i="3" s="1"/>
  <c r="U234" i="3" s="1"/>
  <c r="R234" i="3" l="1"/>
  <c r="N235" i="3" s="1"/>
  <c r="S234" i="3" l="1"/>
  <c r="O235" i="3" s="1"/>
  <c r="T234" i="3" l="1"/>
  <c r="P235" i="3" s="1"/>
  <c r="Q235" i="3" s="1"/>
  <c r="U235" i="3" s="1"/>
  <c r="R235" i="3" s="1"/>
  <c r="N236" i="3" s="1"/>
  <c r="S235" i="3" l="1"/>
  <c r="O236" i="3" s="1"/>
  <c r="T235" i="3" l="1"/>
  <c r="P236" i="3" s="1"/>
  <c r="Q236" i="3" s="1"/>
  <c r="U236" i="3" s="1"/>
  <c r="R236" i="3" s="1"/>
  <c r="N237" i="3" s="1"/>
  <c r="S236" i="3" l="1"/>
  <c r="O237" i="3" s="1"/>
  <c r="T236" i="3" l="1"/>
  <c r="P237" i="3" s="1"/>
  <c r="Q237" i="3" s="1"/>
  <c r="U237" i="3" s="1"/>
  <c r="R237" i="3" l="1"/>
  <c r="N238" i="3" s="1"/>
  <c r="S237" i="3" l="1"/>
  <c r="O238" i="3" s="1"/>
  <c r="T237" i="3" l="1"/>
  <c r="P238" i="3" s="1"/>
  <c r="Q238" i="3" s="1"/>
  <c r="U238" i="3" s="1"/>
  <c r="R238" i="3" s="1"/>
  <c r="N239" i="3" s="1"/>
  <c r="S238" i="3" l="1"/>
  <c r="O239" i="3" s="1"/>
  <c r="T238" i="3" l="1"/>
  <c r="P239" i="3" s="1"/>
  <c r="Q239" i="3" s="1"/>
  <c r="U239" i="3" s="1"/>
  <c r="R239" i="3" l="1"/>
  <c r="N240" i="3" s="1"/>
  <c r="S239" i="3" l="1"/>
  <c r="O240" i="3" s="1"/>
  <c r="T239" i="3" l="1"/>
  <c r="P240" i="3" s="1"/>
  <c r="Q240" i="3" s="1"/>
  <c r="U240" i="3" s="1"/>
  <c r="R240" i="3" l="1"/>
  <c r="N241" i="3" s="1"/>
  <c r="S240" i="3" l="1"/>
  <c r="O241" i="3" s="1"/>
  <c r="T240" i="3" l="1"/>
  <c r="P241" i="3" s="1"/>
  <c r="Q241" i="3" s="1"/>
  <c r="U241" i="3" s="1"/>
  <c r="R241" i="3" l="1"/>
  <c r="N242" i="3" s="1"/>
  <c r="S241" i="3" l="1"/>
  <c r="O242" i="3" s="1"/>
  <c r="T241" i="3" l="1"/>
  <c r="P242" i="3" s="1"/>
  <c r="Q242" i="3" s="1"/>
  <c r="U242" i="3" s="1"/>
  <c r="R242" i="3" s="1"/>
  <c r="N243" i="3" s="1"/>
  <c r="S242" i="3" l="1"/>
  <c r="O243" i="3" s="1"/>
  <c r="T242" i="3" l="1"/>
  <c r="P243" i="3" s="1"/>
  <c r="Q243" i="3" s="1"/>
  <c r="U243" i="3" s="1"/>
  <c r="R243" i="3" l="1"/>
  <c r="N244" i="3" s="1"/>
  <c r="S243" i="3" l="1"/>
  <c r="O244" i="3" s="1"/>
  <c r="T243" i="3" l="1"/>
  <c r="P244" i="3" s="1"/>
  <c r="Q244" i="3" s="1"/>
  <c r="U244" i="3" s="1"/>
  <c r="R244" i="3" l="1"/>
  <c r="N245" i="3" s="1"/>
  <c r="S244" i="3" l="1"/>
  <c r="O245" i="3" s="1"/>
  <c r="T244" i="3" l="1"/>
  <c r="P245" i="3" s="1"/>
  <c r="Q245" i="3" s="1"/>
  <c r="U245" i="3" s="1"/>
  <c r="R245" i="3" l="1"/>
  <c r="N246" i="3" s="1"/>
  <c r="S245" i="3" l="1"/>
  <c r="O246" i="3" s="1"/>
  <c r="T245" i="3" l="1"/>
  <c r="P246" i="3" s="1"/>
  <c r="Q246" i="3" s="1"/>
  <c r="U246" i="3" s="1"/>
  <c r="R246" i="3" l="1"/>
  <c r="N247" i="3" s="1"/>
  <c r="S246" i="3" l="1"/>
  <c r="O247" i="3" s="1"/>
  <c r="T246" i="3" l="1"/>
  <c r="P247" i="3" s="1"/>
  <c r="Q247" i="3" s="1"/>
  <c r="U247" i="3" s="1"/>
  <c r="R247" i="3" l="1"/>
  <c r="N248" i="3" s="1"/>
  <c r="S247" i="3" l="1"/>
  <c r="O248" i="3" s="1"/>
  <c r="T247" i="3" l="1"/>
  <c r="P248" i="3" s="1"/>
  <c r="Q248" i="3" s="1"/>
  <c r="U248" i="3" s="1"/>
  <c r="R248" i="3" l="1"/>
  <c r="N249" i="3" s="1"/>
  <c r="S248" i="3" l="1"/>
  <c r="O249" i="3" s="1"/>
  <c r="T248" i="3" l="1"/>
  <c r="P249" i="3" s="1"/>
  <c r="Q249" i="3" s="1"/>
  <c r="U249" i="3" s="1"/>
  <c r="R249" i="3" s="1"/>
  <c r="N250" i="3" s="1"/>
  <c r="S249" i="3" l="1"/>
  <c r="O250" i="3" s="1"/>
  <c r="T249" i="3" l="1"/>
  <c r="P250" i="3" s="1"/>
  <c r="Q250" i="3" s="1"/>
  <c r="U250" i="3" s="1"/>
  <c r="R250" i="3" l="1"/>
  <c r="N251" i="3" s="1"/>
  <c r="S250" i="3" l="1"/>
  <c r="O251" i="3" s="1"/>
  <c r="T250" i="3" l="1"/>
  <c r="P251" i="3" s="1"/>
  <c r="Q251" i="3" s="1"/>
  <c r="U251" i="3" s="1"/>
  <c r="R251" i="3" l="1"/>
  <c r="N252" i="3" s="1"/>
  <c r="S251" i="3" l="1"/>
  <c r="O252" i="3" s="1"/>
  <c r="T251" i="3" l="1"/>
  <c r="P252" i="3" s="1"/>
  <c r="Q252" i="3" s="1"/>
  <c r="U252" i="3" s="1"/>
  <c r="R252" i="3" l="1"/>
  <c r="N253" i="3" s="1"/>
  <c r="S252" i="3" l="1"/>
  <c r="O253" i="3" s="1"/>
  <c r="T252" i="3" l="1"/>
  <c r="P253" i="3" s="1"/>
  <c r="Q253" i="3" s="1"/>
  <c r="U253" i="3" s="1"/>
  <c r="R253" i="3" l="1"/>
  <c r="N254" i="3" s="1"/>
  <c r="S253" i="3" l="1"/>
  <c r="O254" i="3" s="1"/>
  <c r="T253" i="3" l="1"/>
  <c r="P254" i="3" s="1"/>
  <c r="Q254" i="3" s="1"/>
  <c r="U254" i="3" s="1"/>
  <c r="R254" i="3" l="1"/>
  <c r="N255" i="3" s="1"/>
  <c r="S254" i="3" l="1"/>
  <c r="O255" i="3" s="1"/>
  <c r="T254" i="3" l="1"/>
  <c r="P255" i="3" s="1"/>
  <c r="Q255" i="3" s="1"/>
  <c r="U255" i="3" s="1"/>
  <c r="R255" i="3" l="1"/>
  <c r="N256" i="3" s="1"/>
  <c r="S255" i="3" l="1"/>
  <c r="O256" i="3" s="1"/>
  <c r="T255" i="3" l="1"/>
  <c r="P256" i="3" s="1"/>
  <c r="Q256" i="3" s="1"/>
  <c r="U256" i="3" s="1"/>
  <c r="R256" i="3" l="1"/>
  <c r="N257" i="3" s="1"/>
  <c r="S256" i="3" l="1"/>
  <c r="O257" i="3" s="1"/>
  <c r="T256" i="3" l="1"/>
  <c r="P257" i="3" s="1"/>
  <c r="Q257" i="3" s="1"/>
  <c r="U257" i="3" s="1"/>
  <c r="R257" i="3" l="1"/>
  <c r="N258" i="3" s="1"/>
  <c r="S257" i="3" l="1"/>
  <c r="O258" i="3" s="1"/>
  <c r="T257" i="3" l="1"/>
  <c r="P258" i="3" s="1"/>
  <c r="Q258" i="3" s="1"/>
  <c r="U258" i="3" s="1"/>
  <c r="R258" i="3" s="1"/>
  <c r="N259" i="3" s="1"/>
  <c r="S258" i="3" l="1"/>
  <c r="O259" i="3" s="1"/>
  <c r="T258" i="3" l="1"/>
  <c r="P259" i="3" s="1"/>
  <c r="Q259" i="3" s="1"/>
  <c r="U259" i="3" s="1"/>
  <c r="R259" i="3" l="1"/>
  <c r="N260" i="3" s="1"/>
  <c r="S259" i="3" l="1"/>
  <c r="O260" i="3" s="1"/>
  <c r="T259" i="3" l="1"/>
  <c r="P260" i="3" s="1"/>
  <c r="Q260" i="3" s="1"/>
  <c r="U260" i="3" s="1"/>
  <c r="R260" i="3" l="1"/>
  <c r="N261" i="3" s="1"/>
  <c r="S260" i="3" l="1"/>
  <c r="O261" i="3" s="1"/>
  <c r="T260" i="3" l="1"/>
  <c r="P261" i="3" s="1"/>
  <c r="Q261" i="3" s="1"/>
  <c r="U261" i="3" s="1"/>
  <c r="R261" i="3" l="1"/>
  <c r="N262" i="3" s="1"/>
  <c r="S261" i="3" l="1"/>
  <c r="O262" i="3" s="1"/>
  <c r="T261" i="3" l="1"/>
  <c r="P262" i="3" s="1"/>
  <c r="Q262" i="3" s="1"/>
  <c r="U262" i="3" s="1"/>
  <c r="R262" i="3" l="1"/>
  <c r="N263" i="3" s="1"/>
  <c r="S262" i="3" l="1"/>
  <c r="O263" i="3" s="1"/>
  <c r="T262" i="3" l="1"/>
  <c r="P263" i="3" s="1"/>
  <c r="Q263" i="3" s="1"/>
  <c r="U263" i="3" s="1"/>
  <c r="R263" i="3" l="1"/>
  <c r="N264" i="3" s="1"/>
  <c r="S263" i="3" l="1"/>
  <c r="O264" i="3" s="1"/>
  <c r="T263" i="3" l="1"/>
  <c r="P264" i="3" s="1"/>
  <c r="Q264" i="3" s="1"/>
  <c r="U264" i="3" s="1"/>
  <c r="R264" i="3" l="1"/>
  <c r="N265" i="3" s="1"/>
  <c r="S264" i="3" l="1"/>
  <c r="O265" i="3" s="1"/>
  <c r="T264" i="3" l="1"/>
  <c r="P265" i="3" s="1"/>
  <c r="Q265" i="3" s="1"/>
  <c r="U265" i="3" s="1"/>
  <c r="R265" i="3" l="1"/>
  <c r="N266" i="3" s="1"/>
  <c r="S265" i="3" l="1"/>
  <c r="O266" i="3" s="1"/>
  <c r="T265" i="3" l="1"/>
  <c r="P266" i="3" s="1"/>
  <c r="Q266" i="3" s="1"/>
  <c r="U266" i="3" s="1"/>
  <c r="R266" i="3" s="1"/>
  <c r="N267" i="3" s="1"/>
  <c r="S266" i="3" l="1"/>
  <c r="O267" i="3" s="1"/>
  <c r="T266" i="3" l="1"/>
  <c r="P267" i="3" s="1"/>
  <c r="Q267" i="3" s="1"/>
  <c r="U267" i="3" s="1"/>
  <c r="R267" i="3" l="1"/>
  <c r="N268" i="3" s="1"/>
  <c r="S267" i="3" l="1"/>
  <c r="O268" i="3" s="1"/>
  <c r="T267" i="3" l="1"/>
  <c r="P268" i="3" s="1"/>
  <c r="Q268" i="3" s="1"/>
  <c r="U268" i="3" s="1"/>
  <c r="R268" i="3" s="1"/>
  <c r="N269" i="3" s="1"/>
  <c r="S268" i="3" l="1"/>
  <c r="O269" i="3" s="1"/>
  <c r="T268" i="3" l="1"/>
  <c r="P269" i="3" s="1"/>
  <c r="Q269" i="3"/>
  <c r="U269" i="3" s="1"/>
  <c r="R269" i="3" s="1"/>
  <c r="N270" i="3" s="1"/>
  <c r="S269" i="3" l="1"/>
  <c r="O270" i="3" s="1"/>
  <c r="T269" i="3" l="1"/>
  <c r="P270" i="3" s="1"/>
  <c r="Q270" i="3" s="1"/>
  <c r="U270" i="3" s="1"/>
  <c r="R270" i="3" l="1"/>
  <c r="N271" i="3" s="1"/>
  <c r="S270" i="3" l="1"/>
  <c r="O271" i="3" s="1"/>
  <c r="T270" i="3" l="1"/>
  <c r="P271" i="3" s="1"/>
  <c r="Q271" i="3" s="1"/>
  <c r="U271" i="3" s="1"/>
  <c r="R271" i="3" l="1"/>
  <c r="N272" i="3" s="1"/>
  <c r="S271" i="3" l="1"/>
  <c r="O272" i="3" s="1"/>
  <c r="T271" i="3" l="1"/>
  <c r="P272" i="3" s="1"/>
  <c r="Q272" i="3" s="1"/>
  <c r="U272" i="3" s="1"/>
  <c r="R272" i="3" s="1"/>
  <c r="N273" i="3" s="1"/>
  <c r="S272" i="3" l="1"/>
  <c r="O273" i="3" s="1"/>
  <c r="T272" i="3" l="1"/>
  <c r="P273" i="3" s="1"/>
  <c r="Q273" i="3" s="1"/>
  <c r="U273" i="3" s="1"/>
  <c r="R273" i="3" s="1"/>
  <c r="N274" i="3" s="1"/>
  <c r="S273" i="3" l="1"/>
  <c r="O274" i="3" s="1"/>
  <c r="T273" i="3" l="1"/>
  <c r="P274" i="3" s="1"/>
  <c r="Q274" i="3" s="1"/>
  <c r="U274" i="3" s="1"/>
  <c r="R274" i="3" l="1"/>
  <c r="N275" i="3" s="1"/>
  <c r="S274" i="3" l="1"/>
  <c r="O275" i="3" s="1"/>
  <c r="T274" i="3" l="1"/>
  <c r="P275" i="3" s="1"/>
  <c r="Q275" i="3" s="1"/>
  <c r="U275" i="3" s="1"/>
  <c r="R275" i="3" l="1"/>
  <c r="N276" i="3" s="1"/>
  <c r="S275" i="3" l="1"/>
  <c r="O276" i="3" s="1"/>
  <c r="T275" i="3" l="1"/>
  <c r="P276" i="3" s="1"/>
  <c r="Q276" i="3" s="1"/>
  <c r="U276" i="3" s="1"/>
  <c r="R276" i="3" l="1"/>
  <c r="N277" i="3" s="1"/>
  <c r="S276" i="3" l="1"/>
  <c r="O277" i="3" s="1"/>
  <c r="T276" i="3" l="1"/>
  <c r="P277" i="3" s="1"/>
  <c r="Q277" i="3" s="1"/>
  <c r="U277" i="3" s="1"/>
  <c r="R277" i="3" l="1"/>
  <c r="N278" i="3" s="1"/>
  <c r="S277" i="3" l="1"/>
  <c r="O278" i="3" s="1"/>
  <c r="T277" i="3" l="1"/>
  <c r="P278" i="3" s="1"/>
  <c r="Q278" i="3" s="1"/>
  <c r="U278" i="3" s="1"/>
  <c r="R278" i="3" l="1"/>
  <c r="N279" i="3" s="1"/>
  <c r="S278" i="3" l="1"/>
  <c r="O279" i="3" s="1"/>
  <c r="T278" i="3" l="1"/>
  <c r="P279" i="3" s="1"/>
  <c r="Q279" i="3" s="1"/>
  <c r="U279" i="3" s="1"/>
  <c r="R279" i="3" l="1"/>
  <c r="N280" i="3" s="1"/>
  <c r="S279" i="3" l="1"/>
  <c r="O280" i="3" s="1"/>
  <c r="T279" i="3" l="1"/>
  <c r="P280" i="3" s="1"/>
  <c r="Q280" i="3" s="1"/>
  <c r="U280" i="3" s="1"/>
  <c r="R280" i="3" l="1"/>
  <c r="N281" i="3" s="1"/>
  <c r="S280" i="3" l="1"/>
  <c r="O281" i="3" s="1"/>
  <c r="T280" i="3" l="1"/>
  <c r="P281" i="3" s="1"/>
  <c r="Q281" i="3" s="1"/>
  <c r="U281" i="3" s="1"/>
  <c r="R281" i="3" s="1"/>
  <c r="N282" i="3" s="1"/>
  <c r="S281" i="3" l="1"/>
  <c r="O282" i="3" s="1"/>
  <c r="T281" i="3" l="1"/>
  <c r="P282" i="3" s="1"/>
  <c r="Q282" i="3" s="1"/>
  <c r="U282" i="3" s="1"/>
  <c r="R282" i="3" l="1"/>
  <c r="N283" i="3" s="1"/>
  <c r="S282" i="3" l="1"/>
  <c r="O283" i="3" s="1"/>
  <c r="T282" i="3" l="1"/>
  <c r="P283" i="3" s="1"/>
  <c r="Q283" i="3" s="1"/>
  <c r="U283" i="3" s="1"/>
  <c r="R283" i="3" s="1"/>
  <c r="N284" i="3" s="1"/>
  <c r="S283" i="3" l="1"/>
  <c r="O284" i="3" s="1"/>
  <c r="T283" i="3" l="1"/>
  <c r="P284" i="3" s="1"/>
  <c r="Q284" i="3" s="1"/>
  <c r="U284" i="3" s="1"/>
  <c r="R284" i="3" l="1"/>
  <c r="N285" i="3" s="1"/>
  <c r="S284" i="3" l="1"/>
  <c r="O285" i="3" s="1"/>
  <c r="T284" i="3" l="1"/>
  <c r="P285" i="3" s="1"/>
  <c r="Q285" i="3" s="1"/>
  <c r="U285" i="3" s="1"/>
  <c r="R285" i="3" s="1"/>
  <c r="N286" i="3" s="1"/>
  <c r="S285" i="3" l="1"/>
  <c r="O286" i="3" s="1"/>
  <c r="T285" i="3" l="1"/>
  <c r="P286" i="3" s="1"/>
  <c r="Q286" i="3" s="1"/>
  <c r="U286" i="3" s="1"/>
  <c r="R286" i="3" l="1"/>
  <c r="N287" i="3" s="1"/>
  <c r="S286" i="3" l="1"/>
  <c r="O287" i="3" s="1"/>
  <c r="T286" i="3" l="1"/>
  <c r="P287" i="3" s="1"/>
  <c r="Q287" i="3" s="1"/>
  <c r="U287" i="3" s="1"/>
  <c r="R287" i="3" l="1"/>
  <c r="N288" i="3" s="1"/>
  <c r="S287" i="3" l="1"/>
  <c r="O288" i="3" s="1"/>
  <c r="T287" i="3" l="1"/>
  <c r="P288" i="3" s="1"/>
  <c r="Q288" i="3" s="1"/>
  <c r="U288" i="3" s="1"/>
  <c r="R288" i="3" l="1"/>
  <c r="N289" i="3" s="1"/>
  <c r="S288" i="3" l="1"/>
  <c r="O289" i="3" s="1"/>
  <c r="T288" i="3" l="1"/>
  <c r="P289" i="3" s="1"/>
  <c r="Q289" i="3" s="1"/>
  <c r="U289" i="3" s="1"/>
  <c r="R289" i="3" s="1"/>
  <c r="N290" i="3" s="1"/>
  <c r="S289" i="3" l="1"/>
  <c r="O290" i="3" s="1"/>
  <c r="T289" i="3" l="1"/>
  <c r="P290" i="3" s="1"/>
  <c r="Q290" i="3" s="1"/>
  <c r="U290" i="3" s="1"/>
  <c r="R290" i="3" l="1"/>
  <c r="N291" i="3" s="1"/>
  <c r="S290" i="3" l="1"/>
  <c r="O291" i="3" s="1"/>
  <c r="T290" i="3" l="1"/>
  <c r="P291" i="3" s="1"/>
  <c r="Q291" i="3" s="1"/>
  <c r="U291" i="3" s="1"/>
  <c r="R291" i="3" l="1"/>
  <c r="N292" i="3" s="1"/>
  <c r="S291" i="3" l="1"/>
  <c r="O292" i="3" s="1"/>
  <c r="T291" i="3" l="1"/>
  <c r="P292" i="3" s="1"/>
  <c r="Q292" i="3" s="1"/>
  <c r="U292" i="3" s="1"/>
  <c r="R292" i="3" l="1"/>
  <c r="N293" i="3" s="1"/>
  <c r="S292" i="3" l="1"/>
  <c r="O293" i="3" s="1"/>
  <c r="T292" i="3" l="1"/>
  <c r="P293" i="3" s="1"/>
  <c r="Q293" i="3" s="1"/>
  <c r="U293" i="3" s="1"/>
  <c r="R293" i="3" l="1"/>
  <c r="N294" i="3" s="1"/>
  <c r="S293" i="3" l="1"/>
  <c r="O294" i="3" s="1"/>
  <c r="T293" i="3" l="1"/>
  <c r="P294" i="3" s="1"/>
  <c r="Q294" i="3" s="1"/>
  <c r="U294" i="3" s="1"/>
  <c r="R294" i="3" s="1"/>
  <c r="N295" i="3" s="1"/>
  <c r="S294" i="3" l="1"/>
  <c r="O295" i="3" s="1"/>
  <c r="T294" i="3" l="1"/>
  <c r="P295" i="3" s="1"/>
  <c r="Q295" i="3" s="1"/>
  <c r="U295" i="3" s="1"/>
  <c r="R295" i="3" l="1"/>
  <c r="N296" i="3" s="1"/>
  <c r="S295" i="3" l="1"/>
  <c r="O296" i="3" s="1"/>
  <c r="T295" i="3" l="1"/>
  <c r="P296" i="3" s="1"/>
  <c r="Q296" i="3" s="1"/>
  <c r="U296" i="3" s="1"/>
  <c r="R296" i="3" s="1"/>
  <c r="N297" i="3" s="1"/>
  <c r="S296" i="3" l="1"/>
  <c r="O297" i="3" s="1"/>
  <c r="T296" i="3" l="1"/>
  <c r="P297" i="3" s="1"/>
  <c r="Q297" i="3" s="1"/>
  <c r="U297" i="3" s="1"/>
  <c r="R297" i="3" l="1"/>
  <c r="N298" i="3" s="1"/>
  <c r="S297" i="3" l="1"/>
  <c r="O298" i="3" s="1"/>
  <c r="T297" i="3" l="1"/>
  <c r="P298" i="3" s="1"/>
  <c r="Q298" i="3" s="1"/>
  <c r="U298" i="3" s="1"/>
  <c r="R298" i="3" l="1"/>
  <c r="N299" i="3" s="1"/>
  <c r="S298" i="3" l="1"/>
  <c r="O299" i="3" s="1"/>
  <c r="T298" i="3" l="1"/>
  <c r="P299" i="3" s="1"/>
  <c r="Q299" i="3" s="1"/>
  <c r="U299" i="3" s="1"/>
  <c r="R299" i="3" s="1"/>
  <c r="N300" i="3" s="1"/>
  <c r="S299" i="3" l="1"/>
  <c r="O300" i="3" s="1"/>
  <c r="T299" i="3" l="1"/>
  <c r="P300" i="3" s="1"/>
  <c r="Q300" i="3" s="1"/>
  <c r="U300" i="3" s="1"/>
  <c r="R300" i="3" l="1"/>
  <c r="N301" i="3" s="1"/>
  <c r="S300" i="3" l="1"/>
  <c r="O301" i="3" s="1"/>
  <c r="T300" i="3" l="1"/>
  <c r="P301" i="3" s="1"/>
  <c r="Q301" i="3" s="1"/>
  <c r="U301" i="3" s="1"/>
  <c r="R301" i="3" l="1"/>
  <c r="N302" i="3" s="1"/>
  <c r="S301" i="3" l="1"/>
  <c r="O302" i="3" s="1"/>
  <c r="T301" i="3" l="1"/>
  <c r="P302" i="3" s="1"/>
  <c r="Q302" i="3" s="1"/>
  <c r="U302" i="3" s="1"/>
  <c r="R302" i="3" s="1"/>
  <c r="N303" i="3" s="1"/>
  <c r="S302" i="3" l="1"/>
  <c r="O303" i="3" s="1"/>
  <c r="T302" i="3" l="1"/>
  <c r="P303" i="3" s="1"/>
  <c r="Q303" i="3" s="1"/>
  <c r="U303" i="3" s="1"/>
  <c r="R303" i="3" l="1"/>
  <c r="N304" i="3" s="1"/>
  <c r="S303" i="3" l="1"/>
  <c r="O304" i="3" s="1"/>
  <c r="T303" i="3" l="1"/>
  <c r="P304" i="3" s="1"/>
  <c r="Q304" i="3" s="1"/>
  <c r="U304" i="3" s="1"/>
  <c r="R304" i="3" l="1"/>
  <c r="N305" i="3" s="1"/>
  <c r="S304" i="3" l="1"/>
  <c r="O305" i="3" s="1"/>
  <c r="T304" i="3" l="1"/>
  <c r="P305" i="3" s="1"/>
  <c r="Q305" i="3" s="1"/>
  <c r="U305" i="3" s="1"/>
  <c r="R305" i="3" l="1"/>
  <c r="N306" i="3" s="1"/>
  <c r="S305" i="3" l="1"/>
  <c r="O306" i="3" s="1"/>
  <c r="T305" i="3" l="1"/>
  <c r="P306" i="3" s="1"/>
  <c r="Q306" i="3" s="1"/>
  <c r="U306" i="3" s="1"/>
  <c r="R306" i="3" l="1"/>
  <c r="N307" i="3" s="1"/>
  <c r="S306" i="3" l="1"/>
  <c r="O307" i="3" s="1"/>
  <c r="T306" i="3" l="1"/>
  <c r="P307" i="3" s="1"/>
  <c r="Q307" i="3" s="1"/>
  <c r="U307" i="3" s="1"/>
  <c r="R307" i="3" l="1"/>
  <c r="N308" i="3" s="1"/>
  <c r="S307" i="3" l="1"/>
  <c r="O308" i="3" s="1"/>
  <c r="T307" i="3" l="1"/>
  <c r="P308" i="3" s="1"/>
  <c r="Q308" i="3" s="1"/>
  <c r="U308" i="3" s="1"/>
  <c r="R308" i="3" l="1"/>
  <c r="N309" i="3" s="1"/>
  <c r="S308" i="3" l="1"/>
  <c r="O309" i="3" s="1"/>
  <c r="T308" i="3" l="1"/>
  <c r="P309" i="3" s="1"/>
  <c r="Q309" i="3" s="1"/>
  <c r="U309" i="3" s="1"/>
  <c r="R309" i="3" l="1"/>
  <c r="N310" i="3" s="1"/>
  <c r="S309" i="3" l="1"/>
  <c r="O310" i="3" s="1"/>
  <c r="T309" i="3" l="1"/>
  <c r="P310" i="3" s="1"/>
  <c r="Q310" i="3" s="1"/>
  <c r="U310" i="3" s="1"/>
  <c r="R310" i="3" s="1"/>
  <c r="N311" i="3" s="1"/>
  <c r="S310" i="3" l="1"/>
  <c r="O311" i="3" s="1"/>
  <c r="T310" i="3" l="1"/>
  <c r="P311" i="3" s="1"/>
  <c r="Q311" i="3" s="1"/>
  <c r="U311" i="3" s="1"/>
  <c r="R311" i="3" l="1"/>
  <c r="N312" i="3" s="1"/>
  <c r="S311" i="3" l="1"/>
  <c r="O312" i="3" s="1"/>
  <c r="T311" i="3" l="1"/>
  <c r="P312" i="3" s="1"/>
  <c r="Q312" i="3" s="1"/>
  <c r="U312" i="3" s="1"/>
  <c r="R312" i="3" l="1"/>
  <c r="N313" i="3" s="1"/>
  <c r="S312" i="3" l="1"/>
  <c r="O313" i="3" s="1"/>
  <c r="T312" i="3" l="1"/>
  <c r="P313" i="3" s="1"/>
  <c r="Q313" i="3" s="1"/>
  <c r="U313" i="3" s="1"/>
  <c r="R313" i="3" l="1"/>
  <c r="N314" i="3" s="1"/>
  <c r="S313" i="3" l="1"/>
  <c r="O314" i="3" s="1"/>
  <c r="T313" i="3" l="1"/>
  <c r="P314" i="3" s="1"/>
  <c r="Q314" i="3" s="1"/>
  <c r="U314" i="3" s="1"/>
  <c r="R314" i="3" l="1"/>
  <c r="N315" i="3" s="1"/>
  <c r="S314" i="3" l="1"/>
  <c r="O315" i="3" s="1"/>
  <c r="T314" i="3" l="1"/>
  <c r="P315" i="3" s="1"/>
  <c r="Q315" i="3" s="1"/>
  <c r="U315" i="3" s="1"/>
  <c r="R315" i="3" l="1"/>
  <c r="N316" i="3" s="1"/>
  <c r="S315" i="3" l="1"/>
  <c r="O316" i="3" s="1"/>
  <c r="T315" i="3" l="1"/>
  <c r="P316" i="3" s="1"/>
  <c r="Q316" i="3" s="1"/>
  <c r="U316" i="3" s="1"/>
  <c r="R316" i="3" l="1"/>
  <c r="N317" i="3" s="1"/>
  <c r="S316" i="3" l="1"/>
  <c r="O317" i="3" s="1"/>
  <c r="T316" i="3" l="1"/>
  <c r="P317" i="3" s="1"/>
  <c r="Q317" i="3" s="1"/>
  <c r="U317" i="3" s="1"/>
  <c r="R317" i="3" s="1"/>
  <c r="N318" i="3" s="1"/>
  <c r="S317" i="3" l="1"/>
  <c r="O318" i="3" s="1"/>
  <c r="T317" i="3" l="1"/>
  <c r="P318" i="3" s="1"/>
  <c r="Q318" i="3" s="1"/>
  <c r="U318" i="3" s="1"/>
  <c r="R318" i="3" l="1"/>
  <c r="N319" i="3" s="1"/>
  <c r="S318" i="3" l="1"/>
  <c r="O319" i="3" s="1"/>
  <c r="T318" i="3" l="1"/>
  <c r="P319" i="3" s="1"/>
  <c r="Q319" i="3" s="1"/>
  <c r="U319" i="3" s="1"/>
  <c r="R319" i="3" l="1"/>
  <c r="N320" i="3" s="1"/>
  <c r="S319" i="3" l="1"/>
  <c r="O320" i="3" s="1"/>
  <c r="T319" i="3" l="1"/>
  <c r="P320" i="3" s="1"/>
  <c r="Q320" i="3" s="1"/>
  <c r="U320" i="3" s="1"/>
  <c r="R320" i="3" s="1"/>
  <c r="N321" i="3" s="1"/>
  <c r="S320" i="3" l="1"/>
  <c r="O321" i="3" s="1"/>
  <c r="T320" i="3" l="1"/>
  <c r="P321" i="3" s="1"/>
  <c r="Q321" i="3" s="1"/>
  <c r="U321" i="3" s="1"/>
  <c r="R321" i="3" l="1"/>
  <c r="N322" i="3" s="1"/>
  <c r="S321" i="3" l="1"/>
  <c r="O322" i="3" s="1"/>
  <c r="T321" i="3" l="1"/>
  <c r="P322" i="3" s="1"/>
  <c r="Q322" i="3" s="1"/>
  <c r="U322" i="3" s="1"/>
  <c r="R322" i="3" l="1"/>
  <c r="N323" i="3" s="1"/>
  <c r="S322" i="3" l="1"/>
  <c r="O323" i="3" s="1"/>
  <c r="T322" i="3" l="1"/>
  <c r="P323" i="3" s="1"/>
  <c r="Q323" i="3" s="1"/>
  <c r="U323" i="3" s="1"/>
  <c r="R323" i="3" l="1"/>
  <c r="N324" i="3" s="1"/>
  <c r="S323" i="3" l="1"/>
  <c r="O324" i="3" s="1"/>
  <c r="T323" i="3" l="1"/>
  <c r="P324" i="3" s="1"/>
  <c r="Q324" i="3" s="1"/>
  <c r="U324" i="3" s="1"/>
  <c r="R324" i="3" l="1"/>
  <c r="N325" i="3" s="1"/>
  <c r="S324" i="3" l="1"/>
  <c r="O325" i="3" s="1"/>
  <c r="T324" i="3" l="1"/>
  <c r="P325" i="3" s="1"/>
  <c r="Q325" i="3" s="1"/>
  <c r="U325" i="3" s="1"/>
  <c r="R325" i="3" l="1"/>
  <c r="N326" i="3" s="1"/>
  <c r="S325" i="3" l="1"/>
  <c r="O326" i="3" s="1"/>
  <c r="T325" i="3" l="1"/>
  <c r="P326" i="3" s="1"/>
  <c r="Q326" i="3" s="1"/>
  <c r="U326" i="3" s="1"/>
  <c r="R326" i="3" s="1"/>
  <c r="N327" i="3" s="1"/>
  <c r="S326" i="3" l="1"/>
  <c r="O327" i="3" l="1"/>
  <c r="T326" i="3"/>
  <c r="P327" i="3" s="1"/>
  <c r="Q327" i="3" l="1"/>
  <c r="U327" i="3" s="1"/>
  <c r="R327" i="3" l="1"/>
  <c r="N328" i="3" s="1"/>
  <c r="S327" i="3" l="1"/>
  <c r="O328" i="3" s="1"/>
  <c r="T327" i="3" l="1"/>
  <c r="P328" i="3" s="1"/>
  <c r="Q328" i="3" s="1"/>
  <c r="U328" i="3" s="1"/>
  <c r="R328" i="3" l="1"/>
  <c r="N329" i="3" s="1"/>
  <c r="S328" i="3" l="1"/>
  <c r="O329" i="3" s="1"/>
  <c r="T328" i="3" l="1"/>
  <c r="P329" i="3" s="1"/>
  <c r="Q329" i="3" s="1"/>
  <c r="U329" i="3" s="1"/>
  <c r="R329" i="3" s="1"/>
  <c r="N330" i="3" s="1"/>
  <c r="S329" i="3" l="1"/>
  <c r="O330" i="3" s="1"/>
  <c r="T329" i="3" l="1"/>
  <c r="P330" i="3" s="1"/>
  <c r="Q330" i="3" s="1"/>
  <c r="U330" i="3" s="1"/>
  <c r="R330" i="3" s="1"/>
  <c r="N331" i="3" s="1"/>
  <c r="S330" i="3" l="1"/>
  <c r="O331" i="3" l="1"/>
  <c r="T330" i="3"/>
  <c r="P331" i="3" s="1"/>
  <c r="Q331" i="3" l="1"/>
  <c r="U331" i="3" s="1"/>
  <c r="R331" i="3" l="1"/>
  <c r="N332" i="3" s="1"/>
  <c r="S331" i="3" l="1"/>
  <c r="O332" i="3" s="1"/>
  <c r="T331" i="3" l="1"/>
  <c r="P332" i="3" s="1"/>
  <c r="Q332" i="3" s="1"/>
  <c r="U332" i="3" s="1"/>
  <c r="R332" i="3" s="1"/>
  <c r="N333" i="3" s="1"/>
  <c r="S332" i="3" l="1"/>
  <c r="O333" i="3" s="1"/>
  <c r="T332" i="3" l="1"/>
  <c r="P333" i="3" s="1"/>
  <c r="Q333" i="3" s="1"/>
  <c r="U333" i="3" s="1"/>
  <c r="R333" i="3" s="1"/>
  <c r="N334" i="3" s="1"/>
  <c r="S333" i="3" l="1"/>
  <c r="O334" i="3" s="1"/>
  <c r="T333" i="3" l="1"/>
  <c r="P334" i="3" s="1"/>
  <c r="Q334" i="3" s="1"/>
  <c r="U334" i="3" s="1"/>
  <c r="R334" i="3" s="1"/>
  <c r="N335" i="3" s="1"/>
  <c r="S334" i="3" l="1"/>
  <c r="O335" i="3" s="1"/>
  <c r="T334" i="3" l="1"/>
  <c r="P335" i="3" s="1"/>
  <c r="Q335" i="3" s="1"/>
  <c r="U335" i="3" s="1"/>
  <c r="R335" i="3" s="1"/>
  <c r="N336" i="3" s="1"/>
  <c r="S335" i="3" l="1"/>
  <c r="O336" i="3" s="1"/>
  <c r="T335" i="3" l="1"/>
  <c r="P336" i="3" s="1"/>
  <c r="Q336" i="3" s="1"/>
  <c r="U336" i="3" s="1"/>
  <c r="R336" i="3" s="1"/>
  <c r="N337" i="3" s="1"/>
  <c r="S336" i="3" l="1"/>
  <c r="O337" i="3" s="1"/>
  <c r="T336" i="3" l="1"/>
  <c r="P337" i="3" s="1"/>
  <c r="Q337" i="3" s="1"/>
  <c r="U337" i="3" s="1"/>
  <c r="R337" i="3" s="1"/>
  <c r="N338" i="3" s="1"/>
  <c r="S337" i="3" l="1"/>
  <c r="O338" i="3" s="1"/>
  <c r="T337" i="3" l="1"/>
  <c r="P338" i="3" s="1"/>
  <c r="Q338" i="3" s="1"/>
  <c r="U338" i="3" s="1"/>
  <c r="R338" i="3" l="1"/>
  <c r="N339" i="3" s="1"/>
  <c r="S338" i="3" l="1"/>
  <c r="O339" i="3" s="1"/>
  <c r="T338" i="3" l="1"/>
  <c r="P339" i="3" s="1"/>
  <c r="Q339" i="3" s="1"/>
  <c r="U339" i="3" s="1"/>
  <c r="R339" i="3" s="1"/>
  <c r="N340" i="3" s="1"/>
  <c r="S339" i="3" l="1"/>
  <c r="O340" i="3" s="1"/>
  <c r="T339" i="3" l="1"/>
  <c r="P340" i="3" s="1"/>
  <c r="Q340" i="3" s="1"/>
  <c r="U340" i="3" s="1"/>
  <c r="R340" i="3" l="1"/>
  <c r="N341" i="3" s="1"/>
  <c r="S340" i="3" l="1"/>
  <c r="O341" i="3" s="1"/>
  <c r="T340" i="3" l="1"/>
  <c r="P341" i="3" s="1"/>
  <c r="Q341" i="3" s="1"/>
  <c r="U341" i="3" s="1"/>
  <c r="R341" i="3" s="1"/>
  <c r="N342" i="3" s="1"/>
  <c r="S341" i="3" l="1"/>
  <c r="O342" i="3" s="1"/>
  <c r="T341" i="3" l="1"/>
  <c r="P342" i="3" s="1"/>
  <c r="Q342" i="3" s="1"/>
  <c r="U342" i="3" s="1"/>
  <c r="R342" i="3" s="1"/>
  <c r="N343" i="3" s="1"/>
  <c r="S342" i="3" l="1"/>
  <c r="O343" i="3" s="1"/>
  <c r="T342" i="3" l="1"/>
  <c r="P343" i="3" s="1"/>
  <c r="Q343" i="3" s="1"/>
  <c r="U343" i="3" s="1"/>
  <c r="R343" i="3" s="1"/>
  <c r="N344" i="3" s="1"/>
  <c r="S343" i="3" l="1"/>
  <c r="O344" i="3" s="1"/>
  <c r="T343" i="3" l="1"/>
  <c r="P344" i="3" s="1"/>
  <c r="Q344" i="3" s="1"/>
  <c r="U344" i="3" s="1"/>
  <c r="R344" i="3" s="1"/>
  <c r="N345" i="3" s="1"/>
  <c r="S344" i="3" l="1"/>
  <c r="O345" i="3" s="1"/>
  <c r="T344" i="3" l="1"/>
  <c r="P345" i="3" s="1"/>
  <c r="Q345" i="3" s="1"/>
  <c r="U345" i="3" s="1"/>
  <c r="R345" i="3" l="1"/>
  <c r="N346" i="3" s="1"/>
  <c r="S345" i="3" l="1"/>
  <c r="O346" i="3" s="1"/>
  <c r="T345" i="3" l="1"/>
  <c r="P346" i="3" s="1"/>
  <c r="Q346" i="3" s="1"/>
  <c r="U346" i="3" s="1"/>
  <c r="R346" i="3" s="1"/>
  <c r="N347" i="3" s="1"/>
  <c r="S346" i="3" l="1"/>
  <c r="O347" i="3" s="1"/>
  <c r="T346" i="3" l="1"/>
  <c r="P347" i="3" s="1"/>
  <c r="Q347" i="3" s="1"/>
  <c r="U347" i="3" s="1"/>
  <c r="R347" i="3" s="1"/>
  <c r="N348" i="3" s="1"/>
  <c r="S347" i="3" l="1"/>
  <c r="O348" i="3" s="1"/>
  <c r="T347" i="3" l="1"/>
  <c r="P348" i="3" s="1"/>
  <c r="Q348" i="3" s="1"/>
  <c r="U348" i="3" s="1"/>
  <c r="R348" i="3" s="1"/>
  <c r="N349" i="3" s="1"/>
  <c r="S348" i="3" l="1"/>
  <c r="O349" i="3" s="1"/>
  <c r="T348" i="3" l="1"/>
  <c r="P349" i="3" s="1"/>
  <c r="Q349" i="3" s="1"/>
  <c r="U349" i="3" s="1"/>
  <c r="R349" i="3" s="1"/>
  <c r="N350" i="3" s="1"/>
  <c r="S349" i="3" l="1"/>
  <c r="O350" i="3" s="1"/>
  <c r="T349" i="3" l="1"/>
  <c r="P350" i="3" s="1"/>
  <c r="Q350" i="3" s="1"/>
  <c r="U350" i="3" s="1"/>
  <c r="R350" i="3" s="1"/>
  <c r="N351" i="3" s="1"/>
  <c r="S350" i="3" l="1"/>
  <c r="O351" i="3" s="1"/>
  <c r="T350" i="3" l="1"/>
  <c r="P351" i="3" s="1"/>
  <c r="Q351" i="3" s="1"/>
  <c r="U351" i="3" s="1"/>
  <c r="R351" i="3" l="1"/>
  <c r="N352" i="3" s="1"/>
  <c r="S351" i="3" l="1"/>
  <c r="O352" i="3" s="1"/>
  <c r="T351" i="3" l="1"/>
  <c r="P352" i="3" s="1"/>
  <c r="Q352" i="3" s="1"/>
  <c r="U352" i="3" s="1"/>
  <c r="R352" i="3" l="1"/>
  <c r="N353" i="3" s="1"/>
  <c r="S352" i="3" l="1"/>
  <c r="O353" i="3" s="1"/>
  <c r="T352" i="3" l="1"/>
  <c r="P353" i="3" s="1"/>
  <c r="Q353" i="3" s="1"/>
  <c r="U353" i="3" s="1"/>
  <c r="R353" i="3" l="1"/>
  <c r="N354" i="3" s="1"/>
  <c r="S353" i="3" l="1"/>
  <c r="O354" i="3" s="1"/>
  <c r="T353" i="3" l="1"/>
  <c r="P354" i="3" s="1"/>
  <c r="Q354" i="3" s="1"/>
  <c r="U354" i="3" s="1"/>
  <c r="R354" i="3" s="1"/>
  <c r="N355" i="3" s="1"/>
  <c r="S354" i="3" l="1"/>
  <c r="O355" i="3" s="1"/>
  <c r="T354" i="3" l="1"/>
  <c r="P355" i="3" s="1"/>
  <c r="Q355" i="3" s="1"/>
  <c r="U355" i="3" s="1"/>
  <c r="R355" i="3" s="1"/>
  <c r="N356" i="3" s="1"/>
  <c r="S355" i="3" l="1"/>
  <c r="O356" i="3" s="1"/>
  <c r="T355" i="3" l="1"/>
  <c r="P356" i="3" s="1"/>
  <c r="Q356" i="3" s="1"/>
  <c r="U356" i="3" s="1"/>
  <c r="R356" i="3" s="1"/>
  <c r="N357" i="3" s="1"/>
  <c r="S356" i="3" l="1"/>
  <c r="O357" i="3" s="1"/>
  <c r="T356" i="3" l="1"/>
  <c r="P357" i="3" s="1"/>
  <c r="Q357" i="3" s="1"/>
  <c r="U357" i="3" s="1"/>
  <c r="R357" i="3" l="1"/>
  <c r="N358" i="3" s="1"/>
  <c r="S357" i="3" l="1"/>
  <c r="O358" i="3" s="1"/>
  <c r="T357" i="3" l="1"/>
  <c r="P358" i="3" s="1"/>
  <c r="Q358" i="3" s="1"/>
  <c r="U358" i="3" s="1"/>
  <c r="R358" i="3" s="1"/>
  <c r="N359" i="3" s="1"/>
  <c r="S358" i="3" l="1"/>
  <c r="O359" i="3" s="1"/>
  <c r="T358" i="3" l="1"/>
  <c r="P359" i="3" s="1"/>
  <c r="Q359" i="3" s="1"/>
  <c r="U359" i="3" s="1"/>
  <c r="R359" i="3" l="1"/>
  <c r="N360" i="3" s="1"/>
  <c r="S359" i="3" l="1"/>
  <c r="O360" i="3" s="1"/>
  <c r="T359" i="3" l="1"/>
  <c r="P360" i="3" s="1"/>
  <c r="Q360" i="3" s="1"/>
  <c r="U360" i="3" s="1"/>
  <c r="R360" i="3" l="1"/>
  <c r="N361" i="3" s="1"/>
  <c r="S360" i="3" l="1"/>
  <c r="O361" i="3" s="1"/>
  <c r="T360" i="3" l="1"/>
  <c r="P361" i="3" s="1"/>
  <c r="Q361" i="3" s="1"/>
  <c r="U361" i="3" s="1"/>
  <c r="R361" i="3" l="1"/>
  <c r="N362" i="3" s="1"/>
  <c r="S361" i="3" l="1"/>
  <c r="O362" i="3" s="1"/>
  <c r="T361" i="3" l="1"/>
  <c r="P362" i="3" s="1"/>
  <c r="Q362" i="3" s="1"/>
  <c r="U362" i="3" s="1"/>
  <c r="R362" i="3" s="1"/>
  <c r="N363" i="3" s="1"/>
  <c r="S362" i="3" l="1"/>
  <c r="O363" i="3" s="1"/>
  <c r="T362" i="3" l="1"/>
  <c r="P363" i="3" s="1"/>
  <c r="Q363" i="3" s="1"/>
  <c r="U363" i="3" s="1"/>
  <c r="R363" i="3" l="1"/>
  <c r="N364" i="3" s="1"/>
  <c r="S363" i="3" l="1"/>
  <c r="O364" i="3" s="1"/>
  <c r="T363" i="3" l="1"/>
  <c r="P364" i="3" s="1"/>
  <c r="Q364" i="3" s="1"/>
  <c r="U364" i="3" s="1"/>
  <c r="R364" i="3" l="1"/>
  <c r="N365" i="3" s="1"/>
  <c r="S364" i="3" l="1"/>
  <c r="O365" i="3" s="1"/>
  <c r="T364" i="3" l="1"/>
  <c r="P365" i="3" s="1"/>
  <c r="Q365" i="3" s="1"/>
  <c r="U365" i="3" s="1"/>
  <c r="R365" i="3" s="1"/>
  <c r="N366" i="3" s="1"/>
  <c r="S365" i="3" l="1"/>
  <c r="O366" i="3" s="1"/>
  <c r="T365" i="3" l="1"/>
  <c r="P366" i="3" s="1"/>
  <c r="Q366" i="3" s="1"/>
  <c r="U366" i="3" s="1"/>
  <c r="R366" i="3" l="1"/>
  <c r="N367" i="3" s="1"/>
  <c r="S366" i="3" l="1"/>
  <c r="O367" i="3" s="1"/>
  <c r="T366" i="3" l="1"/>
  <c r="P367" i="3" s="1"/>
  <c r="Q367" i="3" s="1"/>
  <c r="U367" i="3" s="1"/>
  <c r="R367" i="3" l="1"/>
  <c r="N368" i="3" s="1"/>
  <c r="S367" i="3" l="1"/>
  <c r="O368" i="3" s="1"/>
  <c r="T367" i="3" l="1"/>
  <c r="P368" i="3" s="1"/>
  <c r="Q368" i="3" s="1"/>
  <c r="U368" i="3" s="1"/>
  <c r="R368" i="3" l="1"/>
  <c r="N369" i="3" s="1"/>
  <c r="S368" i="3" l="1"/>
  <c r="O369" i="3" s="1"/>
  <c r="T368" i="3" l="1"/>
  <c r="P369" i="3" s="1"/>
  <c r="Q369" i="3" s="1"/>
  <c r="U369" i="3" s="1"/>
  <c r="R369" i="3" l="1"/>
  <c r="N370" i="3" s="1"/>
  <c r="S369" i="3" l="1"/>
  <c r="O370" i="3" s="1"/>
  <c r="T369" i="3" l="1"/>
  <c r="P370" i="3" s="1"/>
  <c r="Q370" i="3" s="1"/>
  <c r="U370" i="3" s="1"/>
  <c r="R370" i="3" l="1"/>
  <c r="N371" i="3" s="1"/>
  <c r="S370" i="3" l="1"/>
  <c r="O371" i="3" s="1"/>
  <c r="T370" i="3" l="1"/>
  <c r="P371" i="3" s="1"/>
  <c r="Q371" i="3" s="1"/>
  <c r="U371" i="3" s="1"/>
  <c r="R371" i="3" l="1"/>
  <c r="N372" i="3" s="1"/>
  <c r="S371" i="3" l="1"/>
  <c r="O372" i="3" s="1"/>
  <c r="T371" i="3" l="1"/>
  <c r="P372" i="3" s="1"/>
  <c r="Q372" i="3" s="1"/>
  <c r="U372" i="3" s="1"/>
  <c r="R372" i="3" l="1"/>
  <c r="N373" i="3" s="1"/>
  <c r="S372" i="3" l="1"/>
  <c r="O373" i="3" s="1"/>
  <c r="T372" i="3" l="1"/>
  <c r="P373" i="3" s="1"/>
  <c r="Q373" i="3" s="1"/>
  <c r="U373" i="3" s="1"/>
  <c r="R373" i="3" l="1"/>
  <c r="N374" i="3" s="1"/>
  <c r="S373" i="3" l="1"/>
  <c r="O374" i="3" s="1"/>
  <c r="T373" i="3" l="1"/>
  <c r="P374" i="3" s="1"/>
  <c r="Q374" i="3" s="1"/>
  <c r="U374" i="3" s="1"/>
  <c r="R374" i="3" l="1"/>
  <c r="N375" i="3" s="1"/>
  <c r="S374" i="3" l="1"/>
  <c r="O375" i="3" s="1"/>
  <c r="T374" i="3" l="1"/>
  <c r="P375" i="3" s="1"/>
  <c r="Q375" i="3" s="1"/>
  <c r="U375" i="3" s="1"/>
  <c r="R375" i="3" l="1"/>
  <c r="N376" i="3" s="1"/>
  <c r="S375" i="3" l="1"/>
  <c r="O376" i="3" s="1"/>
  <c r="T375" i="3" l="1"/>
  <c r="P376" i="3" s="1"/>
  <c r="Q376" i="3" s="1"/>
  <c r="U376" i="3" s="1"/>
  <c r="R376" i="3" s="1"/>
  <c r="N377" i="3" s="1"/>
  <c r="S376" i="3" l="1"/>
  <c r="O377" i="3" s="1"/>
  <c r="T376" i="3" l="1"/>
  <c r="P377" i="3" s="1"/>
  <c r="Q377" i="3" s="1"/>
  <c r="U377" i="3" s="1"/>
  <c r="R377" i="3" l="1"/>
  <c r="N378" i="3" s="1"/>
  <c r="S377" i="3" l="1"/>
  <c r="O378" i="3" s="1"/>
  <c r="T377" i="3" l="1"/>
  <c r="P378" i="3" s="1"/>
  <c r="Q378" i="3" s="1"/>
  <c r="U378" i="3" s="1"/>
  <c r="R378" i="3" s="1"/>
  <c r="N379" i="3" s="1"/>
  <c r="S378" i="3" l="1"/>
  <c r="O379" i="3" s="1"/>
  <c r="T378" i="3" l="1"/>
  <c r="P379" i="3" s="1"/>
  <c r="Q379" i="3" s="1"/>
  <c r="U379" i="3" s="1"/>
  <c r="R379" i="3" s="1"/>
  <c r="N380" i="3" l="1"/>
  <c r="S379" i="3"/>
  <c r="O380" i="3" s="1"/>
  <c r="T379" i="3" l="1"/>
  <c r="P380" i="3" s="1"/>
  <c r="Q380" i="3" s="1"/>
  <c r="U380" i="3" s="1"/>
  <c r="R380" i="3" s="1"/>
  <c r="N381" i="3" s="1"/>
  <c r="S380" i="3" l="1"/>
  <c r="O381" i="3" s="1"/>
  <c r="T380" i="3" l="1"/>
  <c r="P381" i="3" s="1"/>
  <c r="Q381" i="3" s="1"/>
  <c r="U381" i="3" s="1"/>
  <c r="R381" i="3" s="1"/>
  <c r="N382" i="3" s="1"/>
  <c r="S381" i="3" l="1"/>
  <c r="O382" i="3" s="1"/>
  <c r="T381" i="3" l="1"/>
  <c r="P382" i="3" s="1"/>
  <c r="Q382" i="3" s="1"/>
  <c r="U382" i="3" s="1"/>
  <c r="R382" i="3" s="1"/>
  <c r="N383" i="3" s="1"/>
  <c r="S382" i="3" l="1"/>
  <c r="O383" i="3" s="1"/>
  <c r="T382" i="3" l="1"/>
  <c r="P383" i="3" s="1"/>
  <c r="Q383" i="3" s="1"/>
  <c r="U383" i="3" s="1"/>
  <c r="R383" i="3" s="1"/>
  <c r="N384" i="3" s="1"/>
  <c r="S383" i="3" l="1"/>
  <c r="O384" i="3" s="1"/>
  <c r="T383" i="3" l="1"/>
  <c r="P384" i="3" s="1"/>
  <c r="Q384" i="3" s="1"/>
  <c r="U384" i="3" s="1"/>
  <c r="R384" i="3" s="1"/>
  <c r="N385" i="3" s="1"/>
  <c r="S384" i="3" l="1"/>
  <c r="O385" i="3" s="1"/>
  <c r="T384" i="3" l="1"/>
  <c r="P385" i="3" s="1"/>
  <c r="Q385" i="3" s="1"/>
  <c r="U385" i="3" s="1"/>
  <c r="R385" i="3" s="1"/>
  <c r="N386" i="3" s="1"/>
  <c r="S385" i="3" l="1"/>
  <c r="O386" i="3" s="1"/>
  <c r="T385" i="3" l="1"/>
  <c r="P386" i="3" s="1"/>
  <c r="Q386" i="3" s="1"/>
  <c r="U386" i="3" s="1"/>
  <c r="R386" i="3" s="1"/>
  <c r="N387" i="3" s="1"/>
  <c r="S386" i="3" l="1"/>
  <c r="O387" i="3" s="1"/>
  <c r="T386" i="3" l="1"/>
  <c r="P387" i="3" s="1"/>
  <c r="Q387" i="3" s="1"/>
  <c r="U387" i="3" s="1"/>
  <c r="R387" i="3" s="1"/>
  <c r="N388" i="3" s="1"/>
  <c r="S387" i="3" l="1"/>
  <c r="O388" i="3" s="1"/>
  <c r="T387" i="3" l="1"/>
  <c r="P388" i="3" s="1"/>
  <c r="Q388" i="3" s="1"/>
  <c r="U388" i="3" s="1"/>
  <c r="R388" i="3" s="1"/>
  <c r="N389" i="3" s="1"/>
  <c r="S388" i="3" l="1"/>
  <c r="O389" i="3" s="1"/>
  <c r="T388" i="3" l="1"/>
  <c r="P389" i="3" s="1"/>
  <c r="Q389" i="3" s="1"/>
  <c r="U389" i="3" s="1"/>
  <c r="R389" i="3" s="1"/>
  <c r="N390" i="3" s="1"/>
  <c r="S389" i="3" l="1"/>
  <c r="O390" i="3" s="1"/>
  <c r="T389" i="3" l="1"/>
  <c r="P390" i="3" s="1"/>
  <c r="Q390" i="3" s="1"/>
  <c r="U390" i="3" s="1"/>
  <c r="R390" i="3" s="1"/>
  <c r="N391" i="3" s="1"/>
  <c r="S390" i="3" l="1"/>
  <c r="O391" i="3" s="1"/>
  <c r="T390" i="3" l="1"/>
  <c r="P391" i="3" s="1"/>
  <c r="Q391" i="3" s="1"/>
  <c r="U391" i="3" s="1"/>
  <c r="R391" i="3" s="1"/>
  <c r="N392" i="3" s="1"/>
  <c r="S391" i="3" l="1"/>
  <c r="O392" i="3" s="1"/>
  <c r="T391" i="3" l="1"/>
  <c r="P392" i="3" s="1"/>
  <c r="Q392" i="3" s="1"/>
  <c r="U392" i="3" s="1"/>
  <c r="R392" i="3" s="1"/>
  <c r="N393" i="3" s="1"/>
  <c r="S392" i="3" l="1"/>
  <c r="O393" i="3" s="1"/>
  <c r="T392" i="3" l="1"/>
  <c r="P393" i="3" s="1"/>
  <c r="Q393" i="3" s="1"/>
  <c r="U393" i="3" s="1"/>
  <c r="R393" i="3" s="1"/>
  <c r="N394" i="3" s="1"/>
  <c r="S393" i="3" l="1"/>
  <c r="O394" i="3" s="1"/>
  <c r="T393" i="3" l="1"/>
  <c r="P394" i="3" s="1"/>
  <c r="Q394" i="3" s="1"/>
  <c r="U394" i="3" s="1"/>
  <c r="R394" i="3" s="1"/>
  <c r="N395" i="3" s="1"/>
  <c r="S394" i="3" l="1"/>
  <c r="O395" i="3" s="1"/>
  <c r="T394" i="3" l="1"/>
  <c r="P395" i="3" s="1"/>
  <c r="Q395" i="3" s="1"/>
  <c r="U395" i="3" s="1"/>
  <c r="R395" i="3" s="1"/>
  <c r="N396" i="3" s="1"/>
  <c r="S395" i="3" l="1"/>
  <c r="O396" i="3" s="1"/>
  <c r="T395" i="3" l="1"/>
  <c r="P396" i="3" s="1"/>
  <c r="Q396" i="3" s="1"/>
  <c r="U396" i="3" s="1"/>
  <c r="R396" i="3" l="1"/>
  <c r="N397" i="3" s="1"/>
  <c r="S396" i="3" l="1"/>
  <c r="O397" i="3" s="1"/>
  <c r="T396" i="3" l="1"/>
  <c r="P397" i="3" s="1"/>
  <c r="Q397" i="3" s="1"/>
  <c r="U397" i="3" s="1"/>
  <c r="R397" i="3" l="1"/>
  <c r="N398" i="3" s="1"/>
  <c r="S397" i="3" l="1"/>
  <c r="O398" i="3" s="1"/>
  <c r="T397" i="3" l="1"/>
  <c r="P398" i="3" s="1"/>
  <c r="Q398" i="3" s="1"/>
  <c r="U398" i="3" s="1"/>
  <c r="R398" i="3" l="1"/>
  <c r="N399" i="3" s="1"/>
  <c r="S398" i="3" l="1"/>
  <c r="O399" i="3" s="1"/>
  <c r="T398" i="3" l="1"/>
  <c r="P399" i="3" s="1"/>
  <c r="Q399" i="3" s="1"/>
  <c r="U399" i="3" s="1"/>
  <c r="R399" i="3" l="1"/>
  <c r="N400" i="3" s="1"/>
  <c r="S399" i="3" l="1"/>
  <c r="O400" i="3" s="1"/>
  <c r="T399" i="3" l="1"/>
  <c r="P400" i="3" s="1"/>
  <c r="Q400" i="3" s="1"/>
  <c r="U400" i="3" s="1"/>
  <c r="R400" i="3" l="1"/>
  <c r="N401" i="3" s="1"/>
  <c r="S400" i="3" l="1"/>
  <c r="O401" i="3" s="1"/>
  <c r="T400" i="3" l="1"/>
  <c r="P401" i="3" s="1"/>
  <c r="Q401" i="3" s="1"/>
  <c r="U401" i="3" s="1"/>
  <c r="R401" i="3" l="1"/>
  <c r="N402" i="3" s="1"/>
  <c r="S401" i="3" l="1"/>
  <c r="O402" i="3" s="1"/>
  <c r="T401" i="3" l="1"/>
  <c r="P402" i="3" s="1"/>
  <c r="Q402" i="3" s="1"/>
  <c r="U402" i="3" s="1"/>
  <c r="R402" i="3" l="1"/>
  <c r="N403" i="3" s="1"/>
  <c r="S402" i="3" l="1"/>
  <c r="O403" i="3" s="1"/>
  <c r="T402" i="3" l="1"/>
  <c r="P403" i="3" s="1"/>
  <c r="Q403" i="3" s="1"/>
  <c r="U403" i="3" s="1"/>
  <c r="R403" i="3" l="1"/>
  <c r="N404" i="3" s="1"/>
  <c r="S403" i="3" l="1"/>
  <c r="O404" i="3" s="1"/>
  <c r="T403" i="3" l="1"/>
  <c r="P404" i="3" s="1"/>
  <c r="Q404" i="3" s="1"/>
  <c r="U404" i="3" s="1"/>
  <c r="R404" i="3" l="1"/>
  <c r="N405" i="3" s="1"/>
  <c r="S404" i="3" l="1"/>
  <c r="O405" i="3" s="1"/>
  <c r="T404" i="3" l="1"/>
  <c r="P405" i="3" s="1"/>
  <c r="Q405" i="3" s="1"/>
  <c r="U405" i="3" s="1"/>
  <c r="R405" i="3" l="1"/>
  <c r="N406" i="3" s="1"/>
  <c r="S405" i="3" l="1"/>
  <c r="O406" i="3" s="1"/>
  <c r="T405" i="3" l="1"/>
  <c r="P406" i="3" s="1"/>
  <c r="Q406" i="3" s="1"/>
  <c r="U406" i="3" s="1"/>
  <c r="R406" i="3" l="1"/>
  <c r="N407" i="3" s="1"/>
  <c r="S406" i="3" l="1"/>
  <c r="O407" i="3" s="1"/>
  <c r="T406" i="3" l="1"/>
  <c r="P407" i="3" s="1"/>
  <c r="Q407" i="3" s="1"/>
  <c r="U407" i="3" s="1"/>
  <c r="R407" i="3" l="1"/>
  <c r="N408" i="3" s="1"/>
  <c r="S407" i="3" l="1"/>
  <c r="O408" i="3" s="1"/>
  <c r="T407" i="3" l="1"/>
  <c r="P408" i="3" s="1"/>
  <c r="Q408" i="3" s="1"/>
  <c r="U408" i="3" s="1"/>
  <c r="R408" i="3" l="1"/>
  <c r="N409" i="3" s="1"/>
  <c r="S408" i="3" l="1"/>
  <c r="O409" i="3" s="1"/>
  <c r="T408" i="3" l="1"/>
  <c r="P409" i="3" s="1"/>
  <c r="Q409" i="3" s="1"/>
  <c r="U409" i="3" s="1"/>
  <c r="R409" i="3" l="1"/>
  <c r="N410" i="3" s="1"/>
  <c r="S409" i="3" l="1"/>
  <c r="O410" i="3" s="1"/>
  <c r="T409" i="3" l="1"/>
  <c r="P410" i="3" s="1"/>
  <c r="Q410" i="3" s="1"/>
  <c r="U410" i="3" s="1"/>
  <c r="R410" i="3" l="1"/>
  <c r="N411" i="3" s="1"/>
  <c r="S410" i="3" l="1"/>
  <c r="O411" i="3" s="1"/>
  <c r="T410" i="3" l="1"/>
  <c r="P411" i="3" s="1"/>
  <c r="Q411" i="3" s="1"/>
  <c r="U411" i="3" s="1"/>
  <c r="R411" i="3" l="1"/>
  <c r="N412" i="3" s="1"/>
  <c r="S411" i="3" l="1"/>
  <c r="O412" i="3" s="1"/>
  <c r="T411" i="3" l="1"/>
  <c r="P412" i="3" s="1"/>
  <c r="Q412" i="3" s="1"/>
  <c r="U412" i="3" s="1"/>
  <c r="R412" i="3" s="1"/>
  <c r="N413" i="3" s="1"/>
  <c r="S412" i="3" l="1"/>
  <c r="O413" i="3" s="1"/>
  <c r="T412" i="3" l="1"/>
  <c r="P413" i="3" s="1"/>
  <c r="Q413" i="3" s="1"/>
  <c r="U413" i="3" s="1"/>
  <c r="R413" i="3" l="1"/>
  <c r="N414" i="3" s="1"/>
  <c r="S413" i="3" l="1"/>
  <c r="O414" i="3" s="1"/>
  <c r="T413" i="3" l="1"/>
  <c r="P414" i="3" s="1"/>
  <c r="Q414" i="3" s="1"/>
  <c r="U414" i="3" s="1"/>
  <c r="R414" i="3" l="1"/>
  <c r="N415" i="3" s="1"/>
  <c r="S414" i="3" l="1"/>
  <c r="O415" i="3" s="1"/>
  <c r="T414" i="3" l="1"/>
  <c r="P415" i="3" s="1"/>
  <c r="Q415" i="3" s="1"/>
  <c r="U415" i="3" s="1"/>
  <c r="R415" i="3" l="1"/>
  <c r="N416" i="3" s="1"/>
  <c r="S415" i="3" l="1"/>
  <c r="O416" i="3" s="1"/>
  <c r="T415" i="3" l="1"/>
  <c r="P416" i="3" s="1"/>
  <c r="Q416" i="3" s="1"/>
  <c r="U416" i="3" s="1"/>
  <c r="R416" i="3" l="1"/>
  <c r="N417" i="3" s="1"/>
  <c r="S416" i="3" l="1"/>
  <c r="O417" i="3" s="1"/>
  <c r="T416" i="3" l="1"/>
  <c r="P417" i="3" s="1"/>
  <c r="Q417" i="3" s="1"/>
  <c r="U417" i="3" s="1"/>
  <c r="R417" i="3" l="1"/>
  <c r="N418" i="3" s="1"/>
  <c r="S417" i="3" l="1"/>
  <c r="O418" i="3" s="1"/>
  <c r="T417" i="3" l="1"/>
  <c r="P418" i="3" s="1"/>
  <c r="Q418" i="3" s="1"/>
  <c r="U418" i="3" s="1"/>
  <c r="R418" i="3" l="1"/>
  <c r="N419" i="3" s="1"/>
  <c r="S418" i="3" l="1"/>
  <c r="O419" i="3" s="1"/>
  <c r="T418" i="3" l="1"/>
  <c r="P419" i="3" s="1"/>
  <c r="Q419" i="3" s="1"/>
  <c r="U419" i="3" s="1"/>
  <c r="R419" i="3" l="1"/>
  <c r="N420" i="3" s="1"/>
  <c r="S419" i="3" l="1"/>
  <c r="O420" i="3" s="1"/>
  <c r="T419" i="3" l="1"/>
  <c r="P420" i="3" s="1"/>
  <c r="Q420" i="3" s="1"/>
  <c r="U420" i="3" s="1"/>
  <c r="R420" i="3" l="1"/>
  <c r="N421" i="3" s="1"/>
  <c r="S420" i="3" l="1"/>
  <c r="O421" i="3" s="1"/>
  <c r="T420" i="3" l="1"/>
  <c r="P421" i="3" s="1"/>
  <c r="Q421" i="3" s="1"/>
  <c r="U421" i="3" s="1"/>
  <c r="R421" i="3" l="1"/>
  <c r="N422" i="3" s="1"/>
  <c r="S421" i="3" l="1"/>
  <c r="O422" i="3" s="1"/>
  <c r="T421" i="3" l="1"/>
  <c r="P422" i="3" s="1"/>
  <c r="Q422" i="3" s="1"/>
  <c r="U422" i="3" s="1"/>
  <c r="R422" i="3" l="1"/>
  <c r="N423" i="3" s="1"/>
  <c r="S422" i="3" l="1"/>
  <c r="O423" i="3" s="1"/>
  <c r="T422" i="3" l="1"/>
  <c r="P423" i="3" s="1"/>
  <c r="Q423" i="3" s="1"/>
  <c r="U423" i="3" s="1"/>
  <c r="R423" i="3" l="1"/>
  <c r="N424" i="3" s="1"/>
  <c r="S423" i="3" l="1"/>
  <c r="O424" i="3" s="1"/>
  <c r="T423" i="3" l="1"/>
  <c r="P424" i="3" s="1"/>
  <c r="Q424" i="3" s="1"/>
  <c r="U424" i="3" s="1"/>
  <c r="R424" i="3" s="1"/>
  <c r="N425" i="3" s="1"/>
  <c r="S424" i="3" l="1"/>
  <c r="O425" i="3" s="1"/>
  <c r="T424" i="3" l="1"/>
  <c r="P425" i="3" s="1"/>
  <c r="Q425" i="3" s="1"/>
  <c r="U425" i="3" s="1"/>
  <c r="R425" i="3" l="1"/>
  <c r="N426" i="3" s="1"/>
  <c r="S425" i="3" l="1"/>
  <c r="O426" i="3" s="1"/>
  <c r="T425" i="3" l="1"/>
  <c r="P426" i="3" s="1"/>
  <c r="Q426" i="3" s="1"/>
  <c r="U426" i="3" s="1"/>
  <c r="R426" i="3" s="1"/>
  <c r="N427" i="3" s="1"/>
  <c r="S426" i="3" l="1"/>
  <c r="O427" i="3" s="1"/>
  <c r="T426" i="3" l="1"/>
  <c r="P427" i="3" s="1"/>
  <c r="Q427" i="3" s="1"/>
  <c r="U427" i="3" s="1"/>
  <c r="R427" i="3" l="1"/>
  <c r="N428" i="3" s="1"/>
  <c r="S427" i="3" l="1"/>
  <c r="O428" i="3" s="1"/>
  <c r="T427" i="3" l="1"/>
  <c r="P428" i="3" s="1"/>
  <c r="Q428" i="3" s="1"/>
  <c r="U428" i="3" s="1"/>
  <c r="R428" i="3" l="1"/>
  <c r="N429" i="3" s="1"/>
  <c r="S428" i="3" l="1"/>
  <c r="O429" i="3" s="1"/>
  <c r="T428" i="3" l="1"/>
  <c r="P429" i="3" s="1"/>
  <c r="Q429" i="3" s="1"/>
  <c r="U429" i="3" s="1"/>
  <c r="R429" i="3" l="1"/>
  <c r="N430" i="3" s="1"/>
  <c r="S429" i="3" l="1"/>
  <c r="O430" i="3" s="1"/>
  <c r="T429" i="3" l="1"/>
  <c r="P430" i="3" s="1"/>
  <c r="Q430" i="3" s="1"/>
  <c r="U430" i="3" s="1"/>
  <c r="R430" i="3" s="1"/>
  <c r="N431" i="3" s="1"/>
  <c r="S430" i="3" l="1"/>
  <c r="O431" i="3" s="1"/>
  <c r="T430" i="3" l="1"/>
  <c r="P431" i="3" s="1"/>
  <c r="Q431" i="3" s="1"/>
  <c r="U431" i="3" s="1"/>
  <c r="R431" i="3" l="1"/>
  <c r="N432" i="3" s="1"/>
  <c r="S431" i="3" l="1"/>
  <c r="O432" i="3" s="1"/>
  <c r="T431" i="3" l="1"/>
  <c r="P432" i="3" s="1"/>
  <c r="Q432" i="3" s="1"/>
  <c r="U432" i="3" s="1"/>
  <c r="R432" i="3" s="1"/>
  <c r="N433" i="3" s="1"/>
  <c r="S432" i="3" l="1"/>
  <c r="O433" i="3" s="1"/>
  <c r="T432" i="3" l="1"/>
  <c r="P433" i="3" s="1"/>
  <c r="Q433" i="3" s="1"/>
  <c r="U433" i="3" s="1"/>
  <c r="R433" i="3" s="1"/>
  <c r="N434" i="3" s="1"/>
  <c r="S433" i="3" l="1"/>
  <c r="O434" i="3" s="1"/>
  <c r="T433" i="3" l="1"/>
  <c r="P434" i="3" s="1"/>
  <c r="Q434" i="3" s="1"/>
  <c r="U434" i="3" s="1"/>
  <c r="R434" i="3" s="1"/>
  <c r="N435" i="3" s="1"/>
  <c r="S434" i="3" l="1"/>
  <c r="O435" i="3" s="1"/>
  <c r="T434" i="3" l="1"/>
  <c r="P435" i="3" s="1"/>
  <c r="Q435" i="3" s="1"/>
  <c r="U435" i="3" s="1"/>
  <c r="R435" i="3" s="1"/>
  <c r="N436" i="3" s="1"/>
  <c r="S435" i="3" l="1"/>
  <c r="O436" i="3" s="1"/>
  <c r="T435" i="3" l="1"/>
  <c r="P436" i="3" s="1"/>
  <c r="Q436" i="3" s="1"/>
  <c r="U436" i="3" s="1"/>
  <c r="R436" i="3" s="1"/>
  <c r="N437" i="3" s="1"/>
  <c r="S436" i="3" l="1"/>
  <c r="O437" i="3" s="1"/>
  <c r="T436" i="3" l="1"/>
  <c r="P437" i="3" s="1"/>
  <c r="Q437" i="3" s="1"/>
  <c r="U437" i="3" s="1"/>
  <c r="R437" i="3" s="1"/>
  <c r="N438" i="3" s="1"/>
  <c r="S437" i="3" l="1"/>
  <c r="O438" i="3" s="1"/>
  <c r="T437" i="3" l="1"/>
  <c r="P438" i="3" s="1"/>
  <c r="Q438" i="3" s="1"/>
  <c r="U438" i="3" s="1"/>
  <c r="R438" i="3" l="1"/>
  <c r="N439" i="3" s="1"/>
  <c r="S438" i="3" l="1"/>
  <c r="O439" i="3" s="1"/>
  <c r="T438" i="3" l="1"/>
  <c r="P439" i="3" s="1"/>
  <c r="Q439" i="3" s="1"/>
  <c r="U439" i="3" s="1"/>
  <c r="R439" i="3" l="1"/>
  <c r="N440" i="3" s="1"/>
  <c r="S439" i="3" l="1"/>
  <c r="O440" i="3" s="1"/>
  <c r="T439" i="3" l="1"/>
  <c r="P440" i="3" s="1"/>
  <c r="Q440" i="3" s="1"/>
  <c r="U440" i="3" s="1"/>
  <c r="R440" i="3" l="1"/>
  <c r="N441" i="3" s="1"/>
  <c r="S440" i="3" l="1"/>
  <c r="O441" i="3" s="1"/>
  <c r="T440" i="3" l="1"/>
  <c r="P441" i="3" s="1"/>
  <c r="Q441" i="3" s="1"/>
  <c r="U441" i="3" s="1"/>
  <c r="R441" i="3" l="1"/>
  <c r="N442" i="3" s="1"/>
  <c r="S441" i="3" l="1"/>
  <c r="O442" i="3" s="1"/>
  <c r="T441" i="3" l="1"/>
  <c r="P442" i="3" s="1"/>
  <c r="Q442" i="3" s="1"/>
  <c r="U442" i="3" s="1"/>
  <c r="R442" i="3" l="1"/>
  <c r="N443" i="3" s="1"/>
  <c r="S442" i="3" l="1"/>
  <c r="O443" i="3" s="1"/>
  <c r="T442" i="3" l="1"/>
  <c r="P443" i="3" s="1"/>
  <c r="Q443" i="3" s="1"/>
  <c r="U443" i="3" s="1"/>
  <c r="R443" i="3" l="1"/>
  <c r="N444" i="3" s="1"/>
  <c r="S443" i="3" l="1"/>
  <c r="O444" i="3" s="1"/>
  <c r="T443" i="3" l="1"/>
  <c r="P444" i="3" s="1"/>
  <c r="Q444" i="3" s="1"/>
  <c r="U444" i="3" s="1"/>
  <c r="R444" i="3" l="1"/>
  <c r="N445" i="3" s="1"/>
  <c r="S444" i="3" l="1"/>
  <c r="O445" i="3" s="1"/>
  <c r="T444" i="3" l="1"/>
  <c r="P445" i="3" s="1"/>
  <c r="Q445" i="3" s="1"/>
  <c r="U445" i="3" s="1"/>
  <c r="R445" i="3" l="1"/>
  <c r="N446" i="3" s="1"/>
  <c r="S445" i="3" l="1"/>
  <c r="O446" i="3" s="1"/>
  <c r="T445" i="3" l="1"/>
  <c r="P446" i="3" s="1"/>
  <c r="Q446" i="3" s="1"/>
  <c r="U446" i="3" s="1"/>
  <c r="R446" i="3" s="1"/>
  <c r="N447" i="3" s="1"/>
  <c r="S446" i="3" l="1"/>
  <c r="O447" i="3" s="1"/>
  <c r="T446" i="3" l="1"/>
  <c r="P447" i="3" s="1"/>
  <c r="Q447" i="3" s="1"/>
  <c r="U447" i="3" s="1"/>
  <c r="R447" i="3" l="1"/>
  <c r="N448" i="3" s="1"/>
  <c r="S447" i="3" l="1"/>
  <c r="O448" i="3" s="1"/>
  <c r="T447" i="3" l="1"/>
  <c r="P448" i="3" s="1"/>
  <c r="Q448" i="3" s="1"/>
  <c r="U448" i="3" s="1"/>
  <c r="R448" i="3" s="1"/>
  <c r="N449" i="3" s="1"/>
  <c r="S448" i="3" l="1"/>
  <c r="O449" i="3" s="1"/>
  <c r="T448" i="3" l="1"/>
  <c r="P449" i="3" s="1"/>
  <c r="Q449" i="3" s="1"/>
  <c r="U449" i="3" s="1"/>
  <c r="R449" i="3" s="1"/>
  <c r="N450" i="3" s="1"/>
  <c r="S449" i="3" l="1"/>
  <c r="O450" i="3" s="1"/>
  <c r="T449" i="3" l="1"/>
  <c r="P450" i="3" s="1"/>
  <c r="Q450" i="3" s="1"/>
  <c r="U450" i="3" s="1"/>
  <c r="R450" i="3" s="1"/>
  <c r="N451" i="3" s="1"/>
  <c r="S450" i="3" l="1"/>
  <c r="O451" i="3" s="1"/>
  <c r="T450" i="3" l="1"/>
  <c r="P451" i="3" s="1"/>
  <c r="Q451" i="3" s="1"/>
  <c r="U451" i="3" s="1"/>
  <c r="R451" i="3" l="1"/>
  <c r="N452" i="3" s="1"/>
  <c r="S451" i="3" l="1"/>
  <c r="O452" i="3" s="1"/>
  <c r="T451" i="3" l="1"/>
  <c r="P452" i="3" s="1"/>
  <c r="Q452" i="3" s="1"/>
  <c r="U452" i="3" s="1"/>
  <c r="R452" i="3" s="1"/>
  <c r="N453" i="3" s="1"/>
  <c r="S452" i="3" l="1"/>
  <c r="O453" i="3" s="1"/>
  <c r="T452" i="3" l="1"/>
  <c r="P453" i="3" s="1"/>
  <c r="Q453" i="3" s="1"/>
  <c r="U453" i="3" s="1"/>
  <c r="R453" i="3" l="1"/>
  <c r="N454" i="3" s="1"/>
  <c r="S453" i="3" l="1"/>
  <c r="O454" i="3" s="1"/>
  <c r="T453" i="3" l="1"/>
  <c r="P454" i="3" s="1"/>
  <c r="Q454" i="3" s="1"/>
  <c r="U454" i="3" s="1"/>
  <c r="R454" i="3" l="1"/>
  <c r="N455" i="3" s="1"/>
  <c r="S454" i="3" l="1"/>
  <c r="O455" i="3" s="1"/>
  <c r="T454" i="3" l="1"/>
  <c r="P455" i="3" s="1"/>
  <c r="Q455" i="3" s="1"/>
  <c r="U455" i="3" s="1"/>
  <c r="R455" i="3" s="1"/>
  <c r="N456" i="3" s="1"/>
  <c r="S455" i="3" l="1"/>
  <c r="O456" i="3" s="1"/>
  <c r="T455" i="3" l="1"/>
  <c r="P456" i="3" s="1"/>
  <c r="Q456" i="3" s="1"/>
  <c r="U456" i="3" s="1"/>
  <c r="R456" i="3" s="1"/>
  <c r="N457" i="3" s="1"/>
  <c r="S456" i="3" l="1"/>
  <c r="O457" i="3" s="1"/>
  <c r="T456" i="3" l="1"/>
  <c r="P457" i="3" s="1"/>
  <c r="Q457" i="3" s="1"/>
  <c r="U457" i="3" s="1"/>
  <c r="R457" i="3" s="1"/>
  <c r="N458" i="3" s="1"/>
  <c r="S457" i="3" l="1"/>
  <c r="O458" i="3" s="1"/>
  <c r="T457" i="3" l="1"/>
  <c r="P458" i="3" s="1"/>
  <c r="Q458" i="3" s="1"/>
  <c r="U458" i="3" s="1"/>
  <c r="R458" i="3" s="1"/>
  <c r="N459" i="3" s="1"/>
  <c r="S458" i="3" l="1"/>
  <c r="O459" i="3" s="1"/>
  <c r="T458" i="3" l="1"/>
  <c r="P459" i="3" s="1"/>
  <c r="Q459" i="3" s="1"/>
  <c r="U459" i="3" s="1"/>
  <c r="R459" i="3" s="1"/>
  <c r="N460" i="3" s="1"/>
  <c r="S459" i="3" l="1"/>
  <c r="O460" i="3" s="1"/>
  <c r="T459" i="3" l="1"/>
  <c r="P460" i="3" s="1"/>
  <c r="Q460" i="3" s="1"/>
  <c r="U460" i="3" s="1"/>
  <c r="R460" i="3" s="1"/>
  <c r="N461" i="3" s="1"/>
  <c r="S460" i="3" l="1"/>
  <c r="O461" i="3" s="1"/>
  <c r="T460" i="3" l="1"/>
  <c r="P461" i="3" s="1"/>
  <c r="Q461" i="3" s="1"/>
  <c r="U461" i="3" s="1"/>
  <c r="R461" i="3" s="1"/>
  <c r="N462" i="3" s="1"/>
  <c r="S461" i="3" l="1"/>
  <c r="O462" i="3" s="1"/>
  <c r="T461" i="3" l="1"/>
  <c r="P462" i="3" s="1"/>
  <c r="Q462" i="3" s="1"/>
  <c r="U462" i="3" s="1"/>
  <c r="R462" i="3" s="1"/>
  <c r="N463" i="3" s="1"/>
  <c r="S462" i="3" l="1"/>
  <c r="O463" i="3" s="1"/>
  <c r="T462" i="3" l="1"/>
  <c r="P463" i="3" s="1"/>
  <c r="Q463" i="3" s="1"/>
  <c r="U463" i="3" s="1"/>
  <c r="R463" i="3" l="1"/>
  <c r="N464" i="3" s="1"/>
  <c r="S463" i="3" l="1"/>
  <c r="O464" i="3" s="1"/>
  <c r="T463" i="3" l="1"/>
  <c r="P464" i="3" s="1"/>
  <c r="Q464" i="3" s="1"/>
  <c r="U464" i="3" s="1"/>
  <c r="R464" i="3" s="1"/>
  <c r="N465" i="3" s="1"/>
  <c r="S464" i="3" l="1"/>
  <c r="O465" i="3" l="1"/>
  <c r="T464" i="3"/>
  <c r="P465" i="3" s="1"/>
  <c r="Q465" i="3" l="1"/>
  <c r="U465" i="3" s="1"/>
  <c r="R465" i="3" l="1"/>
  <c r="N466" i="3" s="1"/>
  <c r="S465" i="3" l="1"/>
  <c r="O466" i="3" s="1"/>
  <c r="T465" i="3" l="1"/>
  <c r="P466" i="3" s="1"/>
  <c r="Q466" i="3" s="1"/>
  <c r="U466" i="3" s="1"/>
  <c r="R466" i="3" s="1"/>
  <c r="N467" i="3" s="1"/>
  <c r="S466" i="3" l="1"/>
  <c r="O467" i="3" l="1"/>
  <c r="T466" i="3"/>
  <c r="P467" i="3" s="1"/>
  <c r="Q467" i="3" l="1"/>
  <c r="U467" i="3" s="1"/>
  <c r="R467" i="3" l="1"/>
  <c r="N468" i="3" s="1"/>
  <c r="S467" i="3" l="1"/>
  <c r="O468" i="3" s="1"/>
  <c r="T467" i="3" l="1"/>
  <c r="P468" i="3" s="1"/>
  <c r="Q468" i="3" s="1"/>
  <c r="U468" i="3" s="1"/>
  <c r="R468" i="3" l="1"/>
  <c r="N469" i="3" s="1"/>
  <c r="S468" i="3" l="1"/>
  <c r="O469" i="3" s="1"/>
  <c r="T468" i="3" l="1"/>
  <c r="P469" i="3" s="1"/>
  <c r="Q469" i="3" s="1"/>
  <c r="U469" i="3" s="1"/>
  <c r="R469" i="3" l="1"/>
  <c r="N470" i="3" s="1"/>
  <c r="S469" i="3" l="1"/>
  <c r="O470" i="3" s="1"/>
  <c r="T469" i="3" l="1"/>
  <c r="P470" i="3" s="1"/>
  <c r="Q470" i="3" s="1"/>
  <c r="U470" i="3" s="1"/>
  <c r="R470" i="3" l="1"/>
  <c r="N471" i="3" s="1"/>
  <c r="S470" i="3" l="1"/>
  <c r="O471" i="3" s="1"/>
  <c r="T470" i="3" l="1"/>
  <c r="P471" i="3" s="1"/>
  <c r="Q471" i="3" s="1"/>
  <c r="U471" i="3" s="1"/>
  <c r="R471" i="3" l="1"/>
  <c r="N472" i="3" s="1"/>
  <c r="S471" i="3" l="1"/>
  <c r="O472" i="3" s="1"/>
  <c r="T471" i="3" l="1"/>
  <c r="P472" i="3" s="1"/>
  <c r="Q472" i="3" s="1"/>
  <c r="U472" i="3" s="1"/>
  <c r="R472" i="3" s="1"/>
  <c r="N473" i="3" s="1"/>
  <c r="S472" i="3" l="1"/>
  <c r="O473" i="3" s="1"/>
  <c r="T472" i="3" l="1"/>
  <c r="P473" i="3" s="1"/>
  <c r="Q473" i="3" s="1"/>
  <c r="U473" i="3" s="1"/>
  <c r="R473" i="3" l="1"/>
  <c r="N474" i="3" s="1"/>
  <c r="S473" i="3" l="1"/>
  <c r="O474" i="3" s="1"/>
  <c r="T473" i="3" l="1"/>
  <c r="P474" i="3" s="1"/>
  <c r="Q474" i="3" s="1"/>
  <c r="U474" i="3" s="1"/>
  <c r="R474" i="3" l="1"/>
  <c r="N475" i="3" s="1"/>
  <c r="S474" i="3" l="1"/>
  <c r="O475" i="3" s="1"/>
  <c r="T474" i="3" l="1"/>
  <c r="P475" i="3" s="1"/>
  <c r="Q475" i="3" s="1"/>
  <c r="U475" i="3" s="1"/>
  <c r="R475" i="3" l="1"/>
  <c r="N476" i="3" s="1"/>
  <c r="S475" i="3" l="1"/>
  <c r="O476" i="3" s="1"/>
  <c r="T475" i="3" l="1"/>
  <c r="P476" i="3" s="1"/>
  <c r="Q476" i="3" s="1"/>
  <c r="U476" i="3" s="1"/>
  <c r="R476" i="3" s="1"/>
  <c r="N477" i="3" s="1"/>
  <c r="S476" i="3" l="1"/>
  <c r="O477" i="3" s="1"/>
  <c r="T476" i="3" l="1"/>
  <c r="P477" i="3" s="1"/>
  <c r="Q477" i="3" s="1"/>
  <c r="U477" i="3" s="1"/>
  <c r="R477" i="3" s="1"/>
  <c r="N478" i="3" s="1"/>
  <c r="S477" i="3" l="1"/>
  <c r="O478" i="3" s="1"/>
  <c r="T477" i="3" l="1"/>
  <c r="P478" i="3" s="1"/>
  <c r="Q478" i="3" s="1"/>
  <c r="U478" i="3" s="1"/>
  <c r="R478" i="3" l="1"/>
  <c r="N479" i="3" s="1"/>
  <c r="S478" i="3" l="1"/>
  <c r="O479" i="3" s="1"/>
  <c r="T478" i="3" l="1"/>
  <c r="P479" i="3" s="1"/>
  <c r="Q479" i="3" s="1"/>
  <c r="U479" i="3" s="1"/>
  <c r="R479" i="3" s="1"/>
  <c r="N480" i="3" s="1"/>
  <c r="S479" i="3" l="1"/>
  <c r="O480" i="3" s="1"/>
  <c r="T479" i="3" l="1"/>
  <c r="P480" i="3" s="1"/>
  <c r="Q480" i="3" s="1"/>
  <c r="U480" i="3" s="1"/>
  <c r="R480" i="3" l="1"/>
  <c r="N481" i="3" s="1"/>
  <c r="S480" i="3" l="1"/>
  <c r="O481" i="3" s="1"/>
  <c r="T480" i="3" l="1"/>
  <c r="P481" i="3" s="1"/>
  <c r="Q481" i="3" s="1"/>
  <c r="U481" i="3" s="1"/>
  <c r="R481" i="3" s="1"/>
  <c r="N482" i="3" s="1"/>
  <c r="S481" i="3" l="1"/>
  <c r="O482" i="3" s="1"/>
  <c r="T481" i="3" l="1"/>
  <c r="P482" i="3" s="1"/>
  <c r="Q482" i="3" s="1"/>
  <c r="U482" i="3" s="1"/>
  <c r="R482" i="3" s="1"/>
  <c r="N483" i="3" s="1"/>
  <c r="S482" i="3" l="1"/>
  <c r="O483" i="3" s="1"/>
  <c r="T482" i="3" l="1"/>
  <c r="P483" i="3" s="1"/>
  <c r="Q483" i="3" s="1"/>
  <c r="U483" i="3" s="1"/>
  <c r="R483" i="3" s="1"/>
  <c r="N484" i="3" s="1"/>
  <c r="S483" i="3" l="1"/>
  <c r="O484" i="3" s="1"/>
  <c r="T483" i="3" l="1"/>
  <c r="P484" i="3" s="1"/>
  <c r="Q484" i="3" s="1"/>
  <c r="U484" i="3" s="1"/>
  <c r="R484" i="3" s="1"/>
  <c r="N485" i="3" s="1"/>
  <c r="S484" i="3" l="1"/>
  <c r="O485" i="3" s="1"/>
  <c r="T484" i="3" l="1"/>
  <c r="P485" i="3" s="1"/>
  <c r="Q485" i="3" s="1"/>
  <c r="U485" i="3" s="1"/>
  <c r="R485" i="3" l="1"/>
  <c r="N486" i="3" s="1"/>
  <c r="S485" i="3" l="1"/>
  <c r="O486" i="3" l="1"/>
  <c r="T485" i="3"/>
  <c r="P486" i="3" s="1"/>
  <c r="Q486" i="3" l="1"/>
  <c r="U486" i="3" s="1"/>
  <c r="R486" i="3" l="1"/>
  <c r="N487" i="3" s="1"/>
  <c r="S486" i="3" l="1"/>
  <c r="O487" i="3" s="1"/>
  <c r="T486" i="3" l="1"/>
  <c r="P487" i="3" s="1"/>
  <c r="Q487" i="3" s="1"/>
  <c r="U487" i="3" s="1"/>
  <c r="R487" i="3" l="1"/>
  <c r="N488" i="3" s="1"/>
  <c r="S487" i="3" l="1"/>
  <c r="O488" i="3" s="1"/>
  <c r="T487" i="3" l="1"/>
  <c r="P488" i="3" s="1"/>
  <c r="Q488" i="3" s="1"/>
  <c r="U488" i="3" s="1"/>
  <c r="R488" i="3" s="1"/>
  <c r="N489" i="3" s="1"/>
  <c r="S488" i="3" l="1"/>
  <c r="O489" i="3" s="1"/>
  <c r="T488" i="3" l="1"/>
  <c r="P489" i="3" s="1"/>
  <c r="Q489" i="3" s="1"/>
  <c r="U489" i="3" s="1"/>
  <c r="R489" i="3" l="1"/>
  <c r="N490" i="3" s="1"/>
  <c r="S489" i="3" l="1"/>
  <c r="O490" i="3" s="1"/>
  <c r="T489" i="3" l="1"/>
  <c r="P490" i="3" s="1"/>
  <c r="Q490" i="3" s="1"/>
  <c r="U490" i="3" s="1"/>
  <c r="R490" i="3" l="1"/>
  <c r="N491" i="3" s="1"/>
  <c r="S490" i="3" l="1"/>
  <c r="O491" i="3" s="1"/>
  <c r="T490" i="3" l="1"/>
  <c r="P491" i="3" s="1"/>
  <c r="Q491" i="3" s="1"/>
  <c r="U491" i="3" s="1"/>
  <c r="R491" i="3" l="1"/>
  <c r="N492" i="3" s="1"/>
  <c r="S491" i="3" l="1"/>
  <c r="O492" i="3" s="1"/>
  <c r="T491" i="3" l="1"/>
  <c r="P492" i="3" s="1"/>
  <c r="Q492" i="3" s="1"/>
  <c r="U492" i="3" s="1"/>
  <c r="R492" i="3" l="1"/>
  <c r="N493" i="3" s="1"/>
  <c r="S492" i="3" l="1"/>
  <c r="O493" i="3" s="1"/>
  <c r="T492" i="3" l="1"/>
  <c r="P493" i="3" s="1"/>
  <c r="Q493" i="3" s="1"/>
  <c r="U493" i="3" s="1"/>
  <c r="R493" i="3" l="1"/>
  <c r="N494" i="3" s="1"/>
  <c r="S493" i="3" l="1"/>
  <c r="O494" i="3" s="1"/>
  <c r="T493" i="3" l="1"/>
  <c r="P494" i="3" s="1"/>
  <c r="Q494" i="3" s="1"/>
  <c r="U494" i="3" s="1"/>
  <c r="R494" i="3" l="1"/>
  <c r="N495" i="3" s="1"/>
  <c r="S494" i="3" l="1"/>
  <c r="O495" i="3" s="1"/>
  <c r="T494" i="3" l="1"/>
  <c r="P495" i="3" s="1"/>
  <c r="Q495" i="3" s="1"/>
  <c r="U495" i="3" s="1"/>
  <c r="R495" i="3" l="1"/>
  <c r="N496" i="3" s="1"/>
  <c r="S495" i="3" l="1"/>
  <c r="O496" i="3" s="1"/>
  <c r="T495" i="3" l="1"/>
  <c r="P496" i="3" s="1"/>
  <c r="Q496" i="3" s="1"/>
  <c r="U496" i="3" s="1"/>
  <c r="R496" i="3" l="1"/>
  <c r="N497" i="3" s="1"/>
  <c r="S496" i="3" l="1"/>
  <c r="O497" i="3" s="1"/>
  <c r="T496" i="3" l="1"/>
  <c r="P497" i="3" s="1"/>
  <c r="Q497" i="3" s="1"/>
  <c r="U497" i="3" s="1"/>
  <c r="R497" i="3" l="1"/>
  <c r="N498" i="3" s="1"/>
  <c r="S497" i="3" l="1"/>
  <c r="O498" i="3" s="1"/>
  <c r="T497" i="3" l="1"/>
  <c r="P498" i="3" s="1"/>
  <c r="Q498" i="3" s="1"/>
  <c r="U498" i="3" s="1"/>
  <c r="R498" i="3" l="1"/>
  <c r="N499" i="3" s="1"/>
  <c r="S498" i="3" l="1"/>
  <c r="O499" i="3" s="1"/>
  <c r="T498" i="3" l="1"/>
  <c r="P499" i="3" s="1"/>
  <c r="Q499" i="3" s="1"/>
  <c r="U499" i="3" s="1"/>
  <c r="R499" i="3" l="1"/>
  <c r="N500" i="3" s="1"/>
  <c r="S499" i="3" l="1"/>
  <c r="O500" i="3" s="1"/>
  <c r="T499" i="3" l="1"/>
  <c r="P500" i="3" s="1"/>
  <c r="Q500" i="3" s="1"/>
  <c r="U500" i="3" s="1"/>
  <c r="R500" i="3" l="1"/>
  <c r="N501" i="3" s="1"/>
  <c r="S500" i="3" l="1"/>
  <c r="O501" i="3" s="1"/>
  <c r="T500" i="3" l="1"/>
  <c r="P501" i="3" s="1"/>
  <c r="Q501" i="3" s="1"/>
  <c r="U501" i="3" s="1"/>
  <c r="R501" i="3" s="1"/>
  <c r="N502" i="3" s="1"/>
  <c r="S501" i="3" l="1"/>
  <c r="O502" i="3" s="1"/>
  <c r="T501" i="3" l="1"/>
  <c r="P502" i="3" s="1"/>
  <c r="Q502" i="3" s="1"/>
  <c r="U502" i="3" s="1"/>
  <c r="R502" i="3" l="1"/>
  <c r="N503" i="3" s="1"/>
  <c r="S502" i="3" l="1"/>
  <c r="O503" i="3" s="1"/>
  <c r="T502" i="3" l="1"/>
  <c r="P503" i="3" s="1"/>
  <c r="Q503" i="3" s="1"/>
  <c r="U503" i="3" s="1"/>
  <c r="R503" i="3" l="1"/>
  <c r="N504" i="3" s="1"/>
  <c r="S503" i="3" l="1"/>
  <c r="O504" i="3" s="1"/>
  <c r="T503" i="3" l="1"/>
  <c r="P504" i="3" s="1"/>
  <c r="Q504" i="3" s="1"/>
  <c r="U504" i="3" s="1"/>
  <c r="R504" i="3" l="1"/>
  <c r="N505" i="3" s="1"/>
  <c r="S504" i="3" l="1"/>
  <c r="O505" i="3" s="1"/>
  <c r="T504" i="3" l="1"/>
  <c r="P505" i="3" s="1"/>
  <c r="Q505" i="3" s="1"/>
  <c r="U505" i="3" s="1"/>
  <c r="R505" i="3" l="1"/>
  <c r="N506" i="3" s="1"/>
  <c r="S505" i="3" l="1"/>
  <c r="O506" i="3" s="1"/>
  <c r="T505" i="3" l="1"/>
  <c r="P506" i="3" s="1"/>
  <c r="Q506" i="3" s="1"/>
  <c r="U506" i="3" s="1"/>
  <c r="R506" i="3" l="1"/>
  <c r="N507" i="3" s="1"/>
  <c r="S506" i="3" l="1"/>
  <c r="O507" i="3" s="1"/>
  <c r="T506" i="3" l="1"/>
  <c r="P507" i="3" s="1"/>
  <c r="Q507" i="3" s="1"/>
  <c r="U507" i="3" s="1"/>
  <c r="R507" i="3" l="1"/>
  <c r="N508" i="3" s="1"/>
  <c r="S507" i="3" l="1"/>
  <c r="O508" i="3" s="1"/>
  <c r="T507" i="3" l="1"/>
  <c r="P508" i="3" s="1"/>
  <c r="Q508" i="3" s="1"/>
  <c r="U508" i="3" s="1"/>
  <c r="R508" i="3" l="1"/>
  <c r="N509" i="3" s="1"/>
  <c r="S508" i="3" l="1"/>
  <c r="O509" i="3" s="1"/>
  <c r="T508" i="3" l="1"/>
  <c r="P509" i="3" s="1"/>
  <c r="Q509" i="3" s="1"/>
  <c r="U509" i="3" s="1"/>
  <c r="R509" i="3" l="1"/>
  <c r="N510" i="3" s="1"/>
  <c r="S509" i="3" l="1"/>
  <c r="O510" i="3" s="1"/>
  <c r="T509" i="3" l="1"/>
  <c r="P510" i="3" s="1"/>
  <c r="Q510" i="3" s="1"/>
  <c r="U510" i="3" s="1"/>
  <c r="R510" i="3" l="1"/>
  <c r="N511" i="3" s="1"/>
  <c r="S510" i="3" l="1"/>
  <c r="O511" i="3" s="1"/>
  <c r="T510" i="3" l="1"/>
  <c r="P511" i="3" s="1"/>
  <c r="Q511" i="3" s="1"/>
  <c r="U511" i="3" s="1"/>
  <c r="R511" i="3" l="1"/>
  <c r="N512" i="3" s="1"/>
  <c r="S511" i="3" l="1"/>
  <c r="O512" i="3" s="1"/>
  <c r="T511" i="3" l="1"/>
  <c r="P512" i="3" s="1"/>
  <c r="Q512" i="3" s="1"/>
  <c r="U512" i="3" s="1"/>
  <c r="R512" i="3" l="1"/>
  <c r="N513" i="3" s="1"/>
  <c r="S512" i="3" l="1"/>
  <c r="O513" i="3" s="1"/>
  <c r="T512" i="3" l="1"/>
  <c r="P513" i="3" s="1"/>
  <c r="Q513" i="3" s="1"/>
  <c r="U513" i="3" s="1"/>
  <c r="R513" i="3" l="1"/>
  <c r="N514" i="3" s="1"/>
  <c r="S513" i="3" l="1"/>
  <c r="O514" i="3" s="1"/>
  <c r="T513" i="3" l="1"/>
  <c r="P514" i="3" s="1"/>
  <c r="Q514" i="3" s="1"/>
  <c r="U514" i="3" s="1"/>
  <c r="R514" i="3" l="1"/>
  <c r="N515" i="3" s="1"/>
  <c r="S514" i="3" l="1"/>
  <c r="O515" i="3" s="1"/>
  <c r="T514" i="3" l="1"/>
  <c r="P515" i="3" s="1"/>
  <c r="Q515" i="3" s="1"/>
  <c r="U515" i="3" s="1"/>
  <c r="R515" i="3" l="1"/>
  <c r="N516" i="3" s="1"/>
  <c r="S515" i="3" l="1"/>
  <c r="O516" i="3" s="1"/>
  <c r="T515" i="3" l="1"/>
  <c r="P516" i="3" s="1"/>
  <c r="Q516" i="3" s="1"/>
  <c r="U516" i="3" s="1"/>
  <c r="R516" i="3" l="1"/>
  <c r="N517" i="3" s="1"/>
  <c r="S516" i="3" l="1"/>
  <c r="O517" i="3" s="1"/>
  <c r="T516" i="3" l="1"/>
  <c r="P517" i="3" s="1"/>
  <c r="Q517" i="3" s="1"/>
  <c r="U517" i="3" s="1"/>
  <c r="R517" i="3" l="1"/>
  <c r="N518" i="3" s="1"/>
  <c r="S517" i="3" l="1"/>
  <c r="O518" i="3" s="1"/>
  <c r="T517" i="3" l="1"/>
  <c r="P518" i="3" s="1"/>
  <c r="Q518" i="3" s="1"/>
  <c r="U518" i="3" s="1"/>
  <c r="R518" i="3" l="1"/>
  <c r="N519" i="3" s="1"/>
  <c r="S518" i="3" l="1"/>
  <c r="O519" i="3" s="1"/>
  <c r="T518" i="3" l="1"/>
  <c r="P519" i="3" s="1"/>
  <c r="Q519" i="3" s="1"/>
  <c r="U519" i="3" s="1"/>
  <c r="R519" i="3" l="1"/>
  <c r="N520" i="3" s="1"/>
  <c r="S519" i="3" l="1"/>
  <c r="O520" i="3" s="1"/>
  <c r="T519" i="3" l="1"/>
  <c r="P520" i="3" s="1"/>
  <c r="Q520" i="3" s="1"/>
  <c r="U520" i="3" s="1"/>
  <c r="R520" i="3" l="1"/>
  <c r="N521" i="3" s="1"/>
  <c r="S520" i="3" l="1"/>
  <c r="O521" i="3" s="1"/>
  <c r="T520" i="3" l="1"/>
  <c r="P521" i="3" s="1"/>
  <c r="Q521" i="3" s="1"/>
  <c r="U521" i="3" s="1"/>
  <c r="R521" i="3" l="1"/>
  <c r="N522" i="3" s="1"/>
  <c r="S521" i="3" l="1"/>
  <c r="O522" i="3" s="1"/>
  <c r="T521" i="3" l="1"/>
  <c r="P522" i="3" s="1"/>
  <c r="Q522" i="3" s="1"/>
  <c r="U522" i="3" s="1"/>
  <c r="R522" i="3" l="1"/>
  <c r="N523" i="3" s="1"/>
  <c r="S522" i="3" l="1"/>
  <c r="O523" i="3" s="1"/>
  <c r="T522" i="3" l="1"/>
  <c r="P523" i="3" s="1"/>
  <c r="Q523" i="3" s="1"/>
  <c r="U523" i="3" s="1"/>
  <c r="R523" i="3" l="1"/>
  <c r="N524" i="3" s="1"/>
  <c r="S523" i="3" l="1"/>
  <c r="O524" i="3" s="1"/>
  <c r="T523" i="3" l="1"/>
  <c r="P524" i="3" s="1"/>
  <c r="Q524" i="3" s="1"/>
  <c r="U524" i="3" s="1"/>
  <c r="R524" i="3" l="1"/>
  <c r="N525" i="3" s="1"/>
  <c r="S524" i="3" l="1"/>
  <c r="O525" i="3" s="1"/>
  <c r="T524" i="3" l="1"/>
  <c r="P525" i="3" s="1"/>
  <c r="Q525" i="3" s="1"/>
  <c r="U525" i="3" s="1"/>
  <c r="R525" i="3" s="1"/>
  <c r="N526" i="3" s="1"/>
  <c r="S525" i="3" l="1"/>
  <c r="O526" i="3" s="1"/>
  <c r="T525" i="3" l="1"/>
  <c r="P526" i="3" s="1"/>
  <c r="Q526" i="3" s="1"/>
  <c r="U526" i="3" s="1"/>
  <c r="R526" i="3" l="1"/>
  <c r="N527" i="3" s="1"/>
  <c r="S526" i="3" l="1"/>
  <c r="O527" i="3" s="1"/>
  <c r="T526" i="3" l="1"/>
  <c r="P527" i="3" s="1"/>
  <c r="Q527" i="3" s="1"/>
  <c r="U527" i="3" s="1"/>
  <c r="R527" i="3" l="1"/>
  <c r="N528" i="3" s="1"/>
  <c r="S527" i="3" l="1"/>
  <c r="O528" i="3" s="1"/>
  <c r="T527" i="3" l="1"/>
  <c r="P528" i="3" s="1"/>
  <c r="Q528" i="3" s="1"/>
  <c r="U528" i="3" s="1"/>
  <c r="R528" i="3" s="1"/>
  <c r="N529" i="3" s="1"/>
  <c r="S528" i="3" l="1"/>
  <c r="O529" i="3" s="1"/>
  <c r="T528" i="3" l="1"/>
  <c r="P529" i="3" s="1"/>
  <c r="Q529" i="3" s="1"/>
  <c r="U529" i="3" s="1"/>
  <c r="R529" i="3" s="1"/>
  <c r="N530" i="3" s="1"/>
  <c r="S529" i="3" l="1"/>
  <c r="O530" i="3" s="1"/>
  <c r="T529" i="3" l="1"/>
  <c r="P530" i="3" s="1"/>
  <c r="Q530" i="3" s="1"/>
  <c r="U530" i="3" s="1"/>
  <c r="R530" i="3" s="1"/>
  <c r="N531" i="3" s="1"/>
  <c r="S530" i="3" l="1"/>
  <c r="O531" i="3" s="1"/>
  <c r="T530" i="3" l="1"/>
  <c r="P531" i="3" s="1"/>
  <c r="Q531" i="3" s="1"/>
  <c r="U531" i="3" s="1"/>
  <c r="R531" i="3" l="1"/>
  <c r="N532" i="3" s="1"/>
  <c r="S531" i="3" l="1"/>
  <c r="O532" i="3" s="1"/>
  <c r="T531" i="3" l="1"/>
  <c r="P532" i="3" s="1"/>
  <c r="Q532" i="3" s="1"/>
  <c r="U532" i="3" s="1"/>
  <c r="R532" i="3" l="1"/>
  <c r="N533" i="3" s="1"/>
  <c r="S532" i="3" l="1"/>
  <c r="O533" i="3" s="1"/>
  <c r="T532" i="3" l="1"/>
  <c r="P533" i="3" s="1"/>
  <c r="Q533" i="3" s="1"/>
  <c r="U533" i="3" s="1"/>
  <c r="R533" i="3" l="1"/>
  <c r="N534" i="3" s="1"/>
  <c r="S533" i="3" l="1"/>
  <c r="O534" i="3" s="1"/>
  <c r="T533" i="3" l="1"/>
  <c r="P534" i="3" s="1"/>
  <c r="Q534" i="3" s="1"/>
  <c r="U534" i="3" s="1"/>
  <c r="R534" i="3" s="1"/>
  <c r="N535" i="3" s="1"/>
  <c r="S534" i="3" l="1"/>
  <c r="O535" i="3" s="1"/>
  <c r="T534" i="3" l="1"/>
  <c r="P535" i="3" s="1"/>
  <c r="Q535" i="3" s="1"/>
  <c r="U535" i="3" s="1"/>
  <c r="R535" i="3" s="1"/>
  <c r="N536" i="3" s="1"/>
  <c r="S535" i="3" l="1"/>
  <c r="O536" i="3" s="1"/>
  <c r="T535" i="3" l="1"/>
  <c r="P536" i="3" s="1"/>
  <c r="Q536" i="3" s="1"/>
  <c r="U536" i="3" s="1"/>
  <c r="R536" i="3" l="1"/>
  <c r="N537" i="3" s="1"/>
  <c r="S536" i="3" l="1"/>
  <c r="O537" i="3" s="1"/>
  <c r="T536" i="3" l="1"/>
  <c r="P537" i="3" s="1"/>
  <c r="Q537" i="3" s="1"/>
  <c r="U537" i="3" s="1"/>
  <c r="R537" i="3" l="1"/>
  <c r="N538" i="3" s="1"/>
  <c r="S537" i="3" l="1"/>
  <c r="O538" i="3" s="1"/>
  <c r="T537" i="3" l="1"/>
  <c r="P538" i="3" s="1"/>
  <c r="Q538" i="3" s="1"/>
  <c r="U538" i="3" s="1"/>
  <c r="R538" i="3" l="1"/>
  <c r="N539" i="3" s="1"/>
  <c r="S538" i="3" l="1"/>
  <c r="O539" i="3" s="1"/>
  <c r="T538" i="3" l="1"/>
  <c r="P539" i="3" s="1"/>
  <c r="Q539" i="3" s="1"/>
  <c r="U539" i="3" s="1"/>
  <c r="R539" i="3" l="1"/>
  <c r="N540" i="3" s="1"/>
  <c r="S539" i="3" l="1"/>
  <c r="O540" i="3" s="1"/>
  <c r="T539" i="3" l="1"/>
  <c r="P540" i="3" s="1"/>
  <c r="Q540" i="3" s="1"/>
  <c r="U540" i="3" s="1"/>
  <c r="R540" i="3" l="1"/>
  <c r="N541" i="3" s="1"/>
  <c r="S540" i="3" l="1"/>
  <c r="O541" i="3" s="1"/>
  <c r="T540" i="3" l="1"/>
  <c r="P541" i="3" s="1"/>
  <c r="Q541" i="3" s="1"/>
  <c r="U541" i="3" s="1"/>
  <c r="R541" i="3" l="1"/>
  <c r="N542" i="3" s="1"/>
  <c r="S541" i="3" l="1"/>
  <c r="O542" i="3" s="1"/>
  <c r="T541" i="3" l="1"/>
  <c r="P542" i="3" s="1"/>
  <c r="Q542" i="3" s="1"/>
  <c r="U542" i="3" s="1"/>
  <c r="R542" i="3" s="1"/>
  <c r="N543" i="3" s="1"/>
  <c r="S542" i="3" l="1"/>
  <c r="O543" i="3" s="1"/>
  <c r="T542" i="3" l="1"/>
  <c r="P543" i="3" s="1"/>
  <c r="Q543" i="3" s="1"/>
  <c r="U543" i="3" s="1"/>
  <c r="R543" i="3" l="1"/>
  <c r="N544" i="3" s="1"/>
  <c r="S543" i="3" l="1"/>
  <c r="O544" i="3" s="1"/>
  <c r="T543" i="3" l="1"/>
  <c r="P544" i="3" s="1"/>
  <c r="Q544" i="3" s="1"/>
  <c r="U544" i="3" s="1"/>
  <c r="R544" i="3" l="1"/>
  <c r="N545" i="3" s="1"/>
  <c r="S544" i="3" l="1"/>
  <c r="O545" i="3" s="1"/>
  <c r="T544" i="3" l="1"/>
  <c r="P545" i="3" s="1"/>
  <c r="Q545" i="3" s="1"/>
  <c r="U545" i="3" s="1"/>
  <c r="R545" i="3" s="1"/>
  <c r="N546" i="3" s="1"/>
  <c r="S545" i="3" l="1"/>
  <c r="O546" i="3" s="1"/>
  <c r="T545" i="3" l="1"/>
  <c r="P546" i="3" s="1"/>
  <c r="Q546" i="3" s="1"/>
  <c r="U546" i="3" s="1"/>
  <c r="R546" i="3" l="1"/>
  <c r="N547" i="3" s="1"/>
  <c r="S546" i="3" l="1"/>
  <c r="O547" i="3" s="1"/>
  <c r="T546" i="3" l="1"/>
  <c r="P547" i="3" s="1"/>
  <c r="Q547" i="3" s="1"/>
  <c r="U547" i="3" s="1"/>
  <c r="R547" i="3" l="1"/>
  <c r="N548" i="3" s="1"/>
  <c r="S547" i="3" l="1"/>
  <c r="O548" i="3" s="1"/>
  <c r="T547" i="3" l="1"/>
  <c r="P548" i="3" s="1"/>
  <c r="Q548" i="3" s="1"/>
  <c r="U548" i="3" s="1"/>
  <c r="R548" i="3" l="1"/>
  <c r="N549" i="3" s="1"/>
  <c r="S548" i="3" l="1"/>
  <c r="O549" i="3" s="1"/>
  <c r="T548" i="3" l="1"/>
  <c r="P549" i="3" s="1"/>
  <c r="Q549" i="3" s="1"/>
  <c r="U549" i="3" s="1"/>
  <c r="R549" i="3" l="1"/>
  <c r="N550" i="3" s="1"/>
  <c r="S549" i="3" l="1"/>
  <c r="O550" i="3" s="1"/>
  <c r="T549" i="3" l="1"/>
  <c r="P550" i="3" s="1"/>
  <c r="Q550" i="3" s="1"/>
  <c r="U550" i="3" s="1"/>
  <c r="R550" i="3" l="1"/>
  <c r="N551" i="3" s="1"/>
  <c r="S550" i="3" l="1"/>
  <c r="O551" i="3" s="1"/>
  <c r="T550" i="3" l="1"/>
  <c r="P551" i="3" s="1"/>
  <c r="Q551" i="3" s="1"/>
  <c r="U551" i="3" s="1"/>
  <c r="R551" i="3" l="1"/>
  <c r="N552" i="3" s="1"/>
  <c r="S551" i="3" l="1"/>
  <c r="O552" i="3" s="1"/>
  <c r="T551" i="3" l="1"/>
  <c r="P552" i="3" s="1"/>
  <c r="Q552" i="3" s="1"/>
  <c r="U552" i="3" s="1"/>
  <c r="R552" i="3" s="1"/>
  <c r="N553" i="3" s="1"/>
  <c r="S552" i="3" l="1"/>
  <c r="O553" i="3" s="1"/>
  <c r="T552" i="3" l="1"/>
  <c r="P553" i="3" s="1"/>
  <c r="Q553" i="3" s="1"/>
  <c r="U553" i="3" s="1"/>
  <c r="R553" i="3" l="1"/>
  <c r="N554" i="3" s="1"/>
  <c r="S553" i="3" l="1"/>
  <c r="O554" i="3" s="1"/>
  <c r="T553" i="3" l="1"/>
  <c r="P554" i="3" s="1"/>
  <c r="Q554" i="3" s="1"/>
  <c r="U554" i="3" s="1"/>
  <c r="R554" i="3" l="1"/>
  <c r="N555" i="3" s="1"/>
  <c r="S554" i="3" l="1"/>
  <c r="O555" i="3" s="1"/>
  <c r="T554" i="3" l="1"/>
  <c r="P555" i="3" s="1"/>
  <c r="Q555" i="3" s="1"/>
  <c r="U555" i="3" s="1"/>
  <c r="R555" i="3" l="1"/>
  <c r="N556" i="3" s="1"/>
  <c r="S555" i="3" l="1"/>
  <c r="O556" i="3" s="1"/>
  <c r="T555" i="3" l="1"/>
  <c r="P556" i="3" s="1"/>
  <c r="Q556" i="3" s="1"/>
  <c r="U556" i="3" s="1"/>
  <c r="R556" i="3" l="1"/>
  <c r="N557" i="3" s="1"/>
  <c r="S556" i="3" l="1"/>
  <c r="O557" i="3" s="1"/>
  <c r="T556" i="3" l="1"/>
  <c r="P557" i="3" s="1"/>
  <c r="Q557" i="3" s="1"/>
  <c r="U557" i="3" s="1"/>
  <c r="R557" i="3" l="1"/>
  <c r="N558" i="3" s="1"/>
  <c r="S557" i="3" l="1"/>
  <c r="O558" i="3" s="1"/>
  <c r="T557" i="3" l="1"/>
  <c r="P558" i="3" s="1"/>
  <c r="Q558" i="3" s="1"/>
  <c r="U558" i="3" s="1"/>
  <c r="R558" i="3" l="1"/>
  <c r="N559" i="3" s="1"/>
  <c r="S558" i="3" l="1"/>
  <c r="O559" i="3" s="1"/>
  <c r="T558" i="3" l="1"/>
  <c r="P559" i="3" s="1"/>
  <c r="Q559" i="3" s="1"/>
  <c r="U559" i="3" s="1"/>
  <c r="R559" i="3" l="1"/>
  <c r="N560" i="3" s="1"/>
  <c r="S559" i="3" l="1"/>
  <c r="O560" i="3" s="1"/>
  <c r="T559" i="3" l="1"/>
  <c r="P560" i="3" s="1"/>
  <c r="Q560" i="3" s="1"/>
  <c r="U560" i="3" s="1"/>
  <c r="R560" i="3" l="1"/>
  <c r="N561" i="3" s="1"/>
  <c r="S560" i="3" l="1"/>
  <c r="O561" i="3" s="1"/>
  <c r="T560" i="3" l="1"/>
  <c r="P561" i="3" s="1"/>
  <c r="Q561" i="3" s="1"/>
  <c r="U561" i="3" s="1"/>
  <c r="R561" i="3" s="1"/>
  <c r="N562" i="3" s="1"/>
  <c r="S561" i="3" l="1"/>
  <c r="O562" i="3" s="1"/>
  <c r="T561" i="3" l="1"/>
  <c r="P562" i="3" s="1"/>
  <c r="Q562" i="3" s="1"/>
  <c r="U562" i="3" s="1"/>
  <c r="R562" i="3" l="1"/>
  <c r="N563" i="3" s="1"/>
  <c r="S562" i="3" l="1"/>
  <c r="O563" i="3" s="1"/>
  <c r="T562" i="3" l="1"/>
  <c r="P563" i="3" s="1"/>
  <c r="Q563" i="3" s="1"/>
  <c r="U563" i="3" s="1"/>
  <c r="R563" i="3" l="1"/>
  <c r="N564" i="3" s="1"/>
  <c r="S563" i="3" l="1"/>
  <c r="O564" i="3" s="1"/>
  <c r="T563" i="3" l="1"/>
  <c r="P564" i="3" s="1"/>
  <c r="Q564" i="3" s="1"/>
  <c r="U564" i="3" s="1"/>
  <c r="R564" i="3" l="1"/>
  <c r="N565" i="3" s="1"/>
  <c r="S564" i="3" l="1"/>
  <c r="O565" i="3" s="1"/>
  <c r="T564" i="3" l="1"/>
  <c r="P565" i="3" s="1"/>
  <c r="Q565" i="3" s="1"/>
  <c r="U565" i="3" s="1"/>
  <c r="R565" i="3" l="1"/>
  <c r="S565" i="3" l="1"/>
  <c r="T565" i="3" s="1"/>
</calcChain>
</file>

<file path=xl/sharedStrings.xml><?xml version="1.0" encoding="utf-8"?>
<sst xmlns="http://schemas.openxmlformats.org/spreadsheetml/2006/main" count="396" uniqueCount="216">
  <si>
    <t>3m 34s</t>
  </si>
  <si>
    <t>Next steps</t>
  </si>
  <si>
    <t>What's Next</t>
  </si>
  <si>
    <t>Save</t>
  </si>
  <si>
    <t>6m 17s</t>
  </si>
  <si>
    <t>Other projects</t>
  </si>
  <si>
    <t>1m 35s</t>
  </si>
  <si>
    <t>Spring Security</t>
  </si>
  <si>
    <t>5m 24s</t>
  </si>
  <si>
    <t>Testing Spring Boot applications</t>
  </si>
  <si>
    <t>6. Additional Topics</t>
  </si>
  <si>
    <t>1 question</t>
  </si>
  <si>
    <t>Chapter Quiz</t>
  </si>
  <si>
    <t>6m 32s</t>
  </si>
  <si>
    <t>Solution: RESTful endpoints</t>
  </si>
  <si>
    <t>1m 15s</t>
  </si>
  <si>
    <t>Challenge: RESTful endpoints</t>
  </si>
  <si>
    <t>5m 6s</t>
  </si>
  <si>
    <t>Expose a service layer through REST</t>
  </si>
  <si>
    <t>2m 1s</t>
  </si>
  <si>
    <t>Understanding RestController</t>
  </si>
  <si>
    <t>5. Exposing RESTful Endpoints</t>
  </si>
  <si>
    <t>3 questions</t>
  </si>
  <si>
    <t>2m 19s</t>
  </si>
  <si>
    <t>Solution: Create a web page</t>
  </si>
  <si>
    <t>1m 7s</t>
  </si>
  <si>
    <t>Challenge: Create a web page</t>
  </si>
  <si>
    <t>6m 41s</t>
  </si>
  <si>
    <t>Thymeleaf as a rendering engine</t>
  </si>
  <si>
    <t>5m 12s</t>
  </si>
  <si>
    <t>Build your first controller</t>
  </si>
  <si>
    <t>5m 22s</t>
  </si>
  <si>
    <t>Introduction to the controller</t>
  </si>
  <si>
    <t>4. Web Pages with Spring</t>
  </si>
  <si>
    <t>9m 40s</t>
  </si>
  <si>
    <t>Create a Service Object</t>
  </si>
  <si>
    <t>8m 46s</t>
  </si>
  <si>
    <t>Develop a service object with Spring</t>
  </si>
  <si>
    <t>3m 41s</t>
  </si>
  <si>
    <t>Build a service abstraction</t>
  </si>
  <si>
    <t>3m 1s</t>
  </si>
  <si>
    <t>Utilizing IoC</t>
  </si>
  <si>
    <t>3. Service Tier</t>
  </si>
  <si>
    <t>3m 5s</t>
  </si>
  <si>
    <t>Solution: Build an additional repository</t>
  </si>
  <si>
    <t>1m 10s</t>
  </si>
  <si>
    <t>Challange: Build an additional repository</t>
  </si>
  <si>
    <t>4m 35s</t>
  </si>
  <si>
    <t>Using a remote database</t>
  </si>
  <si>
    <t>Repositories with Spring Data</t>
  </si>
  <si>
    <t>4m 32s</t>
  </si>
  <si>
    <t>Embedded databases with Spring Boot</t>
  </si>
  <si>
    <t>Welcome to Spring Data</t>
  </si>
  <si>
    <t>2. Data Access in Spring</t>
  </si>
  <si>
    <t>6 questions</t>
  </si>
  <si>
    <t>4m 7s</t>
  </si>
  <si>
    <t>Annotations everywhere</t>
  </si>
  <si>
    <t>5m 59s</t>
  </si>
  <si>
    <t>Inversion of control</t>
  </si>
  <si>
    <t>6m 3s</t>
  </si>
  <si>
    <t>Examining a Spring Boot skeleton project</t>
  </si>
  <si>
    <t>5m 8s</t>
  </si>
  <si>
    <t>Create a project with Spring Initializr</t>
  </si>
  <si>
    <t>6m 4s</t>
  </si>
  <si>
    <t>Introduction to Spring Boot</t>
  </si>
  <si>
    <t>Unsave</t>
  </si>
  <si>
    <t>5m 33s</t>
  </si>
  <si>
    <t>Introduction to Spring</t>
  </si>
  <si>
    <t>1. Getting Started with Spring Boot</t>
  </si>
  <si>
    <t>6m 13s</t>
  </si>
  <si>
    <t>What you should know</t>
  </si>
  <si>
    <t>1m 27s</t>
  </si>
  <si>
    <t>Learn rapid development with Spring Boot</t>
  </si>
  <si>
    <t>0. Introduction</t>
  </si>
  <si>
    <t>Seconds</t>
  </si>
  <si>
    <t>Minute</t>
  </si>
  <si>
    <t>Hours</t>
  </si>
  <si>
    <t>Total</t>
  </si>
  <si>
    <t>Text</t>
  </si>
  <si>
    <t>Group Duration</t>
  </si>
  <si>
    <t>Duration</t>
  </si>
  <si>
    <t>File name</t>
  </si>
  <si>
    <t>Section</t>
  </si>
  <si>
    <t>Count</t>
  </si>
  <si>
    <t>isTitle</t>
  </si>
  <si>
    <t>isSection</t>
  </si>
  <si>
    <t>Course Contents</t>
  </si>
  <si>
    <t>Yes</t>
  </si>
  <si>
    <t>Converted</t>
  </si>
  <si>
    <t>Exercise Files</t>
  </si>
  <si>
    <t>Quiz</t>
  </si>
  <si>
    <t>Transcript</t>
  </si>
  <si>
    <t>Certificate Downloaded</t>
  </si>
  <si>
    <t>Certificate Posted</t>
  </si>
  <si>
    <t>https://www.linkedin.com/learning/certificates/4aa81777aeb146b43ae2a682d0988013eb2ca46dac19dad9c488b55d811f09d1</t>
  </si>
  <si>
    <t>Certificate link</t>
  </si>
  <si>
    <t>Getting Started In Spring Development : Learning Spring with Spring Boot</t>
  </si>
  <si>
    <t>57s</t>
  </si>
  <si>
    <t>6. Conclusion</t>
  </si>
  <si>
    <t>5m 10s</t>
  </si>
  <si>
    <t>Spring Data MongoDB microservice</t>
  </si>
  <si>
    <t>3m 40s</t>
  </si>
  <si>
    <t>Spring Data MongoDB repositories</t>
  </si>
  <si>
    <t>Spring Data MongoDB documents</t>
  </si>
  <si>
    <t>3m 55s</t>
  </si>
  <si>
    <t>Introduction to MongoDB</t>
  </si>
  <si>
    <t>5. Pivot to a MongoDB NoSQL Data Source</t>
  </si>
  <si>
    <t>5m 1s</t>
  </si>
  <si>
    <t>Paging and sorting DTOs</t>
  </si>
  <si>
    <t>6m 54s</t>
  </si>
  <si>
    <t>Create RestController HTTP PUT, PATCH, and DELETE methods</t>
  </si>
  <si>
    <t>4m 48s</t>
  </si>
  <si>
    <t>Create RestController HTTP GET methods</t>
  </si>
  <si>
    <t>8m 2s</t>
  </si>
  <si>
    <t>Create RestController HTTP POST method</t>
  </si>
  <si>
    <t>3m 6s</t>
  </si>
  <si>
    <t>Declaring a new RestController</t>
  </si>
  <si>
    <t>3m 26s</t>
  </si>
  <si>
    <t>Choosing the right framework</t>
  </si>
  <si>
    <t>4. Expose RESTful APIs with Spring MVC</t>
  </si>
  <si>
    <t>2 questions</t>
  </si>
  <si>
    <t>3m 46s</t>
  </si>
  <si>
    <t>HAL Browser</t>
  </si>
  <si>
    <t>4m 1s</t>
  </si>
  <si>
    <t>Controlling API exposure</t>
  </si>
  <si>
    <t>4m 38s</t>
  </si>
  <si>
    <t>Paging and sorting</t>
  </si>
  <si>
    <t>3m 33s</t>
  </si>
  <si>
    <t>Explore the /search resource</t>
  </si>
  <si>
    <t>6m 37s</t>
  </si>
  <si>
    <t>Creating APIs with Spring Data REST</t>
  </si>
  <si>
    <t>1m 47s</t>
  </si>
  <si>
    <t>What is a hypermedia-driven RESTful API?</t>
  </si>
  <si>
    <t>3. Expose RESTful APIs with Spring Data REST</t>
  </si>
  <si>
    <t>4m 12s</t>
  </si>
  <si>
    <t>Introduction to Spring Data query methods</t>
  </si>
  <si>
    <t>5m 53s</t>
  </si>
  <si>
    <t>Invoking the Spring Data JPA repositories</t>
  </si>
  <si>
    <t>4m 36s</t>
  </si>
  <si>
    <t>Spring Data JPA repository dependency injection</t>
  </si>
  <si>
    <t>2m 56s</t>
  </si>
  <si>
    <t>Declare Spring Data JPA repository interfaces</t>
  </si>
  <si>
    <t>2m 14s</t>
  </si>
  <si>
    <t>The JPA entities</t>
  </si>
  <si>
    <t>1m 57s</t>
  </si>
  <si>
    <t>The domain model</t>
  </si>
  <si>
    <t>2. Leverage Spring Data JPA Repository Interfaces</t>
  </si>
  <si>
    <t>4m 6s</t>
  </si>
  <si>
    <t>Build, deploy, and launch the microservice</t>
  </si>
  <si>
    <t>Project setup</t>
  </si>
  <si>
    <t>1m 55s</t>
  </si>
  <si>
    <t>Introduction to Spring Initialzr</t>
  </si>
  <si>
    <t>1. Create a Spring Boot Microservice</t>
  </si>
  <si>
    <t>Using the exercise files</t>
  </si>
  <si>
    <t>1m 12s</t>
  </si>
  <si>
    <t>Build a microservice with Spring Boot</t>
  </si>
  <si>
    <t>https://www.linkedin.com/learning/certificates/460f9c21210dd6e6f738f34a94e8d278f661f2fddbfeb4d1ee6a2eb0c337dc00</t>
  </si>
  <si>
    <t>Getting Started In Spring Development : Creating Your First Spring Boot Microservice</t>
  </si>
  <si>
    <t>No</t>
  </si>
  <si>
    <t>Add to LinkedIn Profile</t>
  </si>
  <si>
    <t>Start</t>
  </si>
  <si>
    <t>End</t>
  </si>
  <si>
    <t>Hour</t>
  </si>
  <si>
    <t>Diving into Spring Data</t>
  </si>
  <si>
    <t>48s</t>
  </si>
  <si>
    <t>What you need</t>
  </si>
  <si>
    <t>45s</t>
  </si>
  <si>
    <t>1. Spring Data Umbrella Project</t>
  </si>
  <si>
    <t>Mission and modules</t>
  </si>
  <si>
    <t>3m 30s</t>
  </si>
  <si>
    <t>Java Persistence API</t>
  </si>
  <si>
    <t>3m 35s</t>
  </si>
  <si>
    <t>2. Introduction to Spring Data JPA</t>
  </si>
  <si>
    <t>Spring Boot Starter Data JPA</t>
  </si>
  <si>
    <t>4m 34s</t>
  </si>
  <si>
    <t>Spring Data CrudRepository and JPA repository</t>
  </si>
  <si>
    <t>Challenge: Fix SimpleDBCrudTest syntax errors</t>
  </si>
  <si>
    <t>1m 11s</t>
  </si>
  <si>
    <t>Solution: Fix SimpleDBCrudTest syntax errors</t>
  </si>
  <si>
    <t>Spring Data JPA magic</t>
  </si>
  <si>
    <t>3m 31s</t>
  </si>
  <si>
    <t>3. Spring Data JPA Query Methods</t>
  </si>
  <si>
    <t>Property expression query methods</t>
  </si>
  <si>
    <t>7m 19s</t>
  </si>
  <si>
    <t>Query method clauses with property expressions</t>
  </si>
  <si>
    <t>4m 37s</t>
  </si>
  <si>
    <t>@Query annotation</t>
  </si>
  <si>
    <t>7m 42s</t>
  </si>
  <si>
    <t>Challenge: Refactor to three query methods</t>
  </si>
  <si>
    <t>1m 25s</t>
  </si>
  <si>
    <t>Solution: Refactor to three query methods</t>
  </si>
  <si>
    <t>1m 20s</t>
  </si>
  <si>
    <t>6m 28s</t>
  </si>
  <si>
    <t>4 questions</t>
  </si>
  <si>
    <t>4. Dynamic Spring Data JPA Queries</t>
  </si>
  <si>
    <t>Specifications</t>
  </si>
  <si>
    <t>7m 43s</t>
  </si>
  <si>
    <t>Querydsl</t>
  </si>
  <si>
    <t>6m 51s</t>
  </si>
  <si>
    <t>Query by Example</t>
  </si>
  <si>
    <t>3m 44s</t>
  </si>
  <si>
    <t>Challenge: Query by Example</t>
  </si>
  <si>
    <t>43s</t>
  </si>
  <si>
    <t>Solution: Query by Example</t>
  </si>
  <si>
    <t>1m 58s</t>
  </si>
  <si>
    <t>5. More Spring Data Features</t>
  </si>
  <si>
    <t>Spring Data REST</t>
  </si>
  <si>
    <t>9m 32s</t>
  </si>
  <si>
    <t>Spring Data MongoDB</t>
  </si>
  <si>
    <t>6m 47s</t>
  </si>
  <si>
    <t>Non-blocking Spring Data reactive repositories</t>
  </si>
  <si>
    <t>6m 25s</t>
  </si>
  <si>
    <t>More data source support and features</t>
  </si>
  <si>
    <t>2m 39s</t>
  </si>
  <si>
    <t>Next steps with Spring Data</t>
  </si>
  <si>
    <t>Spring: Spring Data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</si>
</sst>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1"/>
    <xf numFmtId="0" fontId="0" fillId="0" borderId="1" xfId="0" applyBorder="1"/>
    <xf numFmtId="0" fontId="0" fillId="0" borderId="2" xfId="0" applyBorder="1"/>
    <xf numFmtId="0" fontId="2" fillId="0" borderId="0" xfId="0" applyFont="1"/>
    <xf numFmtId="164" fontId="0" fillId="0" borderId="0" xfId="0" applyNumberFormat="1"/>
    <xf numFmtId="0" fontId="0" fillId="0" borderId="3" xfId="0" applyBorder="1"/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3"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learning/certificates/4aa81777aeb146b43ae2a682d0988013eb2ca46dac19dad9c488b55d811f09d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linkedin.com/learning/certificates/460f9c21210dd6e6f738f34a94e8d278f661f2fddbfeb4d1ee6a2eb0c337dc0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887B-3156-4A20-A76A-D5B5E4ED1077}">
  <dimension ref="A1:Q170"/>
  <sheetViews>
    <sheetView workbookViewId="0">
      <selection sqref="A1:M1"/>
    </sheetView>
  </sheetViews>
  <sheetFormatPr defaultRowHeight="15" x14ac:dyDescent="0.25"/>
  <cols>
    <col min="1" max="1" width="66.7109375" bestFit="1" customWidth="1"/>
    <col min="5" max="5" width="48.85546875" bestFit="1" customWidth="1"/>
    <col min="6" max="6" width="82" bestFit="1" customWidth="1"/>
  </cols>
  <sheetData>
    <row r="1" spans="1:17" ht="36" x14ac:dyDescent="0.55000000000000004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7" x14ac:dyDescent="0.25">
      <c r="A2" t="s">
        <v>95</v>
      </c>
      <c r="B2" s="3" t="s">
        <v>94</v>
      </c>
    </row>
    <row r="3" spans="1:17" x14ac:dyDescent="0.25">
      <c r="A3" t="s">
        <v>93</v>
      </c>
      <c r="B3" t="s">
        <v>87</v>
      </c>
    </row>
    <row r="4" spans="1:17" x14ac:dyDescent="0.25">
      <c r="A4" t="s">
        <v>92</v>
      </c>
      <c r="B4" t="s">
        <v>87</v>
      </c>
    </row>
    <row r="5" spans="1:17" x14ac:dyDescent="0.25">
      <c r="A5" t="s">
        <v>91</v>
      </c>
      <c r="B5" t="s">
        <v>87</v>
      </c>
    </row>
    <row r="6" spans="1:17" x14ac:dyDescent="0.25">
      <c r="A6" t="s">
        <v>90</v>
      </c>
      <c r="B6" t="s">
        <v>87</v>
      </c>
    </row>
    <row r="7" spans="1:17" x14ac:dyDescent="0.25">
      <c r="A7" t="s">
        <v>89</v>
      </c>
      <c r="B7" t="s">
        <v>87</v>
      </c>
    </row>
    <row r="8" spans="1:17" x14ac:dyDescent="0.25">
      <c r="A8" t="s">
        <v>88</v>
      </c>
      <c r="B8" t="s">
        <v>87</v>
      </c>
    </row>
    <row r="11" spans="1:17" x14ac:dyDescent="0.25">
      <c r="A11" s="10" t="s">
        <v>86</v>
      </c>
      <c r="B11" s="10" t="s">
        <v>85</v>
      </c>
      <c r="C11" s="10" t="s">
        <v>84</v>
      </c>
      <c r="D11" s="10" t="s">
        <v>83</v>
      </c>
      <c r="E11" s="10" t="s">
        <v>82</v>
      </c>
      <c r="F11" s="10" t="s">
        <v>81</v>
      </c>
      <c r="G11" s="11" t="s">
        <v>80</v>
      </c>
      <c r="H11" s="11"/>
      <c r="I11" s="11"/>
      <c r="J11" s="11" t="s">
        <v>79</v>
      </c>
      <c r="K11" s="11"/>
      <c r="L11" s="11"/>
      <c r="M11" s="11"/>
    </row>
    <row r="12" spans="1:17" x14ac:dyDescent="0.25">
      <c r="A12" s="10"/>
      <c r="B12" s="10"/>
      <c r="C12" s="10"/>
      <c r="D12" s="10"/>
      <c r="E12" s="10"/>
      <c r="F12" s="10"/>
      <c r="G12" s="2" t="s">
        <v>78</v>
      </c>
      <c r="H12" s="2" t="s">
        <v>75</v>
      </c>
      <c r="I12" s="2" t="s">
        <v>74</v>
      </c>
      <c r="J12" s="2" t="s">
        <v>77</v>
      </c>
      <c r="K12" s="2" t="s">
        <v>76</v>
      </c>
      <c r="L12" s="2" t="s">
        <v>75</v>
      </c>
      <c r="M12" s="2" t="s">
        <v>74</v>
      </c>
    </row>
    <row r="14" spans="1:17" x14ac:dyDescent="0.25">
      <c r="A14" t="s">
        <v>73</v>
      </c>
      <c r="B14" t="b">
        <f t="shared" ref="B14:B45" si="0">AND(NOT(ISERROR(FIND(". ",A14))),ISNUMBER(VALUE(LEFT(A14,FIND(". ",A14)-1))))</f>
        <v>1</v>
      </c>
      <c r="C14" t="b">
        <f t="shared" ref="C14:C45" si="1">OR(AND(NOT(ISERROR(FIND("m",A15))),ISNUMBER(VALUE(LEFT(A15,FIND("m",A15)-1)))),AND(NOT(ISERROR(FIND("s",A15))),ISNUMBER(VALUE(LEFT(A15,FIND("s",A15)-1)))))</f>
        <v>0</v>
      </c>
      <c r="D14">
        <f t="shared" ref="D14:D45" si="2">IF(B14,0,IF(C14,D13+1,D13))</f>
        <v>0</v>
      </c>
      <c r="E14" t="str">
        <f t="shared" ref="E14:E45" si="3">IF(B14,A14,E13)</f>
        <v>0. Introduction</v>
      </c>
      <c r="F14" t="str">
        <f t="shared" ref="F14:F45" si="4">IF(C14,SUBSTITUTE(D14&amp;". "&amp;A14,":"," -"),"")</f>
        <v/>
      </c>
      <c r="G14" t="str">
        <f t="shared" ref="G14:G45" si="5">IF(C14,IF(ISERROR(FIND("s",A15)),LEFT(A15,FIND("m",A15)),LEFT(A15,FIND("s",A15))),"")</f>
        <v/>
      </c>
      <c r="H14">
        <f t="shared" ref="H14:H45" si="6">IF(OR(G14="",ISERROR(FIND("m",G14))),0,VALUE(LEFT(G14,FIND("m",G14)-1)))</f>
        <v>0</v>
      </c>
      <c r="I14">
        <f t="shared" ref="I14:I45" si="7">IF(OR(G14="",ISERROR(FIND("s",G14))),0,VALUE(SUBSTITUTE(MID(G14,IF(ISERROR(FIND("m",G14)), 0,FIND("m",G14))+1,LEN(G14)),"s","")))</f>
        <v>0</v>
      </c>
      <c r="J14">
        <f t="shared" ref="J14:J23" si="8">J13+(H14*60+I14)</f>
        <v>0</v>
      </c>
      <c r="K14">
        <f t="shared" ref="K14:K45" si="9">INT(J14/60/60)</f>
        <v>0</v>
      </c>
      <c r="L14">
        <f t="shared" ref="L14:L45" si="10">INT((J14-(K14*60*60))/60)</f>
        <v>0</v>
      </c>
      <c r="M14">
        <f t="shared" ref="M14:M45" si="11">J14-(((K14*60)+L14)*60)</f>
        <v>0</v>
      </c>
      <c r="N14">
        <v>1</v>
      </c>
      <c r="O14">
        <v>5</v>
      </c>
      <c r="P14">
        <v>21</v>
      </c>
      <c r="Q14">
        <f t="shared" ref="Q14:Q45" si="12">((N14*60)+O14)*60+P14</f>
        <v>3921</v>
      </c>
    </row>
    <row r="15" spans="1:17" x14ac:dyDescent="0.25">
      <c r="B15" t="b">
        <f t="shared" si="0"/>
        <v>0</v>
      </c>
      <c r="C15" t="b">
        <f t="shared" si="1"/>
        <v>0</v>
      </c>
      <c r="D15">
        <f t="shared" si="2"/>
        <v>0</v>
      </c>
      <c r="E15" t="str">
        <f t="shared" si="3"/>
        <v>0. Introduction</v>
      </c>
      <c r="F15" t="str">
        <f t="shared" si="4"/>
        <v/>
      </c>
      <c r="G15" t="str">
        <f t="shared" si="5"/>
        <v/>
      </c>
      <c r="H15">
        <f t="shared" si="6"/>
        <v>0</v>
      </c>
      <c r="I15">
        <f t="shared" si="7"/>
        <v>0</v>
      </c>
      <c r="J15">
        <f t="shared" si="8"/>
        <v>0</v>
      </c>
      <c r="K15">
        <f t="shared" si="9"/>
        <v>0</v>
      </c>
      <c r="L15">
        <f t="shared" si="10"/>
        <v>0</v>
      </c>
      <c r="M15">
        <f t="shared" si="11"/>
        <v>0</v>
      </c>
      <c r="N15">
        <v>1</v>
      </c>
      <c r="O15">
        <v>5</v>
      </c>
      <c r="P15">
        <v>21</v>
      </c>
      <c r="Q15">
        <f t="shared" si="12"/>
        <v>3921</v>
      </c>
    </row>
    <row r="16" spans="1:17" x14ac:dyDescent="0.25">
      <c r="A16" t="s">
        <v>72</v>
      </c>
      <c r="B16" t="b">
        <f t="shared" si="0"/>
        <v>0</v>
      </c>
      <c r="C16" t="b">
        <f t="shared" si="1"/>
        <v>1</v>
      </c>
      <c r="D16">
        <f t="shared" si="2"/>
        <v>1</v>
      </c>
      <c r="E16" t="str">
        <f t="shared" si="3"/>
        <v>0. Introduction</v>
      </c>
      <c r="F16" t="str">
        <f t="shared" si="4"/>
        <v>1. Learn rapid development with Spring Boot</v>
      </c>
      <c r="G16" t="str">
        <f t="shared" si="5"/>
        <v>1m 27s</v>
      </c>
      <c r="H16">
        <f t="shared" si="6"/>
        <v>1</v>
      </c>
      <c r="I16">
        <f t="shared" si="7"/>
        <v>27</v>
      </c>
      <c r="J16">
        <f t="shared" si="8"/>
        <v>87</v>
      </c>
      <c r="K16">
        <f t="shared" si="9"/>
        <v>0</v>
      </c>
      <c r="L16">
        <f t="shared" si="10"/>
        <v>1</v>
      </c>
      <c r="M16">
        <f t="shared" si="11"/>
        <v>27</v>
      </c>
      <c r="N16">
        <v>1</v>
      </c>
      <c r="O16">
        <v>5</v>
      </c>
      <c r="P16">
        <v>21</v>
      </c>
      <c r="Q16">
        <f t="shared" si="12"/>
        <v>3921</v>
      </c>
    </row>
    <row r="17" spans="1:17" x14ac:dyDescent="0.25">
      <c r="A17" t="s">
        <v>71</v>
      </c>
      <c r="B17" t="b">
        <f t="shared" si="0"/>
        <v>0</v>
      </c>
      <c r="C17" t="b">
        <f t="shared" si="1"/>
        <v>0</v>
      </c>
      <c r="D17">
        <f t="shared" si="2"/>
        <v>1</v>
      </c>
      <c r="E17" t="str">
        <f t="shared" si="3"/>
        <v>0. Introduction</v>
      </c>
      <c r="F17" t="str">
        <f t="shared" si="4"/>
        <v/>
      </c>
      <c r="G17" t="str">
        <f t="shared" si="5"/>
        <v/>
      </c>
      <c r="H17">
        <f t="shared" si="6"/>
        <v>0</v>
      </c>
      <c r="I17">
        <f t="shared" si="7"/>
        <v>0</v>
      </c>
      <c r="J17">
        <f t="shared" si="8"/>
        <v>87</v>
      </c>
      <c r="K17">
        <f t="shared" si="9"/>
        <v>0</v>
      </c>
      <c r="L17">
        <f t="shared" si="10"/>
        <v>1</v>
      </c>
      <c r="M17">
        <f t="shared" si="11"/>
        <v>27</v>
      </c>
      <c r="N17">
        <v>1</v>
      </c>
      <c r="O17">
        <v>5</v>
      </c>
      <c r="P17">
        <v>21</v>
      </c>
      <c r="Q17">
        <f t="shared" si="12"/>
        <v>3921</v>
      </c>
    </row>
    <row r="18" spans="1:17" x14ac:dyDescent="0.25">
      <c r="A18" t="s">
        <v>3</v>
      </c>
      <c r="B18" t="b">
        <f t="shared" si="0"/>
        <v>0</v>
      </c>
      <c r="C18" t="b">
        <f t="shared" si="1"/>
        <v>0</v>
      </c>
      <c r="D18">
        <f t="shared" si="2"/>
        <v>1</v>
      </c>
      <c r="E18" t="str">
        <f t="shared" si="3"/>
        <v>0. Introduction</v>
      </c>
      <c r="F18" t="str">
        <f t="shared" si="4"/>
        <v/>
      </c>
      <c r="G18" t="str">
        <f t="shared" si="5"/>
        <v/>
      </c>
      <c r="H18">
        <f t="shared" si="6"/>
        <v>0</v>
      </c>
      <c r="I18">
        <f t="shared" si="7"/>
        <v>0</v>
      </c>
      <c r="J18">
        <f t="shared" si="8"/>
        <v>87</v>
      </c>
      <c r="K18">
        <f t="shared" si="9"/>
        <v>0</v>
      </c>
      <c r="L18">
        <f t="shared" si="10"/>
        <v>1</v>
      </c>
      <c r="M18">
        <f t="shared" si="11"/>
        <v>27</v>
      </c>
      <c r="N18">
        <v>1</v>
      </c>
      <c r="O18">
        <v>5</v>
      </c>
      <c r="P18">
        <v>21</v>
      </c>
      <c r="Q18">
        <f t="shared" si="12"/>
        <v>3921</v>
      </c>
    </row>
    <row r="19" spans="1:17" x14ac:dyDescent="0.25">
      <c r="A19" t="s">
        <v>70</v>
      </c>
      <c r="B19" t="b">
        <f t="shared" si="0"/>
        <v>0</v>
      </c>
      <c r="C19" t="b">
        <f t="shared" si="1"/>
        <v>1</v>
      </c>
      <c r="D19">
        <f t="shared" si="2"/>
        <v>2</v>
      </c>
      <c r="E19" t="str">
        <f t="shared" si="3"/>
        <v>0. Introduction</v>
      </c>
      <c r="F19" t="str">
        <f t="shared" si="4"/>
        <v>2. What you should know</v>
      </c>
      <c r="G19" t="str">
        <f t="shared" si="5"/>
        <v>6m 13s</v>
      </c>
      <c r="H19">
        <f t="shared" si="6"/>
        <v>6</v>
      </c>
      <c r="I19">
        <f t="shared" si="7"/>
        <v>13</v>
      </c>
      <c r="J19">
        <f t="shared" si="8"/>
        <v>460</v>
      </c>
      <c r="K19">
        <f t="shared" si="9"/>
        <v>0</v>
      </c>
      <c r="L19">
        <f t="shared" si="10"/>
        <v>7</v>
      </c>
      <c r="M19">
        <f t="shared" si="11"/>
        <v>40</v>
      </c>
      <c r="N19">
        <v>1</v>
      </c>
      <c r="O19">
        <v>5</v>
      </c>
      <c r="P19">
        <v>21</v>
      </c>
      <c r="Q19">
        <f t="shared" si="12"/>
        <v>3921</v>
      </c>
    </row>
    <row r="20" spans="1:17" x14ac:dyDescent="0.25">
      <c r="A20" t="s">
        <v>69</v>
      </c>
      <c r="B20" t="b">
        <f t="shared" si="0"/>
        <v>0</v>
      </c>
      <c r="C20" t="b">
        <f t="shared" si="1"/>
        <v>0</v>
      </c>
      <c r="D20">
        <f t="shared" si="2"/>
        <v>2</v>
      </c>
      <c r="E20" t="str">
        <f t="shared" si="3"/>
        <v>0. Introduction</v>
      </c>
      <c r="F20" t="str">
        <f t="shared" si="4"/>
        <v/>
      </c>
      <c r="G20" t="str">
        <f t="shared" si="5"/>
        <v/>
      </c>
      <c r="H20">
        <f t="shared" si="6"/>
        <v>0</v>
      </c>
      <c r="I20">
        <f t="shared" si="7"/>
        <v>0</v>
      </c>
      <c r="J20">
        <f t="shared" si="8"/>
        <v>460</v>
      </c>
      <c r="K20">
        <f t="shared" si="9"/>
        <v>0</v>
      </c>
      <c r="L20">
        <f t="shared" si="10"/>
        <v>7</v>
      </c>
      <c r="M20">
        <f t="shared" si="11"/>
        <v>40</v>
      </c>
      <c r="N20">
        <v>1</v>
      </c>
      <c r="O20">
        <v>5</v>
      </c>
      <c r="P20">
        <v>21</v>
      </c>
      <c r="Q20">
        <f t="shared" si="12"/>
        <v>3921</v>
      </c>
    </row>
    <row r="21" spans="1:17" x14ac:dyDescent="0.25">
      <c r="A21" t="s">
        <v>3</v>
      </c>
      <c r="B21" t="b">
        <f t="shared" si="0"/>
        <v>0</v>
      </c>
      <c r="C21" t="b">
        <f t="shared" si="1"/>
        <v>0</v>
      </c>
      <c r="D21">
        <f t="shared" si="2"/>
        <v>2</v>
      </c>
      <c r="E21" t="str">
        <f t="shared" si="3"/>
        <v>0. Introduction</v>
      </c>
      <c r="F21" t="str">
        <f t="shared" si="4"/>
        <v/>
      </c>
      <c r="G21" t="str">
        <f t="shared" si="5"/>
        <v/>
      </c>
      <c r="H21">
        <f t="shared" si="6"/>
        <v>0</v>
      </c>
      <c r="I21">
        <f t="shared" si="7"/>
        <v>0</v>
      </c>
      <c r="J21">
        <f t="shared" si="8"/>
        <v>460</v>
      </c>
      <c r="K21">
        <f t="shared" si="9"/>
        <v>0</v>
      </c>
      <c r="L21">
        <f t="shared" si="10"/>
        <v>7</v>
      </c>
      <c r="M21">
        <f t="shared" si="11"/>
        <v>40</v>
      </c>
      <c r="N21">
        <v>1</v>
      </c>
      <c r="O21">
        <v>5</v>
      </c>
      <c r="P21">
        <v>21</v>
      </c>
      <c r="Q21">
        <f t="shared" si="12"/>
        <v>3921</v>
      </c>
    </row>
    <row r="22" spans="1:17" x14ac:dyDescent="0.25">
      <c r="B22" t="b">
        <f t="shared" si="0"/>
        <v>0</v>
      </c>
      <c r="C22" t="b">
        <f t="shared" si="1"/>
        <v>0</v>
      </c>
      <c r="D22">
        <f t="shared" si="2"/>
        <v>2</v>
      </c>
      <c r="E22" t="str">
        <f t="shared" si="3"/>
        <v>0. Introduction</v>
      </c>
      <c r="F22" t="str">
        <f t="shared" si="4"/>
        <v/>
      </c>
      <c r="G22" t="str">
        <f t="shared" si="5"/>
        <v/>
      </c>
      <c r="H22">
        <f t="shared" si="6"/>
        <v>0</v>
      </c>
      <c r="I22">
        <f t="shared" si="7"/>
        <v>0</v>
      </c>
      <c r="J22">
        <f t="shared" si="8"/>
        <v>460</v>
      </c>
      <c r="K22">
        <f t="shared" si="9"/>
        <v>0</v>
      </c>
      <c r="L22">
        <f t="shared" si="10"/>
        <v>7</v>
      </c>
      <c r="M22">
        <f t="shared" si="11"/>
        <v>40</v>
      </c>
      <c r="N22">
        <v>1</v>
      </c>
      <c r="O22">
        <v>5</v>
      </c>
      <c r="P22">
        <v>21</v>
      </c>
      <c r="Q22">
        <f t="shared" si="12"/>
        <v>3921</v>
      </c>
    </row>
    <row r="23" spans="1:17" x14ac:dyDescent="0.25">
      <c r="A23" t="s">
        <v>68</v>
      </c>
      <c r="B23" t="b">
        <f t="shared" si="0"/>
        <v>1</v>
      </c>
      <c r="C23" t="b">
        <f t="shared" si="1"/>
        <v>0</v>
      </c>
      <c r="D23">
        <f t="shared" si="2"/>
        <v>0</v>
      </c>
      <c r="E23" t="str">
        <f t="shared" si="3"/>
        <v>1. Getting Started with Spring Boot</v>
      </c>
      <c r="F23" t="str">
        <f t="shared" si="4"/>
        <v/>
      </c>
      <c r="G23" t="str">
        <f t="shared" si="5"/>
        <v/>
      </c>
      <c r="H23">
        <f t="shared" si="6"/>
        <v>0</v>
      </c>
      <c r="I23">
        <f t="shared" si="7"/>
        <v>0</v>
      </c>
      <c r="J23">
        <f t="shared" si="8"/>
        <v>460</v>
      </c>
      <c r="K23">
        <f t="shared" si="9"/>
        <v>0</v>
      </c>
      <c r="L23">
        <f t="shared" si="10"/>
        <v>7</v>
      </c>
      <c r="M23">
        <f t="shared" si="11"/>
        <v>40</v>
      </c>
      <c r="N23">
        <v>1</v>
      </c>
      <c r="O23">
        <v>5</v>
      </c>
      <c r="P23">
        <v>21</v>
      </c>
      <c r="Q23">
        <f t="shared" si="12"/>
        <v>3921</v>
      </c>
    </row>
    <row r="24" spans="1:17" x14ac:dyDescent="0.25">
      <c r="B24" t="b">
        <f t="shared" si="0"/>
        <v>0</v>
      </c>
      <c r="C24" t="b">
        <f t="shared" si="1"/>
        <v>0</v>
      </c>
      <c r="D24">
        <f t="shared" si="2"/>
        <v>0</v>
      </c>
      <c r="E24" t="str">
        <f t="shared" si="3"/>
        <v>1. Getting Started with Spring Boot</v>
      </c>
      <c r="F24" t="str">
        <f t="shared" si="4"/>
        <v/>
      </c>
      <c r="G24" t="str">
        <f t="shared" si="5"/>
        <v/>
      </c>
      <c r="H24">
        <f t="shared" si="6"/>
        <v>0</v>
      </c>
      <c r="I24">
        <f t="shared" si="7"/>
        <v>0</v>
      </c>
      <c r="J24">
        <v>0</v>
      </c>
      <c r="K24">
        <f t="shared" si="9"/>
        <v>0</v>
      </c>
      <c r="L24">
        <f t="shared" si="10"/>
        <v>0</v>
      </c>
      <c r="M24">
        <f t="shared" si="11"/>
        <v>0</v>
      </c>
      <c r="N24">
        <v>1</v>
      </c>
      <c r="O24">
        <v>5</v>
      </c>
      <c r="P24">
        <v>21</v>
      </c>
      <c r="Q24">
        <f t="shared" si="12"/>
        <v>3921</v>
      </c>
    </row>
    <row r="25" spans="1:17" x14ac:dyDescent="0.25">
      <c r="A25" t="s">
        <v>67</v>
      </c>
      <c r="B25" t="b">
        <f t="shared" si="0"/>
        <v>0</v>
      </c>
      <c r="C25" t="b">
        <f t="shared" si="1"/>
        <v>1</v>
      </c>
      <c r="D25">
        <f t="shared" si="2"/>
        <v>1</v>
      </c>
      <c r="E25" t="str">
        <f t="shared" si="3"/>
        <v>1. Getting Started with Spring Boot</v>
      </c>
      <c r="F25" t="str">
        <f t="shared" si="4"/>
        <v>1. Introduction to Spring</v>
      </c>
      <c r="G25" t="str">
        <f t="shared" si="5"/>
        <v>5m 33s</v>
      </c>
      <c r="H25">
        <f t="shared" si="6"/>
        <v>5</v>
      </c>
      <c r="I25">
        <f t="shared" si="7"/>
        <v>33</v>
      </c>
      <c r="J25">
        <f>J24+(H25*60+I25)</f>
        <v>333</v>
      </c>
      <c r="K25">
        <f t="shared" si="9"/>
        <v>0</v>
      </c>
      <c r="L25">
        <f t="shared" si="10"/>
        <v>5</v>
      </c>
      <c r="M25">
        <f t="shared" si="11"/>
        <v>33</v>
      </c>
      <c r="N25">
        <v>1</v>
      </c>
      <c r="O25">
        <v>5</v>
      </c>
      <c r="P25">
        <v>21</v>
      </c>
      <c r="Q25">
        <f t="shared" si="12"/>
        <v>3921</v>
      </c>
    </row>
    <row r="26" spans="1:17" x14ac:dyDescent="0.25">
      <c r="A26" t="s">
        <v>66</v>
      </c>
      <c r="B26" t="b">
        <f t="shared" si="0"/>
        <v>0</v>
      </c>
      <c r="C26" t="b">
        <f t="shared" si="1"/>
        <v>0</v>
      </c>
      <c r="D26">
        <f t="shared" si="2"/>
        <v>1</v>
      </c>
      <c r="E26" t="str">
        <f t="shared" si="3"/>
        <v>1. Getting Started with Spring Boot</v>
      </c>
      <c r="F26" t="str">
        <f t="shared" si="4"/>
        <v/>
      </c>
      <c r="G26" t="str">
        <f t="shared" si="5"/>
        <v/>
      </c>
      <c r="H26">
        <f t="shared" si="6"/>
        <v>0</v>
      </c>
      <c r="I26">
        <f t="shared" si="7"/>
        <v>0</v>
      </c>
      <c r="J26">
        <f>J25+(H26*60+I26)</f>
        <v>333</v>
      </c>
      <c r="K26">
        <f t="shared" si="9"/>
        <v>0</v>
      </c>
      <c r="L26">
        <f t="shared" si="10"/>
        <v>5</v>
      </c>
      <c r="M26">
        <f t="shared" si="11"/>
        <v>33</v>
      </c>
      <c r="N26">
        <v>1</v>
      </c>
      <c r="O26">
        <v>5</v>
      </c>
      <c r="P26">
        <v>21</v>
      </c>
      <c r="Q26">
        <f t="shared" si="12"/>
        <v>3921</v>
      </c>
    </row>
    <row r="27" spans="1:17" x14ac:dyDescent="0.25">
      <c r="A27" t="s">
        <v>65</v>
      </c>
      <c r="B27" t="b">
        <f t="shared" si="0"/>
        <v>0</v>
      </c>
      <c r="C27" t="b">
        <f t="shared" si="1"/>
        <v>0</v>
      </c>
      <c r="D27">
        <f t="shared" si="2"/>
        <v>1</v>
      </c>
      <c r="E27" t="str">
        <f t="shared" si="3"/>
        <v>1. Getting Started with Spring Boot</v>
      </c>
      <c r="F27" t="str">
        <f t="shared" si="4"/>
        <v/>
      </c>
      <c r="G27" t="str">
        <f t="shared" si="5"/>
        <v/>
      </c>
      <c r="H27">
        <f t="shared" si="6"/>
        <v>0</v>
      </c>
      <c r="I27">
        <f t="shared" si="7"/>
        <v>0</v>
      </c>
      <c r="J27">
        <f>J26+(H27*60+I27)</f>
        <v>333</v>
      </c>
      <c r="K27">
        <f t="shared" si="9"/>
        <v>0</v>
      </c>
      <c r="L27">
        <f t="shared" si="10"/>
        <v>5</v>
      </c>
      <c r="M27">
        <f t="shared" si="11"/>
        <v>33</v>
      </c>
      <c r="N27">
        <v>1</v>
      </c>
      <c r="O27">
        <v>5</v>
      </c>
      <c r="P27">
        <v>21</v>
      </c>
      <c r="Q27">
        <f t="shared" si="12"/>
        <v>3921</v>
      </c>
    </row>
    <row r="28" spans="1:17" x14ac:dyDescent="0.25">
      <c r="A28" t="s">
        <v>64</v>
      </c>
      <c r="B28" t="b">
        <f t="shared" si="0"/>
        <v>0</v>
      </c>
      <c r="C28" t="b">
        <f t="shared" si="1"/>
        <v>1</v>
      </c>
      <c r="D28">
        <f t="shared" si="2"/>
        <v>2</v>
      </c>
      <c r="E28" t="str">
        <f t="shared" si="3"/>
        <v>1. Getting Started with Spring Boot</v>
      </c>
      <c r="F28" t="str">
        <f t="shared" si="4"/>
        <v>2. Introduction to Spring Boot</v>
      </c>
      <c r="G28" t="str">
        <f t="shared" si="5"/>
        <v>6m 4s</v>
      </c>
      <c r="H28">
        <f t="shared" si="6"/>
        <v>6</v>
      </c>
      <c r="I28">
        <f t="shared" si="7"/>
        <v>4</v>
      </c>
      <c r="J28">
        <f>J27+(H28*60+I28)</f>
        <v>697</v>
      </c>
      <c r="K28">
        <f t="shared" si="9"/>
        <v>0</v>
      </c>
      <c r="L28">
        <f t="shared" si="10"/>
        <v>11</v>
      </c>
      <c r="M28">
        <f t="shared" si="11"/>
        <v>37</v>
      </c>
      <c r="N28">
        <v>1</v>
      </c>
      <c r="O28">
        <v>5</v>
      </c>
      <c r="P28">
        <v>21</v>
      </c>
      <c r="Q28">
        <f t="shared" si="12"/>
        <v>3921</v>
      </c>
    </row>
    <row r="29" spans="1:17" x14ac:dyDescent="0.25">
      <c r="A29" t="s">
        <v>63</v>
      </c>
      <c r="B29" t="b">
        <f t="shared" si="0"/>
        <v>0</v>
      </c>
      <c r="C29" t="b">
        <f t="shared" si="1"/>
        <v>0</v>
      </c>
      <c r="D29">
        <f t="shared" si="2"/>
        <v>2</v>
      </c>
      <c r="E29" t="str">
        <f t="shared" si="3"/>
        <v>1. Getting Started with Spring Boot</v>
      </c>
      <c r="F29" t="str">
        <f t="shared" si="4"/>
        <v/>
      </c>
      <c r="G29" t="str">
        <f t="shared" si="5"/>
        <v/>
      </c>
      <c r="H29">
        <f t="shared" si="6"/>
        <v>0</v>
      </c>
      <c r="I29">
        <f t="shared" si="7"/>
        <v>0</v>
      </c>
      <c r="J29">
        <f>J28+(H29*60+I29)</f>
        <v>697</v>
      </c>
      <c r="K29">
        <f t="shared" si="9"/>
        <v>0</v>
      </c>
      <c r="L29">
        <f t="shared" si="10"/>
        <v>11</v>
      </c>
      <c r="M29">
        <f t="shared" si="11"/>
        <v>37</v>
      </c>
      <c r="N29">
        <v>1</v>
      </c>
      <c r="O29">
        <v>5</v>
      </c>
      <c r="P29">
        <v>21</v>
      </c>
      <c r="Q29">
        <f t="shared" si="12"/>
        <v>3921</v>
      </c>
    </row>
    <row r="30" spans="1:17" x14ac:dyDescent="0.25">
      <c r="A30" t="s">
        <v>3</v>
      </c>
      <c r="B30" t="b">
        <f t="shared" si="0"/>
        <v>0</v>
      </c>
      <c r="C30" t="b">
        <f t="shared" si="1"/>
        <v>0</v>
      </c>
      <c r="D30">
        <f t="shared" si="2"/>
        <v>2</v>
      </c>
      <c r="E30" t="str">
        <f t="shared" si="3"/>
        <v>1. Getting Started with Spring Boot</v>
      </c>
      <c r="F30" t="str">
        <f t="shared" si="4"/>
        <v/>
      </c>
      <c r="G30" t="str">
        <f t="shared" si="5"/>
        <v/>
      </c>
      <c r="H30">
        <f t="shared" si="6"/>
        <v>0</v>
      </c>
      <c r="I30">
        <f t="shared" si="7"/>
        <v>0</v>
      </c>
      <c r="J30">
        <v>0</v>
      </c>
      <c r="K30">
        <f t="shared" si="9"/>
        <v>0</v>
      </c>
      <c r="L30">
        <f t="shared" si="10"/>
        <v>0</v>
      </c>
      <c r="M30">
        <f t="shared" si="11"/>
        <v>0</v>
      </c>
      <c r="N30">
        <v>1</v>
      </c>
      <c r="O30">
        <v>5</v>
      </c>
      <c r="P30">
        <v>21</v>
      </c>
      <c r="Q30">
        <f t="shared" si="12"/>
        <v>3921</v>
      </c>
    </row>
    <row r="31" spans="1:17" x14ac:dyDescent="0.25">
      <c r="A31" t="s">
        <v>62</v>
      </c>
      <c r="B31" t="b">
        <f t="shared" si="0"/>
        <v>0</v>
      </c>
      <c r="C31" t="b">
        <f t="shared" si="1"/>
        <v>1</v>
      </c>
      <c r="D31">
        <f t="shared" si="2"/>
        <v>3</v>
      </c>
      <c r="E31" t="str">
        <f t="shared" si="3"/>
        <v>1. Getting Started with Spring Boot</v>
      </c>
      <c r="F31" t="str">
        <f t="shared" si="4"/>
        <v>3. Create a project with Spring Initializr</v>
      </c>
      <c r="G31" t="str">
        <f t="shared" si="5"/>
        <v>5m 8s</v>
      </c>
      <c r="H31">
        <f t="shared" si="6"/>
        <v>5</v>
      </c>
      <c r="I31">
        <f t="shared" si="7"/>
        <v>8</v>
      </c>
      <c r="J31">
        <f t="shared" ref="J31:J46" si="13">J30+(H31*60+I31)</f>
        <v>308</v>
      </c>
      <c r="K31">
        <f t="shared" si="9"/>
        <v>0</v>
      </c>
      <c r="L31">
        <f t="shared" si="10"/>
        <v>5</v>
      </c>
      <c r="M31">
        <f t="shared" si="11"/>
        <v>8</v>
      </c>
      <c r="N31">
        <v>1</v>
      </c>
      <c r="O31">
        <v>5</v>
      </c>
      <c r="P31">
        <v>21</v>
      </c>
      <c r="Q31">
        <f t="shared" si="12"/>
        <v>3921</v>
      </c>
    </row>
    <row r="32" spans="1:17" x14ac:dyDescent="0.25">
      <c r="A32" t="s">
        <v>61</v>
      </c>
      <c r="B32" t="b">
        <f t="shared" si="0"/>
        <v>0</v>
      </c>
      <c r="C32" t="b">
        <f t="shared" si="1"/>
        <v>0</v>
      </c>
      <c r="D32">
        <f t="shared" si="2"/>
        <v>3</v>
      </c>
      <c r="E32" t="str">
        <f t="shared" si="3"/>
        <v>1. Getting Started with Spring Boot</v>
      </c>
      <c r="F32" t="str">
        <f t="shared" si="4"/>
        <v/>
      </c>
      <c r="G32" t="str">
        <f t="shared" si="5"/>
        <v/>
      </c>
      <c r="H32">
        <f t="shared" si="6"/>
        <v>0</v>
      </c>
      <c r="I32">
        <f t="shared" si="7"/>
        <v>0</v>
      </c>
      <c r="J32">
        <f t="shared" si="13"/>
        <v>308</v>
      </c>
      <c r="K32">
        <f t="shared" si="9"/>
        <v>0</v>
      </c>
      <c r="L32">
        <f t="shared" si="10"/>
        <v>5</v>
      </c>
      <c r="M32">
        <f t="shared" si="11"/>
        <v>8</v>
      </c>
      <c r="N32">
        <v>1</v>
      </c>
      <c r="O32">
        <v>5</v>
      </c>
      <c r="P32">
        <v>21</v>
      </c>
      <c r="Q32">
        <f t="shared" si="12"/>
        <v>3921</v>
      </c>
    </row>
    <row r="33" spans="1:17" x14ac:dyDescent="0.25">
      <c r="A33" t="s">
        <v>3</v>
      </c>
      <c r="B33" t="b">
        <f t="shared" si="0"/>
        <v>0</v>
      </c>
      <c r="C33" t="b">
        <f t="shared" si="1"/>
        <v>0</v>
      </c>
      <c r="D33">
        <f t="shared" si="2"/>
        <v>3</v>
      </c>
      <c r="E33" t="str">
        <f t="shared" si="3"/>
        <v>1. Getting Started with Spring Boot</v>
      </c>
      <c r="F33" t="str">
        <f t="shared" si="4"/>
        <v/>
      </c>
      <c r="G33" t="str">
        <f t="shared" si="5"/>
        <v/>
      </c>
      <c r="H33">
        <f t="shared" si="6"/>
        <v>0</v>
      </c>
      <c r="I33">
        <f t="shared" si="7"/>
        <v>0</v>
      </c>
      <c r="J33">
        <f t="shared" si="13"/>
        <v>308</v>
      </c>
      <c r="K33">
        <f t="shared" si="9"/>
        <v>0</v>
      </c>
      <c r="L33">
        <f t="shared" si="10"/>
        <v>5</v>
      </c>
      <c r="M33">
        <f t="shared" si="11"/>
        <v>8</v>
      </c>
      <c r="N33">
        <v>1</v>
      </c>
      <c r="O33">
        <v>5</v>
      </c>
      <c r="P33">
        <v>21</v>
      </c>
      <c r="Q33">
        <f t="shared" si="12"/>
        <v>3921</v>
      </c>
    </row>
    <row r="34" spans="1:17" x14ac:dyDescent="0.25">
      <c r="A34" t="s">
        <v>60</v>
      </c>
      <c r="B34" t="b">
        <f t="shared" si="0"/>
        <v>0</v>
      </c>
      <c r="C34" t="b">
        <f t="shared" si="1"/>
        <v>1</v>
      </c>
      <c r="D34">
        <f t="shared" si="2"/>
        <v>4</v>
      </c>
      <c r="E34" t="str">
        <f t="shared" si="3"/>
        <v>1. Getting Started with Spring Boot</v>
      </c>
      <c r="F34" t="str">
        <f t="shared" si="4"/>
        <v>4. Examining a Spring Boot skeleton project</v>
      </c>
      <c r="G34" t="str">
        <f t="shared" si="5"/>
        <v>6m 3s</v>
      </c>
      <c r="H34">
        <f t="shared" si="6"/>
        <v>6</v>
      </c>
      <c r="I34">
        <f t="shared" si="7"/>
        <v>3</v>
      </c>
      <c r="J34">
        <f t="shared" si="13"/>
        <v>671</v>
      </c>
      <c r="K34">
        <f t="shared" si="9"/>
        <v>0</v>
      </c>
      <c r="L34">
        <f t="shared" si="10"/>
        <v>11</v>
      </c>
      <c r="M34">
        <f t="shared" si="11"/>
        <v>11</v>
      </c>
      <c r="N34">
        <v>1</v>
      </c>
      <c r="O34">
        <v>5</v>
      </c>
      <c r="P34">
        <v>21</v>
      </c>
      <c r="Q34">
        <f t="shared" si="12"/>
        <v>3921</v>
      </c>
    </row>
    <row r="35" spans="1:17" x14ac:dyDescent="0.25">
      <c r="A35" t="s">
        <v>59</v>
      </c>
      <c r="B35" t="b">
        <f t="shared" si="0"/>
        <v>0</v>
      </c>
      <c r="C35" t="b">
        <f t="shared" si="1"/>
        <v>0</v>
      </c>
      <c r="D35">
        <f t="shared" si="2"/>
        <v>4</v>
      </c>
      <c r="E35" t="str">
        <f t="shared" si="3"/>
        <v>1. Getting Started with Spring Boot</v>
      </c>
      <c r="F35" t="str">
        <f t="shared" si="4"/>
        <v/>
      </c>
      <c r="G35" t="str">
        <f t="shared" si="5"/>
        <v/>
      </c>
      <c r="H35">
        <f t="shared" si="6"/>
        <v>0</v>
      </c>
      <c r="I35">
        <f t="shared" si="7"/>
        <v>0</v>
      </c>
      <c r="J35">
        <f t="shared" si="13"/>
        <v>671</v>
      </c>
      <c r="K35">
        <f t="shared" si="9"/>
        <v>0</v>
      </c>
      <c r="L35">
        <f t="shared" si="10"/>
        <v>11</v>
      </c>
      <c r="M35">
        <f t="shared" si="11"/>
        <v>11</v>
      </c>
      <c r="N35">
        <v>1</v>
      </c>
      <c r="O35">
        <v>5</v>
      </c>
      <c r="P35">
        <v>21</v>
      </c>
      <c r="Q35">
        <f t="shared" si="12"/>
        <v>3921</v>
      </c>
    </row>
    <row r="36" spans="1:17" x14ac:dyDescent="0.25">
      <c r="A36" t="s">
        <v>3</v>
      </c>
      <c r="B36" t="b">
        <f t="shared" si="0"/>
        <v>0</v>
      </c>
      <c r="C36" t="b">
        <f t="shared" si="1"/>
        <v>0</v>
      </c>
      <c r="D36">
        <f t="shared" si="2"/>
        <v>4</v>
      </c>
      <c r="E36" t="str">
        <f t="shared" si="3"/>
        <v>1. Getting Started with Spring Boot</v>
      </c>
      <c r="F36" t="str">
        <f t="shared" si="4"/>
        <v/>
      </c>
      <c r="G36" t="str">
        <f t="shared" si="5"/>
        <v/>
      </c>
      <c r="H36">
        <f t="shared" si="6"/>
        <v>0</v>
      </c>
      <c r="I36">
        <f t="shared" si="7"/>
        <v>0</v>
      </c>
      <c r="J36">
        <f t="shared" si="13"/>
        <v>671</v>
      </c>
      <c r="K36">
        <f t="shared" si="9"/>
        <v>0</v>
      </c>
      <c r="L36">
        <f t="shared" si="10"/>
        <v>11</v>
      </c>
      <c r="M36">
        <f t="shared" si="11"/>
        <v>11</v>
      </c>
      <c r="N36">
        <v>1</v>
      </c>
      <c r="O36">
        <v>5</v>
      </c>
      <c r="P36">
        <v>21</v>
      </c>
      <c r="Q36">
        <f t="shared" si="12"/>
        <v>3921</v>
      </c>
    </row>
    <row r="37" spans="1:17" x14ac:dyDescent="0.25">
      <c r="A37" t="s">
        <v>58</v>
      </c>
      <c r="B37" t="b">
        <f t="shared" si="0"/>
        <v>0</v>
      </c>
      <c r="C37" t="b">
        <f t="shared" si="1"/>
        <v>1</v>
      </c>
      <c r="D37">
        <f t="shared" si="2"/>
        <v>5</v>
      </c>
      <c r="E37" t="str">
        <f t="shared" si="3"/>
        <v>1. Getting Started with Spring Boot</v>
      </c>
      <c r="F37" t="str">
        <f t="shared" si="4"/>
        <v>5. Inversion of control</v>
      </c>
      <c r="G37" t="str">
        <f t="shared" si="5"/>
        <v>5m 59s</v>
      </c>
      <c r="H37">
        <f t="shared" si="6"/>
        <v>5</v>
      </c>
      <c r="I37">
        <f t="shared" si="7"/>
        <v>59</v>
      </c>
      <c r="J37">
        <f t="shared" si="13"/>
        <v>1030</v>
      </c>
      <c r="K37">
        <f t="shared" si="9"/>
        <v>0</v>
      </c>
      <c r="L37">
        <f t="shared" si="10"/>
        <v>17</v>
      </c>
      <c r="M37">
        <f t="shared" si="11"/>
        <v>10</v>
      </c>
      <c r="N37">
        <v>1</v>
      </c>
      <c r="O37">
        <v>5</v>
      </c>
      <c r="P37">
        <v>21</v>
      </c>
      <c r="Q37">
        <f t="shared" si="12"/>
        <v>3921</v>
      </c>
    </row>
    <row r="38" spans="1:17" x14ac:dyDescent="0.25">
      <c r="A38" t="s">
        <v>57</v>
      </c>
      <c r="B38" t="b">
        <f t="shared" si="0"/>
        <v>0</v>
      </c>
      <c r="C38" t="b">
        <f t="shared" si="1"/>
        <v>0</v>
      </c>
      <c r="D38">
        <f t="shared" si="2"/>
        <v>5</v>
      </c>
      <c r="E38" t="str">
        <f t="shared" si="3"/>
        <v>1. Getting Started with Spring Boot</v>
      </c>
      <c r="F38" t="str">
        <f t="shared" si="4"/>
        <v/>
      </c>
      <c r="G38" t="str">
        <f t="shared" si="5"/>
        <v/>
      </c>
      <c r="H38">
        <f t="shared" si="6"/>
        <v>0</v>
      </c>
      <c r="I38">
        <f t="shared" si="7"/>
        <v>0</v>
      </c>
      <c r="J38">
        <f t="shared" si="13"/>
        <v>1030</v>
      </c>
      <c r="K38">
        <f t="shared" si="9"/>
        <v>0</v>
      </c>
      <c r="L38">
        <f t="shared" si="10"/>
        <v>17</v>
      </c>
      <c r="M38">
        <f t="shared" si="11"/>
        <v>10</v>
      </c>
      <c r="N38">
        <v>1</v>
      </c>
      <c r="O38">
        <v>5</v>
      </c>
      <c r="P38">
        <v>21</v>
      </c>
      <c r="Q38">
        <f t="shared" si="12"/>
        <v>3921</v>
      </c>
    </row>
    <row r="39" spans="1:17" x14ac:dyDescent="0.25">
      <c r="A39" t="s">
        <v>3</v>
      </c>
      <c r="B39" t="b">
        <f t="shared" si="0"/>
        <v>0</v>
      </c>
      <c r="C39" t="b">
        <f t="shared" si="1"/>
        <v>0</v>
      </c>
      <c r="D39">
        <f t="shared" si="2"/>
        <v>5</v>
      </c>
      <c r="E39" t="str">
        <f t="shared" si="3"/>
        <v>1. Getting Started with Spring Boot</v>
      </c>
      <c r="F39" t="str">
        <f t="shared" si="4"/>
        <v/>
      </c>
      <c r="G39" t="str">
        <f t="shared" si="5"/>
        <v/>
      </c>
      <c r="H39">
        <f t="shared" si="6"/>
        <v>0</v>
      </c>
      <c r="I39">
        <f t="shared" si="7"/>
        <v>0</v>
      </c>
      <c r="J39">
        <f t="shared" si="13"/>
        <v>1030</v>
      </c>
      <c r="K39">
        <f t="shared" si="9"/>
        <v>0</v>
      </c>
      <c r="L39">
        <f t="shared" si="10"/>
        <v>17</v>
      </c>
      <c r="M39">
        <f t="shared" si="11"/>
        <v>10</v>
      </c>
      <c r="N39">
        <v>1</v>
      </c>
      <c r="O39">
        <v>5</v>
      </c>
      <c r="P39">
        <v>21</v>
      </c>
      <c r="Q39">
        <f t="shared" si="12"/>
        <v>3921</v>
      </c>
    </row>
    <row r="40" spans="1:17" x14ac:dyDescent="0.25">
      <c r="A40" t="s">
        <v>56</v>
      </c>
      <c r="B40" t="b">
        <f t="shared" si="0"/>
        <v>0</v>
      </c>
      <c r="C40" t="b">
        <f t="shared" si="1"/>
        <v>1</v>
      </c>
      <c r="D40">
        <f t="shared" si="2"/>
        <v>6</v>
      </c>
      <c r="E40" t="str">
        <f t="shared" si="3"/>
        <v>1. Getting Started with Spring Boot</v>
      </c>
      <c r="F40" t="str">
        <f t="shared" si="4"/>
        <v>6. Annotations everywhere</v>
      </c>
      <c r="G40" t="str">
        <f t="shared" si="5"/>
        <v>4m 7s</v>
      </c>
      <c r="H40">
        <f t="shared" si="6"/>
        <v>4</v>
      </c>
      <c r="I40">
        <f t="shared" si="7"/>
        <v>7</v>
      </c>
      <c r="J40">
        <f t="shared" si="13"/>
        <v>1277</v>
      </c>
      <c r="K40">
        <f t="shared" si="9"/>
        <v>0</v>
      </c>
      <c r="L40">
        <f t="shared" si="10"/>
        <v>21</v>
      </c>
      <c r="M40">
        <f t="shared" si="11"/>
        <v>17</v>
      </c>
      <c r="N40">
        <v>1</v>
      </c>
      <c r="O40">
        <v>5</v>
      </c>
      <c r="P40">
        <v>21</v>
      </c>
      <c r="Q40">
        <f t="shared" si="12"/>
        <v>3921</v>
      </c>
    </row>
    <row r="41" spans="1:17" x14ac:dyDescent="0.25">
      <c r="A41" t="s">
        <v>55</v>
      </c>
      <c r="B41" t="b">
        <f t="shared" si="0"/>
        <v>0</v>
      </c>
      <c r="C41" t="b">
        <f t="shared" si="1"/>
        <v>0</v>
      </c>
      <c r="D41">
        <f t="shared" si="2"/>
        <v>6</v>
      </c>
      <c r="E41" t="str">
        <f t="shared" si="3"/>
        <v>1. Getting Started with Spring Boot</v>
      </c>
      <c r="F41" t="str">
        <f t="shared" si="4"/>
        <v/>
      </c>
      <c r="G41" t="str">
        <f t="shared" si="5"/>
        <v/>
      </c>
      <c r="H41">
        <f t="shared" si="6"/>
        <v>0</v>
      </c>
      <c r="I41">
        <f t="shared" si="7"/>
        <v>0</v>
      </c>
      <c r="J41">
        <f t="shared" si="13"/>
        <v>1277</v>
      </c>
      <c r="K41">
        <f t="shared" si="9"/>
        <v>0</v>
      </c>
      <c r="L41">
        <f t="shared" si="10"/>
        <v>21</v>
      </c>
      <c r="M41">
        <f t="shared" si="11"/>
        <v>17</v>
      </c>
      <c r="N41">
        <v>1</v>
      </c>
      <c r="O41">
        <v>5</v>
      </c>
      <c r="P41">
        <v>21</v>
      </c>
      <c r="Q41">
        <f t="shared" si="12"/>
        <v>3921</v>
      </c>
    </row>
    <row r="42" spans="1:17" x14ac:dyDescent="0.25">
      <c r="A42" t="s">
        <v>3</v>
      </c>
      <c r="B42" t="b">
        <f t="shared" si="0"/>
        <v>0</v>
      </c>
      <c r="C42" t="b">
        <f t="shared" si="1"/>
        <v>0</v>
      </c>
      <c r="D42">
        <f t="shared" si="2"/>
        <v>6</v>
      </c>
      <c r="E42" t="str">
        <f t="shared" si="3"/>
        <v>1. Getting Started with Spring Boot</v>
      </c>
      <c r="F42" t="str">
        <f t="shared" si="4"/>
        <v/>
      </c>
      <c r="G42" t="str">
        <f t="shared" si="5"/>
        <v/>
      </c>
      <c r="H42">
        <f t="shared" si="6"/>
        <v>0</v>
      </c>
      <c r="I42">
        <f t="shared" si="7"/>
        <v>0</v>
      </c>
      <c r="J42">
        <f t="shared" si="13"/>
        <v>1277</v>
      </c>
      <c r="K42">
        <f t="shared" si="9"/>
        <v>0</v>
      </c>
      <c r="L42">
        <f t="shared" si="10"/>
        <v>21</v>
      </c>
      <c r="M42">
        <f t="shared" si="11"/>
        <v>17</v>
      </c>
      <c r="N42">
        <v>1</v>
      </c>
      <c r="O42">
        <v>5</v>
      </c>
      <c r="P42">
        <v>21</v>
      </c>
      <c r="Q42">
        <f t="shared" si="12"/>
        <v>3921</v>
      </c>
    </row>
    <row r="43" spans="1:17" x14ac:dyDescent="0.25">
      <c r="A43" t="s">
        <v>12</v>
      </c>
      <c r="B43" t="b">
        <f t="shared" si="0"/>
        <v>0</v>
      </c>
      <c r="C43" t="b">
        <f t="shared" si="1"/>
        <v>0</v>
      </c>
      <c r="D43">
        <f t="shared" si="2"/>
        <v>6</v>
      </c>
      <c r="E43" t="str">
        <f t="shared" si="3"/>
        <v>1. Getting Started with Spring Boot</v>
      </c>
      <c r="F43" t="str">
        <f t="shared" si="4"/>
        <v/>
      </c>
      <c r="G43" t="str">
        <f t="shared" si="5"/>
        <v/>
      </c>
      <c r="H43">
        <f t="shared" si="6"/>
        <v>0</v>
      </c>
      <c r="I43">
        <f t="shared" si="7"/>
        <v>0</v>
      </c>
      <c r="J43">
        <f t="shared" si="13"/>
        <v>1277</v>
      </c>
      <c r="K43">
        <f t="shared" si="9"/>
        <v>0</v>
      </c>
      <c r="L43">
        <f t="shared" si="10"/>
        <v>21</v>
      </c>
      <c r="M43">
        <f t="shared" si="11"/>
        <v>17</v>
      </c>
      <c r="N43">
        <v>1</v>
      </c>
      <c r="O43">
        <v>5</v>
      </c>
      <c r="P43">
        <v>21</v>
      </c>
      <c r="Q43">
        <f t="shared" si="12"/>
        <v>3921</v>
      </c>
    </row>
    <row r="44" spans="1:17" x14ac:dyDescent="0.25">
      <c r="A44" t="s">
        <v>54</v>
      </c>
      <c r="B44" t="b">
        <f t="shared" si="0"/>
        <v>0</v>
      </c>
      <c r="C44" t="b">
        <f t="shared" si="1"/>
        <v>0</v>
      </c>
      <c r="D44">
        <f t="shared" si="2"/>
        <v>6</v>
      </c>
      <c r="E44" t="str">
        <f t="shared" si="3"/>
        <v>1. Getting Started with Spring Boot</v>
      </c>
      <c r="F44" t="str">
        <f t="shared" si="4"/>
        <v/>
      </c>
      <c r="G44" t="str">
        <f t="shared" si="5"/>
        <v/>
      </c>
      <c r="H44">
        <f t="shared" si="6"/>
        <v>0</v>
      </c>
      <c r="I44">
        <f t="shared" si="7"/>
        <v>0</v>
      </c>
      <c r="J44">
        <f t="shared" si="13"/>
        <v>1277</v>
      </c>
      <c r="K44">
        <f t="shared" si="9"/>
        <v>0</v>
      </c>
      <c r="L44">
        <f t="shared" si="10"/>
        <v>21</v>
      </c>
      <c r="M44">
        <f t="shared" si="11"/>
        <v>17</v>
      </c>
      <c r="N44">
        <v>1</v>
      </c>
      <c r="O44">
        <v>5</v>
      </c>
      <c r="P44">
        <v>21</v>
      </c>
      <c r="Q44">
        <f t="shared" si="12"/>
        <v>3921</v>
      </c>
    </row>
    <row r="45" spans="1:17" x14ac:dyDescent="0.25">
      <c r="B45" t="b">
        <f t="shared" si="0"/>
        <v>0</v>
      </c>
      <c r="C45" t="b">
        <f t="shared" si="1"/>
        <v>0</v>
      </c>
      <c r="D45">
        <f t="shared" si="2"/>
        <v>6</v>
      </c>
      <c r="E45" t="str">
        <f t="shared" si="3"/>
        <v>1. Getting Started with Spring Boot</v>
      </c>
      <c r="F45" t="str">
        <f t="shared" si="4"/>
        <v/>
      </c>
      <c r="G45" t="str">
        <f t="shared" si="5"/>
        <v/>
      </c>
      <c r="H45">
        <f t="shared" si="6"/>
        <v>0</v>
      </c>
      <c r="I45">
        <f t="shared" si="7"/>
        <v>0</v>
      </c>
      <c r="J45">
        <f t="shared" si="13"/>
        <v>1277</v>
      </c>
      <c r="K45">
        <f t="shared" si="9"/>
        <v>0</v>
      </c>
      <c r="L45">
        <f t="shared" si="10"/>
        <v>21</v>
      </c>
      <c r="M45">
        <f t="shared" si="11"/>
        <v>17</v>
      </c>
      <c r="N45">
        <v>1</v>
      </c>
      <c r="O45">
        <v>5</v>
      </c>
      <c r="P45">
        <v>21</v>
      </c>
      <c r="Q45">
        <f t="shared" si="12"/>
        <v>3921</v>
      </c>
    </row>
    <row r="46" spans="1:17" x14ac:dyDescent="0.25">
      <c r="A46" t="s">
        <v>53</v>
      </c>
      <c r="B46" t="b">
        <f t="shared" ref="B46:B77" si="14">AND(NOT(ISERROR(FIND(". ",A46))),ISNUMBER(VALUE(LEFT(A46,FIND(". ",A46)-1))))</f>
        <v>1</v>
      </c>
      <c r="C46" t="b">
        <f t="shared" ref="C46:C77" si="15">OR(AND(NOT(ISERROR(FIND("m",A47))),ISNUMBER(VALUE(LEFT(A47,FIND("m",A47)-1)))),AND(NOT(ISERROR(FIND("s",A47))),ISNUMBER(VALUE(LEFT(A47,FIND("s",A47)-1)))))</f>
        <v>0</v>
      </c>
      <c r="D46">
        <f t="shared" ref="D46:D77" si="16">IF(B46,0,IF(C46,D45+1,D45))</f>
        <v>0</v>
      </c>
      <c r="E46" t="str">
        <f t="shared" ref="E46:E77" si="17">IF(B46,A46,E45)</f>
        <v>2. Data Access in Spring</v>
      </c>
      <c r="F46" t="str">
        <f t="shared" ref="F46:F77" si="18">IF(C46,SUBSTITUTE(D46&amp;". "&amp;A46,":"," -"),"")</f>
        <v/>
      </c>
      <c r="G46" t="str">
        <f t="shared" ref="G46:G77" si="19">IF(C46,IF(ISERROR(FIND("s",A47)),LEFT(A47,FIND("m",A47)),LEFT(A47,FIND("s",A47))),"")</f>
        <v/>
      </c>
      <c r="H46">
        <f t="shared" ref="H46:H77" si="20">IF(OR(G46="",ISERROR(FIND("m",G46))),0,VALUE(LEFT(G46,FIND("m",G46)-1)))</f>
        <v>0</v>
      </c>
      <c r="I46">
        <f t="shared" ref="I46:I77" si="21">IF(OR(G46="",ISERROR(FIND("s",G46))),0,VALUE(SUBSTITUTE(MID(G46,IF(ISERROR(FIND("m",G46)), 0,FIND("m",G46))+1,LEN(G46)),"s","")))</f>
        <v>0</v>
      </c>
      <c r="J46">
        <f t="shared" si="13"/>
        <v>1277</v>
      </c>
      <c r="K46">
        <f t="shared" ref="K46:K77" si="22">INT(J46/60/60)</f>
        <v>0</v>
      </c>
      <c r="L46">
        <f t="shared" ref="L46:L77" si="23">INT((J46-(K46*60*60))/60)</f>
        <v>21</v>
      </c>
      <c r="M46">
        <f t="shared" ref="M46:M77" si="24">J46-(((K46*60)+L46)*60)</f>
        <v>17</v>
      </c>
      <c r="N46">
        <v>1</v>
      </c>
      <c r="O46">
        <v>5</v>
      </c>
      <c r="P46">
        <v>21</v>
      </c>
      <c r="Q46">
        <f t="shared" ref="Q46:Q77" si="25">((N46*60)+O46)*60+P46</f>
        <v>3921</v>
      </c>
    </row>
    <row r="47" spans="1:17" x14ac:dyDescent="0.25">
      <c r="B47" t="b">
        <f t="shared" si="14"/>
        <v>0</v>
      </c>
      <c r="C47" t="b">
        <f t="shared" si="15"/>
        <v>0</v>
      </c>
      <c r="D47">
        <f t="shared" si="16"/>
        <v>0</v>
      </c>
      <c r="E47" t="str">
        <f t="shared" si="17"/>
        <v>2. Data Access in Spring</v>
      </c>
      <c r="F47" t="str">
        <f t="shared" si="18"/>
        <v/>
      </c>
      <c r="G47" t="str">
        <f t="shared" si="19"/>
        <v/>
      </c>
      <c r="H47">
        <f t="shared" si="20"/>
        <v>0</v>
      </c>
      <c r="I47">
        <f t="shared" si="21"/>
        <v>0</v>
      </c>
      <c r="J47">
        <v>0</v>
      </c>
      <c r="K47">
        <f t="shared" si="22"/>
        <v>0</v>
      </c>
      <c r="L47">
        <f t="shared" si="23"/>
        <v>0</v>
      </c>
      <c r="M47">
        <f t="shared" si="24"/>
        <v>0</v>
      </c>
      <c r="N47">
        <v>1</v>
      </c>
      <c r="O47">
        <v>5</v>
      </c>
      <c r="P47">
        <v>21</v>
      </c>
      <c r="Q47">
        <f t="shared" si="25"/>
        <v>3921</v>
      </c>
    </row>
    <row r="48" spans="1:17" x14ac:dyDescent="0.25">
      <c r="A48" t="s">
        <v>52</v>
      </c>
      <c r="B48" t="b">
        <f t="shared" si="14"/>
        <v>0</v>
      </c>
      <c r="C48" t="b">
        <f t="shared" si="15"/>
        <v>1</v>
      </c>
      <c r="D48">
        <f t="shared" si="16"/>
        <v>1</v>
      </c>
      <c r="E48" t="str">
        <f t="shared" si="17"/>
        <v>2. Data Access in Spring</v>
      </c>
      <c r="F48" t="str">
        <f t="shared" si="18"/>
        <v>1. Welcome to Spring Data</v>
      </c>
      <c r="G48" t="str">
        <f t="shared" si="19"/>
        <v>4m 32s</v>
      </c>
      <c r="H48">
        <f t="shared" si="20"/>
        <v>4</v>
      </c>
      <c r="I48">
        <f t="shared" si="21"/>
        <v>32</v>
      </c>
      <c r="J48">
        <f t="shared" ref="J48:J69" si="26">J47+(H48*60+I48)</f>
        <v>272</v>
      </c>
      <c r="K48">
        <f t="shared" si="22"/>
        <v>0</v>
      </c>
      <c r="L48">
        <f t="shared" si="23"/>
        <v>4</v>
      </c>
      <c r="M48">
        <f t="shared" si="24"/>
        <v>32</v>
      </c>
      <c r="N48">
        <v>1</v>
      </c>
      <c r="O48">
        <v>5</v>
      </c>
      <c r="P48">
        <v>21</v>
      </c>
      <c r="Q48">
        <f t="shared" si="25"/>
        <v>3921</v>
      </c>
    </row>
    <row r="49" spans="1:17" x14ac:dyDescent="0.25">
      <c r="A49" t="s">
        <v>50</v>
      </c>
      <c r="B49" t="b">
        <f t="shared" si="14"/>
        <v>0</v>
      </c>
      <c r="C49" t="b">
        <f t="shared" si="15"/>
        <v>0</v>
      </c>
      <c r="D49">
        <f t="shared" si="16"/>
        <v>1</v>
      </c>
      <c r="E49" t="str">
        <f t="shared" si="17"/>
        <v>2. Data Access in Spring</v>
      </c>
      <c r="F49" t="str">
        <f t="shared" si="18"/>
        <v/>
      </c>
      <c r="G49" t="str">
        <f t="shared" si="19"/>
        <v/>
      </c>
      <c r="H49">
        <f t="shared" si="20"/>
        <v>0</v>
      </c>
      <c r="I49">
        <f t="shared" si="21"/>
        <v>0</v>
      </c>
      <c r="J49">
        <f t="shared" si="26"/>
        <v>272</v>
      </c>
      <c r="K49">
        <f t="shared" si="22"/>
        <v>0</v>
      </c>
      <c r="L49">
        <f t="shared" si="23"/>
        <v>4</v>
      </c>
      <c r="M49">
        <f t="shared" si="24"/>
        <v>32</v>
      </c>
      <c r="N49">
        <v>1</v>
      </c>
      <c r="O49">
        <v>5</v>
      </c>
      <c r="P49">
        <v>21</v>
      </c>
      <c r="Q49">
        <f t="shared" si="25"/>
        <v>3921</v>
      </c>
    </row>
    <row r="50" spans="1:17" x14ac:dyDescent="0.25">
      <c r="A50" t="s">
        <v>3</v>
      </c>
      <c r="B50" t="b">
        <f t="shared" si="14"/>
        <v>0</v>
      </c>
      <c r="C50" t="b">
        <f t="shared" si="15"/>
        <v>0</v>
      </c>
      <c r="D50">
        <f t="shared" si="16"/>
        <v>1</v>
      </c>
      <c r="E50" t="str">
        <f t="shared" si="17"/>
        <v>2. Data Access in Spring</v>
      </c>
      <c r="F50" t="str">
        <f t="shared" si="18"/>
        <v/>
      </c>
      <c r="G50" t="str">
        <f t="shared" si="19"/>
        <v/>
      </c>
      <c r="H50">
        <f t="shared" si="20"/>
        <v>0</v>
      </c>
      <c r="I50">
        <f t="shared" si="21"/>
        <v>0</v>
      </c>
      <c r="J50">
        <f t="shared" si="26"/>
        <v>272</v>
      </c>
      <c r="K50">
        <f t="shared" si="22"/>
        <v>0</v>
      </c>
      <c r="L50">
        <f t="shared" si="23"/>
        <v>4</v>
      </c>
      <c r="M50">
        <f t="shared" si="24"/>
        <v>32</v>
      </c>
      <c r="N50">
        <v>1</v>
      </c>
      <c r="O50">
        <v>5</v>
      </c>
      <c r="P50">
        <v>21</v>
      </c>
      <c r="Q50">
        <f t="shared" si="25"/>
        <v>3921</v>
      </c>
    </row>
    <row r="51" spans="1:17" x14ac:dyDescent="0.25">
      <c r="A51" t="s">
        <v>51</v>
      </c>
      <c r="B51" t="b">
        <f t="shared" si="14"/>
        <v>0</v>
      </c>
      <c r="C51" t="b">
        <f t="shared" si="15"/>
        <v>1</v>
      </c>
      <c r="D51">
        <f t="shared" si="16"/>
        <v>2</v>
      </c>
      <c r="E51" t="str">
        <f t="shared" si="17"/>
        <v>2. Data Access in Spring</v>
      </c>
      <c r="F51" t="str">
        <f t="shared" si="18"/>
        <v>2. Embedded databases with Spring Boot</v>
      </c>
      <c r="G51" t="str">
        <f t="shared" si="19"/>
        <v>4m 32s</v>
      </c>
      <c r="H51">
        <f t="shared" si="20"/>
        <v>4</v>
      </c>
      <c r="I51">
        <f t="shared" si="21"/>
        <v>32</v>
      </c>
      <c r="J51">
        <f t="shared" si="26"/>
        <v>544</v>
      </c>
      <c r="K51">
        <f t="shared" si="22"/>
        <v>0</v>
      </c>
      <c r="L51">
        <f t="shared" si="23"/>
        <v>9</v>
      </c>
      <c r="M51">
        <f t="shared" si="24"/>
        <v>4</v>
      </c>
      <c r="N51">
        <v>1</v>
      </c>
      <c r="O51">
        <v>5</v>
      </c>
      <c r="P51">
        <v>21</v>
      </c>
      <c r="Q51">
        <f t="shared" si="25"/>
        <v>3921</v>
      </c>
    </row>
    <row r="52" spans="1:17" x14ac:dyDescent="0.25">
      <c r="A52" t="s">
        <v>50</v>
      </c>
      <c r="B52" t="b">
        <f t="shared" si="14"/>
        <v>0</v>
      </c>
      <c r="C52" t="b">
        <f t="shared" si="15"/>
        <v>0</v>
      </c>
      <c r="D52">
        <f t="shared" si="16"/>
        <v>2</v>
      </c>
      <c r="E52" t="str">
        <f t="shared" si="17"/>
        <v>2. Data Access in Spring</v>
      </c>
      <c r="F52" t="str">
        <f t="shared" si="18"/>
        <v/>
      </c>
      <c r="G52" t="str">
        <f t="shared" si="19"/>
        <v/>
      </c>
      <c r="H52">
        <f t="shared" si="20"/>
        <v>0</v>
      </c>
      <c r="I52">
        <f t="shared" si="21"/>
        <v>0</v>
      </c>
      <c r="J52">
        <f t="shared" si="26"/>
        <v>544</v>
      </c>
      <c r="K52">
        <f t="shared" si="22"/>
        <v>0</v>
      </c>
      <c r="L52">
        <f t="shared" si="23"/>
        <v>9</v>
      </c>
      <c r="M52">
        <f t="shared" si="24"/>
        <v>4</v>
      </c>
      <c r="N52">
        <v>1</v>
      </c>
      <c r="O52">
        <v>5</v>
      </c>
      <c r="P52">
        <v>21</v>
      </c>
      <c r="Q52">
        <f t="shared" si="25"/>
        <v>3921</v>
      </c>
    </row>
    <row r="53" spans="1:17" x14ac:dyDescent="0.25">
      <c r="A53" t="s">
        <v>3</v>
      </c>
      <c r="B53" t="b">
        <f t="shared" si="14"/>
        <v>0</v>
      </c>
      <c r="C53" t="b">
        <f t="shared" si="15"/>
        <v>0</v>
      </c>
      <c r="D53">
        <f t="shared" si="16"/>
        <v>2</v>
      </c>
      <c r="E53" t="str">
        <f t="shared" si="17"/>
        <v>2. Data Access in Spring</v>
      </c>
      <c r="F53" t="str">
        <f t="shared" si="18"/>
        <v/>
      </c>
      <c r="G53" t="str">
        <f t="shared" si="19"/>
        <v/>
      </c>
      <c r="H53">
        <f t="shared" si="20"/>
        <v>0</v>
      </c>
      <c r="I53">
        <f t="shared" si="21"/>
        <v>0</v>
      </c>
      <c r="J53">
        <f t="shared" si="26"/>
        <v>544</v>
      </c>
      <c r="K53">
        <f t="shared" si="22"/>
        <v>0</v>
      </c>
      <c r="L53">
        <f t="shared" si="23"/>
        <v>9</v>
      </c>
      <c r="M53">
        <f t="shared" si="24"/>
        <v>4</v>
      </c>
      <c r="N53">
        <v>1</v>
      </c>
      <c r="O53">
        <v>5</v>
      </c>
      <c r="P53">
        <v>21</v>
      </c>
      <c r="Q53">
        <f t="shared" si="25"/>
        <v>3921</v>
      </c>
    </row>
    <row r="54" spans="1:17" x14ac:dyDescent="0.25">
      <c r="A54" t="s">
        <v>49</v>
      </c>
      <c r="B54" t="b">
        <f t="shared" si="14"/>
        <v>0</v>
      </c>
      <c r="C54" t="b">
        <f t="shared" si="15"/>
        <v>1</v>
      </c>
      <c r="D54">
        <f t="shared" si="16"/>
        <v>3</v>
      </c>
      <c r="E54" t="str">
        <f t="shared" si="17"/>
        <v>2. Data Access in Spring</v>
      </c>
      <c r="F54" t="str">
        <f t="shared" si="18"/>
        <v>3. Repositories with Spring Data</v>
      </c>
      <c r="G54" t="str">
        <f t="shared" si="19"/>
        <v>6m 41s</v>
      </c>
      <c r="H54">
        <f t="shared" si="20"/>
        <v>6</v>
      </c>
      <c r="I54">
        <f t="shared" si="21"/>
        <v>41</v>
      </c>
      <c r="J54">
        <f t="shared" si="26"/>
        <v>945</v>
      </c>
      <c r="K54">
        <f t="shared" si="22"/>
        <v>0</v>
      </c>
      <c r="L54">
        <f t="shared" si="23"/>
        <v>15</v>
      </c>
      <c r="M54">
        <f t="shared" si="24"/>
        <v>45</v>
      </c>
      <c r="N54">
        <v>1</v>
      </c>
      <c r="O54">
        <v>5</v>
      </c>
      <c r="P54">
        <v>21</v>
      </c>
      <c r="Q54">
        <f t="shared" si="25"/>
        <v>3921</v>
      </c>
    </row>
    <row r="55" spans="1:17" x14ac:dyDescent="0.25">
      <c r="A55" t="s">
        <v>27</v>
      </c>
      <c r="B55" t="b">
        <f t="shared" si="14"/>
        <v>0</v>
      </c>
      <c r="C55" t="b">
        <f t="shared" si="15"/>
        <v>0</v>
      </c>
      <c r="D55">
        <f t="shared" si="16"/>
        <v>3</v>
      </c>
      <c r="E55" t="str">
        <f t="shared" si="17"/>
        <v>2. Data Access in Spring</v>
      </c>
      <c r="F55" t="str">
        <f t="shared" si="18"/>
        <v/>
      </c>
      <c r="G55" t="str">
        <f t="shared" si="19"/>
        <v/>
      </c>
      <c r="H55">
        <f t="shared" si="20"/>
        <v>0</v>
      </c>
      <c r="I55">
        <f t="shared" si="21"/>
        <v>0</v>
      </c>
      <c r="J55">
        <f t="shared" si="26"/>
        <v>945</v>
      </c>
      <c r="K55">
        <f t="shared" si="22"/>
        <v>0</v>
      </c>
      <c r="L55">
        <f t="shared" si="23"/>
        <v>15</v>
      </c>
      <c r="M55">
        <f t="shared" si="24"/>
        <v>45</v>
      </c>
      <c r="N55">
        <v>1</v>
      </c>
      <c r="O55">
        <v>5</v>
      </c>
      <c r="P55">
        <v>21</v>
      </c>
      <c r="Q55">
        <f t="shared" si="25"/>
        <v>3921</v>
      </c>
    </row>
    <row r="56" spans="1:17" x14ac:dyDescent="0.25">
      <c r="A56" t="s">
        <v>3</v>
      </c>
      <c r="B56" t="b">
        <f t="shared" si="14"/>
        <v>0</v>
      </c>
      <c r="C56" t="b">
        <f t="shared" si="15"/>
        <v>0</v>
      </c>
      <c r="D56">
        <f t="shared" si="16"/>
        <v>3</v>
      </c>
      <c r="E56" t="str">
        <f t="shared" si="17"/>
        <v>2. Data Access in Spring</v>
      </c>
      <c r="F56" t="str">
        <f t="shared" si="18"/>
        <v/>
      </c>
      <c r="G56" t="str">
        <f t="shared" si="19"/>
        <v/>
      </c>
      <c r="H56">
        <f t="shared" si="20"/>
        <v>0</v>
      </c>
      <c r="I56">
        <f t="shared" si="21"/>
        <v>0</v>
      </c>
      <c r="J56">
        <f t="shared" si="26"/>
        <v>945</v>
      </c>
      <c r="K56">
        <f t="shared" si="22"/>
        <v>0</v>
      </c>
      <c r="L56">
        <f t="shared" si="23"/>
        <v>15</v>
      </c>
      <c r="M56">
        <f t="shared" si="24"/>
        <v>45</v>
      </c>
      <c r="N56">
        <v>1</v>
      </c>
      <c r="O56">
        <v>5</v>
      </c>
      <c r="P56">
        <v>21</v>
      </c>
      <c r="Q56">
        <f t="shared" si="25"/>
        <v>3921</v>
      </c>
    </row>
    <row r="57" spans="1:17" x14ac:dyDescent="0.25">
      <c r="A57" t="s">
        <v>48</v>
      </c>
      <c r="B57" t="b">
        <f t="shared" si="14"/>
        <v>0</v>
      </c>
      <c r="C57" t="b">
        <f t="shared" si="15"/>
        <v>1</v>
      </c>
      <c r="D57">
        <f t="shared" si="16"/>
        <v>4</v>
      </c>
      <c r="E57" t="str">
        <f t="shared" si="17"/>
        <v>2. Data Access in Spring</v>
      </c>
      <c r="F57" t="str">
        <f t="shared" si="18"/>
        <v>4. Using a remote database</v>
      </c>
      <c r="G57" t="str">
        <f t="shared" si="19"/>
        <v>4m 35s</v>
      </c>
      <c r="H57">
        <f t="shared" si="20"/>
        <v>4</v>
      </c>
      <c r="I57">
        <f t="shared" si="21"/>
        <v>35</v>
      </c>
      <c r="J57">
        <f t="shared" si="26"/>
        <v>1220</v>
      </c>
      <c r="K57">
        <f t="shared" si="22"/>
        <v>0</v>
      </c>
      <c r="L57">
        <f t="shared" si="23"/>
        <v>20</v>
      </c>
      <c r="M57">
        <f t="shared" si="24"/>
        <v>20</v>
      </c>
      <c r="N57">
        <v>1</v>
      </c>
      <c r="O57">
        <v>5</v>
      </c>
      <c r="P57">
        <v>21</v>
      </c>
      <c r="Q57">
        <f t="shared" si="25"/>
        <v>3921</v>
      </c>
    </row>
    <row r="58" spans="1:17" x14ac:dyDescent="0.25">
      <c r="A58" t="s">
        <v>47</v>
      </c>
      <c r="B58" t="b">
        <f t="shared" si="14"/>
        <v>0</v>
      </c>
      <c r="C58" t="b">
        <f t="shared" si="15"/>
        <v>0</v>
      </c>
      <c r="D58">
        <f t="shared" si="16"/>
        <v>4</v>
      </c>
      <c r="E58" t="str">
        <f t="shared" si="17"/>
        <v>2. Data Access in Spring</v>
      </c>
      <c r="F58" t="str">
        <f t="shared" si="18"/>
        <v/>
      </c>
      <c r="G58" t="str">
        <f t="shared" si="19"/>
        <v/>
      </c>
      <c r="H58">
        <f t="shared" si="20"/>
        <v>0</v>
      </c>
      <c r="I58">
        <f t="shared" si="21"/>
        <v>0</v>
      </c>
      <c r="J58">
        <f t="shared" si="26"/>
        <v>1220</v>
      </c>
      <c r="K58">
        <f t="shared" si="22"/>
        <v>0</v>
      </c>
      <c r="L58">
        <f t="shared" si="23"/>
        <v>20</v>
      </c>
      <c r="M58">
        <f t="shared" si="24"/>
        <v>20</v>
      </c>
      <c r="N58">
        <v>1</v>
      </c>
      <c r="O58">
        <v>5</v>
      </c>
      <c r="P58">
        <v>21</v>
      </c>
      <c r="Q58">
        <f t="shared" si="25"/>
        <v>3921</v>
      </c>
    </row>
    <row r="59" spans="1:17" x14ac:dyDescent="0.25">
      <c r="A59" t="s">
        <v>3</v>
      </c>
      <c r="B59" t="b">
        <f t="shared" si="14"/>
        <v>0</v>
      </c>
      <c r="C59" t="b">
        <f t="shared" si="15"/>
        <v>0</v>
      </c>
      <c r="D59">
        <f t="shared" si="16"/>
        <v>4</v>
      </c>
      <c r="E59" t="str">
        <f t="shared" si="17"/>
        <v>2. Data Access in Spring</v>
      </c>
      <c r="F59" t="str">
        <f t="shared" si="18"/>
        <v/>
      </c>
      <c r="G59" t="str">
        <f t="shared" si="19"/>
        <v/>
      </c>
      <c r="H59">
        <f t="shared" si="20"/>
        <v>0</v>
      </c>
      <c r="I59">
        <f t="shared" si="21"/>
        <v>0</v>
      </c>
      <c r="J59">
        <f t="shared" si="26"/>
        <v>1220</v>
      </c>
      <c r="K59">
        <f t="shared" si="22"/>
        <v>0</v>
      </c>
      <c r="L59">
        <f t="shared" si="23"/>
        <v>20</v>
      </c>
      <c r="M59">
        <f t="shared" si="24"/>
        <v>20</v>
      </c>
      <c r="N59">
        <v>1</v>
      </c>
      <c r="O59">
        <v>5</v>
      </c>
      <c r="P59">
        <v>21</v>
      </c>
      <c r="Q59">
        <f t="shared" si="25"/>
        <v>3921</v>
      </c>
    </row>
    <row r="60" spans="1:17" x14ac:dyDescent="0.25">
      <c r="A60" t="s">
        <v>46</v>
      </c>
      <c r="B60" t="b">
        <f t="shared" si="14"/>
        <v>0</v>
      </c>
      <c r="C60" t="b">
        <f t="shared" si="15"/>
        <v>1</v>
      </c>
      <c r="D60">
        <f t="shared" si="16"/>
        <v>5</v>
      </c>
      <c r="E60" t="str">
        <f t="shared" si="17"/>
        <v>2. Data Access in Spring</v>
      </c>
      <c r="F60" t="str">
        <f t="shared" si="18"/>
        <v>5. Challange - Build an additional repository</v>
      </c>
      <c r="G60" t="str">
        <f t="shared" si="19"/>
        <v>1m 10s</v>
      </c>
      <c r="H60">
        <f t="shared" si="20"/>
        <v>1</v>
      </c>
      <c r="I60">
        <f t="shared" si="21"/>
        <v>10</v>
      </c>
      <c r="J60">
        <f t="shared" si="26"/>
        <v>1290</v>
      </c>
      <c r="K60">
        <f t="shared" si="22"/>
        <v>0</v>
      </c>
      <c r="L60">
        <f t="shared" si="23"/>
        <v>21</v>
      </c>
      <c r="M60">
        <f t="shared" si="24"/>
        <v>30</v>
      </c>
      <c r="N60">
        <v>1</v>
      </c>
      <c r="O60">
        <v>5</v>
      </c>
      <c r="P60">
        <v>21</v>
      </c>
      <c r="Q60">
        <f t="shared" si="25"/>
        <v>3921</v>
      </c>
    </row>
    <row r="61" spans="1:17" x14ac:dyDescent="0.25">
      <c r="A61" t="s">
        <v>45</v>
      </c>
      <c r="B61" t="b">
        <f t="shared" si="14"/>
        <v>0</v>
      </c>
      <c r="C61" t="b">
        <f t="shared" si="15"/>
        <v>0</v>
      </c>
      <c r="D61">
        <f t="shared" si="16"/>
        <v>5</v>
      </c>
      <c r="E61" t="str">
        <f t="shared" si="17"/>
        <v>2. Data Access in Spring</v>
      </c>
      <c r="F61" t="str">
        <f t="shared" si="18"/>
        <v/>
      </c>
      <c r="G61" t="str">
        <f t="shared" si="19"/>
        <v/>
      </c>
      <c r="H61">
        <f t="shared" si="20"/>
        <v>0</v>
      </c>
      <c r="I61">
        <f t="shared" si="21"/>
        <v>0</v>
      </c>
      <c r="J61">
        <f t="shared" si="26"/>
        <v>1290</v>
      </c>
      <c r="K61">
        <f t="shared" si="22"/>
        <v>0</v>
      </c>
      <c r="L61">
        <f t="shared" si="23"/>
        <v>21</v>
      </c>
      <c r="M61">
        <f t="shared" si="24"/>
        <v>30</v>
      </c>
      <c r="N61">
        <v>1</v>
      </c>
      <c r="O61">
        <v>5</v>
      </c>
      <c r="P61">
        <v>21</v>
      </c>
      <c r="Q61">
        <f t="shared" si="25"/>
        <v>3921</v>
      </c>
    </row>
    <row r="62" spans="1:17" x14ac:dyDescent="0.25">
      <c r="A62" t="s">
        <v>3</v>
      </c>
      <c r="B62" t="b">
        <f t="shared" si="14"/>
        <v>0</v>
      </c>
      <c r="C62" t="b">
        <f t="shared" si="15"/>
        <v>0</v>
      </c>
      <c r="D62">
        <f t="shared" si="16"/>
        <v>5</v>
      </c>
      <c r="E62" t="str">
        <f t="shared" si="17"/>
        <v>2. Data Access in Spring</v>
      </c>
      <c r="F62" t="str">
        <f t="shared" si="18"/>
        <v/>
      </c>
      <c r="G62" t="str">
        <f t="shared" si="19"/>
        <v/>
      </c>
      <c r="H62">
        <f t="shared" si="20"/>
        <v>0</v>
      </c>
      <c r="I62">
        <f t="shared" si="21"/>
        <v>0</v>
      </c>
      <c r="J62">
        <f t="shared" si="26"/>
        <v>1290</v>
      </c>
      <c r="K62">
        <f t="shared" si="22"/>
        <v>0</v>
      </c>
      <c r="L62">
        <f t="shared" si="23"/>
        <v>21</v>
      </c>
      <c r="M62">
        <f t="shared" si="24"/>
        <v>30</v>
      </c>
      <c r="N62">
        <v>1</v>
      </c>
      <c r="O62">
        <v>5</v>
      </c>
      <c r="P62">
        <v>21</v>
      </c>
      <c r="Q62">
        <f t="shared" si="25"/>
        <v>3921</v>
      </c>
    </row>
    <row r="63" spans="1:17" x14ac:dyDescent="0.25">
      <c r="A63" t="s">
        <v>44</v>
      </c>
      <c r="B63" t="b">
        <f t="shared" si="14"/>
        <v>0</v>
      </c>
      <c r="C63" t="b">
        <f t="shared" si="15"/>
        <v>1</v>
      </c>
      <c r="D63">
        <f t="shared" si="16"/>
        <v>6</v>
      </c>
      <c r="E63" t="str">
        <f t="shared" si="17"/>
        <v>2. Data Access in Spring</v>
      </c>
      <c r="F63" t="str">
        <f t="shared" si="18"/>
        <v>6. Solution - Build an additional repository</v>
      </c>
      <c r="G63" t="str">
        <f t="shared" si="19"/>
        <v>3m 5s</v>
      </c>
      <c r="H63">
        <f t="shared" si="20"/>
        <v>3</v>
      </c>
      <c r="I63">
        <f t="shared" si="21"/>
        <v>5</v>
      </c>
      <c r="J63">
        <f t="shared" si="26"/>
        <v>1475</v>
      </c>
      <c r="K63">
        <f t="shared" si="22"/>
        <v>0</v>
      </c>
      <c r="L63">
        <f t="shared" si="23"/>
        <v>24</v>
      </c>
      <c r="M63">
        <f t="shared" si="24"/>
        <v>35</v>
      </c>
      <c r="N63">
        <v>1</v>
      </c>
      <c r="O63">
        <v>5</v>
      </c>
      <c r="P63">
        <v>21</v>
      </c>
      <c r="Q63">
        <f t="shared" si="25"/>
        <v>3921</v>
      </c>
    </row>
    <row r="64" spans="1:17" x14ac:dyDescent="0.25">
      <c r="A64" t="s">
        <v>43</v>
      </c>
      <c r="B64" t="b">
        <f t="shared" si="14"/>
        <v>0</v>
      </c>
      <c r="C64" t="b">
        <f t="shared" si="15"/>
        <v>0</v>
      </c>
      <c r="D64">
        <f t="shared" si="16"/>
        <v>6</v>
      </c>
      <c r="E64" t="str">
        <f t="shared" si="17"/>
        <v>2. Data Access in Spring</v>
      </c>
      <c r="F64" t="str">
        <f t="shared" si="18"/>
        <v/>
      </c>
      <c r="G64" t="str">
        <f t="shared" si="19"/>
        <v/>
      </c>
      <c r="H64">
        <f t="shared" si="20"/>
        <v>0</v>
      </c>
      <c r="I64">
        <f t="shared" si="21"/>
        <v>0</v>
      </c>
      <c r="J64">
        <f t="shared" si="26"/>
        <v>1475</v>
      </c>
      <c r="K64">
        <f t="shared" si="22"/>
        <v>0</v>
      </c>
      <c r="L64">
        <f t="shared" si="23"/>
        <v>24</v>
      </c>
      <c r="M64">
        <f t="shared" si="24"/>
        <v>35</v>
      </c>
      <c r="N64">
        <v>1</v>
      </c>
      <c r="O64">
        <v>5</v>
      </c>
      <c r="P64">
        <v>21</v>
      </c>
      <c r="Q64">
        <f t="shared" si="25"/>
        <v>3921</v>
      </c>
    </row>
    <row r="65" spans="1:17" x14ac:dyDescent="0.25">
      <c r="A65" t="s">
        <v>3</v>
      </c>
      <c r="B65" t="b">
        <f t="shared" si="14"/>
        <v>0</v>
      </c>
      <c r="C65" t="b">
        <f t="shared" si="15"/>
        <v>0</v>
      </c>
      <c r="D65">
        <f t="shared" si="16"/>
        <v>6</v>
      </c>
      <c r="E65" t="str">
        <f t="shared" si="17"/>
        <v>2. Data Access in Spring</v>
      </c>
      <c r="F65" t="str">
        <f t="shared" si="18"/>
        <v/>
      </c>
      <c r="G65" t="str">
        <f t="shared" si="19"/>
        <v/>
      </c>
      <c r="H65">
        <f t="shared" si="20"/>
        <v>0</v>
      </c>
      <c r="I65">
        <f t="shared" si="21"/>
        <v>0</v>
      </c>
      <c r="J65">
        <f t="shared" si="26"/>
        <v>1475</v>
      </c>
      <c r="K65">
        <f t="shared" si="22"/>
        <v>0</v>
      </c>
      <c r="L65">
        <f t="shared" si="23"/>
        <v>24</v>
      </c>
      <c r="M65">
        <f t="shared" si="24"/>
        <v>35</v>
      </c>
      <c r="N65">
        <v>1</v>
      </c>
      <c r="O65">
        <v>5</v>
      </c>
      <c r="P65">
        <v>21</v>
      </c>
      <c r="Q65">
        <f t="shared" si="25"/>
        <v>3921</v>
      </c>
    </row>
    <row r="66" spans="1:17" x14ac:dyDescent="0.25">
      <c r="A66" t="s">
        <v>12</v>
      </c>
      <c r="B66" t="b">
        <f t="shared" si="14"/>
        <v>0</v>
      </c>
      <c r="C66" t="b">
        <f t="shared" si="15"/>
        <v>0</v>
      </c>
      <c r="D66">
        <f t="shared" si="16"/>
        <v>6</v>
      </c>
      <c r="E66" t="str">
        <f t="shared" si="17"/>
        <v>2. Data Access in Spring</v>
      </c>
      <c r="F66" t="str">
        <f t="shared" si="18"/>
        <v/>
      </c>
      <c r="G66" t="str">
        <f t="shared" si="19"/>
        <v/>
      </c>
      <c r="H66">
        <f t="shared" si="20"/>
        <v>0</v>
      </c>
      <c r="I66">
        <f t="shared" si="21"/>
        <v>0</v>
      </c>
      <c r="J66">
        <f t="shared" si="26"/>
        <v>1475</v>
      </c>
      <c r="K66">
        <f t="shared" si="22"/>
        <v>0</v>
      </c>
      <c r="L66">
        <f t="shared" si="23"/>
        <v>24</v>
      </c>
      <c r="M66">
        <f t="shared" si="24"/>
        <v>35</v>
      </c>
      <c r="N66">
        <v>1</v>
      </c>
      <c r="O66">
        <v>5</v>
      </c>
      <c r="P66">
        <v>21</v>
      </c>
      <c r="Q66">
        <f t="shared" si="25"/>
        <v>3921</v>
      </c>
    </row>
    <row r="67" spans="1:17" x14ac:dyDescent="0.25">
      <c r="A67" t="s">
        <v>22</v>
      </c>
      <c r="B67" t="b">
        <f t="shared" si="14"/>
        <v>0</v>
      </c>
      <c r="C67" t="b">
        <f t="shared" si="15"/>
        <v>0</v>
      </c>
      <c r="D67">
        <f t="shared" si="16"/>
        <v>6</v>
      </c>
      <c r="E67" t="str">
        <f t="shared" si="17"/>
        <v>2. Data Access in Spring</v>
      </c>
      <c r="F67" t="str">
        <f t="shared" si="18"/>
        <v/>
      </c>
      <c r="G67" t="str">
        <f t="shared" si="19"/>
        <v/>
      </c>
      <c r="H67">
        <f t="shared" si="20"/>
        <v>0</v>
      </c>
      <c r="I67">
        <f t="shared" si="21"/>
        <v>0</v>
      </c>
      <c r="J67">
        <f t="shared" si="26"/>
        <v>1475</v>
      </c>
      <c r="K67">
        <f t="shared" si="22"/>
        <v>0</v>
      </c>
      <c r="L67">
        <f t="shared" si="23"/>
        <v>24</v>
      </c>
      <c r="M67">
        <f t="shared" si="24"/>
        <v>35</v>
      </c>
      <c r="N67">
        <v>1</v>
      </c>
      <c r="O67">
        <v>5</v>
      </c>
      <c r="P67">
        <v>21</v>
      </c>
      <c r="Q67">
        <f t="shared" si="25"/>
        <v>3921</v>
      </c>
    </row>
    <row r="68" spans="1:17" x14ac:dyDescent="0.25">
      <c r="B68" t="b">
        <f t="shared" si="14"/>
        <v>0</v>
      </c>
      <c r="C68" t="b">
        <f t="shared" si="15"/>
        <v>0</v>
      </c>
      <c r="D68">
        <f t="shared" si="16"/>
        <v>6</v>
      </c>
      <c r="E68" t="str">
        <f t="shared" si="17"/>
        <v>2. Data Access in Spring</v>
      </c>
      <c r="F68" t="str">
        <f t="shared" si="18"/>
        <v/>
      </c>
      <c r="G68" t="str">
        <f t="shared" si="19"/>
        <v/>
      </c>
      <c r="H68">
        <f t="shared" si="20"/>
        <v>0</v>
      </c>
      <c r="I68">
        <f t="shared" si="21"/>
        <v>0</v>
      </c>
      <c r="J68">
        <f t="shared" si="26"/>
        <v>1475</v>
      </c>
      <c r="K68">
        <f t="shared" si="22"/>
        <v>0</v>
      </c>
      <c r="L68">
        <f t="shared" si="23"/>
        <v>24</v>
      </c>
      <c r="M68">
        <f t="shared" si="24"/>
        <v>35</v>
      </c>
      <c r="N68">
        <v>1</v>
      </c>
      <c r="O68">
        <v>5</v>
      </c>
      <c r="P68">
        <v>21</v>
      </c>
      <c r="Q68">
        <f t="shared" si="25"/>
        <v>3921</v>
      </c>
    </row>
    <row r="69" spans="1:17" x14ac:dyDescent="0.25">
      <c r="A69" t="s">
        <v>42</v>
      </c>
      <c r="B69" t="b">
        <f t="shared" si="14"/>
        <v>1</v>
      </c>
      <c r="C69" t="b">
        <f t="shared" si="15"/>
        <v>0</v>
      </c>
      <c r="D69">
        <f t="shared" si="16"/>
        <v>0</v>
      </c>
      <c r="E69" t="str">
        <f t="shared" si="17"/>
        <v>3. Service Tier</v>
      </c>
      <c r="F69" t="str">
        <f t="shared" si="18"/>
        <v/>
      </c>
      <c r="G69" t="str">
        <f t="shared" si="19"/>
        <v/>
      </c>
      <c r="H69">
        <f t="shared" si="20"/>
        <v>0</v>
      </c>
      <c r="I69">
        <f t="shared" si="21"/>
        <v>0</v>
      </c>
      <c r="J69">
        <f t="shared" si="26"/>
        <v>1475</v>
      </c>
      <c r="K69">
        <f t="shared" si="22"/>
        <v>0</v>
      </c>
      <c r="L69">
        <f t="shared" si="23"/>
        <v>24</v>
      </c>
      <c r="M69">
        <f t="shared" si="24"/>
        <v>35</v>
      </c>
      <c r="N69">
        <v>1</v>
      </c>
      <c r="O69">
        <v>5</v>
      </c>
      <c r="P69">
        <v>21</v>
      </c>
      <c r="Q69">
        <f t="shared" si="25"/>
        <v>3921</v>
      </c>
    </row>
    <row r="70" spans="1:17" x14ac:dyDescent="0.25">
      <c r="B70" t="b">
        <f t="shared" si="14"/>
        <v>0</v>
      </c>
      <c r="C70" t="b">
        <f t="shared" si="15"/>
        <v>0</v>
      </c>
      <c r="D70">
        <f t="shared" si="16"/>
        <v>0</v>
      </c>
      <c r="E70" t="str">
        <f t="shared" si="17"/>
        <v>3. Service Tier</v>
      </c>
      <c r="F70" t="str">
        <f t="shared" si="18"/>
        <v/>
      </c>
      <c r="G70" t="str">
        <f t="shared" si="19"/>
        <v/>
      </c>
      <c r="H70">
        <f t="shared" si="20"/>
        <v>0</v>
      </c>
      <c r="I70">
        <f t="shared" si="21"/>
        <v>0</v>
      </c>
      <c r="J70">
        <v>1670</v>
      </c>
      <c r="K70">
        <f t="shared" si="22"/>
        <v>0</v>
      </c>
      <c r="L70">
        <f t="shared" si="23"/>
        <v>27</v>
      </c>
      <c r="M70">
        <f t="shared" si="24"/>
        <v>50</v>
      </c>
      <c r="N70">
        <v>1</v>
      </c>
      <c r="O70">
        <v>5</v>
      </c>
      <c r="P70">
        <v>21</v>
      </c>
      <c r="Q70">
        <f t="shared" si="25"/>
        <v>3921</v>
      </c>
    </row>
    <row r="71" spans="1:17" x14ac:dyDescent="0.25">
      <c r="A71" t="s">
        <v>41</v>
      </c>
      <c r="B71" t="b">
        <f t="shared" si="14"/>
        <v>0</v>
      </c>
      <c r="C71" t="b">
        <f t="shared" si="15"/>
        <v>1</v>
      </c>
      <c r="D71">
        <f t="shared" si="16"/>
        <v>1</v>
      </c>
      <c r="E71" t="str">
        <f t="shared" si="17"/>
        <v>3. Service Tier</v>
      </c>
      <c r="F71" t="str">
        <f t="shared" si="18"/>
        <v>1. Utilizing IoC</v>
      </c>
      <c r="G71" t="str">
        <f t="shared" si="19"/>
        <v>3m 1s</v>
      </c>
      <c r="H71">
        <f t="shared" si="20"/>
        <v>3</v>
      </c>
      <c r="I71">
        <f t="shared" si="21"/>
        <v>1</v>
      </c>
      <c r="J71">
        <f t="shared" ref="J71:J83" si="27">J70+(H71*60+I71)</f>
        <v>1851</v>
      </c>
      <c r="K71">
        <f t="shared" si="22"/>
        <v>0</v>
      </c>
      <c r="L71">
        <f t="shared" si="23"/>
        <v>30</v>
      </c>
      <c r="M71">
        <f t="shared" si="24"/>
        <v>51</v>
      </c>
      <c r="N71">
        <v>1</v>
      </c>
      <c r="O71">
        <v>5</v>
      </c>
      <c r="P71">
        <v>21</v>
      </c>
      <c r="Q71">
        <f t="shared" si="25"/>
        <v>3921</v>
      </c>
    </row>
    <row r="72" spans="1:17" x14ac:dyDescent="0.25">
      <c r="A72" t="s">
        <v>40</v>
      </c>
      <c r="B72" t="b">
        <f t="shared" si="14"/>
        <v>0</v>
      </c>
      <c r="C72" t="b">
        <f t="shared" si="15"/>
        <v>0</v>
      </c>
      <c r="D72">
        <f t="shared" si="16"/>
        <v>1</v>
      </c>
      <c r="E72" t="str">
        <f t="shared" si="17"/>
        <v>3. Service Tier</v>
      </c>
      <c r="F72" t="str">
        <f t="shared" si="18"/>
        <v/>
      </c>
      <c r="G72" t="str">
        <f t="shared" si="19"/>
        <v/>
      </c>
      <c r="H72">
        <f t="shared" si="20"/>
        <v>0</v>
      </c>
      <c r="I72">
        <f t="shared" si="21"/>
        <v>0</v>
      </c>
      <c r="J72">
        <f t="shared" si="27"/>
        <v>1851</v>
      </c>
      <c r="K72">
        <f t="shared" si="22"/>
        <v>0</v>
      </c>
      <c r="L72">
        <f t="shared" si="23"/>
        <v>30</v>
      </c>
      <c r="M72">
        <f t="shared" si="24"/>
        <v>51</v>
      </c>
      <c r="N72">
        <v>1</v>
      </c>
      <c r="O72">
        <v>5</v>
      </c>
      <c r="P72">
        <v>21</v>
      </c>
      <c r="Q72">
        <f t="shared" si="25"/>
        <v>3921</v>
      </c>
    </row>
    <row r="73" spans="1:17" x14ac:dyDescent="0.25">
      <c r="A73" t="s">
        <v>3</v>
      </c>
      <c r="B73" t="b">
        <f t="shared" si="14"/>
        <v>0</v>
      </c>
      <c r="C73" t="b">
        <f t="shared" si="15"/>
        <v>0</v>
      </c>
      <c r="D73">
        <f t="shared" si="16"/>
        <v>1</v>
      </c>
      <c r="E73" t="str">
        <f t="shared" si="17"/>
        <v>3. Service Tier</v>
      </c>
      <c r="F73" t="str">
        <f t="shared" si="18"/>
        <v/>
      </c>
      <c r="G73" t="str">
        <f t="shared" si="19"/>
        <v/>
      </c>
      <c r="H73">
        <f t="shared" si="20"/>
        <v>0</v>
      </c>
      <c r="I73">
        <f t="shared" si="21"/>
        <v>0</v>
      </c>
      <c r="J73">
        <f t="shared" si="27"/>
        <v>1851</v>
      </c>
      <c r="K73">
        <f t="shared" si="22"/>
        <v>0</v>
      </c>
      <c r="L73">
        <f t="shared" si="23"/>
        <v>30</v>
      </c>
      <c r="M73">
        <f t="shared" si="24"/>
        <v>51</v>
      </c>
      <c r="N73">
        <v>1</v>
      </c>
      <c r="O73">
        <v>5</v>
      </c>
      <c r="P73">
        <v>21</v>
      </c>
      <c r="Q73">
        <f t="shared" si="25"/>
        <v>3921</v>
      </c>
    </row>
    <row r="74" spans="1:17" x14ac:dyDescent="0.25">
      <c r="A74" t="s">
        <v>39</v>
      </c>
      <c r="B74" t="b">
        <f t="shared" si="14"/>
        <v>0</v>
      </c>
      <c r="C74" t="b">
        <f t="shared" si="15"/>
        <v>1</v>
      </c>
      <c r="D74">
        <f t="shared" si="16"/>
        <v>2</v>
      </c>
      <c r="E74" t="str">
        <f t="shared" si="17"/>
        <v>3. Service Tier</v>
      </c>
      <c r="F74" t="str">
        <f t="shared" si="18"/>
        <v>2. Build a service abstraction</v>
      </c>
      <c r="G74" t="str">
        <f t="shared" si="19"/>
        <v>3m 41s</v>
      </c>
      <c r="H74">
        <f t="shared" si="20"/>
        <v>3</v>
      </c>
      <c r="I74">
        <f t="shared" si="21"/>
        <v>41</v>
      </c>
      <c r="J74">
        <f t="shared" si="27"/>
        <v>2072</v>
      </c>
      <c r="K74">
        <f t="shared" si="22"/>
        <v>0</v>
      </c>
      <c r="L74">
        <f t="shared" si="23"/>
        <v>34</v>
      </c>
      <c r="M74">
        <f t="shared" si="24"/>
        <v>32</v>
      </c>
      <c r="N74">
        <v>1</v>
      </c>
      <c r="O74">
        <v>5</v>
      </c>
      <c r="P74">
        <v>21</v>
      </c>
      <c r="Q74">
        <f t="shared" si="25"/>
        <v>3921</v>
      </c>
    </row>
    <row r="75" spans="1:17" x14ac:dyDescent="0.25">
      <c r="A75" t="s">
        <v>38</v>
      </c>
      <c r="B75" t="b">
        <f t="shared" si="14"/>
        <v>0</v>
      </c>
      <c r="C75" t="b">
        <f t="shared" si="15"/>
        <v>0</v>
      </c>
      <c r="D75">
        <f t="shared" si="16"/>
        <v>2</v>
      </c>
      <c r="E75" t="str">
        <f t="shared" si="17"/>
        <v>3. Service Tier</v>
      </c>
      <c r="F75" t="str">
        <f t="shared" si="18"/>
        <v/>
      </c>
      <c r="G75" t="str">
        <f t="shared" si="19"/>
        <v/>
      </c>
      <c r="H75">
        <f t="shared" si="20"/>
        <v>0</v>
      </c>
      <c r="I75">
        <f t="shared" si="21"/>
        <v>0</v>
      </c>
      <c r="J75">
        <f t="shared" si="27"/>
        <v>2072</v>
      </c>
      <c r="K75">
        <f t="shared" si="22"/>
        <v>0</v>
      </c>
      <c r="L75">
        <f t="shared" si="23"/>
        <v>34</v>
      </c>
      <c r="M75">
        <f t="shared" si="24"/>
        <v>32</v>
      </c>
      <c r="N75">
        <v>1</v>
      </c>
      <c r="O75">
        <v>5</v>
      </c>
      <c r="P75">
        <v>21</v>
      </c>
      <c r="Q75">
        <f t="shared" si="25"/>
        <v>3921</v>
      </c>
    </row>
    <row r="76" spans="1:17" x14ac:dyDescent="0.25">
      <c r="A76" t="s">
        <v>3</v>
      </c>
      <c r="B76" t="b">
        <f t="shared" si="14"/>
        <v>0</v>
      </c>
      <c r="C76" t="b">
        <f t="shared" si="15"/>
        <v>0</v>
      </c>
      <c r="D76">
        <f t="shared" si="16"/>
        <v>2</v>
      </c>
      <c r="E76" t="str">
        <f t="shared" si="17"/>
        <v>3. Service Tier</v>
      </c>
      <c r="F76" t="str">
        <f t="shared" si="18"/>
        <v/>
      </c>
      <c r="G76" t="str">
        <f t="shared" si="19"/>
        <v/>
      </c>
      <c r="H76">
        <f t="shared" si="20"/>
        <v>0</v>
      </c>
      <c r="I76">
        <f t="shared" si="21"/>
        <v>0</v>
      </c>
      <c r="J76">
        <f t="shared" si="27"/>
        <v>2072</v>
      </c>
      <c r="K76">
        <f t="shared" si="22"/>
        <v>0</v>
      </c>
      <c r="L76">
        <f t="shared" si="23"/>
        <v>34</v>
      </c>
      <c r="M76">
        <f t="shared" si="24"/>
        <v>32</v>
      </c>
      <c r="N76">
        <v>1</v>
      </c>
      <c r="O76">
        <v>5</v>
      </c>
      <c r="P76">
        <v>21</v>
      </c>
      <c r="Q76">
        <f t="shared" si="25"/>
        <v>3921</v>
      </c>
    </row>
    <row r="77" spans="1:17" x14ac:dyDescent="0.25">
      <c r="A77" t="s">
        <v>37</v>
      </c>
      <c r="B77" t="b">
        <f t="shared" si="14"/>
        <v>0</v>
      </c>
      <c r="C77" t="b">
        <f t="shared" si="15"/>
        <v>1</v>
      </c>
      <c r="D77">
        <f t="shared" si="16"/>
        <v>3</v>
      </c>
      <c r="E77" t="str">
        <f t="shared" si="17"/>
        <v>3. Service Tier</v>
      </c>
      <c r="F77" t="str">
        <f t="shared" si="18"/>
        <v>3. Develop a service object with Spring</v>
      </c>
      <c r="G77" t="str">
        <f t="shared" si="19"/>
        <v>8m 46s</v>
      </c>
      <c r="H77">
        <f t="shared" si="20"/>
        <v>8</v>
      </c>
      <c r="I77">
        <f t="shared" si="21"/>
        <v>46</v>
      </c>
      <c r="J77">
        <f t="shared" si="27"/>
        <v>2598</v>
      </c>
      <c r="K77">
        <f t="shared" si="22"/>
        <v>0</v>
      </c>
      <c r="L77">
        <f t="shared" si="23"/>
        <v>43</v>
      </c>
      <c r="M77">
        <f t="shared" si="24"/>
        <v>18</v>
      </c>
      <c r="N77">
        <v>1</v>
      </c>
      <c r="O77">
        <v>5</v>
      </c>
      <c r="P77">
        <v>21</v>
      </c>
      <c r="Q77">
        <f t="shared" si="25"/>
        <v>3921</v>
      </c>
    </row>
    <row r="78" spans="1:17" x14ac:dyDescent="0.25">
      <c r="A78" t="s">
        <v>36</v>
      </c>
      <c r="B78" t="b">
        <f t="shared" ref="B78:B109" si="28">AND(NOT(ISERROR(FIND(". ",A78))),ISNUMBER(VALUE(LEFT(A78,FIND(". ",A78)-1))))</f>
        <v>0</v>
      </c>
      <c r="C78" t="b">
        <f t="shared" ref="C78:C109" si="29">OR(AND(NOT(ISERROR(FIND("m",A79))),ISNUMBER(VALUE(LEFT(A79,FIND("m",A79)-1)))),AND(NOT(ISERROR(FIND("s",A79))),ISNUMBER(VALUE(LEFT(A79,FIND("s",A79)-1)))))</f>
        <v>0</v>
      </c>
      <c r="D78">
        <f t="shared" ref="D78:D109" si="30">IF(B78,0,IF(C78,D77+1,D77))</f>
        <v>3</v>
      </c>
      <c r="E78" t="str">
        <f t="shared" ref="E78:E109" si="31">IF(B78,A78,E77)</f>
        <v>3. Service Tier</v>
      </c>
      <c r="F78" t="str">
        <f t="shared" ref="F78:F109" si="32">IF(C78,SUBSTITUTE(D78&amp;". "&amp;A78,":"," -"),"")</f>
        <v/>
      </c>
      <c r="G78" t="str">
        <f t="shared" ref="G78:G109" si="33">IF(C78,IF(ISERROR(FIND("s",A79)),LEFT(A79,FIND("m",A79)),LEFT(A79,FIND("s",A79))),"")</f>
        <v/>
      </c>
      <c r="H78">
        <f t="shared" ref="H78:H109" si="34">IF(OR(G78="",ISERROR(FIND("m",G78))),0,VALUE(LEFT(G78,FIND("m",G78)-1)))</f>
        <v>0</v>
      </c>
      <c r="I78">
        <f t="shared" ref="I78:I109" si="35">IF(OR(G78="",ISERROR(FIND("s",G78))),0,VALUE(SUBSTITUTE(MID(G78,IF(ISERROR(FIND("m",G78)), 0,FIND("m",G78))+1,LEN(G78)),"s","")))</f>
        <v>0</v>
      </c>
      <c r="J78">
        <f t="shared" si="27"/>
        <v>2598</v>
      </c>
      <c r="K78">
        <f t="shared" ref="K78:K109" si="36">INT(J78/60/60)</f>
        <v>0</v>
      </c>
      <c r="L78">
        <f t="shared" ref="L78:L109" si="37">INT((J78-(K78*60*60))/60)</f>
        <v>43</v>
      </c>
      <c r="M78">
        <f t="shared" ref="M78:M109" si="38">J78-(((K78*60)+L78)*60)</f>
        <v>18</v>
      </c>
      <c r="N78">
        <v>1</v>
      </c>
      <c r="O78">
        <v>5</v>
      </c>
      <c r="P78">
        <v>21</v>
      </c>
      <c r="Q78">
        <f t="shared" ref="Q78:Q109" si="39">((N78*60)+O78)*60+P78</f>
        <v>3921</v>
      </c>
    </row>
    <row r="79" spans="1:17" x14ac:dyDescent="0.25">
      <c r="A79" s="1" t="s">
        <v>35</v>
      </c>
      <c r="B79" t="b">
        <f t="shared" si="28"/>
        <v>0</v>
      </c>
      <c r="C79" t="b">
        <f t="shared" si="29"/>
        <v>1</v>
      </c>
      <c r="D79">
        <f t="shared" si="30"/>
        <v>4</v>
      </c>
      <c r="E79" t="str">
        <f t="shared" si="31"/>
        <v>3. Service Tier</v>
      </c>
      <c r="F79" t="str">
        <f t="shared" si="32"/>
        <v>4. Create a Service Object</v>
      </c>
      <c r="G79" t="str">
        <f t="shared" si="33"/>
        <v>9m 40s</v>
      </c>
      <c r="H79">
        <f t="shared" si="34"/>
        <v>9</v>
      </c>
      <c r="I79">
        <f t="shared" si="35"/>
        <v>40</v>
      </c>
      <c r="J79">
        <f t="shared" si="27"/>
        <v>3178</v>
      </c>
      <c r="K79">
        <f t="shared" si="36"/>
        <v>0</v>
      </c>
      <c r="L79">
        <f t="shared" si="37"/>
        <v>52</v>
      </c>
      <c r="M79">
        <f t="shared" si="38"/>
        <v>58</v>
      </c>
      <c r="N79">
        <v>1</v>
      </c>
      <c r="O79">
        <v>5</v>
      </c>
      <c r="P79">
        <v>21</v>
      </c>
      <c r="Q79">
        <f t="shared" si="39"/>
        <v>3921</v>
      </c>
    </row>
    <row r="80" spans="1:17" x14ac:dyDescent="0.25">
      <c r="A80" t="s">
        <v>34</v>
      </c>
      <c r="B80" t="b">
        <f t="shared" si="28"/>
        <v>0</v>
      </c>
      <c r="C80" t="b">
        <f t="shared" si="29"/>
        <v>0</v>
      </c>
      <c r="D80">
        <f t="shared" si="30"/>
        <v>4</v>
      </c>
      <c r="E80" t="str">
        <f t="shared" si="31"/>
        <v>3. Service Tier</v>
      </c>
      <c r="F80" t="str">
        <f t="shared" si="32"/>
        <v/>
      </c>
      <c r="G80" t="str">
        <f t="shared" si="33"/>
        <v/>
      </c>
      <c r="H80">
        <f t="shared" si="34"/>
        <v>0</v>
      </c>
      <c r="I80">
        <f t="shared" si="35"/>
        <v>0</v>
      </c>
      <c r="J80">
        <f t="shared" si="27"/>
        <v>3178</v>
      </c>
      <c r="K80">
        <f t="shared" si="36"/>
        <v>0</v>
      </c>
      <c r="L80">
        <f t="shared" si="37"/>
        <v>52</v>
      </c>
      <c r="M80">
        <f t="shared" si="38"/>
        <v>58</v>
      </c>
      <c r="N80">
        <v>1</v>
      </c>
      <c r="O80">
        <v>5</v>
      </c>
      <c r="P80">
        <v>21</v>
      </c>
      <c r="Q80">
        <f t="shared" si="39"/>
        <v>3921</v>
      </c>
    </row>
    <row r="81" spans="1:17" x14ac:dyDescent="0.25">
      <c r="A81" t="s">
        <v>22</v>
      </c>
      <c r="B81" t="b">
        <f t="shared" si="28"/>
        <v>0</v>
      </c>
      <c r="C81" t="b">
        <f t="shared" si="29"/>
        <v>0</v>
      </c>
      <c r="D81">
        <f t="shared" si="30"/>
        <v>4</v>
      </c>
      <c r="E81" t="str">
        <f t="shared" si="31"/>
        <v>3. Service Tier</v>
      </c>
      <c r="F81" t="str">
        <f t="shared" si="32"/>
        <v/>
      </c>
      <c r="G81" t="str">
        <f t="shared" si="33"/>
        <v/>
      </c>
      <c r="H81">
        <f t="shared" si="34"/>
        <v>0</v>
      </c>
      <c r="I81">
        <f t="shared" si="35"/>
        <v>0</v>
      </c>
      <c r="J81">
        <f t="shared" si="27"/>
        <v>3178</v>
      </c>
      <c r="K81">
        <f t="shared" si="36"/>
        <v>0</v>
      </c>
      <c r="L81">
        <f t="shared" si="37"/>
        <v>52</v>
      </c>
      <c r="M81">
        <f t="shared" si="38"/>
        <v>58</v>
      </c>
      <c r="N81">
        <v>1</v>
      </c>
      <c r="O81">
        <v>5</v>
      </c>
      <c r="P81">
        <v>21</v>
      </c>
      <c r="Q81">
        <f t="shared" si="39"/>
        <v>3921</v>
      </c>
    </row>
    <row r="82" spans="1:17" x14ac:dyDescent="0.25">
      <c r="B82" t="b">
        <f t="shared" si="28"/>
        <v>0</v>
      </c>
      <c r="C82" t="b">
        <f t="shared" si="29"/>
        <v>0</v>
      </c>
      <c r="D82">
        <f t="shared" si="30"/>
        <v>4</v>
      </c>
      <c r="E82" t="str">
        <f t="shared" si="31"/>
        <v>3. Service Tier</v>
      </c>
      <c r="F82" t="str">
        <f t="shared" si="32"/>
        <v/>
      </c>
      <c r="G82" t="str">
        <f t="shared" si="33"/>
        <v/>
      </c>
      <c r="H82">
        <f t="shared" si="34"/>
        <v>0</v>
      </c>
      <c r="I82">
        <f t="shared" si="35"/>
        <v>0</v>
      </c>
      <c r="J82">
        <f t="shared" si="27"/>
        <v>3178</v>
      </c>
      <c r="K82">
        <f t="shared" si="36"/>
        <v>0</v>
      </c>
      <c r="L82">
        <f t="shared" si="37"/>
        <v>52</v>
      </c>
      <c r="M82">
        <f t="shared" si="38"/>
        <v>58</v>
      </c>
      <c r="N82">
        <v>1</v>
      </c>
      <c r="O82">
        <v>5</v>
      </c>
      <c r="P82">
        <v>21</v>
      </c>
      <c r="Q82">
        <f t="shared" si="39"/>
        <v>3921</v>
      </c>
    </row>
    <row r="83" spans="1:17" x14ac:dyDescent="0.25">
      <c r="A83" t="s">
        <v>33</v>
      </c>
      <c r="B83" t="b">
        <f t="shared" si="28"/>
        <v>1</v>
      </c>
      <c r="C83" t="b">
        <f t="shared" si="29"/>
        <v>0</v>
      </c>
      <c r="D83">
        <f t="shared" si="30"/>
        <v>0</v>
      </c>
      <c r="E83" t="str">
        <f t="shared" si="31"/>
        <v>4. Web Pages with Spring</v>
      </c>
      <c r="F83" t="str">
        <f t="shared" si="32"/>
        <v/>
      </c>
      <c r="G83" t="str">
        <f t="shared" si="33"/>
        <v/>
      </c>
      <c r="H83">
        <f t="shared" si="34"/>
        <v>0</v>
      </c>
      <c r="I83">
        <f t="shared" si="35"/>
        <v>0</v>
      </c>
      <c r="J83">
        <f t="shared" si="27"/>
        <v>3178</v>
      </c>
      <c r="K83">
        <f t="shared" si="36"/>
        <v>0</v>
      </c>
      <c r="L83">
        <f t="shared" si="37"/>
        <v>52</v>
      </c>
      <c r="M83">
        <f t="shared" si="38"/>
        <v>58</v>
      </c>
      <c r="N83">
        <v>1</v>
      </c>
      <c r="O83">
        <v>5</v>
      </c>
      <c r="P83">
        <v>21</v>
      </c>
      <c r="Q83">
        <f t="shared" si="39"/>
        <v>3921</v>
      </c>
    </row>
    <row r="84" spans="1:17" x14ac:dyDescent="0.25">
      <c r="B84" t="b">
        <f t="shared" si="28"/>
        <v>0</v>
      </c>
      <c r="C84" t="b">
        <f t="shared" si="29"/>
        <v>0</v>
      </c>
      <c r="D84">
        <f t="shared" si="30"/>
        <v>0</v>
      </c>
      <c r="E84" t="str">
        <f t="shared" si="31"/>
        <v>4. Web Pages with Spring</v>
      </c>
      <c r="F84" t="str">
        <f t="shared" si="32"/>
        <v/>
      </c>
      <c r="G84" t="str">
        <f t="shared" si="33"/>
        <v/>
      </c>
      <c r="H84">
        <f t="shared" si="34"/>
        <v>0</v>
      </c>
      <c r="I84">
        <f t="shared" si="35"/>
        <v>0</v>
      </c>
      <c r="J84">
        <v>2641</v>
      </c>
      <c r="K84">
        <f t="shared" si="36"/>
        <v>0</v>
      </c>
      <c r="L84">
        <f t="shared" si="37"/>
        <v>44</v>
      </c>
      <c r="M84">
        <f t="shared" si="38"/>
        <v>1</v>
      </c>
      <c r="N84">
        <v>1</v>
      </c>
      <c r="O84">
        <v>5</v>
      </c>
      <c r="P84">
        <v>21</v>
      </c>
      <c r="Q84">
        <f t="shared" si="39"/>
        <v>3921</v>
      </c>
    </row>
    <row r="85" spans="1:17" x14ac:dyDescent="0.25">
      <c r="A85" t="s">
        <v>32</v>
      </c>
      <c r="B85" t="b">
        <f t="shared" si="28"/>
        <v>0</v>
      </c>
      <c r="C85" t="b">
        <f t="shared" si="29"/>
        <v>1</v>
      </c>
      <c r="D85">
        <f t="shared" si="30"/>
        <v>1</v>
      </c>
      <c r="E85" t="str">
        <f t="shared" si="31"/>
        <v>4. Web Pages with Spring</v>
      </c>
      <c r="F85" t="str">
        <f t="shared" si="32"/>
        <v>1. Introduction to the controller</v>
      </c>
      <c r="G85" t="str">
        <f t="shared" si="33"/>
        <v>5m 22s</v>
      </c>
      <c r="H85">
        <f t="shared" si="34"/>
        <v>5</v>
      </c>
      <c r="I85">
        <f t="shared" si="35"/>
        <v>22</v>
      </c>
      <c r="J85">
        <f t="shared" ref="J85:J103" si="40">J84+(H85*60+I85)</f>
        <v>2963</v>
      </c>
      <c r="K85">
        <f t="shared" si="36"/>
        <v>0</v>
      </c>
      <c r="L85">
        <f t="shared" si="37"/>
        <v>49</v>
      </c>
      <c r="M85">
        <f t="shared" si="38"/>
        <v>23</v>
      </c>
      <c r="N85">
        <v>1</v>
      </c>
      <c r="O85">
        <v>5</v>
      </c>
      <c r="P85">
        <v>21</v>
      </c>
      <c r="Q85">
        <f t="shared" si="39"/>
        <v>3921</v>
      </c>
    </row>
    <row r="86" spans="1:17" x14ac:dyDescent="0.25">
      <c r="A86" t="s">
        <v>31</v>
      </c>
      <c r="B86" t="b">
        <f t="shared" si="28"/>
        <v>0</v>
      </c>
      <c r="C86" t="b">
        <f t="shared" si="29"/>
        <v>0</v>
      </c>
      <c r="D86">
        <f t="shared" si="30"/>
        <v>1</v>
      </c>
      <c r="E86" t="str">
        <f t="shared" si="31"/>
        <v>4. Web Pages with Spring</v>
      </c>
      <c r="F86" t="str">
        <f t="shared" si="32"/>
        <v/>
      </c>
      <c r="G86" t="str">
        <f t="shared" si="33"/>
        <v/>
      </c>
      <c r="H86">
        <f t="shared" si="34"/>
        <v>0</v>
      </c>
      <c r="I86">
        <f t="shared" si="35"/>
        <v>0</v>
      </c>
      <c r="J86">
        <f t="shared" si="40"/>
        <v>2963</v>
      </c>
      <c r="K86">
        <f t="shared" si="36"/>
        <v>0</v>
      </c>
      <c r="L86">
        <f t="shared" si="37"/>
        <v>49</v>
      </c>
      <c r="M86">
        <f t="shared" si="38"/>
        <v>23</v>
      </c>
      <c r="N86">
        <v>1</v>
      </c>
      <c r="O86">
        <v>5</v>
      </c>
      <c r="P86">
        <v>21</v>
      </c>
      <c r="Q86">
        <f t="shared" si="39"/>
        <v>3921</v>
      </c>
    </row>
    <row r="87" spans="1:17" x14ac:dyDescent="0.25">
      <c r="A87" t="s">
        <v>3</v>
      </c>
      <c r="B87" t="b">
        <f t="shared" si="28"/>
        <v>0</v>
      </c>
      <c r="C87" t="b">
        <f t="shared" si="29"/>
        <v>0</v>
      </c>
      <c r="D87">
        <f t="shared" si="30"/>
        <v>1</v>
      </c>
      <c r="E87" t="str">
        <f t="shared" si="31"/>
        <v>4. Web Pages with Spring</v>
      </c>
      <c r="F87" t="str">
        <f t="shared" si="32"/>
        <v/>
      </c>
      <c r="G87" t="str">
        <f t="shared" si="33"/>
        <v/>
      </c>
      <c r="H87">
        <f t="shared" si="34"/>
        <v>0</v>
      </c>
      <c r="I87">
        <f t="shared" si="35"/>
        <v>0</v>
      </c>
      <c r="J87">
        <f t="shared" si="40"/>
        <v>2963</v>
      </c>
      <c r="K87">
        <f t="shared" si="36"/>
        <v>0</v>
      </c>
      <c r="L87">
        <f t="shared" si="37"/>
        <v>49</v>
      </c>
      <c r="M87">
        <f t="shared" si="38"/>
        <v>23</v>
      </c>
      <c r="N87">
        <v>1</v>
      </c>
      <c r="O87">
        <v>5</v>
      </c>
      <c r="P87">
        <v>21</v>
      </c>
      <c r="Q87">
        <f t="shared" si="39"/>
        <v>3921</v>
      </c>
    </row>
    <row r="88" spans="1:17" x14ac:dyDescent="0.25">
      <c r="A88" t="s">
        <v>30</v>
      </c>
      <c r="B88" t="b">
        <f t="shared" si="28"/>
        <v>0</v>
      </c>
      <c r="C88" t="b">
        <f t="shared" si="29"/>
        <v>1</v>
      </c>
      <c r="D88">
        <f t="shared" si="30"/>
        <v>2</v>
      </c>
      <c r="E88" t="str">
        <f t="shared" si="31"/>
        <v>4. Web Pages with Spring</v>
      </c>
      <c r="F88" t="str">
        <f t="shared" si="32"/>
        <v>2. Build your first controller</v>
      </c>
      <c r="G88" t="str">
        <f t="shared" si="33"/>
        <v>5m 12s</v>
      </c>
      <c r="H88">
        <f t="shared" si="34"/>
        <v>5</v>
      </c>
      <c r="I88">
        <f t="shared" si="35"/>
        <v>12</v>
      </c>
      <c r="J88">
        <f t="shared" si="40"/>
        <v>3275</v>
      </c>
      <c r="K88">
        <f t="shared" si="36"/>
        <v>0</v>
      </c>
      <c r="L88">
        <f t="shared" si="37"/>
        <v>54</v>
      </c>
      <c r="M88">
        <f t="shared" si="38"/>
        <v>35</v>
      </c>
      <c r="N88">
        <v>1</v>
      </c>
      <c r="O88">
        <v>5</v>
      </c>
      <c r="P88">
        <v>21</v>
      </c>
      <c r="Q88">
        <f t="shared" si="39"/>
        <v>3921</v>
      </c>
    </row>
    <row r="89" spans="1:17" x14ac:dyDescent="0.25">
      <c r="A89" t="s">
        <v>29</v>
      </c>
      <c r="B89" t="b">
        <f t="shared" si="28"/>
        <v>0</v>
      </c>
      <c r="C89" t="b">
        <f t="shared" si="29"/>
        <v>0</v>
      </c>
      <c r="D89">
        <f t="shared" si="30"/>
        <v>2</v>
      </c>
      <c r="E89" t="str">
        <f t="shared" si="31"/>
        <v>4. Web Pages with Spring</v>
      </c>
      <c r="F89" t="str">
        <f t="shared" si="32"/>
        <v/>
      </c>
      <c r="G89" t="str">
        <f t="shared" si="33"/>
        <v/>
      </c>
      <c r="H89">
        <f t="shared" si="34"/>
        <v>0</v>
      </c>
      <c r="I89">
        <f t="shared" si="35"/>
        <v>0</v>
      </c>
      <c r="J89">
        <f t="shared" si="40"/>
        <v>3275</v>
      </c>
      <c r="K89">
        <f t="shared" si="36"/>
        <v>0</v>
      </c>
      <c r="L89">
        <f t="shared" si="37"/>
        <v>54</v>
      </c>
      <c r="M89">
        <f t="shared" si="38"/>
        <v>35</v>
      </c>
      <c r="N89">
        <v>1</v>
      </c>
      <c r="O89">
        <v>5</v>
      </c>
      <c r="P89">
        <v>21</v>
      </c>
      <c r="Q89">
        <f t="shared" si="39"/>
        <v>3921</v>
      </c>
    </row>
    <row r="90" spans="1:17" x14ac:dyDescent="0.25">
      <c r="A90" t="s">
        <v>3</v>
      </c>
      <c r="B90" t="b">
        <f t="shared" si="28"/>
        <v>0</v>
      </c>
      <c r="C90" t="b">
        <f t="shared" si="29"/>
        <v>0</v>
      </c>
      <c r="D90">
        <f t="shared" si="30"/>
        <v>2</v>
      </c>
      <c r="E90" t="str">
        <f t="shared" si="31"/>
        <v>4. Web Pages with Spring</v>
      </c>
      <c r="F90" t="str">
        <f t="shared" si="32"/>
        <v/>
      </c>
      <c r="G90" t="str">
        <f t="shared" si="33"/>
        <v/>
      </c>
      <c r="H90">
        <f t="shared" si="34"/>
        <v>0</v>
      </c>
      <c r="I90">
        <f t="shared" si="35"/>
        <v>0</v>
      </c>
      <c r="J90">
        <f t="shared" si="40"/>
        <v>3275</v>
      </c>
      <c r="K90">
        <f t="shared" si="36"/>
        <v>0</v>
      </c>
      <c r="L90">
        <f t="shared" si="37"/>
        <v>54</v>
      </c>
      <c r="M90">
        <f t="shared" si="38"/>
        <v>35</v>
      </c>
      <c r="N90">
        <v>1</v>
      </c>
      <c r="O90">
        <v>5</v>
      </c>
      <c r="P90">
        <v>21</v>
      </c>
      <c r="Q90">
        <f t="shared" si="39"/>
        <v>3921</v>
      </c>
    </row>
    <row r="91" spans="1:17" x14ac:dyDescent="0.25">
      <c r="A91" t="s">
        <v>28</v>
      </c>
      <c r="B91" t="b">
        <f t="shared" si="28"/>
        <v>0</v>
      </c>
      <c r="C91" t="b">
        <f t="shared" si="29"/>
        <v>1</v>
      </c>
      <c r="D91">
        <f t="shared" si="30"/>
        <v>3</v>
      </c>
      <c r="E91" t="str">
        <f t="shared" si="31"/>
        <v>4. Web Pages with Spring</v>
      </c>
      <c r="F91" t="str">
        <f t="shared" si="32"/>
        <v>3. Thymeleaf as a rendering engine</v>
      </c>
      <c r="G91" t="str">
        <f t="shared" si="33"/>
        <v>6m 41s</v>
      </c>
      <c r="H91">
        <f t="shared" si="34"/>
        <v>6</v>
      </c>
      <c r="I91">
        <f t="shared" si="35"/>
        <v>41</v>
      </c>
      <c r="J91">
        <f t="shared" si="40"/>
        <v>3676</v>
      </c>
      <c r="K91">
        <f t="shared" si="36"/>
        <v>1</v>
      </c>
      <c r="L91">
        <f t="shared" si="37"/>
        <v>1</v>
      </c>
      <c r="M91">
        <f t="shared" si="38"/>
        <v>16</v>
      </c>
      <c r="N91">
        <v>1</v>
      </c>
      <c r="O91">
        <v>5</v>
      </c>
      <c r="P91">
        <v>21</v>
      </c>
      <c r="Q91">
        <f t="shared" si="39"/>
        <v>3921</v>
      </c>
    </row>
    <row r="92" spans="1:17" x14ac:dyDescent="0.25">
      <c r="A92" t="s">
        <v>27</v>
      </c>
      <c r="B92" t="b">
        <f t="shared" si="28"/>
        <v>0</v>
      </c>
      <c r="C92" t="b">
        <f t="shared" si="29"/>
        <v>0</v>
      </c>
      <c r="D92">
        <f t="shared" si="30"/>
        <v>3</v>
      </c>
      <c r="E92" t="str">
        <f t="shared" si="31"/>
        <v>4. Web Pages with Spring</v>
      </c>
      <c r="F92" t="str">
        <f t="shared" si="32"/>
        <v/>
      </c>
      <c r="G92" t="str">
        <f t="shared" si="33"/>
        <v/>
      </c>
      <c r="H92">
        <f t="shared" si="34"/>
        <v>0</v>
      </c>
      <c r="I92">
        <f t="shared" si="35"/>
        <v>0</v>
      </c>
      <c r="J92">
        <f t="shared" si="40"/>
        <v>3676</v>
      </c>
      <c r="K92">
        <f t="shared" si="36"/>
        <v>1</v>
      </c>
      <c r="L92">
        <f t="shared" si="37"/>
        <v>1</v>
      </c>
      <c r="M92">
        <f t="shared" si="38"/>
        <v>16</v>
      </c>
      <c r="N92">
        <v>1</v>
      </c>
      <c r="O92">
        <v>5</v>
      </c>
      <c r="P92">
        <v>21</v>
      </c>
      <c r="Q92">
        <f t="shared" si="39"/>
        <v>3921</v>
      </c>
    </row>
    <row r="93" spans="1:17" x14ac:dyDescent="0.25">
      <c r="A93" t="s">
        <v>3</v>
      </c>
      <c r="B93" t="b">
        <f t="shared" si="28"/>
        <v>0</v>
      </c>
      <c r="C93" t="b">
        <f t="shared" si="29"/>
        <v>0</v>
      </c>
      <c r="D93">
        <f t="shared" si="30"/>
        <v>3</v>
      </c>
      <c r="E93" t="str">
        <f t="shared" si="31"/>
        <v>4. Web Pages with Spring</v>
      </c>
      <c r="F93" t="str">
        <f t="shared" si="32"/>
        <v/>
      </c>
      <c r="G93" t="str">
        <f t="shared" si="33"/>
        <v/>
      </c>
      <c r="H93">
        <f t="shared" si="34"/>
        <v>0</v>
      </c>
      <c r="I93">
        <f t="shared" si="35"/>
        <v>0</v>
      </c>
      <c r="J93">
        <f t="shared" si="40"/>
        <v>3676</v>
      </c>
      <c r="K93">
        <f t="shared" si="36"/>
        <v>1</v>
      </c>
      <c r="L93">
        <f t="shared" si="37"/>
        <v>1</v>
      </c>
      <c r="M93">
        <f t="shared" si="38"/>
        <v>16</v>
      </c>
      <c r="N93">
        <v>1</v>
      </c>
      <c r="O93">
        <v>5</v>
      </c>
      <c r="P93">
        <v>21</v>
      </c>
      <c r="Q93">
        <f t="shared" si="39"/>
        <v>3921</v>
      </c>
    </row>
    <row r="94" spans="1:17" x14ac:dyDescent="0.25">
      <c r="A94" t="s">
        <v>26</v>
      </c>
      <c r="B94" t="b">
        <f t="shared" si="28"/>
        <v>0</v>
      </c>
      <c r="C94" t="b">
        <f t="shared" si="29"/>
        <v>1</v>
      </c>
      <c r="D94">
        <f t="shared" si="30"/>
        <v>4</v>
      </c>
      <c r="E94" t="str">
        <f t="shared" si="31"/>
        <v>4. Web Pages with Spring</v>
      </c>
      <c r="F94" t="str">
        <f t="shared" si="32"/>
        <v>4. Challenge - Create a web page</v>
      </c>
      <c r="G94" t="str">
        <f t="shared" si="33"/>
        <v>1m 7s</v>
      </c>
      <c r="H94">
        <f t="shared" si="34"/>
        <v>1</v>
      </c>
      <c r="I94">
        <f t="shared" si="35"/>
        <v>7</v>
      </c>
      <c r="J94">
        <f t="shared" si="40"/>
        <v>3743</v>
      </c>
      <c r="K94">
        <f t="shared" si="36"/>
        <v>1</v>
      </c>
      <c r="L94">
        <f t="shared" si="37"/>
        <v>2</v>
      </c>
      <c r="M94">
        <f t="shared" si="38"/>
        <v>23</v>
      </c>
      <c r="N94">
        <v>1</v>
      </c>
      <c r="O94">
        <v>5</v>
      </c>
      <c r="P94">
        <v>21</v>
      </c>
      <c r="Q94">
        <f t="shared" si="39"/>
        <v>3921</v>
      </c>
    </row>
    <row r="95" spans="1:17" x14ac:dyDescent="0.25">
      <c r="A95" t="s">
        <v>25</v>
      </c>
      <c r="B95" t="b">
        <f t="shared" si="28"/>
        <v>0</v>
      </c>
      <c r="C95" t="b">
        <f t="shared" si="29"/>
        <v>0</v>
      </c>
      <c r="D95">
        <f t="shared" si="30"/>
        <v>4</v>
      </c>
      <c r="E95" t="str">
        <f t="shared" si="31"/>
        <v>4. Web Pages with Spring</v>
      </c>
      <c r="F95" t="str">
        <f t="shared" si="32"/>
        <v/>
      </c>
      <c r="G95" t="str">
        <f t="shared" si="33"/>
        <v/>
      </c>
      <c r="H95">
        <f t="shared" si="34"/>
        <v>0</v>
      </c>
      <c r="I95">
        <f t="shared" si="35"/>
        <v>0</v>
      </c>
      <c r="J95">
        <f t="shared" si="40"/>
        <v>3743</v>
      </c>
      <c r="K95">
        <f t="shared" si="36"/>
        <v>1</v>
      </c>
      <c r="L95">
        <f t="shared" si="37"/>
        <v>2</v>
      </c>
      <c r="M95">
        <f t="shared" si="38"/>
        <v>23</v>
      </c>
      <c r="N95">
        <v>1</v>
      </c>
      <c r="O95">
        <v>5</v>
      </c>
      <c r="P95">
        <v>21</v>
      </c>
      <c r="Q95">
        <f t="shared" si="39"/>
        <v>3921</v>
      </c>
    </row>
    <row r="96" spans="1:17" x14ac:dyDescent="0.25">
      <c r="A96" t="s">
        <v>3</v>
      </c>
      <c r="B96" t="b">
        <f t="shared" si="28"/>
        <v>0</v>
      </c>
      <c r="C96" t="b">
        <f t="shared" si="29"/>
        <v>0</v>
      </c>
      <c r="D96">
        <f t="shared" si="30"/>
        <v>4</v>
      </c>
      <c r="E96" t="str">
        <f t="shared" si="31"/>
        <v>4. Web Pages with Spring</v>
      </c>
      <c r="F96" t="str">
        <f t="shared" si="32"/>
        <v/>
      </c>
      <c r="G96" t="str">
        <f t="shared" si="33"/>
        <v/>
      </c>
      <c r="H96">
        <f t="shared" si="34"/>
        <v>0</v>
      </c>
      <c r="I96">
        <f t="shared" si="35"/>
        <v>0</v>
      </c>
      <c r="J96">
        <f t="shared" si="40"/>
        <v>3743</v>
      </c>
      <c r="K96">
        <f t="shared" si="36"/>
        <v>1</v>
      </c>
      <c r="L96">
        <f t="shared" si="37"/>
        <v>2</v>
      </c>
      <c r="M96">
        <f t="shared" si="38"/>
        <v>23</v>
      </c>
      <c r="N96">
        <v>1</v>
      </c>
      <c r="O96">
        <v>5</v>
      </c>
      <c r="P96">
        <v>21</v>
      </c>
      <c r="Q96">
        <f t="shared" si="39"/>
        <v>3921</v>
      </c>
    </row>
    <row r="97" spans="1:17" x14ac:dyDescent="0.25">
      <c r="A97" t="s">
        <v>24</v>
      </c>
      <c r="B97" t="b">
        <f t="shared" si="28"/>
        <v>0</v>
      </c>
      <c r="C97" t="b">
        <f t="shared" si="29"/>
        <v>1</v>
      </c>
      <c r="D97">
        <f t="shared" si="30"/>
        <v>5</v>
      </c>
      <c r="E97" t="str">
        <f t="shared" si="31"/>
        <v>4. Web Pages with Spring</v>
      </c>
      <c r="F97" t="str">
        <f t="shared" si="32"/>
        <v>5. Solution - Create a web page</v>
      </c>
      <c r="G97" t="str">
        <f t="shared" si="33"/>
        <v>2m 19s</v>
      </c>
      <c r="H97">
        <f t="shared" si="34"/>
        <v>2</v>
      </c>
      <c r="I97">
        <f t="shared" si="35"/>
        <v>19</v>
      </c>
      <c r="J97">
        <f t="shared" si="40"/>
        <v>3882</v>
      </c>
      <c r="K97">
        <f t="shared" si="36"/>
        <v>1</v>
      </c>
      <c r="L97">
        <f t="shared" si="37"/>
        <v>4</v>
      </c>
      <c r="M97">
        <f t="shared" si="38"/>
        <v>42</v>
      </c>
      <c r="N97">
        <v>1</v>
      </c>
      <c r="O97">
        <v>5</v>
      </c>
      <c r="P97">
        <v>21</v>
      </c>
      <c r="Q97">
        <f t="shared" si="39"/>
        <v>3921</v>
      </c>
    </row>
    <row r="98" spans="1:17" x14ac:dyDescent="0.25">
      <c r="A98" t="s">
        <v>23</v>
      </c>
      <c r="B98" t="b">
        <f t="shared" si="28"/>
        <v>0</v>
      </c>
      <c r="C98" t="b">
        <f t="shared" si="29"/>
        <v>0</v>
      </c>
      <c r="D98">
        <f t="shared" si="30"/>
        <v>5</v>
      </c>
      <c r="E98" t="str">
        <f t="shared" si="31"/>
        <v>4. Web Pages with Spring</v>
      </c>
      <c r="F98" t="str">
        <f t="shared" si="32"/>
        <v/>
      </c>
      <c r="G98" t="str">
        <f t="shared" si="33"/>
        <v/>
      </c>
      <c r="H98">
        <f t="shared" si="34"/>
        <v>0</v>
      </c>
      <c r="I98">
        <f t="shared" si="35"/>
        <v>0</v>
      </c>
      <c r="J98">
        <f t="shared" si="40"/>
        <v>3882</v>
      </c>
      <c r="K98">
        <f t="shared" si="36"/>
        <v>1</v>
      </c>
      <c r="L98">
        <f t="shared" si="37"/>
        <v>4</v>
      </c>
      <c r="M98">
        <f t="shared" si="38"/>
        <v>42</v>
      </c>
      <c r="N98">
        <v>1</v>
      </c>
      <c r="O98">
        <v>5</v>
      </c>
      <c r="P98">
        <v>21</v>
      </c>
      <c r="Q98">
        <f t="shared" si="39"/>
        <v>3921</v>
      </c>
    </row>
    <row r="99" spans="1:17" x14ac:dyDescent="0.25">
      <c r="A99" t="s">
        <v>3</v>
      </c>
      <c r="B99" t="b">
        <f t="shared" si="28"/>
        <v>0</v>
      </c>
      <c r="C99" t="b">
        <f t="shared" si="29"/>
        <v>0</v>
      </c>
      <c r="D99">
        <f t="shared" si="30"/>
        <v>5</v>
      </c>
      <c r="E99" t="str">
        <f t="shared" si="31"/>
        <v>4. Web Pages with Spring</v>
      </c>
      <c r="F99" t="str">
        <f t="shared" si="32"/>
        <v/>
      </c>
      <c r="G99" t="str">
        <f t="shared" si="33"/>
        <v/>
      </c>
      <c r="H99">
        <f t="shared" si="34"/>
        <v>0</v>
      </c>
      <c r="I99">
        <f t="shared" si="35"/>
        <v>0</v>
      </c>
      <c r="J99">
        <f t="shared" si="40"/>
        <v>3882</v>
      </c>
      <c r="K99">
        <f t="shared" si="36"/>
        <v>1</v>
      </c>
      <c r="L99">
        <f t="shared" si="37"/>
        <v>4</v>
      </c>
      <c r="M99">
        <f t="shared" si="38"/>
        <v>42</v>
      </c>
      <c r="N99">
        <v>1</v>
      </c>
      <c r="O99">
        <v>5</v>
      </c>
      <c r="P99">
        <v>21</v>
      </c>
      <c r="Q99">
        <f t="shared" si="39"/>
        <v>3921</v>
      </c>
    </row>
    <row r="100" spans="1:17" x14ac:dyDescent="0.25">
      <c r="A100" t="s">
        <v>12</v>
      </c>
      <c r="B100" t="b">
        <f t="shared" si="28"/>
        <v>0</v>
      </c>
      <c r="C100" t="b">
        <f t="shared" si="29"/>
        <v>0</v>
      </c>
      <c r="D100">
        <f t="shared" si="30"/>
        <v>5</v>
      </c>
      <c r="E100" t="str">
        <f t="shared" si="31"/>
        <v>4. Web Pages with Spring</v>
      </c>
      <c r="F100" t="str">
        <f t="shared" si="32"/>
        <v/>
      </c>
      <c r="G100" t="str">
        <f t="shared" si="33"/>
        <v/>
      </c>
      <c r="H100">
        <f t="shared" si="34"/>
        <v>0</v>
      </c>
      <c r="I100">
        <f t="shared" si="35"/>
        <v>0</v>
      </c>
      <c r="J100">
        <f t="shared" si="40"/>
        <v>3882</v>
      </c>
      <c r="K100">
        <f t="shared" si="36"/>
        <v>1</v>
      </c>
      <c r="L100">
        <f t="shared" si="37"/>
        <v>4</v>
      </c>
      <c r="M100">
        <f t="shared" si="38"/>
        <v>42</v>
      </c>
      <c r="N100">
        <v>1</v>
      </c>
      <c r="O100">
        <v>5</v>
      </c>
      <c r="P100">
        <v>21</v>
      </c>
      <c r="Q100">
        <f t="shared" si="39"/>
        <v>3921</v>
      </c>
    </row>
    <row r="101" spans="1:17" x14ac:dyDescent="0.25">
      <c r="A101" t="s">
        <v>22</v>
      </c>
      <c r="B101" t="b">
        <f t="shared" si="28"/>
        <v>0</v>
      </c>
      <c r="C101" t="b">
        <f t="shared" si="29"/>
        <v>0</v>
      </c>
      <c r="D101">
        <f t="shared" si="30"/>
        <v>5</v>
      </c>
      <c r="E101" t="str">
        <f t="shared" si="31"/>
        <v>4. Web Pages with Spring</v>
      </c>
      <c r="F101" t="str">
        <f t="shared" si="32"/>
        <v/>
      </c>
      <c r="G101" t="str">
        <f t="shared" si="33"/>
        <v/>
      </c>
      <c r="H101">
        <f t="shared" si="34"/>
        <v>0</v>
      </c>
      <c r="I101">
        <f t="shared" si="35"/>
        <v>0</v>
      </c>
      <c r="J101">
        <f t="shared" si="40"/>
        <v>3882</v>
      </c>
      <c r="K101">
        <f t="shared" si="36"/>
        <v>1</v>
      </c>
      <c r="L101">
        <f t="shared" si="37"/>
        <v>4</v>
      </c>
      <c r="M101">
        <f t="shared" si="38"/>
        <v>42</v>
      </c>
      <c r="N101">
        <v>1</v>
      </c>
      <c r="O101">
        <v>5</v>
      </c>
      <c r="P101">
        <v>21</v>
      </c>
      <c r="Q101">
        <f t="shared" si="39"/>
        <v>3921</v>
      </c>
    </row>
    <row r="102" spans="1:17" x14ac:dyDescent="0.25">
      <c r="B102" t="b">
        <f t="shared" si="28"/>
        <v>0</v>
      </c>
      <c r="C102" t="b">
        <f t="shared" si="29"/>
        <v>0</v>
      </c>
      <c r="D102">
        <f t="shared" si="30"/>
        <v>5</v>
      </c>
      <c r="E102" t="str">
        <f t="shared" si="31"/>
        <v>4. Web Pages with Spring</v>
      </c>
      <c r="F102" t="str">
        <f t="shared" si="32"/>
        <v/>
      </c>
      <c r="G102" t="str">
        <f t="shared" si="33"/>
        <v/>
      </c>
      <c r="H102">
        <f t="shared" si="34"/>
        <v>0</v>
      </c>
      <c r="I102">
        <f t="shared" si="35"/>
        <v>0</v>
      </c>
      <c r="J102">
        <f t="shared" si="40"/>
        <v>3882</v>
      </c>
      <c r="K102">
        <f t="shared" si="36"/>
        <v>1</v>
      </c>
      <c r="L102">
        <f t="shared" si="37"/>
        <v>4</v>
      </c>
      <c r="M102">
        <f t="shared" si="38"/>
        <v>42</v>
      </c>
      <c r="N102">
        <v>1</v>
      </c>
      <c r="O102">
        <v>5</v>
      </c>
      <c r="P102">
        <v>21</v>
      </c>
      <c r="Q102">
        <f t="shared" si="39"/>
        <v>3921</v>
      </c>
    </row>
    <row r="103" spans="1:17" x14ac:dyDescent="0.25">
      <c r="A103" t="s">
        <v>21</v>
      </c>
      <c r="B103" t="b">
        <f t="shared" si="28"/>
        <v>1</v>
      </c>
      <c r="C103" t="b">
        <f t="shared" si="29"/>
        <v>0</v>
      </c>
      <c r="D103">
        <f t="shared" si="30"/>
        <v>0</v>
      </c>
      <c r="E103" t="str">
        <f t="shared" si="31"/>
        <v>5. Exposing RESTful Endpoints</v>
      </c>
      <c r="F103" t="str">
        <f t="shared" si="32"/>
        <v/>
      </c>
      <c r="G103" t="str">
        <f t="shared" si="33"/>
        <v/>
      </c>
      <c r="H103">
        <f t="shared" si="34"/>
        <v>0</v>
      </c>
      <c r="I103">
        <f t="shared" si="35"/>
        <v>0</v>
      </c>
      <c r="J103">
        <f t="shared" si="40"/>
        <v>3882</v>
      </c>
      <c r="K103">
        <f t="shared" si="36"/>
        <v>1</v>
      </c>
      <c r="L103">
        <f t="shared" si="37"/>
        <v>4</v>
      </c>
      <c r="M103">
        <f t="shared" si="38"/>
        <v>42</v>
      </c>
      <c r="N103">
        <v>1</v>
      </c>
      <c r="O103">
        <v>5</v>
      </c>
      <c r="P103">
        <v>21</v>
      </c>
      <c r="Q103">
        <f t="shared" si="39"/>
        <v>3921</v>
      </c>
    </row>
    <row r="104" spans="1:17" x14ac:dyDescent="0.25">
      <c r="B104" t="b">
        <f t="shared" si="28"/>
        <v>0</v>
      </c>
      <c r="C104" t="b">
        <f t="shared" si="29"/>
        <v>0</v>
      </c>
      <c r="D104">
        <f t="shared" si="30"/>
        <v>0</v>
      </c>
      <c r="E104" t="str">
        <f t="shared" si="31"/>
        <v>5. Exposing RESTful Endpoints</v>
      </c>
      <c r="F104" t="str">
        <f t="shared" si="32"/>
        <v/>
      </c>
      <c r="G104" t="str">
        <f t="shared" si="33"/>
        <v/>
      </c>
      <c r="H104">
        <f t="shared" si="34"/>
        <v>0</v>
      </c>
      <c r="I104">
        <f t="shared" si="35"/>
        <v>0</v>
      </c>
      <c r="J104">
        <v>3921</v>
      </c>
      <c r="K104">
        <f t="shared" si="36"/>
        <v>1</v>
      </c>
      <c r="L104">
        <f t="shared" si="37"/>
        <v>5</v>
      </c>
      <c r="M104">
        <f t="shared" si="38"/>
        <v>21</v>
      </c>
      <c r="N104">
        <v>1</v>
      </c>
      <c r="O104">
        <v>5</v>
      </c>
      <c r="P104">
        <v>21</v>
      </c>
      <c r="Q104">
        <f t="shared" si="39"/>
        <v>3921</v>
      </c>
    </row>
    <row r="105" spans="1:17" x14ac:dyDescent="0.25">
      <c r="A105" t="s">
        <v>20</v>
      </c>
      <c r="B105" t="b">
        <f t="shared" si="28"/>
        <v>0</v>
      </c>
      <c r="C105" t="b">
        <f t="shared" si="29"/>
        <v>1</v>
      </c>
      <c r="D105">
        <f t="shared" si="30"/>
        <v>1</v>
      </c>
      <c r="E105" t="str">
        <f t="shared" si="31"/>
        <v>5. Exposing RESTful Endpoints</v>
      </c>
      <c r="F105" t="str">
        <f t="shared" si="32"/>
        <v>1. Understanding RestController</v>
      </c>
      <c r="G105" t="str">
        <f t="shared" si="33"/>
        <v>2m 1s</v>
      </c>
      <c r="H105">
        <f t="shared" si="34"/>
        <v>2</v>
      </c>
      <c r="I105">
        <f t="shared" si="35"/>
        <v>1</v>
      </c>
      <c r="J105">
        <f t="shared" ref="J105:J120" si="41">J104+(H105*60+I105)</f>
        <v>4042</v>
      </c>
      <c r="K105">
        <f t="shared" si="36"/>
        <v>1</v>
      </c>
      <c r="L105">
        <f t="shared" si="37"/>
        <v>7</v>
      </c>
      <c r="M105">
        <f t="shared" si="38"/>
        <v>22</v>
      </c>
      <c r="N105">
        <v>1</v>
      </c>
      <c r="O105">
        <v>5</v>
      </c>
      <c r="P105">
        <v>21</v>
      </c>
      <c r="Q105">
        <f t="shared" si="39"/>
        <v>3921</v>
      </c>
    </row>
    <row r="106" spans="1:17" x14ac:dyDescent="0.25">
      <c r="A106" t="s">
        <v>19</v>
      </c>
      <c r="B106" t="b">
        <f t="shared" si="28"/>
        <v>0</v>
      </c>
      <c r="C106" t="b">
        <f t="shared" si="29"/>
        <v>0</v>
      </c>
      <c r="D106">
        <f t="shared" si="30"/>
        <v>1</v>
      </c>
      <c r="E106" t="str">
        <f t="shared" si="31"/>
        <v>5. Exposing RESTful Endpoints</v>
      </c>
      <c r="F106" t="str">
        <f t="shared" si="32"/>
        <v/>
      </c>
      <c r="G106" t="str">
        <f t="shared" si="33"/>
        <v/>
      </c>
      <c r="H106">
        <f t="shared" si="34"/>
        <v>0</v>
      </c>
      <c r="I106">
        <f t="shared" si="35"/>
        <v>0</v>
      </c>
      <c r="J106">
        <f t="shared" si="41"/>
        <v>4042</v>
      </c>
      <c r="K106">
        <f t="shared" si="36"/>
        <v>1</v>
      </c>
      <c r="L106">
        <f t="shared" si="37"/>
        <v>7</v>
      </c>
      <c r="M106">
        <f t="shared" si="38"/>
        <v>22</v>
      </c>
      <c r="N106">
        <v>1</v>
      </c>
      <c r="O106">
        <v>5</v>
      </c>
      <c r="P106">
        <v>21</v>
      </c>
      <c r="Q106">
        <f t="shared" si="39"/>
        <v>3921</v>
      </c>
    </row>
    <row r="107" spans="1:17" x14ac:dyDescent="0.25">
      <c r="A107" t="s">
        <v>3</v>
      </c>
      <c r="B107" t="b">
        <f t="shared" si="28"/>
        <v>0</v>
      </c>
      <c r="C107" t="b">
        <f t="shared" si="29"/>
        <v>0</v>
      </c>
      <c r="D107">
        <f t="shared" si="30"/>
        <v>1</v>
      </c>
      <c r="E107" t="str">
        <f t="shared" si="31"/>
        <v>5. Exposing RESTful Endpoints</v>
      </c>
      <c r="F107" t="str">
        <f t="shared" si="32"/>
        <v/>
      </c>
      <c r="G107" t="str">
        <f t="shared" si="33"/>
        <v/>
      </c>
      <c r="H107">
        <f t="shared" si="34"/>
        <v>0</v>
      </c>
      <c r="I107">
        <f t="shared" si="35"/>
        <v>0</v>
      </c>
      <c r="J107">
        <f t="shared" si="41"/>
        <v>4042</v>
      </c>
      <c r="K107">
        <f t="shared" si="36"/>
        <v>1</v>
      </c>
      <c r="L107">
        <f t="shared" si="37"/>
        <v>7</v>
      </c>
      <c r="M107">
        <f t="shared" si="38"/>
        <v>22</v>
      </c>
      <c r="N107">
        <v>1</v>
      </c>
      <c r="O107">
        <v>5</v>
      </c>
      <c r="P107">
        <v>21</v>
      </c>
      <c r="Q107">
        <f t="shared" si="39"/>
        <v>3921</v>
      </c>
    </row>
    <row r="108" spans="1:17" x14ac:dyDescent="0.25">
      <c r="A108" t="s">
        <v>18</v>
      </c>
      <c r="B108" t="b">
        <f t="shared" si="28"/>
        <v>0</v>
      </c>
      <c r="C108" t="b">
        <f t="shared" si="29"/>
        <v>1</v>
      </c>
      <c r="D108">
        <f t="shared" si="30"/>
        <v>2</v>
      </c>
      <c r="E108" t="str">
        <f t="shared" si="31"/>
        <v>5. Exposing RESTful Endpoints</v>
      </c>
      <c r="F108" t="str">
        <f t="shared" si="32"/>
        <v>2. Expose a service layer through REST</v>
      </c>
      <c r="G108" t="str">
        <f t="shared" si="33"/>
        <v>5m 6s</v>
      </c>
      <c r="H108">
        <f t="shared" si="34"/>
        <v>5</v>
      </c>
      <c r="I108">
        <f t="shared" si="35"/>
        <v>6</v>
      </c>
      <c r="J108">
        <f t="shared" si="41"/>
        <v>4348</v>
      </c>
      <c r="K108">
        <f t="shared" si="36"/>
        <v>1</v>
      </c>
      <c r="L108">
        <f t="shared" si="37"/>
        <v>12</v>
      </c>
      <c r="M108">
        <f t="shared" si="38"/>
        <v>28</v>
      </c>
      <c r="N108">
        <v>1</v>
      </c>
      <c r="O108">
        <v>5</v>
      </c>
      <c r="P108">
        <v>21</v>
      </c>
      <c r="Q108">
        <f t="shared" si="39"/>
        <v>3921</v>
      </c>
    </row>
    <row r="109" spans="1:17" x14ac:dyDescent="0.25">
      <c r="A109" t="s">
        <v>17</v>
      </c>
      <c r="B109" t="b">
        <f t="shared" si="28"/>
        <v>0</v>
      </c>
      <c r="C109" t="b">
        <f t="shared" si="29"/>
        <v>0</v>
      </c>
      <c r="D109">
        <f t="shared" si="30"/>
        <v>2</v>
      </c>
      <c r="E109" t="str">
        <f t="shared" si="31"/>
        <v>5. Exposing RESTful Endpoints</v>
      </c>
      <c r="F109" t="str">
        <f t="shared" si="32"/>
        <v/>
      </c>
      <c r="G109" t="str">
        <f t="shared" si="33"/>
        <v/>
      </c>
      <c r="H109">
        <f t="shared" si="34"/>
        <v>0</v>
      </c>
      <c r="I109">
        <f t="shared" si="35"/>
        <v>0</v>
      </c>
      <c r="J109">
        <f t="shared" si="41"/>
        <v>4348</v>
      </c>
      <c r="K109">
        <f t="shared" si="36"/>
        <v>1</v>
      </c>
      <c r="L109">
        <f t="shared" si="37"/>
        <v>12</v>
      </c>
      <c r="M109">
        <f t="shared" si="38"/>
        <v>28</v>
      </c>
      <c r="N109">
        <v>1</v>
      </c>
      <c r="O109">
        <v>5</v>
      </c>
      <c r="P109">
        <v>21</v>
      </c>
      <c r="Q109">
        <f t="shared" si="39"/>
        <v>3921</v>
      </c>
    </row>
    <row r="110" spans="1:17" x14ac:dyDescent="0.25">
      <c r="A110" t="s">
        <v>3</v>
      </c>
      <c r="B110" t="b">
        <f t="shared" ref="B110:B141" si="42">AND(NOT(ISERROR(FIND(". ",A110))),ISNUMBER(VALUE(LEFT(A110,FIND(". ",A110)-1))))</f>
        <v>0</v>
      </c>
      <c r="C110" t="b">
        <f t="shared" ref="C110:C141" si="43">OR(AND(NOT(ISERROR(FIND("m",A111))),ISNUMBER(VALUE(LEFT(A111,FIND("m",A111)-1)))),AND(NOT(ISERROR(FIND("s",A111))),ISNUMBER(VALUE(LEFT(A111,FIND("s",A111)-1)))))</f>
        <v>0</v>
      </c>
      <c r="D110">
        <f t="shared" ref="D110:D141" si="44">IF(B110,0,IF(C110,D109+1,D109))</f>
        <v>2</v>
      </c>
      <c r="E110" t="str">
        <f t="shared" ref="E110:E141" si="45">IF(B110,A110,E109)</f>
        <v>5. Exposing RESTful Endpoints</v>
      </c>
      <c r="F110" t="str">
        <f t="shared" ref="F110:F141" si="46">IF(C110,SUBSTITUTE(D110&amp;". "&amp;A110,":"," -"),"")</f>
        <v/>
      </c>
      <c r="G110" t="str">
        <f t="shared" ref="G110:G141" si="47">IF(C110,IF(ISERROR(FIND("s",A111)),LEFT(A111,FIND("m",A111)),LEFT(A111,FIND("s",A111))),"")</f>
        <v/>
      </c>
      <c r="H110">
        <f t="shared" ref="H110:H141" si="48">IF(OR(G110="",ISERROR(FIND("m",G110))),0,VALUE(LEFT(G110,FIND("m",G110)-1)))</f>
        <v>0</v>
      </c>
      <c r="I110">
        <f t="shared" ref="I110:I141" si="49">IF(OR(G110="",ISERROR(FIND("s",G110))),0,VALUE(SUBSTITUTE(MID(G110,IF(ISERROR(FIND("m",G110)), 0,FIND("m",G110))+1,LEN(G110)),"s","")))</f>
        <v>0</v>
      </c>
      <c r="J110">
        <f t="shared" si="41"/>
        <v>4348</v>
      </c>
      <c r="K110">
        <f t="shared" ref="K110:K141" si="50">INT(J110/60/60)</f>
        <v>1</v>
      </c>
      <c r="L110">
        <f t="shared" ref="L110:L141" si="51">INT((J110-(K110*60*60))/60)</f>
        <v>12</v>
      </c>
      <c r="M110">
        <f t="shared" ref="M110:M141" si="52">J110-(((K110*60)+L110)*60)</f>
        <v>28</v>
      </c>
      <c r="N110">
        <v>1</v>
      </c>
      <c r="O110">
        <v>5</v>
      </c>
      <c r="P110">
        <v>21</v>
      </c>
      <c r="Q110">
        <f t="shared" ref="Q110:Q141" si="53">((N110*60)+O110)*60+P110</f>
        <v>3921</v>
      </c>
    </row>
    <row r="111" spans="1:17" x14ac:dyDescent="0.25">
      <c r="A111" t="s">
        <v>16</v>
      </c>
      <c r="B111" t="b">
        <f t="shared" si="42"/>
        <v>0</v>
      </c>
      <c r="C111" t="b">
        <f t="shared" si="43"/>
        <v>1</v>
      </c>
      <c r="D111">
        <f t="shared" si="44"/>
        <v>3</v>
      </c>
      <c r="E111" t="str">
        <f t="shared" si="45"/>
        <v>5. Exposing RESTful Endpoints</v>
      </c>
      <c r="F111" t="str">
        <f t="shared" si="46"/>
        <v>3. Challenge - RESTful endpoints</v>
      </c>
      <c r="G111" t="str">
        <f t="shared" si="47"/>
        <v>1m 15s</v>
      </c>
      <c r="H111">
        <f t="shared" si="48"/>
        <v>1</v>
      </c>
      <c r="I111">
        <f t="shared" si="49"/>
        <v>15</v>
      </c>
      <c r="J111">
        <f t="shared" si="41"/>
        <v>4423</v>
      </c>
      <c r="K111">
        <f t="shared" si="50"/>
        <v>1</v>
      </c>
      <c r="L111">
        <f t="shared" si="51"/>
        <v>13</v>
      </c>
      <c r="M111">
        <f t="shared" si="52"/>
        <v>43</v>
      </c>
      <c r="N111">
        <v>1</v>
      </c>
      <c r="O111">
        <v>5</v>
      </c>
      <c r="P111">
        <v>21</v>
      </c>
      <c r="Q111">
        <f t="shared" si="53"/>
        <v>3921</v>
      </c>
    </row>
    <row r="112" spans="1:17" x14ac:dyDescent="0.25">
      <c r="A112" t="s">
        <v>15</v>
      </c>
      <c r="B112" t="b">
        <f t="shared" si="42"/>
        <v>0</v>
      </c>
      <c r="C112" t="b">
        <f t="shared" si="43"/>
        <v>0</v>
      </c>
      <c r="D112">
        <f t="shared" si="44"/>
        <v>3</v>
      </c>
      <c r="E112" t="str">
        <f t="shared" si="45"/>
        <v>5. Exposing RESTful Endpoints</v>
      </c>
      <c r="F112" t="str">
        <f t="shared" si="46"/>
        <v/>
      </c>
      <c r="G112" t="str">
        <f t="shared" si="47"/>
        <v/>
      </c>
      <c r="H112">
        <f t="shared" si="48"/>
        <v>0</v>
      </c>
      <c r="I112">
        <f t="shared" si="49"/>
        <v>0</v>
      </c>
      <c r="J112">
        <f t="shared" si="41"/>
        <v>4423</v>
      </c>
      <c r="K112">
        <f t="shared" si="50"/>
        <v>1</v>
      </c>
      <c r="L112">
        <f t="shared" si="51"/>
        <v>13</v>
      </c>
      <c r="M112">
        <f t="shared" si="52"/>
        <v>43</v>
      </c>
      <c r="N112">
        <v>1</v>
      </c>
      <c r="O112">
        <v>5</v>
      </c>
      <c r="P112">
        <v>21</v>
      </c>
      <c r="Q112">
        <f t="shared" si="53"/>
        <v>3921</v>
      </c>
    </row>
    <row r="113" spans="1:17" x14ac:dyDescent="0.25">
      <c r="A113" t="s">
        <v>3</v>
      </c>
      <c r="B113" t="b">
        <f t="shared" si="42"/>
        <v>0</v>
      </c>
      <c r="C113" t="b">
        <f t="shared" si="43"/>
        <v>0</v>
      </c>
      <c r="D113">
        <f t="shared" si="44"/>
        <v>3</v>
      </c>
      <c r="E113" t="str">
        <f t="shared" si="45"/>
        <v>5. Exposing RESTful Endpoints</v>
      </c>
      <c r="F113" t="str">
        <f t="shared" si="46"/>
        <v/>
      </c>
      <c r="G113" t="str">
        <f t="shared" si="47"/>
        <v/>
      </c>
      <c r="H113">
        <f t="shared" si="48"/>
        <v>0</v>
      </c>
      <c r="I113">
        <f t="shared" si="49"/>
        <v>0</v>
      </c>
      <c r="J113">
        <f t="shared" si="41"/>
        <v>4423</v>
      </c>
      <c r="K113">
        <f t="shared" si="50"/>
        <v>1</v>
      </c>
      <c r="L113">
        <f t="shared" si="51"/>
        <v>13</v>
      </c>
      <c r="M113">
        <f t="shared" si="52"/>
        <v>43</v>
      </c>
      <c r="N113">
        <v>1</v>
      </c>
      <c r="O113">
        <v>5</v>
      </c>
      <c r="P113">
        <v>21</v>
      </c>
      <c r="Q113">
        <f t="shared" si="53"/>
        <v>3921</v>
      </c>
    </row>
    <row r="114" spans="1:17" x14ac:dyDescent="0.25">
      <c r="A114" t="s">
        <v>14</v>
      </c>
      <c r="B114" t="b">
        <f t="shared" si="42"/>
        <v>0</v>
      </c>
      <c r="C114" t="b">
        <f t="shared" si="43"/>
        <v>1</v>
      </c>
      <c r="D114">
        <f t="shared" si="44"/>
        <v>4</v>
      </c>
      <c r="E114" t="str">
        <f t="shared" si="45"/>
        <v>5. Exposing RESTful Endpoints</v>
      </c>
      <c r="F114" t="str">
        <f t="shared" si="46"/>
        <v>4. Solution - RESTful endpoints</v>
      </c>
      <c r="G114" t="str">
        <f t="shared" si="47"/>
        <v>6m 32s</v>
      </c>
      <c r="H114">
        <f t="shared" si="48"/>
        <v>6</v>
      </c>
      <c r="I114">
        <f t="shared" si="49"/>
        <v>32</v>
      </c>
      <c r="J114">
        <f t="shared" si="41"/>
        <v>4815</v>
      </c>
      <c r="K114">
        <f t="shared" si="50"/>
        <v>1</v>
      </c>
      <c r="L114">
        <f t="shared" si="51"/>
        <v>20</v>
      </c>
      <c r="M114">
        <f t="shared" si="52"/>
        <v>15</v>
      </c>
      <c r="N114">
        <v>1</v>
      </c>
      <c r="O114">
        <v>5</v>
      </c>
      <c r="P114">
        <v>21</v>
      </c>
      <c r="Q114">
        <f t="shared" si="53"/>
        <v>3921</v>
      </c>
    </row>
    <row r="115" spans="1:17" x14ac:dyDescent="0.25">
      <c r="A115" t="s">
        <v>13</v>
      </c>
      <c r="B115" t="b">
        <f t="shared" si="42"/>
        <v>0</v>
      </c>
      <c r="C115" t="b">
        <f t="shared" si="43"/>
        <v>0</v>
      </c>
      <c r="D115">
        <f t="shared" si="44"/>
        <v>4</v>
      </c>
      <c r="E115" t="str">
        <f t="shared" si="45"/>
        <v>5. Exposing RESTful Endpoints</v>
      </c>
      <c r="F115" t="str">
        <f t="shared" si="46"/>
        <v/>
      </c>
      <c r="G115" t="str">
        <f t="shared" si="47"/>
        <v/>
      </c>
      <c r="H115">
        <f t="shared" si="48"/>
        <v>0</v>
      </c>
      <c r="I115">
        <f t="shared" si="49"/>
        <v>0</v>
      </c>
      <c r="J115">
        <f t="shared" si="41"/>
        <v>4815</v>
      </c>
      <c r="K115">
        <f t="shared" si="50"/>
        <v>1</v>
      </c>
      <c r="L115">
        <f t="shared" si="51"/>
        <v>20</v>
      </c>
      <c r="M115">
        <f t="shared" si="52"/>
        <v>15</v>
      </c>
      <c r="N115">
        <v>1</v>
      </c>
      <c r="O115">
        <v>5</v>
      </c>
      <c r="P115">
        <v>21</v>
      </c>
      <c r="Q115">
        <f t="shared" si="53"/>
        <v>3921</v>
      </c>
    </row>
    <row r="116" spans="1:17" x14ac:dyDescent="0.25">
      <c r="A116" t="s">
        <v>3</v>
      </c>
      <c r="B116" t="b">
        <f t="shared" si="42"/>
        <v>0</v>
      </c>
      <c r="C116" t="b">
        <f t="shared" si="43"/>
        <v>0</v>
      </c>
      <c r="D116">
        <f t="shared" si="44"/>
        <v>4</v>
      </c>
      <c r="E116" t="str">
        <f t="shared" si="45"/>
        <v>5. Exposing RESTful Endpoints</v>
      </c>
      <c r="F116" t="str">
        <f t="shared" si="46"/>
        <v/>
      </c>
      <c r="G116" t="str">
        <f t="shared" si="47"/>
        <v/>
      </c>
      <c r="H116">
        <f t="shared" si="48"/>
        <v>0</v>
      </c>
      <c r="I116">
        <f t="shared" si="49"/>
        <v>0</v>
      </c>
      <c r="J116">
        <f t="shared" si="41"/>
        <v>4815</v>
      </c>
      <c r="K116">
        <f t="shared" si="50"/>
        <v>1</v>
      </c>
      <c r="L116">
        <f t="shared" si="51"/>
        <v>20</v>
      </c>
      <c r="M116">
        <f t="shared" si="52"/>
        <v>15</v>
      </c>
      <c r="N116">
        <v>1</v>
      </c>
      <c r="O116">
        <v>5</v>
      </c>
      <c r="P116">
        <v>21</v>
      </c>
      <c r="Q116">
        <f t="shared" si="53"/>
        <v>3921</v>
      </c>
    </row>
    <row r="117" spans="1:17" x14ac:dyDescent="0.25">
      <c r="A117" t="s">
        <v>12</v>
      </c>
      <c r="B117" t="b">
        <f t="shared" si="42"/>
        <v>0</v>
      </c>
      <c r="C117" t="b">
        <f t="shared" si="43"/>
        <v>0</v>
      </c>
      <c r="D117">
        <f t="shared" si="44"/>
        <v>4</v>
      </c>
      <c r="E117" t="str">
        <f t="shared" si="45"/>
        <v>5. Exposing RESTful Endpoints</v>
      </c>
      <c r="F117" t="str">
        <f t="shared" si="46"/>
        <v/>
      </c>
      <c r="G117" t="str">
        <f t="shared" si="47"/>
        <v/>
      </c>
      <c r="H117">
        <f t="shared" si="48"/>
        <v>0</v>
      </c>
      <c r="I117">
        <f t="shared" si="49"/>
        <v>0</v>
      </c>
      <c r="J117">
        <f t="shared" si="41"/>
        <v>4815</v>
      </c>
      <c r="K117">
        <f t="shared" si="50"/>
        <v>1</v>
      </c>
      <c r="L117">
        <f t="shared" si="51"/>
        <v>20</v>
      </c>
      <c r="M117">
        <f t="shared" si="52"/>
        <v>15</v>
      </c>
      <c r="N117">
        <v>1</v>
      </c>
      <c r="O117">
        <v>5</v>
      </c>
      <c r="P117">
        <v>21</v>
      </c>
      <c r="Q117">
        <f t="shared" si="53"/>
        <v>3921</v>
      </c>
    </row>
    <row r="118" spans="1:17" x14ac:dyDescent="0.25">
      <c r="A118" t="s">
        <v>11</v>
      </c>
      <c r="B118" t="b">
        <f t="shared" si="42"/>
        <v>0</v>
      </c>
      <c r="C118" t="b">
        <f t="shared" si="43"/>
        <v>0</v>
      </c>
      <c r="D118">
        <f t="shared" si="44"/>
        <v>4</v>
      </c>
      <c r="E118" t="str">
        <f t="shared" si="45"/>
        <v>5. Exposing RESTful Endpoints</v>
      </c>
      <c r="F118" t="str">
        <f t="shared" si="46"/>
        <v/>
      </c>
      <c r="G118" t="str">
        <f t="shared" si="47"/>
        <v/>
      </c>
      <c r="H118">
        <f t="shared" si="48"/>
        <v>0</v>
      </c>
      <c r="I118">
        <f t="shared" si="49"/>
        <v>0</v>
      </c>
      <c r="J118">
        <f t="shared" si="41"/>
        <v>4815</v>
      </c>
      <c r="K118">
        <f t="shared" si="50"/>
        <v>1</v>
      </c>
      <c r="L118">
        <f t="shared" si="51"/>
        <v>20</v>
      </c>
      <c r="M118">
        <f t="shared" si="52"/>
        <v>15</v>
      </c>
      <c r="N118">
        <v>1</v>
      </c>
      <c r="O118">
        <v>5</v>
      </c>
      <c r="P118">
        <v>21</v>
      </c>
      <c r="Q118">
        <f t="shared" si="53"/>
        <v>3921</v>
      </c>
    </row>
    <row r="119" spans="1:17" x14ac:dyDescent="0.25">
      <c r="B119" t="b">
        <f t="shared" si="42"/>
        <v>0</v>
      </c>
      <c r="C119" t="b">
        <f t="shared" si="43"/>
        <v>0</v>
      </c>
      <c r="D119">
        <f t="shared" si="44"/>
        <v>4</v>
      </c>
      <c r="E119" t="str">
        <f t="shared" si="45"/>
        <v>5. Exposing RESTful Endpoints</v>
      </c>
      <c r="F119" t="str">
        <f t="shared" si="46"/>
        <v/>
      </c>
      <c r="G119" t="str">
        <f t="shared" si="47"/>
        <v/>
      </c>
      <c r="H119">
        <f t="shared" si="48"/>
        <v>0</v>
      </c>
      <c r="I119">
        <f t="shared" si="49"/>
        <v>0</v>
      </c>
      <c r="J119">
        <f t="shared" si="41"/>
        <v>4815</v>
      </c>
      <c r="K119">
        <f t="shared" si="50"/>
        <v>1</v>
      </c>
      <c r="L119">
        <f t="shared" si="51"/>
        <v>20</v>
      </c>
      <c r="M119">
        <f t="shared" si="52"/>
        <v>15</v>
      </c>
      <c r="N119">
        <v>1</v>
      </c>
      <c r="O119">
        <v>5</v>
      </c>
      <c r="P119">
        <v>21</v>
      </c>
      <c r="Q119">
        <f t="shared" si="53"/>
        <v>3921</v>
      </c>
    </row>
    <row r="120" spans="1:17" x14ac:dyDescent="0.25">
      <c r="A120" t="s">
        <v>10</v>
      </c>
      <c r="B120" t="b">
        <f t="shared" si="42"/>
        <v>1</v>
      </c>
      <c r="C120" t="b">
        <f t="shared" si="43"/>
        <v>0</v>
      </c>
      <c r="D120">
        <f t="shared" si="44"/>
        <v>0</v>
      </c>
      <c r="E120" t="str">
        <f t="shared" si="45"/>
        <v>6. Additional Topics</v>
      </c>
      <c r="F120" t="str">
        <f t="shared" si="46"/>
        <v/>
      </c>
      <c r="G120" t="str">
        <f t="shared" si="47"/>
        <v/>
      </c>
      <c r="H120">
        <f t="shared" si="48"/>
        <v>0</v>
      </c>
      <c r="I120">
        <f t="shared" si="49"/>
        <v>0</v>
      </c>
      <c r="J120">
        <f t="shared" si="41"/>
        <v>4815</v>
      </c>
      <c r="K120">
        <f t="shared" si="50"/>
        <v>1</v>
      </c>
      <c r="L120">
        <f t="shared" si="51"/>
        <v>20</v>
      </c>
      <c r="M120">
        <f t="shared" si="52"/>
        <v>15</v>
      </c>
      <c r="N120">
        <v>1</v>
      </c>
      <c r="O120">
        <v>5</v>
      </c>
      <c r="P120">
        <v>21</v>
      </c>
      <c r="Q120">
        <f t="shared" si="53"/>
        <v>3921</v>
      </c>
    </row>
    <row r="121" spans="1:17" x14ac:dyDescent="0.25">
      <c r="B121" t="b">
        <f t="shared" si="42"/>
        <v>0</v>
      </c>
      <c r="C121" t="b">
        <f t="shared" si="43"/>
        <v>0</v>
      </c>
      <c r="D121">
        <f t="shared" si="44"/>
        <v>0</v>
      </c>
      <c r="E121" t="str">
        <f t="shared" si="45"/>
        <v>6. Additional Topics</v>
      </c>
      <c r="F121" t="str">
        <f t="shared" si="46"/>
        <v/>
      </c>
      <c r="G121" t="str">
        <f t="shared" si="47"/>
        <v/>
      </c>
      <c r="H121">
        <f t="shared" si="48"/>
        <v>0</v>
      </c>
      <c r="I121">
        <f t="shared" si="49"/>
        <v>0</v>
      </c>
      <c r="J121">
        <v>4851</v>
      </c>
      <c r="K121">
        <f t="shared" si="50"/>
        <v>1</v>
      </c>
      <c r="L121">
        <f t="shared" si="51"/>
        <v>20</v>
      </c>
      <c r="M121">
        <f t="shared" si="52"/>
        <v>51</v>
      </c>
      <c r="N121">
        <v>1</v>
      </c>
      <c r="O121">
        <v>20</v>
      </c>
      <c r="P121">
        <v>51</v>
      </c>
      <c r="Q121">
        <f t="shared" si="53"/>
        <v>4851</v>
      </c>
    </row>
    <row r="122" spans="1:17" x14ac:dyDescent="0.25">
      <c r="A122" t="s">
        <v>9</v>
      </c>
      <c r="B122" t="b">
        <f t="shared" si="42"/>
        <v>0</v>
      </c>
      <c r="C122" t="b">
        <f t="shared" si="43"/>
        <v>1</v>
      </c>
      <c r="D122">
        <f t="shared" si="44"/>
        <v>1</v>
      </c>
      <c r="E122" t="str">
        <f t="shared" si="45"/>
        <v>6. Additional Topics</v>
      </c>
      <c r="F122" t="str">
        <f t="shared" si="46"/>
        <v>1. Testing Spring Boot applications</v>
      </c>
      <c r="G122" t="str">
        <f t="shared" si="47"/>
        <v>5m 24s</v>
      </c>
      <c r="H122">
        <f t="shared" si="48"/>
        <v>5</v>
      </c>
      <c r="I122">
        <f t="shared" si="49"/>
        <v>24</v>
      </c>
      <c r="J122">
        <f t="shared" ref="J122:J153" si="54">J121+(H122*60+I122)</f>
        <v>5175</v>
      </c>
      <c r="K122">
        <f t="shared" si="50"/>
        <v>1</v>
      </c>
      <c r="L122">
        <f t="shared" si="51"/>
        <v>26</v>
      </c>
      <c r="M122">
        <f t="shared" si="52"/>
        <v>15</v>
      </c>
      <c r="N122">
        <v>1</v>
      </c>
      <c r="O122">
        <v>5</v>
      </c>
      <c r="P122">
        <v>21</v>
      </c>
      <c r="Q122">
        <f t="shared" si="53"/>
        <v>3921</v>
      </c>
    </row>
    <row r="123" spans="1:17" x14ac:dyDescent="0.25">
      <c r="A123" t="s">
        <v>8</v>
      </c>
      <c r="B123" t="b">
        <f t="shared" si="42"/>
        <v>0</v>
      </c>
      <c r="C123" t="b">
        <f t="shared" si="43"/>
        <v>0</v>
      </c>
      <c r="D123">
        <f t="shared" si="44"/>
        <v>1</v>
      </c>
      <c r="E123" t="str">
        <f t="shared" si="45"/>
        <v>6. Additional Topics</v>
      </c>
      <c r="F123" t="str">
        <f t="shared" si="46"/>
        <v/>
      </c>
      <c r="G123" t="str">
        <f t="shared" si="47"/>
        <v/>
      </c>
      <c r="H123">
        <f t="shared" si="48"/>
        <v>0</v>
      </c>
      <c r="I123">
        <f t="shared" si="49"/>
        <v>0</v>
      </c>
      <c r="J123">
        <f t="shared" si="54"/>
        <v>5175</v>
      </c>
      <c r="K123">
        <f t="shared" si="50"/>
        <v>1</v>
      </c>
      <c r="L123">
        <f t="shared" si="51"/>
        <v>26</v>
      </c>
      <c r="M123">
        <f t="shared" si="52"/>
        <v>15</v>
      </c>
      <c r="N123">
        <v>1</v>
      </c>
      <c r="O123">
        <v>5</v>
      </c>
      <c r="P123">
        <v>21</v>
      </c>
      <c r="Q123">
        <f t="shared" si="53"/>
        <v>3921</v>
      </c>
    </row>
    <row r="124" spans="1:17" x14ac:dyDescent="0.25">
      <c r="A124" t="s">
        <v>3</v>
      </c>
      <c r="B124" t="b">
        <f t="shared" si="42"/>
        <v>0</v>
      </c>
      <c r="C124" t="b">
        <f t="shared" si="43"/>
        <v>0</v>
      </c>
      <c r="D124">
        <f t="shared" si="44"/>
        <v>1</v>
      </c>
      <c r="E124" t="str">
        <f t="shared" si="45"/>
        <v>6. Additional Topics</v>
      </c>
      <c r="F124" t="str">
        <f t="shared" si="46"/>
        <v/>
      </c>
      <c r="G124" t="str">
        <f t="shared" si="47"/>
        <v/>
      </c>
      <c r="H124">
        <f t="shared" si="48"/>
        <v>0</v>
      </c>
      <c r="I124">
        <f t="shared" si="49"/>
        <v>0</v>
      </c>
      <c r="J124">
        <f t="shared" si="54"/>
        <v>5175</v>
      </c>
      <c r="K124">
        <f t="shared" si="50"/>
        <v>1</v>
      </c>
      <c r="L124">
        <f t="shared" si="51"/>
        <v>26</v>
      </c>
      <c r="M124">
        <f t="shared" si="52"/>
        <v>15</v>
      </c>
      <c r="N124">
        <v>1</v>
      </c>
      <c r="O124">
        <v>5</v>
      </c>
      <c r="P124">
        <v>21</v>
      </c>
      <c r="Q124">
        <f t="shared" si="53"/>
        <v>3921</v>
      </c>
    </row>
    <row r="125" spans="1:17" x14ac:dyDescent="0.25">
      <c r="A125" t="s">
        <v>7</v>
      </c>
      <c r="B125" t="b">
        <f t="shared" si="42"/>
        <v>0</v>
      </c>
      <c r="C125" t="b">
        <f t="shared" si="43"/>
        <v>1</v>
      </c>
      <c r="D125">
        <f t="shared" si="44"/>
        <v>2</v>
      </c>
      <c r="E125" t="str">
        <f t="shared" si="45"/>
        <v>6. Additional Topics</v>
      </c>
      <c r="F125" t="str">
        <f t="shared" si="46"/>
        <v>2. Spring Security</v>
      </c>
      <c r="G125" t="str">
        <f t="shared" si="47"/>
        <v>1m 35s</v>
      </c>
      <c r="H125">
        <f t="shared" si="48"/>
        <v>1</v>
      </c>
      <c r="I125">
        <f t="shared" si="49"/>
        <v>35</v>
      </c>
      <c r="J125">
        <f t="shared" si="54"/>
        <v>5270</v>
      </c>
      <c r="K125">
        <f t="shared" si="50"/>
        <v>1</v>
      </c>
      <c r="L125">
        <f t="shared" si="51"/>
        <v>27</v>
      </c>
      <c r="M125">
        <f t="shared" si="52"/>
        <v>50</v>
      </c>
      <c r="N125">
        <v>1</v>
      </c>
      <c r="O125">
        <v>5</v>
      </c>
      <c r="P125">
        <v>21</v>
      </c>
      <c r="Q125">
        <f t="shared" si="53"/>
        <v>3921</v>
      </c>
    </row>
    <row r="126" spans="1:17" x14ac:dyDescent="0.25">
      <c r="A126" t="s">
        <v>6</v>
      </c>
      <c r="B126" t="b">
        <f t="shared" si="42"/>
        <v>0</v>
      </c>
      <c r="C126" t="b">
        <f t="shared" si="43"/>
        <v>0</v>
      </c>
      <c r="D126">
        <f t="shared" si="44"/>
        <v>2</v>
      </c>
      <c r="E126" t="str">
        <f t="shared" si="45"/>
        <v>6. Additional Topics</v>
      </c>
      <c r="F126" t="str">
        <f t="shared" si="46"/>
        <v/>
      </c>
      <c r="G126" t="str">
        <f t="shared" si="47"/>
        <v/>
      </c>
      <c r="H126">
        <f t="shared" si="48"/>
        <v>0</v>
      </c>
      <c r="I126">
        <f t="shared" si="49"/>
        <v>0</v>
      </c>
      <c r="J126">
        <f t="shared" si="54"/>
        <v>5270</v>
      </c>
      <c r="K126">
        <f t="shared" si="50"/>
        <v>1</v>
      </c>
      <c r="L126">
        <f t="shared" si="51"/>
        <v>27</v>
      </c>
      <c r="M126">
        <f t="shared" si="52"/>
        <v>50</v>
      </c>
      <c r="N126">
        <v>1</v>
      </c>
      <c r="O126">
        <v>5</v>
      </c>
      <c r="P126">
        <v>21</v>
      </c>
      <c r="Q126">
        <f t="shared" si="53"/>
        <v>3921</v>
      </c>
    </row>
    <row r="127" spans="1:17" x14ac:dyDescent="0.25">
      <c r="A127" t="s">
        <v>3</v>
      </c>
      <c r="B127" t="b">
        <f t="shared" si="42"/>
        <v>0</v>
      </c>
      <c r="C127" t="b">
        <f t="shared" si="43"/>
        <v>0</v>
      </c>
      <c r="D127">
        <f t="shared" si="44"/>
        <v>2</v>
      </c>
      <c r="E127" t="str">
        <f t="shared" si="45"/>
        <v>6. Additional Topics</v>
      </c>
      <c r="F127" t="str">
        <f t="shared" si="46"/>
        <v/>
      </c>
      <c r="G127" t="str">
        <f t="shared" si="47"/>
        <v/>
      </c>
      <c r="H127">
        <f t="shared" si="48"/>
        <v>0</v>
      </c>
      <c r="I127">
        <f t="shared" si="49"/>
        <v>0</v>
      </c>
      <c r="J127">
        <f t="shared" si="54"/>
        <v>5270</v>
      </c>
      <c r="K127">
        <f t="shared" si="50"/>
        <v>1</v>
      </c>
      <c r="L127">
        <f t="shared" si="51"/>
        <v>27</v>
      </c>
      <c r="M127">
        <f t="shared" si="52"/>
        <v>50</v>
      </c>
      <c r="N127">
        <v>1</v>
      </c>
      <c r="O127">
        <v>5</v>
      </c>
      <c r="P127">
        <v>21</v>
      </c>
      <c r="Q127">
        <f t="shared" si="53"/>
        <v>3921</v>
      </c>
    </row>
    <row r="128" spans="1:17" x14ac:dyDescent="0.25">
      <c r="A128" t="s">
        <v>5</v>
      </c>
      <c r="B128" t="b">
        <f t="shared" si="42"/>
        <v>0</v>
      </c>
      <c r="C128" t="b">
        <f t="shared" si="43"/>
        <v>1</v>
      </c>
      <c r="D128">
        <f t="shared" si="44"/>
        <v>3</v>
      </c>
      <c r="E128" t="str">
        <f t="shared" si="45"/>
        <v>6. Additional Topics</v>
      </c>
      <c r="F128" t="str">
        <f t="shared" si="46"/>
        <v>3. Other projects</v>
      </c>
      <c r="G128" t="str">
        <f t="shared" si="47"/>
        <v>6m 17s</v>
      </c>
      <c r="H128">
        <f t="shared" si="48"/>
        <v>6</v>
      </c>
      <c r="I128">
        <f t="shared" si="49"/>
        <v>17</v>
      </c>
      <c r="J128">
        <f t="shared" si="54"/>
        <v>5647</v>
      </c>
      <c r="K128">
        <f t="shared" si="50"/>
        <v>1</v>
      </c>
      <c r="L128">
        <f t="shared" si="51"/>
        <v>34</v>
      </c>
      <c r="M128">
        <f t="shared" si="52"/>
        <v>7</v>
      </c>
      <c r="N128">
        <v>1</v>
      </c>
      <c r="O128">
        <v>5</v>
      </c>
      <c r="P128">
        <v>21</v>
      </c>
      <c r="Q128">
        <f t="shared" si="53"/>
        <v>3921</v>
      </c>
    </row>
    <row r="129" spans="1:17" x14ac:dyDescent="0.25">
      <c r="A129" t="s">
        <v>4</v>
      </c>
      <c r="B129" t="b">
        <f t="shared" si="42"/>
        <v>0</v>
      </c>
      <c r="C129" t="b">
        <f t="shared" si="43"/>
        <v>0</v>
      </c>
      <c r="D129">
        <f t="shared" si="44"/>
        <v>3</v>
      </c>
      <c r="E129" t="str">
        <f t="shared" si="45"/>
        <v>6. Additional Topics</v>
      </c>
      <c r="F129" t="str">
        <f t="shared" si="46"/>
        <v/>
      </c>
      <c r="G129" t="str">
        <f t="shared" si="47"/>
        <v/>
      </c>
      <c r="H129">
        <f t="shared" si="48"/>
        <v>0</v>
      </c>
      <c r="I129">
        <f t="shared" si="49"/>
        <v>0</v>
      </c>
      <c r="J129">
        <f t="shared" si="54"/>
        <v>5647</v>
      </c>
      <c r="K129">
        <f t="shared" si="50"/>
        <v>1</v>
      </c>
      <c r="L129">
        <f t="shared" si="51"/>
        <v>34</v>
      </c>
      <c r="M129">
        <f t="shared" si="52"/>
        <v>7</v>
      </c>
      <c r="N129">
        <v>1</v>
      </c>
      <c r="O129">
        <v>5</v>
      </c>
      <c r="P129">
        <v>21</v>
      </c>
      <c r="Q129">
        <f t="shared" si="53"/>
        <v>3921</v>
      </c>
    </row>
    <row r="130" spans="1:17" x14ac:dyDescent="0.25">
      <c r="A130" t="s">
        <v>3</v>
      </c>
      <c r="B130" t="b">
        <f t="shared" si="42"/>
        <v>0</v>
      </c>
      <c r="C130" t="b">
        <f t="shared" si="43"/>
        <v>0</v>
      </c>
      <c r="D130">
        <f t="shared" si="44"/>
        <v>3</v>
      </c>
      <c r="E130" t="str">
        <f t="shared" si="45"/>
        <v>6. Additional Topics</v>
      </c>
      <c r="F130" t="str">
        <f t="shared" si="46"/>
        <v/>
      </c>
      <c r="G130" t="str">
        <f t="shared" si="47"/>
        <v/>
      </c>
      <c r="H130">
        <f t="shared" si="48"/>
        <v>0</v>
      </c>
      <c r="I130">
        <f t="shared" si="49"/>
        <v>0</v>
      </c>
      <c r="J130">
        <f t="shared" si="54"/>
        <v>5647</v>
      </c>
      <c r="K130">
        <f t="shared" si="50"/>
        <v>1</v>
      </c>
      <c r="L130">
        <f t="shared" si="51"/>
        <v>34</v>
      </c>
      <c r="M130">
        <f t="shared" si="52"/>
        <v>7</v>
      </c>
      <c r="N130">
        <v>1</v>
      </c>
      <c r="O130">
        <v>5</v>
      </c>
      <c r="P130">
        <v>21</v>
      </c>
      <c r="Q130">
        <f t="shared" si="53"/>
        <v>3921</v>
      </c>
    </row>
    <row r="131" spans="1:17" x14ac:dyDescent="0.25">
      <c r="B131" t="b">
        <f t="shared" si="42"/>
        <v>0</v>
      </c>
      <c r="C131" t="b">
        <f t="shared" si="43"/>
        <v>0</v>
      </c>
      <c r="D131">
        <f t="shared" si="44"/>
        <v>3</v>
      </c>
      <c r="E131" t="str">
        <f t="shared" si="45"/>
        <v>6. Additional Topics</v>
      </c>
      <c r="F131" t="str">
        <f t="shared" si="46"/>
        <v/>
      </c>
      <c r="G131" t="str">
        <f t="shared" si="47"/>
        <v/>
      </c>
      <c r="H131">
        <f t="shared" si="48"/>
        <v>0</v>
      </c>
      <c r="I131">
        <f t="shared" si="49"/>
        <v>0</v>
      </c>
      <c r="J131">
        <f t="shared" si="54"/>
        <v>5647</v>
      </c>
      <c r="K131">
        <f t="shared" si="50"/>
        <v>1</v>
      </c>
      <c r="L131">
        <f t="shared" si="51"/>
        <v>34</v>
      </c>
      <c r="M131">
        <f t="shared" si="52"/>
        <v>7</v>
      </c>
      <c r="N131">
        <v>1</v>
      </c>
      <c r="O131">
        <v>5</v>
      </c>
      <c r="P131">
        <v>21</v>
      </c>
      <c r="Q131">
        <f t="shared" si="53"/>
        <v>3921</v>
      </c>
    </row>
    <row r="132" spans="1:17" x14ac:dyDescent="0.25">
      <c r="A132" t="s">
        <v>2</v>
      </c>
      <c r="B132" t="b">
        <f t="shared" si="42"/>
        <v>0</v>
      </c>
      <c r="C132" t="b">
        <f t="shared" si="43"/>
        <v>0</v>
      </c>
      <c r="D132">
        <f t="shared" si="44"/>
        <v>3</v>
      </c>
      <c r="E132" t="str">
        <f t="shared" si="45"/>
        <v>6. Additional Topics</v>
      </c>
      <c r="F132" t="str">
        <f t="shared" si="46"/>
        <v/>
      </c>
      <c r="G132" t="str">
        <f t="shared" si="47"/>
        <v/>
      </c>
      <c r="H132">
        <f t="shared" si="48"/>
        <v>0</v>
      </c>
      <c r="I132">
        <f t="shared" si="49"/>
        <v>0</v>
      </c>
      <c r="J132">
        <f t="shared" si="54"/>
        <v>5647</v>
      </c>
      <c r="K132">
        <f t="shared" si="50"/>
        <v>1</v>
      </c>
      <c r="L132">
        <f t="shared" si="51"/>
        <v>34</v>
      </c>
      <c r="M132">
        <f t="shared" si="52"/>
        <v>7</v>
      </c>
      <c r="N132">
        <v>1</v>
      </c>
      <c r="O132">
        <v>5</v>
      </c>
      <c r="P132">
        <v>21</v>
      </c>
      <c r="Q132">
        <f t="shared" si="53"/>
        <v>3921</v>
      </c>
    </row>
    <row r="133" spans="1:17" x14ac:dyDescent="0.25">
      <c r="B133" t="b">
        <f t="shared" si="42"/>
        <v>0</v>
      </c>
      <c r="C133" t="b">
        <f t="shared" si="43"/>
        <v>0</v>
      </c>
      <c r="D133">
        <f t="shared" si="44"/>
        <v>3</v>
      </c>
      <c r="E133" t="str">
        <f t="shared" si="45"/>
        <v>6. Additional Topics</v>
      </c>
      <c r="F133" t="str">
        <f t="shared" si="46"/>
        <v/>
      </c>
      <c r="G133" t="str">
        <f t="shared" si="47"/>
        <v/>
      </c>
      <c r="H133">
        <f t="shared" si="48"/>
        <v>0</v>
      </c>
      <c r="I133">
        <f t="shared" si="49"/>
        <v>0</v>
      </c>
      <c r="J133">
        <f t="shared" si="54"/>
        <v>5647</v>
      </c>
      <c r="K133">
        <f t="shared" si="50"/>
        <v>1</v>
      </c>
      <c r="L133">
        <f t="shared" si="51"/>
        <v>34</v>
      </c>
      <c r="M133">
        <f t="shared" si="52"/>
        <v>7</v>
      </c>
      <c r="N133">
        <v>1</v>
      </c>
      <c r="O133">
        <v>5</v>
      </c>
      <c r="P133">
        <v>21</v>
      </c>
      <c r="Q133">
        <f t="shared" si="53"/>
        <v>3921</v>
      </c>
    </row>
    <row r="134" spans="1:17" x14ac:dyDescent="0.25">
      <c r="A134" t="s">
        <v>1</v>
      </c>
      <c r="B134" t="b">
        <f t="shared" si="42"/>
        <v>0</v>
      </c>
      <c r="C134" t="b">
        <f t="shared" si="43"/>
        <v>1</v>
      </c>
      <c r="D134">
        <f t="shared" si="44"/>
        <v>4</v>
      </c>
      <c r="E134" t="str">
        <f t="shared" si="45"/>
        <v>6. Additional Topics</v>
      </c>
      <c r="F134" t="str">
        <f t="shared" si="46"/>
        <v>4. Next steps</v>
      </c>
      <c r="G134" t="str">
        <f t="shared" si="47"/>
        <v>3m 34s</v>
      </c>
      <c r="H134">
        <f t="shared" si="48"/>
        <v>3</v>
      </c>
      <c r="I134">
        <f t="shared" si="49"/>
        <v>34</v>
      </c>
      <c r="J134">
        <f t="shared" si="54"/>
        <v>5861</v>
      </c>
      <c r="K134">
        <f t="shared" si="50"/>
        <v>1</v>
      </c>
      <c r="L134">
        <f t="shared" si="51"/>
        <v>37</v>
      </c>
      <c r="M134">
        <f t="shared" si="52"/>
        <v>41</v>
      </c>
      <c r="N134">
        <v>1</v>
      </c>
      <c r="O134">
        <v>5</v>
      </c>
      <c r="P134">
        <v>21</v>
      </c>
      <c r="Q134">
        <f t="shared" si="53"/>
        <v>3921</v>
      </c>
    </row>
    <row r="135" spans="1:17" x14ac:dyDescent="0.25">
      <c r="A135" t="s">
        <v>0</v>
      </c>
      <c r="B135" t="b">
        <f t="shared" si="42"/>
        <v>0</v>
      </c>
      <c r="C135" t="b">
        <f t="shared" si="43"/>
        <v>0</v>
      </c>
      <c r="D135">
        <f t="shared" si="44"/>
        <v>4</v>
      </c>
      <c r="E135" t="str">
        <f t="shared" si="45"/>
        <v>6. Additional Topics</v>
      </c>
      <c r="F135" t="str">
        <f t="shared" si="46"/>
        <v/>
      </c>
      <c r="G135" t="str">
        <f t="shared" si="47"/>
        <v/>
      </c>
      <c r="H135">
        <f t="shared" si="48"/>
        <v>0</v>
      </c>
      <c r="I135">
        <f t="shared" si="49"/>
        <v>0</v>
      </c>
      <c r="J135">
        <f t="shared" si="54"/>
        <v>5861</v>
      </c>
      <c r="K135">
        <f t="shared" si="50"/>
        <v>1</v>
      </c>
      <c r="L135">
        <f t="shared" si="51"/>
        <v>37</v>
      </c>
      <c r="M135">
        <f t="shared" si="52"/>
        <v>41</v>
      </c>
      <c r="N135">
        <v>1</v>
      </c>
      <c r="O135">
        <v>5</v>
      </c>
      <c r="P135">
        <v>21</v>
      </c>
      <c r="Q135">
        <f t="shared" si="53"/>
        <v>3921</v>
      </c>
    </row>
    <row r="136" spans="1:17" x14ac:dyDescent="0.25">
      <c r="B136" t="b">
        <f t="shared" si="42"/>
        <v>0</v>
      </c>
      <c r="C136" t="b">
        <f t="shared" si="43"/>
        <v>0</v>
      </c>
      <c r="D136">
        <f t="shared" si="44"/>
        <v>4</v>
      </c>
      <c r="E136" t="str">
        <f t="shared" si="45"/>
        <v>6. Additional Topics</v>
      </c>
      <c r="F136" t="str">
        <f t="shared" si="46"/>
        <v/>
      </c>
      <c r="G136" t="str">
        <f t="shared" si="47"/>
        <v/>
      </c>
      <c r="H136">
        <f t="shared" si="48"/>
        <v>0</v>
      </c>
      <c r="I136">
        <f t="shared" si="49"/>
        <v>0</v>
      </c>
      <c r="J136">
        <f t="shared" si="54"/>
        <v>5861</v>
      </c>
      <c r="K136">
        <f t="shared" si="50"/>
        <v>1</v>
      </c>
      <c r="L136">
        <f t="shared" si="51"/>
        <v>37</v>
      </c>
      <c r="M136">
        <f t="shared" si="52"/>
        <v>41</v>
      </c>
      <c r="N136">
        <v>1</v>
      </c>
      <c r="O136">
        <v>5</v>
      </c>
      <c r="P136">
        <v>21</v>
      </c>
      <c r="Q136">
        <f t="shared" si="53"/>
        <v>3921</v>
      </c>
    </row>
    <row r="137" spans="1:17" x14ac:dyDescent="0.25">
      <c r="B137" t="b">
        <f t="shared" si="42"/>
        <v>0</v>
      </c>
      <c r="C137" t="b">
        <f t="shared" si="43"/>
        <v>0</v>
      </c>
      <c r="D137">
        <f t="shared" si="44"/>
        <v>4</v>
      </c>
      <c r="E137" t="str">
        <f t="shared" si="45"/>
        <v>6. Additional Topics</v>
      </c>
      <c r="F137" t="str">
        <f t="shared" si="46"/>
        <v/>
      </c>
      <c r="G137" t="str">
        <f t="shared" si="47"/>
        <v/>
      </c>
      <c r="H137">
        <f t="shared" si="48"/>
        <v>0</v>
      </c>
      <c r="I137">
        <f t="shared" si="49"/>
        <v>0</v>
      </c>
      <c r="J137">
        <f t="shared" si="54"/>
        <v>5861</v>
      </c>
      <c r="K137">
        <f t="shared" si="50"/>
        <v>1</v>
      </c>
      <c r="L137">
        <f t="shared" si="51"/>
        <v>37</v>
      </c>
      <c r="M137">
        <f t="shared" si="52"/>
        <v>41</v>
      </c>
      <c r="N137">
        <v>1</v>
      </c>
      <c r="O137">
        <v>5</v>
      </c>
      <c r="P137">
        <v>21</v>
      </c>
      <c r="Q137">
        <f t="shared" si="53"/>
        <v>3921</v>
      </c>
    </row>
    <row r="138" spans="1:17" x14ac:dyDescent="0.25">
      <c r="B138" t="b">
        <f t="shared" si="42"/>
        <v>0</v>
      </c>
      <c r="C138" t="b">
        <f t="shared" si="43"/>
        <v>0</v>
      </c>
      <c r="D138">
        <f t="shared" si="44"/>
        <v>4</v>
      </c>
      <c r="E138" t="str">
        <f t="shared" si="45"/>
        <v>6. Additional Topics</v>
      </c>
      <c r="F138" t="str">
        <f t="shared" si="46"/>
        <v/>
      </c>
      <c r="G138" t="str">
        <f t="shared" si="47"/>
        <v/>
      </c>
      <c r="H138">
        <f t="shared" si="48"/>
        <v>0</v>
      </c>
      <c r="I138">
        <f t="shared" si="49"/>
        <v>0</v>
      </c>
      <c r="J138">
        <f t="shared" si="54"/>
        <v>5861</v>
      </c>
      <c r="K138">
        <f t="shared" si="50"/>
        <v>1</v>
      </c>
      <c r="L138">
        <f t="shared" si="51"/>
        <v>37</v>
      </c>
      <c r="M138">
        <f t="shared" si="52"/>
        <v>41</v>
      </c>
      <c r="N138">
        <v>1</v>
      </c>
      <c r="O138">
        <v>5</v>
      </c>
      <c r="P138">
        <v>21</v>
      </c>
      <c r="Q138">
        <f t="shared" si="53"/>
        <v>3921</v>
      </c>
    </row>
    <row r="139" spans="1:17" x14ac:dyDescent="0.25">
      <c r="B139" t="b">
        <f t="shared" si="42"/>
        <v>0</v>
      </c>
      <c r="C139" t="b">
        <f t="shared" si="43"/>
        <v>0</v>
      </c>
      <c r="D139">
        <f t="shared" si="44"/>
        <v>4</v>
      </c>
      <c r="E139" t="str">
        <f t="shared" si="45"/>
        <v>6. Additional Topics</v>
      </c>
      <c r="F139" t="str">
        <f t="shared" si="46"/>
        <v/>
      </c>
      <c r="G139" t="str">
        <f t="shared" si="47"/>
        <v/>
      </c>
      <c r="H139">
        <f t="shared" si="48"/>
        <v>0</v>
      </c>
      <c r="I139">
        <f t="shared" si="49"/>
        <v>0</v>
      </c>
      <c r="J139">
        <f t="shared" si="54"/>
        <v>5861</v>
      </c>
      <c r="K139">
        <f t="shared" si="50"/>
        <v>1</v>
      </c>
      <c r="L139">
        <f t="shared" si="51"/>
        <v>37</v>
      </c>
      <c r="M139">
        <f t="shared" si="52"/>
        <v>41</v>
      </c>
      <c r="N139">
        <v>1</v>
      </c>
      <c r="O139">
        <v>5</v>
      </c>
      <c r="P139">
        <v>21</v>
      </c>
      <c r="Q139">
        <f t="shared" si="53"/>
        <v>3921</v>
      </c>
    </row>
    <row r="140" spans="1:17" x14ac:dyDescent="0.25">
      <c r="B140" t="b">
        <f t="shared" si="42"/>
        <v>0</v>
      </c>
      <c r="C140" t="b">
        <f t="shared" si="43"/>
        <v>0</v>
      </c>
      <c r="D140">
        <f t="shared" si="44"/>
        <v>4</v>
      </c>
      <c r="E140" t="str">
        <f t="shared" si="45"/>
        <v>6. Additional Topics</v>
      </c>
      <c r="F140" t="str">
        <f t="shared" si="46"/>
        <v/>
      </c>
      <c r="G140" t="str">
        <f t="shared" si="47"/>
        <v/>
      </c>
      <c r="H140">
        <f t="shared" si="48"/>
        <v>0</v>
      </c>
      <c r="I140">
        <f t="shared" si="49"/>
        <v>0</v>
      </c>
      <c r="J140">
        <f t="shared" si="54"/>
        <v>5861</v>
      </c>
      <c r="K140">
        <f t="shared" si="50"/>
        <v>1</v>
      </c>
      <c r="L140">
        <f t="shared" si="51"/>
        <v>37</v>
      </c>
      <c r="M140">
        <f t="shared" si="52"/>
        <v>41</v>
      </c>
      <c r="N140">
        <v>1</v>
      </c>
      <c r="O140">
        <v>5</v>
      </c>
      <c r="P140">
        <v>21</v>
      </c>
      <c r="Q140">
        <f t="shared" si="53"/>
        <v>3921</v>
      </c>
    </row>
    <row r="141" spans="1:17" x14ac:dyDescent="0.25">
      <c r="B141" t="b">
        <f t="shared" si="42"/>
        <v>0</v>
      </c>
      <c r="C141" t="b">
        <f t="shared" si="43"/>
        <v>0</v>
      </c>
      <c r="D141">
        <f t="shared" si="44"/>
        <v>4</v>
      </c>
      <c r="E141" t="str">
        <f t="shared" si="45"/>
        <v>6. Additional Topics</v>
      </c>
      <c r="F141" t="str">
        <f t="shared" si="46"/>
        <v/>
      </c>
      <c r="G141" t="str">
        <f t="shared" si="47"/>
        <v/>
      </c>
      <c r="H141">
        <f t="shared" si="48"/>
        <v>0</v>
      </c>
      <c r="I141">
        <f t="shared" si="49"/>
        <v>0</v>
      </c>
      <c r="J141">
        <f t="shared" si="54"/>
        <v>5861</v>
      </c>
      <c r="K141">
        <f t="shared" si="50"/>
        <v>1</v>
      </c>
      <c r="L141">
        <f t="shared" si="51"/>
        <v>37</v>
      </c>
      <c r="M141">
        <f t="shared" si="52"/>
        <v>41</v>
      </c>
      <c r="N141">
        <v>1</v>
      </c>
      <c r="O141">
        <v>5</v>
      </c>
      <c r="P141">
        <v>21</v>
      </c>
      <c r="Q141">
        <f t="shared" si="53"/>
        <v>3921</v>
      </c>
    </row>
    <row r="142" spans="1:17" x14ac:dyDescent="0.25">
      <c r="B142" t="b">
        <f t="shared" ref="B142:B170" si="55">AND(NOT(ISERROR(FIND(". ",A142))),ISNUMBER(VALUE(LEFT(A142,FIND(". ",A142)-1))))</f>
        <v>0</v>
      </c>
      <c r="C142" t="b">
        <f t="shared" ref="C142:C170" si="56">OR(AND(NOT(ISERROR(FIND("m",A143))),ISNUMBER(VALUE(LEFT(A143,FIND("m",A143)-1)))),AND(NOT(ISERROR(FIND("s",A143))),ISNUMBER(VALUE(LEFT(A143,FIND("s",A143)-1)))))</f>
        <v>0</v>
      </c>
      <c r="D142">
        <f t="shared" ref="D142:D170" si="57">IF(B142,0,IF(C142,D141+1,D141))</f>
        <v>4</v>
      </c>
      <c r="E142" t="str">
        <f t="shared" ref="E142:E170" si="58">IF(B142,A142,E141)</f>
        <v>6. Additional Topics</v>
      </c>
      <c r="F142" t="str">
        <f t="shared" ref="F142:F170" si="59">IF(C142,SUBSTITUTE(D142&amp;". "&amp;A142,":"," -"),"")</f>
        <v/>
      </c>
      <c r="G142" t="str">
        <f t="shared" ref="G142:G170" si="60">IF(C142,IF(ISERROR(FIND("s",A143)),LEFT(A143,FIND("m",A143)),LEFT(A143,FIND("s",A143))),"")</f>
        <v/>
      </c>
      <c r="H142">
        <f t="shared" ref="H142:H170" si="61">IF(OR(G142="",ISERROR(FIND("m",G142))),0,VALUE(LEFT(G142,FIND("m",G142)-1)))</f>
        <v>0</v>
      </c>
      <c r="I142">
        <f t="shared" ref="I142:I170" si="62">IF(OR(G142="",ISERROR(FIND("s",G142))),0,VALUE(SUBSTITUTE(MID(G142,IF(ISERROR(FIND("m",G142)), 0,FIND("m",G142))+1,LEN(G142)),"s","")))</f>
        <v>0</v>
      </c>
      <c r="J142">
        <f t="shared" si="54"/>
        <v>5861</v>
      </c>
      <c r="K142">
        <f t="shared" ref="K142:K170" si="63">INT(J142/60/60)</f>
        <v>1</v>
      </c>
      <c r="L142">
        <f t="shared" ref="L142:L170" si="64">INT((J142-(K142*60*60))/60)</f>
        <v>37</v>
      </c>
      <c r="M142">
        <f t="shared" ref="M142:M170" si="65">J142-(((K142*60)+L142)*60)</f>
        <v>41</v>
      </c>
      <c r="N142">
        <v>1</v>
      </c>
      <c r="O142">
        <v>5</v>
      </c>
      <c r="P142">
        <v>21</v>
      </c>
      <c r="Q142">
        <f t="shared" ref="Q142:Q170" si="66">((N142*60)+O142)*60+P142</f>
        <v>3921</v>
      </c>
    </row>
    <row r="143" spans="1:17" x14ac:dyDescent="0.25">
      <c r="B143" t="b">
        <f t="shared" si="55"/>
        <v>0</v>
      </c>
      <c r="C143" t="b">
        <f t="shared" si="56"/>
        <v>0</v>
      </c>
      <c r="D143">
        <f t="shared" si="57"/>
        <v>4</v>
      </c>
      <c r="E143" t="str">
        <f t="shared" si="58"/>
        <v>6. Additional Topics</v>
      </c>
      <c r="F143" t="str">
        <f t="shared" si="59"/>
        <v/>
      </c>
      <c r="G143" t="str">
        <f t="shared" si="60"/>
        <v/>
      </c>
      <c r="H143">
        <f t="shared" si="61"/>
        <v>0</v>
      </c>
      <c r="I143">
        <f t="shared" si="62"/>
        <v>0</v>
      </c>
      <c r="J143">
        <f t="shared" si="54"/>
        <v>5861</v>
      </c>
      <c r="K143">
        <f t="shared" si="63"/>
        <v>1</v>
      </c>
      <c r="L143">
        <f t="shared" si="64"/>
        <v>37</v>
      </c>
      <c r="M143">
        <f t="shared" si="65"/>
        <v>41</v>
      </c>
      <c r="N143">
        <v>1</v>
      </c>
      <c r="O143">
        <v>5</v>
      </c>
      <c r="P143">
        <v>21</v>
      </c>
      <c r="Q143">
        <f t="shared" si="66"/>
        <v>3921</v>
      </c>
    </row>
    <row r="144" spans="1:17" x14ac:dyDescent="0.25">
      <c r="B144" t="b">
        <f t="shared" si="55"/>
        <v>0</v>
      </c>
      <c r="C144" t="b">
        <f t="shared" si="56"/>
        <v>0</v>
      </c>
      <c r="D144">
        <f t="shared" si="57"/>
        <v>4</v>
      </c>
      <c r="E144" t="str">
        <f t="shared" si="58"/>
        <v>6. Additional Topics</v>
      </c>
      <c r="F144" t="str">
        <f t="shared" si="59"/>
        <v/>
      </c>
      <c r="G144" t="str">
        <f t="shared" si="60"/>
        <v/>
      </c>
      <c r="H144">
        <f t="shared" si="61"/>
        <v>0</v>
      </c>
      <c r="I144">
        <f t="shared" si="62"/>
        <v>0</v>
      </c>
      <c r="J144">
        <f t="shared" si="54"/>
        <v>5861</v>
      </c>
      <c r="K144">
        <f t="shared" si="63"/>
        <v>1</v>
      </c>
      <c r="L144">
        <f t="shared" si="64"/>
        <v>37</v>
      </c>
      <c r="M144">
        <f t="shared" si="65"/>
        <v>41</v>
      </c>
      <c r="N144">
        <v>1</v>
      </c>
      <c r="O144">
        <v>5</v>
      </c>
      <c r="P144">
        <v>21</v>
      </c>
      <c r="Q144">
        <f t="shared" si="66"/>
        <v>3921</v>
      </c>
    </row>
    <row r="145" spans="2:17" x14ac:dyDescent="0.25">
      <c r="B145" t="b">
        <f t="shared" si="55"/>
        <v>0</v>
      </c>
      <c r="C145" t="b">
        <f t="shared" si="56"/>
        <v>0</v>
      </c>
      <c r="D145">
        <f t="shared" si="57"/>
        <v>4</v>
      </c>
      <c r="E145" t="str">
        <f t="shared" si="58"/>
        <v>6. Additional Topics</v>
      </c>
      <c r="F145" t="str">
        <f t="shared" si="59"/>
        <v/>
      </c>
      <c r="G145" t="str">
        <f t="shared" si="60"/>
        <v/>
      </c>
      <c r="H145">
        <f t="shared" si="61"/>
        <v>0</v>
      </c>
      <c r="I145">
        <f t="shared" si="62"/>
        <v>0</v>
      </c>
      <c r="J145">
        <f t="shared" si="54"/>
        <v>5861</v>
      </c>
      <c r="K145">
        <f t="shared" si="63"/>
        <v>1</v>
      </c>
      <c r="L145">
        <f t="shared" si="64"/>
        <v>37</v>
      </c>
      <c r="M145">
        <f t="shared" si="65"/>
        <v>41</v>
      </c>
      <c r="N145">
        <v>1</v>
      </c>
      <c r="O145">
        <v>5</v>
      </c>
      <c r="P145">
        <v>21</v>
      </c>
      <c r="Q145">
        <f t="shared" si="66"/>
        <v>3921</v>
      </c>
    </row>
    <row r="146" spans="2:17" x14ac:dyDescent="0.25">
      <c r="B146" t="b">
        <f t="shared" si="55"/>
        <v>0</v>
      </c>
      <c r="C146" t="b">
        <f t="shared" si="56"/>
        <v>0</v>
      </c>
      <c r="D146">
        <f t="shared" si="57"/>
        <v>4</v>
      </c>
      <c r="E146" t="str">
        <f t="shared" si="58"/>
        <v>6. Additional Topics</v>
      </c>
      <c r="F146" t="str">
        <f t="shared" si="59"/>
        <v/>
      </c>
      <c r="G146" t="str">
        <f t="shared" si="60"/>
        <v/>
      </c>
      <c r="H146">
        <f t="shared" si="61"/>
        <v>0</v>
      </c>
      <c r="I146">
        <f t="shared" si="62"/>
        <v>0</v>
      </c>
      <c r="J146">
        <f t="shared" si="54"/>
        <v>5861</v>
      </c>
      <c r="K146">
        <f t="shared" si="63"/>
        <v>1</v>
      </c>
      <c r="L146">
        <f t="shared" si="64"/>
        <v>37</v>
      </c>
      <c r="M146">
        <f t="shared" si="65"/>
        <v>41</v>
      </c>
      <c r="N146">
        <v>1</v>
      </c>
      <c r="O146">
        <v>5</v>
      </c>
      <c r="P146">
        <v>21</v>
      </c>
      <c r="Q146">
        <f t="shared" si="66"/>
        <v>3921</v>
      </c>
    </row>
    <row r="147" spans="2:17" x14ac:dyDescent="0.25">
      <c r="B147" t="b">
        <f t="shared" si="55"/>
        <v>0</v>
      </c>
      <c r="C147" t="b">
        <f t="shared" si="56"/>
        <v>0</v>
      </c>
      <c r="D147">
        <f t="shared" si="57"/>
        <v>4</v>
      </c>
      <c r="E147" t="str">
        <f t="shared" si="58"/>
        <v>6. Additional Topics</v>
      </c>
      <c r="F147" t="str">
        <f t="shared" si="59"/>
        <v/>
      </c>
      <c r="G147" t="str">
        <f t="shared" si="60"/>
        <v/>
      </c>
      <c r="H147">
        <f t="shared" si="61"/>
        <v>0</v>
      </c>
      <c r="I147">
        <f t="shared" si="62"/>
        <v>0</v>
      </c>
      <c r="J147">
        <f t="shared" si="54"/>
        <v>5861</v>
      </c>
      <c r="K147">
        <f t="shared" si="63"/>
        <v>1</v>
      </c>
      <c r="L147">
        <f t="shared" si="64"/>
        <v>37</v>
      </c>
      <c r="M147">
        <f t="shared" si="65"/>
        <v>41</v>
      </c>
      <c r="N147">
        <v>1</v>
      </c>
      <c r="O147">
        <v>5</v>
      </c>
      <c r="P147">
        <v>21</v>
      </c>
      <c r="Q147">
        <f t="shared" si="66"/>
        <v>3921</v>
      </c>
    </row>
    <row r="148" spans="2:17" x14ac:dyDescent="0.25">
      <c r="B148" t="b">
        <f t="shared" si="55"/>
        <v>0</v>
      </c>
      <c r="C148" t="b">
        <f t="shared" si="56"/>
        <v>0</v>
      </c>
      <c r="D148">
        <f t="shared" si="57"/>
        <v>4</v>
      </c>
      <c r="E148" t="str">
        <f t="shared" si="58"/>
        <v>6. Additional Topics</v>
      </c>
      <c r="F148" t="str">
        <f t="shared" si="59"/>
        <v/>
      </c>
      <c r="G148" t="str">
        <f t="shared" si="60"/>
        <v/>
      </c>
      <c r="H148">
        <f t="shared" si="61"/>
        <v>0</v>
      </c>
      <c r="I148">
        <f t="shared" si="62"/>
        <v>0</v>
      </c>
      <c r="J148">
        <f t="shared" si="54"/>
        <v>5861</v>
      </c>
      <c r="K148">
        <f t="shared" si="63"/>
        <v>1</v>
      </c>
      <c r="L148">
        <f t="shared" si="64"/>
        <v>37</v>
      </c>
      <c r="M148">
        <f t="shared" si="65"/>
        <v>41</v>
      </c>
      <c r="N148">
        <v>1</v>
      </c>
      <c r="O148">
        <v>5</v>
      </c>
      <c r="P148">
        <v>21</v>
      </c>
      <c r="Q148">
        <f t="shared" si="66"/>
        <v>3921</v>
      </c>
    </row>
    <row r="149" spans="2:17" x14ac:dyDescent="0.25">
      <c r="B149" t="b">
        <f t="shared" si="55"/>
        <v>0</v>
      </c>
      <c r="C149" t="b">
        <f t="shared" si="56"/>
        <v>0</v>
      </c>
      <c r="D149">
        <f t="shared" si="57"/>
        <v>4</v>
      </c>
      <c r="E149" t="str">
        <f t="shared" si="58"/>
        <v>6. Additional Topics</v>
      </c>
      <c r="F149" t="str">
        <f t="shared" si="59"/>
        <v/>
      </c>
      <c r="G149" t="str">
        <f t="shared" si="60"/>
        <v/>
      </c>
      <c r="H149">
        <f t="shared" si="61"/>
        <v>0</v>
      </c>
      <c r="I149">
        <f t="shared" si="62"/>
        <v>0</v>
      </c>
      <c r="J149">
        <f t="shared" si="54"/>
        <v>5861</v>
      </c>
      <c r="K149">
        <f t="shared" si="63"/>
        <v>1</v>
      </c>
      <c r="L149">
        <f t="shared" si="64"/>
        <v>37</v>
      </c>
      <c r="M149">
        <f t="shared" si="65"/>
        <v>41</v>
      </c>
      <c r="N149">
        <v>1</v>
      </c>
      <c r="O149">
        <v>5</v>
      </c>
      <c r="P149">
        <v>21</v>
      </c>
      <c r="Q149">
        <f t="shared" si="66"/>
        <v>3921</v>
      </c>
    </row>
    <row r="150" spans="2:17" x14ac:dyDescent="0.25">
      <c r="B150" t="b">
        <f t="shared" si="55"/>
        <v>0</v>
      </c>
      <c r="C150" t="b">
        <f t="shared" si="56"/>
        <v>0</v>
      </c>
      <c r="D150">
        <f t="shared" si="57"/>
        <v>4</v>
      </c>
      <c r="E150" t="str">
        <f t="shared" si="58"/>
        <v>6. Additional Topics</v>
      </c>
      <c r="F150" t="str">
        <f t="shared" si="59"/>
        <v/>
      </c>
      <c r="G150" t="str">
        <f t="shared" si="60"/>
        <v/>
      </c>
      <c r="H150">
        <f t="shared" si="61"/>
        <v>0</v>
      </c>
      <c r="I150">
        <f t="shared" si="62"/>
        <v>0</v>
      </c>
      <c r="J150">
        <f t="shared" si="54"/>
        <v>5861</v>
      </c>
      <c r="K150">
        <f t="shared" si="63"/>
        <v>1</v>
      </c>
      <c r="L150">
        <f t="shared" si="64"/>
        <v>37</v>
      </c>
      <c r="M150">
        <f t="shared" si="65"/>
        <v>41</v>
      </c>
      <c r="N150">
        <v>1</v>
      </c>
      <c r="O150">
        <v>5</v>
      </c>
      <c r="P150">
        <v>21</v>
      </c>
      <c r="Q150">
        <f t="shared" si="66"/>
        <v>3921</v>
      </c>
    </row>
    <row r="151" spans="2:17" x14ac:dyDescent="0.25">
      <c r="B151" t="b">
        <f t="shared" si="55"/>
        <v>0</v>
      </c>
      <c r="C151" t="b">
        <f t="shared" si="56"/>
        <v>0</v>
      </c>
      <c r="D151">
        <f t="shared" si="57"/>
        <v>4</v>
      </c>
      <c r="E151" t="str">
        <f t="shared" si="58"/>
        <v>6. Additional Topics</v>
      </c>
      <c r="F151" t="str">
        <f t="shared" si="59"/>
        <v/>
      </c>
      <c r="G151" t="str">
        <f t="shared" si="60"/>
        <v/>
      </c>
      <c r="H151">
        <f t="shared" si="61"/>
        <v>0</v>
      </c>
      <c r="I151">
        <f t="shared" si="62"/>
        <v>0</v>
      </c>
      <c r="J151">
        <f t="shared" si="54"/>
        <v>5861</v>
      </c>
      <c r="K151">
        <f t="shared" si="63"/>
        <v>1</v>
      </c>
      <c r="L151">
        <f t="shared" si="64"/>
        <v>37</v>
      </c>
      <c r="M151">
        <f t="shared" si="65"/>
        <v>41</v>
      </c>
      <c r="N151">
        <v>1</v>
      </c>
      <c r="O151">
        <v>5</v>
      </c>
      <c r="P151">
        <v>21</v>
      </c>
      <c r="Q151">
        <f t="shared" si="66"/>
        <v>3921</v>
      </c>
    </row>
    <row r="152" spans="2:17" x14ac:dyDescent="0.25">
      <c r="B152" t="b">
        <f t="shared" si="55"/>
        <v>0</v>
      </c>
      <c r="C152" t="b">
        <f t="shared" si="56"/>
        <v>0</v>
      </c>
      <c r="D152">
        <f t="shared" si="57"/>
        <v>4</v>
      </c>
      <c r="E152" t="str">
        <f t="shared" si="58"/>
        <v>6. Additional Topics</v>
      </c>
      <c r="F152" t="str">
        <f t="shared" si="59"/>
        <v/>
      </c>
      <c r="G152" t="str">
        <f t="shared" si="60"/>
        <v/>
      </c>
      <c r="H152">
        <f t="shared" si="61"/>
        <v>0</v>
      </c>
      <c r="I152">
        <f t="shared" si="62"/>
        <v>0</v>
      </c>
      <c r="J152">
        <f t="shared" si="54"/>
        <v>5861</v>
      </c>
      <c r="K152">
        <f t="shared" si="63"/>
        <v>1</v>
      </c>
      <c r="L152">
        <f t="shared" si="64"/>
        <v>37</v>
      </c>
      <c r="M152">
        <f t="shared" si="65"/>
        <v>41</v>
      </c>
      <c r="N152">
        <v>1</v>
      </c>
      <c r="O152">
        <v>5</v>
      </c>
      <c r="P152">
        <v>21</v>
      </c>
      <c r="Q152">
        <f t="shared" si="66"/>
        <v>3921</v>
      </c>
    </row>
    <row r="153" spans="2:17" x14ac:dyDescent="0.25">
      <c r="B153" t="b">
        <f t="shared" si="55"/>
        <v>0</v>
      </c>
      <c r="C153" t="b">
        <f t="shared" si="56"/>
        <v>0</v>
      </c>
      <c r="D153">
        <f t="shared" si="57"/>
        <v>4</v>
      </c>
      <c r="E153" t="str">
        <f t="shared" si="58"/>
        <v>6. Additional Topics</v>
      </c>
      <c r="F153" t="str">
        <f t="shared" si="59"/>
        <v/>
      </c>
      <c r="G153" t="str">
        <f t="shared" si="60"/>
        <v/>
      </c>
      <c r="H153">
        <f t="shared" si="61"/>
        <v>0</v>
      </c>
      <c r="I153">
        <f t="shared" si="62"/>
        <v>0</v>
      </c>
      <c r="J153">
        <f t="shared" si="54"/>
        <v>5861</v>
      </c>
      <c r="K153">
        <f t="shared" si="63"/>
        <v>1</v>
      </c>
      <c r="L153">
        <f t="shared" si="64"/>
        <v>37</v>
      </c>
      <c r="M153">
        <f t="shared" si="65"/>
        <v>41</v>
      </c>
      <c r="N153">
        <v>1</v>
      </c>
      <c r="O153">
        <v>5</v>
      </c>
      <c r="P153">
        <v>21</v>
      </c>
      <c r="Q153">
        <f t="shared" si="66"/>
        <v>3921</v>
      </c>
    </row>
    <row r="154" spans="2:17" x14ac:dyDescent="0.25">
      <c r="B154" t="b">
        <f t="shared" si="55"/>
        <v>0</v>
      </c>
      <c r="C154" t="b">
        <f t="shared" si="56"/>
        <v>0</v>
      </c>
      <c r="D154">
        <f t="shared" si="57"/>
        <v>4</v>
      </c>
      <c r="E154" t="str">
        <f t="shared" si="58"/>
        <v>6. Additional Topics</v>
      </c>
      <c r="F154" t="str">
        <f t="shared" si="59"/>
        <v/>
      </c>
      <c r="G154" t="str">
        <f t="shared" si="60"/>
        <v/>
      </c>
      <c r="H154">
        <f t="shared" si="61"/>
        <v>0</v>
      </c>
      <c r="I154">
        <f t="shared" si="62"/>
        <v>0</v>
      </c>
      <c r="J154">
        <f t="shared" ref="J154:J170" si="67">J153+(H154*60+I154)</f>
        <v>5861</v>
      </c>
      <c r="K154">
        <f t="shared" si="63"/>
        <v>1</v>
      </c>
      <c r="L154">
        <f t="shared" si="64"/>
        <v>37</v>
      </c>
      <c r="M154">
        <f t="shared" si="65"/>
        <v>41</v>
      </c>
      <c r="N154">
        <v>1</v>
      </c>
      <c r="O154">
        <v>5</v>
      </c>
      <c r="P154">
        <v>21</v>
      </c>
      <c r="Q154">
        <f t="shared" si="66"/>
        <v>3921</v>
      </c>
    </row>
    <row r="155" spans="2:17" x14ac:dyDescent="0.25">
      <c r="B155" t="b">
        <f t="shared" si="55"/>
        <v>0</v>
      </c>
      <c r="C155" t="b">
        <f t="shared" si="56"/>
        <v>0</v>
      </c>
      <c r="D155">
        <f t="shared" si="57"/>
        <v>4</v>
      </c>
      <c r="E155" t="str">
        <f t="shared" si="58"/>
        <v>6. Additional Topics</v>
      </c>
      <c r="F155" t="str">
        <f t="shared" si="59"/>
        <v/>
      </c>
      <c r="G155" t="str">
        <f t="shared" si="60"/>
        <v/>
      </c>
      <c r="H155">
        <f t="shared" si="61"/>
        <v>0</v>
      </c>
      <c r="I155">
        <f t="shared" si="62"/>
        <v>0</v>
      </c>
      <c r="J155">
        <f t="shared" si="67"/>
        <v>5861</v>
      </c>
      <c r="K155">
        <f t="shared" si="63"/>
        <v>1</v>
      </c>
      <c r="L155">
        <f t="shared" si="64"/>
        <v>37</v>
      </c>
      <c r="M155">
        <f t="shared" si="65"/>
        <v>41</v>
      </c>
      <c r="N155">
        <v>1</v>
      </c>
      <c r="O155">
        <v>5</v>
      </c>
      <c r="P155">
        <v>21</v>
      </c>
      <c r="Q155">
        <f t="shared" si="66"/>
        <v>3921</v>
      </c>
    </row>
    <row r="156" spans="2:17" x14ac:dyDescent="0.25">
      <c r="B156" t="b">
        <f t="shared" si="55"/>
        <v>0</v>
      </c>
      <c r="C156" t="b">
        <f t="shared" si="56"/>
        <v>0</v>
      </c>
      <c r="D156">
        <f t="shared" si="57"/>
        <v>4</v>
      </c>
      <c r="E156" t="str">
        <f t="shared" si="58"/>
        <v>6. Additional Topics</v>
      </c>
      <c r="F156" t="str">
        <f t="shared" si="59"/>
        <v/>
      </c>
      <c r="G156" t="str">
        <f t="shared" si="60"/>
        <v/>
      </c>
      <c r="H156">
        <f t="shared" si="61"/>
        <v>0</v>
      </c>
      <c r="I156">
        <f t="shared" si="62"/>
        <v>0</v>
      </c>
      <c r="J156">
        <f t="shared" si="67"/>
        <v>5861</v>
      </c>
      <c r="K156">
        <f t="shared" si="63"/>
        <v>1</v>
      </c>
      <c r="L156">
        <f t="shared" si="64"/>
        <v>37</v>
      </c>
      <c r="M156">
        <f t="shared" si="65"/>
        <v>41</v>
      </c>
      <c r="N156">
        <v>1</v>
      </c>
      <c r="O156">
        <v>5</v>
      </c>
      <c r="P156">
        <v>21</v>
      </c>
      <c r="Q156">
        <f t="shared" si="66"/>
        <v>3921</v>
      </c>
    </row>
    <row r="157" spans="2:17" x14ac:dyDescent="0.25">
      <c r="B157" t="b">
        <f t="shared" si="55"/>
        <v>0</v>
      </c>
      <c r="C157" t="b">
        <f t="shared" si="56"/>
        <v>0</v>
      </c>
      <c r="D157">
        <f t="shared" si="57"/>
        <v>4</v>
      </c>
      <c r="E157" t="str">
        <f t="shared" si="58"/>
        <v>6. Additional Topics</v>
      </c>
      <c r="F157" t="str">
        <f t="shared" si="59"/>
        <v/>
      </c>
      <c r="G157" t="str">
        <f t="shared" si="60"/>
        <v/>
      </c>
      <c r="H157">
        <f t="shared" si="61"/>
        <v>0</v>
      </c>
      <c r="I157">
        <f t="shared" si="62"/>
        <v>0</v>
      </c>
      <c r="J157">
        <f t="shared" si="67"/>
        <v>5861</v>
      </c>
      <c r="K157">
        <f t="shared" si="63"/>
        <v>1</v>
      </c>
      <c r="L157">
        <f t="shared" si="64"/>
        <v>37</v>
      </c>
      <c r="M157">
        <f t="shared" si="65"/>
        <v>41</v>
      </c>
      <c r="N157">
        <v>1</v>
      </c>
      <c r="O157">
        <v>5</v>
      </c>
      <c r="P157">
        <v>21</v>
      </c>
      <c r="Q157">
        <f t="shared" si="66"/>
        <v>3921</v>
      </c>
    </row>
    <row r="158" spans="2:17" x14ac:dyDescent="0.25">
      <c r="B158" t="b">
        <f t="shared" si="55"/>
        <v>0</v>
      </c>
      <c r="C158" t="b">
        <f t="shared" si="56"/>
        <v>0</v>
      </c>
      <c r="D158">
        <f t="shared" si="57"/>
        <v>4</v>
      </c>
      <c r="E158" t="str">
        <f t="shared" si="58"/>
        <v>6. Additional Topics</v>
      </c>
      <c r="F158" t="str">
        <f t="shared" si="59"/>
        <v/>
      </c>
      <c r="G158" t="str">
        <f t="shared" si="60"/>
        <v/>
      </c>
      <c r="H158">
        <f t="shared" si="61"/>
        <v>0</v>
      </c>
      <c r="I158">
        <f t="shared" si="62"/>
        <v>0</v>
      </c>
      <c r="J158">
        <f t="shared" si="67"/>
        <v>5861</v>
      </c>
      <c r="K158">
        <f t="shared" si="63"/>
        <v>1</v>
      </c>
      <c r="L158">
        <f t="shared" si="64"/>
        <v>37</v>
      </c>
      <c r="M158">
        <f t="shared" si="65"/>
        <v>41</v>
      </c>
      <c r="N158">
        <v>1</v>
      </c>
      <c r="O158">
        <v>5</v>
      </c>
      <c r="P158">
        <v>21</v>
      </c>
      <c r="Q158">
        <f t="shared" si="66"/>
        <v>3921</v>
      </c>
    </row>
    <row r="159" spans="2:17" x14ac:dyDescent="0.25">
      <c r="B159" t="b">
        <f t="shared" si="55"/>
        <v>0</v>
      </c>
      <c r="C159" t="b">
        <f t="shared" si="56"/>
        <v>0</v>
      </c>
      <c r="D159">
        <f t="shared" si="57"/>
        <v>4</v>
      </c>
      <c r="E159" t="str">
        <f t="shared" si="58"/>
        <v>6. Additional Topics</v>
      </c>
      <c r="F159" t="str">
        <f t="shared" si="59"/>
        <v/>
      </c>
      <c r="G159" t="str">
        <f t="shared" si="60"/>
        <v/>
      </c>
      <c r="H159">
        <f t="shared" si="61"/>
        <v>0</v>
      </c>
      <c r="I159">
        <f t="shared" si="62"/>
        <v>0</v>
      </c>
      <c r="J159">
        <f t="shared" si="67"/>
        <v>5861</v>
      </c>
      <c r="K159">
        <f t="shared" si="63"/>
        <v>1</v>
      </c>
      <c r="L159">
        <f t="shared" si="64"/>
        <v>37</v>
      </c>
      <c r="M159">
        <f t="shared" si="65"/>
        <v>41</v>
      </c>
      <c r="N159">
        <v>1</v>
      </c>
      <c r="O159">
        <v>5</v>
      </c>
      <c r="P159">
        <v>21</v>
      </c>
      <c r="Q159">
        <f t="shared" si="66"/>
        <v>3921</v>
      </c>
    </row>
    <row r="160" spans="2:17" x14ac:dyDescent="0.25">
      <c r="B160" t="b">
        <f t="shared" si="55"/>
        <v>0</v>
      </c>
      <c r="C160" t="b">
        <f t="shared" si="56"/>
        <v>0</v>
      </c>
      <c r="D160">
        <f t="shared" si="57"/>
        <v>4</v>
      </c>
      <c r="E160" t="str">
        <f t="shared" si="58"/>
        <v>6. Additional Topics</v>
      </c>
      <c r="F160" t="str">
        <f t="shared" si="59"/>
        <v/>
      </c>
      <c r="G160" t="str">
        <f t="shared" si="60"/>
        <v/>
      </c>
      <c r="H160">
        <f t="shared" si="61"/>
        <v>0</v>
      </c>
      <c r="I160">
        <f t="shared" si="62"/>
        <v>0</v>
      </c>
      <c r="J160">
        <f t="shared" si="67"/>
        <v>5861</v>
      </c>
      <c r="K160">
        <f t="shared" si="63"/>
        <v>1</v>
      </c>
      <c r="L160">
        <f t="shared" si="64"/>
        <v>37</v>
      </c>
      <c r="M160">
        <f t="shared" si="65"/>
        <v>41</v>
      </c>
      <c r="N160">
        <v>1</v>
      </c>
      <c r="O160">
        <v>5</v>
      </c>
      <c r="P160">
        <v>21</v>
      </c>
      <c r="Q160">
        <f t="shared" si="66"/>
        <v>3921</v>
      </c>
    </row>
    <row r="161" spans="2:17" x14ac:dyDescent="0.25">
      <c r="B161" t="b">
        <f t="shared" si="55"/>
        <v>0</v>
      </c>
      <c r="C161" t="b">
        <f t="shared" si="56"/>
        <v>0</v>
      </c>
      <c r="D161">
        <f t="shared" si="57"/>
        <v>4</v>
      </c>
      <c r="E161" t="str">
        <f t="shared" si="58"/>
        <v>6. Additional Topics</v>
      </c>
      <c r="F161" t="str">
        <f t="shared" si="59"/>
        <v/>
      </c>
      <c r="G161" t="str">
        <f t="shared" si="60"/>
        <v/>
      </c>
      <c r="H161">
        <f t="shared" si="61"/>
        <v>0</v>
      </c>
      <c r="I161">
        <f t="shared" si="62"/>
        <v>0</v>
      </c>
      <c r="J161">
        <f t="shared" si="67"/>
        <v>5861</v>
      </c>
      <c r="K161">
        <f t="shared" si="63"/>
        <v>1</v>
      </c>
      <c r="L161">
        <f t="shared" si="64"/>
        <v>37</v>
      </c>
      <c r="M161">
        <f t="shared" si="65"/>
        <v>41</v>
      </c>
      <c r="N161">
        <v>1</v>
      </c>
      <c r="O161">
        <v>5</v>
      </c>
      <c r="P161">
        <v>21</v>
      </c>
      <c r="Q161">
        <f t="shared" si="66"/>
        <v>3921</v>
      </c>
    </row>
    <row r="162" spans="2:17" x14ac:dyDescent="0.25">
      <c r="B162" t="b">
        <f t="shared" si="55"/>
        <v>0</v>
      </c>
      <c r="C162" t="b">
        <f t="shared" si="56"/>
        <v>0</v>
      </c>
      <c r="D162">
        <f t="shared" si="57"/>
        <v>4</v>
      </c>
      <c r="E162" t="str">
        <f t="shared" si="58"/>
        <v>6. Additional Topics</v>
      </c>
      <c r="F162" t="str">
        <f t="shared" si="59"/>
        <v/>
      </c>
      <c r="G162" t="str">
        <f t="shared" si="60"/>
        <v/>
      </c>
      <c r="H162">
        <f t="shared" si="61"/>
        <v>0</v>
      </c>
      <c r="I162">
        <f t="shared" si="62"/>
        <v>0</v>
      </c>
      <c r="J162">
        <f t="shared" si="67"/>
        <v>5861</v>
      </c>
      <c r="K162">
        <f t="shared" si="63"/>
        <v>1</v>
      </c>
      <c r="L162">
        <f t="shared" si="64"/>
        <v>37</v>
      </c>
      <c r="M162">
        <f t="shared" si="65"/>
        <v>41</v>
      </c>
      <c r="N162">
        <v>1</v>
      </c>
      <c r="O162">
        <v>5</v>
      </c>
      <c r="P162">
        <v>21</v>
      </c>
      <c r="Q162">
        <f t="shared" si="66"/>
        <v>3921</v>
      </c>
    </row>
    <row r="163" spans="2:17" x14ac:dyDescent="0.25">
      <c r="B163" t="b">
        <f t="shared" si="55"/>
        <v>0</v>
      </c>
      <c r="C163" t="b">
        <f t="shared" si="56"/>
        <v>0</v>
      </c>
      <c r="D163">
        <f t="shared" si="57"/>
        <v>4</v>
      </c>
      <c r="E163" t="str">
        <f t="shared" si="58"/>
        <v>6. Additional Topics</v>
      </c>
      <c r="F163" t="str">
        <f t="shared" si="59"/>
        <v/>
      </c>
      <c r="G163" t="str">
        <f t="shared" si="60"/>
        <v/>
      </c>
      <c r="H163">
        <f t="shared" si="61"/>
        <v>0</v>
      </c>
      <c r="I163">
        <f t="shared" si="62"/>
        <v>0</v>
      </c>
      <c r="J163">
        <f t="shared" si="67"/>
        <v>5861</v>
      </c>
      <c r="K163">
        <f t="shared" si="63"/>
        <v>1</v>
      </c>
      <c r="L163">
        <f t="shared" si="64"/>
        <v>37</v>
      </c>
      <c r="M163">
        <f t="shared" si="65"/>
        <v>41</v>
      </c>
      <c r="N163">
        <v>1</v>
      </c>
      <c r="O163">
        <v>5</v>
      </c>
      <c r="P163">
        <v>21</v>
      </c>
      <c r="Q163">
        <f t="shared" si="66"/>
        <v>3921</v>
      </c>
    </row>
    <row r="164" spans="2:17" x14ac:dyDescent="0.25">
      <c r="B164" t="b">
        <f t="shared" si="55"/>
        <v>0</v>
      </c>
      <c r="C164" t="b">
        <f t="shared" si="56"/>
        <v>0</v>
      </c>
      <c r="D164">
        <f t="shared" si="57"/>
        <v>4</v>
      </c>
      <c r="E164" t="str">
        <f t="shared" si="58"/>
        <v>6. Additional Topics</v>
      </c>
      <c r="F164" t="str">
        <f t="shared" si="59"/>
        <v/>
      </c>
      <c r="G164" t="str">
        <f t="shared" si="60"/>
        <v/>
      </c>
      <c r="H164">
        <f t="shared" si="61"/>
        <v>0</v>
      </c>
      <c r="I164">
        <f t="shared" si="62"/>
        <v>0</v>
      </c>
      <c r="J164">
        <f t="shared" si="67"/>
        <v>5861</v>
      </c>
      <c r="K164">
        <f t="shared" si="63"/>
        <v>1</v>
      </c>
      <c r="L164">
        <f t="shared" si="64"/>
        <v>37</v>
      </c>
      <c r="M164">
        <f t="shared" si="65"/>
        <v>41</v>
      </c>
      <c r="N164">
        <v>1</v>
      </c>
      <c r="O164">
        <v>5</v>
      </c>
      <c r="P164">
        <v>21</v>
      </c>
      <c r="Q164">
        <f t="shared" si="66"/>
        <v>3921</v>
      </c>
    </row>
    <row r="165" spans="2:17" x14ac:dyDescent="0.25">
      <c r="B165" t="b">
        <f t="shared" si="55"/>
        <v>0</v>
      </c>
      <c r="C165" t="b">
        <f t="shared" si="56"/>
        <v>0</v>
      </c>
      <c r="D165">
        <f t="shared" si="57"/>
        <v>4</v>
      </c>
      <c r="E165" t="str">
        <f t="shared" si="58"/>
        <v>6. Additional Topics</v>
      </c>
      <c r="F165" t="str">
        <f t="shared" si="59"/>
        <v/>
      </c>
      <c r="G165" t="str">
        <f t="shared" si="60"/>
        <v/>
      </c>
      <c r="H165">
        <f t="shared" si="61"/>
        <v>0</v>
      </c>
      <c r="I165">
        <f t="shared" si="62"/>
        <v>0</v>
      </c>
      <c r="J165">
        <f t="shared" si="67"/>
        <v>5861</v>
      </c>
      <c r="K165">
        <f t="shared" si="63"/>
        <v>1</v>
      </c>
      <c r="L165">
        <f t="shared" si="64"/>
        <v>37</v>
      </c>
      <c r="M165">
        <f t="shared" si="65"/>
        <v>41</v>
      </c>
      <c r="N165">
        <v>1</v>
      </c>
      <c r="O165">
        <v>5</v>
      </c>
      <c r="P165">
        <v>21</v>
      </c>
      <c r="Q165">
        <f t="shared" si="66"/>
        <v>3921</v>
      </c>
    </row>
    <row r="166" spans="2:17" x14ac:dyDescent="0.25">
      <c r="B166" t="b">
        <f t="shared" si="55"/>
        <v>0</v>
      </c>
      <c r="C166" t="b">
        <f t="shared" si="56"/>
        <v>0</v>
      </c>
      <c r="D166">
        <f t="shared" si="57"/>
        <v>4</v>
      </c>
      <c r="E166" t="str">
        <f t="shared" si="58"/>
        <v>6. Additional Topics</v>
      </c>
      <c r="F166" t="str">
        <f t="shared" si="59"/>
        <v/>
      </c>
      <c r="G166" t="str">
        <f t="shared" si="60"/>
        <v/>
      </c>
      <c r="H166">
        <f t="shared" si="61"/>
        <v>0</v>
      </c>
      <c r="I166">
        <f t="shared" si="62"/>
        <v>0</v>
      </c>
      <c r="J166">
        <f t="shared" si="67"/>
        <v>5861</v>
      </c>
      <c r="K166">
        <f t="shared" si="63"/>
        <v>1</v>
      </c>
      <c r="L166">
        <f t="shared" si="64"/>
        <v>37</v>
      </c>
      <c r="M166">
        <f t="shared" si="65"/>
        <v>41</v>
      </c>
      <c r="N166">
        <v>1</v>
      </c>
      <c r="O166">
        <v>5</v>
      </c>
      <c r="P166">
        <v>21</v>
      </c>
      <c r="Q166">
        <f t="shared" si="66"/>
        <v>3921</v>
      </c>
    </row>
    <row r="167" spans="2:17" x14ac:dyDescent="0.25">
      <c r="B167" t="b">
        <f t="shared" si="55"/>
        <v>0</v>
      </c>
      <c r="C167" t="b">
        <f t="shared" si="56"/>
        <v>0</v>
      </c>
      <c r="D167">
        <f t="shared" si="57"/>
        <v>4</v>
      </c>
      <c r="E167" t="str">
        <f t="shared" si="58"/>
        <v>6. Additional Topics</v>
      </c>
      <c r="F167" t="str">
        <f t="shared" si="59"/>
        <v/>
      </c>
      <c r="G167" t="str">
        <f t="shared" si="60"/>
        <v/>
      </c>
      <c r="H167">
        <f t="shared" si="61"/>
        <v>0</v>
      </c>
      <c r="I167">
        <f t="shared" si="62"/>
        <v>0</v>
      </c>
      <c r="J167">
        <f t="shared" si="67"/>
        <v>5861</v>
      </c>
      <c r="K167">
        <f t="shared" si="63"/>
        <v>1</v>
      </c>
      <c r="L167">
        <f t="shared" si="64"/>
        <v>37</v>
      </c>
      <c r="M167">
        <f t="shared" si="65"/>
        <v>41</v>
      </c>
      <c r="N167">
        <v>1</v>
      </c>
      <c r="O167">
        <v>5</v>
      </c>
      <c r="P167">
        <v>21</v>
      </c>
      <c r="Q167">
        <f t="shared" si="66"/>
        <v>3921</v>
      </c>
    </row>
    <row r="168" spans="2:17" x14ac:dyDescent="0.25">
      <c r="B168" t="b">
        <f t="shared" si="55"/>
        <v>0</v>
      </c>
      <c r="C168" t="b">
        <f t="shared" si="56"/>
        <v>0</v>
      </c>
      <c r="D168">
        <f t="shared" si="57"/>
        <v>4</v>
      </c>
      <c r="E168" t="str">
        <f t="shared" si="58"/>
        <v>6. Additional Topics</v>
      </c>
      <c r="F168" t="str">
        <f t="shared" si="59"/>
        <v/>
      </c>
      <c r="G168" t="str">
        <f t="shared" si="60"/>
        <v/>
      </c>
      <c r="H168">
        <f t="shared" si="61"/>
        <v>0</v>
      </c>
      <c r="I168">
        <f t="shared" si="62"/>
        <v>0</v>
      </c>
      <c r="J168">
        <f t="shared" si="67"/>
        <v>5861</v>
      </c>
      <c r="K168">
        <f t="shared" si="63"/>
        <v>1</v>
      </c>
      <c r="L168">
        <f t="shared" si="64"/>
        <v>37</v>
      </c>
      <c r="M168">
        <f t="shared" si="65"/>
        <v>41</v>
      </c>
      <c r="N168">
        <v>1</v>
      </c>
      <c r="O168">
        <v>5</v>
      </c>
      <c r="P168">
        <v>21</v>
      </c>
      <c r="Q168">
        <f t="shared" si="66"/>
        <v>3921</v>
      </c>
    </row>
    <row r="169" spans="2:17" x14ac:dyDescent="0.25">
      <c r="B169" t="b">
        <f t="shared" si="55"/>
        <v>0</v>
      </c>
      <c r="C169" t="b">
        <f t="shared" si="56"/>
        <v>0</v>
      </c>
      <c r="D169">
        <f t="shared" si="57"/>
        <v>4</v>
      </c>
      <c r="E169" t="str">
        <f t="shared" si="58"/>
        <v>6. Additional Topics</v>
      </c>
      <c r="F169" t="str">
        <f t="shared" si="59"/>
        <v/>
      </c>
      <c r="G169" t="str">
        <f t="shared" si="60"/>
        <v/>
      </c>
      <c r="H169">
        <f t="shared" si="61"/>
        <v>0</v>
      </c>
      <c r="I169">
        <f t="shared" si="62"/>
        <v>0</v>
      </c>
      <c r="J169">
        <f t="shared" si="67"/>
        <v>5861</v>
      </c>
      <c r="K169">
        <f t="shared" si="63"/>
        <v>1</v>
      </c>
      <c r="L169">
        <f t="shared" si="64"/>
        <v>37</v>
      </c>
      <c r="M169">
        <f t="shared" si="65"/>
        <v>41</v>
      </c>
      <c r="N169">
        <v>1</v>
      </c>
      <c r="O169">
        <v>5</v>
      </c>
      <c r="P169">
        <v>21</v>
      </c>
      <c r="Q169">
        <f t="shared" si="66"/>
        <v>3921</v>
      </c>
    </row>
    <row r="170" spans="2:17" x14ac:dyDescent="0.25">
      <c r="B170" t="b">
        <f t="shared" si="55"/>
        <v>0</v>
      </c>
      <c r="C170" t="b">
        <f t="shared" si="56"/>
        <v>0</v>
      </c>
      <c r="D170">
        <f t="shared" si="57"/>
        <v>4</v>
      </c>
      <c r="E170" t="str">
        <f t="shared" si="58"/>
        <v>6. Additional Topics</v>
      </c>
      <c r="F170" t="str">
        <f t="shared" si="59"/>
        <v/>
      </c>
      <c r="G170" t="str">
        <f t="shared" si="60"/>
        <v/>
      </c>
      <c r="H170">
        <f t="shared" si="61"/>
        <v>0</v>
      </c>
      <c r="I170">
        <f t="shared" si="62"/>
        <v>0</v>
      </c>
      <c r="J170">
        <f t="shared" si="67"/>
        <v>5861</v>
      </c>
      <c r="K170">
        <f t="shared" si="63"/>
        <v>1</v>
      </c>
      <c r="L170">
        <f t="shared" si="64"/>
        <v>37</v>
      </c>
      <c r="M170">
        <f t="shared" si="65"/>
        <v>41</v>
      </c>
      <c r="N170">
        <v>1</v>
      </c>
      <c r="O170">
        <v>5</v>
      </c>
      <c r="P170">
        <v>21</v>
      </c>
      <c r="Q170">
        <f t="shared" si="66"/>
        <v>3921</v>
      </c>
    </row>
  </sheetData>
  <mergeCells count="9">
    <mergeCell ref="A1:M1"/>
    <mergeCell ref="A11:A12"/>
    <mergeCell ref="B11:B12"/>
    <mergeCell ref="C11:C12"/>
    <mergeCell ref="D11:D12"/>
    <mergeCell ref="E11:E12"/>
    <mergeCell ref="F11:F12"/>
    <mergeCell ref="G11:I11"/>
    <mergeCell ref="J11:M11"/>
  </mergeCells>
  <dataValidations count="1">
    <dataValidation type="list" allowBlank="1" showInputMessage="1" showErrorMessage="1" sqref="B3:B8" xr:uid="{12F1CA6F-E182-41B9-871B-6FC58F8EC350}">
      <formula1>"Yes, No"</formula1>
    </dataValidation>
  </dataValidations>
  <hyperlinks>
    <hyperlink ref="B2" r:id="rId1" xr:uid="{EF5D0F16-8C2A-4302-BA6E-6370A08E7A9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7604-6076-448E-B276-BEB133F52380}">
  <dimension ref="A1:Q170"/>
  <sheetViews>
    <sheetView topLeftCell="A43" workbookViewId="0">
      <selection activeCell="F71" sqref="F71"/>
    </sheetView>
  </sheetViews>
  <sheetFormatPr defaultRowHeight="15" x14ac:dyDescent="0.25"/>
  <cols>
    <col min="1" max="1" width="66.7109375" bestFit="1" customWidth="1"/>
    <col min="5" max="6" width="48.85546875" bestFit="1" customWidth="1"/>
  </cols>
  <sheetData>
    <row r="1" spans="1:17" ht="36" x14ac:dyDescent="0.55000000000000004">
      <c r="A1" s="9" t="s">
        <v>157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7" x14ac:dyDescent="0.25">
      <c r="A2" t="s">
        <v>95</v>
      </c>
      <c r="B2" s="3" t="s">
        <v>156</v>
      </c>
    </row>
    <row r="3" spans="1:17" x14ac:dyDescent="0.25">
      <c r="A3" t="s">
        <v>93</v>
      </c>
      <c r="B3" t="s">
        <v>87</v>
      </c>
    </row>
    <row r="4" spans="1:17" x14ac:dyDescent="0.25">
      <c r="A4" t="s">
        <v>92</v>
      </c>
      <c r="B4" t="s">
        <v>87</v>
      </c>
    </row>
    <row r="5" spans="1:17" x14ac:dyDescent="0.25">
      <c r="A5" t="s">
        <v>91</v>
      </c>
      <c r="B5" t="s">
        <v>87</v>
      </c>
    </row>
    <row r="6" spans="1:17" x14ac:dyDescent="0.25">
      <c r="A6" t="s">
        <v>90</v>
      </c>
      <c r="B6" t="s">
        <v>87</v>
      </c>
    </row>
    <row r="7" spans="1:17" x14ac:dyDescent="0.25">
      <c r="A7" t="s">
        <v>89</v>
      </c>
      <c r="B7" t="s">
        <v>87</v>
      </c>
    </row>
    <row r="8" spans="1:17" x14ac:dyDescent="0.25">
      <c r="A8" t="s">
        <v>88</v>
      </c>
      <c r="B8" t="s">
        <v>87</v>
      </c>
    </row>
    <row r="11" spans="1:17" x14ac:dyDescent="0.25">
      <c r="A11" s="10" t="s">
        <v>86</v>
      </c>
      <c r="B11" s="10" t="s">
        <v>85</v>
      </c>
      <c r="C11" s="10" t="s">
        <v>84</v>
      </c>
      <c r="D11" s="10" t="s">
        <v>83</v>
      </c>
      <c r="E11" s="10" t="s">
        <v>82</v>
      </c>
      <c r="F11" s="10" t="s">
        <v>81</v>
      </c>
      <c r="G11" s="11" t="s">
        <v>80</v>
      </c>
      <c r="H11" s="11"/>
      <c r="I11" s="11"/>
      <c r="J11" s="11" t="s">
        <v>79</v>
      </c>
      <c r="K11" s="11"/>
      <c r="L11" s="11"/>
      <c r="M11" s="11"/>
    </row>
    <row r="12" spans="1:17" x14ac:dyDescent="0.25">
      <c r="A12" s="10"/>
      <c r="B12" s="10"/>
      <c r="C12" s="10"/>
      <c r="D12" s="10"/>
      <c r="E12" s="10"/>
      <c r="F12" s="10"/>
      <c r="G12" s="2" t="s">
        <v>78</v>
      </c>
      <c r="H12" s="2" t="s">
        <v>75</v>
      </c>
      <c r="I12" s="2" t="s">
        <v>74</v>
      </c>
      <c r="J12" s="2" t="s">
        <v>77</v>
      </c>
      <c r="K12" s="2" t="s">
        <v>76</v>
      </c>
      <c r="L12" s="2" t="s">
        <v>75</v>
      </c>
      <c r="M12" s="2" t="s">
        <v>74</v>
      </c>
    </row>
    <row r="14" spans="1:17" x14ac:dyDescent="0.25">
      <c r="A14" t="s">
        <v>73</v>
      </c>
      <c r="B14" t="b">
        <f t="shared" ref="B14:B45" si="0">AND(NOT(ISERROR(FIND(". ",A14))),ISNUMBER(VALUE(LEFT(A14,FIND(". ",A14)-1))))</f>
        <v>1</v>
      </c>
      <c r="C14" t="b">
        <f t="shared" ref="C14:C45" si="1">OR(AND(NOT(ISERROR(FIND("m",A15))),ISNUMBER(VALUE(LEFT(A15,FIND("m",A15)-1)))),AND(NOT(ISERROR(FIND("s",A15))),ISNUMBER(VALUE(LEFT(A15,FIND("s",A15)-1)))))</f>
        <v>0</v>
      </c>
      <c r="D14">
        <f t="shared" ref="D14:D45" si="2">IF(B14,0,IF(C14,D13+1,D13))</f>
        <v>0</v>
      </c>
      <c r="E14" t="str">
        <f t="shared" ref="E14:E45" si="3">IF(B14,A14,E13)</f>
        <v>0. Introduction</v>
      </c>
      <c r="F14" t="str">
        <f t="shared" ref="F14:F45" si="4">IF(C14,D14&amp;". "&amp;A14,"")</f>
        <v/>
      </c>
      <c r="G14" t="str">
        <f t="shared" ref="G14:G45" si="5">IF(C14,IF(ISERROR(FIND("s",A15)),LEFT(A15,FIND("m",A15)),LEFT(A15,FIND("s",A15))),"")</f>
        <v/>
      </c>
      <c r="H14">
        <f t="shared" ref="H14:H45" si="6">IF(OR(G14="",ISERROR(FIND("m",G14))),0,VALUE(LEFT(G14,FIND("m",G14)-1)))</f>
        <v>0</v>
      </c>
      <c r="I14">
        <f t="shared" ref="I14:I45" si="7">IF(OR(G14="",ISERROR(FIND("s",G14))),0,VALUE(SUBSTITUTE(MID(G14,IF(ISERROR(FIND("m",G14)), 0,FIND("m",G14))+1,LEN(G14)),"s","")))</f>
        <v>0</v>
      </c>
      <c r="J14">
        <f t="shared" ref="J14:J23" si="8">J13+(H14*60+I14)</f>
        <v>0</v>
      </c>
      <c r="K14">
        <f t="shared" ref="K14:K45" si="9">INT(J14/60/60)</f>
        <v>0</v>
      </c>
      <c r="L14">
        <f t="shared" ref="L14:L45" si="10">INT((J14-(K14*60*60))/60)</f>
        <v>0</v>
      </c>
      <c r="M14" s="5">
        <f t="shared" ref="M14:M45" si="11">J14-(((K14*60)+L14)*60)</f>
        <v>0</v>
      </c>
      <c r="N14" s="4">
        <v>1</v>
      </c>
      <c r="O14">
        <v>5</v>
      </c>
      <c r="P14">
        <v>21</v>
      </c>
      <c r="Q14">
        <f t="shared" ref="Q14:Q45" si="12">((N14*60)+O14)*60+P14</f>
        <v>3921</v>
      </c>
    </row>
    <row r="15" spans="1:17" x14ac:dyDescent="0.25">
      <c r="B15" t="b">
        <f t="shared" si="0"/>
        <v>0</v>
      </c>
      <c r="C15" t="b">
        <f t="shared" si="1"/>
        <v>0</v>
      </c>
      <c r="D15">
        <f t="shared" si="2"/>
        <v>0</v>
      </c>
      <c r="E15" t="str">
        <f t="shared" si="3"/>
        <v>0. Introduction</v>
      </c>
      <c r="F15" t="str">
        <f t="shared" si="4"/>
        <v/>
      </c>
      <c r="G15" t="str">
        <f t="shared" si="5"/>
        <v/>
      </c>
      <c r="H15">
        <f t="shared" si="6"/>
        <v>0</v>
      </c>
      <c r="I15">
        <f t="shared" si="7"/>
        <v>0</v>
      </c>
      <c r="J15">
        <f t="shared" si="8"/>
        <v>0</v>
      </c>
      <c r="K15">
        <f t="shared" si="9"/>
        <v>0</v>
      </c>
      <c r="L15">
        <f t="shared" si="10"/>
        <v>0</v>
      </c>
      <c r="M15" s="5">
        <f t="shared" si="11"/>
        <v>0</v>
      </c>
      <c r="N15" s="4">
        <v>1</v>
      </c>
      <c r="O15">
        <v>5</v>
      </c>
      <c r="P15">
        <v>21</v>
      </c>
      <c r="Q15">
        <f t="shared" si="12"/>
        <v>3921</v>
      </c>
    </row>
    <row r="16" spans="1:17" x14ac:dyDescent="0.25">
      <c r="A16" t="s">
        <v>155</v>
      </c>
      <c r="B16" t="b">
        <f t="shared" si="0"/>
        <v>0</v>
      </c>
      <c r="C16" t="b">
        <f t="shared" si="1"/>
        <v>1</v>
      </c>
      <c r="D16">
        <f t="shared" si="2"/>
        <v>1</v>
      </c>
      <c r="E16" t="str">
        <f t="shared" si="3"/>
        <v>0. Introduction</v>
      </c>
      <c r="F16" t="str">
        <f t="shared" si="4"/>
        <v>1. Build a microservice with Spring Boot</v>
      </c>
      <c r="G16" t="str">
        <f t="shared" si="5"/>
        <v>1m 12s</v>
      </c>
      <c r="H16">
        <f t="shared" si="6"/>
        <v>1</v>
      </c>
      <c r="I16">
        <f t="shared" si="7"/>
        <v>12</v>
      </c>
      <c r="J16">
        <f t="shared" si="8"/>
        <v>72</v>
      </c>
      <c r="K16">
        <f t="shared" si="9"/>
        <v>0</v>
      </c>
      <c r="L16">
        <f t="shared" si="10"/>
        <v>1</v>
      </c>
      <c r="M16" s="5">
        <f t="shared" si="11"/>
        <v>12</v>
      </c>
      <c r="N16" s="4">
        <v>1</v>
      </c>
      <c r="O16">
        <v>5</v>
      </c>
      <c r="P16">
        <v>21</v>
      </c>
      <c r="Q16">
        <f t="shared" si="12"/>
        <v>3921</v>
      </c>
    </row>
    <row r="17" spans="1:17" x14ac:dyDescent="0.25">
      <c r="A17" t="s">
        <v>154</v>
      </c>
      <c r="B17" t="b">
        <f t="shared" si="0"/>
        <v>0</v>
      </c>
      <c r="C17" t="b">
        <f t="shared" si="1"/>
        <v>0</v>
      </c>
      <c r="D17">
        <f t="shared" si="2"/>
        <v>1</v>
      </c>
      <c r="E17" t="str">
        <f t="shared" si="3"/>
        <v>0. Introduction</v>
      </c>
      <c r="F17" t="str">
        <f t="shared" si="4"/>
        <v/>
      </c>
      <c r="G17" t="str">
        <f t="shared" si="5"/>
        <v/>
      </c>
      <c r="H17">
        <f t="shared" si="6"/>
        <v>0</v>
      </c>
      <c r="I17">
        <f t="shared" si="7"/>
        <v>0</v>
      </c>
      <c r="J17">
        <f t="shared" si="8"/>
        <v>72</v>
      </c>
      <c r="K17">
        <f t="shared" si="9"/>
        <v>0</v>
      </c>
      <c r="L17">
        <f t="shared" si="10"/>
        <v>1</v>
      </c>
      <c r="M17" s="5">
        <f t="shared" si="11"/>
        <v>12</v>
      </c>
      <c r="N17" s="4">
        <v>1</v>
      </c>
      <c r="O17">
        <v>5</v>
      </c>
      <c r="P17">
        <v>21</v>
      </c>
      <c r="Q17">
        <f t="shared" si="12"/>
        <v>3921</v>
      </c>
    </row>
    <row r="18" spans="1:17" x14ac:dyDescent="0.25">
      <c r="A18" t="s">
        <v>3</v>
      </c>
      <c r="B18" t="b">
        <f t="shared" si="0"/>
        <v>0</v>
      </c>
      <c r="C18" t="b">
        <f t="shared" si="1"/>
        <v>0</v>
      </c>
      <c r="D18">
        <f t="shared" si="2"/>
        <v>1</v>
      </c>
      <c r="E18" t="str">
        <f t="shared" si="3"/>
        <v>0. Introduction</v>
      </c>
      <c r="F18" t="str">
        <f t="shared" si="4"/>
        <v/>
      </c>
      <c r="G18" t="str">
        <f t="shared" si="5"/>
        <v/>
      </c>
      <c r="H18">
        <f t="shared" si="6"/>
        <v>0</v>
      </c>
      <c r="I18">
        <f t="shared" si="7"/>
        <v>0</v>
      </c>
      <c r="J18">
        <f t="shared" si="8"/>
        <v>72</v>
      </c>
      <c r="K18">
        <f t="shared" si="9"/>
        <v>0</v>
      </c>
      <c r="L18">
        <f t="shared" si="10"/>
        <v>1</v>
      </c>
      <c r="M18" s="5">
        <f t="shared" si="11"/>
        <v>12</v>
      </c>
      <c r="N18" s="4">
        <v>1</v>
      </c>
      <c r="O18">
        <v>5</v>
      </c>
      <c r="P18">
        <v>21</v>
      </c>
      <c r="Q18">
        <f t="shared" si="12"/>
        <v>3921</v>
      </c>
    </row>
    <row r="19" spans="1:17" x14ac:dyDescent="0.25">
      <c r="A19" t="s">
        <v>153</v>
      </c>
      <c r="B19" t="b">
        <f t="shared" si="0"/>
        <v>0</v>
      </c>
      <c r="C19" t="b">
        <f t="shared" si="1"/>
        <v>1</v>
      </c>
      <c r="D19">
        <f t="shared" si="2"/>
        <v>2</v>
      </c>
      <c r="E19" t="str">
        <f t="shared" si="3"/>
        <v>0. Introduction</v>
      </c>
      <c r="F19" t="str">
        <f t="shared" si="4"/>
        <v>2. Using the exercise files</v>
      </c>
      <c r="G19" t="str">
        <f t="shared" si="5"/>
        <v>57s</v>
      </c>
      <c r="H19">
        <f t="shared" si="6"/>
        <v>0</v>
      </c>
      <c r="I19">
        <f t="shared" si="7"/>
        <v>57</v>
      </c>
      <c r="J19">
        <f t="shared" si="8"/>
        <v>129</v>
      </c>
      <c r="K19">
        <f t="shared" si="9"/>
        <v>0</v>
      </c>
      <c r="L19">
        <f t="shared" si="10"/>
        <v>2</v>
      </c>
      <c r="M19" s="5">
        <f t="shared" si="11"/>
        <v>9</v>
      </c>
      <c r="N19" s="4">
        <v>0</v>
      </c>
      <c r="O19">
        <v>2</v>
      </c>
      <c r="P19">
        <v>16</v>
      </c>
      <c r="Q19">
        <f t="shared" si="12"/>
        <v>136</v>
      </c>
    </row>
    <row r="20" spans="1:17" x14ac:dyDescent="0.25">
      <c r="A20" t="s">
        <v>97</v>
      </c>
      <c r="B20" t="b">
        <f t="shared" si="0"/>
        <v>0</v>
      </c>
      <c r="C20" t="b">
        <f t="shared" si="1"/>
        <v>0</v>
      </c>
      <c r="D20">
        <f t="shared" si="2"/>
        <v>2</v>
      </c>
      <c r="E20" t="str">
        <f t="shared" si="3"/>
        <v>0. Introduction</v>
      </c>
      <c r="F20" t="str">
        <f t="shared" si="4"/>
        <v/>
      </c>
      <c r="G20" t="str">
        <f t="shared" si="5"/>
        <v/>
      </c>
      <c r="H20">
        <f t="shared" si="6"/>
        <v>0</v>
      </c>
      <c r="I20">
        <f t="shared" si="7"/>
        <v>0</v>
      </c>
      <c r="J20">
        <f t="shared" si="8"/>
        <v>129</v>
      </c>
      <c r="K20">
        <f t="shared" si="9"/>
        <v>0</v>
      </c>
      <c r="L20">
        <f t="shared" si="10"/>
        <v>2</v>
      </c>
      <c r="M20" s="5">
        <f t="shared" si="11"/>
        <v>9</v>
      </c>
      <c r="N20" s="4">
        <v>1</v>
      </c>
      <c r="O20">
        <v>5</v>
      </c>
      <c r="P20">
        <v>21</v>
      </c>
      <c r="Q20">
        <f t="shared" si="12"/>
        <v>3921</v>
      </c>
    </row>
    <row r="21" spans="1:17" x14ac:dyDescent="0.25">
      <c r="A21" t="s">
        <v>3</v>
      </c>
      <c r="B21" t="b">
        <f t="shared" si="0"/>
        <v>0</v>
      </c>
      <c r="C21" t="b">
        <f t="shared" si="1"/>
        <v>0</v>
      </c>
      <c r="D21">
        <f t="shared" si="2"/>
        <v>2</v>
      </c>
      <c r="E21" t="str">
        <f t="shared" si="3"/>
        <v>0. Introduction</v>
      </c>
      <c r="F21" t="str">
        <f t="shared" si="4"/>
        <v/>
      </c>
      <c r="G21" t="str">
        <f t="shared" si="5"/>
        <v/>
      </c>
      <c r="H21">
        <f t="shared" si="6"/>
        <v>0</v>
      </c>
      <c r="I21">
        <f t="shared" si="7"/>
        <v>0</v>
      </c>
      <c r="J21">
        <f t="shared" si="8"/>
        <v>129</v>
      </c>
      <c r="K21">
        <f t="shared" si="9"/>
        <v>0</v>
      </c>
      <c r="L21">
        <f t="shared" si="10"/>
        <v>2</v>
      </c>
      <c r="M21" s="5">
        <f t="shared" si="11"/>
        <v>9</v>
      </c>
      <c r="N21" s="4">
        <v>1</v>
      </c>
      <c r="O21">
        <v>5</v>
      </c>
      <c r="P21">
        <v>21</v>
      </c>
      <c r="Q21">
        <f t="shared" si="12"/>
        <v>3921</v>
      </c>
    </row>
    <row r="22" spans="1:17" x14ac:dyDescent="0.25">
      <c r="B22" t="b">
        <f t="shared" si="0"/>
        <v>0</v>
      </c>
      <c r="C22" t="b">
        <f t="shared" si="1"/>
        <v>0</v>
      </c>
      <c r="D22">
        <f t="shared" si="2"/>
        <v>2</v>
      </c>
      <c r="E22" t="str">
        <f t="shared" si="3"/>
        <v>0. Introduction</v>
      </c>
      <c r="F22" t="str">
        <f t="shared" si="4"/>
        <v/>
      </c>
      <c r="G22" t="str">
        <f t="shared" si="5"/>
        <v/>
      </c>
      <c r="H22">
        <f t="shared" si="6"/>
        <v>0</v>
      </c>
      <c r="I22">
        <f t="shared" si="7"/>
        <v>0</v>
      </c>
      <c r="J22">
        <f t="shared" si="8"/>
        <v>129</v>
      </c>
      <c r="K22">
        <f t="shared" si="9"/>
        <v>0</v>
      </c>
      <c r="L22">
        <f t="shared" si="10"/>
        <v>2</v>
      </c>
      <c r="M22" s="5">
        <f t="shared" si="11"/>
        <v>9</v>
      </c>
      <c r="N22" s="4">
        <v>1</v>
      </c>
      <c r="O22">
        <v>5</v>
      </c>
      <c r="P22">
        <v>21</v>
      </c>
      <c r="Q22">
        <f t="shared" si="12"/>
        <v>3921</v>
      </c>
    </row>
    <row r="23" spans="1:17" x14ac:dyDescent="0.25">
      <c r="A23" t="s">
        <v>152</v>
      </c>
      <c r="B23" t="b">
        <f t="shared" si="0"/>
        <v>1</v>
      </c>
      <c r="C23" t="b">
        <f t="shared" si="1"/>
        <v>0</v>
      </c>
      <c r="D23">
        <f t="shared" si="2"/>
        <v>0</v>
      </c>
      <c r="E23" t="str">
        <f t="shared" si="3"/>
        <v>1. Create a Spring Boot Microservice</v>
      </c>
      <c r="F23" t="str">
        <f t="shared" si="4"/>
        <v/>
      </c>
      <c r="G23" t="str">
        <f t="shared" si="5"/>
        <v/>
      </c>
      <c r="H23">
        <f t="shared" si="6"/>
        <v>0</v>
      </c>
      <c r="I23">
        <f t="shared" si="7"/>
        <v>0</v>
      </c>
      <c r="J23">
        <f t="shared" si="8"/>
        <v>129</v>
      </c>
      <c r="K23">
        <f t="shared" si="9"/>
        <v>0</v>
      </c>
      <c r="L23">
        <f t="shared" si="10"/>
        <v>2</v>
      </c>
      <c r="M23" s="5">
        <f t="shared" si="11"/>
        <v>9</v>
      </c>
      <c r="N23" s="4">
        <v>1</v>
      </c>
      <c r="O23">
        <v>5</v>
      </c>
      <c r="P23">
        <v>21</v>
      </c>
      <c r="Q23">
        <f t="shared" si="12"/>
        <v>3921</v>
      </c>
    </row>
    <row r="24" spans="1:17" x14ac:dyDescent="0.25">
      <c r="B24" t="b">
        <f t="shared" si="0"/>
        <v>0</v>
      </c>
      <c r="C24" t="b">
        <f t="shared" si="1"/>
        <v>0</v>
      </c>
      <c r="D24">
        <f t="shared" si="2"/>
        <v>0</v>
      </c>
      <c r="E24" t="str">
        <f t="shared" si="3"/>
        <v>1. Create a Spring Boot Microservice</v>
      </c>
      <c r="F24" t="str">
        <f t="shared" si="4"/>
        <v/>
      </c>
      <c r="G24" t="str">
        <f t="shared" si="5"/>
        <v/>
      </c>
      <c r="H24">
        <f t="shared" si="6"/>
        <v>0</v>
      </c>
      <c r="I24">
        <f t="shared" si="7"/>
        <v>0</v>
      </c>
      <c r="J24">
        <v>136</v>
      </c>
      <c r="K24">
        <f t="shared" si="9"/>
        <v>0</v>
      </c>
      <c r="L24">
        <f t="shared" si="10"/>
        <v>2</v>
      </c>
      <c r="M24" s="5">
        <f t="shared" si="11"/>
        <v>16</v>
      </c>
      <c r="N24" s="4">
        <v>1</v>
      </c>
      <c r="O24">
        <v>5</v>
      </c>
      <c r="P24">
        <v>21</v>
      </c>
      <c r="Q24">
        <f t="shared" si="12"/>
        <v>3921</v>
      </c>
    </row>
    <row r="25" spans="1:17" x14ac:dyDescent="0.25">
      <c r="A25" t="s">
        <v>151</v>
      </c>
      <c r="B25" t="b">
        <f t="shared" si="0"/>
        <v>0</v>
      </c>
      <c r="C25" t="b">
        <f t="shared" si="1"/>
        <v>1</v>
      </c>
      <c r="D25">
        <f t="shared" si="2"/>
        <v>1</v>
      </c>
      <c r="E25" t="str">
        <f t="shared" si="3"/>
        <v>1. Create a Spring Boot Microservice</v>
      </c>
      <c r="F25" t="str">
        <f t="shared" si="4"/>
        <v>1. Introduction to Spring Initialzr</v>
      </c>
      <c r="G25" t="str">
        <f t="shared" si="5"/>
        <v>1m 55s</v>
      </c>
      <c r="H25">
        <f t="shared" si="6"/>
        <v>1</v>
      </c>
      <c r="I25">
        <f t="shared" si="7"/>
        <v>55</v>
      </c>
      <c r="J25">
        <f>J24+(H25*60+I25)</f>
        <v>251</v>
      </c>
      <c r="K25">
        <f t="shared" si="9"/>
        <v>0</v>
      </c>
      <c r="L25">
        <f t="shared" si="10"/>
        <v>4</v>
      </c>
      <c r="M25" s="5">
        <f t="shared" si="11"/>
        <v>11</v>
      </c>
      <c r="N25" s="4">
        <v>1</v>
      </c>
      <c r="O25">
        <v>5</v>
      </c>
      <c r="P25">
        <v>21</v>
      </c>
      <c r="Q25">
        <f t="shared" si="12"/>
        <v>3921</v>
      </c>
    </row>
    <row r="26" spans="1:17" x14ac:dyDescent="0.25">
      <c r="A26" t="s">
        <v>150</v>
      </c>
      <c r="B26" t="b">
        <f t="shared" si="0"/>
        <v>0</v>
      </c>
      <c r="C26" t="b">
        <f t="shared" si="1"/>
        <v>0</v>
      </c>
      <c r="D26">
        <f t="shared" si="2"/>
        <v>1</v>
      </c>
      <c r="E26" t="str">
        <f t="shared" si="3"/>
        <v>1. Create a Spring Boot Microservice</v>
      </c>
      <c r="F26" t="str">
        <f t="shared" si="4"/>
        <v/>
      </c>
      <c r="G26" t="str">
        <f t="shared" si="5"/>
        <v/>
      </c>
      <c r="H26">
        <f t="shared" si="6"/>
        <v>0</v>
      </c>
      <c r="I26">
        <f t="shared" si="7"/>
        <v>0</v>
      </c>
      <c r="J26">
        <f>J25+(H26*60+I26)</f>
        <v>251</v>
      </c>
      <c r="K26">
        <f t="shared" si="9"/>
        <v>0</v>
      </c>
      <c r="L26">
        <f t="shared" si="10"/>
        <v>4</v>
      </c>
      <c r="M26" s="5">
        <f t="shared" si="11"/>
        <v>11</v>
      </c>
      <c r="N26" s="4">
        <v>1</v>
      </c>
      <c r="O26">
        <v>5</v>
      </c>
      <c r="P26">
        <v>21</v>
      </c>
      <c r="Q26">
        <f t="shared" si="12"/>
        <v>3921</v>
      </c>
    </row>
    <row r="27" spans="1:17" x14ac:dyDescent="0.25">
      <c r="A27" t="s">
        <v>3</v>
      </c>
      <c r="B27" t="b">
        <f t="shared" si="0"/>
        <v>0</v>
      </c>
      <c r="C27" t="b">
        <f t="shared" si="1"/>
        <v>0</v>
      </c>
      <c r="D27">
        <f t="shared" si="2"/>
        <v>1</v>
      </c>
      <c r="E27" t="str">
        <f t="shared" si="3"/>
        <v>1. Create a Spring Boot Microservice</v>
      </c>
      <c r="F27" t="str">
        <f t="shared" si="4"/>
        <v/>
      </c>
      <c r="G27" t="str">
        <f t="shared" si="5"/>
        <v/>
      </c>
      <c r="H27">
        <f t="shared" si="6"/>
        <v>0</v>
      </c>
      <c r="I27">
        <f t="shared" si="7"/>
        <v>0</v>
      </c>
      <c r="J27">
        <f>J26+(H27*60+I27)</f>
        <v>251</v>
      </c>
      <c r="K27">
        <f t="shared" si="9"/>
        <v>0</v>
      </c>
      <c r="L27">
        <f t="shared" si="10"/>
        <v>4</v>
      </c>
      <c r="M27" s="5">
        <f t="shared" si="11"/>
        <v>11</v>
      </c>
      <c r="N27" s="4">
        <v>1</v>
      </c>
      <c r="O27">
        <v>5</v>
      </c>
      <c r="P27">
        <v>21</v>
      </c>
      <c r="Q27">
        <f t="shared" si="12"/>
        <v>3921</v>
      </c>
    </row>
    <row r="28" spans="1:17" x14ac:dyDescent="0.25">
      <c r="A28" t="s">
        <v>149</v>
      </c>
      <c r="B28" t="b">
        <f t="shared" si="0"/>
        <v>0</v>
      </c>
      <c r="C28" t="b">
        <f t="shared" si="1"/>
        <v>1</v>
      </c>
      <c r="D28">
        <f t="shared" si="2"/>
        <v>2</v>
      </c>
      <c r="E28" t="str">
        <f t="shared" si="3"/>
        <v>1. Create a Spring Boot Microservice</v>
      </c>
      <c r="F28" t="str">
        <f t="shared" si="4"/>
        <v>2. Project setup</v>
      </c>
      <c r="G28" t="str">
        <f t="shared" si="5"/>
        <v>4m 38s</v>
      </c>
      <c r="H28">
        <f t="shared" si="6"/>
        <v>4</v>
      </c>
      <c r="I28">
        <f t="shared" si="7"/>
        <v>38</v>
      </c>
      <c r="J28">
        <f>J27+(H28*60+I28)</f>
        <v>529</v>
      </c>
      <c r="K28">
        <f t="shared" si="9"/>
        <v>0</v>
      </c>
      <c r="L28">
        <f t="shared" si="10"/>
        <v>8</v>
      </c>
      <c r="M28" s="5">
        <f t="shared" si="11"/>
        <v>49</v>
      </c>
      <c r="N28" s="4">
        <v>1</v>
      </c>
      <c r="O28">
        <v>5</v>
      </c>
      <c r="P28">
        <v>21</v>
      </c>
      <c r="Q28">
        <f t="shared" si="12"/>
        <v>3921</v>
      </c>
    </row>
    <row r="29" spans="1:17" x14ac:dyDescent="0.25">
      <c r="A29" t="s">
        <v>125</v>
      </c>
      <c r="B29" t="b">
        <f t="shared" si="0"/>
        <v>0</v>
      </c>
      <c r="C29" t="b">
        <f t="shared" si="1"/>
        <v>0</v>
      </c>
      <c r="D29">
        <f t="shared" si="2"/>
        <v>2</v>
      </c>
      <c r="E29" t="str">
        <f t="shared" si="3"/>
        <v>1. Create a Spring Boot Microservice</v>
      </c>
      <c r="F29" t="str">
        <f t="shared" si="4"/>
        <v/>
      </c>
      <c r="G29" t="str">
        <f t="shared" si="5"/>
        <v/>
      </c>
      <c r="H29">
        <f t="shared" si="6"/>
        <v>0</v>
      </c>
      <c r="I29">
        <f t="shared" si="7"/>
        <v>0</v>
      </c>
      <c r="J29">
        <f>J28+(H29*60+I29)</f>
        <v>529</v>
      </c>
      <c r="K29">
        <f t="shared" si="9"/>
        <v>0</v>
      </c>
      <c r="L29">
        <f t="shared" si="10"/>
        <v>8</v>
      </c>
      <c r="M29" s="5">
        <f t="shared" si="11"/>
        <v>49</v>
      </c>
      <c r="N29" s="4">
        <v>0</v>
      </c>
      <c r="O29">
        <f>K29</f>
        <v>0</v>
      </c>
      <c r="P29">
        <f>L29</f>
        <v>8</v>
      </c>
      <c r="Q29">
        <f t="shared" si="12"/>
        <v>8</v>
      </c>
    </row>
    <row r="30" spans="1:17" x14ac:dyDescent="0.25">
      <c r="A30" t="s">
        <v>3</v>
      </c>
      <c r="B30" t="b">
        <f t="shared" si="0"/>
        <v>0</v>
      </c>
      <c r="C30" t="b">
        <f t="shared" si="1"/>
        <v>0</v>
      </c>
      <c r="D30">
        <f t="shared" si="2"/>
        <v>2</v>
      </c>
      <c r="E30" t="str">
        <f t="shared" si="3"/>
        <v>1. Create a Spring Boot Microservice</v>
      </c>
      <c r="F30" t="str">
        <f t="shared" si="4"/>
        <v/>
      </c>
      <c r="G30" t="str">
        <f t="shared" si="5"/>
        <v/>
      </c>
      <c r="H30">
        <f t="shared" si="6"/>
        <v>0</v>
      </c>
      <c r="I30">
        <f t="shared" si="7"/>
        <v>0</v>
      </c>
      <c r="J30">
        <v>536</v>
      </c>
      <c r="K30">
        <f t="shared" si="9"/>
        <v>0</v>
      </c>
      <c r="L30">
        <f t="shared" si="10"/>
        <v>8</v>
      </c>
      <c r="M30" s="5">
        <f t="shared" si="11"/>
        <v>56</v>
      </c>
      <c r="N30" s="4">
        <f t="shared" ref="N30:N61" si="13">K30</f>
        <v>0</v>
      </c>
      <c r="O30">
        <f t="shared" ref="O30:O61" si="14">L30</f>
        <v>8</v>
      </c>
      <c r="P30">
        <v>56</v>
      </c>
      <c r="Q30">
        <f t="shared" si="12"/>
        <v>536</v>
      </c>
    </row>
    <row r="31" spans="1:17" x14ac:dyDescent="0.25">
      <c r="A31" t="s">
        <v>148</v>
      </c>
      <c r="B31" t="b">
        <f t="shared" si="0"/>
        <v>0</v>
      </c>
      <c r="C31" t="b">
        <f t="shared" si="1"/>
        <v>1</v>
      </c>
      <c r="D31">
        <f t="shared" si="2"/>
        <v>3</v>
      </c>
      <c r="E31" t="str">
        <f t="shared" si="3"/>
        <v>1. Create a Spring Boot Microservice</v>
      </c>
      <c r="F31" t="str">
        <f t="shared" si="4"/>
        <v>3. Build, deploy, and launch the microservice</v>
      </c>
      <c r="G31" t="str">
        <f t="shared" si="5"/>
        <v>4m 6s</v>
      </c>
      <c r="H31">
        <f t="shared" si="6"/>
        <v>4</v>
      </c>
      <c r="I31">
        <f t="shared" si="7"/>
        <v>6</v>
      </c>
      <c r="J31">
        <f t="shared" ref="J31:J37" si="15">J30+(H31*60+I31)</f>
        <v>782</v>
      </c>
      <c r="K31">
        <f t="shared" si="9"/>
        <v>0</v>
      </c>
      <c r="L31">
        <f t="shared" si="10"/>
        <v>13</v>
      </c>
      <c r="M31" s="5">
        <f t="shared" si="11"/>
        <v>2</v>
      </c>
      <c r="N31" s="4">
        <f t="shared" si="13"/>
        <v>0</v>
      </c>
      <c r="O31">
        <f t="shared" si="14"/>
        <v>13</v>
      </c>
      <c r="P31">
        <f t="shared" ref="P31:P37" si="16">M31</f>
        <v>2</v>
      </c>
      <c r="Q31">
        <f t="shared" si="12"/>
        <v>782</v>
      </c>
    </row>
    <row r="32" spans="1:17" x14ac:dyDescent="0.25">
      <c r="A32" t="s">
        <v>147</v>
      </c>
      <c r="B32" t="b">
        <f t="shared" si="0"/>
        <v>0</v>
      </c>
      <c r="C32" t="b">
        <f t="shared" si="1"/>
        <v>0</v>
      </c>
      <c r="D32">
        <f t="shared" si="2"/>
        <v>3</v>
      </c>
      <c r="E32" t="str">
        <f t="shared" si="3"/>
        <v>1. Create a Spring Boot Microservice</v>
      </c>
      <c r="F32" t="str">
        <f t="shared" si="4"/>
        <v/>
      </c>
      <c r="G32" t="str">
        <f t="shared" si="5"/>
        <v/>
      </c>
      <c r="H32">
        <f t="shared" si="6"/>
        <v>0</v>
      </c>
      <c r="I32">
        <f t="shared" si="7"/>
        <v>0</v>
      </c>
      <c r="J32">
        <f t="shared" si="15"/>
        <v>782</v>
      </c>
      <c r="K32">
        <f t="shared" si="9"/>
        <v>0</v>
      </c>
      <c r="L32">
        <f t="shared" si="10"/>
        <v>13</v>
      </c>
      <c r="M32" s="5">
        <f t="shared" si="11"/>
        <v>2</v>
      </c>
      <c r="N32" s="4">
        <f t="shared" si="13"/>
        <v>0</v>
      </c>
      <c r="O32">
        <f t="shared" si="14"/>
        <v>13</v>
      </c>
      <c r="P32">
        <f t="shared" si="16"/>
        <v>2</v>
      </c>
      <c r="Q32">
        <f t="shared" si="12"/>
        <v>782</v>
      </c>
    </row>
    <row r="33" spans="1:17" x14ac:dyDescent="0.25">
      <c r="A33" t="s">
        <v>3</v>
      </c>
      <c r="B33" t="b">
        <f t="shared" si="0"/>
        <v>0</v>
      </c>
      <c r="C33" t="b">
        <f t="shared" si="1"/>
        <v>0</v>
      </c>
      <c r="D33">
        <f t="shared" si="2"/>
        <v>3</v>
      </c>
      <c r="E33" t="str">
        <f t="shared" si="3"/>
        <v>1. Create a Spring Boot Microservice</v>
      </c>
      <c r="F33" t="str">
        <f t="shared" si="4"/>
        <v/>
      </c>
      <c r="G33" t="str">
        <f t="shared" si="5"/>
        <v/>
      </c>
      <c r="H33">
        <f t="shared" si="6"/>
        <v>0</v>
      </c>
      <c r="I33">
        <f t="shared" si="7"/>
        <v>0</v>
      </c>
      <c r="J33">
        <f t="shared" si="15"/>
        <v>782</v>
      </c>
      <c r="K33">
        <f t="shared" si="9"/>
        <v>0</v>
      </c>
      <c r="L33">
        <f t="shared" si="10"/>
        <v>13</v>
      </c>
      <c r="M33" s="5">
        <f t="shared" si="11"/>
        <v>2</v>
      </c>
      <c r="N33" s="4">
        <f t="shared" si="13"/>
        <v>0</v>
      </c>
      <c r="O33">
        <f t="shared" si="14"/>
        <v>13</v>
      </c>
      <c r="P33">
        <f t="shared" si="16"/>
        <v>2</v>
      </c>
      <c r="Q33">
        <f t="shared" si="12"/>
        <v>782</v>
      </c>
    </row>
    <row r="34" spans="1:17" x14ac:dyDescent="0.25">
      <c r="A34" t="s">
        <v>12</v>
      </c>
      <c r="B34" t="b">
        <f t="shared" si="0"/>
        <v>0</v>
      </c>
      <c r="C34" t="b">
        <f t="shared" si="1"/>
        <v>0</v>
      </c>
      <c r="D34">
        <f t="shared" si="2"/>
        <v>3</v>
      </c>
      <c r="E34" t="str">
        <f t="shared" si="3"/>
        <v>1. Create a Spring Boot Microservice</v>
      </c>
      <c r="F34" t="str">
        <f t="shared" si="4"/>
        <v/>
      </c>
      <c r="G34" t="str">
        <f t="shared" si="5"/>
        <v/>
      </c>
      <c r="H34">
        <f t="shared" si="6"/>
        <v>0</v>
      </c>
      <c r="I34">
        <f t="shared" si="7"/>
        <v>0</v>
      </c>
      <c r="J34">
        <f t="shared" si="15"/>
        <v>782</v>
      </c>
      <c r="K34">
        <f t="shared" si="9"/>
        <v>0</v>
      </c>
      <c r="L34">
        <f t="shared" si="10"/>
        <v>13</v>
      </c>
      <c r="M34" s="5">
        <f t="shared" si="11"/>
        <v>2</v>
      </c>
      <c r="N34" s="4">
        <f t="shared" si="13"/>
        <v>0</v>
      </c>
      <c r="O34">
        <f t="shared" si="14"/>
        <v>13</v>
      </c>
      <c r="P34">
        <f t="shared" si="16"/>
        <v>2</v>
      </c>
      <c r="Q34">
        <f t="shared" si="12"/>
        <v>782</v>
      </c>
    </row>
    <row r="35" spans="1:17" x14ac:dyDescent="0.25">
      <c r="A35" t="s">
        <v>11</v>
      </c>
      <c r="B35" t="b">
        <f t="shared" si="0"/>
        <v>0</v>
      </c>
      <c r="C35" t="b">
        <f t="shared" si="1"/>
        <v>0</v>
      </c>
      <c r="D35">
        <f t="shared" si="2"/>
        <v>3</v>
      </c>
      <c r="E35" t="str">
        <f t="shared" si="3"/>
        <v>1. Create a Spring Boot Microservice</v>
      </c>
      <c r="F35" t="str">
        <f t="shared" si="4"/>
        <v/>
      </c>
      <c r="G35" t="str">
        <f t="shared" si="5"/>
        <v/>
      </c>
      <c r="H35">
        <f t="shared" si="6"/>
        <v>0</v>
      </c>
      <c r="I35">
        <f t="shared" si="7"/>
        <v>0</v>
      </c>
      <c r="J35">
        <f t="shared" si="15"/>
        <v>782</v>
      </c>
      <c r="K35">
        <f t="shared" si="9"/>
        <v>0</v>
      </c>
      <c r="L35">
        <f t="shared" si="10"/>
        <v>13</v>
      </c>
      <c r="M35" s="5">
        <f t="shared" si="11"/>
        <v>2</v>
      </c>
      <c r="N35" s="4">
        <f t="shared" si="13"/>
        <v>0</v>
      </c>
      <c r="O35">
        <f t="shared" si="14"/>
        <v>13</v>
      </c>
      <c r="P35">
        <f t="shared" si="16"/>
        <v>2</v>
      </c>
      <c r="Q35">
        <f t="shared" si="12"/>
        <v>782</v>
      </c>
    </row>
    <row r="36" spans="1:17" x14ac:dyDescent="0.25">
      <c r="B36" t="b">
        <f t="shared" si="0"/>
        <v>0</v>
      </c>
      <c r="C36" t="b">
        <f t="shared" si="1"/>
        <v>0</v>
      </c>
      <c r="D36">
        <f t="shared" si="2"/>
        <v>3</v>
      </c>
      <c r="E36" t="str">
        <f t="shared" si="3"/>
        <v>1. Create a Spring Boot Microservice</v>
      </c>
      <c r="F36" t="str">
        <f t="shared" si="4"/>
        <v/>
      </c>
      <c r="G36" t="str">
        <f t="shared" si="5"/>
        <v/>
      </c>
      <c r="H36">
        <f t="shared" si="6"/>
        <v>0</v>
      </c>
      <c r="I36">
        <f t="shared" si="7"/>
        <v>0</v>
      </c>
      <c r="J36">
        <f t="shared" si="15"/>
        <v>782</v>
      </c>
      <c r="K36">
        <f t="shared" si="9"/>
        <v>0</v>
      </c>
      <c r="L36">
        <f t="shared" si="10"/>
        <v>13</v>
      </c>
      <c r="M36" s="5">
        <f t="shared" si="11"/>
        <v>2</v>
      </c>
      <c r="N36" s="4">
        <f t="shared" si="13"/>
        <v>0</v>
      </c>
      <c r="O36">
        <f t="shared" si="14"/>
        <v>13</v>
      </c>
      <c r="P36">
        <f t="shared" si="16"/>
        <v>2</v>
      </c>
      <c r="Q36">
        <f t="shared" si="12"/>
        <v>782</v>
      </c>
    </row>
    <row r="37" spans="1:17" x14ac:dyDescent="0.25">
      <c r="A37" t="s">
        <v>146</v>
      </c>
      <c r="B37" t="b">
        <f t="shared" si="0"/>
        <v>1</v>
      </c>
      <c r="C37" t="b">
        <f t="shared" si="1"/>
        <v>0</v>
      </c>
      <c r="D37">
        <f t="shared" si="2"/>
        <v>0</v>
      </c>
      <c r="E37" t="str">
        <f t="shared" si="3"/>
        <v>2. Leverage Spring Data JPA Repository Interfaces</v>
      </c>
      <c r="F37" t="str">
        <f t="shared" si="4"/>
        <v/>
      </c>
      <c r="G37" t="str">
        <f t="shared" si="5"/>
        <v/>
      </c>
      <c r="H37">
        <f t="shared" si="6"/>
        <v>0</v>
      </c>
      <c r="I37">
        <f t="shared" si="7"/>
        <v>0</v>
      </c>
      <c r="J37">
        <f t="shared" si="15"/>
        <v>782</v>
      </c>
      <c r="K37">
        <f t="shared" si="9"/>
        <v>0</v>
      </c>
      <c r="L37">
        <f t="shared" si="10"/>
        <v>13</v>
      </c>
      <c r="M37" s="5">
        <f t="shared" si="11"/>
        <v>2</v>
      </c>
      <c r="N37" s="4">
        <f t="shared" si="13"/>
        <v>0</v>
      </c>
      <c r="O37">
        <f t="shared" si="14"/>
        <v>13</v>
      </c>
      <c r="P37">
        <f t="shared" si="16"/>
        <v>2</v>
      </c>
      <c r="Q37">
        <f t="shared" si="12"/>
        <v>782</v>
      </c>
    </row>
    <row r="38" spans="1:17" x14ac:dyDescent="0.25">
      <c r="B38" t="b">
        <f t="shared" si="0"/>
        <v>0</v>
      </c>
      <c r="C38" t="b">
        <f t="shared" si="1"/>
        <v>0</v>
      </c>
      <c r="D38">
        <f t="shared" si="2"/>
        <v>0</v>
      </c>
      <c r="E38" t="str">
        <f t="shared" si="3"/>
        <v>2. Leverage Spring Data JPA Repository Interfaces</v>
      </c>
      <c r="F38" t="str">
        <f t="shared" si="4"/>
        <v/>
      </c>
      <c r="G38" t="str">
        <f t="shared" si="5"/>
        <v/>
      </c>
      <c r="H38">
        <f t="shared" si="6"/>
        <v>0</v>
      </c>
      <c r="I38">
        <f t="shared" si="7"/>
        <v>0</v>
      </c>
      <c r="J38">
        <v>801</v>
      </c>
      <c r="K38">
        <f t="shared" si="9"/>
        <v>0</v>
      </c>
      <c r="L38">
        <f t="shared" si="10"/>
        <v>13</v>
      </c>
      <c r="M38" s="5">
        <f t="shared" si="11"/>
        <v>21</v>
      </c>
      <c r="N38" s="4">
        <f t="shared" si="13"/>
        <v>0</v>
      </c>
      <c r="O38">
        <f t="shared" si="14"/>
        <v>13</v>
      </c>
      <c r="P38">
        <v>21</v>
      </c>
      <c r="Q38">
        <f t="shared" si="12"/>
        <v>801</v>
      </c>
    </row>
    <row r="39" spans="1:17" x14ac:dyDescent="0.25">
      <c r="A39" t="s">
        <v>145</v>
      </c>
      <c r="B39" t="b">
        <f t="shared" si="0"/>
        <v>0</v>
      </c>
      <c r="C39" t="b">
        <f t="shared" si="1"/>
        <v>1</v>
      </c>
      <c r="D39">
        <f t="shared" si="2"/>
        <v>1</v>
      </c>
      <c r="E39" t="str">
        <f t="shared" si="3"/>
        <v>2. Leverage Spring Data JPA Repository Interfaces</v>
      </c>
      <c r="F39" t="str">
        <f t="shared" si="4"/>
        <v>1. The domain model</v>
      </c>
      <c r="G39" t="str">
        <f t="shared" si="5"/>
        <v>1m 57s</v>
      </c>
      <c r="H39">
        <f t="shared" si="6"/>
        <v>1</v>
      </c>
      <c r="I39">
        <f t="shared" si="7"/>
        <v>57</v>
      </c>
      <c r="J39">
        <f t="shared" ref="J39:J60" si="17">J38+(H39*60+I39)</f>
        <v>918</v>
      </c>
      <c r="K39">
        <f t="shared" si="9"/>
        <v>0</v>
      </c>
      <c r="L39">
        <f t="shared" si="10"/>
        <v>15</v>
      </c>
      <c r="M39" s="5">
        <f t="shared" si="11"/>
        <v>18</v>
      </c>
      <c r="N39" s="4">
        <f t="shared" si="13"/>
        <v>0</v>
      </c>
      <c r="O39">
        <f t="shared" si="14"/>
        <v>15</v>
      </c>
      <c r="P39">
        <f t="shared" ref="P39:P60" si="18">M39</f>
        <v>18</v>
      </c>
      <c r="Q39">
        <f t="shared" si="12"/>
        <v>918</v>
      </c>
    </row>
    <row r="40" spans="1:17" x14ac:dyDescent="0.25">
      <c r="A40" t="s">
        <v>144</v>
      </c>
      <c r="B40" t="b">
        <f t="shared" si="0"/>
        <v>0</v>
      </c>
      <c r="C40" t="b">
        <f t="shared" si="1"/>
        <v>0</v>
      </c>
      <c r="D40">
        <f t="shared" si="2"/>
        <v>1</v>
      </c>
      <c r="E40" t="str">
        <f t="shared" si="3"/>
        <v>2. Leverage Spring Data JPA Repository Interfaces</v>
      </c>
      <c r="F40" t="str">
        <f t="shared" si="4"/>
        <v/>
      </c>
      <c r="G40" t="str">
        <f t="shared" si="5"/>
        <v/>
      </c>
      <c r="H40">
        <f t="shared" si="6"/>
        <v>0</v>
      </c>
      <c r="I40">
        <f t="shared" si="7"/>
        <v>0</v>
      </c>
      <c r="J40">
        <f t="shared" si="17"/>
        <v>918</v>
      </c>
      <c r="K40">
        <f t="shared" si="9"/>
        <v>0</v>
      </c>
      <c r="L40">
        <f t="shared" si="10"/>
        <v>15</v>
      </c>
      <c r="M40" s="5">
        <f t="shared" si="11"/>
        <v>18</v>
      </c>
      <c r="N40" s="4">
        <f t="shared" si="13"/>
        <v>0</v>
      </c>
      <c r="O40">
        <f t="shared" si="14"/>
        <v>15</v>
      </c>
      <c r="P40">
        <f t="shared" si="18"/>
        <v>18</v>
      </c>
      <c r="Q40">
        <f t="shared" si="12"/>
        <v>918</v>
      </c>
    </row>
    <row r="41" spans="1:17" x14ac:dyDescent="0.25">
      <c r="A41" t="s">
        <v>3</v>
      </c>
      <c r="B41" t="b">
        <f t="shared" si="0"/>
        <v>0</v>
      </c>
      <c r="C41" t="b">
        <f t="shared" si="1"/>
        <v>0</v>
      </c>
      <c r="D41">
        <f t="shared" si="2"/>
        <v>1</v>
      </c>
      <c r="E41" t="str">
        <f t="shared" si="3"/>
        <v>2. Leverage Spring Data JPA Repository Interfaces</v>
      </c>
      <c r="F41" t="str">
        <f t="shared" si="4"/>
        <v/>
      </c>
      <c r="G41" t="str">
        <f t="shared" si="5"/>
        <v/>
      </c>
      <c r="H41">
        <f t="shared" si="6"/>
        <v>0</v>
      </c>
      <c r="I41">
        <f t="shared" si="7"/>
        <v>0</v>
      </c>
      <c r="J41">
        <f t="shared" si="17"/>
        <v>918</v>
      </c>
      <c r="K41">
        <f t="shared" si="9"/>
        <v>0</v>
      </c>
      <c r="L41">
        <f t="shared" si="10"/>
        <v>15</v>
      </c>
      <c r="M41" s="5">
        <f t="shared" si="11"/>
        <v>18</v>
      </c>
      <c r="N41" s="4">
        <f t="shared" si="13"/>
        <v>0</v>
      </c>
      <c r="O41">
        <f t="shared" si="14"/>
        <v>15</v>
      </c>
      <c r="P41">
        <f t="shared" si="18"/>
        <v>18</v>
      </c>
      <c r="Q41">
        <f t="shared" si="12"/>
        <v>918</v>
      </c>
    </row>
    <row r="42" spans="1:17" x14ac:dyDescent="0.25">
      <c r="A42" t="s">
        <v>143</v>
      </c>
      <c r="B42" t="b">
        <f t="shared" si="0"/>
        <v>0</v>
      </c>
      <c r="C42" t="b">
        <f t="shared" si="1"/>
        <v>1</v>
      </c>
      <c r="D42">
        <f t="shared" si="2"/>
        <v>2</v>
      </c>
      <c r="E42" t="str">
        <f t="shared" si="3"/>
        <v>2. Leverage Spring Data JPA Repository Interfaces</v>
      </c>
      <c r="F42" t="str">
        <f t="shared" si="4"/>
        <v>2. The JPA entities</v>
      </c>
      <c r="G42" t="str">
        <f t="shared" si="5"/>
        <v>2m 14s</v>
      </c>
      <c r="H42">
        <f t="shared" si="6"/>
        <v>2</v>
      </c>
      <c r="I42">
        <f t="shared" si="7"/>
        <v>14</v>
      </c>
      <c r="J42">
        <f t="shared" si="17"/>
        <v>1052</v>
      </c>
      <c r="K42">
        <f t="shared" si="9"/>
        <v>0</v>
      </c>
      <c r="L42">
        <f t="shared" si="10"/>
        <v>17</v>
      </c>
      <c r="M42" s="5">
        <f t="shared" si="11"/>
        <v>32</v>
      </c>
      <c r="N42" s="4">
        <f t="shared" si="13"/>
        <v>0</v>
      </c>
      <c r="O42">
        <f t="shared" si="14"/>
        <v>17</v>
      </c>
      <c r="P42">
        <f t="shared" si="18"/>
        <v>32</v>
      </c>
      <c r="Q42">
        <f t="shared" si="12"/>
        <v>1052</v>
      </c>
    </row>
    <row r="43" spans="1:17" x14ac:dyDescent="0.25">
      <c r="A43" t="s">
        <v>142</v>
      </c>
      <c r="B43" t="b">
        <f t="shared" si="0"/>
        <v>0</v>
      </c>
      <c r="C43" t="b">
        <f t="shared" si="1"/>
        <v>0</v>
      </c>
      <c r="D43">
        <f t="shared" si="2"/>
        <v>2</v>
      </c>
      <c r="E43" t="str">
        <f t="shared" si="3"/>
        <v>2. Leverage Spring Data JPA Repository Interfaces</v>
      </c>
      <c r="F43" t="str">
        <f t="shared" si="4"/>
        <v/>
      </c>
      <c r="G43" t="str">
        <f t="shared" si="5"/>
        <v/>
      </c>
      <c r="H43">
        <f t="shared" si="6"/>
        <v>0</v>
      </c>
      <c r="I43">
        <f t="shared" si="7"/>
        <v>0</v>
      </c>
      <c r="J43">
        <f t="shared" si="17"/>
        <v>1052</v>
      </c>
      <c r="K43">
        <f t="shared" si="9"/>
        <v>0</v>
      </c>
      <c r="L43">
        <f t="shared" si="10"/>
        <v>17</v>
      </c>
      <c r="M43" s="5">
        <f t="shared" si="11"/>
        <v>32</v>
      </c>
      <c r="N43" s="4">
        <f t="shared" si="13"/>
        <v>0</v>
      </c>
      <c r="O43">
        <f t="shared" si="14"/>
        <v>17</v>
      </c>
      <c r="P43">
        <f t="shared" si="18"/>
        <v>32</v>
      </c>
      <c r="Q43">
        <f t="shared" si="12"/>
        <v>1052</v>
      </c>
    </row>
    <row r="44" spans="1:17" x14ac:dyDescent="0.25">
      <c r="A44" t="s">
        <v>3</v>
      </c>
      <c r="B44" t="b">
        <f t="shared" si="0"/>
        <v>0</v>
      </c>
      <c r="C44" t="b">
        <f t="shared" si="1"/>
        <v>0</v>
      </c>
      <c r="D44">
        <f t="shared" si="2"/>
        <v>2</v>
      </c>
      <c r="E44" t="str">
        <f t="shared" si="3"/>
        <v>2. Leverage Spring Data JPA Repository Interfaces</v>
      </c>
      <c r="F44" t="str">
        <f t="shared" si="4"/>
        <v/>
      </c>
      <c r="G44" t="str">
        <f t="shared" si="5"/>
        <v/>
      </c>
      <c r="H44">
        <f t="shared" si="6"/>
        <v>0</v>
      </c>
      <c r="I44">
        <f t="shared" si="7"/>
        <v>0</v>
      </c>
      <c r="J44">
        <f t="shared" si="17"/>
        <v>1052</v>
      </c>
      <c r="K44">
        <f t="shared" si="9"/>
        <v>0</v>
      </c>
      <c r="L44">
        <f t="shared" si="10"/>
        <v>17</v>
      </c>
      <c r="M44" s="5">
        <f t="shared" si="11"/>
        <v>32</v>
      </c>
      <c r="N44" s="4">
        <f t="shared" si="13"/>
        <v>0</v>
      </c>
      <c r="O44">
        <f t="shared" si="14"/>
        <v>17</v>
      </c>
      <c r="P44">
        <f t="shared" si="18"/>
        <v>32</v>
      </c>
      <c r="Q44">
        <f t="shared" si="12"/>
        <v>1052</v>
      </c>
    </row>
    <row r="45" spans="1:17" x14ac:dyDescent="0.25">
      <c r="A45" t="s">
        <v>141</v>
      </c>
      <c r="B45" t="b">
        <f t="shared" si="0"/>
        <v>0</v>
      </c>
      <c r="C45" t="b">
        <f t="shared" si="1"/>
        <v>1</v>
      </c>
      <c r="D45">
        <f t="shared" si="2"/>
        <v>3</v>
      </c>
      <c r="E45" t="str">
        <f t="shared" si="3"/>
        <v>2. Leverage Spring Data JPA Repository Interfaces</v>
      </c>
      <c r="F45" t="str">
        <f t="shared" si="4"/>
        <v>3. Declare Spring Data JPA repository interfaces</v>
      </c>
      <c r="G45" t="str">
        <f t="shared" si="5"/>
        <v>2m 56s</v>
      </c>
      <c r="H45">
        <f t="shared" si="6"/>
        <v>2</v>
      </c>
      <c r="I45">
        <f t="shared" si="7"/>
        <v>56</v>
      </c>
      <c r="J45">
        <f t="shared" si="17"/>
        <v>1228</v>
      </c>
      <c r="K45">
        <f t="shared" si="9"/>
        <v>0</v>
      </c>
      <c r="L45">
        <f t="shared" si="10"/>
        <v>20</v>
      </c>
      <c r="M45" s="5">
        <f t="shared" si="11"/>
        <v>28</v>
      </c>
      <c r="N45" s="4">
        <f t="shared" si="13"/>
        <v>0</v>
      </c>
      <c r="O45">
        <f t="shared" si="14"/>
        <v>20</v>
      </c>
      <c r="P45">
        <f t="shared" si="18"/>
        <v>28</v>
      </c>
      <c r="Q45">
        <f t="shared" si="12"/>
        <v>1228</v>
      </c>
    </row>
    <row r="46" spans="1:17" x14ac:dyDescent="0.25">
      <c r="A46" t="s">
        <v>140</v>
      </c>
      <c r="B46" t="b">
        <f t="shared" ref="B46:B77" si="19">AND(NOT(ISERROR(FIND(". ",A46))),ISNUMBER(VALUE(LEFT(A46,FIND(". ",A46)-1))))</f>
        <v>0</v>
      </c>
      <c r="C46" t="b">
        <f t="shared" ref="C46:C77" si="20">OR(AND(NOT(ISERROR(FIND("m",A47))),ISNUMBER(VALUE(LEFT(A47,FIND("m",A47)-1)))),AND(NOT(ISERROR(FIND("s",A47))),ISNUMBER(VALUE(LEFT(A47,FIND("s",A47)-1)))))</f>
        <v>0</v>
      </c>
      <c r="D46">
        <f t="shared" ref="D46:D77" si="21">IF(B46,0,IF(C46,D45+1,D45))</f>
        <v>3</v>
      </c>
      <c r="E46" t="str">
        <f t="shared" ref="E46:E77" si="22">IF(B46,A46,E45)</f>
        <v>2. Leverage Spring Data JPA Repository Interfaces</v>
      </c>
      <c r="F46" t="str">
        <f t="shared" ref="F46:F77" si="23">IF(C46,D46&amp;". "&amp;A46,"")</f>
        <v/>
      </c>
      <c r="G46" t="str">
        <f t="shared" ref="G46:G77" si="24">IF(C46,IF(ISERROR(FIND("s",A47)),LEFT(A47,FIND("m",A47)),LEFT(A47,FIND("s",A47))),"")</f>
        <v/>
      </c>
      <c r="H46">
        <f t="shared" ref="H46:H77" si="25">IF(OR(G46="",ISERROR(FIND("m",G46))),0,VALUE(LEFT(G46,FIND("m",G46)-1)))</f>
        <v>0</v>
      </c>
      <c r="I46">
        <f t="shared" ref="I46:I77" si="26">IF(OR(G46="",ISERROR(FIND("s",G46))),0,VALUE(SUBSTITUTE(MID(G46,IF(ISERROR(FIND("m",G46)), 0,FIND("m",G46))+1,LEN(G46)),"s","")))</f>
        <v>0</v>
      </c>
      <c r="J46">
        <f t="shared" si="17"/>
        <v>1228</v>
      </c>
      <c r="K46">
        <f t="shared" ref="K46:K77" si="27">INT(J46/60/60)</f>
        <v>0</v>
      </c>
      <c r="L46">
        <f t="shared" ref="L46:L77" si="28">INT((J46-(K46*60*60))/60)</f>
        <v>20</v>
      </c>
      <c r="M46" s="5">
        <f t="shared" ref="M46:M77" si="29">J46-(((K46*60)+L46)*60)</f>
        <v>28</v>
      </c>
      <c r="N46" s="4">
        <f t="shared" si="13"/>
        <v>0</v>
      </c>
      <c r="O46">
        <f t="shared" si="14"/>
        <v>20</v>
      </c>
      <c r="P46">
        <f t="shared" si="18"/>
        <v>28</v>
      </c>
      <c r="Q46">
        <f t="shared" ref="Q46:Q77" si="30">((N46*60)+O46)*60+P46</f>
        <v>1228</v>
      </c>
    </row>
    <row r="47" spans="1:17" x14ac:dyDescent="0.25">
      <c r="A47" t="s">
        <v>3</v>
      </c>
      <c r="B47" t="b">
        <f t="shared" si="19"/>
        <v>0</v>
      </c>
      <c r="C47" t="b">
        <f t="shared" si="20"/>
        <v>0</v>
      </c>
      <c r="D47">
        <f t="shared" si="21"/>
        <v>3</v>
      </c>
      <c r="E47" t="str">
        <f t="shared" si="22"/>
        <v>2. Leverage Spring Data JPA Repository Interfaces</v>
      </c>
      <c r="F47" t="str">
        <f t="shared" si="23"/>
        <v/>
      </c>
      <c r="G47" t="str">
        <f t="shared" si="24"/>
        <v/>
      </c>
      <c r="H47">
        <f t="shared" si="25"/>
        <v>0</v>
      </c>
      <c r="I47">
        <f t="shared" si="26"/>
        <v>0</v>
      </c>
      <c r="J47">
        <f t="shared" si="17"/>
        <v>1228</v>
      </c>
      <c r="K47">
        <f t="shared" si="27"/>
        <v>0</v>
      </c>
      <c r="L47">
        <f t="shared" si="28"/>
        <v>20</v>
      </c>
      <c r="M47" s="5">
        <f t="shared" si="29"/>
        <v>28</v>
      </c>
      <c r="N47" s="4">
        <f t="shared" si="13"/>
        <v>0</v>
      </c>
      <c r="O47">
        <f t="shared" si="14"/>
        <v>20</v>
      </c>
      <c r="P47">
        <f t="shared" si="18"/>
        <v>28</v>
      </c>
      <c r="Q47">
        <f t="shared" si="30"/>
        <v>1228</v>
      </c>
    </row>
    <row r="48" spans="1:17" x14ac:dyDescent="0.25">
      <c r="A48" t="s">
        <v>139</v>
      </c>
      <c r="B48" t="b">
        <f t="shared" si="19"/>
        <v>0</v>
      </c>
      <c r="C48" t="b">
        <f t="shared" si="20"/>
        <v>1</v>
      </c>
      <c r="D48">
        <f t="shared" si="21"/>
        <v>4</v>
      </c>
      <c r="E48" t="str">
        <f t="shared" si="22"/>
        <v>2. Leverage Spring Data JPA Repository Interfaces</v>
      </c>
      <c r="F48" t="str">
        <f t="shared" si="23"/>
        <v>4. Spring Data JPA repository dependency injection</v>
      </c>
      <c r="G48" t="str">
        <f t="shared" si="24"/>
        <v>4m 36s</v>
      </c>
      <c r="H48">
        <f t="shared" si="25"/>
        <v>4</v>
      </c>
      <c r="I48">
        <f t="shared" si="26"/>
        <v>36</v>
      </c>
      <c r="J48">
        <f t="shared" si="17"/>
        <v>1504</v>
      </c>
      <c r="K48">
        <f t="shared" si="27"/>
        <v>0</v>
      </c>
      <c r="L48">
        <f t="shared" si="28"/>
        <v>25</v>
      </c>
      <c r="M48" s="5">
        <f t="shared" si="29"/>
        <v>4</v>
      </c>
      <c r="N48" s="4">
        <f t="shared" si="13"/>
        <v>0</v>
      </c>
      <c r="O48">
        <f t="shared" si="14"/>
        <v>25</v>
      </c>
      <c r="P48">
        <f t="shared" si="18"/>
        <v>4</v>
      </c>
      <c r="Q48">
        <f t="shared" si="30"/>
        <v>1504</v>
      </c>
    </row>
    <row r="49" spans="1:17" x14ac:dyDescent="0.25">
      <c r="A49" t="s">
        <v>138</v>
      </c>
      <c r="B49" t="b">
        <f t="shared" si="19"/>
        <v>0</v>
      </c>
      <c r="C49" t="b">
        <f t="shared" si="20"/>
        <v>0</v>
      </c>
      <c r="D49">
        <f t="shared" si="21"/>
        <v>4</v>
      </c>
      <c r="E49" t="str">
        <f t="shared" si="22"/>
        <v>2. Leverage Spring Data JPA Repository Interfaces</v>
      </c>
      <c r="F49" t="str">
        <f t="shared" si="23"/>
        <v/>
      </c>
      <c r="G49" t="str">
        <f t="shared" si="24"/>
        <v/>
      </c>
      <c r="H49">
        <f t="shared" si="25"/>
        <v>0</v>
      </c>
      <c r="I49">
        <f t="shared" si="26"/>
        <v>0</v>
      </c>
      <c r="J49">
        <f t="shared" si="17"/>
        <v>1504</v>
      </c>
      <c r="K49">
        <f t="shared" si="27"/>
        <v>0</v>
      </c>
      <c r="L49">
        <f t="shared" si="28"/>
        <v>25</v>
      </c>
      <c r="M49" s="5">
        <f t="shared" si="29"/>
        <v>4</v>
      </c>
      <c r="N49" s="4">
        <f t="shared" si="13"/>
        <v>0</v>
      </c>
      <c r="O49">
        <f t="shared" si="14"/>
        <v>25</v>
      </c>
      <c r="P49">
        <f t="shared" si="18"/>
        <v>4</v>
      </c>
      <c r="Q49">
        <f t="shared" si="30"/>
        <v>1504</v>
      </c>
    </row>
    <row r="50" spans="1:17" x14ac:dyDescent="0.25">
      <c r="A50" t="s">
        <v>3</v>
      </c>
      <c r="B50" t="b">
        <f t="shared" si="19"/>
        <v>0</v>
      </c>
      <c r="C50" t="b">
        <f t="shared" si="20"/>
        <v>0</v>
      </c>
      <c r="D50">
        <f t="shared" si="21"/>
        <v>4</v>
      </c>
      <c r="E50" t="str">
        <f t="shared" si="22"/>
        <v>2. Leverage Spring Data JPA Repository Interfaces</v>
      </c>
      <c r="F50" t="str">
        <f t="shared" si="23"/>
        <v/>
      </c>
      <c r="G50" t="str">
        <f t="shared" si="24"/>
        <v/>
      </c>
      <c r="H50">
        <f t="shared" si="25"/>
        <v>0</v>
      </c>
      <c r="I50">
        <f t="shared" si="26"/>
        <v>0</v>
      </c>
      <c r="J50">
        <f t="shared" si="17"/>
        <v>1504</v>
      </c>
      <c r="K50">
        <f t="shared" si="27"/>
        <v>0</v>
      </c>
      <c r="L50">
        <f t="shared" si="28"/>
        <v>25</v>
      </c>
      <c r="M50" s="5">
        <f t="shared" si="29"/>
        <v>4</v>
      </c>
      <c r="N50" s="4">
        <f t="shared" si="13"/>
        <v>0</v>
      </c>
      <c r="O50">
        <f t="shared" si="14"/>
        <v>25</v>
      </c>
      <c r="P50">
        <f t="shared" si="18"/>
        <v>4</v>
      </c>
      <c r="Q50">
        <f t="shared" si="30"/>
        <v>1504</v>
      </c>
    </row>
    <row r="51" spans="1:17" x14ac:dyDescent="0.25">
      <c r="A51" t="s">
        <v>137</v>
      </c>
      <c r="B51" t="b">
        <f t="shared" si="19"/>
        <v>0</v>
      </c>
      <c r="C51" t="b">
        <f t="shared" si="20"/>
        <v>1</v>
      </c>
      <c r="D51">
        <f t="shared" si="21"/>
        <v>5</v>
      </c>
      <c r="E51" t="str">
        <f t="shared" si="22"/>
        <v>2. Leverage Spring Data JPA Repository Interfaces</v>
      </c>
      <c r="F51" t="str">
        <f t="shared" si="23"/>
        <v>5. Invoking the Spring Data JPA repositories</v>
      </c>
      <c r="G51" t="str">
        <f t="shared" si="24"/>
        <v>5m 53s</v>
      </c>
      <c r="H51">
        <f t="shared" si="25"/>
        <v>5</v>
      </c>
      <c r="I51">
        <f t="shared" si="26"/>
        <v>53</v>
      </c>
      <c r="J51">
        <f t="shared" si="17"/>
        <v>1857</v>
      </c>
      <c r="K51">
        <f t="shared" si="27"/>
        <v>0</v>
      </c>
      <c r="L51">
        <f t="shared" si="28"/>
        <v>30</v>
      </c>
      <c r="M51" s="5">
        <f t="shared" si="29"/>
        <v>57</v>
      </c>
      <c r="N51" s="4">
        <f t="shared" si="13"/>
        <v>0</v>
      </c>
      <c r="O51">
        <f t="shared" si="14"/>
        <v>30</v>
      </c>
      <c r="P51">
        <f t="shared" si="18"/>
        <v>57</v>
      </c>
      <c r="Q51">
        <f t="shared" si="30"/>
        <v>1857</v>
      </c>
    </row>
    <row r="52" spans="1:17" x14ac:dyDescent="0.25">
      <c r="A52" t="s">
        <v>136</v>
      </c>
      <c r="B52" t="b">
        <f t="shared" si="19"/>
        <v>0</v>
      </c>
      <c r="C52" t="b">
        <f t="shared" si="20"/>
        <v>0</v>
      </c>
      <c r="D52">
        <f t="shared" si="21"/>
        <v>5</v>
      </c>
      <c r="E52" t="str">
        <f t="shared" si="22"/>
        <v>2. Leverage Spring Data JPA Repository Interfaces</v>
      </c>
      <c r="F52" t="str">
        <f t="shared" si="23"/>
        <v/>
      </c>
      <c r="G52" t="str">
        <f t="shared" si="24"/>
        <v/>
      </c>
      <c r="H52">
        <f t="shared" si="25"/>
        <v>0</v>
      </c>
      <c r="I52">
        <f t="shared" si="26"/>
        <v>0</v>
      </c>
      <c r="J52">
        <f t="shared" si="17"/>
        <v>1857</v>
      </c>
      <c r="K52">
        <f t="shared" si="27"/>
        <v>0</v>
      </c>
      <c r="L52">
        <f t="shared" si="28"/>
        <v>30</v>
      </c>
      <c r="M52" s="5">
        <f t="shared" si="29"/>
        <v>57</v>
      </c>
      <c r="N52" s="4">
        <f t="shared" si="13"/>
        <v>0</v>
      </c>
      <c r="O52">
        <f t="shared" si="14"/>
        <v>30</v>
      </c>
      <c r="P52">
        <f t="shared" si="18"/>
        <v>57</v>
      </c>
      <c r="Q52">
        <f t="shared" si="30"/>
        <v>1857</v>
      </c>
    </row>
    <row r="53" spans="1:17" x14ac:dyDescent="0.25">
      <c r="A53" t="s">
        <v>3</v>
      </c>
      <c r="B53" t="b">
        <f t="shared" si="19"/>
        <v>0</v>
      </c>
      <c r="C53" t="b">
        <f t="shared" si="20"/>
        <v>0</v>
      </c>
      <c r="D53">
        <f t="shared" si="21"/>
        <v>5</v>
      </c>
      <c r="E53" t="str">
        <f t="shared" si="22"/>
        <v>2. Leverage Spring Data JPA Repository Interfaces</v>
      </c>
      <c r="F53" t="str">
        <f t="shared" si="23"/>
        <v/>
      </c>
      <c r="G53" t="str">
        <f t="shared" si="24"/>
        <v/>
      </c>
      <c r="H53">
        <f t="shared" si="25"/>
        <v>0</v>
      </c>
      <c r="I53">
        <f t="shared" si="26"/>
        <v>0</v>
      </c>
      <c r="J53">
        <f t="shared" si="17"/>
        <v>1857</v>
      </c>
      <c r="K53">
        <f t="shared" si="27"/>
        <v>0</v>
      </c>
      <c r="L53">
        <f t="shared" si="28"/>
        <v>30</v>
      </c>
      <c r="M53" s="5">
        <f t="shared" si="29"/>
        <v>57</v>
      </c>
      <c r="N53" s="4">
        <f t="shared" si="13"/>
        <v>0</v>
      </c>
      <c r="O53">
        <f t="shared" si="14"/>
        <v>30</v>
      </c>
      <c r="P53">
        <f t="shared" si="18"/>
        <v>57</v>
      </c>
      <c r="Q53">
        <f t="shared" si="30"/>
        <v>1857</v>
      </c>
    </row>
    <row r="54" spans="1:17" x14ac:dyDescent="0.25">
      <c r="A54" t="s">
        <v>135</v>
      </c>
      <c r="B54" t="b">
        <f t="shared" si="19"/>
        <v>0</v>
      </c>
      <c r="C54" t="b">
        <f t="shared" si="20"/>
        <v>1</v>
      </c>
      <c r="D54">
        <f t="shared" si="21"/>
        <v>6</v>
      </c>
      <c r="E54" t="str">
        <f t="shared" si="22"/>
        <v>2. Leverage Spring Data JPA Repository Interfaces</v>
      </c>
      <c r="F54" t="str">
        <f t="shared" si="23"/>
        <v>6. Introduction to Spring Data query methods</v>
      </c>
      <c r="G54" t="str">
        <f t="shared" si="24"/>
        <v>4m 12s</v>
      </c>
      <c r="H54">
        <f t="shared" si="25"/>
        <v>4</v>
      </c>
      <c r="I54">
        <f t="shared" si="26"/>
        <v>12</v>
      </c>
      <c r="J54">
        <f t="shared" si="17"/>
        <v>2109</v>
      </c>
      <c r="K54">
        <f t="shared" si="27"/>
        <v>0</v>
      </c>
      <c r="L54">
        <f t="shared" si="28"/>
        <v>35</v>
      </c>
      <c r="M54" s="5">
        <f t="shared" si="29"/>
        <v>9</v>
      </c>
      <c r="N54" s="4">
        <f t="shared" si="13"/>
        <v>0</v>
      </c>
      <c r="O54">
        <f t="shared" si="14"/>
        <v>35</v>
      </c>
      <c r="P54">
        <f t="shared" si="18"/>
        <v>9</v>
      </c>
      <c r="Q54">
        <f t="shared" si="30"/>
        <v>2109</v>
      </c>
    </row>
    <row r="55" spans="1:17" x14ac:dyDescent="0.25">
      <c r="A55" t="s">
        <v>134</v>
      </c>
      <c r="B55" t="b">
        <f t="shared" si="19"/>
        <v>0</v>
      </c>
      <c r="C55" t="b">
        <f t="shared" si="20"/>
        <v>0</v>
      </c>
      <c r="D55">
        <f t="shared" si="21"/>
        <v>6</v>
      </c>
      <c r="E55" t="str">
        <f t="shared" si="22"/>
        <v>2. Leverage Spring Data JPA Repository Interfaces</v>
      </c>
      <c r="F55" t="str">
        <f t="shared" si="23"/>
        <v/>
      </c>
      <c r="G55" t="str">
        <f t="shared" si="24"/>
        <v/>
      </c>
      <c r="H55">
        <f t="shared" si="25"/>
        <v>0</v>
      </c>
      <c r="I55">
        <f t="shared" si="26"/>
        <v>0</v>
      </c>
      <c r="J55">
        <f t="shared" si="17"/>
        <v>2109</v>
      </c>
      <c r="K55">
        <f t="shared" si="27"/>
        <v>0</v>
      </c>
      <c r="L55">
        <f t="shared" si="28"/>
        <v>35</v>
      </c>
      <c r="M55" s="5">
        <f t="shared" si="29"/>
        <v>9</v>
      </c>
      <c r="N55" s="4">
        <f t="shared" si="13"/>
        <v>0</v>
      </c>
      <c r="O55">
        <f t="shared" si="14"/>
        <v>35</v>
      </c>
      <c r="P55">
        <f t="shared" si="18"/>
        <v>9</v>
      </c>
      <c r="Q55">
        <f t="shared" si="30"/>
        <v>2109</v>
      </c>
    </row>
    <row r="56" spans="1:17" x14ac:dyDescent="0.25">
      <c r="A56" t="s">
        <v>3</v>
      </c>
      <c r="B56" t="b">
        <f t="shared" si="19"/>
        <v>0</v>
      </c>
      <c r="C56" t="b">
        <f t="shared" si="20"/>
        <v>0</v>
      </c>
      <c r="D56">
        <f t="shared" si="21"/>
        <v>6</v>
      </c>
      <c r="E56" t="str">
        <f t="shared" si="22"/>
        <v>2. Leverage Spring Data JPA Repository Interfaces</v>
      </c>
      <c r="F56" t="str">
        <f t="shared" si="23"/>
        <v/>
      </c>
      <c r="G56" t="str">
        <f t="shared" si="24"/>
        <v/>
      </c>
      <c r="H56">
        <f t="shared" si="25"/>
        <v>0</v>
      </c>
      <c r="I56">
        <f t="shared" si="26"/>
        <v>0</v>
      </c>
      <c r="J56">
        <f t="shared" si="17"/>
        <v>2109</v>
      </c>
      <c r="K56">
        <f t="shared" si="27"/>
        <v>0</v>
      </c>
      <c r="L56">
        <f t="shared" si="28"/>
        <v>35</v>
      </c>
      <c r="M56" s="5">
        <f t="shared" si="29"/>
        <v>9</v>
      </c>
      <c r="N56" s="4">
        <f t="shared" si="13"/>
        <v>0</v>
      </c>
      <c r="O56">
        <f t="shared" si="14"/>
        <v>35</v>
      </c>
      <c r="P56">
        <f t="shared" si="18"/>
        <v>9</v>
      </c>
      <c r="Q56">
        <f t="shared" si="30"/>
        <v>2109</v>
      </c>
    </row>
    <row r="57" spans="1:17" x14ac:dyDescent="0.25">
      <c r="A57" t="s">
        <v>12</v>
      </c>
      <c r="B57" t="b">
        <f t="shared" si="19"/>
        <v>0</v>
      </c>
      <c r="C57" t="b">
        <f t="shared" si="20"/>
        <v>0</v>
      </c>
      <c r="D57">
        <f t="shared" si="21"/>
        <v>6</v>
      </c>
      <c r="E57" t="str">
        <f t="shared" si="22"/>
        <v>2. Leverage Spring Data JPA Repository Interfaces</v>
      </c>
      <c r="F57" t="str">
        <f t="shared" si="23"/>
        <v/>
      </c>
      <c r="G57" t="str">
        <f t="shared" si="24"/>
        <v/>
      </c>
      <c r="H57">
        <f t="shared" si="25"/>
        <v>0</v>
      </c>
      <c r="I57">
        <f t="shared" si="26"/>
        <v>0</v>
      </c>
      <c r="J57">
        <f t="shared" si="17"/>
        <v>2109</v>
      </c>
      <c r="K57">
        <f t="shared" si="27"/>
        <v>0</v>
      </c>
      <c r="L57">
        <f t="shared" si="28"/>
        <v>35</v>
      </c>
      <c r="M57" s="5">
        <f t="shared" si="29"/>
        <v>9</v>
      </c>
      <c r="N57" s="4">
        <f t="shared" si="13"/>
        <v>0</v>
      </c>
      <c r="O57">
        <f t="shared" si="14"/>
        <v>35</v>
      </c>
      <c r="P57">
        <f t="shared" si="18"/>
        <v>9</v>
      </c>
      <c r="Q57">
        <f t="shared" si="30"/>
        <v>2109</v>
      </c>
    </row>
    <row r="58" spans="1:17" x14ac:dyDescent="0.25">
      <c r="A58" t="s">
        <v>22</v>
      </c>
      <c r="B58" t="b">
        <f t="shared" si="19"/>
        <v>0</v>
      </c>
      <c r="C58" t="b">
        <f t="shared" si="20"/>
        <v>0</v>
      </c>
      <c r="D58">
        <f t="shared" si="21"/>
        <v>6</v>
      </c>
      <c r="E58" t="str">
        <f t="shared" si="22"/>
        <v>2. Leverage Spring Data JPA Repository Interfaces</v>
      </c>
      <c r="F58" t="str">
        <f t="shared" si="23"/>
        <v/>
      </c>
      <c r="G58" t="str">
        <f t="shared" si="24"/>
        <v/>
      </c>
      <c r="H58">
        <f t="shared" si="25"/>
        <v>0</v>
      </c>
      <c r="I58">
        <f t="shared" si="26"/>
        <v>0</v>
      </c>
      <c r="J58">
        <f t="shared" si="17"/>
        <v>2109</v>
      </c>
      <c r="K58">
        <f t="shared" si="27"/>
        <v>0</v>
      </c>
      <c r="L58">
        <f t="shared" si="28"/>
        <v>35</v>
      </c>
      <c r="M58" s="5">
        <f t="shared" si="29"/>
        <v>9</v>
      </c>
      <c r="N58" s="4">
        <f t="shared" si="13"/>
        <v>0</v>
      </c>
      <c r="O58">
        <f t="shared" si="14"/>
        <v>35</v>
      </c>
      <c r="P58">
        <f t="shared" si="18"/>
        <v>9</v>
      </c>
      <c r="Q58">
        <f t="shared" si="30"/>
        <v>2109</v>
      </c>
    </row>
    <row r="59" spans="1:17" x14ac:dyDescent="0.25">
      <c r="B59" t="b">
        <f t="shared" si="19"/>
        <v>0</v>
      </c>
      <c r="C59" t="b">
        <f t="shared" si="20"/>
        <v>0</v>
      </c>
      <c r="D59">
        <f t="shared" si="21"/>
        <v>6</v>
      </c>
      <c r="E59" t="str">
        <f t="shared" si="22"/>
        <v>2. Leverage Spring Data JPA Repository Interfaces</v>
      </c>
      <c r="F59" t="str">
        <f t="shared" si="23"/>
        <v/>
      </c>
      <c r="G59" t="str">
        <f t="shared" si="24"/>
        <v/>
      </c>
      <c r="H59">
        <f t="shared" si="25"/>
        <v>0</v>
      </c>
      <c r="I59">
        <f t="shared" si="26"/>
        <v>0</v>
      </c>
      <c r="J59">
        <f t="shared" si="17"/>
        <v>2109</v>
      </c>
      <c r="K59">
        <f t="shared" si="27"/>
        <v>0</v>
      </c>
      <c r="L59">
        <f t="shared" si="28"/>
        <v>35</v>
      </c>
      <c r="M59" s="5">
        <f t="shared" si="29"/>
        <v>9</v>
      </c>
      <c r="N59" s="4">
        <f t="shared" si="13"/>
        <v>0</v>
      </c>
      <c r="O59">
        <f t="shared" si="14"/>
        <v>35</v>
      </c>
      <c r="P59">
        <f t="shared" si="18"/>
        <v>9</v>
      </c>
      <c r="Q59">
        <f t="shared" si="30"/>
        <v>2109</v>
      </c>
    </row>
    <row r="60" spans="1:17" x14ac:dyDescent="0.25">
      <c r="A60" t="s">
        <v>133</v>
      </c>
      <c r="B60" t="b">
        <f t="shared" si="19"/>
        <v>1</v>
      </c>
      <c r="C60" t="b">
        <f t="shared" si="20"/>
        <v>0</v>
      </c>
      <c r="D60">
        <f t="shared" si="21"/>
        <v>0</v>
      </c>
      <c r="E60" t="str">
        <f t="shared" si="22"/>
        <v>3. Expose RESTful APIs with Spring Data REST</v>
      </c>
      <c r="F60" t="str">
        <f t="shared" si="23"/>
        <v/>
      </c>
      <c r="G60" t="str">
        <f t="shared" si="24"/>
        <v/>
      </c>
      <c r="H60">
        <f t="shared" si="25"/>
        <v>0</v>
      </c>
      <c r="I60">
        <f t="shared" si="26"/>
        <v>0</v>
      </c>
      <c r="J60">
        <f t="shared" si="17"/>
        <v>2109</v>
      </c>
      <c r="K60">
        <f t="shared" si="27"/>
        <v>0</v>
      </c>
      <c r="L60">
        <f t="shared" si="28"/>
        <v>35</v>
      </c>
      <c r="M60" s="5">
        <f t="shared" si="29"/>
        <v>9</v>
      </c>
      <c r="N60" s="4">
        <f t="shared" si="13"/>
        <v>0</v>
      </c>
      <c r="O60">
        <f t="shared" si="14"/>
        <v>35</v>
      </c>
      <c r="P60">
        <f t="shared" si="18"/>
        <v>9</v>
      </c>
      <c r="Q60">
        <f t="shared" si="30"/>
        <v>2109</v>
      </c>
    </row>
    <row r="61" spans="1:17" x14ac:dyDescent="0.25">
      <c r="B61" t="b">
        <f t="shared" si="19"/>
        <v>0</v>
      </c>
      <c r="C61" t="b">
        <f t="shared" si="20"/>
        <v>0</v>
      </c>
      <c r="D61">
        <f t="shared" si="21"/>
        <v>0</v>
      </c>
      <c r="E61" t="str">
        <f t="shared" si="22"/>
        <v>3. Expose RESTful APIs with Spring Data REST</v>
      </c>
      <c r="F61" t="str">
        <f t="shared" si="23"/>
        <v/>
      </c>
      <c r="G61" t="str">
        <f t="shared" si="24"/>
        <v/>
      </c>
      <c r="H61">
        <f t="shared" si="25"/>
        <v>0</v>
      </c>
      <c r="I61">
        <f t="shared" si="26"/>
        <v>0</v>
      </c>
      <c r="J61">
        <v>2147</v>
      </c>
      <c r="K61">
        <f t="shared" si="27"/>
        <v>0</v>
      </c>
      <c r="L61">
        <f t="shared" si="28"/>
        <v>35</v>
      </c>
      <c r="M61" s="5">
        <f t="shared" si="29"/>
        <v>47</v>
      </c>
      <c r="N61" s="4">
        <f t="shared" si="13"/>
        <v>0</v>
      </c>
      <c r="O61">
        <f t="shared" si="14"/>
        <v>35</v>
      </c>
      <c r="P61">
        <v>47</v>
      </c>
      <c r="Q61">
        <f t="shared" si="30"/>
        <v>2147</v>
      </c>
    </row>
    <row r="62" spans="1:17" x14ac:dyDescent="0.25">
      <c r="A62" t="s">
        <v>132</v>
      </c>
      <c r="B62" t="b">
        <f t="shared" si="19"/>
        <v>0</v>
      </c>
      <c r="C62" t="b">
        <f t="shared" si="20"/>
        <v>1</v>
      </c>
      <c r="D62">
        <f t="shared" si="21"/>
        <v>1</v>
      </c>
      <c r="E62" t="str">
        <f t="shared" si="22"/>
        <v>3. Expose RESTful APIs with Spring Data REST</v>
      </c>
      <c r="F62" t="str">
        <f t="shared" si="23"/>
        <v>1. What is a hypermedia-driven RESTful API?</v>
      </c>
      <c r="G62" t="str">
        <f t="shared" si="24"/>
        <v>1m 47s</v>
      </c>
      <c r="H62">
        <f t="shared" si="25"/>
        <v>1</v>
      </c>
      <c r="I62">
        <f t="shared" si="26"/>
        <v>47</v>
      </c>
      <c r="J62">
        <f t="shared" ref="J62:J83" si="31">J61+(H62*60+I62)</f>
        <v>2254</v>
      </c>
      <c r="K62">
        <f t="shared" si="27"/>
        <v>0</v>
      </c>
      <c r="L62">
        <f t="shared" si="28"/>
        <v>37</v>
      </c>
      <c r="M62" s="5">
        <f t="shared" si="29"/>
        <v>34</v>
      </c>
      <c r="N62" s="4">
        <f t="shared" ref="N62:N93" si="32">K62</f>
        <v>0</v>
      </c>
      <c r="O62">
        <f t="shared" ref="O62:O93" si="33">L62</f>
        <v>37</v>
      </c>
      <c r="P62">
        <f t="shared" ref="P62:P83" si="34">M62</f>
        <v>34</v>
      </c>
      <c r="Q62">
        <f t="shared" si="30"/>
        <v>2254</v>
      </c>
    </row>
    <row r="63" spans="1:17" x14ac:dyDescent="0.25">
      <c r="A63" t="s">
        <v>131</v>
      </c>
      <c r="B63" t="b">
        <f t="shared" si="19"/>
        <v>0</v>
      </c>
      <c r="C63" t="b">
        <f t="shared" si="20"/>
        <v>0</v>
      </c>
      <c r="D63">
        <f t="shared" si="21"/>
        <v>1</v>
      </c>
      <c r="E63" t="str">
        <f t="shared" si="22"/>
        <v>3. Expose RESTful APIs with Spring Data REST</v>
      </c>
      <c r="F63" t="str">
        <f t="shared" si="23"/>
        <v/>
      </c>
      <c r="G63" t="str">
        <f t="shared" si="24"/>
        <v/>
      </c>
      <c r="H63">
        <f t="shared" si="25"/>
        <v>0</v>
      </c>
      <c r="I63">
        <f t="shared" si="26"/>
        <v>0</v>
      </c>
      <c r="J63">
        <f t="shared" si="31"/>
        <v>2254</v>
      </c>
      <c r="K63">
        <f t="shared" si="27"/>
        <v>0</v>
      </c>
      <c r="L63">
        <f t="shared" si="28"/>
        <v>37</v>
      </c>
      <c r="M63" s="5">
        <f t="shared" si="29"/>
        <v>34</v>
      </c>
      <c r="N63" s="4">
        <f t="shared" si="32"/>
        <v>0</v>
      </c>
      <c r="O63">
        <f t="shared" si="33"/>
        <v>37</v>
      </c>
      <c r="P63">
        <f t="shared" si="34"/>
        <v>34</v>
      </c>
      <c r="Q63">
        <f t="shared" si="30"/>
        <v>2254</v>
      </c>
    </row>
    <row r="64" spans="1:17" x14ac:dyDescent="0.25">
      <c r="A64" t="s">
        <v>3</v>
      </c>
      <c r="B64" t="b">
        <f t="shared" si="19"/>
        <v>0</v>
      </c>
      <c r="C64" t="b">
        <f t="shared" si="20"/>
        <v>0</v>
      </c>
      <c r="D64">
        <f t="shared" si="21"/>
        <v>1</v>
      </c>
      <c r="E64" t="str">
        <f t="shared" si="22"/>
        <v>3. Expose RESTful APIs with Spring Data REST</v>
      </c>
      <c r="F64" t="str">
        <f t="shared" si="23"/>
        <v/>
      </c>
      <c r="G64" t="str">
        <f t="shared" si="24"/>
        <v/>
      </c>
      <c r="H64">
        <f t="shared" si="25"/>
        <v>0</v>
      </c>
      <c r="I64">
        <f t="shared" si="26"/>
        <v>0</v>
      </c>
      <c r="J64">
        <f t="shared" si="31"/>
        <v>2254</v>
      </c>
      <c r="K64">
        <f t="shared" si="27"/>
        <v>0</v>
      </c>
      <c r="L64">
        <f t="shared" si="28"/>
        <v>37</v>
      </c>
      <c r="M64" s="5">
        <f t="shared" si="29"/>
        <v>34</v>
      </c>
      <c r="N64" s="4">
        <f t="shared" si="32"/>
        <v>0</v>
      </c>
      <c r="O64">
        <f t="shared" si="33"/>
        <v>37</v>
      </c>
      <c r="P64">
        <f t="shared" si="34"/>
        <v>34</v>
      </c>
      <c r="Q64">
        <f t="shared" si="30"/>
        <v>2254</v>
      </c>
    </row>
    <row r="65" spans="1:17" x14ac:dyDescent="0.25">
      <c r="A65" t="s">
        <v>130</v>
      </c>
      <c r="B65" t="b">
        <f t="shared" si="19"/>
        <v>0</v>
      </c>
      <c r="C65" t="b">
        <f t="shared" si="20"/>
        <v>1</v>
      </c>
      <c r="D65">
        <f t="shared" si="21"/>
        <v>2</v>
      </c>
      <c r="E65" t="str">
        <f t="shared" si="22"/>
        <v>3. Expose RESTful APIs with Spring Data REST</v>
      </c>
      <c r="F65" t="str">
        <f t="shared" si="23"/>
        <v>2. Creating APIs with Spring Data REST</v>
      </c>
      <c r="G65" t="str">
        <f t="shared" si="24"/>
        <v>6m 37s</v>
      </c>
      <c r="H65">
        <f t="shared" si="25"/>
        <v>6</v>
      </c>
      <c r="I65">
        <f t="shared" si="26"/>
        <v>37</v>
      </c>
      <c r="J65">
        <f t="shared" si="31"/>
        <v>2651</v>
      </c>
      <c r="K65">
        <f t="shared" si="27"/>
        <v>0</v>
      </c>
      <c r="L65">
        <f t="shared" si="28"/>
        <v>44</v>
      </c>
      <c r="M65" s="5">
        <f t="shared" si="29"/>
        <v>11</v>
      </c>
      <c r="N65" s="4">
        <f t="shared" si="32"/>
        <v>0</v>
      </c>
      <c r="O65">
        <f t="shared" si="33"/>
        <v>44</v>
      </c>
      <c r="P65">
        <f t="shared" si="34"/>
        <v>11</v>
      </c>
      <c r="Q65">
        <f t="shared" si="30"/>
        <v>2651</v>
      </c>
    </row>
    <row r="66" spans="1:17" x14ac:dyDescent="0.25">
      <c r="A66" t="s">
        <v>129</v>
      </c>
      <c r="B66" t="b">
        <f t="shared" si="19"/>
        <v>0</v>
      </c>
      <c r="C66" t="b">
        <f t="shared" si="20"/>
        <v>0</v>
      </c>
      <c r="D66">
        <f t="shared" si="21"/>
        <v>2</v>
      </c>
      <c r="E66" t="str">
        <f t="shared" si="22"/>
        <v>3. Expose RESTful APIs with Spring Data REST</v>
      </c>
      <c r="F66" t="str">
        <f t="shared" si="23"/>
        <v/>
      </c>
      <c r="G66" t="str">
        <f t="shared" si="24"/>
        <v/>
      </c>
      <c r="H66">
        <f t="shared" si="25"/>
        <v>0</v>
      </c>
      <c r="I66">
        <f t="shared" si="26"/>
        <v>0</v>
      </c>
      <c r="J66">
        <f t="shared" si="31"/>
        <v>2651</v>
      </c>
      <c r="K66">
        <f t="shared" si="27"/>
        <v>0</v>
      </c>
      <c r="L66">
        <f t="shared" si="28"/>
        <v>44</v>
      </c>
      <c r="M66" s="5">
        <f t="shared" si="29"/>
        <v>11</v>
      </c>
      <c r="N66" s="4">
        <f t="shared" si="32"/>
        <v>0</v>
      </c>
      <c r="O66">
        <f t="shared" si="33"/>
        <v>44</v>
      </c>
      <c r="P66">
        <f t="shared" si="34"/>
        <v>11</v>
      </c>
      <c r="Q66">
        <f t="shared" si="30"/>
        <v>2651</v>
      </c>
    </row>
    <row r="67" spans="1:17" x14ac:dyDescent="0.25">
      <c r="A67" t="s">
        <v>3</v>
      </c>
      <c r="B67" t="b">
        <f t="shared" si="19"/>
        <v>0</v>
      </c>
      <c r="C67" t="b">
        <f t="shared" si="20"/>
        <v>0</v>
      </c>
      <c r="D67">
        <f t="shared" si="21"/>
        <v>2</v>
      </c>
      <c r="E67" t="str">
        <f t="shared" si="22"/>
        <v>3. Expose RESTful APIs with Spring Data REST</v>
      </c>
      <c r="F67" t="str">
        <f t="shared" si="23"/>
        <v/>
      </c>
      <c r="G67" t="str">
        <f t="shared" si="24"/>
        <v/>
      </c>
      <c r="H67">
        <f t="shared" si="25"/>
        <v>0</v>
      </c>
      <c r="I67">
        <f t="shared" si="26"/>
        <v>0</v>
      </c>
      <c r="J67">
        <f t="shared" si="31"/>
        <v>2651</v>
      </c>
      <c r="K67">
        <f t="shared" si="27"/>
        <v>0</v>
      </c>
      <c r="L67">
        <f t="shared" si="28"/>
        <v>44</v>
      </c>
      <c r="M67" s="5">
        <f t="shared" si="29"/>
        <v>11</v>
      </c>
      <c r="N67" s="4">
        <f t="shared" si="32"/>
        <v>0</v>
      </c>
      <c r="O67">
        <f t="shared" si="33"/>
        <v>44</v>
      </c>
      <c r="P67">
        <f t="shared" si="34"/>
        <v>11</v>
      </c>
      <c r="Q67">
        <f t="shared" si="30"/>
        <v>2651</v>
      </c>
    </row>
    <row r="68" spans="1:17" x14ac:dyDescent="0.25">
      <c r="A68" t="s">
        <v>128</v>
      </c>
      <c r="B68" t="b">
        <f t="shared" si="19"/>
        <v>0</v>
      </c>
      <c r="C68" t="b">
        <f t="shared" si="20"/>
        <v>1</v>
      </c>
      <c r="D68">
        <f t="shared" si="21"/>
        <v>3</v>
      </c>
      <c r="E68" t="str">
        <f t="shared" si="22"/>
        <v>3. Expose RESTful APIs with Spring Data REST</v>
      </c>
      <c r="F68" t="str">
        <f t="shared" si="23"/>
        <v>3. Explore the /search resource</v>
      </c>
      <c r="G68" t="str">
        <f t="shared" si="24"/>
        <v>3m 33s</v>
      </c>
      <c r="H68">
        <f t="shared" si="25"/>
        <v>3</v>
      </c>
      <c r="I68">
        <f t="shared" si="26"/>
        <v>33</v>
      </c>
      <c r="J68">
        <f t="shared" si="31"/>
        <v>2864</v>
      </c>
      <c r="K68">
        <f t="shared" si="27"/>
        <v>0</v>
      </c>
      <c r="L68">
        <f t="shared" si="28"/>
        <v>47</v>
      </c>
      <c r="M68" s="5">
        <f t="shared" si="29"/>
        <v>44</v>
      </c>
      <c r="N68" s="4">
        <f t="shared" si="32"/>
        <v>0</v>
      </c>
      <c r="O68">
        <f t="shared" si="33"/>
        <v>47</v>
      </c>
      <c r="P68">
        <f t="shared" si="34"/>
        <v>44</v>
      </c>
      <c r="Q68">
        <f t="shared" si="30"/>
        <v>2864</v>
      </c>
    </row>
    <row r="69" spans="1:17" x14ac:dyDescent="0.25">
      <c r="A69" t="s">
        <v>127</v>
      </c>
      <c r="B69" t="b">
        <f t="shared" si="19"/>
        <v>0</v>
      </c>
      <c r="C69" t="b">
        <f t="shared" si="20"/>
        <v>0</v>
      </c>
      <c r="D69">
        <f t="shared" si="21"/>
        <v>3</v>
      </c>
      <c r="E69" t="str">
        <f t="shared" si="22"/>
        <v>3. Expose RESTful APIs with Spring Data REST</v>
      </c>
      <c r="F69" t="str">
        <f t="shared" si="23"/>
        <v/>
      </c>
      <c r="G69" t="str">
        <f t="shared" si="24"/>
        <v/>
      </c>
      <c r="H69">
        <f t="shared" si="25"/>
        <v>0</v>
      </c>
      <c r="I69">
        <f t="shared" si="26"/>
        <v>0</v>
      </c>
      <c r="J69">
        <f t="shared" si="31"/>
        <v>2864</v>
      </c>
      <c r="K69">
        <f t="shared" si="27"/>
        <v>0</v>
      </c>
      <c r="L69">
        <f t="shared" si="28"/>
        <v>47</v>
      </c>
      <c r="M69" s="5">
        <f t="shared" si="29"/>
        <v>44</v>
      </c>
      <c r="N69" s="4">
        <f t="shared" si="32"/>
        <v>0</v>
      </c>
      <c r="O69">
        <f t="shared" si="33"/>
        <v>47</v>
      </c>
      <c r="P69">
        <f t="shared" si="34"/>
        <v>44</v>
      </c>
      <c r="Q69">
        <f t="shared" si="30"/>
        <v>2864</v>
      </c>
    </row>
    <row r="70" spans="1:17" x14ac:dyDescent="0.25">
      <c r="A70" t="s">
        <v>3</v>
      </c>
      <c r="B70" t="b">
        <f t="shared" si="19"/>
        <v>0</v>
      </c>
      <c r="C70" t="b">
        <f t="shared" si="20"/>
        <v>0</v>
      </c>
      <c r="D70">
        <f t="shared" si="21"/>
        <v>3</v>
      </c>
      <c r="E70" t="str">
        <f t="shared" si="22"/>
        <v>3. Expose RESTful APIs with Spring Data REST</v>
      </c>
      <c r="F70" t="str">
        <f t="shared" si="23"/>
        <v/>
      </c>
      <c r="G70" t="str">
        <f t="shared" si="24"/>
        <v/>
      </c>
      <c r="H70">
        <f t="shared" si="25"/>
        <v>0</v>
      </c>
      <c r="I70">
        <f t="shared" si="26"/>
        <v>0</v>
      </c>
      <c r="J70">
        <f t="shared" si="31"/>
        <v>2864</v>
      </c>
      <c r="K70">
        <f t="shared" si="27"/>
        <v>0</v>
      </c>
      <c r="L70">
        <f t="shared" si="28"/>
        <v>47</v>
      </c>
      <c r="M70" s="5">
        <f t="shared" si="29"/>
        <v>44</v>
      </c>
      <c r="N70" s="4">
        <f t="shared" si="32"/>
        <v>0</v>
      </c>
      <c r="O70">
        <f t="shared" si="33"/>
        <v>47</v>
      </c>
      <c r="P70">
        <f t="shared" si="34"/>
        <v>44</v>
      </c>
      <c r="Q70">
        <f t="shared" si="30"/>
        <v>2864</v>
      </c>
    </row>
    <row r="71" spans="1:17" x14ac:dyDescent="0.25">
      <c r="A71" t="s">
        <v>126</v>
      </c>
      <c r="B71" t="b">
        <f t="shared" si="19"/>
        <v>0</v>
      </c>
      <c r="C71" t="b">
        <f t="shared" si="20"/>
        <v>1</v>
      </c>
      <c r="D71">
        <f t="shared" si="21"/>
        <v>4</v>
      </c>
      <c r="E71" t="str">
        <f t="shared" si="22"/>
        <v>3. Expose RESTful APIs with Spring Data REST</v>
      </c>
      <c r="F71" t="str">
        <f t="shared" si="23"/>
        <v>4. Paging and sorting</v>
      </c>
      <c r="G71" t="str">
        <f t="shared" si="24"/>
        <v>4m 38s</v>
      </c>
      <c r="H71">
        <f t="shared" si="25"/>
        <v>4</v>
      </c>
      <c r="I71">
        <f t="shared" si="26"/>
        <v>38</v>
      </c>
      <c r="J71">
        <f t="shared" si="31"/>
        <v>3142</v>
      </c>
      <c r="K71">
        <f t="shared" si="27"/>
        <v>0</v>
      </c>
      <c r="L71">
        <f t="shared" si="28"/>
        <v>52</v>
      </c>
      <c r="M71" s="5">
        <f t="shared" si="29"/>
        <v>22</v>
      </c>
      <c r="N71" s="4">
        <f t="shared" si="32"/>
        <v>0</v>
      </c>
      <c r="O71">
        <f t="shared" si="33"/>
        <v>52</v>
      </c>
      <c r="P71">
        <f t="shared" si="34"/>
        <v>22</v>
      </c>
      <c r="Q71">
        <f t="shared" si="30"/>
        <v>3142</v>
      </c>
    </row>
    <row r="72" spans="1:17" x14ac:dyDescent="0.25">
      <c r="A72" t="s">
        <v>125</v>
      </c>
      <c r="B72" t="b">
        <f t="shared" si="19"/>
        <v>0</v>
      </c>
      <c r="C72" t="b">
        <f t="shared" si="20"/>
        <v>0</v>
      </c>
      <c r="D72">
        <f t="shared" si="21"/>
        <v>4</v>
      </c>
      <c r="E72" t="str">
        <f t="shared" si="22"/>
        <v>3. Expose RESTful APIs with Spring Data REST</v>
      </c>
      <c r="F72" t="str">
        <f t="shared" si="23"/>
        <v/>
      </c>
      <c r="G72" t="str">
        <f t="shared" si="24"/>
        <v/>
      </c>
      <c r="H72">
        <f t="shared" si="25"/>
        <v>0</v>
      </c>
      <c r="I72">
        <f t="shared" si="26"/>
        <v>0</v>
      </c>
      <c r="J72">
        <f t="shared" si="31"/>
        <v>3142</v>
      </c>
      <c r="K72">
        <f t="shared" si="27"/>
        <v>0</v>
      </c>
      <c r="L72">
        <f t="shared" si="28"/>
        <v>52</v>
      </c>
      <c r="M72" s="5">
        <f t="shared" si="29"/>
        <v>22</v>
      </c>
      <c r="N72" s="4">
        <f t="shared" si="32"/>
        <v>0</v>
      </c>
      <c r="O72">
        <f t="shared" si="33"/>
        <v>52</v>
      </c>
      <c r="P72">
        <f t="shared" si="34"/>
        <v>22</v>
      </c>
      <c r="Q72">
        <f t="shared" si="30"/>
        <v>3142</v>
      </c>
    </row>
    <row r="73" spans="1:17" x14ac:dyDescent="0.25">
      <c r="A73" t="s">
        <v>3</v>
      </c>
      <c r="B73" t="b">
        <f t="shared" si="19"/>
        <v>0</v>
      </c>
      <c r="C73" t="b">
        <f t="shared" si="20"/>
        <v>0</v>
      </c>
      <c r="D73">
        <f t="shared" si="21"/>
        <v>4</v>
      </c>
      <c r="E73" t="str">
        <f t="shared" si="22"/>
        <v>3. Expose RESTful APIs with Spring Data REST</v>
      </c>
      <c r="F73" t="str">
        <f t="shared" si="23"/>
        <v/>
      </c>
      <c r="G73" t="str">
        <f t="shared" si="24"/>
        <v/>
      </c>
      <c r="H73">
        <f t="shared" si="25"/>
        <v>0</v>
      </c>
      <c r="I73">
        <f t="shared" si="26"/>
        <v>0</v>
      </c>
      <c r="J73">
        <f t="shared" si="31"/>
        <v>3142</v>
      </c>
      <c r="K73">
        <f t="shared" si="27"/>
        <v>0</v>
      </c>
      <c r="L73">
        <f t="shared" si="28"/>
        <v>52</v>
      </c>
      <c r="M73" s="5">
        <f t="shared" si="29"/>
        <v>22</v>
      </c>
      <c r="N73" s="4">
        <f t="shared" si="32"/>
        <v>0</v>
      </c>
      <c r="O73">
        <f t="shared" si="33"/>
        <v>52</v>
      </c>
      <c r="P73">
        <f t="shared" si="34"/>
        <v>22</v>
      </c>
      <c r="Q73">
        <f t="shared" si="30"/>
        <v>3142</v>
      </c>
    </row>
    <row r="74" spans="1:17" x14ac:dyDescent="0.25">
      <c r="A74" t="s">
        <v>124</v>
      </c>
      <c r="B74" t="b">
        <f t="shared" si="19"/>
        <v>0</v>
      </c>
      <c r="C74" t="b">
        <f t="shared" si="20"/>
        <v>1</v>
      </c>
      <c r="D74">
        <f t="shared" si="21"/>
        <v>5</v>
      </c>
      <c r="E74" t="str">
        <f t="shared" si="22"/>
        <v>3. Expose RESTful APIs with Spring Data REST</v>
      </c>
      <c r="F74" t="str">
        <f t="shared" si="23"/>
        <v>5. Controlling API exposure</v>
      </c>
      <c r="G74" t="str">
        <f t="shared" si="24"/>
        <v>4m 1s</v>
      </c>
      <c r="H74">
        <f t="shared" si="25"/>
        <v>4</v>
      </c>
      <c r="I74">
        <f t="shared" si="26"/>
        <v>1</v>
      </c>
      <c r="J74">
        <f t="shared" si="31"/>
        <v>3383</v>
      </c>
      <c r="K74">
        <f t="shared" si="27"/>
        <v>0</v>
      </c>
      <c r="L74">
        <f t="shared" si="28"/>
        <v>56</v>
      </c>
      <c r="M74" s="5">
        <f t="shared" si="29"/>
        <v>23</v>
      </c>
      <c r="N74" s="4">
        <f t="shared" si="32"/>
        <v>0</v>
      </c>
      <c r="O74">
        <f t="shared" si="33"/>
        <v>56</v>
      </c>
      <c r="P74">
        <f t="shared" si="34"/>
        <v>23</v>
      </c>
      <c r="Q74">
        <f t="shared" si="30"/>
        <v>3383</v>
      </c>
    </row>
    <row r="75" spans="1:17" x14ac:dyDescent="0.25">
      <c r="A75" t="s">
        <v>123</v>
      </c>
      <c r="B75" t="b">
        <f t="shared" si="19"/>
        <v>0</v>
      </c>
      <c r="C75" t="b">
        <f t="shared" si="20"/>
        <v>0</v>
      </c>
      <c r="D75">
        <f t="shared" si="21"/>
        <v>5</v>
      </c>
      <c r="E75" t="str">
        <f t="shared" si="22"/>
        <v>3. Expose RESTful APIs with Spring Data REST</v>
      </c>
      <c r="F75" t="str">
        <f t="shared" si="23"/>
        <v/>
      </c>
      <c r="G75" t="str">
        <f t="shared" si="24"/>
        <v/>
      </c>
      <c r="H75">
        <f t="shared" si="25"/>
        <v>0</v>
      </c>
      <c r="I75">
        <f t="shared" si="26"/>
        <v>0</v>
      </c>
      <c r="J75">
        <f t="shared" si="31"/>
        <v>3383</v>
      </c>
      <c r="K75">
        <f t="shared" si="27"/>
        <v>0</v>
      </c>
      <c r="L75">
        <f t="shared" si="28"/>
        <v>56</v>
      </c>
      <c r="M75" s="5">
        <f t="shared" si="29"/>
        <v>23</v>
      </c>
      <c r="N75" s="4">
        <f t="shared" si="32"/>
        <v>0</v>
      </c>
      <c r="O75">
        <f t="shared" si="33"/>
        <v>56</v>
      </c>
      <c r="P75">
        <f t="shared" si="34"/>
        <v>23</v>
      </c>
      <c r="Q75">
        <f t="shared" si="30"/>
        <v>3383</v>
      </c>
    </row>
    <row r="76" spans="1:17" x14ac:dyDescent="0.25">
      <c r="A76" t="s">
        <v>3</v>
      </c>
      <c r="B76" t="b">
        <f t="shared" si="19"/>
        <v>0</v>
      </c>
      <c r="C76" t="b">
        <f t="shared" si="20"/>
        <v>0</v>
      </c>
      <c r="D76">
        <f t="shared" si="21"/>
        <v>5</v>
      </c>
      <c r="E76" t="str">
        <f t="shared" si="22"/>
        <v>3. Expose RESTful APIs with Spring Data REST</v>
      </c>
      <c r="F76" t="str">
        <f t="shared" si="23"/>
        <v/>
      </c>
      <c r="G76" t="str">
        <f t="shared" si="24"/>
        <v/>
      </c>
      <c r="H76">
        <f t="shared" si="25"/>
        <v>0</v>
      </c>
      <c r="I76">
        <f t="shared" si="26"/>
        <v>0</v>
      </c>
      <c r="J76">
        <f t="shared" si="31"/>
        <v>3383</v>
      </c>
      <c r="K76">
        <f t="shared" si="27"/>
        <v>0</v>
      </c>
      <c r="L76">
        <f t="shared" si="28"/>
        <v>56</v>
      </c>
      <c r="M76" s="5">
        <f t="shared" si="29"/>
        <v>23</v>
      </c>
      <c r="N76" s="4">
        <f t="shared" si="32"/>
        <v>0</v>
      </c>
      <c r="O76">
        <f t="shared" si="33"/>
        <v>56</v>
      </c>
      <c r="P76">
        <f t="shared" si="34"/>
        <v>23</v>
      </c>
      <c r="Q76">
        <f t="shared" si="30"/>
        <v>3383</v>
      </c>
    </row>
    <row r="77" spans="1:17" x14ac:dyDescent="0.25">
      <c r="A77" t="s">
        <v>122</v>
      </c>
      <c r="B77" t="b">
        <f t="shared" si="19"/>
        <v>0</v>
      </c>
      <c r="C77" t="b">
        <f t="shared" si="20"/>
        <v>1</v>
      </c>
      <c r="D77">
        <f t="shared" si="21"/>
        <v>6</v>
      </c>
      <c r="E77" t="str">
        <f t="shared" si="22"/>
        <v>3. Expose RESTful APIs with Spring Data REST</v>
      </c>
      <c r="F77" t="str">
        <f t="shared" si="23"/>
        <v>6. HAL Browser</v>
      </c>
      <c r="G77" t="str">
        <f t="shared" si="24"/>
        <v>3m 46s</v>
      </c>
      <c r="H77">
        <f t="shared" si="25"/>
        <v>3</v>
      </c>
      <c r="I77">
        <f t="shared" si="26"/>
        <v>46</v>
      </c>
      <c r="J77">
        <f t="shared" si="31"/>
        <v>3609</v>
      </c>
      <c r="K77">
        <f t="shared" si="27"/>
        <v>1</v>
      </c>
      <c r="L77">
        <f t="shared" si="28"/>
        <v>0</v>
      </c>
      <c r="M77" s="5">
        <f t="shared" si="29"/>
        <v>9</v>
      </c>
      <c r="N77" s="4">
        <f t="shared" si="32"/>
        <v>1</v>
      </c>
      <c r="O77">
        <f t="shared" si="33"/>
        <v>0</v>
      </c>
      <c r="P77">
        <f t="shared" si="34"/>
        <v>9</v>
      </c>
      <c r="Q77">
        <f t="shared" si="30"/>
        <v>3609</v>
      </c>
    </row>
    <row r="78" spans="1:17" x14ac:dyDescent="0.25">
      <c r="A78" t="s">
        <v>121</v>
      </c>
      <c r="B78" t="b">
        <f t="shared" ref="B78:B109" si="35">AND(NOT(ISERROR(FIND(". ",A78))),ISNUMBER(VALUE(LEFT(A78,FIND(". ",A78)-1))))</f>
        <v>0</v>
      </c>
      <c r="C78" t="b">
        <f t="shared" ref="C78:C109" si="36">OR(AND(NOT(ISERROR(FIND("m",A79))),ISNUMBER(VALUE(LEFT(A79,FIND("m",A79)-1)))),AND(NOT(ISERROR(FIND("s",A79))),ISNUMBER(VALUE(LEFT(A79,FIND("s",A79)-1)))))</f>
        <v>0</v>
      </c>
      <c r="D78">
        <f t="shared" ref="D78:D109" si="37">IF(B78,0,IF(C78,D77+1,D77))</f>
        <v>6</v>
      </c>
      <c r="E78" t="str">
        <f t="shared" ref="E78:E109" si="38">IF(B78,A78,E77)</f>
        <v>3. Expose RESTful APIs with Spring Data REST</v>
      </c>
      <c r="F78" t="str">
        <f t="shared" ref="F78:F109" si="39">IF(C78,D78&amp;". "&amp;A78,"")</f>
        <v/>
      </c>
      <c r="G78" t="str">
        <f t="shared" ref="G78:G109" si="40">IF(C78,IF(ISERROR(FIND("s",A79)),LEFT(A79,FIND("m",A79)),LEFT(A79,FIND("s",A79))),"")</f>
        <v/>
      </c>
      <c r="H78">
        <f t="shared" ref="H78:H109" si="41">IF(OR(G78="",ISERROR(FIND("m",G78))),0,VALUE(LEFT(G78,FIND("m",G78)-1)))</f>
        <v>0</v>
      </c>
      <c r="I78">
        <f t="shared" ref="I78:I109" si="42">IF(OR(G78="",ISERROR(FIND("s",G78))),0,VALUE(SUBSTITUTE(MID(G78,IF(ISERROR(FIND("m",G78)), 0,FIND("m",G78))+1,LEN(G78)),"s","")))</f>
        <v>0</v>
      </c>
      <c r="J78">
        <f t="shared" si="31"/>
        <v>3609</v>
      </c>
      <c r="K78">
        <f t="shared" ref="K78:K109" si="43">INT(J78/60/60)</f>
        <v>1</v>
      </c>
      <c r="L78">
        <f t="shared" ref="L78:L109" si="44">INT((J78-(K78*60*60))/60)</f>
        <v>0</v>
      </c>
      <c r="M78" s="5">
        <f t="shared" ref="M78:M109" si="45">J78-(((K78*60)+L78)*60)</f>
        <v>9</v>
      </c>
      <c r="N78" s="4">
        <f t="shared" si="32"/>
        <v>1</v>
      </c>
      <c r="O78">
        <f t="shared" si="33"/>
        <v>0</v>
      </c>
      <c r="P78">
        <f t="shared" si="34"/>
        <v>9</v>
      </c>
      <c r="Q78">
        <f t="shared" ref="Q78:Q109" si="46">((N78*60)+O78)*60+P78</f>
        <v>3609</v>
      </c>
    </row>
    <row r="79" spans="1:17" x14ac:dyDescent="0.25">
      <c r="A79" t="s">
        <v>3</v>
      </c>
      <c r="B79" t="b">
        <f t="shared" si="35"/>
        <v>0</v>
      </c>
      <c r="C79" t="b">
        <f t="shared" si="36"/>
        <v>0</v>
      </c>
      <c r="D79">
        <f t="shared" si="37"/>
        <v>6</v>
      </c>
      <c r="E79" t="str">
        <f t="shared" si="38"/>
        <v>3. Expose RESTful APIs with Spring Data REST</v>
      </c>
      <c r="F79" t="str">
        <f t="shared" si="39"/>
        <v/>
      </c>
      <c r="G79" t="str">
        <f t="shared" si="40"/>
        <v/>
      </c>
      <c r="H79">
        <f t="shared" si="41"/>
        <v>0</v>
      </c>
      <c r="I79">
        <f t="shared" si="42"/>
        <v>0</v>
      </c>
      <c r="J79">
        <f t="shared" si="31"/>
        <v>3609</v>
      </c>
      <c r="K79">
        <f t="shared" si="43"/>
        <v>1</v>
      </c>
      <c r="L79">
        <f t="shared" si="44"/>
        <v>0</v>
      </c>
      <c r="M79" s="5">
        <f t="shared" si="45"/>
        <v>9</v>
      </c>
      <c r="N79" s="4">
        <f t="shared" si="32"/>
        <v>1</v>
      </c>
      <c r="O79">
        <f t="shared" si="33"/>
        <v>0</v>
      </c>
      <c r="P79">
        <f t="shared" si="34"/>
        <v>9</v>
      </c>
      <c r="Q79">
        <f t="shared" si="46"/>
        <v>3609</v>
      </c>
    </row>
    <row r="80" spans="1:17" x14ac:dyDescent="0.25">
      <c r="A80" t="s">
        <v>12</v>
      </c>
      <c r="B80" t="b">
        <f t="shared" si="35"/>
        <v>0</v>
      </c>
      <c r="C80" t="b">
        <f t="shared" si="36"/>
        <v>0</v>
      </c>
      <c r="D80">
        <f t="shared" si="37"/>
        <v>6</v>
      </c>
      <c r="E80" t="str">
        <f t="shared" si="38"/>
        <v>3. Expose RESTful APIs with Spring Data REST</v>
      </c>
      <c r="F80" t="str">
        <f t="shared" si="39"/>
        <v/>
      </c>
      <c r="G80" t="str">
        <f t="shared" si="40"/>
        <v/>
      </c>
      <c r="H80">
        <f t="shared" si="41"/>
        <v>0</v>
      </c>
      <c r="I80">
        <f t="shared" si="42"/>
        <v>0</v>
      </c>
      <c r="J80">
        <f t="shared" si="31"/>
        <v>3609</v>
      </c>
      <c r="K80">
        <f t="shared" si="43"/>
        <v>1</v>
      </c>
      <c r="L80">
        <f t="shared" si="44"/>
        <v>0</v>
      </c>
      <c r="M80" s="5">
        <f t="shared" si="45"/>
        <v>9</v>
      </c>
      <c r="N80" s="4">
        <f t="shared" si="32"/>
        <v>1</v>
      </c>
      <c r="O80">
        <f t="shared" si="33"/>
        <v>0</v>
      </c>
      <c r="P80">
        <f t="shared" si="34"/>
        <v>9</v>
      </c>
      <c r="Q80">
        <f t="shared" si="46"/>
        <v>3609</v>
      </c>
    </row>
    <row r="81" spans="1:17" x14ac:dyDescent="0.25">
      <c r="A81" t="s">
        <v>120</v>
      </c>
      <c r="B81" t="b">
        <f t="shared" si="35"/>
        <v>0</v>
      </c>
      <c r="C81" t="b">
        <f t="shared" si="36"/>
        <v>0</v>
      </c>
      <c r="D81">
        <f t="shared" si="37"/>
        <v>6</v>
      </c>
      <c r="E81" t="str">
        <f t="shared" si="38"/>
        <v>3. Expose RESTful APIs with Spring Data REST</v>
      </c>
      <c r="F81" t="str">
        <f t="shared" si="39"/>
        <v/>
      </c>
      <c r="G81" t="str">
        <f t="shared" si="40"/>
        <v/>
      </c>
      <c r="H81">
        <f t="shared" si="41"/>
        <v>0</v>
      </c>
      <c r="I81">
        <f t="shared" si="42"/>
        <v>0</v>
      </c>
      <c r="J81">
        <f t="shared" si="31"/>
        <v>3609</v>
      </c>
      <c r="K81">
        <f t="shared" si="43"/>
        <v>1</v>
      </c>
      <c r="L81">
        <f t="shared" si="44"/>
        <v>0</v>
      </c>
      <c r="M81" s="5">
        <f t="shared" si="45"/>
        <v>9</v>
      </c>
      <c r="N81" s="4">
        <f t="shared" si="32"/>
        <v>1</v>
      </c>
      <c r="O81">
        <f t="shared" si="33"/>
        <v>0</v>
      </c>
      <c r="P81">
        <f t="shared" si="34"/>
        <v>9</v>
      </c>
      <c r="Q81">
        <f t="shared" si="46"/>
        <v>3609</v>
      </c>
    </row>
    <row r="82" spans="1:17" x14ac:dyDescent="0.25">
      <c r="B82" t="b">
        <f t="shared" si="35"/>
        <v>0</v>
      </c>
      <c r="C82" t="b">
        <f t="shared" si="36"/>
        <v>0</v>
      </c>
      <c r="D82">
        <f t="shared" si="37"/>
        <v>6</v>
      </c>
      <c r="E82" t="str">
        <f t="shared" si="38"/>
        <v>3. Expose RESTful APIs with Spring Data REST</v>
      </c>
      <c r="F82" t="str">
        <f t="shared" si="39"/>
        <v/>
      </c>
      <c r="G82" t="str">
        <f t="shared" si="40"/>
        <v/>
      </c>
      <c r="H82">
        <f t="shared" si="41"/>
        <v>0</v>
      </c>
      <c r="I82">
        <f t="shared" si="42"/>
        <v>0</v>
      </c>
      <c r="J82">
        <f t="shared" si="31"/>
        <v>3609</v>
      </c>
      <c r="K82">
        <f t="shared" si="43"/>
        <v>1</v>
      </c>
      <c r="L82">
        <f t="shared" si="44"/>
        <v>0</v>
      </c>
      <c r="M82" s="5">
        <f t="shared" si="45"/>
        <v>9</v>
      </c>
      <c r="N82" s="4">
        <f t="shared" si="32"/>
        <v>1</v>
      </c>
      <c r="O82">
        <f t="shared" si="33"/>
        <v>0</v>
      </c>
      <c r="P82">
        <f t="shared" si="34"/>
        <v>9</v>
      </c>
      <c r="Q82">
        <f t="shared" si="46"/>
        <v>3609</v>
      </c>
    </row>
    <row r="83" spans="1:17" x14ac:dyDescent="0.25">
      <c r="A83" t="s">
        <v>119</v>
      </c>
      <c r="B83" t="b">
        <f t="shared" si="35"/>
        <v>1</v>
      </c>
      <c r="C83" t="b">
        <f t="shared" si="36"/>
        <v>0</v>
      </c>
      <c r="D83">
        <f t="shared" si="37"/>
        <v>0</v>
      </c>
      <c r="E83" t="str">
        <f t="shared" si="38"/>
        <v>4. Expose RESTful APIs with Spring MVC</v>
      </c>
      <c r="F83" t="str">
        <f t="shared" si="39"/>
        <v/>
      </c>
      <c r="G83" t="str">
        <f t="shared" si="40"/>
        <v/>
      </c>
      <c r="H83">
        <f t="shared" si="41"/>
        <v>0</v>
      </c>
      <c r="I83">
        <f t="shared" si="42"/>
        <v>0</v>
      </c>
      <c r="J83">
        <f t="shared" si="31"/>
        <v>3609</v>
      </c>
      <c r="K83">
        <f t="shared" si="43"/>
        <v>1</v>
      </c>
      <c r="L83">
        <f t="shared" si="44"/>
        <v>0</v>
      </c>
      <c r="M83" s="5">
        <f t="shared" si="45"/>
        <v>9</v>
      </c>
      <c r="N83" s="4">
        <f t="shared" si="32"/>
        <v>1</v>
      </c>
      <c r="O83">
        <f t="shared" si="33"/>
        <v>0</v>
      </c>
      <c r="P83">
        <f t="shared" si="34"/>
        <v>9</v>
      </c>
      <c r="Q83">
        <f t="shared" si="46"/>
        <v>3609</v>
      </c>
    </row>
    <row r="84" spans="1:17" x14ac:dyDescent="0.25">
      <c r="B84" t="b">
        <f t="shared" si="35"/>
        <v>0</v>
      </c>
      <c r="C84" t="b">
        <f t="shared" si="36"/>
        <v>0</v>
      </c>
      <c r="D84">
        <f t="shared" si="37"/>
        <v>0</v>
      </c>
      <c r="E84" t="str">
        <f t="shared" si="38"/>
        <v>4. Expose RESTful APIs with Spring MVC</v>
      </c>
      <c r="F84" t="str">
        <f t="shared" si="39"/>
        <v/>
      </c>
      <c r="G84" t="str">
        <f t="shared" si="40"/>
        <v/>
      </c>
      <c r="H84">
        <f t="shared" si="41"/>
        <v>0</v>
      </c>
      <c r="I84">
        <f t="shared" si="42"/>
        <v>0</v>
      </c>
      <c r="J84">
        <v>3649</v>
      </c>
      <c r="K84">
        <f t="shared" si="43"/>
        <v>1</v>
      </c>
      <c r="L84">
        <f t="shared" si="44"/>
        <v>0</v>
      </c>
      <c r="M84" s="5">
        <f t="shared" si="45"/>
        <v>49</v>
      </c>
      <c r="N84" s="4">
        <f t="shared" si="32"/>
        <v>1</v>
      </c>
      <c r="O84">
        <f t="shared" si="33"/>
        <v>0</v>
      </c>
      <c r="P84">
        <v>49</v>
      </c>
      <c r="Q84">
        <f t="shared" si="46"/>
        <v>3649</v>
      </c>
    </row>
    <row r="85" spans="1:17" x14ac:dyDescent="0.25">
      <c r="A85" t="s">
        <v>118</v>
      </c>
      <c r="B85" t="b">
        <f t="shared" si="35"/>
        <v>0</v>
      </c>
      <c r="C85" t="b">
        <f t="shared" si="36"/>
        <v>1</v>
      </c>
      <c r="D85">
        <f t="shared" si="37"/>
        <v>1</v>
      </c>
      <c r="E85" t="str">
        <f t="shared" si="38"/>
        <v>4. Expose RESTful APIs with Spring MVC</v>
      </c>
      <c r="F85" t="str">
        <f t="shared" si="39"/>
        <v>1. Choosing the right framework</v>
      </c>
      <c r="G85" t="str">
        <f t="shared" si="40"/>
        <v>3m 26s</v>
      </c>
      <c r="H85">
        <f t="shared" si="41"/>
        <v>3</v>
      </c>
      <c r="I85">
        <f t="shared" si="42"/>
        <v>26</v>
      </c>
      <c r="J85">
        <f t="shared" ref="J85:J106" si="47">J84+(H85*60+I85)</f>
        <v>3855</v>
      </c>
      <c r="K85">
        <f t="shared" si="43"/>
        <v>1</v>
      </c>
      <c r="L85">
        <f t="shared" si="44"/>
        <v>4</v>
      </c>
      <c r="M85" s="5">
        <f t="shared" si="45"/>
        <v>15</v>
      </c>
      <c r="N85" s="4">
        <f t="shared" si="32"/>
        <v>1</v>
      </c>
      <c r="O85">
        <f t="shared" si="33"/>
        <v>4</v>
      </c>
      <c r="P85">
        <f t="shared" ref="P85:P106" si="48">M85</f>
        <v>15</v>
      </c>
      <c r="Q85">
        <f t="shared" si="46"/>
        <v>3855</v>
      </c>
    </row>
    <row r="86" spans="1:17" x14ac:dyDescent="0.25">
      <c r="A86" t="s">
        <v>117</v>
      </c>
      <c r="B86" t="b">
        <f t="shared" si="35"/>
        <v>0</v>
      </c>
      <c r="C86" t="b">
        <f t="shared" si="36"/>
        <v>0</v>
      </c>
      <c r="D86">
        <f t="shared" si="37"/>
        <v>1</v>
      </c>
      <c r="E86" t="str">
        <f t="shared" si="38"/>
        <v>4. Expose RESTful APIs with Spring MVC</v>
      </c>
      <c r="F86" t="str">
        <f t="shared" si="39"/>
        <v/>
      </c>
      <c r="G86" t="str">
        <f t="shared" si="40"/>
        <v/>
      </c>
      <c r="H86">
        <f t="shared" si="41"/>
        <v>0</v>
      </c>
      <c r="I86">
        <f t="shared" si="42"/>
        <v>0</v>
      </c>
      <c r="J86">
        <f t="shared" si="47"/>
        <v>3855</v>
      </c>
      <c r="K86">
        <f t="shared" si="43"/>
        <v>1</v>
      </c>
      <c r="L86">
        <f t="shared" si="44"/>
        <v>4</v>
      </c>
      <c r="M86" s="5">
        <f t="shared" si="45"/>
        <v>15</v>
      </c>
      <c r="N86" s="4">
        <f t="shared" si="32"/>
        <v>1</v>
      </c>
      <c r="O86">
        <f t="shared" si="33"/>
        <v>4</v>
      </c>
      <c r="P86">
        <f t="shared" si="48"/>
        <v>15</v>
      </c>
      <c r="Q86">
        <f t="shared" si="46"/>
        <v>3855</v>
      </c>
    </row>
    <row r="87" spans="1:17" x14ac:dyDescent="0.25">
      <c r="A87" t="s">
        <v>3</v>
      </c>
      <c r="B87" t="b">
        <f t="shared" si="35"/>
        <v>0</v>
      </c>
      <c r="C87" t="b">
        <f t="shared" si="36"/>
        <v>0</v>
      </c>
      <c r="D87">
        <f t="shared" si="37"/>
        <v>1</v>
      </c>
      <c r="E87" t="str">
        <f t="shared" si="38"/>
        <v>4. Expose RESTful APIs with Spring MVC</v>
      </c>
      <c r="F87" t="str">
        <f t="shared" si="39"/>
        <v/>
      </c>
      <c r="G87" t="str">
        <f t="shared" si="40"/>
        <v/>
      </c>
      <c r="H87">
        <f t="shared" si="41"/>
        <v>0</v>
      </c>
      <c r="I87">
        <f t="shared" si="42"/>
        <v>0</v>
      </c>
      <c r="J87">
        <f t="shared" si="47"/>
        <v>3855</v>
      </c>
      <c r="K87">
        <f t="shared" si="43"/>
        <v>1</v>
      </c>
      <c r="L87">
        <f t="shared" si="44"/>
        <v>4</v>
      </c>
      <c r="M87" s="5">
        <f t="shared" si="45"/>
        <v>15</v>
      </c>
      <c r="N87" s="4">
        <f t="shared" si="32"/>
        <v>1</v>
      </c>
      <c r="O87">
        <f t="shared" si="33"/>
        <v>4</v>
      </c>
      <c r="P87">
        <f t="shared" si="48"/>
        <v>15</v>
      </c>
      <c r="Q87">
        <f t="shared" si="46"/>
        <v>3855</v>
      </c>
    </row>
    <row r="88" spans="1:17" x14ac:dyDescent="0.25">
      <c r="A88" t="s">
        <v>116</v>
      </c>
      <c r="B88" t="b">
        <f t="shared" si="35"/>
        <v>0</v>
      </c>
      <c r="C88" t="b">
        <f t="shared" si="36"/>
        <v>1</v>
      </c>
      <c r="D88">
        <f t="shared" si="37"/>
        <v>2</v>
      </c>
      <c r="E88" t="str">
        <f t="shared" si="38"/>
        <v>4. Expose RESTful APIs with Spring MVC</v>
      </c>
      <c r="F88" t="str">
        <f t="shared" si="39"/>
        <v>2. Declaring a new RestController</v>
      </c>
      <c r="G88" t="str">
        <f t="shared" si="40"/>
        <v>3m 6s</v>
      </c>
      <c r="H88">
        <f t="shared" si="41"/>
        <v>3</v>
      </c>
      <c r="I88">
        <f t="shared" si="42"/>
        <v>6</v>
      </c>
      <c r="J88">
        <f t="shared" si="47"/>
        <v>4041</v>
      </c>
      <c r="K88">
        <f t="shared" si="43"/>
        <v>1</v>
      </c>
      <c r="L88">
        <f t="shared" si="44"/>
        <v>7</v>
      </c>
      <c r="M88" s="5">
        <f t="shared" si="45"/>
        <v>21</v>
      </c>
      <c r="N88" s="4">
        <f t="shared" si="32"/>
        <v>1</v>
      </c>
      <c r="O88">
        <f t="shared" si="33"/>
        <v>7</v>
      </c>
      <c r="P88">
        <f t="shared" si="48"/>
        <v>21</v>
      </c>
      <c r="Q88">
        <f t="shared" si="46"/>
        <v>4041</v>
      </c>
    </row>
    <row r="89" spans="1:17" x14ac:dyDescent="0.25">
      <c r="A89" t="s">
        <v>115</v>
      </c>
      <c r="B89" t="b">
        <f t="shared" si="35"/>
        <v>0</v>
      </c>
      <c r="C89" t="b">
        <f t="shared" si="36"/>
        <v>0</v>
      </c>
      <c r="D89">
        <f t="shared" si="37"/>
        <v>2</v>
      </c>
      <c r="E89" t="str">
        <f t="shared" si="38"/>
        <v>4. Expose RESTful APIs with Spring MVC</v>
      </c>
      <c r="F89" t="str">
        <f t="shared" si="39"/>
        <v/>
      </c>
      <c r="G89" t="str">
        <f t="shared" si="40"/>
        <v/>
      </c>
      <c r="H89">
        <f t="shared" si="41"/>
        <v>0</v>
      </c>
      <c r="I89">
        <f t="shared" si="42"/>
        <v>0</v>
      </c>
      <c r="J89">
        <f t="shared" si="47"/>
        <v>4041</v>
      </c>
      <c r="K89">
        <f t="shared" si="43"/>
        <v>1</v>
      </c>
      <c r="L89">
        <f t="shared" si="44"/>
        <v>7</v>
      </c>
      <c r="M89" s="5">
        <f t="shared" si="45"/>
        <v>21</v>
      </c>
      <c r="N89" s="4">
        <f t="shared" si="32"/>
        <v>1</v>
      </c>
      <c r="O89">
        <f t="shared" si="33"/>
        <v>7</v>
      </c>
      <c r="P89">
        <f t="shared" si="48"/>
        <v>21</v>
      </c>
      <c r="Q89">
        <f t="shared" si="46"/>
        <v>4041</v>
      </c>
    </row>
    <row r="90" spans="1:17" x14ac:dyDescent="0.25">
      <c r="A90" t="s">
        <v>3</v>
      </c>
      <c r="B90" t="b">
        <f t="shared" si="35"/>
        <v>0</v>
      </c>
      <c r="C90" t="b">
        <f t="shared" si="36"/>
        <v>0</v>
      </c>
      <c r="D90">
        <f t="shared" si="37"/>
        <v>2</v>
      </c>
      <c r="E90" t="str">
        <f t="shared" si="38"/>
        <v>4. Expose RESTful APIs with Spring MVC</v>
      </c>
      <c r="F90" t="str">
        <f t="shared" si="39"/>
        <v/>
      </c>
      <c r="G90" t="str">
        <f t="shared" si="40"/>
        <v/>
      </c>
      <c r="H90">
        <f t="shared" si="41"/>
        <v>0</v>
      </c>
      <c r="I90">
        <f t="shared" si="42"/>
        <v>0</v>
      </c>
      <c r="J90">
        <f t="shared" si="47"/>
        <v>4041</v>
      </c>
      <c r="K90">
        <f t="shared" si="43"/>
        <v>1</v>
      </c>
      <c r="L90">
        <f t="shared" si="44"/>
        <v>7</v>
      </c>
      <c r="M90" s="5">
        <f t="shared" si="45"/>
        <v>21</v>
      </c>
      <c r="N90" s="4">
        <f t="shared" si="32"/>
        <v>1</v>
      </c>
      <c r="O90">
        <f t="shared" si="33"/>
        <v>7</v>
      </c>
      <c r="P90">
        <f t="shared" si="48"/>
        <v>21</v>
      </c>
      <c r="Q90">
        <f t="shared" si="46"/>
        <v>4041</v>
      </c>
    </row>
    <row r="91" spans="1:17" x14ac:dyDescent="0.25">
      <c r="A91" t="s">
        <v>114</v>
      </c>
      <c r="B91" t="b">
        <f t="shared" si="35"/>
        <v>0</v>
      </c>
      <c r="C91" t="b">
        <f t="shared" si="36"/>
        <v>1</v>
      </c>
      <c r="D91">
        <f t="shared" si="37"/>
        <v>3</v>
      </c>
      <c r="E91" t="str">
        <f t="shared" si="38"/>
        <v>4. Expose RESTful APIs with Spring MVC</v>
      </c>
      <c r="F91" t="str">
        <f t="shared" si="39"/>
        <v>3. Create RestController HTTP POST method</v>
      </c>
      <c r="G91" t="str">
        <f t="shared" si="40"/>
        <v>8m 2s</v>
      </c>
      <c r="H91">
        <f t="shared" si="41"/>
        <v>8</v>
      </c>
      <c r="I91">
        <f t="shared" si="42"/>
        <v>2</v>
      </c>
      <c r="J91">
        <f t="shared" si="47"/>
        <v>4523</v>
      </c>
      <c r="K91">
        <f t="shared" si="43"/>
        <v>1</v>
      </c>
      <c r="L91">
        <f t="shared" si="44"/>
        <v>15</v>
      </c>
      <c r="M91" s="5">
        <f t="shared" si="45"/>
        <v>23</v>
      </c>
      <c r="N91" s="4">
        <f t="shared" si="32"/>
        <v>1</v>
      </c>
      <c r="O91">
        <f t="shared" si="33"/>
        <v>15</v>
      </c>
      <c r="P91">
        <f t="shared" si="48"/>
        <v>23</v>
      </c>
      <c r="Q91">
        <f t="shared" si="46"/>
        <v>4523</v>
      </c>
    </row>
    <row r="92" spans="1:17" x14ac:dyDescent="0.25">
      <c r="A92" t="s">
        <v>113</v>
      </c>
      <c r="B92" t="b">
        <f t="shared" si="35"/>
        <v>0</v>
      </c>
      <c r="C92" t="b">
        <f t="shared" si="36"/>
        <v>0</v>
      </c>
      <c r="D92">
        <f t="shared" si="37"/>
        <v>3</v>
      </c>
      <c r="E92" t="str">
        <f t="shared" si="38"/>
        <v>4. Expose RESTful APIs with Spring MVC</v>
      </c>
      <c r="F92" t="str">
        <f t="shared" si="39"/>
        <v/>
      </c>
      <c r="G92" t="str">
        <f t="shared" si="40"/>
        <v/>
      </c>
      <c r="H92">
        <f t="shared" si="41"/>
        <v>0</v>
      </c>
      <c r="I92">
        <f t="shared" si="42"/>
        <v>0</v>
      </c>
      <c r="J92">
        <f t="shared" si="47"/>
        <v>4523</v>
      </c>
      <c r="K92">
        <f t="shared" si="43"/>
        <v>1</v>
      </c>
      <c r="L92">
        <f t="shared" si="44"/>
        <v>15</v>
      </c>
      <c r="M92" s="5">
        <f t="shared" si="45"/>
        <v>23</v>
      </c>
      <c r="N92" s="4">
        <f t="shared" si="32"/>
        <v>1</v>
      </c>
      <c r="O92">
        <f t="shared" si="33"/>
        <v>15</v>
      </c>
      <c r="P92">
        <f t="shared" si="48"/>
        <v>23</v>
      </c>
      <c r="Q92">
        <f t="shared" si="46"/>
        <v>4523</v>
      </c>
    </row>
    <row r="93" spans="1:17" x14ac:dyDescent="0.25">
      <c r="A93" t="s">
        <v>3</v>
      </c>
      <c r="B93" t="b">
        <f t="shared" si="35"/>
        <v>0</v>
      </c>
      <c r="C93" t="b">
        <f t="shared" si="36"/>
        <v>0</v>
      </c>
      <c r="D93">
        <f t="shared" si="37"/>
        <v>3</v>
      </c>
      <c r="E93" t="str">
        <f t="shared" si="38"/>
        <v>4. Expose RESTful APIs with Spring MVC</v>
      </c>
      <c r="F93" t="str">
        <f t="shared" si="39"/>
        <v/>
      </c>
      <c r="G93" t="str">
        <f t="shared" si="40"/>
        <v/>
      </c>
      <c r="H93">
        <f t="shared" si="41"/>
        <v>0</v>
      </c>
      <c r="I93">
        <f t="shared" si="42"/>
        <v>0</v>
      </c>
      <c r="J93">
        <f t="shared" si="47"/>
        <v>4523</v>
      </c>
      <c r="K93">
        <f t="shared" si="43"/>
        <v>1</v>
      </c>
      <c r="L93">
        <f t="shared" si="44"/>
        <v>15</v>
      </c>
      <c r="M93" s="5">
        <f t="shared" si="45"/>
        <v>23</v>
      </c>
      <c r="N93" s="4">
        <f t="shared" si="32"/>
        <v>1</v>
      </c>
      <c r="O93">
        <f t="shared" si="33"/>
        <v>15</v>
      </c>
      <c r="P93">
        <f t="shared" si="48"/>
        <v>23</v>
      </c>
      <c r="Q93">
        <f t="shared" si="46"/>
        <v>4523</v>
      </c>
    </row>
    <row r="94" spans="1:17" x14ac:dyDescent="0.25">
      <c r="A94" t="s">
        <v>112</v>
      </c>
      <c r="B94" t="b">
        <f t="shared" si="35"/>
        <v>0</v>
      </c>
      <c r="C94" t="b">
        <f t="shared" si="36"/>
        <v>1</v>
      </c>
      <c r="D94">
        <f t="shared" si="37"/>
        <v>4</v>
      </c>
      <c r="E94" t="str">
        <f t="shared" si="38"/>
        <v>4. Expose RESTful APIs with Spring MVC</v>
      </c>
      <c r="F94" t="str">
        <f t="shared" si="39"/>
        <v>4. Create RestController HTTP GET methods</v>
      </c>
      <c r="G94" t="str">
        <f t="shared" si="40"/>
        <v>4m 48s</v>
      </c>
      <c r="H94">
        <f t="shared" si="41"/>
        <v>4</v>
      </c>
      <c r="I94">
        <f t="shared" si="42"/>
        <v>48</v>
      </c>
      <c r="J94">
        <f t="shared" si="47"/>
        <v>4811</v>
      </c>
      <c r="K94">
        <f t="shared" si="43"/>
        <v>1</v>
      </c>
      <c r="L94">
        <f t="shared" si="44"/>
        <v>20</v>
      </c>
      <c r="M94" s="5">
        <f t="shared" si="45"/>
        <v>11</v>
      </c>
      <c r="N94" s="4">
        <f t="shared" ref="N94:N125" si="49">K94</f>
        <v>1</v>
      </c>
      <c r="O94">
        <f t="shared" ref="O94:O125" si="50">L94</f>
        <v>20</v>
      </c>
      <c r="P94">
        <f t="shared" si="48"/>
        <v>11</v>
      </c>
      <c r="Q94">
        <f t="shared" si="46"/>
        <v>4811</v>
      </c>
    </row>
    <row r="95" spans="1:17" x14ac:dyDescent="0.25">
      <c r="A95" t="s">
        <v>111</v>
      </c>
      <c r="B95" t="b">
        <f t="shared" si="35"/>
        <v>0</v>
      </c>
      <c r="C95" t="b">
        <f t="shared" si="36"/>
        <v>0</v>
      </c>
      <c r="D95">
        <f t="shared" si="37"/>
        <v>4</v>
      </c>
      <c r="E95" t="str">
        <f t="shared" si="38"/>
        <v>4. Expose RESTful APIs with Spring MVC</v>
      </c>
      <c r="F95" t="str">
        <f t="shared" si="39"/>
        <v/>
      </c>
      <c r="G95" t="str">
        <f t="shared" si="40"/>
        <v/>
      </c>
      <c r="H95">
        <f t="shared" si="41"/>
        <v>0</v>
      </c>
      <c r="I95">
        <f t="shared" si="42"/>
        <v>0</v>
      </c>
      <c r="J95">
        <f t="shared" si="47"/>
        <v>4811</v>
      </c>
      <c r="K95">
        <f t="shared" si="43"/>
        <v>1</v>
      </c>
      <c r="L95">
        <f t="shared" si="44"/>
        <v>20</v>
      </c>
      <c r="M95" s="5">
        <f t="shared" si="45"/>
        <v>11</v>
      </c>
      <c r="N95" s="4">
        <f t="shared" si="49"/>
        <v>1</v>
      </c>
      <c r="O95">
        <f t="shared" si="50"/>
        <v>20</v>
      </c>
      <c r="P95">
        <f t="shared" si="48"/>
        <v>11</v>
      </c>
      <c r="Q95">
        <f t="shared" si="46"/>
        <v>4811</v>
      </c>
    </row>
    <row r="96" spans="1:17" x14ac:dyDescent="0.25">
      <c r="A96" t="s">
        <v>3</v>
      </c>
      <c r="B96" t="b">
        <f t="shared" si="35"/>
        <v>0</v>
      </c>
      <c r="C96" t="b">
        <f t="shared" si="36"/>
        <v>0</v>
      </c>
      <c r="D96">
        <f t="shared" si="37"/>
        <v>4</v>
      </c>
      <c r="E96" t="str">
        <f t="shared" si="38"/>
        <v>4. Expose RESTful APIs with Spring MVC</v>
      </c>
      <c r="F96" t="str">
        <f t="shared" si="39"/>
        <v/>
      </c>
      <c r="G96" t="str">
        <f t="shared" si="40"/>
        <v/>
      </c>
      <c r="H96">
        <f t="shared" si="41"/>
        <v>0</v>
      </c>
      <c r="I96">
        <f t="shared" si="42"/>
        <v>0</v>
      </c>
      <c r="J96">
        <f t="shared" si="47"/>
        <v>4811</v>
      </c>
      <c r="K96">
        <f t="shared" si="43"/>
        <v>1</v>
      </c>
      <c r="L96">
        <f t="shared" si="44"/>
        <v>20</v>
      </c>
      <c r="M96" s="5">
        <f t="shared" si="45"/>
        <v>11</v>
      </c>
      <c r="N96" s="4">
        <f t="shared" si="49"/>
        <v>1</v>
      </c>
      <c r="O96">
        <f t="shared" si="50"/>
        <v>20</v>
      </c>
      <c r="P96">
        <f t="shared" si="48"/>
        <v>11</v>
      </c>
      <c r="Q96">
        <f t="shared" si="46"/>
        <v>4811</v>
      </c>
    </row>
    <row r="97" spans="1:17" x14ac:dyDescent="0.25">
      <c r="A97" t="s">
        <v>110</v>
      </c>
      <c r="B97" t="b">
        <f t="shared" si="35"/>
        <v>0</v>
      </c>
      <c r="C97" t="b">
        <f t="shared" si="36"/>
        <v>1</v>
      </c>
      <c r="D97">
        <f t="shared" si="37"/>
        <v>5</v>
      </c>
      <c r="E97" t="str">
        <f t="shared" si="38"/>
        <v>4. Expose RESTful APIs with Spring MVC</v>
      </c>
      <c r="F97" t="str">
        <f t="shared" si="39"/>
        <v>5. Create RestController HTTP PUT, PATCH, and DELETE methods</v>
      </c>
      <c r="G97" t="str">
        <f t="shared" si="40"/>
        <v>6m 54s</v>
      </c>
      <c r="H97">
        <f t="shared" si="41"/>
        <v>6</v>
      </c>
      <c r="I97">
        <f t="shared" si="42"/>
        <v>54</v>
      </c>
      <c r="J97">
        <f t="shared" si="47"/>
        <v>5225</v>
      </c>
      <c r="K97">
        <f t="shared" si="43"/>
        <v>1</v>
      </c>
      <c r="L97">
        <f t="shared" si="44"/>
        <v>27</v>
      </c>
      <c r="M97" s="5">
        <f t="shared" si="45"/>
        <v>5</v>
      </c>
      <c r="N97" s="4">
        <f t="shared" si="49"/>
        <v>1</v>
      </c>
      <c r="O97">
        <f t="shared" si="50"/>
        <v>27</v>
      </c>
      <c r="P97">
        <f t="shared" si="48"/>
        <v>5</v>
      </c>
      <c r="Q97">
        <f t="shared" si="46"/>
        <v>5225</v>
      </c>
    </row>
    <row r="98" spans="1:17" x14ac:dyDescent="0.25">
      <c r="A98" t="s">
        <v>109</v>
      </c>
      <c r="B98" t="b">
        <f t="shared" si="35"/>
        <v>0</v>
      </c>
      <c r="C98" t="b">
        <f t="shared" si="36"/>
        <v>0</v>
      </c>
      <c r="D98">
        <f t="shared" si="37"/>
        <v>5</v>
      </c>
      <c r="E98" t="str">
        <f t="shared" si="38"/>
        <v>4. Expose RESTful APIs with Spring MVC</v>
      </c>
      <c r="F98" t="str">
        <f t="shared" si="39"/>
        <v/>
      </c>
      <c r="G98" t="str">
        <f t="shared" si="40"/>
        <v/>
      </c>
      <c r="H98">
        <f t="shared" si="41"/>
        <v>0</v>
      </c>
      <c r="I98">
        <f t="shared" si="42"/>
        <v>0</v>
      </c>
      <c r="J98">
        <f t="shared" si="47"/>
        <v>5225</v>
      </c>
      <c r="K98">
        <f t="shared" si="43"/>
        <v>1</v>
      </c>
      <c r="L98">
        <f t="shared" si="44"/>
        <v>27</v>
      </c>
      <c r="M98" s="5">
        <f t="shared" si="45"/>
        <v>5</v>
      </c>
      <c r="N98" s="4">
        <f t="shared" si="49"/>
        <v>1</v>
      </c>
      <c r="O98">
        <f t="shared" si="50"/>
        <v>27</v>
      </c>
      <c r="P98">
        <f t="shared" si="48"/>
        <v>5</v>
      </c>
      <c r="Q98">
        <f t="shared" si="46"/>
        <v>5225</v>
      </c>
    </row>
    <row r="99" spans="1:17" x14ac:dyDescent="0.25">
      <c r="A99" t="s">
        <v>3</v>
      </c>
      <c r="B99" t="b">
        <f t="shared" si="35"/>
        <v>0</v>
      </c>
      <c r="C99" t="b">
        <f t="shared" si="36"/>
        <v>0</v>
      </c>
      <c r="D99">
        <f t="shared" si="37"/>
        <v>5</v>
      </c>
      <c r="E99" t="str">
        <f t="shared" si="38"/>
        <v>4. Expose RESTful APIs with Spring MVC</v>
      </c>
      <c r="F99" t="str">
        <f t="shared" si="39"/>
        <v/>
      </c>
      <c r="G99" t="str">
        <f t="shared" si="40"/>
        <v/>
      </c>
      <c r="H99">
        <f t="shared" si="41"/>
        <v>0</v>
      </c>
      <c r="I99">
        <f t="shared" si="42"/>
        <v>0</v>
      </c>
      <c r="J99">
        <f t="shared" si="47"/>
        <v>5225</v>
      </c>
      <c r="K99">
        <f t="shared" si="43"/>
        <v>1</v>
      </c>
      <c r="L99">
        <f t="shared" si="44"/>
        <v>27</v>
      </c>
      <c r="M99" s="5">
        <f t="shared" si="45"/>
        <v>5</v>
      </c>
      <c r="N99" s="4">
        <f t="shared" si="49"/>
        <v>1</v>
      </c>
      <c r="O99">
        <f t="shared" si="50"/>
        <v>27</v>
      </c>
      <c r="P99">
        <f t="shared" si="48"/>
        <v>5</v>
      </c>
      <c r="Q99">
        <f t="shared" si="46"/>
        <v>5225</v>
      </c>
    </row>
    <row r="100" spans="1:17" x14ac:dyDescent="0.25">
      <c r="A100" t="s">
        <v>108</v>
      </c>
      <c r="B100" t="b">
        <f t="shared" si="35"/>
        <v>0</v>
      </c>
      <c r="C100" t="b">
        <f t="shared" si="36"/>
        <v>1</v>
      </c>
      <c r="D100">
        <f t="shared" si="37"/>
        <v>6</v>
      </c>
      <c r="E100" t="str">
        <f t="shared" si="38"/>
        <v>4. Expose RESTful APIs with Spring MVC</v>
      </c>
      <c r="F100" t="str">
        <f t="shared" si="39"/>
        <v>6. Paging and sorting DTOs</v>
      </c>
      <c r="G100" t="str">
        <f t="shared" si="40"/>
        <v>5m 1s</v>
      </c>
      <c r="H100">
        <f t="shared" si="41"/>
        <v>5</v>
      </c>
      <c r="I100">
        <f t="shared" si="42"/>
        <v>1</v>
      </c>
      <c r="J100">
        <f t="shared" si="47"/>
        <v>5526</v>
      </c>
      <c r="K100">
        <f t="shared" si="43"/>
        <v>1</v>
      </c>
      <c r="L100">
        <f t="shared" si="44"/>
        <v>32</v>
      </c>
      <c r="M100" s="5">
        <f t="shared" si="45"/>
        <v>6</v>
      </c>
      <c r="N100" s="4">
        <f t="shared" si="49"/>
        <v>1</v>
      </c>
      <c r="O100">
        <f t="shared" si="50"/>
        <v>32</v>
      </c>
      <c r="P100">
        <f t="shared" si="48"/>
        <v>6</v>
      </c>
      <c r="Q100">
        <f t="shared" si="46"/>
        <v>5526</v>
      </c>
    </row>
    <row r="101" spans="1:17" x14ac:dyDescent="0.25">
      <c r="A101" t="s">
        <v>107</v>
      </c>
      <c r="B101" t="b">
        <f t="shared" si="35"/>
        <v>0</v>
      </c>
      <c r="C101" t="b">
        <f t="shared" si="36"/>
        <v>0</v>
      </c>
      <c r="D101">
        <f t="shared" si="37"/>
        <v>6</v>
      </c>
      <c r="E101" t="str">
        <f t="shared" si="38"/>
        <v>4. Expose RESTful APIs with Spring MVC</v>
      </c>
      <c r="F101" t="str">
        <f t="shared" si="39"/>
        <v/>
      </c>
      <c r="G101" t="str">
        <f t="shared" si="40"/>
        <v/>
      </c>
      <c r="H101">
        <f t="shared" si="41"/>
        <v>0</v>
      </c>
      <c r="I101">
        <f t="shared" si="42"/>
        <v>0</v>
      </c>
      <c r="J101">
        <f t="shared" si="47"/>
        <v>5526</v>
      </c>
      <c r="K101">
        <f t="shared" si="43"/>
        <v>1</v>
      </c>
      <c r="L101">
        <f t="shared" si="44"/>
        <v>32</v>
      </c>
      <c r="M101" s="5">
        <f t="shared" si="45"/>
        <v>6</v>
      </c>
      <c r="N101" s="4">
        <f t="shared" si="49"/>
        <v>1</v>
      </c>
      <c r="O101">
        <f t="shared" si="50"/>
        <v>32</v>
      </c>
      <c r="P101">
        <f t="shared" si="48"/>
        <v>6</v>
      </c>
      <c r="Q101">
        <f t="shared" si="46"/>
        <v>5526</v>
      </c>
    </row>
    <row r="102" spans="1:17" x14ac:dyDescent="0.25">
      <c r="A102" t="s">
        <v>3</v>
      </c>
      <c r="B102" t="b">
        <f t="shared" si="35"/>
        <v>0</v>
      </c>
      <c r="C102" t="b">
        <f t="shared" si="36"/>
        <v>0</v>
      </c>
      <c r="D102">
        <f t="shared" si="37"/>
        <v>6</v>
      </c>
      <c r="E102" t="str">
        <f t="shared" si="38"/>
        <v>4. Expose RESTful APIs with Spring MVC</v>
      </c>
      <c r="F102" t="str">
        <f t="shared" si="39"/>
        <v/>
      </c>
      <c r="G102" t="str">
        <f t="shared" si="40"/>
        <v/>
      </c>
      <c r="H102">
        <f t="shared" si="41"/>
        <v>0</v>
      </c>
      <c r="I102">
        <f t="shared" si="42"/>
        <v>0</v>
      </c>
      <c r="J102">
        <f t="shared" si="47"/>
        <v>5526</v>
      </c>
      <c r="K102">
        <f t="shared" si="43"/>
        <v>1</v>
      </c>
      <c r="L102">
        <f t="shared" si="44"/>
        <v>32</v>
      </c>
      <c r="M102" s="5">
        <f t="shared" si="45"/>
        <v>6</v>
      </c>
      <c r="N102" s="4">
        <f t="shared" si="49"/>
        <v>1</v>
      </c>
      <c r="O102">
        <f t="shared" si="50"/>
        <v>32</v>
      </c>
      <c r="P102">
        <f t="shared" si="48"/>
        <v>6</v>
      </c>
      <c r="Q102">
        <f t="shared" si="46"/>
        <v>5526</v>
      </c>
    </row>
    <row r="103" spans="1:17" x14ac:dyDescent="0.25">
      <c r="A103" t="s">
        <v>12</v>
      </c>
      <c r="B103" t="b">
        <f t="shared" si="35"/>
        <v>0</v>
      </c>
      <c r="C103" t="b">
        <f t="shared" si="36"/>
        <v>0</v>
      </c>
      <c r="D103">
        <f t="shared" si="37"/>
        <v>6</v>
      </c>
      <c r="E103" t="str">
        <f t="shared" si="38"/>
        <v>4. Expose RESTful APIs with Spring MVC</v>
      </c>
      <c r="F103" t="str">
        <f t="shared" si="39"/>
        <v/>
      </c>
      <c r="G103" t="str">
        <f t="shared" si="40"/>
        <v/>
      </c>
      <c r="H103">
        <f t="shared" si="41"/>
        <v>0</v>
      </c>
      <c r="I103">
        <f t="shared" si="42"/>
        <v>0</v>
      </c>
      <c r="J103">
        <f t="shared" si="47"/>
        <v>5526</v>
      </c>
      <c r="K103">
        <f t="shared" si="43"/>
        <v>1</v>
      </c>
      <c r="L103">
        <f t="shared" si="44"/>
        <v>32</v>
      </c>
      <c r="M103" s="5">
        <f t="shared" si="45"/>
        <v>6</v>
      </c>
      <c r="N103" s="4">
        <f t="shared" si="49"/>
        <v>1</v>
      </c>
      <c r="O103">
        <f t="shared" si="50"/>
        <v>32</v>
      </c>
      <c r="P103">
        <f t="shared" si="48"/>
        <v>6</v>
      </c>
      <c r="Q103">
        <f t="shared" si="46"/>
        <v>5526</v>
      </c>
    </row>
    <row r="104" spans="1:17" x14ac:dyDescent="0.25">
      <c r="A104" t="s">
        <v>54</v>
      </c>
      <c r="B104" t="b">
        <f t="shared" si="35"/>
        <v>0</v>
      </c>
      <c r="C104" t="b">
        <f t="shared" si="36"/>
        <v>0</v>
      </c>
      <c r="D104">
        <f t="shared" si="37"/>
        <v>6</v>
      </c>
      <c r="E104" t="str">
        <f t="shared" si="38"/>
        <v>4. Expose RESTful APIs with Spring MVC</v>
      </c>
      <c r="F104" t="str">
        <f t="shared" si="39"/>
        <v/>
      </c>
      <c r="G104" t="str">
        <f t="shared" si="40"/>
        <v/>
      </c>
      <c r="H104">
        <f t="shared" si="41"/>
        <v>0</v>
      </c>
      <c r="I104">
        <f t="shared" si="42"/>
        <v>0</v>
      </c>
      <c r="J104">
        <f t="shared" si="47"/>
        <v>5526</v>
      </c>
      <c r="K104">
        <f t="shared" si="43"/>
        <v>1</v>
      </c>
      <c r="L104">
        <f t="shared" si="44"/>
        <v>32</v>
      </c>
      <c r="M104" s="5">
        <f t="shared" si="45"/>
        <v>6</v>
      </c>
      <c r="N104" s="4">
        <f t="shared" si="49"/>
        <v>1</v>
      </c>
      <c r="O104">
        <f t="shared" si="50"/>
        <v>32</v>
      </c>
      <c r="P104">
        <f t="shared" si="48"/>
        <v>6</v>
      </c>
      <c r="Q104">
        <f t="shared" si="46"/>
        <v>5526</v>
      </c>
    </row>
    <row r="105" spans="1:17" x14ac:dyDescent="0.25">
      <c r="B105" t="b">
        <f t="shared" si="35"/>
        <v>0</v>
      </c>
      <c r="C105" t="b">
        <f t="shared" si="36"/>
        <v>0</v>
      </c>
      <c r="D105">
        <f t="shared" si="37"/>
        <v>6</v>
      </c>
      <c r="E105" t="str">
        <f t="shared" si="38"/>
        <v>4. Expose RESTful APIs with Spring MVC</v>
      </c>
      <c r="F105" t="str">
        <f t="shared" si="39"/>
        <v/>
      </c>
      <c r="G105" t="str">
        <f t="shared" si="40"/>
        <v/>
      </c>
      <c r="H105">
        <f t="shared" si="41"/>
        <v>0</v>
      </c>
      <c r="I105">
        <f t="shared" si="42"/>
        <v>0</v>
      </c>
      <c r="J105">
        <f t="shared" si="47"/>
        <v>5526</v>
      </c>
      <c r="K105">
        <f t="shared" si="43"/>
        <v>1</v>
      </c>
      <c r="L105">
        <f t="shared" si="44"/>
        <v>32</v>
      </c>
      <c r="M105" s="5">
        <f t="shared" si="45"/>
        <v>6</v>
      </c>
      <c r="N105" s="4">
        <f t="shared" si="49"/>
        <v>1</v>
      </c>
      <c r="O105">
        <f t="shared" si="50"/>
        <v>32</v>
      </c>
      <c r="P105">
        <f t="shared" si="48"/>
        <v>6</v>
      </c>
      <c r="Q105">
        <f t="shared" si="46"/>
        <v>5526</v>
      </c>
    </row>
    <row r="106" spans="1:17" x14ac:dyDescent="0.25">
      <c r="A106" t="s">
        <v>106</v>
      </c>
      <c r="B106" t="b">
        <f t="shared" si="35"/>
        <v>1</v>
      </c>
      <c r="C106" t="b">
        <f t="shared" si="36"/>
        <v>0</v>
      </c>
      <c r="D106">
        <f t="shared" si="37"/>
        <v>0</v>
      </c>
      <c r="E106" t="str">
        <f t="shared" si="38"/>
        <v>5. Pivot to a MongoDB NoSQL Data Source</v>
      </c>
      <c r="F106" t="str">
        <f t="shared" si="39"/>
        <v/>
      </c>
      <c r="G106" t="str">
        <f t="shared" si="40"/>
        <v/>
      </c>
      <c r="H106">
        <f t="shared" si="41"/>
        <v>0</v>
      </c>
      <c r="I106">
        <f t="shared" si="42"/>
        <v>0</v>
      </c>
      <c r="J106">
        <f t="shared" si="47"/>
        <v>5526</v>
      </c>
      <c r="K106">
        <f t="shared" si="43"/>
        <v>1</v>
      </c>
      <c r="L106">
        <f t="shared" si="44"/>
        <v>32</v>
      </c>
      <c r="M106" s="5">
        <f t="shared" si="45"/>
        <v>6</v>
      </c>
      <c r="N106" s="4">
        <f t="shared" si="49"/>
        <v>1</v>
      </c>
      <c r="O106">
        <f t="shared" si="50"/>
        <v>32</v>
      </c>
      <c r="P106">
        <f t="shared" si="48"/>
        <v>6</v>
      </c>
      <c r="Q106">
        <f t="shared" si="46"/>
        <v>5526</v>
      </c>
    </row>
    <row r="107" spans="1:17" x14ac:dyDescent="0.25">
      <c r="B107" t="b">
        <f t="shared" si="35"/>
        <v>0</v>
      </c>
      <c r="C107" t="b">
        <f t="shared" si="36"/>
        <v>0</v>
      </c>
      <c r="D107">
        <f t="shared" si="37"/>
        <v>0</v>
      </c>
      <c r="E107" t="str">
        <f t="shared" si="38"/>
        <v>5. Pivot to a MongoDB NoSQL Data Source</v>
      </c>
      <c r="F107" t="str">
        <f t="shared" si="39"/>
        <v/>
      </c>
      <c r="G107" t="str">
        <f t="shared" si="40"/>
        <v/>
      </c>
      <c r="H107">
        <f t="shared" si="41"/>
        <v>0</v>
      </c>
      <c r="I107">
        <f t="shared" si="42"/>
        <v>0</v>
      </c>
      <c r="J107">
        <v>5564</v>
      </c>
      <c r="K107">
        <f t="shared" si="43"/>
        <v>1</v>
      </c>
      <c r="L107">
        <f t="shared" si="44"/>
        <v>32</v>
      </c>
      <c r="M107" s="5">
        <f t="shared" si="45"/>
        <v>44</v>
      </c>
      <c r="N107" s="4">
        <f t="shared" si="49"/>
        <v>1</v>
      </c>
      <c r="O107">
        <f t="shared" si="50"/>
        <v>32</v>
      </c>
      <c r="P107">
        <v>44</v>
      </c>
      <c r="Q107">
        <f t="shared" si="46"/>
        <v>5564</v>
      </c>
    </row>
    <row r="108" spans="1:17" x14ac:dyDescent="0.25">
      <c r="A108" t="s">
        <v>105</v>
      </c>
      <c r="B108" t="b">
        <f t="shared" si="35"/>
        <v>0</v>
      </c>
      <c r="C108" t="b">
        <f t="shared" si="36"/>
        <v>1</v>
      </c>
      <c r="D108">
        <f t="shared" si="37"/>
        <v>1</v>
      </c>
      <c r="E108" t="str">
        <f t="shared" si="38"/>
        <v>5. Pivot to a MongoDB NoSQL Data Source</v>
      </c>
      <c r="F108" t="str">
        <f t="shared" si="39"/>
        <v>1. Introduction to MongoDB</v>
      </c>
      <c r="G108" t="str">
        <f t="shared" si="40"/>
        <v>3m 55s</v>
      </c>
      <c r="H108">
        <f t="shared" si="41"/>
        <v>3</v>
      </c>
      <c r="I108">
        <f t="shared" si="42"/>
        <v>55</v>
      </c>
      <c r="J108">
        <f t="shared" ref="J108:J139" si="51">J107+(H108*60+I108)</f>
        <v>5799</v>
      </c>
      <c r="K108">
        <f t="shared" si="43"/>
        <v>1</v>
      </c>
      <c r="L108">
        <f t="shared" si="44"/>
        <v>36</v>
      </c>
      <c r="M108" s="5">
        <f t="shared" si="45"/>
        <v>39</v>
      </c>
      <c r="N108" s="4">
        <f t="shared" si="49"/>
        <v>1</v>
      </c>
      <c r="O108">
        <f t="shared" si="50"/>
        <v>36</v>
      </c>
      <c r="P108">
        <f t="shared" ref="P108:P139" si="52">M108</f>
        <v>39</v>
      </c>
      <c r="Q108">
        <f t="shared" si="46"/>
        <v>5799</v>
      </c>
    </row>
    <row r="109" spans="1:17" x14ac:dyDescent="0.25">
      <c r="A109" t="s">
        <v>104</v>
      </c>
      <c r="B109" t="b">
        <f t="shared" si="35"/>
        <v>0</v>
      </c>
      <c r="C109" t="b">
        <f t="shared" si="36"/>
        <v>0</v>
      </c>
      <c r="D109">
        <f t="shared" si="37"/>
        <v>1</v>
      </c>
      <c r="E109" t="str">
        <f t="shared" si="38"/>
        <v>5. Pivot to a MongoDB NoSQL Data Source</v>
      </c>
      <c r="F109" t="str">
        <f t="shared" si="39"/>
        <v/>
      </c>
      <c r="G109" t="str">
        <f t="shared" si="40"/>
        <v/>
      </c>
      <c r="H109">
        <f t="shared" si="41"/>
        <v>0</v>
      </c>
      <c r="I109">
        <f t="shared" si="42"/>
        <v>0</v>
      </c>
      <c r="J109">
        <f t="shared" si="51"/>
        <v>5799</v>
      </c>
      <c r="K109">
        <f t="shared" si="43"/>
        <v>1</v>
      </c>
      <c r="L109">
        <f t="shared" si="44"/>
        <v>36</v>
      </c>
      <c r="M109" s="5">
        <f t="shared" si="45"/>
        <v>39</v>
      </c>
      <c r="N109" s="4">
        <f t="shared" si="49"/>
        <v>1</v>
      </c>
      <c r="O109">
        <f t="shared" si="50"/>
        <v>36</v>
      </c>
      <c r="P109">
        <f t="shared" si="52"/>
        <v>39</v>
      </c>
      <c r="Q109">
        <f t="shared" si="46"/>
        <v>5799</v>
      </c>
    </row>
    <row r="110" spans="1:17" x14ac:dyDescent="0.25">
      <c r="A110" t="s">
        <v>3</v>
      </c>
      <c r="B110" t="b">
        <f t="shared" ref="B110:B141" si="53">AND(NOT(ISERROR(FIND(". ",A110))),ISNUMBER(VALUE(LEFT(A110,FIND(". ",A110)-1))))</f>
        <v>0</v>
      </c>
      <c r="C110" t="b">
        <f t="shared" ref="C110:C141" si="54">OR(AND(NOT(ISERROR(FIND("m",A111))),ISNUMBER(VALUE(LEFT(A111,FIND("m",A111)-1)))),AND(NOT(ISERROR(FIND("s",A111))),ISNUMBER(VALUE(LEFT(A111,FIND("s",A111)-1)))))</f>
        <v>0</v>
      </c>
      <c r="D110">
        <f t="shared" ref="D110:D141" si="55">IF(B110,0,IF(C110,D109+1,D109))</f>
        <v>1</v>
      </c>
      <c r="E110" t="str">
        <f t="shared" ref="E110:E141" si="56">IF(B110,A110,E109)</f>
        <v>5. Pivot to a MongoDB NoSQL Data Source</v>
      </c>
      <c r="F110" t="str">
        <f t="shared" ref="F110:F141" si="57">IF(C110,D110&amp;". "&amp;A110,"")</f>
        <v/>
      </c>
      <c r="G110" t="str">
        <f t="shared" ref="G110:G141" si="58">IF(C110,IF(ISERROR(FIND("s",A111)),LEFT(A111,FIND("m",A111)),LEFT(A111,FIND("s",A111))),"")</f>
        <v/>
      </c>
      <c r="H110">
        <f t="shared" ref="H110:H141" si="59">IF(OR(G110="",ISERROR(FIND("m",G110))),0,VALUE(LEFT(G110,FIND("m",G110)-1)))</f>
        <v>0</v>
      </c>
      <c r="I110">
        <f t="shared" ref="I110:I141" si="60">IF(OR(G110="",ISERROR(FIND("s",G110))),0,VALUE(SUBSTITUTE(MID(G110,IF(ISERROR(FIND("m",G110)), 0,FIND("m",G110))+1,LEN(G110)),"s","")))</f>
        <v>0</v>
      </c>
      <c r="J110">
        <f t="shared" si="51"/>
        <v>5799</v>
      </c>
      <c r="K110">
        <f t="shared" ref="K110:K141" si="61">INT(J110/60/60)</f>
        <v>1</v>
      </c>
      <c r="L110">
        <f t="shared" ref="L110:L141" si="62">INT((J110-(K110*60*60))/60)</f>
        <v>36</v>
      </c>
      <c r="M110" s="5">
        <f t="shared" ref="M110:M141" si="63">J110-(((K110*60)+L110)*60)</f>
        <v>39</v>
      </c>
      <c r="N110" s="4">
        <f t="shared" si="49"/>
        <v>1</v>
      </c>
      <c r="O110">
        <f t="shared" si="50"/>
        <v>36</v>
      </c>
      <c r="P110">
        <f t="shared" si="52"/>
        <v>39</v>
      </c>
      <c r="Q110">
        <f t="shared" ref="Q110:Q141" si="64">((N110*60)+O110)*60+P110</f>
        <v>5799</v>
      </c>
    </row>
    <row r="111" spans="1:17" x14ac:dyDescent="0.25">
      <c r="A111" t="s">
        <v>103</v>
      </c>
      <c r="B111" t="b">
        <f t="shared" si="53"/>
        <v>0</v>
      </c>
      <c r="C111" t="b">
        <f t="shared" si="54"/>
        <v>1</v>
      </c>
      <c r="D111">
        <f t="shared" si="55"/>
        <v>2</v>
      </c>
      <c r="E111" t="str">
        <f t="shared" si="56"/>
        <v>5. Pivot to a MongoDB NoSQL Data Source</v>
      </c>
      <c r="F111" t="str">
        <f t="shared" si="57"/>
        <v>2. Spring Data MongoDB documents</v>
      </c>
      <c r="G111" t="str">
        <f t="shared" si="58"/>
        <v>4m 32s</v>
      </c>
      <c r="H111">
        <f t="shared" si="59"/>
        <v>4</v>
      </c>
      <c r="I111">
        <f t="shared" si="60"/>
        <v>32</v>
      </c>
      <c r="J111">
        <f t="shared" si="51"/>
        <v>6071</v>
      </c>
      <c r="K111">
        <f t="shared" si="61"/>
        <v>1</v>
      </c>
      <c r="L111">
        <f t="shared" si="62"/>
        <v>41</v>
      </c>
      <c r="M111" s="5">
        <f t="shared" si="63"/>
        <v>11</v>
      </c>
      <c r="N111" s="4">
        <f t="shared" si="49"/>
        <v>1</v>
      </c>
      <c r="O111">
        <f t="shared" si="50"/>
        <v>41</v>
      </c>
      <c r="P111">
        <f t="shared" si="52"/>
        <v>11</v>
      </c>
      <c r="Q111">
        <f t="shared" si="64"/>
        <v>6071</v>
      </c>
    </row>
    <row r="112" spans="1:17" x14ac:dyDescent="0.25">
      <c r="A112" t="s">
        <v>50</v>
      </c>
      <c r="B112" t="b">
        <f t="shared" si="53"/>
        <v>0</v>
      </c>
      <c r="C112" t="b">
        <f t="shared" si="54"/>
        <v>0</v>
      </c>
      <c r="D112">
        <f t="shared" si="55"/>
        <v>2</v>
      </c>
      <c r="E112" t="str">
        <f t="shared" si="56"/>
        <v>5. Pivot to a MongoDB NoSQL Data Source</v>
      </c>
      <c r="F112" t="str">
        <f t="shared" si="57"/>
        <v/>
      </c>
      <c r="G112" t="str">
        <f t="shared" si="58"/>
        <v/>
      </c>
      <c r="H112">
        <f t="shared" si="59"/>
        <v>0</v>
      </c>
      <c r="I112">
        <f t="shared" si="60"/>
        <v>0</v>
      </c>
      <c r="J112">
        <f t="shared" si="51"/>
        <v>6071</v>
      </c>
      <c r="K112">
        <f t="shared" si="61"/>
        <v>1</v>
      </c>
      <c r="L112">
        <f t="shared" si="62"/>
        <v>41</v>
      </c>
      <c r="M112" s="5">
        <f t="shared" si="63"/>
        <v>11</v>
      </c>
      <c r="N112" s="4">
        <f t="shared" si="49"/>
        <v>1</v>
      </c>
      <c r="O112">
        <f t="shared" si="50"/>
        <v>41</v>
      </c>
      <c r="P112">
        <f t="shared" si="52"/>
        <v>11</v>
      </c>
      <c r="Q112">
        <f t="shared" si="64"/>
        <v>6071</v>
      </c>
    </row>
    <row r="113" spans="1:17" x14ac:dyDescent="0.25">
      <c r="A113" t="s">
        <v>3</v>
      </c>
      <c r="B113" t="b">
        <f t="shared" si="53"/>
        <v>0</v>
      </c>
      <c r="C113" t="b">
        <f t="shared" si="54"/>
        <v>0</v>
      </c>
      <c r="D113">
        <f t="shared" si="55"/>
        <v>2</v>
      </c>
      <c r="E113" t="str">
        <f t="shared" si="56"/>
        <v>5. Pivot to a MongoDB NoSQL Data Source</v>
      </c>
      <c r="F113" t="str">
        <f t="shared" si="57"/>
        <v/>
      </c>
      <c r="G113" t="str">
        <f t="shared" si="58"/>
        <v/>
      </c>
      <c r="H113">
        <f t="shared" si="59"/>
        <v>0</v>
      </c>
      <c r="I113">
        <f t="shared" si="60"/>
        <v>0</v>
      </c>
      <c r="J113">
        <f t="shared" si="51"/>
        <v>6071</v>
      </c>
      <c r="K113">
        <f t="shared" si="61"/>
        <v>1</v>
      </c>
      <c r="L113">
        <f t="shared" si="62"/>
        <v>41</v>
      </c>
      <c r="M113" s="5">
        <f t="shared" si="63"/>
        <v>11</v>
      </c>
      <c r="N113" s="4">
        <f t="shared" si="49"/>
        <v>1</v>
      </c>
      <c r="O113">
        <f t="shared" si="50"/>
        <v>41</v>
      </c>
      <c r="P113">
        <f t="shared" si="52"/>
        <v>11</v>
      </c>
      <c r="Q113">
        <f t="shared" si="64"/>
        <v>6071</v>
      </c>
    </row>
    <row r="114" spans="1:17" x14ac:dyDescent="0.25">
      <c r="A114" t="s">
        <v>102</v>
      </c>
      <c r="B114" t="b">
        <f t="shared" si="53"/>
        <v>0</v>
      </c>
      <c r="C114" t="b">
        <f t="shared" si="54"/>
        <v>1</v>
      </c>
      <c r="D114">
        <f t="shared" si="55"/>
        <v>3</v>
      </c>
      <c r="E114" t="str">
        <f t="shared" si="56"/>
        <v>5. Pivot to a MongoDB NoSQL Data Source</v>
      </c>
      <c r="F114" t="str">
        <f t="shared" si="57"/>
        <v>3. Spring Data MongoDB repositories</v>
      </c>
      <c r="G114" t="str">
        <f t="shared" si="58"/>
        <v>3m 40s</v>
      </c>
      <c r="H114">
        <f t="shared" si="59"/>
        <v>3</v>
      </c>
      <c r="I114">
        <f t="shared" si="60"/>
        <v>40</v>
      </c>
      <c r="J114">
        <f t="shared" si="51"/>
        <v>6291</v>
      </c>
      <c r="K114">
        <f t="shared" si="61"/>
        <v>1</v>
      </c>
      <c r="L114">
        <f t="shared" si="62"/>
        <v>44</v>
      </c>
      <c r="M114" s="5">
        <f t="shared" si="63"/>
        <v>51</v>
      </c>
      <c r="N114" s="4">
        <f t="shared" si="49"/>
        <v>1</v>
      </c>
      <c r="O114">
        <f t="shared" si="50"/>
        <v>44</v>
      </c>
      <c r="P114">
        <f t="shared" si="52"/>
        <v>51</v>
      </c>
      <c r="Q114">
        <f t="shared" si="64"/>
        <v>6291</v>
      </c>
    </row>
    <row r="115" spans="1:17" x14ac:dyDescent="0.25">
      <c r="A115" t="s">
        <v>101</v>
      </c>
      <c r="B115" t="b">
        <f t="shared" si="53"/>
        <v>0</v>
      </c>
      <c r="C115" t="b">
        <f t="shared" si="54"/>
        <v>0</v>
      </c>
      <c r="D115">
        <f t="shared" si="55"/>
        <v>3</v>
      </c>
      <c r="E115" t="str">
        <f t="shared" si="56"/>
        <v>5. Pivot to a MongoDB NoSQL Data Source</v>
      </c>
      <c r="F115" t="str">
        <f t="shared" si="57"/>
        <v/>
      </c>
      <c r="G115" t="str">
        <f t="shared" si="58"/>
        <v/>
      </c>
      <c r="H115">
        <f t="shared" si="59"/>
        <v>0</v>
      </c>
      <c r="I115">
        <f t="shared" si="60"/>
        <v>0</v>
      </c>
      <c r="J115">
        <f t="shared" si="51"/>
        <v>6291</v>
      </c>
      <c r="K115">
        <f t="shared" si="61"/>
        <v>1</v>
      </c>
      <c r="L115">
        <f t="shared" si="62"/>
        <v>44</v>
      </c>
      <c r="M115" s="5">
        <f t="shared" si="63"/>
        <v>51</v>
      </c>
      <c r="N115" s="4">
        <f t="shared" si="49"/>
        <v>1</v>
      </c>
      <c r="O115">
        <f t="shared" si="50"/>
        <v>44</v>
      </c>
      <c r="P115">
        <f t="shared" si="52"/>
        <v>51</v>
      </c>
      <c r="Q115">
        <f t="shared" si="64"/>
        <v>6291</v>
      </c>
    </row>
    <row r="116" spans="1:17" x14ac:dyDescent="0.25">
      <c r="A116" t="s">
        <v>3</v>
      </c>
      <c r="B116" t="b">
        <f t="shared" si="53"/>
        <v>0</v>
      </c>
      <c r="C116" t="b">
        <f t="shared" si="54"/>
        <v>0</v>
      </c>
      <c r="D116">
        <f t="shared" si="55"/>
        <v>3</v>
      </c>
      <c r="E116" t="str">
        <f t="shared" si="56"/>
        <v>5. Pivot to a MongoDB NoSQL Data Source</v>
      </c>
      <c r="F116" t="str">
        <f t="shared" si="57"/>
        <v/>
      </c>
      <c r="G116" t="str">
        <f t="shared" si="58"/>
        <v/>
      </c>
      <c r="H116">
        <f t="shared" si="59"/>
        <v>0</v>
      </c>
      <c r="I116">
        <f t="shared" si="60"/>
        <v>0</v>
      </c>
      <c r="J116">
        <f t="shared" si="51"/>
        <v>6291</v>
      </c>
      <c r="K116">
        <f t="shared" si="61"/>
        <v>1</v>
      </c>
      <c r="L116">
        <f t="shared" si="62"/>
        <v>44</v>
      </c>
      <c r="M116" s="5">
        <f t="shared" si="63"/>
        <v>51</v>
      </c>
      <c r="N116" s="4">
        <f t="shared" si="49"/>
        <v>1</v>
      </c>
      <c r="O116">
        <f t="shared" si="50"/>
        <v>44</v>
      </c>
      <c r="P116">
        <f t="shared" si="52"/>
        <v>51</v>
      </c>
      <c r="Q116">
        <f t="shared" si="64"/>
        <v>6291</v>
      </c>
    </row>
    <row r="117" spans="1:17" x14ac:dyDescent="0.25">
      <c r="A117" t="s">
        <v>100</v>
      </c>
      <c r="B117" t="b">
        <f t="shared" si="53"/>
        <v>0</v>
      </c>
      <c r="C117" t="b">
        <f t="shared" si="54"/>
        <v>1</v>
      </c>
      <c r="D117">
        <f t="shared" si="55"/>
        <v>4</v>
      </c>
      <c r="E117" t="str">
        <f t="shared" si="56"/>
        <v>5. Pivot to a MongoDB NoSQL Data Source</v>
      </c>
      <c r="F117" t="str">
        <f t="shared" si="57"/>
        <v>4. Spring Data MongoDB microservice</v>
      </c>
      <c r="G117" t="str">
        <f t="shared" si="58"/>
        <v>5m 10s</v>
      </c>
      <c r="H117">
        <f t="shared" si="59"/>
        <v>5</v>
      </c>
      <c r="I117">
        <f t="shared" si="60"/>
        <v>10</v>
      </c>
      <c r="J117">
        <f t="shared" si="51"/>
        <v>6601</v>
      </c>
      <c r="K117">
        <f t="shared" si="61"/>
        <v>1</v>
      </c>
      <c r="L117">
        <f t="shared" si="62"/>
        <v>50</v>
      </c>
      <c r="M117" s="5">
        <f t="shared" si="63"/>
        <v>1</v>
      </c>
      <c r="N117" s="4">
        <f t="shared" si="49"/>
        <v>1</v>
      </c>
      <c r="O117">
        <f t="shared" si="50"/>
        <v>50</v>
      </c>
      <c r="P117">
        <f t="shared" si="52"/>
        <v>1</v>
      </c>
      <c r="Q117">
        <f t="shared" si="64"/>
        <v>6601</v>
      </c>
    </row>
    <row r="118" spans="1:17" x14ac:dyDescent="0.25">
      <c r="A118" t="s">
        <v>99</v>
      </c>
      <c r="B118" t="b">
        <f t="shared" si="53"/>
        <v>0</v>
      </c>
      <c r="C118" t="b">
        <f t="shared" si="54"/>
        <v>0</v>
      </c>
      <c r="D118">
        <f t="shared" si="55"/>
        <v>4</v>
      </c>
      <c r="E118" t="str">
        <f t="shared" si="56"/>
        <v>5. Pivot to a MongoDB NoSQL Data Source</v>
      </c>
      <c r="F118" t="str">
        <f t="shared" si="57"/>
        <v/>
      </c>
      <c r="G118" t="str">
        <f t="shared" si="58"/>
        <v/>
      </c>
      <c r="H118">
        <f t="shared" si="59"/>
        <v>0</v>
      </c>
      <c r="I118">
        <f t="shared" si="60"/>
        <v>0</v>
      </c>
      <c r="J118">
        <f t="shared" si="51"/>
        <v>6601</v>
      </c>
      <c r="K118">
        <f t="shared" si="61"/>
        <v>1</v>
      </c>
      <c r="L118">
        <f t="shared" si="62"/>
        <v>50</v>
      </c>
      <c r="M118" s="5">
        <f t="shared" si="63"/>
        <v>1</v>
      </c>
      <c r="N118" s="4">
        <f t="shared" si="49"/>
        <v>1</v>
      </c>
      <c r="O118">
        <f t="shared" si="50"/>
        <v>50</v>
      </c>
      <c r="P118">
        <f t="shared" si="52"/>
        <v>1</v>
      </c>
      <c r="Q118">
        <f t="shared" si="64"/>
        <v>6601</v>
      </c>
    </row>
    <row r="119" spans="1:17" x14ac:dyDescent="0.25">
      <c r="A119" t="s">
        <v>3</v>
      </c>
      <c r="B119" t="b">
        <f t="shared" si="53"/>
        <v>0</v>
      </c>
      <c r="C119" t="b">
        <f t="shared" si="54"/>
        <v>0</v>
      </c>
      <c r="D119">
        <f t="shared" si="55"/>
        <v>4</v>
      </c>
      <c r="E119" t="str">
        <f t="shared" si="56"/>
        <v>5. Pivot to a MongoDB NoSQL Data Source</v>
      </c>
      <c r="F119" t="str">
        <f t="shared" si="57"/>
        <v/>
      </c>
      <c r="G119" t="str">
        <f t="shared" si="58"/>
        <v/>
      </c>
      <c r="H119">
        <f t="shared" si="59"/>
        <v>0</v>
      </c>
      <c r="I119">
        <f t="shared" si="60"/>
        <v>0</v>
      </c>
      <c r="J119">
        <f t="shared" si="51"/>
        <v>6601</v>
      </c>
      <c r="K119">
        <f t="shared" si="61"/>
        <v>1</v>
      </c>
      <c r="L119">
        <f t="shared" si="62"/>
        <v>50</v>
      </c>
      <c r="M119" s="5">
        <f t="shared" si="63"/>
        <v>1</v>
      </c>
      <c r="N119" s="4">
        <f t="shared" si="49"/>
        <v>1</v>
      </c>
      <c r="O119">
        <f t="shared" si="50"/>
        <v>50</v>
      </c>
      <c r="P119">
        <f t="shared" si="52"/>
        <v>1</v>
      </c>
      <c r="Q119">
        <f t="shared" si="64"/>
        <v>6601</v>
      </c>
    </row>
    <row r="120" spans="1:17" x14ac:dyDescent="0.25">
      <c r="A120" t="s">
        <v>12</v>
      </c>
      <c r="B120" t="b">
        <f t="shared" si="53"/>
        <v>0</v>
      </c>
      <c r="C120" t="b">
        <f t="shared" si="54"/>
        <v>0</v>
      </c>
      <c r="D120">
        <f t="shared" si="55"/>
        <v>4</v>
      </c>
      <c r="E120" t="str">
        <f t="shared" si="56"/>
        <v>5. Pivot to a MongoDB NoSQL Data Source</v>
      </c>
      <c r="F120" t="str">
        <f t="shared" si="57"/>
        <v/>
      </c>
      <c r="G120" t="str">
        <f t="shared" si="58"/>
        <v/>
      </c>
      <c r="H120">
        <f t="shared" si="59"/>
        <v>0</v>
      </c>
      <c r="I120">
        <f t="shared" si="60"/>
        <v>0</v>
      </c>
      <c r="J120">
        <f t="shared" si="51"/>
        <v>6601</v>
      </c>
      <c r="K120">
        <f t="shared" si="61"/>
        <v>1</v>
      </c>
      <c r="L120">
        <f t="shared" si="62"/>
        <v>50</v>
      </c>
      <c r="M120" s="5">
        <f t="shared" si="63"/>
        <v>1</v>
      </c>
      <c r="N120" s="4">
        <f t="shared" si="49"/>
        <v>1</v>
      </c>
      <c r="O120">
        <f t="shared" si="50"/>
        <v>50</v>
      </c>
      <c r="P120">
        <f t="shared" si="52"/>
        <v>1</v>
      </c>
      <c r="Q120">
        <f t="shared" si="64"/>
        <v>6601</v>
      </c>
    </row>
    <row r="121" spans="1:17" x14ac:dyDescent="0.25">
      <c r="A121" t="s">
        <v>22</v>
      </c>
      <c r="B121" t="b">
        <f t="shared" si="53"/>
        <v>0</v>
      </c>
      <c r="C121" t="b">
        <f t="shared" si="54"/>
        <v>0</v>
      </c>
      <c r="D121">
        <f t="shared" si="55"/>
        <v>4</v>
      </c>
      <c r="E121" t="str">
        <f t="shared" si="56"/>
        <v>5. Pivot to a MongoDB NoSQL Data Source</v>
      </c>
      <c r="F121" t="str">
        <f t="shared" si="57"/>
        <v/>
      </c>
      <c r="G121" t="str">
        <f t="shared" si="58"/>
        <v/>
      </c>
      <c r="H121">
        <f t="shared" si="59"/>
        <v>0</v>
      </c>
      <c r="I121">
        <f t="shared" si="60"/>
        <v>0</v>
      </c>
      <c r="J121">
        <f t="shared" si="51"/>
        <v>6601</v>
      </c>
      <c r="K121">
        <f t="shared" si="61"/>
        <v>1</v>
      </c>
      <c r="L121">
        <f t="shared" si="62"/>
        <v>50</v>
      </c>
      <c r="M121" s="5">
        <f t="shared" si="63"/>
        <v>1</v>
      </c>
      <c r="N121" s="4">
        <f t="shared" si="49"/>
        <v>1</v>
      </c>
      <c r="O121">
        <f t="shared" si="50"/>
        <v>50</v>
      </c>
      <c r="P121">
        <f t="shared" si="52"/>
        <v>1</v>
      </c>
      <c r="Q121">
        <f t="shared" si="64"/>
        <v>6601</v>
      </c>
    </row>
    <row r="122" spans="1:17" x14ac:dyDescent="0.25">
      <c r="B122" t="b">
        <f t="shared" si="53"/>
        <v>0</v>
      </c>
      <c r="C122" t="b">
        <f t="shared" si="54"/>
        <v>0</v>
      </c>
      <c r="D122">
        <f t="shared" si="55"/>
        <v>4</v>
      </c>
      <c r="E122" t="str">
        <f t="shared" si="56"/>
        <v>5. Pivot to a MongoDB NoSQL Data Source</v>
      </c>
      <c r="F122" t="str">
        <f t="shared" si="57"/>
        <v/>
      </c>
      <c r="G122" t="str">
        <f t="shared" si="58"/>
        <v/>
      </c>
      <c r="H122">
        <f t="shared" si="59"/>
        <v>0</v>
      </c>
      <c r="I122">
        <f t="shared" si="60"/>
        <v>0</v>
      </c>
      <c r="J122">
        <f t="shared" si="51"/>
        <v>6601</v>
      </c>
      <c r="K122">
        <f t="shared" si="61"/>
        <v>1</v>
      </c>
      <c r="L122">
        <f t="shared" si="62"/>
        <v>50</v>
      </c>
      <c r="M122" s="5">
        <f t="shared" si="63"/>
        <v>1</v>
      </c>
      <c r="N122" s="4">
        <f t="shared" si="49"/>
        <v>1</v>
      </c>
      <c r="O122">
        <f t="shared" si="50"/>
        <v>50</v>
      </c>
      <c r="P122">
        <f t="shared" si="52"/>
        <v>1</v>
      </c>
      <c r="Q122">
        <f t="shared" si="64"/>
        <v>6601</v>
      </c>
    </row>
    <row r="123" spans="1:17" x14ac:dyDescent="0.25">
      <c r="A123" t="s">
        <v>98</v>
      </c>
      <c r="B123" t="b">
        <f t="shared" si="53"/>
        <v>1</v>
      </c>
      <c r="C123" t="b">
        <f t="shared" si="54"/>
        <v>0</v>
      </c>
      <c r="D123">
        <f t="shared" si="55"/>
        <v>0</v>
      </c>
      <c r="E123" t="str">
        <f t="shared" si="56"/>
        <v>6. Conclusion</v>
      </c>
      <c r="F123" t="str">
        <f t="shared" si="57"/>
        <v/>
      </c>
      <c r="G123" t="str">
        <f t="shared" si="58"/>
        <v/>
      </c>
      <c r="H123">
        <f t="shared" si="59"/>
        <v>0</v>
      </c>
      <c r="I123">
        <f t="shared" si="60"/>
        <v>0</v>
      </c>
      <c r="J123">
        <f t="shared" si="51"/>
        <v>6601</v>
      </c>
      <c r="K123">
        <f t="shared" si="61"/>
        <v>1</v>
      </c>
      <c r="L123">
        <f t="shared" si="62"/>
        <v>50</v>
      </c>
      <c r="M123" s="5">
        <f t="shared" si="63"/>
        <v>1</v>
      </c>
      <c r="N123" s="4">
        <f t="shared" si="49"/>
        <v>1</v>
      </c>
      <c r="O123">
        <f t="shared" si="50"/>
        <v>50</v>
      </c>
      <c r="P123">
        <f t="shared" si="52"/>
        <v>1</v>
      </c>
      <c r="Q123">
        <f t="shared" si="64"/>
        <v>6601</v>
      </c>
    </row>
    <row r="124" spans="1:17" x14ac:dyDescent="0.25">
      <c r="B124" t="b">
        <f t="shared" si="53"/>
        <v>0</v>
      </c>
      <c r="C124" t="b">
        <f t="shared" si="54"/>
        <v>0</v>
      </c>
      <c r="D124">
        <f t="shared" si="55"/>
        <v>0</v>
      </c>
      <c r="E124" t="str">
        <f t="shared" si="56"/>
        <v>6. Conclusion</v>
      </c>
      <c r="F124" t="str">
        <f t="shared" si="57"/>
        <v/>
      </c>
      <c r="G124" t="str">
        <f t="shared" si="58"/>
        <v/>
      </c>
      <c r="H124">
        <f t="shared" si="59"/>
        <v>0</v>
      </c>
      <c r="I124">
        <f t="shared" si="60"/>
        <v>0</v>
      </c>
      <c r="J124">
        <f t="shared" si="51"/>
        <v>6601</v>
      </c>
      <c r="K124">
        <f t="shared" si="61"/>
        <v>1</v>
      </c>
      <c r="L124">
        <f t="shared" si="62"/>
        <v>50</v>
      </c>
      <c r="M124" s="5">
        <f t="shared" si="63"/>
        <v>1</v>
      </c>
      <c r="N124" s="4">
        <f t="shared" si="49"/>
        <v>1</v>
      </c>
      <c r="O124">
        <f t="shared" si="50"/>
        <v>50</v>
      </c>
      <c r="P124">
        <f t="shared" si="52"/>
        <v>1</v>
      </c>
      <c r="Q124">
        <f t="shared" si="64"/>
        <v>6601</v>
      </c>
    </row>
    <row r="125" spans="1:17" x14ac:dyDescent="0.25">
      <c r="A125" t="s">
        <v>1</v>
      </c>
      <c r="B125" t="b">
        <f t="shared" si="53"/>
        <v>0</v>
      </c>
      <c r="C125" t="b">
        <f t="shared" si="54"/>
        <v>1</v>
      </c>
      <c r="D125">
        <f t="shared" si="55"/>
        <v>1</v>
      </c>
      <c r="E125" t="str">
        <f t="shared" si="56"/>
        <v>6. Conclusion</v>
      </c>
      <c r="F125" t="str">
        <f t="shared" si="57"/>
        <v>1. Next steps</v>
      </c>
      <c r="G125" t="str">
        <f t="shared" si="58"/>
        <v>57s</v>
      </c>
      <c r="H125">
        <f t="shared" si="59"/>
        <v>0</v>
      </c>
      <c r="I125">
        <f t="shared" si="60"/>
        <v>57</v>
      </c>
      <c r="J125">
        <f t="shared" si="51"/>
        <v>6658</v>
      </c>
      <c r="K125">
        <f t="shared" si="61"/>
        <v>1</v>
      </c>
      <c r="L125">
        <f t="shared" si="62"/>
        <v>50</v>
      </c>
      <c r="M125" s="5">
        <f t="shared" si="63"/>
        <v>58</v>
      </c>
      <c r="N125" s="4">
        <f t="shared" si="49"/>
        <v>1</v>
      </c>
      <c r="O125">
        <f t="shared" si="50"/>
        <v>50</v>
      </c>
      <c r="P125">
        <f t="shared" si="52"/>
        <v>58</v>
      </c>
      <c r="Q125">
        <f t="shared" si="64"/>
        <v>6658</v>
      </c>
    </row>
    <row r="126" spans="1:17" x14ac:dyDescent="0.25">
      <c r="A126" t="s">
        <v>97</v>
      </c>
      <c r="B126" t="b">
        <f t="shared" si="53"/>
        <v>0</v>
      </c>
      <c r="C126" t="b">
        <f t="shared" si="54"/>
        <v>0</v>
      </c>
      <c r="D126">
        <f t="shared" si="55"/>
        <v>1</v>
      </c>
      <c r="E126" t="str">
        <f t="shared" si="56"/>
        <v>6. Conclusion</v>
      </c>
      <c r="F126" t="str">
        <f t="shared" si="57"/>
        <v/>
      </c>
      <c r="G126" t="str">
        <f t="shared" si="58"/>
        <v/>
      </c>
      <c r="H126">
        <f t="shared" si="59"/>
        <v>0</v>
      </c>
      <c r="I126">
        <f t="shared" si="60"/>
        <v>0</v>
      </c>
      <c r="J126">
        <f t="shared" si="51"/>
        <v>6658</v>
      </c>
      <c r="K126">
        <f t="shared" si="61"/>
        <v>1</v>
      </c>
      <c r="L126">
        <f t="shared" si="62"/>
        <v>50</v>
      </c>
      <c r="M126" s="5">
        <f t="shared" si="63"/>
        <v>58</v>
      </c>
      <c r="N126" s="4">
        <f t="shared" ref="N126:N157" si="65">K126</f>
        <v>1</v>
      </c>
      <c r="O126">
        <f t="shared" ref="O126:O157" si="66">L126</f>
        <v>50</v>
      </c>
      <c r="P126">
        <f t="shared" si="52"/>
        <v>58</v>
      </c>
      <c r="Q126">
        <f t="shared" si="64"/>
        <v>6658</v>
      </c>
    </row>
    <row r="127" spans="1:17" x14ac:dyDescent="0.25">
      <c r="B127" t="b">
        <f t="shared" si="53"/>
        <v>0</v>
      </c>
      <c r="C127" t="b">
        <f t="shared" si="54"/>
        <v>0</v>
      </c>
      <c r="D127">
        <f t="shared" si="55"/>
        <v>1</v>
      </c>
      <c r="E127" t="str">
        <f t="shared" si="56"/>
        <v>6. Conclusion</v>
      </c>
      <c r="F127" t="str">
        <f t="shared" si="57"/>
        <v/>
      </c>
      <c r="G127" t="str">
        <f t="shared" si="58"/>
        <v/>
      </c>
      <c r="H127">
        <f t="shared" si="59"/>
        <v>0</v>
      </c>
      <c r="I127">
        <f t="shared" si="60"/>
        <v>0</v>
      </c>
      <c r="J127">
        <f t="shared" si="51"/>
        <v>6658</v>
      </c>
      <c r="K127">
        <f t="shared" si="61"/>
        <v>1</v>
      </c>
      <c r="L127">
        <f t="shared" si="62"/>
        <v>50</v>
      </c>
      <c r="M127" s="5">
        <f t="shared" si="63"/>
        <v>58</v>
      </c>
      <c r="N127" s="4">
        <f t="shared" si="65"/>
        <v>1</v>
      </c>
      <c r="O127">
        <f t="shared" si="66"/>
        <v>50</v>
      </c>
      <c r="P127">
        <f t="shared" si="52"/>
        <v>58</v>
      </c>
      <c r="Q127">
        <f t="shared" si="64"/>
        <v>6658</v>
      </c>
    </row>
    <row r="128" spans="1:17" x14ac:dyDescent="0.25">
      <c r="B128" t="b">
        <f t="shared" si="53"/>
        <v>0</v>
      </c>
      <c r="C128" t="b">
        <f t="shared" si="54"/>
        <v>0</v>
      </c>
      <c r="D128">
        <f t="shared" si="55"/>
        <v>1</v>
      </c>
      <c r="E128" t="str">
        <f t="shared" si="56"/>
        <v>6. Conclusion</v>
      </c>
      <c r="F128" t="str">
        <f t="shared" si="57"/>
        <v/>
      </c>
      <c r="G128" t="str">
        <f t="shared" si="58"/>
        <v/>
      </c>
      <c r="H128">
        <f t="shared" si="59"/>
        <v>0</v>
      </c>
      <c r="I128">
        <f t="shared" si="60"/>
        <v>0</v>
      </c>
      <c r="J128">
        <f t="shared" si="51"/>
        <v>6658</v>
      </c>
      <c r="K128">
        <f t="shared" si="61"/>
        <v>1</v>
      </c>
      <c r="L128">
        <f t="shared" si="62"/>
        <v>50</v>
      </c>
      <c r="M128" s="5">
        <f t="shared" si="63"/>
        <v>58</v>
      </c>
      <c r="N128" s="4">
        <f t="shared" si="65"/>
        <v>1</v>
      </c>
      <c r="O128">
        <f t="shared" si="66"/>
        <v>50</v>
      </c>
      <c r="P128">
        <f t="shared" si="52"/>
        <v>58</v>
      </c>
      <c r="Q128">
        <f t="shared" si="64"/>
        <v>6658</v>
      </c>
    </row>
    <row r="129" spans="2:17" x14ac:dyDescent="0.25">
      <c r="B129" t="b">
        <f t="shared" si="53"/>
        <v>0</v>
      </c>
      <c r="C129" t="b">
        <f t="shared" si="54"/>
        <v>0</v>
      </c>
      <c r="D129">
        <f t="shared" si="55"/>
        <v>1</v>
      </c>
      <c r="E129" t="str">
        <f t="shared" si="56"/>
        <v>6. Conclusion</v>
      </c>
      <c r="F129" t="str">
        <f t="shared" si="57"/>
        <v/>
      </c>
      <c r="G129" t="str">
        <f t="shared" si="58"/>
        <v/>
      </c>
      <c r="H129">
        <f t="shared" si="59"/>
        <v>0</v>
      </c>
      <c r="I129">
        <f t="shared" si="60"/>
        <v>0</v>
      </c>
      <c r="J129">
        <f t="shared" si="51"/>
        <v>6658</v>
      </c>
      <c r="K129">
        <f t="shared" si="61"/>
        <v>1</v>
      </c>
      <c r="L129">
        <f t="shared" si="62"/>
        <v>50</v>
      </c>
      <c r="M129" s="5">
        <f t="shared" si="63"/>
        <v>58</v>
      </c>
      <c r="N129" s="4">
        <f t="shared" si="65"/>
        <v>1</v>
      </c>
      <c r="O129">
        <f t="shared" si="66"/>
        <v>50</v>
      </c>
      <c r="P129">
        <f t="shared" si="52"/>
        <v>58</v>
      </c>
      <c r="Q129">
        <f t="shared" si="64"/>
        <v>6658</v>
      </c>
    </row>
    <row r="130" spans="2:17" x14ac:dyDescent="0.25">
      <c r="B130" t="b">
        <f t="shared" si="53"/>
        <v>0</v>
      </c>
      <c r="C130" t="b">
        <f t="shared" si="54"/>
        <v>0</v>
      </c>
      <c r="D130">
        <f t="shared" si="55"/>
        <v>1</v>
      </c>
      <c r="E130" t="str">
        <f t="shared" si="56"/>
        <v>6. Conclusion</v>
      </c>
      <c r="F130" t="str">
        <f t="shared" si="57"/>
        <v/>
      </c>
      <c r="G130" t="str">
        <f t="shared" si="58"/>
        <v/>
      </c>
      <c r="H130">
        <f t="shared" si="59"/>
        <v>0</v>
      </c>
      <c r="I130">
        <f t="shared" si="60"/>
        <v>0</v>
      </c>
      <c r="J130">
        <f t="shared" si="51"/>
        <v>6658</v>
      </c>
      <c r="K130">
        <f t="shared" si="61"/>
        <v>1</v>
      </c>
      <c r="L130">
        <f t="shared" si="62"/>
        <v>50</v>
      </c>
      <c r="M130" s="5">
        <f t="shared" si="63"/>
        <v>58</v>
      </c>
      <c r="N130" s="4">
        <f t="shared" si="65"/>
        <v>1</v>
      </c>
      <c r="O130">
        <f t="shared" si="66"/>
        <v>50</v>
      </c>
      <c r="P130">
        <f t="shared" si="52"/>
        <v>58</v>
      </c>
      <c r="Q130">
        <f t="shared" si="64"/>
        <v>6658</v>
      </c>
    </row>
    <row r="131" spans="2:17" x14ac:dyDescent="0.25">
      <c r="B131" t="b">
        <f t="shared" si="53"/>
        <v>0</v>
      </c>
      <c r="C131" t="b">
        <f t="shared" si="54"/>
        <v>0</v>
      </c>
      <c r="D131">
        <f t="shared" si="55"/>
        <v>1</v>
      </c>
      <c r="E131" t="str">
        <f t="shared" si="56"/>
        <v>6. Conclusion</v>
      </c>
      <c r="F131" t="str">
        <f t="shared" si="57"/>
        <v/>
      </c>
      <c r="G131" t="str">
        <f t="shared" si="58"/>
        <v/>
      </c>
      <c r="H131">
        <f t="shared" si="59"/>
        <v>0</v>
      </c>
      <c r="I131">
        <f t="shared" si="60"/>
        <v>0</v>
      </c>
      <c r="J131">
        <f t="shared" si="51"/>
        <v>6658</v>
      </c>
      <c r="K131">
        <f t="shared" si="61"/>
        <v>1</v>
      </c>
      <c r="L131">
        <f t="shared" si="62"/>
        <v>50</v>
      </c>
      <c r="M131" s="5">
        <f t="shared" si="63"/>
        <v>58</v>
      </c>
      <c r="N131" s="4">
        <f t="shared" si="65"/>
        <v>1</v>
      </c>
      <c r="O131">
        <f t="shared" si="66"/>
        <v>50</v>
      </c>
      <c r="P131">
        <f t="shared" si="52"/>
        <v>58</v>
      </c>
      <c r="Q131">
        <f t="shared" si="64"/>
        <v>6658</v>
      </c>
    </row>
    <row r="132" spans="2:17" x14ac:dyDescent="0.25">
      <c r="B132" t="b">
        <f t="shared" si="53"/>
        <v>0</v>
      </c>
      <c r="C132" t="b">
        <f t="shared" si="54"/>
        <v>0</v>
      </c>
      <c r="D132">
        <f t="shared" si="55"/>
        <v>1</v>
      </c>
      <c r="E132" t="str">
        <f t="shared" si="56"/>
        <v>6. Conclusion</v>
      </c>
      <c r="F132" t="str">
        <f t="shared" si="57"/>
        <v/>
      </c>
      <c r="G132" t="str">
        <f t="shared" si="58"/>
        <v/>
      </c>
      <c r="H132">
        <f t="shared" si="59"/>
        <v>0</v>
      </c>
      <c r="I132">
        <f t="shared" si="60"/>
        <v>0</v>
      </c>
      <c r="J132">
        <f t="shared" si="51"/>
        <v>6658</v>
      </c>
      <c r="K132">
        <f t="shared" si="61"/>
        <v>1</v>
      </c>
      <c r="L132">
        <f t="shared" si="62"/>
        <v>50</v>
      </c>
      <c r="M132" s="5">
        <f t="shared" si="63"/>
        <v>58</v>
      </c>
      <c r="N132" s="4">
        <f t="shared" si="65"/>
        <v>1</v>
      </c>
      <c r="O132">
        <f t="shared" si="66"/>
        <v>50</v>
      </c>
      <c r="P132">
        <f t="shared" si="52"/>
        <v>58</v>
      </c>
      <c r="Q132">
        <f t="shared" si="64"/>
        <v>6658</v>
      </c>
    </row>
    <row r="133" spans="2:17" x14ac:dyDescent="0.25">
      <c r="B133" t="b">
        <f t="shared" si="53"/>
        <v>0</v>
      </c>
      <c r="C133" t="b">
        <f t="shared" si="54"/>
        <v>0</v>
      </c>
      <c r="D133">
        <f t="shared" si="55"/>
        <v>1</v>
      </c>
      <c r="E133" t="str">
        <f t="shared" si="56"/>
        <v>6. Conclusion</v>
      </c>
      <c r="F133" t="str">
        <f t="shared" si="57"/>
        <v/>
      </c>
      <c r="G133" t="str">
        <f t="shared" si="58"/>
        <v/>
      </c>
      <c r="H133">
        <f t="shared" si="59"/>
        <v>0</v>
      </c>
      <c r="I133">
        <f t="shared" si="60"/>
        <v>0</v>
      </c>
      <c r="J133">
        <f t="shared" si="51"/>
        <v>6658</v>
      </c>
      <c r="K133">
        <f t="shared" si="61"/>
        <v>1</v>
      </c>
      <c r="L133">
        <f t="shared" si="62"/>
        <v>50</v>
      </c>
      <c r="M133" s="5">
        <f t="shared" si="63"/>
        <v>58</v>
      </c>
      <c r="N133" s="4">
        <f t="shared" si="65"/>
        <v>1</v>
      </c>
      <c r="O133">
        <f t="shared" si="66"/>
        <v>50</v>
      </c>
      <c r="P133">
        <f t="shared" si="52"/>
        <v>58</v>
      </c>
      <c r="Q133">
        <f t="shared" si="64"/>
        <v>6658</v>
      </c>
    </row>
    <row r="134" spans="2:17" x14ac:dyDescent="0.25">
      <c r="B134" t="b">
        <f t="shared" si="53"/>
        <v>0</v>
      </c>
      <c r="C134" t="b">
        <f t="shared" si="54"/>
        <v>0</v>
      </c>
      <c r="D134">
        <f t="shared" si="55"/>
        <v>1</v>
      </c>
      <c r="E134" t="str">
        <f t="shared" si="56"/>
        <v>6. Conclusion</v>
      </c>
      <c r="F134" t="str">
        <f t="shared" si="57"/>
        <v/>
      </c>
      <c r="G134" t="str">
        <f t="shared" si="58"/>
        <v/>
      </c>
      <c r="H134">
        <f t="shared" si="59"/>
        <v>0</v>
      </c>
      <c r="I134">
        <f t="shared" si="60"/>
        <v>0</v>
      </c>
      <c r="J134">
        <f t="shared" si="51"/>
        <v>6658</v>
      </c>
      <c r="K134">
        <f t="shared" si="61"/>
        <v>1</v>
      </c>
      <c r="L134">
        <f t="shared" si="62"/>
        <v>50</v>
      </c>
      <c r="M134" s="5">
        <f t="shared" si="63"/>
        <v>58</v>
      </c>
      <c r="N134" s="4">
        <f t="shared" si="65"/>
        <v>1</v>
      </c>
      <c r="O134">
        <f t="shared" si="66"/>
        <v>50</v>
      </c>
      <c r="P134">
        <f t="shared" si="52"/>
        <v>58</v>
      </c>
      <c r="Q134">
        <f t="shared" si="64"/>
        <v>6658</v>
      </c>
    </row>
    <row r="135" spans="2:17" x14ac:dyDescent="0.25">
      <c r="B135" t="b">
        <f t="shared" si="53"/>
        <v>0</v>
      </c>
      <c r="C135" t="b">
        <f t="shared" si="54"/>
        <v>0</v>
      </c>
      <c r="D135">
        <f t="shared" si="55"/>
        <v>1</v>
      </c>
      <c r="E135" t="str">
        <f t="shared" si="56"/>
        <v>6. Conclusion</v>
      </c>
      <c r="F135" t="str">
        <f t="shared" si="57"/>
        <v/>
      </c>
      <c r="G135" t="str">
        <f t="shared" si="58"/>
        <v/>
      </c>
      <c r="H135">
        <f t="shared" si="59"/>
        <v>0</v>
      </c>
      <c r="I135">
        <f t="shared" si="60"/>
        <v>0</v>
      </c>
      <c r="J135">
        <f t="shared" si="51"/>
        <v>6658</v>
      </c>
      <c r="K135">
        <f t="shared" si="61"/>
        <v>1</v>
      </c>
      <c r="L135">
        <f t="shared" si="62"/>
        <v>50</v>
      </c>
      <c r="M135" s="5">
        <f t="shared" si="63"/>
        <v>58</v>
      </c>
      <c r="N135" s="4">
        <f t="shared" si="65"/>
        <v>1</v>
      </c>
      <c r="O135">
        <f t="shared" si="66"/>
        <v>50</v>
      </c>
      <c r="P135">
        <f t="shared" si="52"/>
        <v>58</v>
      </c>
      <c r="Q135">
        <f t="shared" si="64"/>
        <v>6658</v>
      </c>
    </row>
    <row r="136" spans="2:17" x14ac:dyDescent="0.25">
      <c r="B136" t="b">
        <f t="shared" si="53"/>
        <v>0</v>
      </c>
      <c r="C136" t="b">
        <f t="shared" si="54"/>
        <v>0</v>
      </c>
      <c r="D136">
        <f t="shared" si="55"/>
        <v>1</v>
      </c>
      <c r="E136" t="str">
        <f t="shared" si="56"/>
        <v>6. Conclusion</v>
      </c>
      <c r="F136" t="str">
        <f t="shared" si="57"/>
        <v/>
      </c>
      <c r="G136" t="str">
        <f t="shared" si="58"/>
        <v/>
      </c>
      <c r="H136">
        <f t="shared" si="59"/>
        <v>0</v>
      </c>
      <c r="I136">
        <f t="shared" si="60"/>
        <v>0</v>
      </c>
      <c r="J136">
        <f t="shared" si="51"/>
        <v>6658</v>
      </c>
      <c r="K136">
        <f t="shared" si="61"/>
        <v>1</v>
      </c>
      <c r="L136">
        <f t="shared" si="62"/>
        <v>50</v>
      </c>
      <c r="M136" s="5">
        <f t="shared" si="63"/>
        <v>58</v>
      </c>
      <c r="N136" s="4">
        <f t="shared" si="65"/>
        <v>1</v>
      </c>
      <c r="O136">
        <f t="shared" si="66"/>
        <v>50</v>
      </c>
      <c r="P136">
        <f t="shared" si="52"/>
        <v>58</v>
      </c>
      <c r="Q136">
        <f t="shared" si="64"/>
        <v>6658</v>
      </c>
    </row>
    <row r="137" spans="2:17" x14ac:dyDescent="0.25">
      <c r="B137" t="b">
        <f t="shared" si="53"/>
        <v>0</v>
      </c>
      <c r="C137" t="b">
        <f t="shared" si="54"/>
        <v>0</v>
      </c>
      <c r="D137">
        <f t="shared" si="55"/>
        <v>1</v>
      </c>
      <c r="E137" t="str">
        <f t="shared" si="56"/>
        <v>6. Conclusion</v>
      </c>
      <c r="F137" t="str">
        <f t="shared" si="57"/>
        <v/>
      </c>
      <c r="G137" t="str">
        <f t="shared" si="58"/>
        <v/>
      </c>
      <c r="H137">
        <f t="shared" si="59"/>
        <v>0</v>
      </c>
      <c r="I137">
        <f t="shared" si="60"/>
        <v>0</v>
      </c>
      <c r="J137">
        <f t="shared" si="51"/>
        <v>6658</v>
      </c>
      <c r="K137">
        <f t="shared" si="61"/>
        <v>1</v>
      </c>
      <c r="L137">
        <f t="shared" si="62"/>
        <v>50</v>
      </c>
      <c r="M137" s="5">
        <f t="shared" si="63"/>
        <v>58</v>
      </c>
      <c r="N137" s="4">
        <f t="shared" si="65"/>
        <v>1</v>
      </c>
      <c r="O137">
        <f t="shared" si="66"/>
        <v>50</v>
      </c>
      <c r="P137">
        <f t="shared" si="52"/>
        <v>58</v>
      </c>
      <c r="Q137">
        <f t="shared" si="64"/>
        <v>6658</v>
      </c>
    </row>
    <row r="138" spans="2:17" x14ac:dyDescent="0.25">
      <c r="B138" t="b">
        <f t="shared" si="53"/>
        <v>0</v>
      </c>
      <c r="C138" t="b">
        <f t="shared" si="54"/>
        <v>0</v>
      </c>
      <c r="D138">
        <f t="shared" si="55"/>
        <v>1</v>
      </c>
      <c r="E138" t="str">
        <f t="shared" si="56"/>
        <v>6. Conclusion</v>
      </c>
      <c r="F138" t="str">
        <f t="shared" si="57"/>
        <v/>
      </c>
      <c r="G138" t="str">
        <f t="shared" si="58"/>
        <v/>
      </c>
      <c r="H138">
        <f t="shared" si="59"/>
        <v>0</v>
      </c>
      <c r="I138">
        <f t="shared" si="60"/>
        <v>0</v>
      </c>
      <c r="J138">
        <f t="shared" si="51"/>
        <v>6658</v>
      </c>
      <c r="K138">
        <f t="shared" si="61"/>
        <v>1</v>
      </c>
      <c r="L138">
        <f t="shared" si="62"/>
        <v>50</v>
      </c>
      <c r="M138" s="5">
        <f t="shared" si="63"/>
        <v>58</v>
      </c>
      <c r="N138" s="4">
        <f t="shared" si="65"/>
        <v>1</v>
      </c>
      <c r="O138">
        <f t="shared" si="66"/>
        <v>50</v>
      </c>
      <c r="P138">
        <f t="shared" si="52"/>
        <v>58</v>
      </c>
      <c r="Q138">
        <f t="shared" si="64"/>
        <v>6658</v>
      </c>
    </row>
    <row r="139" spans="2:17" x14ac:dyDescent="0.25">
      <c r="B139" t="b">
        <f t="shared" si="53"/>
        <v>0</v>
      </c>
      <c r="C139" t="b">
        <f t="shared" si="54"/>
        <v>0</v>
      </c>
      <c r="D139">
        <f t="shared" si="55"/>
        <v>1</v>
      </c>
      <c r="E139" t="str">
        <f t="shared" si="56"/>
        <v>6. Conclusion</v>
      </c>
      <c r="F139" t="str">
        <f t="shared" si="57"/>
        <v/>
      </c>
      <c r="G139" t="str">
        <f t="shared" si="58"/>
        <v/>
      </c>
      <c r="H139">
        <f t="shared" si="59"/>
        <v>0</v>
      </c>
      <c r="I139">
        <f t="shared" si="60"/>
        <v>0</v>
      </c>
      <c r="J139">
        <f t="shared" si="51"/>
        <v>6658</v>
      </c>
      <c r="K139">
        <f t="shared" si="61"/>
        <v>1</v>
      </c>
      <c r="L139">
        <f t="shared" si="62"/>
        <v>50</v>
      </c>
      <c r="M139" s="5">
        <f t="shared" si="63"/>
        <v>58</v>
      </c>
      <c r="N139" s="4">
        <f t="shared" si="65"/>
        <v>1</v>
      </c>
      <c r="O139">
        <f t="shared" si="66"/>
        <v>50</v>
      </c>
      <c r="P139">
        <f t="shared" si="52"/>
        <v>58</v>
      </c>
      <c r="Q139">
        <f t="shared" si="64"/>
        <v>6658</v>
      </c>
    </row>
    <row r="140" spans="2:17" x14ac:dyDescent="0.25">
      <c r="B140" t="b">
        <f t="shared" si="53"/>
        <v>0</v>
      </c>
      <c r="C140" t="b">
        <f t="shared" si="54"/>
        <v>0</v>
      </c>
      <c r="D140">
        <f t="shared" si="55"/>
        <v>1</v>
      </c>
      <c r="E140" t="str">
        <f t="shared" si="56"/>
        <v>6. Conclusion</v>
      </c>
      <c r="F140" t="str">
        <f t="shared" si="57"/>
        <v/>
      </c>
      <c r="G140" t="str">
        <f t="shared" si="58"/>
        <v/>
      </c>
      <c r="H140">
        <f t="shared" si="59"/>
        <v>0</v>
      </c>
      <c r="I140">
        <f t="shared" si="60"/>
        <v>0</v>
      </c>
      <c r="J140">
        <f t="shared" ref="J140:J170" si="67">J139+(H140*60+I140)</f>
        <v>6658</v>
      </c>
      <c r="K140">
        <f t="shared" si="61"/>
        <v>1</v>
      </c>
      <c r="L140">
        <f t="shared" si="62"/>
        <v>50</v>
      </c>
      <c r="M140" s="5">
        <f t="shared" si="63"/>
        <v>58</v>
      </c>
      <c r="N140" s="4">
        <f t="shared" si="65"/>
        <v>1</v>
      </c>
      <c r="O140">
        <f t="shared" si="66"/>
        <v>50</v>
      </c>
      <c r="P140">
        <f t="shared" ref="P140:P170" si="68">M140</f>
        <v>58</v>
      </c>
      <c r="Q140">
        <f t="shared" si="64"/>
        <v>6658</v>
      </c>
    </row>
    <row r="141" spans="2:17" x14ac:dyDescent="0.25">
      <c r="B141" t="b">
        <f t="shared" si="53"/>
        <v>0</v>
      </c>
      <c r="C141" t="b">
        <f t="shared" si="54"/>
        <v>0</v>
      </c>
      <c r="D141">
        <f t="shared" si="55"/>
        <v>1</v>
      </c>
      <c r="E141" t="str">
        <f t="shared" si="56"/>
        <v>6. Conclusion</v>
      </c>
      <c r="F141" t="str">
        <f t="shared" si="57"/>
        <v/>
      </c>
      <c r="G141" t="str">
        <f t="shared" si="58"/>
        <v/>
      </c>
      <c r="H141">
        <f t="shared" si="59"/>
        <v>0</v>
      </c>
      <c r="I141">
        <f t="shared" si="60"/>
        <v>0</v>
      </c>
      <c r="J141">
        <f t="shared" si="67"/>
        <v>6658</v>
      </c>
      <c r="K141">
        <f t="shared" si="61"/>
        <v>1</v>
      </c>
      <c r="L141">
        <f t="shared" si="62"/>
        <v>50</v>
      </c>
      <c r="M141" s="5">
        <f t="shared" si="63"/>
        <v>58</v>
      </c>
      <c r="N141" s="4">
        <f t="shared" si="65"/>
        <v>1</v>
      </c>
      <c r="O141">
        <f t="shared" si="66"/>
        <v>50</v>
      </c>
      <c r="P141">
        <f t="shared" si="68"/>
        <v>58</v>
      </c>
      <c r="Q141">
        <f t="shared" si="64"/>
        <v>6658</v>
      </c>
    </row>
    <row r="142" spans="2:17" x14ac:dyDescent="0.25">
      <c r="B142" t="b">
        <f t="shared" ref="B142:B170" si="69">AND(NOT(ISERROR(FIND(". ",A142))),ISNUMBER(VALUE(LEFT(A142,FIND(". ",A142)-1))))</f>
        <v>0</v>
      </c>
      <c r="C142" t="b">
        <f t="shared" ref="C142:C170" si="70">OR(AND(NOT(ISERROR(FIND("m",A143))),ISNUMBER(VALUE(LEFT(A143,FIND("m",A143)-1)))),AND(NOT(ISERROR(FIND("s",A143))),ISNUMBER(VALUE(LEFT(A143,FIND("s",A143)-1)))))</f>
        <v>0</v>
      </c>
      <c r="D142">
        <f t="shared" ref="D142:D170" si="71">IF(B142,0,IF(C142,D141+1,D141))</f>
        <v>1</v>
      </c>
      <c r="E142" t="str">
        <f t="shared" ref="E142:E170" si="72">IF(B142,A142,E141)</f>
        <v>6. Conclusion</v>
      </c>
      <c r="F142" t="str">
        <f t="shared" ref="F142:F170" si="73">IF(C142,D142&amp;". "&amp;A142,"")</f>
        <v/>
      </c>
      <c r="G142" t="str">
        <f t="shared" ref="G142:G170" si="74">IF(C142,IF(ISERROR(FIND("s",A143)),LEFT(A143,FIND("m",A143)),LEFT(A143,FIND("s",A143))),"")</f>
        <v/>
      </c>
      <c r="H142">
        <f t="shared" ref="H142:H170" si="75">IF(OR(G142="",ISERROR(FIND("m",G142))),0,VALUE(LEFT(G142,FIND("m",G142)-1)))</f>
        <v>0</v>
      </c>
      <c r="I142">
        <f t="shared" ref="I142:I170" si="76">IF(OR(G142="",ISERROR(FIND("s",G142))),0,VALUE(SUBSTITUTE(MID(G142,IF(ISERROR(FIND("m",G142)), 0,FIND("m",G142))+1,LEN(G142)),"s","")))</f>
        <v>0</v>
      </c>
      <c r="J142">
        <f t="shared" si="67"/>
        <v>6658</v>
      </c>
      <c r="K142">
        <f t="shared" ref="K142:K170" si="77">INT(J142/60/60)</f>
        <v>1</v>
      </c>
      <c r="L142">
        <f t="shared" ref="L142:L170" si="78">INT((J142-(K142*60*60))/60)</f>
        <v>50</v>
      </c>
      <c r="M142" s="5">
        <f t="shared" ref="M142:M170" si="79">J142-(((K142*60)+L142)*60)</f>
        <v>58</v>
      </c>
      <c r="N142" s="4">
        <f t="shared" si="65"/>
        <v>1</v>
      </c>
      <c r="O142">
        <f t="shared" si="66"/>
        <v>50</v>
      </c>
      <c r="P142">
        <f t="shared" si="68"/>
        <v>58</v>
      </c>
      <c r="Q142">
        <f t="shared" ref="Q142:Q170" si="80">((N142*60)+O142)*60+P142</f>
        <v>6658</v>
      </c>
    </row>
    <row r="143" spans="2:17" x14ac:dyDescent="0.25">
      <c r="B143" t="b">
        <f t="shared" si="69"/>
        <v>0</v>
      </c>
      <c r="C143" t="b">
        <f t="shared" si="70"/>
        <v>0</v>
      </c>
      <c r="D143">
        <f t="shared" si="71"/>
        <v>1</v>
      </c>
      <c r="E143" t="str">
        <f t="shared" si="72"/>
        <v>6. Conclusion</v>
      </c>
      <c r="F143" t="str">
        <f t="shared" si="73"/>
        <v/>
      </c>
      <c r="G143" t="str">
        <f t="shared" si="74"/>
        <v/>
      </c>
      <c r="H143">
        <f t="shared" si="75"/>
        <v>0</v>
      </c>
      <c r="I143">
        <f t="shared" si="76"/>
        <v>0</v>
      </c>
      <c r="J143">
        <f t="shared" si="67"/>
        <v>6658</v>
      </c>
      <c r="K143">
        <f t="shared" si="77"/>
        <v>1</v>
      </c>
      <c r="L143">
        <f t="shared" si="78"/>
        <v>50</v>
      </c>
      <c r="M143" s="5">
        <f t="shared" si="79"/>
        <v>58</v>
      </c>
      <c r="N143" s="4">
        <f t="shared" si="65"/>
        <v>1</v>
      </c>
      <c r="O143">
        <f t="shared" si="66"/>
        <v>50</v>
      </c>
      <c r="P143">
        <f t="shared" si="68"/>
        <v>58</v>
      </c>
      <c r="Q143">
        <f t="shared" si="80"/>
        <v>6658</v>
      </c>
    </row>
    <row r="144" spans="2:17" x14ac:dyDescent="0.25">
      <c r="B144" t="b">
        <f t="shared" si="69"/>
        <v>0</v>
      </c>
      <c r="C144" t="b">
        <f t="shared" si="70"/>
        <v>0</v>
      </c>
      <c r="D144">
        <f t="shared" si="71"/>
        <v>1</v>
      </c>
      <c r="E144" t="str">
        <f t="shared" si="72"/>
        <v>6. Conclusion</v>
      </c>
      <c r="F144" t="str">
        <f t="shared" si="73"/>
        <v/>
      </c>
      <c r="G144" t="str">
        <f t="shared" si="74"/>
        <v/>
      </c>
      <c r="H144">
        <f t="shared" si="75"/>
        <v>0</v>
      </c>
      <c r="I144">
        <f t="shared" si="76"/>
        <v>0</v>
      </c>
      <c r="J144">
        <f t="shared" si="67"/>
        <v>6658</v>
      </c>
      <c r="K144">
        <f t="shared" si="77"/>
        <v>1</v>
      </c>
      <c r="L144">
        <f t="shared" si="78"/>
        <v>50</v>
      </c>
      <c r="M144" s="5">
        <f t="shared" si="79"/>
        <v>58</v>
      </c>
      <c r="N144" s="4">
        <f t="shared" si="65"/>
        <v>1</v>
      </c>
      <c r="O144">
        <f t="shared" si="66"/>
        <v>50</v>
      </c>
      <c r="P144">
        <f t="shared" si="68"/>
        <v>58</v>
      </c>
      <c r="Q144">
        <f t="shared" si="80"/>
        <v>6658</v>
      </c>
    </row>
    <row r="145" spans="2:17" x14ac:dyDescent="0.25">
      <c r="B145" t="b">
        <f t="shared" si="69"/>
        <v>0</v>
      </c>
      <c r="C145" t="b">
        <f t="shared" si="70"/>
        <v>0</v>
      </c>
      <c r="D145">
        <f t="shared" si="71"/>
        <v>1</v>
      </c>
      <c r="E145" t="str">
        <f t="shared" si="72"/>
        <v>6. Conclusion</v>
      </c>
      <c r="F145" t="str">
        <f t="shared" si="73"/>
        <v/>
      </c>
      <c r="G145" t="str">
        <f t="shared" si="74"/>
        <v/>
      </c>
      <c r="H145">
        <f t="shared" si="75"/>
        <v>0</v>
      </c>
      <c r="I145">
        <f t="shared" si="76"/>
        <v>0</v>
      </c>
      <c r="J145">
        <f t="shared" si="67"/>
        <v>6658</v>
      </c>
      <c r="K145">
        <f t="shared" si="77"/>
        <v>1</v>
      </c>
      <c r="L145">
        <f t="shared" si="78"/>
        <v>50</v>
      </c>
      <c r="M145" s="5">
        <f t="shared" si="79"/>
        <v>58</v>
      </c>
      <c r="N145" s="4">
        <f t="shared" si="65"/>
        <v>1</v>
      </c>
      <c r="O145">
        <f t="shared" si="66"/>
        <v>50</v>
      </c>
      <c r="P145">
        <f t="shared" si="68"/>
        <v>58</v>
      </c>
      <c r="Q145">
        <f t="shared" si="80"/>
        <v>6658</v>
      </c>
    </row>
    <row r="146" spans="2:17" x14ac:dyDescent="0.25">
      <c r="B146" t="b">
        <f t="shared" si="69"/>
        <v>0</v>
      </c>
      <c r="C146" t="b">
        <f t="shared" si="70"/>
        <v>0</v>
      </c>
      <c r="D146">
        <f t="shared" si="71"/>
        <v>1</v>
      </c>
      <c r="E146" t="str">
        <f t="shared" si="72"/>
        <v>6. Conclusion</v>
      </c>
      <c r="F146" t="str">
        <f t="shared" si="73"/>
        <v/>
      </c>
      <c r="G146" t="str">
        <f t="shared" si="74"/>
        <v/>
      </c>
      <c r="H146">
        <f t="shared" si="75"/>
        <v>0</v>
      </c>
      <c r="I146">
        <f t="shared" si="76"/>
        <v>0</v>
      </c>
      <c r="J146">
        <f t="shared" si="67"/>
        <v>6658</v>
      </c>
      <c r="K146">
        <f t="shared" si="77"/>
        <v>1</v>
      </c>
      <c r="L146">
        <f t="shared" si="78"/>
        <v>50</v>
      </c>
      <c r="M146" s="5">
        <f t="shared" si="79"/>
        <v>58</v>
      </c>
      <c r="N146" s="4">
        <f t="shared" si="65"/>
        <v>1</v>
      </c>
      <c r="O146">
        <f t="shared" si="66"/>
        <v>50</v>
      </c>
      <c r="P146">
        <f t="shared" si="68"/>
        <v>58</v>
      </c>
      <c r="Q146">
        <f t="shared" si="80"/>
        <v>6658</v>
      </c>
    </row>
    <row r="147" spans="2:17" x14ac:dyDescent="0.25">
      <c r="B147" t="b">
        <f t="shared" si="69"/>
        <v>0</v>
      </c>
      <c r="C147" t="b">
        <f t="shared" si="70"/>
        <v>0</v>
      </c>
      <c r="D147">
        <f t="shared" si="71"/>
        <v>1</v>
      </c>
      <c r="E147" t="str">
        <f t="shared" si="72"/>
        <v>6. Conclusion</v>
      </c>
      <c r="F147" t="str">
        <f t="shared" si="73"/>
        <v/>
      </c>
      <c r="G147" t="str">
        <f t="shared" si="74"/>
        <v/>
      </c>
      <c r="H147">
        <f t="shared" si="75"/>
        <v>0</v>
      </c>
      <c r="I147">
        <f t="shared" si="76"/>
        <v>0</v>
      </c>
      <c r="J147">
        <f t="shared" si="67"/>
        <v>6658</v>
      </c>
      <c r="K147">
        <f t="shared" si="77"/>
        <v>1</v>
      </c>
      <c r="L147">
        <f t="shared" si="78"/>
        <v>50</v>
      </c>
      <c r="M147" s="5">
        <f t="shared" si="79"/>
        <v>58</v>
      </c>
      <c r="N147" s="4">
        <f t="shared" si="65"/>
        <v>1</v>
      </c>
      <c r="O147">
        <f t="shared" si="66"/>
        <v>50</v>
      </c>
      <c r="P147">
        <f t="shared" si="68"/>
        <v>58</v>
      </c>
      <c r="Q147">
        <f t="shared" si="80"/>
        <v>6658</v>
      </c>
    </row>
    <row r="148" spans="2:17" x14ac:dyDescent="0.25">
      <c r="B148" t="b">
        <f t="shared" si="69"/>
        <v>0</v>
      </c>
      <c r="C148" t="b">
        <f t="shared" si="70"/>
        <v>0</v>
      </c>
      <c r="D148">
        <f t="shared" si="71"/>
        <v>1</v>
      </c>
      <c r="E148" t="str">
        <f t="shared" si="72"/>
        <v>6. Conclusion</v>
      </c>
      <c r="F148" t="str">
        <f t="shared" si="73"/>
        <v/>
      </c>
      <c r="G148" t="str">
        <f t="shared" si="74"/>
        <v/>
      </c>
      <c r="H148">
        <f t="shared" si="75"/>
        <v>0</v>
      </c>
      <c r="I148">
        <f t="shared" si="76"/>
        <v>0</v>
      </c>
      <c r="J148">
        <f t="shared" si="67"/>
        <v>6658</v>
      </c>
      <c r="K148">
        <f t="shared" si="77"/>
        <v>1</v>
      </c>
      <c r="L148">
        <f t="shared" si="78"/>
        <v>50</v>
      </c>
      <c r="M148" s="5">
        <f t="shared" si="79"/>
        <v>58</v>
      </c>
      <c r="N148" s="4">
        <f t="shared" si="65"/>
        <v>1</v>
      </c>
      <c r="O148">
        <f t="shared" si="66"/>
        <v>50</v>
      </c>
      <c r="P148">
        <f t="shared" si="68"/>
        <v>58</v>
      </c>
      <c r="Q148">
        <f t="shared" si="80"/>
        <v>6658</v>
      </c>
    </row>
    <row r="149" spans="2:17" x14ac:dyDescent="0.25">
      <c r="B149" t="b">
        <f t="shared" si="69"/>
        <v>0</v>
      </c>
      <c r="C149" t="b">
        <f t="shared" si="70"/>
        <v>0</v>
      </c>
      <c r="D149">
        <f t="shared" si="71"/>
        <v>1</v>
      </c>
      <c r="E149" t="str">
        <f t="shared" si="72"/>
        <v>6. Conclusion</v>
      </c>
      <c r="F149" t="str">
        <f t="shared" si="73"/>
        <v/>
      </c>
      <c r="G149" t="str">
        <f t="shared" si="74"/>
        <v/>
      </c>
      <c r="H149">
        <f t="shared" si="75"/>
        <v>0</v>
      </c>
      <c r="I149">
        <f t="shared" si="76"/>
        <v>0</v>
      </c>
      <c r="J149">
        <f t="shared" si="67"/>
        <v>6658</v>
      </c>
      <c r="K149">
        <f t="shared" si="77"/>
        <v>1</v>
      </c>
      <c r="L149">
        <f t="shared" si="78"/>
        <v>50</v>
      </c>
      <c r="M149" s="5">
        <f t="shared" si="79"/>
        <v>58</v>
      </c>
      <c r="N149" s="4">
        <f t="shared" si="65"/>
        <v>1</v>
      </c>
      <c r="O149">
        <f t="shared" si="66"/>
        <v>50</v>
      </c>
      <c r="P149">
        <f t="shared" si="68"/>
        <v>58</v>
      </c>
      <c r="Q149">
        <f t="shared" si="80"/>
        <v>6658</v>
      </c>
    </row>
    <row r="150" spans="2:17" x14ac:dyDescent="0.25">
      <c r="B150" t="b">
        <f t="shared" si="69"/>
        <v>0</v>
      </c>
      <c r="C150" t="b">
        <f t="shared" si="70"/>
        <v>0</v>
      </c>
      <c r="D150">
        <f t="shared" si="71"/>
        <v>1</v>
      </c>
      <c r="E150" t="str">
        <f t="shared" si="72"/>
        <v>6. Conclusion</v>
      </c>
      <c r="F150" t="str">
        <f t="shared" si="73"/>
        <v/>
      </c>
      <c r="G150" t="str">
        <f t="shared" si="74"/>
        <v/>
      </c>
      <c r="H150">
        <f t="shared" si="75"/>
        <v>0</v>
      </c>
      <c r="I150">
        <f t="shared" si="76"/>
        <v>0</v>
      </c>
      <c r="J150">
        <f t="shared" si="67"/>
        <v>6658</v>
      </c>
      <c r="K150">
        <f t="shared" si="77"/>
        <v>1</v>
      </c>
      <c r="L150">
        <f t="shared" si="78"/>
        <v>50</v>
      </c>
      <c r="M150" s="5">
        <f t="shared" si="79"/>
        <v>58</v>
      </c>
      <c r="N150" s="4">
        <f t="shared" si="65"/>
        <v>1</v>
      </c>
      <c r="O150">
        <f t="shared" si="66"/>
        <v>50</v>
      </c>
      <c r="P150">
        <f t="shared" si="68"/>
        <v>58</v>
      </c>
      <c r="Q150">
        <f t="shared" si="80"/>
        <v>6658</v>
      </c>
    </row>
    <row r="151" spans="2:17" x14ac:dyDescent="0.25">
      <c r="B151" t="b">
        <f t="shared" si="69"/>
        <v>0</v>
      </c>
      <c r="C151" t="b">
        <f t="shared" si="70"/>
        <v>0</v>
      </c>
      <c r="D151">
        <f t="shared" si="71"/>
        <v>1</v>
      </c>
      <c r="E151" t="str">
        <f t="shared" si="72"/>
        <v>6. Conclusion</v>
      </c>
      <c r="F151" t="str">
        <f t="shared" si="73"/>
        <v/>
      </c>
      <c r="G151" t="str">
        <f t="shared" si="74"/>
        <v/>
      </c>
      <c r="H151">
        <f t="shared" si="75"/>
        <v>0</v>
      </c>
      <c r="I151">
        <f t="shared" si="76"/>
        <v>0</v>
      </c>
      <c r="J151">
        <f t="shared" si="67"/>
        <v>6658</v>
      </c>
      <c r="K151">
        <f t="shared" si="77"/>
        <v>1</v>
      </c>
      <c r="L151">
        <f t="shared" si="78"/>
        <v>50</v>
      </c>
      <c r="M151" s="5">
        <f t="shared" si="79"/>
        <v>58</v>
      </c>
      <c r="N151" s="4">
        <f t="shared" si="65"/>
        <v>1</v>
      </c>
      <c r="O151">
        <f t="shared" si="66"/>
        <v>50</v>
      </c>
      <c r="P151">
        <f t="shared" si="68"/>
        <v>58</v>
      </c>
      <c r="Q151">
        <f t="shared" si="80"/>
        <v>6658</v>
      </c>
    </row>
    <row r="152" spans="2:17" x14ac:dyDescent="0.25">
      <c r="B152" t="b">
        <f t="shared" si="69"/>
        <v>0</v>
      </c>
      <c r="C152" t="b">
        <f t="shared" si="70"/>
        <v>0</v>
      </c>
      <c r="D152">
        <f t="shared" si="71"/>
        <v>1</v>
      </c>
      <c r="E152" t="str">
        <f t="shared" si="72"/>
        <v>6. Conclusion</v>
      </c>
      <c r="F152" t="str">
        <f t="shared" si="73"/>
        <v/>
      </c>
      <c r="G152" t="str">
        <f t="shared" si="74"/>
        <v/>
      </c>
      <c r="H152">
        <f t="shared" si="75"/>
        <v>0</v>
      </c>
      <c r="I152">
        <f t="shared" si="76"/>
        <v>0</v>
      </c>
      <c r="J152">
        <f t="shared" si="67"/>
        <v>6658</v>
      </c>
      <c r="K152">
        <f t="shared" si="77"/>
        <v>1</v>
      </c>
      <c r="L152">
        <f t="shared" si="78"/>
        <v>50</v>
      </c>
      <c r="M152" s="5">
        <f t="shared" si="79"/>
        <v>58</v>
      </c>
      <c r="N152" s="4">
        <f t="shared" si="65"/>
        <v>1</v>
      </c>
      <c r="O152">
        <f t="shared" si="66"/>
        <v>50</v>
      </c>
      <c r="P152">
        <f t="shared" si="68"/>
        <v>58</v>
      </c>
      <c r="Q152">
        <f t="shared" si="80"/>
        <v>6658</v>
      </c>
    </row>
    <row r="153" spans="2:17" x14ac:dyDescent="0.25">
      <c r="B153" t="b">
        <f t="shared" si="69"/>
        <v>0</v>
      </c>
      <c r="C153" t="b">
        <f t="shared" si="70"/>
        <v>0</v>
      </c>
      <c r="D153">
        <f t="shared" si="71"/>
        <v>1</v>
      </c>
      <c r="E153" t="str">
        <f t="shared" si="72"/>
        <v>6. Conclusion</v>
      </c>
      <c r="F153" t="str">
        <f t="shared" si="73"/>
        <v/>
      </c>
      <c r="G153" t="str">
        <f t="shared" si="74"/>
        <v/>
      </c>
      <c r="H153">
        <f t="shared" si="75"/>
        <v>0</v>
      </c>
      <c r="I153">
        <f t="shared" si="76"/>
        <v>0</v>
      </c>
      <c r="J153">
        <f t="shared" si="67"/>
        <v>6658</v>
      </c>
      <c r="K153">
        <f t="shared" si="77"/>
        <v>1</v>
      </c>
      <c r="L153">
        <f t="shared" si="78"/>
        <v>50</v>
      </c>
      <c r="M153" s="5">
        <f t="shared" si="79"/>
        <v>58</v>
      </c>
      <c r="N153" s="4">
        <f t="shared" si="65"/>
        <v>1</v>
      </c>
      <c r="O153">
        <f t="shared" si="66"/>
        <v>50</v>
      </c>
      <c r="P153">
        <f t="shared" si="68"/>
        <v>58</v>
      </c>
      <c r="Q153">
        <f t="shared" si="80"/>
        <v>6658</v>
      </c>
    </row>
    <row r="154" spans="2:17" x14ac:dyDescent="0.25">
      <c r="B154" t="b">
        <f t="shared" si="69"/>
        <v>0</v>
      </c>
      <c r="C154" t="b">
        <f t="shared" si="70"/>
        <v>0</v>
      </c>
      <c r="D154">
        <f t="shared" si="71"/>
        <v>1</v>
      </c>
      <c r="E154" t="str">
        <f t="shared" si="72"/>
        <v>6. Conclusion</v>
      </c>
      <c r="F154" t="str">
        <f t="shared" si="73"/>
        <v/>
      </c>
      <c r="G154" t="str">
        <f t="shared" si="74"/>
        <v/>
      </c>
      <c r="H154">
        <f t="shared" si="75"/>
        <v>0</v>
      </c>
      <c r="I154">
        <f t="shared" si="76"/>
        <v>0</v>
      </c>
      <c r="J154">
        <f t="shared" si="67"/>
        <v>6658</v>
      </c>
      <c r="K154">
        <f t="shared" si="77"/>
        <v>1</v>
      </c>
      <c r="L154">
        <f t="shared" si="78"/>
        <v>50</v>
      </c>
      <c r="M154" s="5">
        <f t="shared" si="79"/>
        <v>58</v>
      </c>
      <c r="N154" s="4">
        <f t="shared" si="65"/>
        <v>1</v>
      </c>
      <c r="O154">
        <f t="shared" si="66"/>
        <v>50</v>
      </c>
      <c r="P154">
        <f t="shared" si="68"/>
        <v>58</v>
      </c>
      <c r="Q154">
        <f t="shared" si="80"/>
        <v>6658</v>
      </c>
    </row>
    <row r="155" spans="2:17" x14ac:dyDescent="0.25">
      <c r="B155" t="b">
        <f t="shared" si="69"/>
        <v>0</v>
      </c>
      <c r="C155" t="b">
        <f t="shared" si="70"/>
        <v>0</v>
      </c>
      <c r="D155">
        <f t="shared" si="71"/>
        <v>1</v>
      </c>
      <c r="E155" t="str">
        <f t="shared" si="72"/>
        <v>6. Conclusion</v>
      </c>
      <c r="F155" t="str">
        <f t="shared" si="73"/>
        <v/>
      </c>
      <c r="G155" t="str">
        <f t="shared" si="74"/>
        <v/>
      </c>
      <c r="H155">
        <f t="shared" si="75"/>
        <v>0</v>
      </c>
      <c r="I155">
        <f t="shared" si="76"/>
        <v>0</v>
      </c>
      <c r="J155">
        <f t="shared" si="67"/>
        <v>6658</v>
      </c>
      <c r="K155">
        <f t="shared" si="77"/>
        <v>1</v>
      </c>
      <c r="L155">
        <f t="shared" si="78"/>
        <v>50</v>
      </c>
      <c r="M155" s="5">
        <f t="shared" si="79"/>
        <v>58</v>
      </c>
      <c r="N155" s="4">
        <f t="shared" si="65"/>
        <v>1</v>
      </c>
      <c r="O155">
        <f t="shared" si="66"/>
        <v>50</v>
      </c>
      <c r="P155">
        <f t="shared" si="68"/>
        <v>58</v>
      </c>
      <c r="Q155">
        <f t="shared" si="80"/>
        <v>6658</v>
      </c>
    </row>
    <row r="156" spans="2:17" x14ac:dyDescent="0.25">
      <c r="B156" t="b">
        <f t="shared" si="69"/>
        <v>0</v>
      </c>
      <c r="C156" t="b">
        <f t="shared" si="70"/>
        <v>0</v>
      </c>
      <c r="D156">
        <f t="shared" si="71"/>
        <v>1</v>
      </c>
      <c r="E156" t="str">
        <f t="shared" si="72"/>
        <v>6. Conclusion</v>
      </c>
      <c r="F156" t="str">
        <f t="shared" si="73"/>
        <v/>
      </c>
      <c r="G156" t="str">
        <f t="shared" si="74"/>
        <v/>
      </c>
      <c r="H156">
        <f t="shared" si="75"/>
        <v>0</v>
      </c>
      <c r="I156">
        <f t="shared" si="76"/>
        <v>0</v>
      </c>
      <c r="J156">
        <f t="shared" si="67"/>
        <v>6658</v>
      </c>
      <c r="K156">
        <f t="shared" si="77"/>
        <v>1</v>
      </c>
      <c r="L156">
        <f t="shared" si="78"/>
        <v>50</v>
      </c>
      <c r="M156" s="5">
        <f t="shared" si="79"/>
        <v>58</v>
      </c>
      <c r="N156" s="4">
        <f t="shared" si="65"/>
        <v>1</v>
      </c>
      <c r="O156">
        <f t="shared" si="66"/>
        <v>50</v>
      </c>
      <c r="P156">
        <f t="shared" si="68"/>
        <v>58</v>
      </c>
      <c r="Q156">
        <f t="shared" si="80"/>
        <v>6658</v>
      </c>
    </row>
    <row r="157" spans="2:17" x14ac:dyDescent="0.25">
      <c r="B157" t="b">
        <f t="shared" si="69"/>
        <v>0</v>
      </c>
      <c r="C157" t="b">
        <f t="shared" si="70"/>
        <v>0</v>
      </c>
      <c r="D157">
        <f t="shared" si="71"/>
        <v>1</v>
      </c>
      <c r="E157" t="str">
        <f t="shared" si="72"/>
        <v>6. Conclusion</v>
      </c>
      <c r="F157" t="str">
        <f t="shared" si="73"/>
        <v/>
      </c>
      <c r="G157" t="str">
        <f t="shared" si="74"/>
        <v/>
      </c>
      <c r="H157">
        <f t="shared" si="75"/>
        <v>0</v>
      </c>
      <c r="I157">
        <f t="shared" si="76"/>
        <v>0</v>
      </c>
      <c r="J157">
        <f t="shared" si="67"/>
        <v>6658</v>
      </c>
      <c r="K157">
        <f t="shared" si="77"/>
        <v>1</v>
      </c>
      <c r="L157">
        <f t="shared" si="78"/>
        <v>50</v>
      </c>
      <c r="M157" s="5">
        <f t="shared" si="79"/>
        <v>58</v>
      </c>
      <c r="N157" s="4">
        <f t="shared" si="65"/>
        <v>1</v>
      </c>
      <c r="O157">
        <f t="shared" si="66"/>
        <v>50</v>
      </c>
      <c r="P157">
        <f t="shared" si="68"/>
        <v>58</v>
      </c>
      <c r="Q157">
        <f t="shared" si="80"/>
        <v>6658</v>
      </c>
    </row>
    <row r="158" spans="2:17" x14ac:dyDescent="0.25">
      <c r="B158" t="b">
        <f t="shared" si="69"/>
        <v>0</v>
      </c>
      <c r="C158" t="b">
        <f t="shared" si="70"/>
        <v>0</v>
      </c>
      <c r="D158">
        <f t="shared" si="71"/>
        <v>1</v>
      </c>
      <c r="E158" t="str">
        <f t="shared" si="72"/>
        <v>6. Conclusion</v>
      </c>
      <c r="F158" t="str">
        <f t="shared" si="73"/>
        <v/>
      </c>
      <c r="G158" t="str">
        <f t="shared" si="74"/>
        <v/>
      </c>
      <c r="H158">
        <f t="shared" si="75"/>
        <v>0</v>
      </c>
      <c r="I158">
        <f t="shared" si="76"/>
        <v>0</v>
      </c>
      <c r="J158">
        <f t="shared" si="67"/>
        <v>6658</v>
      </c>
      <c r="K158">
        <f t="shared" si="77"/>
        <v>1</v>
      </c>
      <c r="L158">
        <f t="shared" si="78"/>
        <v>50</v>
      </c>
      <c r="M158" s="5">
        <f t="shared" si="79"/>
        <v>58</v>
      </c>
      <c r="N158" s="4">
        <f t="shared" ref="N158:N170" si="81">K158</f>
        <v>1</v>
      </c>
      <c r="O158">
        <f t="shared" ref="O158:O170" si="82">L158</f>
        <v>50</v>
      </c>
      <c r="P158">
        <f t="shared" si="68"/>
        <v>58</v>
      </c>
      <c r="Q158">
        <f t="shared" si="80"/>
        <v>6658</v>
      </c>
    </row>
    <row r="159" spans="2:17" x14ac:dyDescent="0.25">
      <c r="B159" t="b">
        <f t="shared" si="69"/>
        <v>0</v>
      </c>
      <c r="C159" t="b">
        <f t="shared" si="70"/>
        <v>0</v>
      </c>
      <c r="D159">
        <f t="shared" si="71"/>
        <v>1</v>
      </c>
      <c r="E159" t="str">
        <f t="shared" si="72"/>
        <v>6. Conclusion</v>
      </c>
      <c r="F159" t="str">
        <f t="shared" si="73"/>
        <v/>
      </c>
      <c r="G159" t="str">
        <f t="shared" si="74"/>
        <v/>
      </c>
      <c r="H159">
        <f t="shared" si="75"/>
        <v>0</v>
      </c>
      <c r="I159">
        <f t="shared" si="76"/>
        <v>0</v>
      </c>
      <c r="J159">
        <f t="shared" si="67"/>
        <v>6658</v>
      </c>
      <c r="K159">
        <f t="shared" si="77"/>
        <v>1</v>
      </c>
      <c r="L159">
        <f t="shared" si="78"/>
        <v>50</v>
      </c>
      <c r="M159" s="5">
        <f t="shared" si="79"/>
        <v>58</v>
      </c>
      <c r="N159" s="4">
        <f t="shared" si="81"/>
        <v>1</v>
      </c>
      <c r="O159">
        <f t="shared" si="82"/>
        <v>50</v>
      </c>
      <c r="P159">
        <f t="shared" si="68"/>
        <v>58</v>
      </c>
      <c r="Q159">
        <f t="shared" si="80"/>
        <v>6658</v>
      </c>
    </row>
    <row r="160" spans="2:17" x14ac:dyDescent="0.25">
      <c r="B160" t="b">
        <f t="shared" si="69"/>
        <v>0</v>
      </c>
      <c r="C160" t="b">
        <f t="shared" si="70"/>
        <v>0</v>
      </c>
      <c r="D160">
        <f t="shared" si="71"/>
        <v>1</v>
      </c>
      <c r="E160" t="str">
        <f t="shared" si="72"/>
        <v>6. Conclusion</v>
      </c>
      <c r="F160" t="str">
        <f t="shared" si="73"/>
        <v/>
      </c>
      <c r="G160" t="str">
        <f t="shared" si="74"/>
        <v/>
      </c>
      <c r="H160">
        <f t="shared" si="75"/>
        <v>0</v>
      </c>
      <c r="I160">
        <f t="shared" si="76"/>
        <v>0</v>
      </c>
      <c r="J160">
        <f t="shared" si="67"/>
        <v>6658</v>
      </c>
      <c r="K160">
        <f t="shared" si="77"/>
        <v>1</v>
      </c>
      <c r="L160">
        <f t="shared" si="78"/>
        <v>50</v>
      </c>
      <c r="M160" s="5">
        <f t="shared" si="79"/>
        <v>58</v>
      </c>
      <c r="N160" s="4">
        <f t="shared" si="81"/>
        <v>1</v>
      </c>
      <c r="O160">
        <f t="shared" si="82"/>
        <v>50</v>
      </c>
      <c r="P160">
        <f t="shared" si="68"/>
        <v>58</v>
      </c>
      <c r="Q160">
        <f t="shared" si="80"/>
        <v>6658</v>
      </c>
    </row>
    <row r="161" spans="2:17" x14ac:dyDescent="0.25">
      <c r="B161" t="b">
        <f t="shared" si="69"/>
        <v>0</v>
      </c>
      <c r="C161" t="b">
        <f t="shared" si="70"/>
        <v>0</v>
      </c>
      <c r="D161">
        <f t="shared" si="71"/>
        <v>1</v>
      </c>
      <c r="E161" t="str">
        <f t="shared" si="72"/>
        <v>6. Conclusion</v>
      </c>
      <c r="F161" t="str">
        <f t="shared" si="73"/>
        <v/>
      </c>
      <c r="G161" t="str">
        <f t="shared" si="74"/>
        <v/>
      </c>
      <c r="H161">
        <f t="shared" si="75"/>
        <v>0</v>
      </c>
      <c r="I161">
        <f t="shared" si="76"/>
        <v>0</v>
      </c>
      <c r="J161">
        <f t="shared" si="67"/>
        <v>6658</v>
      </c>
      <c r="K161">
        <f t="shared" si="77"/>
        <v>1</v>
      </c>
      <c r="L161">
        <f t="shared" si="78"/>
        <v>50</v>
      </c>
      <c r="M161" s="5">
        <f t="shared" si="79"/>
        <v>58</v>
      </c>
      <c r="N161" s="4">
        <f t="shared" si="81"/>
        <v>1</v>
      </c>
      <c r="O161">
        <f t="shared" si="82"/>
        <v>50</v>
      </c>
      <c r="P161">
        <f t="shared" si="68"/>
        <v>58</v>
      </c>
      <c r="Q161">
        <f t="shared" si="80"/>
        <v>6658</v>
      </c>
    </row>
    <row r="162" spans="2:17" x14ac:dyDescent="0.25">
      <c r="B162" t="b">
        <f t="shared" si="69"/>
        <v>0</v>
      </c>
      <c r="C162" t="b">
        <f t="shared" si="70"/>
        <v>0</v>
      </c>
      <c r="D162">
        <f t="shared" si="71"/>
        <v>1</v>
      </c>
      <c r="E162" t="str">
        <f t="shared" si="72"/>
        <v>6. Conclusion</v>
      </c>
      <c r="F162" t="str">
        <f t="shared" si="73"/>
        <v/>
      </c>
      <c r="G162" t="str">
        <f t="shared" si="74"/>
        <v/>
      </c>
      <c r="H162">
        <f t="shared" si="75"/>
        <v>0</v>
      </c>
      <c r="I162">
        <f t="shared" si="76"/>
        <v>0</v>
      </c>
      <c r="J162">
        <f t="shared" si="67"/>
        <v>6658</v>
      </c>
      <c r="K162">
        <f t="shared" si="77"/>
        <v>1</v>
      </c>
      <c r="L162">
        <f t="shared" si="78"/>
        <v>50</v>
      </c>
      <c r="M162" s="5">
        <f t="shared" si="79"/>
        <v>58</v>
      </c>
      <c r="N162" s="4">
        <f t="shared" si="81"/>
        <v>1</v>
      </c>
      <c r="O162">
        <f t="shared" si="82"/>
        <v>50</v>
      </c>
      <c r="P162">
        <f t="shared" si="68"/>
        <v>58</v>
      </c>
      <c r="Q162">
        <f t="shared" si="80"/>
        <v>6658</v>
      </c>
    </row>
    <row r="163" spans="2:17" x14ac:dyDescent="0.25">
      <c r="B163" t="b">
        <f t="shared" si="69"/>
        <v>0</v>
      </c>
      <c r="C163" t="b">
        <f t="shared" si="70"/>
        <v>0</v>
      </c>
      <c r="D163">
        <f t="shared" si="71"/>
        <v>1</v>
      </c>
      <c r="E163" t="str">
        <f t="shared" si="72"/>
        <v>6. Conclusion</v>
      </c>
      <c r="F163" t="str">
        <f t="shared" si="73"/>
        <v/>
      </c>
      <c r="G163" t="str">
        <f t="shared" si="74"/>
        <v/>
      </c>
      <c r="H163">
        <f t="shared" si="75"/>
        <v>0</v>
      </c>
      <c r="I163">
        <f t="shared" si="76"/>
        <v>0</v>
      </c>
      <c r="J163">
        <f t="shared" si="67"/>
        <v>6658</v>
      </c>
      <c r="K163">
        <f t="shared" si="77"/>
        <v>1</v>
      </c>
      <c r="L163">
        <f t="shared" si="78"/>
        <v>50</v>
      </c>
      <c r="M163" s="5">
        <f t="shared" si="79"/>
        <v>58</v>
      </c>
      <c r="N163" s="4">
        <f t="shared" si="81"/>
        <v>1</v>
      </c>
      <c r="O163">
        <f t="shared" si="82"/>
        <v>50</v>
      </c>
      <c r="P163">
        <f t="shared" si="68"/>
        <v>58</v>
      </c>
      <c r="Q163">
        <f t="shared" si="80"/>
        <v>6658</v>
      </c>
    </row>
    <row r="164" spans="2:17" x14ac:dyDescent="0.25">
      <c r="B164" t="b">
        <f t="shared" si="69"/>
        <v>0</v>
      </c>
      <c r="C164" t="b">
        <f t="shared" si="70"/>
        <v>0</v>
      </c>
      <c r="D164">
        <f t="shared" si="71"/>
        <v>1</v>
      </c>
      <c r="E164" t="str">
        <f t="shared" si="72"/>
        <v>6. Conclusion</v>
      </c>
      <c r="F164" t="str">
        <f t="shared" si="73"/>
        <v/>
      </c>
      <c r="G164" t="str">
        <f t="shared" si="74"/>
        <v/>
      </c>
      <c r="H164">
        <f t="shared" si="75"/>
        <v>0</v>
      </c>
      <c r="I164">
        <f t="shared" si="76"/>
        <v>0</v>
      </c>
      <c r="J164">
        <f t="shared" si="67"/>
        <v>6658</v>
      </c>
      <c r="K164">
        <f t="shared" si="77"/>
        <v>1</v>
      </c>
      <c r="L164">
        <f t="shared" si="78"/>
        <v>50</v>
      </c>
      <c r="M164" s="5">
        <f t="shared" si="79"/>
        <v>58</v>
      </c>
      <c r="N164" s="4">
        <f t="shared" si="81"/>
        <v>1</v>
      </c>
      <c r="O164">
        <f t="shared" si="82"/>
        <v>50</v>
      </c>
      <c r="P164">
        <f t="shared" si="68"/>
        <v>58</v>
      </c>
      <c r="Q164">
        <f t="shared" si="80"/>
        <v>6658</v>
      </c>
    </row>
    <row r="165" spans="2:17" x14ac:dyDescent="0.25">
      <c r="B165" t="b">
        <f t="shared" si="69"/>
        <v>0</v>
      </c>
      <c r="C165" t="b">
        <f t="shared" si="70"/>
        <v>0</v>
      </c>
      <c r="D165">
        <f t="shared" si="71"/>
        <v>1</v>
      </c>
      <c r="E165" t="str">
        <f t="shared" si="72"/>
        <v>6. Conclusion</v>
      </c>
      <c r="F165" t="str">
        <f t="shared" si="73"/>
        <v/>
      </c>
      <c r="G165" t="str">
        <f t="shared" si="74"/>
        <v/>
      </c>
      <c r="H165">
        <f t="shared" si="75"/>
        <v>0</v>
      </c>
      <c r="I165">
        <f t="shared" si="76"/>
        <v>0</v>
      </c>
      <c r="J165">
        <f t="shared" si="67"/>
        <v>6658</v>
      </c>
      <c r="K165">
        <f t="shared" si="77"/>
        <v>1</v>
      </c>
      <c r="L165">
        <f t="shared" si="78"/>
        <v>50</v>
      </c>
      <c r="M165" s="5">
        <f t="shared" si="79"/>
        <v>58</v>
      </c>
      <c r="N165" s="4">
        <f t="shared" si="81"/>
        <v>1</v>
      </c>
      <c r="O165">
        <f t="shared" si="82"/>
        <v>50</v>
      </c>
      <c r="P165">
        <f t="shared" si="68"/>
        <v>58</v>
      </c>
      <c r="Q165">
        <f t="shared" si="80"/>
        <v>6658</v>
      </c>
    </row>
    <row r="166" spans="2:17" x14ac:dyDescent="0.25">
      <c r="B166" t="b">
        <f t="shared" si="69"/>
        <v>0</v>
      </c>
      <c r="C166" t="b">
        <f t="shared" si="70"/>
        <v>0</v>
      </c>
      <c r="D166">
        <f t="shared" si="71"/>
        <v>1</v>
      </c>
      <c r="E166" t="str">
        <f t="shared" si="72"/>
        <v>6. Conclusion</v>
      </c>
      <c r="F166" t="str">
        <f t="shared" si="73"/>
        <v/>
      </c>
      <c r="G166" t="str">
        <f t="shared" si="74"/>
        <v/>
      </c>
      <c r="H166">
        <f t="shared" si="75"/>
        <v>0</v>
      </c>
      <c r="I166">
        <f t="shared" si="76"/>
        <v>0</v>
      </c>
      <c r="J166">
        <f t="shared" si="67"/>
        <v>6658</v>
      </c>
      <c r="K166">
        <f t="shared" si="77"/>
        <v>1</v>
      </c>
      <c r="L166">
        <f t="shared" si="78"/>
        <v>50</v>
      </c>
      <c r="M166" s="5">
        <f t="shared" si="79"/>
        <v>58</v>
      </c>
      <c r="N166" s="4">
        <f t="shared" si="81"/>
        <v>1</v>
      </c>
      <c r="O166">
        <f t="shared" si="82"/>
        <v>50</v>
      </c>
      <c r="P166">
        <f t="shared" si="68"/>
        <v>58</v>
      </c>
      <c r="Q166">
        <f t="shared" si="80"/>
        <v>6658</v>
      </c>
    </row>
    <row r="167" spans="2:17" x14ac:dyDescent="0.25">
      <c r="B167" t="b">
        <f t="shared" si="69"/>
        <v>0</v>
      </c>
      <c r="C167" t="b">
        <f t="shared" si="70"/>
        <v>0</v>
      </c>
      <c r="D167">
        <f t="shared" si="71"/>
        <v>1</v>
      </c>
      <c r="E167" t="str">
        <f t="shared" si="72"/>
        <v>6. Conclusion</v>
      </c>
      <c r="F167" t="str">
        <f t="shared" si="73"/>
        <v/>
      </c>
      <c r="G167" t="str">
        <f t="shared" si="74"/>
        <v/>
      </c>
      <c r="H167">
        <f t="shared" si="75"/>
        <v>0</v>
      </c>
      <c r="I167">
        <f t="shared" si="76"/>
        <v>0</v>
      </c>
      <c r="J167">
        <f t="shared" si="67"/>
        <v>6658</v>
      </c>
      <c r="K167">
        <f t="shared" si="77"/>
        <v>1</v>
      </c>
      <c r="L167">
        <f t="shared" si="78"/>
        <v>50</v>
      </c>
      <c r="M167" s="5">
        <f t="shared" si="79"/>
        <v>58</v>
      </c>
      <c r="N167" s="4">
        <f t="shared" si="81"/>
        <v>1</v>
      </c>
      <c r="O167">
        <f t="shared" si="82"/>
        <v>50</v>
      </c>
      <c r="P167">
        <f t="shared" si="68"/>
        <v>58</v>
      </c>
      <c r="Q167">
        <f t="shared" si="80"/>
        <v>6658</v>
      </c>
    </row>
    <row r="168" spans="2:17" x14ac:dyDescent="0.25">
      <c r="B168" t="b">
        <f t="shared" si="69"/>
        <v>0</v>
      </c>
      <c r="C168" t="b">
        <f t="shared" si="70"/>
        <v>0</v>
      </c>
      <c r="D168">
        <f t="shared" si="71"/>
        <v>1</v>
      </c>
      <c r="E168" t="str">
        <f t="shared" si="72"/>
        <v>6. Conclusion</v>
      </c>
      <c r="F168" t="str">
        <f t="shared" si="73"/>
        <v/>
      </c>
      <c r="G168" t="str">
        <f t="shared" si="74"/>
        <v/>
      </c>
      <c r="H168">
        <f t="shared" si="75"/>
        <v>0</v>
      </c>
      <c r="I168">
        <f t="shared" si="76"/>
        <v>0</v>
      </c>
      <c r="J168">
        <f t="shared" si="67"/>
        <v>6658</v>
      </c>
      <c r="K168">
        <f t="shared" si="77"/>
        <v>1</v>
      </c>
      <c r="L168">
        <f t="shared" si="78"/>
        <v>50</v>
      </c>
      <c r="M168" s="5">
        <f t="shared" si="79"/>
        <v>58</v>
      </c>
      <c r="N168" s="4">
        <f t="shared" si="81"/>
        <v>1</v>
      </c>
      <c r="O168">
        <f t="shared" si="82"/>
        <v>50</v>
      </c>
      <c r="P168">
        <f t="shared" si="68"/>
        <v>58</v>
      </c>
      <c r="Q168">
        <f t="shared" si="80"/>
        <v>6658</v>
      </c>
    </row>
    <row r="169" spans="2:17" x14ac:dyDescent="0.25">
      <c r="B169" t="b">
        <f t="shared" si="69"/>
        <v>0</v>
      </c>
      <c r="C169" t="b">
        <f t="shared" si="70"/>
        <v>0</v>
      </c>
      <c r="D169">
        <f t="shared" si="71"/>
        <v>1</v>
      </c>
      <c r="E169" t="str">
        <f t="shared" si="72"/>
        <v>6. Conclusion</v>
      </c>
      <c r="F169" t="str">
        <f t="shared" si="73"/>
        <v/>
      </c>
      <c r="G169" t="str">
        <f t="shared" si="74"/>
        <v/>
      </c>
      <c r="H169">
        <f t="shared" si="75"/>
        <v>0</v>
      </c>
      <c r="I169">
        <f t="shared" si="76"/>
        <v>0</v>
      </c>
      <c r="J169">
        <f t="shared" si="67"/>
        <v>6658</v>
      </c>
      <c r="K169">
        <f t="shared" si="77"/>
        <v>1</v>
      </c>
      <c r="L169">
        <f t="shared" si="78"/>
        <v>50</v>
      </c>
      <c r="M169" s="5">
        <f t="shared" si="79"/>
        <v>58</v>
      </c>
      <c r="N169" s="4">
        <f t="shared" si="81"/>
        <v>1</v>
      </c>
      <c r="O169">
        <f t="shared" si="82"/>
        <v>50</v>
      </c>
      <c r="P169">
        <f t="shared" si="68"/>
        <v>58</v>
      </c>
      <c r="Q169">
        <f t="shared" si="80"/>
        <v>6658</v>
      </c>
    </row>
    <row r="170" spans="2:17" x14ac:dyDescent="0.25">
      <c r="B170" t="b">
        <f t="shared" si="69"/>
        <v>0</v>
      </c>
      <c r="C170" t="b">
        <f t="shared" si="70"/>
        <v>0</v>
      </c>
      <c r="D170">
        <f t="shared" si="71"/>
        <v>1</v>
      </c>
      <c r="E170" t="str">
        <f t="shared" si="72"/>
        <v>6. Conclusion</v>
      </c>
      <c r="F170" t="str">
        <f t="shared" si="73"/>
        <v/>
      </c>
      <c r="G170" t="str">
        <f t="shared" si="74"/>
        <v/>
      </c>
      <c r="H170">
        <f t="shared" si="75"/>
        <v>0</v>
      </c>
      <c r="I170">
        <f t="shared" si="76"/>
        <v>0</v>
      </c>
      <c r="J170">
        <f t="shared" si="67"/>
        <v>6658</v>
      </c>
      <c r="K170">
        <f t="shared" si="77"/>
        <v>1</v>
      </c>
      <c r="L170">
        <f t="shared" si="78"/>
        <v>50</v>
      </c>
      <c r="M170" s="5">
        <f t="shared" si="79"/>
        <v>58</v>
      </c>
      <c r="N170" s="4">
        <f t="shared" si="81"/>
        <v>1</v>
      </c>
      <c r="O170">
        <f t="shared" si="82"/>
        <v>50</v>
      </c>
      <c r="P170">
        <f t="shared" si="68"/>
        <v>58</v>
      </c>
      <c r="Q170">
        <f t="shared" si="80"/>
        <v>6658</v>
      </c>
    </row>
  </sheetData>
  <mergeCells count="9">
    <mergeCell ref="A1:M1"/>
    <mergeCell ref="A11:A12"/>
    <mergeCell ref="B11:B12"/>
    <mergeCell ref="C11:C12"/>
    <mergeCell ref="D11:D12"/>
    <mergeCell ref="E11:E12"/>
    <mergeCell ref="F11:F12"/>
    <mergeCell ref="G11:I11"/>
    <mergeCell ref="J11:M11"/>
  </mergeCells>
  <dataValidations count="1">
    <dataValidation type="list" allowBlank="1" showInputMessage="1" showErrorMessage="1" sqref="B3:B8" xr:uid="{58D6E432-2DD3-439A-B6A3-4D25001853F4}">
      <formula1>"Yes, No"</formula1>
    </dataValidation>
  </dataValidations>
  <hyperlinks>
    <hyperlink ref="B2" r:id="rId1" xr:uid="{65B5F648-56D3-46B8-885F-7C191B3293F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2FD8-BEDD-4C0F-8D0E-46541653D907}">
  <sheetPr filterMode="1"/>
  <dimension ref="A1:V565"/>
  <sheetViews>
    <sheetView tabSelected="1" workbookViewId="0">
      <pane xSplit="6" ySplit="9" topLeftCell="N10" activePane="bottomRight" state="frozen"/>
      <selection pane="topRight" activeCell="G1" sqref="G1"/>
      <selection pane="bottomLeft" activeCell="A10" sqref="A10"/>
      <selection pane="bottomRight" activeCell="G12" sqref="G12"/>
    </sheetView>
  </sheetViews>
  <sheetFormatPr defaultRowHeight="15" x14ac:dyDescent="0.25"/>
  <cols>
    <col min="1" max="1" width="66.7109375" bestFit="1" customWidth="1"/>
    <col min="2" max="4" width="0" hidden="1" customWidth="1"/>
    <col min="5" max="6" width="48.85546875" bestFit="1" customWidth="1"/>
    <col min="22" max="22" width="132.140625" bestFit="1" customWidth="1"/>
  </cols>
  <sheetData>
    <row r="1" spans="1:22" ht="36" x14ac:dyDescent="0.55000000000000004">
      <c r="A1" s="9" t="s">
        <v>215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22" x14ac:dyDescent="0.25">
      <c r="A2" s="6" t="s">
        <v>95</v>
      </c>
      <c r="B2" s="3"/>
      <c r="F2" s="6" t="s">
        <v>91</v>
      </c>
      <c r="G2" t="s">
        <v>158</v>
      </c>
      <c r="V2" s="7"/>
    </row>
    <row r="3" spans="1:22" x14ac:dyDescent="0.25">
      <c r="A3" s="6" t="s">
        <v>93</v>
      </c>
      <c r="E3" t="s">
        <v>158</v>
      </c>
      <c r="F3" s="6" t="s">
        <v>90</v>
      </c>
      <c r="G3" t="s">
        <v>158</v>
      </c>
      <c r="V3" s="7"/>
    </row>
    <row r="4" spans="1:22" x14ac:dyDescent="0.25">
      <c r="A4" s="6" t="s">
        <v>159</v>
      </c>
      <c r="E4" t="s">
        <v>158</v>
      </c>
      <c r="F4" s="6" t="s">
        <v>89</v>
      </c>
      <c r="G4" t="s">
        <v>158</v>
      </c>
      <c r="V4" s="7"/>
    </row>
    <row r="5" spans="1:22" x14ac:dyDescent="0.25">
      <c r="A5" s="6" t="s">
        <v>92</v>
      </c>
      <c r="E5" t="s">
        <v>158</v>
      </c>
      <c r="F5" s="6" t="s">
        <v>88</v>
      </c>
      <c r="G5" t="s">
        <v>158</v>
      </c>
      <c r="V5" s="7"/>
    </row>
    <row r="7" spans="1:22" x14ac:dyDescent="0.25">
      <c r="A7" s="10" t="s">
        <v>86</v>
      </c>
      <c r="B7" s="10" t="s">
        <v>85</v>
      </c>
      <c r="C7" s="10" t="s">
        <v>84</v>
      </c>
      <c r="D7" s="10" t="s">
        <v>83</v>
      </c>
      <c r="E7" s="10" t="s">
        <v>82</v>
      </c>
      <c r="F7" s="10" t="s">
        <v>81</v>
      </c>
      <c r="G7" s="11" t="s">
        <v>80</v>
      </c>
      <c r="H7" s="11"/>
      <c r="I7" s="11"/>
      <c r="J7" s="11" t="s">
        <v>79</v>
      </c>
      <c r="K7" s="11"/>
      <c r="L7" s="11"/>
      <c r="M7" s="11"/>
      <c r="N7" s="12" t="s">
        <v>160</v>
      </c>
      <c r="O7" s="12"/>
      <c r="P7" s="12"/>
      <c r="Q7" s="12"/>
      <c r="R7" s="12" t="s">
        <v>161</v>
      </c>
      <c r="S7" s="12"/>
      <c r="T7" s="12"/>
      <c r="U7" s="12"/>
    </row>
    <row r="8" spans="1:22" x14ac:dyDescent="0.25">
      <c r="A8" s="10"/>
      <c r="B8" s="10"/>
      <c r="C8" s="10"/>
      <c r="D8" s="10"/>
      <c r="E8" s="10"/>
      <c r="F8" s="10"/>
      <c r="G8" s="2" t="s">
        <v>78</v>
      </c>
      <c r="H8" s="2" t="s">
        <v>75</v>
      </c>
      <c r="I8" s="2" t="s">
        <v>74</v>
      </c>
      <c r="J8" s="2" t="s">
        <v>77</v>
      </c>
      <c r="K8" s="2" t="s">
        <v>76</v>
      </c>
      <c r="L8" s="2" t="s">
        <v>75</v>
      </c>
      <c r="M8" s="2" t="s">
        <v>74</v>
      </c>
      <c r="N8" t="s">
        <v>162</v>
      </c>
      <c r="O8" t="s">
        <v>75</v>
      </c>
      <c r="P8" t="s">
        <v>74</v>
      </c>
      <c r="Q8" t="s">
        <v>77</v>
      </c>
      <c r="R8" t="s">
        <v>162</v>
      </c>
      <c r="S8" t="s">
        <v>75</v>
      </c>
      <c r="T8" t="s">
        <v>74</v>
      </c>
      <c r="U8" t="s">
        <v>77</v>
      </c>
    </row>
    <row r="10" spans="1:22" x14ac:dyDescent="0.25">
      <c r="A10" t="s">
        <v>73</v>
      </c>
      <c r="B10" t="b">
        <f t="shared" ref="B10:B73" si="0">AND(NOT(ISERROR(FIND(". ",A10))),ISNUMBER(VALUE(LEFT(A10,FIND(". ",A10)-1))))</f>
        <v>1</v>
      </c>
      <c r="C10" t="b">
        <f>OR(AND(NOT(ISERROR(FIND("m",A11))),ISNUMBER(VALUE(LEFT(A11,FIND("m",A11)-1)))),AND(NOT(ISERROR(FIND("s",A11))),ISNUMBER(VALUE(LEFT(A11,FIND("s",A11)-1)))))</f>
        <v>0</v>
      </c>
      <c r="D10">
        <f>IF(B10,0,IF(C10,D9+1,D9))</f>
        <v>0</v>
      </c>
      <c r="E10" t="str">
        <f>IF(B10,A10,E9)</f>
        <v>0. Introduction</v>
      </c>
      <c r="F10" s="8" t="str">
        <f t="shared" ref="F10:F38" si="1">SUBSTITUTE(IF(C10,D10&amp;". "&amp;A10,""),":"," -")</f>
        <v/>
      </c>
      <c r="G10" t="str">
        <f t="shared" ref="G10:G73" si="2">IF(C10,IF(ISERROR(FIND("s",A11)),LEFT(A11,FIND("m",A11)),LEFT(A11,FIND("s",A11))),"")</f>
        <v/>
      </c>
      <c r="H10">
        <f t="shared" ref="H10:H73" si="3">IF(OR(G10="",ISERROR(FIND("m",G10))),0,VALUE(LEFT(G10,FIND("m",G10)-1)))</f>
        <v>0</v>
      </c>
      <c r="I10">
        <f>IF(OR(G10="",ISERROR(FIND("s",G10))),0,VALUE(SUBSTITUTE(MID(G10,IF(ISERROR(FIND("m",G10)), 0,FIND("m",G10))+1,LEN(G10)),"s","")))</f>
        <v>0</v>
      </c>
      <c r="J10">
        <f t="shared" ref="J10:J73" si="4">J9+(H10*60+I10)</f>
        <v>0</v>
      </c>
      <c r="K10">
        <f t="shared" ref="K10:K73" si="5">INT(J10/60/60)</f>
        <v>0</v>
      </c>
      <c r="L10">
        <f t="shared" ref="L10:L73" si="6">INT((J10-(K10*60*60))/60)</f>
        <v>0</v>
      </c>
      <c r="M10">
        <f t="shared" ref="M10:M73" si="7">J10-(((K10*60)+L10)*60)</f>
        <v>0</v>
      </c>
      <c r="N10">
        <v>0</v>
      </c>
      <c r="O10">
        <v>0</v>
      </c>
      <c r="P10">
        <v>0</v>
      </c>
      <c r="Q10">
        <f>(((N10*60)+O10)*60)+P10</f>
        <v>0</v>
      </c>
      <c r="R10">
        <f>INT(U10/60/60)</f>
        <v>0</v>
      </c>
      <c r="S10">
        <f>INT((U10-(R10*60*60))/60)</f>
        <v>0</v>
      </c>
      <c r="T10">
        <f>U10-(((R10*60)+S10)*60)</f>
        <v>0</v>
      </c>
      <c r="U10">
        <f>((H10*60)+I10)+Q10</f>
        <v>0</v>
      </c>
    </row>
    <row r="11" spans="1:22" hidden="1" x14ac:dyDescent="0.25">
      <c r="B11" t="b">
        <f t="shared" si="0"/>
        <v>0</v>
      </c>
      <c r="C11" t="b">
        <f>OR(AND(NOT(ISERROR(FIND("m",A12))),ISNUMBER(VALUE(LEFT(A12,FIND("m",A12)-1)))),AND(NOT(ISERROR(FIND("s",A12))),ISNUMBER(VALUE(LEFT(A12,FIND("s",A12)-1)))))</f>
        <v>0</v>
      </c>
      <c r="D11">
        <f t="shared" ref="D11:D74" si="8">IF(B11,0,IF(C11,D10+1,D10))</f>
        <v>0</v>
      </c>
      <c r="E11" t="str">
        <f t="shared" ref="E11:E74" si="9">IF(B11,A11,E10)</f>
        <v>0. Introduction</v>
      </c>
      <c r="F11" s="8" t="str">
        <f t="shared" si="1"/>
        <v/>
      </c>
      <c r="G11" t="str">
        <f t="shared" si="2"/>
        <v/>
      </c>
      <c r="H11">
        <f t="shared" si="3"/>
        <v>0</v>
      </c>
      <c r="I11">
        <f t="shared" ref="I11:I74" si="10">IF(OR(G11="",ISERROR(FIND("s",G11))),0,VALUE(SUBSTITUTE(MID(G11,IF(ISERROR(FIND("m",G11)), 0,FIND("m",G11))+1,LEN(G11)),"s","")))</f>
        <v>0</v>
      </c>
      <c r="J11">
        <f t="shared" si="4"/>
        <v>0</v>
      </c>
      <c r="K11">
        <f t="shared" si="5"/>
        <v>0</v>
      </c>
      <c r="L11">
        <f t="shared" si="6"/>
        <v>0</v>
      </c>
      <c r="M11">
        <f t="shared" si="7"/>
        <v>0</v>
      </c>
      <c r="N11">
        <f t="shared" ref="N11:P26" si="11">R10</f>
        <v>0</v>
      </c>
      <c r="O11">
        <f t="shared" si="11"/>
        <v>0</v>
      </c>
      <c r="P11">
        <f t="shared" si="11"/>
        <v>0</v>
      </c>
      <c r="Q11">
        <f>(((N11*60)+O11)*60)+P11</f>
        <v>0</v>
      </c>
      <c r="R11">
        <f>INT(U11/60/60)</f>
        <v>0</v>
      </c>
      <c r="S11">
        <f>INT((U11-(R11*60*60))/60)</f>
        <v>0</v>
      </c>
      <c r="T11">
        <f>U11-(((R11*60)+S11)*60)</f>
        <v>0</v>
      </c>
      <c r="U11">
        <f>((H11*60)+I11)+Q11</f>
        <v>0</v>
      </c>
    </row>
    <row r="12" spans="1:22" x14ac:dyDescent="0.25">
      <c r="A12" t="s">
        <v>163</v>
      </c>
      <c r="B12" t="b">
        <f t="shared" si="0"/>
        <v>0</v>
      </c>
      <c r="C12" t="b">
        <f>OR(AND(NOT(ISERROR(FIND("m",A13))),ISNUMBER(VALUE(LEFT(A13,FIND("m",A13)-1)))),AND(NOT(ISERROR(FIND("s",A13))),ISNUMBER(VALUE(LEFT(A13,FIND("s",A13)-1)))))</f>
        <v>1</v>
      </c>
      <c r="D12">
        <f t="shared" si="8"/>
        <v>1</v>
      </c>
      <c r="E12" t="str">
        <f t="shared" si="9"/>
        <v>0. Introduction</v>
      </c>
      <c r="F12" s="8" t="str">
        <f t="shared" si="1"/>
        <v>1. Diving into Spring Data</v>
      </c>
      <c r="G12" t="str">
        <f t="shared" si="2"/>
        <v>48s</v>
      </c>
      <c r="H12">
        <f t="shared" si="3"/>
        <v>0</v>
      </c>
      <c r="I12">
        <f t="shared" si="10"/>
        <v>48</v>
      </c>
      <c r="J12">
        <f t="shared" si="4"/>
        <v>48</v>
      </c>
      <c r="K12">
        <f t="shared" si="5"/>
        <v>0</v>
      </c>
      <c r="L12">
        <f t="shared" si="6"/>
        <v>0</v>
      </c>
      <c r="M12">
        <f t="shared" si="7"/>
        <v>48</v>
      </c>
      <c r="N12">
        <f t="shared" si="11"/>
        <v>0</v>
      </c>
      <c r="O12">
        <f t="shared" si="11"/>
        <v>0</v>
      </c>
      <c r="P12">
        <f t="shared" si="11"/>
        <v>0</v>
      </c>
      <c r="Q12">
        <f>(((N12*60)+O12)*60)+P12</f>
        <v>0</v>
      </c>
      <c r="R12">
        <f>INT(U12/60/60)</f>
        <v>0</v>
      </c>
      <c r="S12">
        <f>INT((U12-(R12*60*60))/60)</f>
        <v>0</v>
      </c>
      <c r="T12">
        <f>U12-(((R12*60)+S12)*60)</f>
        <v>48</v>
      </c>
      <c r="U12">
        <f>((H12*60)+I12)+Q12</f>
        <v>48</v>
      </c>
      <c r="V12" t="str">
        <f>"V:\Tutorials\Programming\Java Spring\Spring Data 2\"&amp;E12&amp;"\"&amp;F12&amp;".mkv"</f>
        <v>V:\Tutorials\Programming\Java Spring\Spring Data 2\0. Introduction\1. Diving into Spring Data.mkv</v>
      </c>
    </row>
    <row r="13" spans="1:22" hidden="1" x14ac:dyDescent="0.25">
      <c r="A13" t="s">
        <v>164</v>
      </c>
      <c r="B13" t="b">
        <f t="shared" si="0"/>
        <v>0</v>
      </c>
      <c r="C13" t="b">
        <f t="shared" ref="C13:C76" si="12">OR(AND(NOT(ISERROR(FIND("m",A14))),ISNUMBER(VALUE(LEFT(A14,FIND("m",A14)-1)))),AND(NOT(ISERROR(FIND("s",A14))),ISNUMBER(VALUE(LEFT(A14,FIND("s",A14)-1)))))</f>
        <v>0</v>
      </c>
      <c r="D13">
        <f t="shared" si="8"/>
        <v>1</v>
      </c>
      <c r="E13" t="str">
        <f t="shared" si="9"/>
        <v>0. Introduction</v>
      </c>
      <c r="F13" s="8" t="str">
        <f t="shared" si="1"/>
        <v/>
      </c>
      <c r="G13" t="str">
        <f t="shared" si="2"/>
        <v/>
      </c>
      <c r="H13">
        <f t="shared" si="3"/>
        <v>0</v>
      </c>
      <c r="I13">
        <f t="shared" si="10"/>
        <v>0</v>
      </c>
      <c r="J13">
        <f t="shared" si="4"/>
        <v>48</v>
      </c>
      <c r="K13">
        <f t="shared" si="5"/>
        <v>0</v>
      </c>
      <c r="L13">
        <f t="shared" si="6"/>
        <v>0</v>
      </c>
      <c r="M13">
        <f t="shared" si="7"/>
        <v>48</v>
      </c>
      <c r="N13">
        <f t="shared" si="11"/>
        <v>0</v>
      </c>
      <c r="O13">
        <f t="shared" si="11"/>
        <v>0</v>
      </c>
      <c r="P13">
        <f t="shared" si="11"/>
        <v>48</v>
      </c>
      <c r="Q13">
        <f t="shared" ref="Q13:Q76" si="13">(((N13*60)+O13)*60)+P13</f>
        <v>48</v>
      </c>
      <c r="R13">
        <f t="shared" ref="R13:R76" si="14">INT(U13/60/60)</f>
        <v>0</v>
      </c>
      <c r="S13">
        <f t="shared" ref="S13:S76" si="15">INT((U13-(R13*60*60))/60)</f>
        <v>0</v>
      </c>
      <c r="T13">
        <f t="shared" ref="T13:T76" si="16">U13-(((R13*60)+S13)*60)</f>
        <v>48</v>
      </c>
      <c r="U13">
        <f t="shared" ref="U13:U76" si="17">((H13*60)+I13)+Q13</f>
        <v>48</v>
      </c>
      <c r="V13" t="str">
        <f t="shared" ref="V13:V76" si="18">"V:\Tutorials\Programming\Java Spring\Spring Data 2\"&amp;E13&amp;"\"&amp;F13&amp;".mkv"</f>
        <v>V:\Tutorials\Programming\Java Spring\Spring Data 2\0. Introduction\.mkv</v>
      </c>
    </row>
    <row r="14" spans="1:22" hidden="1" x14ac:dyDescent="0.25">
      <c r="A14" t="s">
        <v>3</v>
      </c>
      <c r="B14" t="b">
        <f t="shared" si="0"/>
        <v>0</v>
      </c>
      <c r="C14" t="b">
        <f t="shared" si="12"/>
        <v>0</v>
      </c>
      <c r="D14">
        <f t="shared" si="8"/>
        <v>1</v>
      </c>
      <c r="E14" t="str">
        <f t="shared" si="9"/>
        <v>0. Introduction</v>
      </c>
      <c r="F14" s="8" t="str">
        <f t="shared" si="1"/>
        <v/>
      </c>
      <c r="G14" t="str">
        <f t="shared" si="2"/>
        <v/>
      </c>
      <c r="H14">
        <f t="shared" si="3"/>
        <v>0</v>
      </c>
      <c r="I14">
        <f t="shared" si="10"/>
        <v>0</v>
      </c>
      <c r="J14">
        <f t="shared" si="4"/>
        <v>48</v>
      </c>
      <c r="K14">
        <f t="shared" si="5"/>
        <v>0</v>
      </c>
      <c r="L14">
        <f t="shared" si="6"/>
        <v>0</v>
      </c>
      <c r="M14">
        <f t="shared" si="7"/>
        <v>48</v>
      </c>
      <c r="N14">
        <f t="shared" si="11"/>
        <v>0</v>
      </c>
      <c r="O14">
        <f t="shared" si="11"/>
        <v>0</v>
      </c>
      <c r="P14">
        <f t="shared" si="11"/>
        <v>48</v>
      </c>
      <c r="Q14">
        <f t="shared" si="13"/>
        <v>48</v>
      </c>
      <c r="R14">
        <f t="shared" si="14"/>
        <v>0</v>
      </c>
      <c r="S14">
        <f t="shared" si="15"/>
        <v>0</v>
      </c>
      <c r="T14">
        <f t="shared" si="16"/>
        <v>48</v>
      </c>
      <c r="U14">
        <f t="shared" si="17"/>
        <v>48</v>
      </c>
      <c r="V14" t="str">
        <f t="shared" si="18"/>
        <v>V:\Tutorials\Programming\Java Spring\Spring Data 2\0. Introduction\.mkv</v>
      </c>
    </row>
    <row r="15" spans="1:22" x14ac:dyDescent="0.25">
      <c r="A15" t="s">
        <v>165</v>
      </c>
      <c r="B15" t="b">
        <f t="shared" si="0"/>
        <v>0</v>
      </c>
      <c r="C15" t="b">
        <f t="shared" si="12"/>
        <v>1</v>
      </c>
      <c r="D15">
        <f t="shared" si="8"/>
        <v>2</v>
      </c>
      <c r="E15" t="str">
        <f t="shared" si="9"/>
        <v>0. Introduction</v>
      </c>
      <c r="F15" s="8" t="str">
        <f t="shared" si="1"/>
        <v>2. What you need</v>
      </c>
      <c r="G15" t="str">
        <f t="shared" si="2"/>
        <v>45s</v>
      </c>
      <c r="H15">
        <f t="shared" si="3"/>
        <v>0</v>
      </c>
      <c r="I15">
        <f t="shared" si="10"/>
        <v>45</v>
      </c>
      <c r="J15">
        <f t="shared" si="4"/>
        <v>93</v>
      </c>
      <c r="K15">
        <f t="shared" si="5"/>
        <v>0</v>
      </c>
      <c r="L15">
        <f t="shared" si="6"/>
        <v>1</v>
      </c>
      <c r="M15">
        <f t="shared" si="7"/>
        <v>33</v>
      </c>
      <c r="N15">
        <f t="shared" si="11"/>
        <v>0</v>
      </c>
      <c r="O15">
        <f t="shared" si="11"/>
        <v>0</v>
      </c>
      <c r="P15">
        <f t="shared" si="11"/>
        <v>48</v>
      </c>
      <c r="Q15">
        <f t="shared" si="13"/>
        <v>48</v>
      </c>
      <c r="R15">
        <f t="shared" si="14"/>
        <v>0</v>
      </c>
      <c r="S15">
        <f t="shared" si="15"/>
        <v>1</v>
      </c>
      <c r="T15">
        <f t="shared" si="16"/>
        <v>33</v>
      </c>
      <c r="U15">
        <f t="shared" si="17"/>
        <v>93</v>
      </c>
      <c r="V15" t="str">
        <f t="shared" si="18"/>
        <v>V:\Tutorials\Programming\Java Spring\Spring Data 2\0. Introduction\2. What you need.mkv</v>
      </c>
    </row>
    <row r="16" spans="1:22" hidden="1" x14ac:dyDescent="0.25">
      <c r="A16" t="s">
        <v>166</v>
      </c>
      <c r="B16" t="b">
        <f t="shared" si="0"/>
        <v>0</v>
      </c>
      <c r="C16" t="b">
        <f t="shared" si="12"/>
        <v>0</v>
      </c>
      <c r="D16">
        <f t="shared" si="8"/>
        <v>2</v>
      </c>
      <c r="E16" t="str">
        <f t="shared" si="9"/>
        <v>0. Introduction</v>
      </c>
      <c r="F16" s="8" t="str">
        <f t="shared" si="1"/>
        <v/>
      </c>
      <c r="G16" t="str">
        <f t="shared" si="2"/>
        <v/>
      </c>
      <c r="H16">
        <f t="shared" si="3"/>
        <v>0</v>
      </c>
      <c r="I16">
        <f t="shared" si="10"/>
        <v>0</v>
      </c>
      <c r="J16">
        <f t="shared" si="4"/>
        <v>93</v>
      </c>
      <c r="K16">
        <f t="shared" si="5"/>
        <v>0</v>
      </c>
      <c r="L16">
        <f t="shared" si="6"/>
        <v>1</v>
      </c>
      <c r="M16">
        <f t="shared" si="7"/>
        <v>33</v>
      </c>
      <c r="N16">
        <f t="shared" si="11"/>
        <v>0</v>
      </c>
      <c r="O16">
        <f t="shared" si="11"/>
        <v>1</v>
      </c>
      <c r="P16">
        <f t="shared" si="11"/>
        <v>33</v>
      </c>
      <c r="Q16">
        <f t="shared" si="13"/>
        <v>93</v>
      </c>
      <c r="R16">
        <f t="shared" si="14"/>
        <v>0</v>
      </c>
      <c r="S16">
        <f t="shared" si="15"/>
        <v>1</v>
      </c>
      <c r="T16">
        <f t="shared" si="16"/>
        <v>33</v>
      </c>
      <c r="U16">
        <f t="shared" si="17"/>
        <v>93</v>
      </c>
      <c r="V16" t="str">
        <f t="shared" si="18"/>
        <v>V:\Tutorials\Programming\Java Spring\Spring Data 2\0. Introduction\.mkv</v>
      </c>
    </row>
    <row r="17" spans="1:22" hidden="1" x14ac:dyDescent="0.25">
      <c r="A17" t="s">
        <v>3</v>
      </c>
      <c r="B17" t="b">
        <f t="shared" si="0"/>
        <v>0</v>
      </c>
      <c r="C17" t="b">
        <f t="shared" si="12"/>
        <v>0</v>
      </c>
      <c r="D17">
        <f t="shared" si="8"/>
        <v>2</v>
      </c>
      <c r="E17" t="str">
        <f t="shared" si="9"/>
        <v>0. Introduction</v>
      </c>
      <c r="F17" s="8" t="str">
        <f t="shared" si="1"/>
        <v/>
      </c>
      <c r="G17" t="str">
        <f t="shared" si="2"/>
        <v/>
      </c>
      <c r="H17">
        <f t="shared" si="3"/>
        <v>0</v>
      </c>
      <c r="I17">
        <f t="shared" si="10"/>
        <v>0</v>
      </c>
      <c r="J17">
        <f t="shared" si="4"/>
        <v>93</v>
      </c>
      <c r="K17">
        <f t="shared" si="5"/>
        <v>0</v>
      </c>
      <c r="L17">
        <f t="shared" si="6"/>
        <v>1</v>
      </c>
      <c r="M17">
        <f t="shared" si="7"/>
        <v>33</v>
      </c>
      <c r="N17">
        <f t="shared" si="11"/>
        <v>0</v>
      </c>
      <c r="O17">
        <f t="shared" si="11"/>
        <v>1</v>
      </c>
      <c r="P17">
        <f t="shared" si="11"/>
        <v>33</v>
      </c>
      <c r="Q17">
        <f t="shared" si="13"/>
        <v>93</v>
      </c>
      <c r="R17">
        <f t="shared" si="14"/>
        <v>0</v>
      </c>
      <c r="S17">
        <f t="shared" si="15"/>
        <v>1</v>
      </c>
      <c r="T17">
        <f t="shared" si="16"/>
        <v>33</v>
      </c>
      <c r="U17">
        <f t="shared" si="17"/>
        <v>93</v>
      </c>
      <c r="V17" t="str">
        <f t="shared" si="18"/>
        <v>V:\Tutorials\Programming\Java Spring\Spring Data 2\0. Introduction\.mkv</v>
      </c>
    </row>
    <row r="18" spans="1:22" hidden="1" x14ac:dyDescent="0.25">
      <c r="B18" t="b">
        <f t="shared" si="0"/>
        <v>0</v>
      </c>
      <c r="C18" t="b">
        <f t="shared" si="12"/>
        <v>0</v>
      </c>
      <c r="D18">
        <f t="shared" si="8"/>
        <v>2</v>
      </c>
      <c r="E18" t="str">
        <f t="shared" si="9"/>
        <v>0. Introduction</v>
      </c>
      <c r="F18" s="8" t="str">
        <f t="shared" si="1"/>
        <v/>
      </c>
      <c r="G18" t="str">
        <f t="shared" si="2"/>
        <v/>
      </c>
      <c r="H18">
        <f t="shared" si="3"/>
        <v>0</v>
      </c>
      <c r="I18">
        <f t="shared" si="10"/>
        <v>0</v>
      </c>
      <c r="J18">
        <f t="shared" si="4"/>
        <v>93</v>
      </c>
      <c r="K18">
        <f t="shared" si="5"/>
        <v>0</v>
      </c>
      <c r="L18">
        <f t="shared" si="6"/>
        <v>1</v>
      </c>
      <c r="M18">
        <f t="shared" si="7"/>
        <v>33</v>
      </c>
      <c r="N18">
        <f t="shared" si="11"/>
        <v>0</v>
      </c>
      <c r="O18">
        <f t="shared" si="11"/>
        <v>1</v>
      </c>
      <c r="P18">
        <f t="shared" si="11"/>
        <v>33</v>
      </c>
      <c r="Q18">
        <f t="shared" si="13"/>
        <v>93</v>
      </c>
      <c r="R18">
        <f t="shared" si="14"/>
        <v>0</v>
      </c>
      <c r="S18">
        <f t="shared" si="15"/>
        <v>1</v>
      </c>
      <c r="T18">
        <f t="shared" si="16"/>
        <v>33</v>
      </c>
      <c r="U18">
        <f t="shared" si="17"/>
        <v>93</v>
      </c>
      <c r="V18" t="str">
        <f t="shared" si="18"/>
        <v>V:\Tutorials\Programming\Java Spring\Spring Data 2\0. Introduction\.mkv</v>
      </c>
    </row>
    <row r="19" spans="1:22" hidden="1" x14ac:dyDescent="0.25">
      <c r="A19" t="s">
        <v>167</v>
      </c>
      <c r="B19" t="b">
        <f t="shared" si="0"/>
        <v>1</v>
      </c>
      <c r="C19" t="b">
        <f t="shared" si="12"/>
        <v>0</v>
      </c>
      <c r="D19">
        <f t="shared" si="8"/>
        <v>0</v>
      </c>
      <c r="E19" t="str">
        <f t="shared" si="9"/>
        <v>1. Spring Data Umbrella Project</v>
      </c>
      <c r="F19" s="8" t="str">
        <f t="shared" si="1"/>
        <v/>
      </c>
      <c r="G19" t="str">
        <f t="shared" si="2"/>
        <v/>
      </c>
      <c r="H19">
        <f t="shared" si="3"/>
        <v>0</v>
      </c>
      <c r="I19">
        <f t="shared" si="10"/>
        <v>0</v>
      </c>
      <c r="J19">
        <f t="shared" si="4"/>
        <v>93</v>
      </c>
      <c r="K19">
        <f t="shared" si="5"/>
        <v>0</v>
      </c>
      <c r="L19">
        <f t="shared" si="6"/>
        <v>1</v>
      </c>
      <c r="M19">
        <f t="shared" si="7"/>
        <v>33</v>
      </c>
      <c r="N19">
        <f t="shared" si="11"/>
        <v>0</v>
      </c>
      <c r="O19">
        <f t="shared" si="11"/>
        <v>1</v>
      </c>
      <c r="P19">
        <f t="shared" si="11"/>
        <v>33</v>
      </c>
      <c r="Q19">
        <f t="shared" si="13"/>
        <v>93</v>
      </c>
      <c r="R19">
        <f t="shared" si="14"/>
        <v>0</v>
      </c>
      <c r="S19">
        <f t="shared" si="15"/>
        <v>1</v>
      </c>
      <c r="T19">
        <f t="shared" si="16"/>
        <v>33</v>
      </c>
      <c r="U19">
        <f t="shared" si="17"/>
        <v>93</v>
      </c>
      <c r="V19" t="str">
        <f t="shared" si="18"/>
        <v>V:\Tutorials\Programming\Java Spring\Spring Data 2\1. Spring Data Umbrella Project\.mkv</v>
      </c>
    </row>
    <row r="20" spans="1:22" hidden="1" x14ac:dyDescent="0.25">
      <c r="B20" t="b">
        <f t="shared" si="0"/>
        <v>0</v>
      </c>
      <c r="C20" t="b">
        <f t="shared" si="12"/>
        <v>0</v>
      </c>
      <c r="D20">
        <f t="shared" si="8"/>
        <v>0</v>
      </c>
      <c r="E20" t="str">
        <f t="shared" si="9"/>
        <v>1. Spring Data Umbrella Project</v>
      </c>
      <c r="F20" s="8" t="str">
        <f t="shared" si="1"/>
        <v/>
      </c>
      <c r="G20" t="str">
        <f t="shared" si="2"/>
        <v/>
      </c>
      <c r="H20">
        <f t="shared" si="3"/>
        <v>0</v>
      </c>
      <c r="I20">
        <f t="shared" si="10"/>
        <v>0</v>
      </c>
      <c r="J20">
        <f t="shared" si="4"/>
        <v>93</v>
      </c>
      <c r="K20">
        <f t="shared" si="5"/>
        <v>0</v>
      </c>
      <c r="L20">
        <f t="shared" si="6"/>
        <v>1</v>
      </c>
      <c r="M20">
        <f t="shared" si="7"/>
        <v>33</v>
      </c>
      <c r="N20">
        <f t="shared" si="11"/>
        <v>0</v>
      </c>
      <c r="O20">
        <f t="shared" si="11"/>
        <v>1</v>
      </c>
      <c r="P20">
        <f t="shared" si="11"/>
        <v>33</v>
      </c>
      <c r="Q20">
        <f t="shared" si="13"/>
        <v>93</v>
      </c>
      <c r="R20">
        <f t="shared" si="14"/>
        <v>0</v>
      </c>
      <c r="S20">
        <f t="shared" si="15"/>
        <v>1</v>
      </c>
      <c r="T20">
        <f t="shared" si="16"/>
        <v>33</v>
      </c>
      <c r="U20">
        <f t="shared" si="17"/>
        <v>93</v>
      </c>
      <c r="V20" t="str">
        <f t="shared" si="18"/>
        <v>V:\Tutorials\Programming\Java Spring\Spring Data 2\1. Spring Data Umbrella Project\.mkv</v>
      </c>
    </row>
    <row r="21" spans="1:22" x14ac:dyDescent="0.25">
      <c r="A21" t="s">
        <v>168</v>
      </c>
      <c r="B21" t="b">
        <f t="shared" si="0"/>
        <v>0</v>
      </c>
      <c r="C21" t="b">
        <f t="shared" si="12"/>
        <v>1</v>
      </c>
      <c r="D21">
        <f t="shared" si="8"/>
        <v>1</v>
      </c>
      <c r="E21" t="str">
        <f t="shared" si="9"/>
        <v>1. Spring Data Umbrella Project</v>
      </c>
      <c r="F21" s="8" t="str">
        <f t="shared" si="1"/>
        <v>1. Mission and modules</v>
      </c>
      <c r="G21" t="str">
        <f t="shared" si="2"/>
        <v>3m 30s</v>
      </c>
      <c r="H21">
        <f t="shared" si="3"/>
        <v>3</v>
      </c>
      <c r="I21">
        <f t="shared" si="10"/>
        <v>30</v>
      </c>
      <c r="J21">
        <f t="shared" si="4"/>
        <v>303</v>
      </c>
      <c r="K21">
        <f t="shared" si="5"/>
        <v>0</v>
      </c>
      <c r="L21">
        <f t="shared" si="6"/>
        <v>5</v>
      </c>
      <c r="M21">
        <f t="shared" si="7"/>
        <v>3</v>
      </c>
      <c r="N21">
        <f t="shared" si="11"/>
        <v>0</v>
      </c>
      <c r="O21">
        <f t="shared" si="11"/>
        <v>1</v>
      </c>
      <c r="P21">
        <f t="shared" si="11"/>
        <v>33</v>
      </c>
      <c r="Q21">
        <f t="shared" si="13"/>
        <v>93</v>
      </c>
      <c r="R21">
        <f t="shared" si="14"/>
        <v>0</v>
      </c>
      <c r="S21">
        <f t="shared" si="15"/>
        <v>5</v>
      </c>
      <c r="T21">
        <f t="shared" si="16"/>
        <v>3</v>
      </c>
      <c r="U21">
        <f t="shared" si="17"/>
        <v>303</v>
      </c>
      <c r="V21" t="str">
        <f t="shared" si="18"/>
        <v>V:\Tutorials\Programming\Java Spring\Spring Data 2\1. Spring Data Umbrella Project\1. Mission and modules.mkv</v>
      </c>
    </row>
    <row r="22" spans="1:22" hidden="1" x14ac:dyDescent="0.25">
      <c r="A22" t="s">
        <v>169</v>
      </c>
      <c r="B22" t="b">
        <f t="shared" si="0"/>
        <v>0</v>
      </c>
      <c r="C22" t="b">
        <f t="shared" si="12"/>
        <v>0</v>
      </c>
      <c r="D22">
        <f t="shared" si="8"/>
        <v>1</v>
      </c>
      <c r="E22" t="str">
        <f t="shared" si="9"/>
        <v>1. Spring Data Umbrella Project</v>
      </c>
      <c r="F22" s="8" t="str">
        <f t="shared" si="1"/>
        <v/>
      </c>
      <c r="G22" t="str">
        <f t="shared" si="2"/>
        <v/>
      </c>
      <c r="H22">
        <f t="shared" si="3"/>
        <v>0</v>
      </c>
      <c r="I22">
        <f t="shared" si="10"/>
        <v>0</v>
      </c>
      <c r="J22">
        <f t="shared" si="4"/>
        <v>303</v>
      </c>
      <c r="K22">
        <f t="shared" si="5"/>
        <v>0</v>
      </c>
      <c r="L22">
        <f t="shared" si="6"/>
        <v>5</v>
      </c>
      <c r="M22">
        <f t="shared" si="7"/>
        <v>3</v>
      </c>
      <c r="N22">
        <f t="shared" si="11"/>
        <v>0</v>
      </c>
      <c r="O22">
        <f t="shared" si="11"/>
        <v>5</v>
      </c>
      <c r="P22">
        <f t="shared" si="11"/>
        <v>3</v>
      </c>
      <c r="Q22">
        <f t="shared" si="13"/>
        <v>303</v>
      </c>
      <c r="R22">
        <f t="shared" si="14"/>
        <v>0</v>
      </c>
      <c r="S22">
        <f t="shared" si="15"/>
        <v>5</v>
      </c>
      <c r="T22">
        <f t="shared" si="16"/>
        <v>3</v>
      </c>
      <c r="U22">
        <f t="shared" si="17"/>
        <v>303</v>
      </c>
      <c r="V22" t="str">
        <f t="shared" si="18"/>
        <v>V:\Tutorials\Programming\Java Spring\Spring Data 2\1. Spring Data Umbrella Project\.mkv</v>
      </c>
    </row>
    <row r="23" spans="1:22" hidden="1" x14ac:dyDescent="0.25">
      <c r="A23" t="s">
        <v>3</v>
      </c>
      <c r="B23" t="b">
        <f t="shared" si="0"/>
        <v>0</v>
      </c>
      <c r="C23" t="b">
        <f t="shared" si="12"/>
        <v>0</v>
      </c>
      <c r="D23">
        <f t="shared" si="8"/>
        <v>1</v>
      </c>
      <c r="E23" t="str">
        <f t="shared" si="9"/>
        <v>1. Spring Data Umbrella Project</v>
      </c>
      <c r="F23" s="8" t="str">
        <f t="shared" si="1"/>
        <v/>
      </c>
      <c r="G23" t="str">
        <f t="shared" si="2"/>
        <v/>
      </c>
      <c r="H23">
        <f t="shared" si="3"/>
        <v>0</v>
      </c>
      <c r="I23">
        <f t="shared" si="10"/>
        <v>0</v>
      </c>
      <c r="J23">
        <f t="shared" si="4"/>
        <v>303</v>
      </c>
      <c r="K23">
        <f t="shared" si="5"/>
        <v>0</v>
      </c>
      <c r="L23">
        <f t="shared" si="6"/>
        <v>5</v>
      </c>
      <c r="M23">
        <f t="shared" si="7"/>
        <v>3</v>
      </c>
      <c r="N23">
        <f t="shared" si="11"/>
        <v>0</v>
      </c>
      <c r="O23">
        <f t="shared" si="11"/>
        <v>5</v>
      </c>
      <c r="P23">
        <f t="shared" si="11"/>
        <v>3</v>
      </c>
      <c r="Q23">
        <f t="shared" si="13"/>
        <v>303</v>
      </c>
      <c r="R23">
        <f t="shared" si="14"/>
        <v>0</v>
      </c>
      <c r="S23">
        <f t="shared" si="15"/>
        <v>5</v>
      </c>
      <c r="T23">
        <f t="shared" si="16"/>
        <v>3</v>
      </c>
      <c r="U23">
        <f t="shared" si="17"/>
        <v>303</v>
      </c>
      <c r="V23" t="str">
        <f t="shared" si="18"/>
        <v>V:\Tutorials\Programming\Java Spring\Spring Data 2\1. Spring Data Umbrella Project\.mkv</v>
      </c>
    </row>
    <row r="24" spans="1:22" x14ac:dyDescent="0.25">
      <c r="A24" t="s">
        <v>170</v>
      </c>
      <c r="B24" t="b">
        <f t="shared" si="0"/>
        <v>0</v>
      </c>
      <c r="C24" t="b">
        <f t="shared" si="12"/>
        <v>1</v>
      </c>
      <c r="D24">
        <f t="shared" si="8"/>
        <v>2</v>
      </c>
      <c r="E24" t="str">
        <f t="shared" si="9"/>
        <v>1. Spring Data Umbrella Project</v>
      </c>
      <c r="F24" s="8" t="str">
        <f t="shared" si="1"/>
        <v>2. Java Persistence API</v>
      </c>
      <c r="G24" t="str">
        <f t="shared" si="2"/>
        <v>3m 35s</v>
      </c>
      <c r="H24">
        <f t="shared" si="3"/>
        <v>3</v>
      </c>
      <c r="I24">
        <f t="shared" si="10"/>
        <v>35</v>
      </c>
      <c r="J24">
        <f t="shared" si="4"/>
        <v>518</v>
      </c>
      <c r="K24">
        <f t="shared" si="5"/>
        <v>0</v>
      </c>
      <c r="L24">
        <f t="shared" si="6"/>
        <v>8</v>
      </c>
      <c r="M24">
        <f t="shared" si="7"/>
        <v>38</v>
      </c>
      <c r="N24">
        <f t="shared" si="11"/>
        <v>0</v>
      </c>
      <c r="O24">
        <f t="shared" si="11"/>
        <v>5</v>
      </c>
      <c r="P24">
        <f t="shared" si="11"/>
        <v>3</v>
      </c>
      <c r="Q24">
        <f t="shared" si="13"/>
        <v>303</v>
      </c>
      <c r="R24">
        <f t="shared" si="14"/>
        <v>0</v>
      </c>
      <c r="S24">
        <f t="shared" si="15"/>
        <v>8</v>
      </c>
      <c r="T24">
        <f t="shared" si="16"/>
        <v>38</v>
      </c>
      <c r="U24">
        <f t="shared" si="17"/>
        <v>518</v>
      </c>
      <c r="V24" t="str">
        <f t="shared" si="18"/>
        <v>V:\Tutorials\Programming\Java Spring\Spring Data 2\1. Spring Data Umbrella Project\2. Java Persistence API.mkv</v>
      </c>
    </row>
    <row r="25" spans="1:22" hidden="1" x14ac:dyDescent="0.25">
      <c r="A25" t="s">
        <v>171</v>
      </c>
      <c r="B25" t="b">
        <f t="shared" si="0"/>
        <v>0</v>
      </c>
      <c r="C25" t="b">
        <f t="shared" si="12"/>
        <v>0</v>
      </c>
      <c r="D25">
        <f t="shared" si="8"/>
        <v>2</v>
      </c>
      <c r="E25" t="str">
        <f t="shared" si="9"/>
        <v>1. Spring Data Umbrella Project</v>
      </c>
      <c r="F25" s="8" t="str">
        <f t="shared" si="1"/>
        <v/>
      </c>
      <c r="G25" t="str">
        <f t="shared" si="2"/>
        <v/>
      </c>
      <c r="H25">
        <f t="shared" si="3"/>
        <v>0</v>
      </c>
      <c r="I25">
        <f t="shared" si="10"/>
        <v>0</v>
      </c>
      <c r="J25">
        <f t="shared" si="4"/>
        <v>518</v>
      </c>
      <c r="K25">
        <f t="shared" si="5"/>
        <v>0</v>
      </c>
      <c r="L25">
        <f t="shared" si="6"/>
        <v>8</v>
      </c>
      <c r="M25">
        <f t="shared" si="7"/>
        <v>38</v>
      </c>
      <c r="N25">
        <f t="shared" si="11"/>
        <v>0</v>
      </c>
      <c r="O25">
        <f t="shared" si="11"/>
        <v>8</v>
      </c>
      <c r="P25">
        <f t="shared" si="11"/>
        <v>38</v>
      </c>
      <c r="Q25">
        <f t="shared" si="13"/>
        <v>518</v>
      </c>
      <c r="R25">
        <f t="shared" si="14"/>
        <v>0</v>
      </c>
      <c r="S25">
        <f t="shared" si="15"/>
        <v>8</v>
      </c>
      <c r="T25">
        <f t="shared" si="16"/>
        <v>38</v>
      </c>
      <c r="U25">
        <f t="shared" si="17"/>
        <v>518</v>
      </c>
      <c r="V25" t="str">
        <f t="shared" si="18"/>
        <v>V:\Tutorials\Programming\Java Spring\Spring Data 2\1. Spring Data Umbrella Project\.mkv</v>
      </c>
    </row>
    <row r="26" spans="1:22" hidden="1" x14ac:dyDescent="0.25">
      <c r="A26" t="s">
        <v>3</v>
      </c>
      <c r="B26" t="b">
        <f t="shared" si="0"/>
        <v>0</v>
      </c>
      <c r="C26" t="b">
        <f t="shared" si="12"/>
        <v>0</v>
      </c>
      <c r="D26">
        <f t="shared" si="8"/>
        <v>2</v>
      </c>
      <c r="E26" t="str">
        <f t="shared" si="9"/>
        <v>1. Spring Data Umbrella Project</v>
      </c>
      <c r="F26" s="8" t="str">
        <f t="shared" si="1"/>
        <v/>
      </c>
      <c r="G26" t="str">
        <f t="shared" si="2"/>
        <v/>
      </c>
      <c r="H26">
        <f t="shared" si="3"/>
        <v>0</v>
      </c>
      <c r="I26">
        <f t="shared" si="10"/>
        <v>0</v>
      </c>
      <c r="J26">
        <f t="shared" si="4"/>
        <v>518</v>
      </c>
      <c r="K26">
        <f t="shared" si="5"/>
        <v>0</v>
      </c>
      <c r="L26">
        <f t="shared" si="6"/>
        <v>8</v>
      </c>
      <c r="M26">
        <f t="shared" si="7"/>
        <v>38</v>
      </c>
      <c r="N26">
        <f t="shared" si="11"/>
        <v>0</v>
      </c>
      <c r="O26">
        <f t="shared" si="11"/>
        <v>8</v>
      </c>
      <c r="P26">
        <f t="shared" si="11"/>
        <v>38</v>
      </c>
      <c r="Q26">
        <f t="shared" si="13"/>
        <v>518</v>
      </c>
      <c r="R26">
        <f t="shared" si="14"/>
        <v>0</v>
      </c>
      <c r="S26">
        <f t="shared" si="15"/>
        <v>8</v>
      </c>
      <c r="T26">
        <f t="shared" si="16"/>
        <v>38</v>
      </c>
      <c r="U26">
        <f t="shared" si="17"/>
        <v>518</v>
      </c>
      <c r="V26" t="str">
        <f t="shared" si="18"/>
        <v>V:\Tutorials\Programming\Java Spring\Spring Data 2\1. Spring Data Umbrella Project\.mkv</v>
      </c>
    </row>
    <row r="27" spans="1:22" hidden="1" x14ac:dyDescent="0.25">
      <c r="B27" t="b">
        <f t="shared" si="0"/>
        <v>0</v>
      </c>
      <c r="C27" t="b">
        <f t="shared" si="12"/>
        <v>0</v>
      </c>
      <c r="D27">
        <f t="shared" si="8"/>
        <v>2</v>
      </c>
      <c r="E27" t="str">
        <f t="shared" si="9"/>
        <v>1. Spring Data Umbrella Project</v>
      </c>
      <c r="F27" s="8" t="str">
        <f t="shared" si="1"/>
        <v/>
      </c>
      <c r="G27" t="str">
        <f t="shared" si="2"/>
        <v/>
      </c>
      <c r="H27">
        <f t="shared" si="3"/>
        <v>0</v>
      </c>
      <c r="I27">
        <f t="shared" si="10"/>
        <v>0</v>
      </c>
      <c r="J27">
        <f t="shared" si="4"/>
        <v>518</v>
      </c>
      <c r="K27">
        <f t="shared" si="5"/>
        <v>0</v>
      </c>
      <c r="L27">
        <f t="shared" si="6"/>
        <v>8</v>
      </c>
      <c r="M27">
        <f t="shared" si="7"/>
        <v>38</v>
      </c>
      <c r="N27">
        <f t="shared" ref="N27:P90" si="19">R26</f>
        <v>0</v>
      </c>
      <c r="O27">
        <f t="shared" si="19"/>
        <v>8</v>
      </c>
      <c r="P27">
        <f t="shared" si="19"/>
        <v>38</v>
      </c>
      <c r="Q27">
        <f t="shared" si="13"/>
        <v>518</v>
      </c>
      <c r="R27">
        <f t="shared" si="14"/>
        <v>0</v>
      </c>
      <c r="S27">
        <f t="shared" si="15"/>
        <v>8</v>
      </c>
      <c r="T27">
        <f t="shared" si="16"/>
        <v>38</v>
      </c>
      <c r="U27">
        <f t="shared" si="17"/>
        <v>518</v>
      </c>
      <c r="V27" t="str">
        <f t="shared" si="18"/>
        <v>V:\Tutorials\Programming\Java Spring\Spring Data 2\1. Spring Data Umbrella Project\.mkv</v>
      </c>
    </row>
    <row r="28" spans="1:22" hidden="1" x14ac:dyDescent="0.25">
      <c r="A28" t="s">
        <v>172</v>
      </c>
      <c r="B28" t="b">
        <f t="shared" si="0"/>
        <v>1</v>
      </c>
      <c r="C28" t="b">
        <f t="shared" si="12"/>
        <v>0</v>
      </c>
      <c r="D28">
        <f t="shared" si="8"/>
        <v>0</v>
      </c>
      <c r="E28" t="str">
        <f t="shared" si="9"/>
        <v>2. Introduction to Spring Data JPA</v>
      </c>
      <c r="F28" s="8" t="str">
        <f t="shared" si="1"/>
        <v/>
      </c>
      <c r="G28" t="str">
        <f t="shared" si="2"/>
        <v/>
      </c>
      <c r="H28">
        <f t="shared" si="3"/>
        <v>0</v>
      </c>
      <c r="I28">
        <f t="shared" si="10"/>
        <v>0</v>
      </c>
      <c r="J28">
        <f t="shared" si="4"/>
        <v>518</v>
      </c>
      <c r="K28">
        <f t="shared" si="5"/>
        <v>0</v>
      </c>
      <c r="L28">
        <f t="shared" si="6"/>
        <v>8</v>
      </c>
      <c r="M28">
        <f t="shared" si="7"/>
        <v>38</v>
      </c>
      <c r="N28">
        <f t="shared" si="19"/>
        <v>0</v>
      </c>
      <c r="O28">
        <f t="shared" si="19"/>
        <v>8</v>
      </c>
      <c r="P28">
        <f t="shared" si="19"/>
        <v>38</v>
      </c>
      <c r="Q28">
        <f t="shared" si="13"/>
        <v>518</v>
      </c>
      <c r="R28">
        <f t="shared" si="14"/>
        <v>0</v>
      </c>
      <c r="S28">
        <f t="shared" si="15"/>
        <v>8</v>
      </c>
      <c r="T28">
        <f t="shared" si="16"/>
        <v>38</v>
      </c>
      <c r="U28">
        <f t="shared" si="17"/>
        <v>518</v>
      </c>
      <c r="V28" t="str">
        <f t="shared" si="18"/>
        <v>V:\Tutorials\Programming\Java Spring\Spring Data 2\2. Introduction to Spring Data JPA\.mkv</v>
      </c>
    </row>
    <row r="29" spans="1:22" hidden="1" x14ac:dyDescent="0.25">
      <c r="B29" t="b">
        <f t="shared" si="0"/>
        <v>0</v>
      </c>
      <c r="C29" t="b">
        <f t="shared" si="12"/>
        <v>0</v>
      </c>
      <c r="D29">
        <f t="shared" si="8"/>
        <v>0</v>
      </c>
      <c r="E29" t="str">
        <f t="shared" si="9"/>
        <v>2. Introduction to Spring Data JPA</v>
      </c>
      <c r="F29" s="8" t="str">
        <f t="shared" si="1"/>
        <v/>
      </c>
      <c r="G29" t="str">
        <f t="shared" si="2"/>
        <v/>
      </c>
      <c r="H29">
        <f t="shared" si="3"/>
        <v>0</v>
      </c>
      <c r="I29">
        <f t="shared" si="10"/>
        <v>0</v>
      </c>
      <c r="J29">
        <f t="shared" si="4"/>
        <v>518</v>
      </c>
      <c r="K29">
        <f t="shared" si="5"/>
        <v>0</v>
      </c>
      <c r="L29">
        <f t="shared" si="6"/>
        <v>8</v>
      </c>
      <c r="M29">
        <f t="shared" si="7"/>
        <v>38</v>
      </c>
      <c r="N29">
        <f t="shared" si="19"/>
        <v>0</v>
      </c>
      <c r="O29">
        <f t="shared" si="19"/>
        <v>8</v>
      </c>
      <c r="P29">
        <f t="shared" si="19"/>
        <v>38</v>
      </c>
      <c r="Q29">
        <f t="shared" si="13"/>
        <v>518</v>
      </c>
      <c r="R29">
        <f t="shared" si="14"/>
        <v>0</v>
      </c>
      <c r="S29">
        <f t="shared" si="15"/>
        <v>8</v>
      </c>
      <c r="T29">
        <f t="shared" si="16"/>
        <v>38</v>
      </c>
      <c r="U29">
        <f t="shared" si="17"/>
        <v>518</v>
      </c>
      <c r="V29" t="str">
        <f t="shared" si="18"/>
        <v>V:\Tutorials\Programming\Java Spring\Spring Data 2\2. Introduction to Spring Data JPA\.mkv</v>
      </c>
    </row>
    <row r="30" spans="1:22" x14ac:dyDescent="0.25">
      <c r="A30" t="s">
        <v>173</v>
      </c>
      <c r="B30" t="b">
        <f t="shared" si="0"/>
        <v>0</v>
      </c>
      <c r="C30" t="b">
        <f t="shared" si="12"/>
        <v>1</v>
      </c>
      <c r="D30">
        <f t="shared" si="8"/>
        <v>1</v>
      </c>
      <c r="E30" t="str">
        <f t="shared" si="9"/>
        <v>2. Introduction to Spring Data JPA</v>
      </c>
      <c r="F30" s="8" t="str">
        <f t="shared" si="1"/>
        <v>1. Spring Boot Starter Data JPA</v>
      </c>
      <c r="G30" t="str">
        <f t="shared" si="2"/>
        <v>4m 34s</v>
      </c>
      <c r="H30">
        <f t="shared" si="3"/>
        <v>4</v>
      </c>
      <c r="I30">
        <f t="shared" si="10"/>
        <v>34</v>
      </c>
      <c r="J30">
        <f t="shared" si="4"/>
        <v>792</v>
      </c>
      <c r="K30">
        <f t="shared" si="5"/>
        <v>0</v>
      </c>
      <c r="L30">
        <f t="shared" si="6"/>
        <v>13</v>
      </c>
      <c r="M30">
        <f t="shared" si="7"/>
        <v>12</v>
      </c>
      <c r="N30">
        <f t="shared" si="19"/>
        <v>0</v>
      </c>
      <c r="O30">
        <v>0</v>
      </c>
      <c r="P30">
        <v>0</v>
      </c>
      <c r="Q30">
        <f t="shared" si="13"/>
        <v>0</v>
      </c>
      <c r="R30">
        <f t="shared" si="14"/>
        <v>0</v>
      </c>
      <c r="S30">
        <f t="shared" si="15"/>
        <v>4</v>
      </c>
      <c r="T30">
        <f t="shared" si="16"/>
        <v>34</v>
      </c>
      <c r="U30">
        <f t="shared" si="17"/>
        <v>274</v>
      </c>
      <c r="V30" t="str">
        <f t="shared" si="18"/>
        <v>V:\Tutorials\Programming\Java Spring\Spring Data 2\2. Introduction to Spring Data JPA\1. Spring Boot Starter Data JPA.mkv</v>
      </c>
    </row>
    <row r="31" spans="1:22" hidden="1" x14ac:dyDescent="0.25">
      <c r="A31" t="s">
        <v>174</v>
      </c>
      <c r="B31" t="b">
        <f t="shared" si="0"/>
        <v>0</v>
      </c>
      <c r="C31" t="b">
        <f t="shared" si="12"/>
        <v>0</v>
      </c>
      <c r="D31">
        <f t="shared" si="8"/>
        <v>1</v>
      </c>
      <c r="E31" t="str">
        <f t="shared" si="9"/>
        <v>2. Introduction to Spring Data JPA</v>
      </c>
      <c r="F31" s="8" t="str">
        <f t="shared" si="1"/>
        <v/>
      </c>
      <c r="G31" t="str">
        <f t="shared" si="2"/>
        <v/>
      </c>
      <c r="H31">
        <f t="shared" si="3"/>
        <v>0</v>
      </c>
      <c r="I31">
        <f t="shared" si="10"/>
        <v>0</v>
      </c>
      <c r="J31">
        <f t="shared" si="4"/>
        <v>792</v>
      </c>
      <c r="K31">
        <f t="shared" si="5"/>
        <v>0</v>
      </c>
      <c r="L31">
        <f t="shared" si="6"/>
        <v>13</v>
      </c>
      <c r="M31">
        <f t="shared" si="7"/>
        <v>12</v>
      </c>
      <c r="N31">
        <f t="shared" si="19"/>
        <v>0</v>
      </c>
      <c r="O31">
        <f t="shared" si="19"/>
        <v>4</v>
      </c>
      <c r="P31">
        <f t="shared" si="19"/>
        <v>34</v>
      </c>
      <c r="Q31">
        <f t="shared" si="13"/>
        <v>274</v>
      </c>
      <c r="R31">
        <f t="shared" si="14"/>
        <v>0</v>
      </c>
      <c r="S31">
        <f t="shared" si="15"/>
        <v>4</v>
      </c>
      <c r="T31">
        <f t="shared" si="16"/>
        <v>34</v>
      </c>
      <c r="U31">
        <f t="shared" si="17"/>
        <v>274</v>
      </c>
      <c r="V31" t="str">
        <f t="shared" si="18"/>
        <v>V:\Tutorials\Programming\Java Spring\Spring Data 2\2. Introduction to Spring Data JPA\.mkv</v>
      </c>
    </row>
    <row r="32" spans="1:22" hidden="1" x14ac:dyDescent="0.25">
      <c r="A32" t="s">
        <v>3</v>
      </c>
      <c r="B32" t="b">
        <f t="shared" si="0"/>
        <v>0</v>
      </c>
      <c r="C32" t="b">
        <f t="shared" si="12"/>
        <v>0</v>
      </c>
      <c r="D32">
        <f t="shared" si="8"/>
        <v>1</v>
      </c>
      <c r="E32" t="str">
        <f t="shared" si="9"/>
        <v>2. Introduction to Spring Data JPA</v>
      </c>
      <c r="F32" s="8" t="str">
        <f t="shared" si="1"/>
        <v/>
      </c>
      <c r="G32" t="str">
        <f t="shared" si="2"/>
        <v/>
      </c>
      <c r="H32">
        <f t="shared" si="3"/>
        <v>0</v>
      </c>
      <c r="I32">
        <f t="shared" si="10"/>
        <v>0</v>
      </c>
      <c r="J32">
        <f t="shared" si="4"/>
        <v>792</v>
      </c>
      <c r="K32">
        <f t="shared" si="5"/>
        <v>0</v>
      </c>
      <c r="L32">
        <f t="shared" si="6"/>
        <v>13</v>
      </c>
      <c r="M32">
        <f t="shared" si="7"/>
        <v>12</v>
      </c>
      <c r="N32">
        <f t="shared" si="19"/>
        <v>0</v>
      </c>
      <c r="O32">
        <f t="shared" si="19"/>
        <v>4</v>
      </c>
      <c r="P32">
        <f t="shared" si="19"/>
        <v>34</v>
      </c>
      <c r="Q32">
        <f t="shared" si="13"/>
        <v>274</v>
      </c>
      <c r="R32">
        <f t="shared" si="14"/>
        <v>0</v>
      </c>
      <c r="S32">
        <f t="shared" si="15"/>
        <v>4</v>
      </c>
      <c r="T32">
        <f t="shared" si="16"/>
        <v>34</v>
      </c>
      <c r="U32">
        <f t="shared" si="17"/>
        <v>274</v>
      </c>
      <c r="V32" t="str">
        <f t="shared" si="18"/>
        <v>V:\Tutorials\Programming\Java Spring\Spring Data 2\2. Introduction to Spring Data JPA\.mkv</v>
      </c>
    </row>
    <row r="33" spans="1:22" x14ac:dyDescent="0.25">
      <c r="A33" t="s">
        <v>175</v>
      </c>
      <c r="B33" t="b">
        <f t="shared" si="0"/>
        <v>0</v>
      </c>
      <c r="C33" t="b">
        <f t="shared" si="12"/>
        <v>1</v>
      </c>
      <c r="D33">
        <f t="shared" si="8"/>
        <v>2</v>
      </c>
      <c r="E33" t="str">
        <f t="shared" si="9"/>
        <v>2. Introduction to Spring Data JPA</v>
      </c>
      <c r="F33" s="8" t="str">
        <f t="shared" si="1"/>
        <v>2. Spring Data CrudRepository and JPA repository</v>
      </c>
      <c r="G33" t="str">
        <f t="shared" si="2"/>
        <v>6m 17s</v>
      </c>
      <c r="H33">
        <f t="shared" si="3"/>
        <v>6</v>
      </c>
      <c r="I33">
        <f t="shared" si="10"/>
        <v>17</v>
      </c>
      <c r="J33">
        <f t="shared" si="4"/>
        <v>1169</v>
      </c>
      <c r="K33">
        <f t="shared" si="5"/>
        <v>0</v>
      </c>
      <c r="L33">
        <f t="shared" si="6"/>
        <v>19</v>
      </c>
      <c r="M33">
        <f t="shared" si="7"/>
        <v>29</v>
      </c>
      <c r="N33">
        <f t="shared" si="19"/>
        <v>0</v>
      </c>
      <c r="O33">
        <f t="shared" si="19"/>
        <v>4</v>
      </c>
      <c r="P33">
        <f t="shared" si="19"/>
        <v>34</v>
      </c>
      <c r="Q33">
        <f t="shared" si="13"/>
        <v>274</v>
      </c>
      <c r="R33">
        <f t="shared" si="14"/>
        <v>0</v>
      </c>
      <c r="S33">
        <f t="shared" si="15"/>
        <v>10</v>
      </c>
      <c r="T33">
        <f t="shared" si="16"/>
        <v>51</v>
      </c>
      <c r="U33">
        <f t="shared" si="17"/>
        <v>651</v>
      </c>
      <c r="V33" t="str">
        <f t="shared" si="18"/>
        <v>V:\Tutorials\Programming\Java Spring\Spring Data 2\2. Introduction to Spring Data JPA\2. Spring Data CrudRepository and JPA repository.mkv</v>
      </c>
    </row>
    <row r="34" spans="1:22" hidden="1" x14ac:dyDescent="0.25">
      <c r="A34" t="s">
        <v>4</v>
      </c>
      <c r="B34" t="b">
        <f t="shared" si="0"/>
        <v>0</v>
      </c>
      <c r="C34" t="b">
        <f t="shared" si="12"/>
        <v>0</v>
      </c>
      <c r="D34">
        <f t="shared" si="8"/>
        <v>2</v>
      </c>
      <c r="E34" t="str">
        <f t="shared" si="9"/>
        <v>2. Introduction to Spring Data JPA</v>
      </c>
      <c r="F34" s="8" t="str">
        <f t="shared" si="1"/>
        <v/>
      </c>
      <c r="G34" t="str">
        <f t="shared" si="2"/>
        <v/>
      </c>
      <c r="H34">
        <f t="shared" si="3"/>
        <v>0</v>
      </c>
      <c r="I34">
        <f t="shared" si="10"/>
        <v>0</v>
      </c>
      <c r="J34">
        <f t="shared" si="4"/>
        <v>1169</v>
      </c>
      <c r="K34">
        <f t="shared" si="5"/>
        <v>0</v>
      </c>
      <c r="L34">
        <f t="shared" si="6"/>
        <v>19</v>
      </c>
      <c r="M34">
        <f t="shared" si="7"/>
        <v>29</v>
      </c>
      <c r="N34">
        <f t="shared" si="19"/>
        <v>0</v>
      </c>
      <c r="O34">
        <f t="shared" si="19"/>
        <v>10</v>
      </c>
      <c r="P34">
        <f t="shared" si="19"/>
        <v>51</v>
      </c>
      <c r="Q34">
        <f t="shared" si="13"/>
        <v>651</v>
      </c>
      <c r="R34">
        <f t="shared" si="14"/>
        <v>0</v>
      </c>
      <c r="S34">
        <f t="shared" si="15"/>
        <v>10</v>
      </c>
      <c r="T34">
        <f t="shared" si="16"/>
        <v>51</v>
      </c>
      <c r="U34">
        <f t="shared" si="17"/>
        <v>651</v>
      </c>
      <c r="V34" t="str">
        <f t="shared" si="18"/>
        <v>V:\Tutorials\Programming\Java Spring\Spring Data 2\2. Introduction to Spring Data JPA\.mkv</v>
      </c>
    </row>
    <row r="35" spans="1:22" hidden="1" x14ac:dyDescent="0.25">
      <c r="A35" t="s">
        <v>3</v>
      </c>
      <c r="B35" t="b">
        <f t="shared" si="0"/>
        <v>0</v>
      </c>
      <c r="C35" t="b">
        <f t="shared" si="12"/>
        <v>0</v>
      </c>
      <c r="D35">
        <f t="shared" si="8"/>
        <v>2</v>
      </c>
      <c r="E35" t="str">
        <f t="shared" si="9"/>
        <v>2. Introduction to Spring Data JPA</v>
      </c>
      <c r="F35" s="8" t="str">
        <f t="shared" si="1"/>
        <v/>
      </c>
      <c r="G35" t="str">
        <f t="shared" si="2"/>
        <v/>
      </c>
      <c r="H35">
        <f t="shared" si="3"/>
        <v>0</v>
      </c>
      <c r="I35">
        <f t="shared" si="10"/>
        <v>0</v>
      </c>
      <c r="J35">
        <f t="shared" si="4"/>
        <v>1169</v>
      </c>
      <c r="K35">
        <f t="shared" si="5"/>
        <v>0</v>
      </c>
      <c r="L35">
        <f t="shared" si="6"/>
        <v>19</v>
      </c>
      <c r="M35">
        <f t="shared" si="7"/>
        <v>29</v>
      </c>
      <c r="N35">
        <f t="shared" si="19"/>
        <v>0</v>
      </c>
      <c r="O35">
        <f t="shared" si="19"/>
        <v>10</v>
      </c>
      <c r="P35">
        <f t="shared" si="19"/>
        <v>51</v>
      </c>
      <c r="Q35">
        <f t="shared" si="13"/>
        <v>651</v>
      </c>
      <c r="R35">
        <f t="shared" si="14"/>
        <v>0</v>
      </c>
      <c r="S35">
        <f t="shared" si="15"/>
        <v>10</v>
      </c>
      <c r="T35">
        <f t="shared" si="16"/>
        <v>51</v>
      </c>
      <c r="U35">
        <f t="shared" si="17"/>
        <v>651</v>
      </c>
      <c r="V35" t="str">
        <f t="shared" si="18"/>
        <v>V:\Tutorials\Programming\Java Spring\Spring Data 2\2. Introduction to Spring Data JPA\.mkv</v>
      </c>
    </row>
    <row r="36" spans="1:22" x14ac:dyDescent="0.25">
      <c r="A36" t="s">
        <v>176</v>
      </c>
      <c r="B36" t="b">
        <f t="shared" si="0"/>
        <v>0</v>
      </c>
      <c r="C36" t="b">
        <f t="shared" si="12"/>
        <v>1</v>
      </c>
      <c r="D36">
        <f t="shared" si="8"/>
        <v>3</v>
      </c>
      <c r="E36" t="str">
        <f t="shared" si="9"/>
        <v>2. Introduction to Spring Data JPA</v>
      </c>
      <c r="F36" s="8" t="str">
        <f t="shared" si="1"/>
        <v>3. Challenge - Fix SimpleDBCrudTest syntax errors</v>
      </c>
      <c r="G36" t="str">
        <f t="shared" si="2"/>
        <v>1m 11s</v>
      </c>
      <c r="H36">
        <f t="shared" si="3"/>
        <v>1</v>
      </c>
      <c r="I36">
        <f t="shared" si="10"/>
        <v>11</v>
      </c>
      <c r="J36">
        <f t="shared" si="4"/>
        <v>1240</v>
      </c>
      <c r="K36">
        <f t="shared" si="5"/>
        <v>0</v>
      </c>
      <c r="L36">
        <f t="shared" si="6"/>
        <v>20</v>
      </c>
      <c r="M36">
        <f t="shared" si="7"/>
        <v>40</v>
      </c>
      <c r="N36">
        <f t="shared" si="19"/>
        <v>0</v>
      </c>
      <c r="O36">
        <f t="shared" si="19"/>
        <v>10</v>
      </c>
      <c r="P36">
        <f t="shared" si="19"/>
        <v>51</v>
      </c>
      <c r="Q36">
        <f t="shared" si="13"/>
        <v>651</v>
      </c>
      <c r="R36">
        <f t="shared" si="14"/>
        <v>0</v>
      </c>
      <c r="S36">
        <f t="shared" si="15"/>
        <v>12</v>
      </c>
      <c r="T36">
        <f t="shared" si="16"/>
        <v>2</v>
      </c>
      <c r="U36">
        <f t="shared" si="17"/>
        <v>722</v>
      </c>
      <c r="V36" t="str">
        <f t="shared" si="18"/>
        <v>V:\Tutorials\Programming\Java Spring\Spring Data 2\2. Introduction to Spring Data JPA\3. Challenge - Fix SimpleDBCrudTest syntax errors.mkv</v>
      </c>
    </row>
    <row r="37" spans="1:22" hidden="1" x14ac:dyDescent="0.25">
      <c r="A37" t="s">
        <v>177</v>
      </c>
      <c r="B37" t="b">
        <f t="shared" si="0"/>
        <v>0</v>
      </c>
      <c r="C37" t="b">
        <f t="shared" si="12"/>
        <v>0</v>
      </c>
      <c r="D37">
        <f t="shared" si="8"/>
        <v>3</v>
      </c>
      <c r="E37" t="str">
        <f t="shared" si="9"/>
        <v>2. Introduction to Spring Data JPA</v>
      </c>
      <c r="F37" s="8" t="str">
        <f t="shared" si="1"/>
        <v/>
      </c>
      <c r="G37" t="str">
        <f t="shared" si="2"/>
        <v/>
      </c>
      <c r="H37">
        <f t="shared" si="3"/>
        <v>0</v>
      </c>
      <c r="I37">
        <f t="shared" si="10"/>
        <v>0</v>
      </c>
      <c r="J37">
        <f t="shared" si="4"/>
        <v>1240</v>
      </c>
      <c r="K37">
        <f t="shared" si="5"/>
        <v>0</v>
      </c>
      <c r="L37">
        <f t="shared" si="6"/>
        <v>20</v>
      </c>
      <c r="M37">
        <f t="shared" si="7"/>
        <v>40</v>
      </c>
      <c r="N37">
        <f t="shared" si="19"/>
        <v>0</v>
      </c>
      <c r="O37">
        <f t="shared" si="19"/>
        <v>12</v>
      </c>
      <c r="P37">
        <f t="shared" si="19"/>
        <v>2</v>
      </c>
      <c r="Q37">
        <f t="shared" si="13"/>
        <v>722</v>
      </c>
      <c r="R37">
        <f t="shared" si="14"/>
        <v>0</v>
      </c>
      <c r="S37">
        <f t="shared" si="15"/>
        <v>12</v>
      </c>
      <c r="T37">
        <f t="shared" si="16"/>
        <v>2</v>
      </c>
      <c r="U37">
        <f t="shared" si="17"/>
        <v>722</v>
      </c>
      <c r="V37" t="str">
        <f t="shared" si="18"/>
        <v>V:\Tutorials\Programming\Java Spring\Spring Data 2\2. Introduction to Spring Data JPA\.mkv</v>
      </c>
    </row>
    <row r="38" spans="1:22" hidden="1" x14ac:dyDescent="0.25">
      <c r="A38" t="s">
        <v>3</v>
      </c>
      <c r="B38" t="b">
        <f t="shared" si="0"/>
        <v>0</v>
      </c>
      <c r="C38" t="b">
        <f t="shared" si="12"/>
        <v>0</v>
      </c>
      <c r="D38">
        <f t="shared" si="8"/>
        <v>3</v>
      </c>
      <c r="E38" t="str">
        <f t="shared" si="9"/>
        <v>2. Introduction to Spring Data JPA</v>
      </c>
      <c r="F38" s="8" t="str">
        <f t="shared" si="1"/>
        <v/>
      </c>
      <c r="G38" t="str">
        <f t="shared" si="2"/>
        <v/>
      </c>
      <c r="H38">
        <f t="shared" si="3"/>
        <v>0</v>
      </c>
      <c r="I38">
        <f t="shared" si="10"/>
        <v>0</v>
      </c>
      <c r="J38">
        <f t="shared" si="4"/>
        <v>1240</v>
      </c>
      <c r="K38">
        <f t="shared" si="5"/>
        <v>0</v>
      </c>
      <c r="L38">
        <f t="shared" si="6"/>
        <v>20</v>
      </c>
      <c r="M38">
        <f t="shared" si="7"/>
        <v>40</v>
      </c>
      <c r="N38">
        <f t="shared" si="19"/>
        <v>0</v>
      </c>
      <c r="O38">
        <f t="shared" si="19"/>
        <v>12</v>
      </c>
      <c r="P38">
        <f t="shared" si="19"/>
        <v>2</v>
      </c>
      <c r="Q38">
        <f t="shared" si="13"/>
        <v>722</v>
      </c>
      <c r="R38">
        <f t="shared" si="14"/>
        <v>0</v>
      </c>
      <c r="S38">
        <f t="shared" si="15"/>
        <v>12</v>
      </c>
      <c r="T38">
        <f t="shared" si="16"/>
        <v>2</v>
      </c>
      <c r="U38">
        <f t="shared" si="17"/>
        <v>722</v>
      </c>
      <c r="V38" t="str">
        <f t="shared" si="18"/>
        <v>V:\Tutorials\Programming\Java Spring\Spring Data 2\2. Introduction to Spring Data JPA\.mkv</v>
      </c>
    </row>
    <row r="39" spans="1:22" x14ac:dyDescent="0.25">
      <c r="A39" t="s">
        <v>178</v>
      </c>
      <c r="B39" t="b">
        <f t="shared" si="0"/>
        <v>0</v>
      </c>
      <c r="C39" t="b">
        <f t="shared" si="12"/>
        <v>1</v>
      </c>
      <c r="D39">
        <f t="shared" si="8"/>
        <v>4</v>
      </c>
      <c r="E39" t="str">
        <f t="shared" si="9"/>
        <v>2. Introduction to Spring Data JPA</v>
      </c>
      <c r="F39" s="8" t="str">
        <f>SUBSTITUTE(IF(C39,D39&amp;". "&amp;A39,""),":"," -")</f>
        <v>4. Solution - Fix SimpleDBCrudTest syntax errors</v>
      </c>
      <c r="G39" t="str">
        <f t="shared" si="2"/>
        <v>1m 7s</v>
      </c>
      <c r="H39">
        <f t="shared" si="3"/>
        <v>1</v>
      </c>
      <c r="I39">
        <f t="shared" si="10"/>
        <v>7</v>
      </c>
      <c r="J39">
        <f t="shared" si="4"/>
        <v>1307</v>
      </c>
      <c r="K39">
        <f t="shared" si="5"/>
        <v>0</v>
      </c>
      <c r="L39">
        <f t="shared" si="6"/>
        <v>21</v>
      </c>
      <c r="M39">
        <f t="shared" si="7"/>
        <v>47</v>
      </c>
      <c r="N39">
        <f t="shared" si="19"/>
        <v>0</v>
      </c>
      <c r="O39">
        <f t="shared" si="19"/>
        <v>12</v>
      </c>
      <c r="P39">
        <v>18</v>
      </c>
      <c r="Q39">
        <f t="shared" si="13"/>
        <v>738</v>
      </c>
      <c r="R39">
        <f t="shared" si="14"/>
        <v>0</v>
      </c>
      <c r="S39">
        <f t="shared" si="15"/>
        <v>13</v>
      </c>
      <c r="T39">
        <f t="shared" si="16"/>
        <v>25</v>
      </c>
      <c r="U39">
        <f t="shared" si="17"/>
        <v>805</v>
      </c>
      <c r="V39" t="str">
        <f t="shared" si="18"/>
        <v>V:\Tutorials\Programming\Java Spring\Spring Data 2\2. Introduction to Spring Data JPA\4. Solution - Fix SimpleDBCrudTest syntax errors.mkv</v>
      </c>
    </row>
    <row r="40" spans="1:22" hidden="1" x14ac:dyDescent="0.25">
      <c r="A40" t="s">
        <v>25</v>
      </c>
      <c r="B40" t="b">
        <f t="shared" si="0"/>
        <v>0</v>
      </c>
      <c r="C40" t="b">
        <f t="shared" si="12"/>
        <v>0</v>
      </c>
      <c r="D40">
        <f t="shared" si="8"/>
        <v>4</v>
      </c>
      <c r="E40" t="str">
        <f t="shared" si="9"/>
        <v>2. Introduction to Spring Data JPA</v>
      </c>
      <c r="F40" s="8" t="str">
        <f t="shared" ref="F40:F103" si="20">SUBSTITUTE(IF(C40,D40&amp;". "&amp;A40,""),":"," -")</f>
        <v/>
      </c>
      <c r="G40" t="str">
        <f t="shared" si="2"/>
        <v/>
      </c>
      <c r="H40">
        <f t="shared" si="3"/>
        <v>0</v>
      </c>
      <c r="I40">
        <f t="shared" si="10"/>
        <v>0</v>
      </c>
      <c r="J40">
        <f t="shared" si="4"/>
        <v>1307</v>
      </c>
      <c r="K40">
        <f t="shared" si="5"/>
        <v>0</v>
      </c>
      <c r="L40">
        <f t="shared" si="6"/>
        <v>21</v>
      </c>
      <c r="M40">
        <f t="shared" si="7"/>
        <v>47</v>
      </c>
      <c r="N40">
        <f t="shared" si="19"/>
        <v>0</v>
      </c>
      <c r="O40">
        <f t="shared" si="19"/>
        <v>13</v>
      </c>
      <c r="P40">
        <f t="shared" si="19"/>
        <v>25</v>
      </c>
      <c r="Q40">
        <f t="shared" si="13"/>
        <v>805</v>
      </c>
      <c r="R40">
        <f t="shared" si="14"/>
        <v>0</v>
      </c>
      <c r="S40">
        <f t="shared" si="15"/>
        <v>13</v>
      </c>
      <c r="T40">
        <f t="shared" si="16"/>
        <v>25</v>
      </c>
      <c r="U40">
        <f t="shared" si="17"/>
        <v>805</v>
      </c>
      <c r="V40" t="str">
        <f t="shared" si="18"/>
        <v>V:\Tutorials\Programming\Java Spring\Spring Data 2\2. Introduction to Spring Data JPA\.mkv</v>
      </c>
    </row>
    <row r="41" spans="1:22" hidden="1" x14ac:dyDescent="0.25">
      <c r="A41" t="s">
        <v>3</v>
      </c>
      <c r="B41" t="b">
        <f t="shared" si="0"/>
        <v>0</v>
      </c>
      <c r="C41" t="b">
        <f t="shared" si="12"/>
        <v>0</v>
      </c>
      <c r="D41">
        <f t="shared" si="8"/>
        <v>4</v>
      </c>
      <c r="E41" t="str">
        <f t="shared" si="9"/>
        <v>2. Introduction to Spring Data JPA</v>
      </c>
      <c r="F41" s="8" t="str">
        <f t="shared" si="20"/>
        <v/>
      </c>
      <c r="G41" t="str">
        <f t="shared" si="2"/>
        <v/>
      </c>
      <c r="H41">
        <f t="shared" si="3"/>
        <v>0</v>
      </c>
      <c r="I41">
        <f t="shared" si="10"/>
        <v>0</v>
      </c>
      <c r="J41">
        <f t="shared" si="4"/>
        <v>1307</v>
      </c>
      <c r="K41">
        <f t="shared" si="5"/>
        <v>0</v>
      </c>
      <c r="L41">
        <f t="shared" si="6"/>
        <v>21</v>
      </c>
      <c r="M41">
        <f t="shared" si="7"/>
        <v>47</v>
      </c>
      <c r="N41">
        <f t="shared" si="19"/>
        <v>0</v>
      </c>
      <c r="O41">
        <f t="shared" si="19"/>
        <v>13</v>
      </c>
      <c r="P41">
        <f t="shared" si="19"/>
        <v>25</v>
      </c>
      <c r="Q41">
        <f t="shared" si="13"/>
        <v>805</v>
      </c>
      <c r="R41">
        <f t="shared" si="14"/>
        <v>0</v>
      </c>
      <c r="S41">
        <f t="shared" si="15"/>
        <v>13</v>
      </c>
      <c r="T41">
        <f t="shared" si="16"/>
        <v>25</v>
      </c>
      <c r="U41">
        <f t="shared" si="17"/>
        <v>805</v>
      </c>
      <c r="V41" t="str">
        <f t="shared" si="18"/>
        <v>V:\Tutorials\Programming\Java Spring\Spring Data 2\2. Introduction to Spring Data JPA\.mkv</v>
      </c>
    </row>
    <row r="42" spans="1:22" x14ac:dyDescent="0.25">
      <c r="A42" t="s">
        <v>179</v>
      </c>
      <c r="B42" t="b">
        <f t="shared" si="0"/>
        <v>0</v>
      </c>
      <c r="C42" t="b">
        <f t="shared" si="12"/>
        <v>1</v>
      </c>
      <c r="D42">
        <f t="shared" si="8"/>
        <v>5</v>
      </c>
      <c r="E42" t="str">
        <f t="shared" si="9"/>
        <v>2. Introduction to Spring Data JPA</v>
      </c>
      <c r="F42" s="8" t="str">
        <f t="shared" si="20"/>
        <v>5. Spring Data JPA magic</v>
      </c>
      <c r="G42" t="str">
        <f t="shared" si="2"/>
        <v>3m 31s</v>
      </c>
      <c r="H42">
        <f t="shared" si="3"/>
        <v>3</v>
      </c>
      <c r="I42">
        <f t="shared" si="10"/>
        <v>31</v>
      </c>
      <c r="J42">
        <f t="shared" si="4"/>
        <v>1518</v>
      </c>
      <c r="K42">
        <f t="shared" si="5"/>
        <v>0</v>
      </c>
      <c r="L42">
        <f t="shared" si="6"/>
        <v>25</v>
      </c>
      <c r="M42">
        <f t="shared" si="7"/>
        <v>18</v>
      </c>
      <c r="N42">
        <f t="shared" si="19"/>
        <v>0</v>
      </c>
      <c r="O42">
        <f t="shared" si="19"/>
        <v>13</v>
      </c>
      <c r="P42">
        <v>30</v>
      </c>
      <c r="Q42">
        <f t="shared" si="13"/>
        <v>810</v>
      </c>
      <c r="R42">
        <f t="shared" si="14"/>
        <v>0</v>
      </c>
      <c r="S42">
        <f t="shared" si="15"/>
        <v>17</v>
      </c>
      <c r="T42">
        <f t="shared" si="16"/>
        <v>1</v>
      </c>
      <c r="U42">
        <f t="shared" si="17"/>
        <v>1021</v>
      </c>
      <c r="V42" t="str">
        <f t="shared" si="18"/>
        <v>V:\Tutorials\Programming\Java Spring\Spring Data 2\2. Introduction to Spring Data JPA\5. Spring Data JPA magic.mkv</v>
      </c>
    </row>
    <row r="43" spans="1:22" hidden="1" x14ac:dyDescent="0.25">
      <c r="A43" t="s">
        <v>180</v>
      </c>
      <c r="B43" t="b">
        <f t="shared" si="0"/>
        <v>0</v>
      </c>
      <c r="C43" t="b">
        <f t="shared" si="12"/>
        <v>0</v>
      </c>
      <c r="D43">
        <f t="shared" si="8"/>
        <v>5</v>
      </c>
      <c r="E43" t="str">
        <f t="shared" si="9"/>
        <v>2. Introduction to Spring Data JPA</v>
      </c>
      <c r="F43" s="8" t="str">
        <f t="shared" si="20"/>
        <v/>
      </c>
      <c r="G43" t="str">
        <f t="shared" si="2"/>
        <v/>
      </c>
      <c r="H43">
        <f t="shared" si="3"/>
        <v>0</v>
      </c>
      <c r="I43">
        <f t="shared" si="10"/>
        <v>0</v>
      </c>
      <c r="J43">
        <v>0</v>
      </c>
      <c r="K43">
        <f t="shared" si="5"/>
        <v>0</v>
      </c>
      <c r="L43">
        <f t="shared" si="6"/>
        <v>0</v>
      </c>
      <c r="M43">
        <f t="shared" si="7"/>
        <v>0</v>
      </c>
      <c r="N43">
        <f t="shared" si="19"/>
        <v>0</v>
      </c>
      <c r="O43">
        <f t="shared" si="19"/>
        <v>17</v>
      </c>
      <c r="P43">
        <f t="shared" si="19"/>
        <v>1</v>
      </c>
      <c r="Q43">
        <f t="shared" si="13"/>
        <v>1021</v>
      </c>
      <c r="R43">
        <f t="shared" si="14"/>
        <v>0</v>
      </c>
      <c r="S43">
        <f t="shared" si="15"/>
        <v>17</v>
      </c>
      <c r="T43">
        <f t="shared" si="16"/>
        <v>1</v>
      </c>
      <c r="U43">
        <f t="shared" si="17"/>
        <v>1021</v>
      </c>
      <c r="V43" t="str">
        <f t="shared" si="18"/>
        <v>V:\Tutorials\Programming\Java Spring\Spring Data 2\2. Introduction to Spring Data JPA\.mkv</v>
      </c>
    </row>
    <row r="44" spans="1:22" hidden="1" x14ac:dyDescent="0.25">
      <c r="A44" t="s">
        <v>3</v>
      </c>
      <c r="B44" t="b">
        <f t="shared" si="0"/>
        <v>0</v>
      </c>
      <c r="C44" t="b">
        <f t="shared" si="12"/>
        <v>0</v>
      </c>
      <c r="D44">
        <f t="shared" si="8"/>
        <v>5</v>
      </c>
      <c r="E44" t="str">
        <f t="shared" si="9"/>
        <v>2. Introduction to Spring Data JPA</v>
      </c>
      <c r="F44" s="8" t="str">
        <f t="shared" si="20"/>
        <v/>
      </c>
      <c r="G44" t="str">
        <f t="shared" si="2"/>
        <v/>
      </c>
      <c r="H44">
        <f t="shared" si="3"/>
        <v>0</v>
      </c>
      <c r="I44">
        <f t="shared" si="10"/>
        <v>0</v>
      </c>
      <c r="J44">
        <f t="shared" si="4"/>
        <v>0</v>
      </c>
      <c r="K44">
        <f t="shared" si="5"/>
        <v>0</v>
      </c>
      <c r="L44">
        <f t="shared" si="6"/>
        <v>0</v>
      </c>
      <c r="M44">
        <f t="shared" si="7"/>
        <v>0</v>
      </c>
      <c r="N44">
        <f t="shared" si="19"/>
        <v>0</v>
      </c>
      <c r="O44">
        <f t="shared" si="19"/>
        <v>17</v>
      </c>
      <c r="P44">
        <f t="shared" si="19"/>
        <v>1</v>
      </c>
      <c r="Q44">
        <f t="shared" si="13"/>
        <v>1021</v>
      </c>
      <c r="R44">
        <f t="shared" si="14"/>
        <v>0</v>
      </c>
      <c r="S44">
        <f t="shared" si="15"/>
        <v>17</v>
      </c>
      <c r="T44">
        <f t="shared" si="16"/>
        <v>1</v>
      </c>
      <c r="U44">
        <f t="shared" si="17"/>
        <v>1021</v>
      </c>
      <c r="V44" t="str">
        <f t="shared" si="18"/>
        <v>V:\Tutorials\Programming\Java Spring\Spring Data 2\2. Introduction to Spring Data JPA\.mkv</v>
      </c>
    </row>
    <row r="45" spans="1:22" hidden="1" x14ac:dyDescent="0.25">
      <c r="A45" t="s">
        <v>12</v>
      </c>
      <c r="B45" t="b">
        <f t="shared" si="0"/>
        <v>0</v>
      </c>
      <c r="C45" t="b">
        <f t="shared" si="12"/>
        <v>0</v>
      </c>
      <c r="D45">
        <f t="shared" si="8"/>
        <v>5</v>
      </c>
      <c r="E45" t="str">
        <f t="shared" si="9"/>
        <v>2. Introduction to Spring Data JPA</v>
      </c>
      <c r="F45" s="8" t="str">
        <f t="shared" si="20"/>
        <v/>
      </c>
      <c r="G45" t="str">
        <f t="shared" si="2"/>
        <v/>
      </c>
      <c r="H45">
        <f t="shared" si="3"/>
        <v>0</v>
      </c>
      <c r="I45">
        <f t="shared" si="10"/>
        <v>0</v>
      </c>
      <c r="J45">
        <f t="shared" si="4"/>
        <v>0</v>
      </c>
      <c r="K45">
        <f t="shared" si="5"/>
        <v>0</v>
      </c>
      <c r="L45">
        <f t="shared" si="6"/>
        <v>0</v>
      </c>
      <c r="M45">
        <f t="shared" si="7"/>
        <v>0</v>
      </c>
      <c r="N45">
        <f t="shared" si="19"/>
        <v>0</v>
      </c>
      <c r="O45">
        <f t="shared" si="19"/>
        <v>17</v>
      </c>
      <c r="P45">
        <f t="shared" si="19"/>
        <v>1</v>
      </c>
      <c r="Q45">
        <f t="shared" si="13"/>
        <v>1021</v>
      </c>
      <c r="R45">
        <f t="shared" si="14"/>
        <v>0</v>
      </c>
      <c r="S45">
        <f t="shared" si="15"/>
        <v>17</v>
      </c>
      <c r="T45">
        <f t="shared" si="16"/>
        <v>1</v>
      </c>
      <c r="U45">
        <f t="shared" si="17"/>
        <v>1021</v>
      </c>
      <c r="V45" t="str">
        <f t="shared" si="18"/>
        <v>V:\Tutorials\Programming\Java Spring\Spring Data 2\2. Introduction to Spring Data JPA\.mkv</v>
      </c>
    </row>
    <row r="46" spans="1:22" hidden="1" x14ac:dyDescent="0.25">
      <c r="A46" t="s">
        <v>22</v>
      </c>
      <c r="B46" t="b">
        <f t="shared" si="0"/>
        <v>0</v>
      </c>
      <c r="C46" t="b">
        <f t="shared" si="12"/>
        <v>0</v>
      </c>
      <c r="D46">
        <f t="shared" si="8"/>
        <v>5</v>
      </c>
      <c r="E46" t="str">
        <f t="shared" si="9"/>
        <v>2. Introduction to Spring Data JPA</v>
      </c>
      <c r="F46" s="8" t="str">
        <f t="shared" si="20"/>
        <v/>
      </c>
      <c r="G46" t="str">
        <f t="shared" si="2"/>
        <v/>
      </c>
      <c r="H46">
        <f t="shared" si="3"/>
        <v>0</v>
      </c>
      <c r="I46">
        <f t="shared" si="10"/>
        <v>0</v>
      </c>
      <c r="J46">
        <f t="shared" si="4"/>
        <v>0</v>
      </c>
      <c r="K46">
        <f t="shared" si="5"/>
        <v>0</v>
      </c>
      <c r="L46">
        <f t="shared" si="6"/>
        <v>0</v>
      </c>
      <c r="M46">
        <f t="shared" si="7"/>
        <v>0</v>
      </c>
      <c r="N46">
        <f t="shared" si="19"/>
        <v>0</v>
      </c>
      <c r="O46">
        <f t="shared" si="19"/>
        <v>17</v>
      </c>
      <c r="P46">
        <f t="shared" si="19"/>
        <v>1</v>
      </c>
      <c r="Q46">
        <f t="shared" si="13"/>
        <v>1021</v>
      </c>
      <c r="R46">
        <f t="shared" si="14"/>
        <v>0</v>
      </c>
      <c r="S46">
        <f t="shared" si="15"/>
        <v>17</v>
      </c>
      <c r="T46">
        <f t="shared" si="16"/>
        <v>1</v>
      </c>
      <c r="U46">
        <f t="shared" si="17"/>
        <v>1021</v>
      </c>
      <c r="V46" t="str">
        <f t="shared" si="18"/>
        <v>V:\Tutorials\Programming\Java Spring\Spring Data 2\2. Introduction to Spring Data JPA\.mkv</v>
      </c>
    </row>
    <row r="47" spans="1:22" hidden="1" x14ac:dyDescent="0.25">
      <c r="B47" t="b">
        <f t="shared" si="0"/>
        <v>0</v>
      </c>
      <c r="C47" t="b">
        <f t="shared" si="12"/>
        <v>0</v>
      </c>
      <c r="D47">
        <f t="shared" si="8"/>
        <v>5</v>
      </c>
      <c r="E47" t="str">
        <f t="shared" si="9"/>
        <v>2. Introduction to Spring Data JPA</v>
      </c>
      <c r="F47" s="8" t="str">
        <f t="shared" si="20"/>
        <v/>
      </c>
      <c r="G47" t="str">
        <f t="shared" si="2"/>
        <v/>
      </c>
      <c r="H47">
        <f t="shared" si="3"/>
        <v>0</v>
      </c>
      <c r="I47">
        <f t="shared" si="10"/>
        <v>0</v>
      </c>
      <c r="J47">
        <f t="shared" si="4"/>
        <v>0</v>
      </c>
      <c r="K47">
        <f t="shared" si="5"/>
        <v>0</v>
      </c>
      <c r="L47">
        <f t="shared" si="6"/>
        <v>0</v>
      </c>
      <c r="M47">
        <f t="shared" si="7"/>
        <v>0</v>
      </c>
      <c r="N47">
        <f t="shared" si="19"/>
        <v>0</v>
      </c>
      <c r="O47">
        <f t="shared" si="19"/>
        <v>17</v>
      </c>
      <c r="P47">
        <f t="shared" si="19"/>
        <v>1</v>
      </c>
      <c r="Q47">
        <f t="shared" si="13"/>
        <v>1021</v>
      </c>
      <c r="R47">
        <f t="shared" si="14"/>
        <v>0</v>
      </c>
      <c r="S47">
        <f t="shared" si="15"/>
        <v>17</v>
      </c>
      <c r="T47">
        <f t="shared" si="16"/>
        <v>1</v>
      </c>
      <c r="U47">
        <f t="shared" si="17"/>
        <v>1021</v>
      </c>
      <c r="V47" t="str">
        <f t="shared" si="18"/>
        <v>V:\Tutorials\Programming\Java Spring\Spring Data 2\2. Introduction to Spring Data JPA\.mkv</v>
      </c>
    </row>
    <row r="48" spans="1:22" hidden="1" x14ac:dyDescent="0.25">
      <c r="A48" t="s">
        <v>181</v>
      </c>
      <c r="B48" t="b">
        <f t="shared" si="0"/>
        <v>1</v>
      </c>
      <c r="C48" t="b">
        <f t="shared" si="12"/>
        <v>0</v>
      </c>
      <c r="D48">
        <f t="shared" si="8"/>
        <v>0</v>
      </c>
      <c r="E48" t="str">
        <f t="shared" si="9"/>
        <v>3. Spring Data JPA Query Methods</v>
      </c>
      <c r="F48" s="8" t="str">
        <f t="shared" si="20"/>
        <v/>
      </c>
      <c r="G48" t="str">
        <f t="shared" si="2"/>
        <v/>
      </c>
      <c r="H48">
        <f t="shared" si="3"/>
        <v>0</v>
      </c>
      <c r="I48">
        <f t="shared" si="10"/>
        <v>0</v>
      </c>
      <c r="J48">
        <f t="shared" si="4"/>
        <v>0</v>
      </c>
      <c r="K48">
        <f t="shared" si="5"/>
        <v>0</v>
      </c>
      <c r="L48">
        <f t="shared" si="6"/>
        <v>0</v>
      </c>
      <c r="M48">
        <f t="shared" si="7"/>
        <v>0</v>
      </c>
      <c r="N48">
        <f t="shared" si="19"/>
        <v>0</v>
      </c>
      <c r="O48">
        <f t="shared" si="19"/>
        <v>17</v>
      </c>
      <c r="P48">
        <f t="shared" si="19"/>
        <v>1</v>
      </c>
      <c r="Q48">
        <f t="shared" si="13"/>
        <v>1021</v>
      </c>
      <c r="R48">
        <f t="shared" si="14"/>
        <v>0</v>
      </c>
      <c r="S48">
        <f t="shared" si="15"/>
        <v>17</v>
      </c>
      <c r="T48">
        <f t="shared" si="16"/>
        <v>1</v>
      </c>
      <c r="U48">
        <f t="shared" si="17"/>
        <v>1021</v>
      </c>
      <c r="V48" t="str">
        <f t="shared" si="18"/>
        <v>V:\Tutorials\Programming\Java Spring\Spring Data 2\3. Spring Data JPA Query Methods\.mkv</v>
      </c>
    </row>
    <row r="49" spans="1:22" hidden="1" x14ac:dyDescent="0.25">
      <c r="B49" t="b">
        <f t="shared" si="0"/>
        <v>0</v>
      </c>
      <c r="C49" t="b">
        <f t="shared" si="12"/>
        <v>0</v>
      </c>
      <c r="D49">
        <f t="shared" si="8"/>
        <v>0</v>
      </c>
      <c r="E49" t="str">
        <f t="shared" si="9"/>
        <v>3. Spring Data JPA Query Methods</v>
      </c>
      <c r="F49" s="8" t="str">
        <f t="shared" si="20"/>
        <v/>
      </c>
      <c r="G49" t="str">
        <f t="shared" si="2"/>
        <v/>
      </c>
      <c r="H49">
        <f t="shared" si="3"/>
        <v>0</v>
      </c>
      <c r="I49">
        <f t="shared" si="10"/>
        <v>0</v>
      </c>
      <c r="J49">
        <f t="shared" si="4"/>
        <v>0</v>
      </c>
      <c r="K49">
        <f t="shared" si="5"/>
        <v>0</v>
      </c>
      <c r="L49">
        <f t="shared" si="6"/>
        <v>0</v>
      </c>
      <c r="M49">
        <f t="shared" si="7"/>
        <v>0</v>
      </c>
      <c r="N49">
        <f t="shared" si="19"/>
        <v>0</v>
      </c>
      <c r="O49">
        <f t="shared" si="19"/>
        <v>17</v>
      </c>
      <c r="P49">
        <f t="shared" si="19"/>
        <v>1</v>
      </c>
      <c r="Q49">
        <f t="shared" si="13"/>
        <v>1021</v>
      </c>
      <c r="R49">
        <f t="shared" si="14"/>
        <v>0</v>
      </c>
      <c r="S49">
        <f t="shared" si="15"/>
        <v>17</v>
      </c>
      <c r="T49">
        <f t="shared" si="16"/>
        <v>1</v>
      </c>
      <c r="U49">
        <f t="shared" si="17"/>
        <v>1021</v>
      </c>
      <c r="V49" t="str">
        <f t="shared" si="18"/>
        <v>V:\Tutorials\Programming\Java Spring\Spring Data 2\3. Spring Data JPA Query Methods\.mkv</v>
      </c>
    </row>
    <row r="50" spans="1:22" x14ac:dyDescent="0.25">
      <c r="A50" t="s">
        <v>182</v>
      </c>
      <c r="B50" t="b">
        <f t="shared" si="0"/>
        <v>0</v>
      </c>
      <c r="C50" t="b">
        <f t="shared" si="12"/>
        <v>1</v>
      </c>
      <c r="D50">
        <f t="shared" si="8"/>
        <v>1</v>
      </c>
      <c r="E50" t="str">
        <f t="shared" si="9"/>
        <v>3. Spring Data JPA Query Methods</v>
      </c>
      <c r="F50" s="8" t="str">
        <f t="shared" si="20"/>
        <v>1. Property expression query methods</v>
      </c>
      <c r="G50" t="str">
        <f t="shared" si="2"/>
        <v>7m 19s</v>
      </c>
      <c r="H50">
        <f t="shared" si="3"/>
        <v>7</v>
      </c>
      <c r="I50">
        <f t="shared" si="10"/>
        <v>19</v>
      </c>
      <c r="J50">
        <f t="shared" si="4"/>
        <v>439</v>
      </c>
      <c r="K50">
        <f t="shared" si="5"/>
        <v>0</v>
      </c>
      <c r="L50">
        <f t="shared" si="6"/>
        <v>7</v>
      </c>
      <c r="M50">
        <f t="shared" si="7"/>
        <v>19</v>
      </c>
      <c r="N50">
        <f t="shared" si="19"/>
        <v>0</v>
      </c>
      <c r="O50">
        <v>0</v>
      </c>
      <c r="P50">
        <v>0</v>
      </c>
      <c r="Q50">
        <f t="shared" si="13"/>
        <v>0</v>
      </c>
      <c r="R50">
        <f t="shared" si="14"/>
        <v>0</v>
      </c>
      <c r="S50">
        <f t="shared" si="15"/>
        <v>7</v>
      </c>
      <c r="T50">
        <f t="shared" si="16"/>
        <v>19</v>
      </c>
      <c r="U50">
        <f t="shared" si="17"/>
        <v>439</v>
      </c>
      <c r="V50" t="str">
        <f>"V:\Tutorials\Programming\Java Spring\Spring Data 2\"&amp;E50&amp;"\"&amp;F50&amp;".mkv"</f>
        <v>V:\Tutorials\Programming\Java Spring\Spring Data 2\3. Spring Data JPA Query Methods\1. Property expression query methods.mkv</v>
      </c>
    </row>
    <row r="51" spans="1:22" hidden="1" x14ac:dyDescent="0.25">
      <c r="A51" t="s">
        <v>183</v>
      </c>
      <c r="B51" t="b">
        <f t="shared" si="0"/>
        <v>0</v>
      </c>
      <c r="C51" t="b">
        <f t="shared" si="12"/>
        <v>0</v>
      </c>
      <c r="D51">
        <f t="shared" si="8"/>
        <v>1</v>
      </c>
      <c r="E51" t="str">
        <f t="shared" si="9"/>
        <v>3. Spring Data JPA Query Methods</v>
      </c>
      <c r="F51" s="8" t="str">
        <f t="shared" si="20"/>
        <v/>
      </c>
      <c r="G51" t="str">
        <f t="shared" si="2"/>
        <v/>
      </c>
      <c r="H51">
        <f t="shared" si="3"/>
        <v>0</v>
      </c>
      <c r="I51">
        <f t="shared" si="10"/>
        <v>0</v>
      </c>
      <c r="J51">
        <f t="shared" si="4"/>
        <v>439</v>
      </c>
      <c r="K51">
        <f t="shared" si="5"/>
        <v>0</v>
      </c>
      <c r="L51">
        <f t="shared" si="6"/>
        <v>7</v>
      </c>
      <c r="M51">
        <f t="shared" si="7"/>
        <v>19</v>
      </c>
      <c r="N51">
        <f t="shared" si="19"/>
        <v>0</v>
      </c>
      <c r="O51">
        <f t="shared" si="19"/>
        <v>7</v>
      </c>
      <c r="P51">
        <f t="shared" si="19"/>
        <v>19</v>
      </c>
      <c r="Q51">
        <f t="shared" si="13"/>
        <v>439</v>
      </c>
      <c r="R51">
        <f t="shared" si="14"/>
        <v>0</v>
      </c>
      <c r="S51">
        <f t="shared" si="15"/>
        <v>7</v>
      </c>
      <c r="T51">
        <f t="shared" si="16"/>
        <v>19</v>
      </c>
      <c r="U51">
        <f t="shared" si="17"/>
        <v>439</v>
      </c>
      <c r="V51" t="str">
        <f t="shared" si="18"/>
        <v>V:\Tutorials\Programming\Java Spring\Spring Data 2\3. Spring Data JPA Query Methods\.mkv</v>
      </c>
    </row>
    <row r="52" spans="1:22" hidden="1" x14ac:dyDescent="0.25">
      <c r="A52" t="s">
        <v>3</v>
      </c>
      <c r="B52" t="b">
        <f t="shared" si="0"/>
        <v>0</v>
      </c>
      <c r="C52" t="b">
        <f t="shared" si="12"/>
        <v>0</v>
      </c>
      <c r="D52">
        <f t="shared" si="8"/>
        <v>1</v>
      </c>
      <c r="E52" t="str">
        <f t="shared" si="9"/>
        <v>3. Spring Data JPA Query Methods</v>
      </c>
      <c r="F52" s="8" t="str">
        <f t="shared" si="20"/>
        <v/>
      </c>
      <c r="G52" t="str">
        <f t="shared" si="2"/>
        <v/>
      </c>
      <c r="H52">
        <f t="shared" si="3"/>
        <v>0</v>
      </c>
      <c r="I52">
        <f t="shared" si="10"/>
        <v>0</v>
      </c>
      <c r="J52">
        <f t="shared" si="4"/>
        <v>439</v>
      </c>
      <c r="K52">
        <f t="shared" si="5"/>
        <v>0</v>
      </c>
      <c r="L52">
        <f t="shared" si="6"/>
        <v>7</v>
      </c>
      <c r="M52">
        <f t="shared" si="7"/>
        <v>19</v>
      </c>
      <c r="N52">
        <f t="shared" si="19"/>
        <v>0</v>
      </c>
      <c r="O52">
        <f t="shared" si="19"/>
        <v>7</v>
      </c>
      <c r="P52">
        <f t="shared" si="19"/>
        <v>19</v>
      </c>
      <c r="Q52">
        <f t="shared" si="13"/>
        <v>439</v>
      </c>
      <c r="R52">
        <f t="shared" si="14"/>
        <v>0</v>
      </c>
      <c r="S52">
        <f t="shared" si="15"/>
        <v>7</v>
      </c>
      <c r="T52">
        <f t="shared" si="16"/>
        <v>19</v>
      </c>
      <c r="U52">
        <f t="shared" si="17"/>
        <v>439</v>
      </c>
      <c r="V52" t="str">
        <f t="shared" si="18"/>
        <v>V:\Tutorials\Programming\Java Spring\Spring Data 2\3. Spring Data JPA Query Methods\.mkv</v>
      </c>
    </row>
    <row r="53" spans="1:22" x14ac:dyDescent="0.25">
      <c r="A53" t="s">
        <v>184</v>
      </c>
      <c r="B53" t="b">
        <f t="shared" si="0"/>
        <v>0</v>
      </c>
      <c r="C53" t="b">
        <f t="shared" si="12"/>
        <v>1</v>
      </c>
      <c r="D53">
        <f t="shared" si="8"/>
        <v>2</v>
      </c>
      <c r="E53" t="str">
        <f t="shared" si="9"/>
        <v>3. Spring Data JPA Query Methods</v>
      </c>
      <c r="F53" s="8" t="str">
        <f t="shared" si="20"/>
        <v>2. Query method clauses with property expressions</v>
      </c>
      <c r="G53" t="str">
        <f t="shared" si="2"/>
        <v>4m 37s</v>
      </c>
      <c r="H53">
        <f t="shared" si="3"/>
        <v>4</v>
      </c>
      <c r="I53">
        <f t="shared" si="10"/>
        <v>37</v>
      </c>
      <c r="J53">
        <f t="shared" si="4"/>
        <v>716</v>
      </c>
      <c r="K53">
        <f t="shared" si="5"/>
        <v>0</v>
      </c>
      <c r="L53">
        <f t="shared" si="6"/>
        <v>11</v>
      </c>
      <c r="M53">
        <f t="shared" si="7"/>
        <v>56</v>
      </c>
      <c r="N53">
        <f t="shared" si="19"/>
        <v>0</v>
      </c>
      <c r="O53">
        <f t="shared" si="19"/>
        <v>7</v>
      </c>
      <c r="P53">
        <f t="shared" si="19"/>
        <v>19</v>
      </c>
      <c r="Q53">
        <f t="shared" si="13"/>
        <v>439</v>
      </c>
      <c r="R53">
        <f t="shared" si="14"/>
        <v>0</v>
      </c>
      <c r="S53">
        <f t="shared" si="15"/>
        <v>11</v>
      </c>
      <c r="T53">
        <f t="shared" si="16"/>
        <v>56</v>
      </c>
      <c r="U53">
        <f t="shared" si="17"/>
        <v>716</v>
      </c>
      <c r="V53" t="str">
        <f t="shared" si="18"/>
        <v>V:\Tutorials\Programming\Java Spring\Spring Data 2\3. Spring Data JPA Query Methods\2. Query method clauses with property expressions.mkv</v>
      </c>
    </row>
    <row r="54" spans="1:22" hidden="1" x14ac:dyDescent="0.25">
      <c r="A54" t="s">
        <v>185</v>
      </c>
      <c r="B54" t="b">
        <f t="shared" si="0"/>
        <v>0</v>
      </c>
      <c r="C54" t="b">
        <f t="shared" si="12"/>
        <v>0</v>
      </c>
      <c r="D54">
        <f t="shared" si="8"/>
        <v>2</v>
      </c>
      <c r="E54" t="str">
        <f t="shared" si="9"/>
        <v>3. Spring Data JPA Query Methods</v>
      </c>
      <c r="F54" s="8" t="str">
        <f t="shared" si="20"/>
        <v/>
      </c>
      <c r="G54" t="str">
        <f t="shared" si="2"/>
        <v/>
      </c>
      <c r="H54">
        <f t="shared" si="3"/>
        <v>0</v>
      </c>
      <c r="I54">
        <f t="shared" si="10"/>
        <v>0</v>
      </c>
      <c r="J54">
        <f t="shared" si="4"/>
        <v>716</v>
      </c>
      <c r="K54">
        <f t="shared" si="5"/>
        <v>0</v>
      </c>
      <c r="L54">
        <f t="shared" si="6"/>
        <v>11</v>
      </c>
      <c r="M54">
        <f t="shared" si="7"/>
        <v>56</v>
      </c>
      <c r="N54">
        <f t="shared" si="19"/>
        <v>0</v>
      </c>
      <c r="O54">
        <f t="shared" si="19"/>
        <v>11</v>
      </c>
      <c r="P54">
        <f t="shared" si="19"/>
        <v>56</v>
      </c>
      <c r="Q54">
        <f t="shared" si="13"/>
        <v>716</v>
      </c>
      <c r="R54">
        <f t="shared" si="14"/>
        <v>0</v>
      </c>
      <c r="S54">
        <f t="shared" si="15"/>
        <v>11</v>
      </c>
      <c r="T54">
        <f t="shared" si="16"/>
        <v>56</v>
      </c>
      <c r="U54">
        <f t="shared" si="17"/>
        <v>716</v>
      </c>
      <c r="V54" t="str">
        <f t="shared" si="18"/>
        <v>V:\Tutorials\Programming\Java Spring\Spring Data 2\3. Spring Data JPA Query Methods\.mkv</v>
      </c>
    </row>
    <row r="55" spans="1:22" hidden="1" x14ac:dyDescent="0.25">
      <c r="A55" t="s">
        <v>3</v>
      </c>
      <c r="B55" t="b">
        <f t="shared" si="0"/>
        <v>0</v>
      </c>
      <c r="C55" t="b">
        <f t="shared" si="12"/>
        <v>0</v>
      </c>
      <c r="D55">
        <f t="shared" si="8"/>
        <v>2</v>
      </c>
      <c r="E55" t="str">
        <f t="shared" si="9"/>
        <v>3. Spring Data JPA Query Methods</v>
      </c>
      <c r="F55" s="8" t="str">
        <f t="shared" si="20"/>
        <v/>
      </c>
      <c r="G55" t="str">
        <f t="shared" si="2"/>
        <v/>
      </c>
      <c r="H55">
        <f t="shared" si="3"/>
        <v>0</v>
      </c>
      <c r="I55">
        <f t="shared" si="10"/>
        <v>0</v>
      </c>
      <c r="J55">
        <f t="shared" si="4"/>
        <v>716</v>
      </c>
      <c r="K55">
        <f t="shared" si="5"/>
        <v>0</v>
      </c>
      <c r="L55">
        <f t="shared" si="6"/>
        <v>11</v>
      </c>
      <c r="M55">
        <f t="shared" si="7"/>
        <v>56</v>
      </c>
      <c r="N55">
        <f t="shared" si="19"/>
        <v>0</v>
      </c>
      <c r="O55">
        <f t="shared" si="19"/>
        <v>11</v>
      </c>
      <c r="P55">
        <f t="shared" si="19"/>
        <v>56</v>
      </c>
      <c r="Q55">
        <f t="shared" si="13"/>
        <v>716</v>
      </c>
      <c r="R55">
        <f t="shared" si="14"/>
        <v>0</v>
      </c>
      <c r="S55">
        <f t="shared" si="15"/>
        <v>11</v>
      </c>
      <c r="T55">
        <f t="shared" si="16"/>
        <v>56</v>
      </c>
      <c r="U55">
        <f t="shared" si="17"/>
        <v>716</v>
      </c>
      <c r="V55" t="str">
        <f t="shared" si="18"/>
        <v>V:\Tutorials\Programming\Java Spring\Spring Data 2\3. Spring Data JPA Query Methods\.mkv</v>
      </c>
    </row>
    <row r="56" spans="1:22" x14ac:dyDescent="0.25">
      <c r="A56" t="s">
        <v>186</v>
      </c>
      <c r="B56" t="b">
        <f t="shared" si="0"/>
        <v>0</v>
      </c>
      <c r="C56" t="b">
        <f t="shared" si="12"/>
        <v>1</v>
      </c>
      <c r="D56">
        <f t="shared" si="8"/>
        <v>3</v>
      </c>
      <c r="E56" t="str">
        <f t="shared" si="9"/>
        <v>3. Spring Data JPA Query Methods</v>
      </c>
      <c r="F56" s="8" t="str">
        <f t="shared" si="20"/>
        <v>3. @Query annotation</v>
      </c>
      <c r="G56" t="str">
        <f t="shared" si="2"/>
        <v>7m 42s</v>
      </c>
      <c r="H56">
        <f t="shared" si="3"/>
        <v>7</v>
      </c>
      <c r="I56">
        <f t="shared" si="10"/>
        <v>42</v>
      </c>
      <c r="J56">
        <f t="shared" si="4"/>
        <v>1178</v>
      </c>
      <c r="K56">
        <f t="shared" si="5"/>
        <v>0</v>
      </c>
      <c r="L56">
        <f t="shared" si="6"/>
        <v>19</v>
      </c>
      <c r="M56">
        <f t="shared" si="7"/>
        <v>38</v>
      </c>
      <c r="N56">
        <f t="shared" si="19"/>
        <v>0</v>
      </c>
      <c r="O56">
        <f t="shared" si="19"/>
        <v>11</v>
      </c>
      <c r="P56">
        <f t="shared" si="19"/>
        <v>56</v>
      </c>
      <c r="Q56">
        <f t="shared" si="13"/>
        <v>716</v>
      </c>
      <c r="R56">
        <f t="shared" si="14"/>
        <v>0</v>
      </c>
      <c r="S56">
        <f t="shared" si="15"/>
        <v>19</v>
      </c>
      <c r="T56">
        <f t="shared" si="16"/>
        <v>38</v>
      </c>
      <c r="U56">
        <f t="shared" si="17"/>
        <v>1178</v>
      </c>
      <c r="V56" t="str">
        <f t="shared" si="18"/>
        <v>V:\Tutorials\Programming\Java Spring\Spring Data 2\3. Spring Data JPA Query Methods\3. @Query annotation.mkv</v>
      </c>
    </row>
    <row r="57" spans="1:22" hidden="1" x14ac:dyDescent="0.25">
      <c r="A57" t="s">
        <v>187</v>
      </c>
      <c r="B57" t="b">
        <f t="shared" si="0"/>
        <v>0</v>
      </c>
      <c r="C57" t="b">
        <f t="shared" si="12"/>
        <v>0</v>
      </c>
      <c r="D57">
        <f t="shared" si="8"/>
        <v>3</v>
      </c>
      <c r="E57" t="str">
        <f t="shared" si="9"/>
        <v>3. Spring Data JPA Query Methods</v>
      </c>
      <c r="F57" s="8" t="str">
        <f t="shared" si="20"/>
        <v/>
      </c>
      <c r="G57" t="str">
        <f t="shared" si="2"/>
        <v/>
      </c>
      <c r="H57">
        <f t="shared" si="3"/>
        <v>0</v>
      </c>
      <c r="I57">
        <f t="shared" si="10"/>
        <v>0</v>
      </c>
      <c r="J57">
        <f t="shared" si="4"/>
        <v>1178</v>
      </c>
      <c r="K57">
        <f t="shared" si="5"/>
        <v>0</v>
      </c>
      <c r="L57">
        <f t="shared" si="6"/>
        <v>19</v>
      </c>
      <c r="M57">
        <f t="shared" si="7"/>
        <v>38</v>
      </c>
      <c r="N57">
        <f t="shared" si="19"/>
        <v>0</v>
      </c>
      <c r="O57">
        <f t="shared" si="19"/>
        <v>19</v>
      </c>
      <c r="P57">
        <f t="shared" si="19"/>
        <v>38</v>
      </c>
      <c r="Q57">
        <f t="shared" si="13"/>
        <v>1178</v>
      </c>
      <c r="R57">
        <f t="shared" si="14"/>
        <v>0</v>
      </c>
      <c r="S57">
        <f t="shared" si="15"/>
        <v>19</v>
      </c>
      <c r="T57">
        <f t="shared" si="16"/>
        <v>38</v>
      </c>
      <c r="U57">
        <f t="shared" si="17"/>
        <v>1178</v>
      </c>
      <c r="V57" t="str">
        <f t="shared" si="18"/>
        <v>V:\Tutorials\Programming\Java Spring\Spring Data 2\3. Spring Data JPA Query Methods\.mkv</v>
      </c>
    </row>
    <row r="58" spans="1:22" hidden="1" x14ac:dyDescent="0.25">
      <c r="A58" t="s">
        <v>3</v>
      </c>
      <c r="B58" t="b">
        <f t="shared" si="0"/>
        <v>0</v>
      </c>
      <c r="C58" t="b">
        <f t="shared" si="12"/>
        <v>0</v>
      </c>
      <c r="D58">
        <f t="shared" si="8"/>
        <v>3</v>
      </c>
      <c r="E58" t="str">
        <f t="shared" si="9"/>
        <v>3. Spring Data JPA Query Methods</v>
      </c>
      <c r="F58" s="8" t="str">
        <f t="shared" si="20"/>
        <v/>
      </c>
      <c r="G58" t="str">
        <f t="shared" si="2"/>
        <v/>
      </c>
      <c r="H58">
        <f t="shared" si="3"/>
        <v>0</v>
      </c>
      <c r="I58">
        <f t="shared" si="10"/>
        <v>0</v>
      </c>
      <c r="J58">
        <f t="shared" si="4"/>
        <v>1178</v>
      </c>
      <c r="K58">
        <f t="shared" si="5"/>
        <v>0</v>
      </c>
      <c r="L58">
        <f t="shared" si="6"/>
        <v>19</v>
      </c>
      <c r="M58">
        <f t="shared" si="7"/>
        <v>38</v>
      </c>
      <c r="N58">
        <f t="shared" si="19"/>
        <v>0</v>
      </c>
      <c r="O58">
        <f t="shared" si="19"/>
        <v>19</v>
      </c>
      <c r="P58">
        <f t="shared" si="19"/>
        <v>38</v>
      </c>
      <c r="Q58">
        <f t="shared" si="13"/>
        <v>1178</v>
      </c>
      <c r="R58">
        <f t="shared" si="14"/>
        <v>0</v>
      </c>
      <c r="S58">
        <f t="shared" si="15"/>
        <v>19</v>
      </c>
      <c r="T58">
        <f t="shared" si="16"/>
        <v>38</v>
      </c>
      <c r="U58">
        <f t="shared" si="17"/>
        <v>1178</v>
      </c>
      <c r="V58" t="str">
        <f t="shared" si="18"/>
        <v>V:\Tutorials\Programming\Java Spring\Spring Data 2\3. Spring Data JPA Query Methods\.mkv</v>
      </c>
    </row>
    <row r="59" spans="1:22" x14ac:dyDescent="0.25">
      <c r="A59" t="s">
        <v>188</v>
      </c>
      <c r="B59" t="b">
        <f t="shared" si="0"/>
        <v>0</v>
      </c>
      <c r="C59" t="b">
        <f t="shared" si="12"/>
        <v>1</v>
      </c>
      <c r="D59">
        <f t="shared" si="8"/>
        <v>4</v>
      </c>
      <c r="E59" t="str">
        <f t="shared" si="9"/>
        <v>3. Spring Data JPA Query Methods</v>
      </c>
      <c r="F59" s="8" t="str">
        <f t="shared" si="20"/>
        <v>4. Challenge - Refactor to three query methods</v>
      </c>
      <c r="G59" t="str">
        <f t="shared" si="2"/>
        <v>1m 25s</v>
      </c>
      <c r="H59">
        <f t="shared" si="3"/>
        <v>1</v>
      </c>
      <c r="I59">
        <f t="shared" si="10"/>
        <v>25</v>
      </c>
      <c r="J59">
        <f t="shared" si="4"/>
        <v>1263</v>
      </c>
      <c r="K59">
        <f t="shared" si="5"/>
        <v>0</v>
      </c>
      <c r="L59">
        <f t="shared" si="6"/>
        <v>21</v>
      </c>
      <c r="M59">
        <f t="shared" si="7"/>
        <v>3</v>
      </c>
      <c r="N59">
        <f t="shared" si="19"/>
        <v>0</v>
      </c>
      <c r="O59">
        <f t="shared" si="19"/>
        <v>19</v>
      </c>
      <c r="P59">
        <f t="shared" si="19"/>
        <v>38</v>
      </c>
      <c r="Q59">
        <f t="shared" si="13"/>
        <v>1178</v>
      </c>
      <c r="R59">
        <f t="shared" si="14"/>
        <v>0</v>
      </c>
      <c r="S59">
        <f t="shared" si="15"/>
        <v>21</v>
      </c>
      <c r="T59">
        <f t="shared" si="16"/>
        <v>3</v>
      </c>
      <c r="U59">
        <f t="shared" si="17"/>
        <v>1263</v>
      </c>
      <c r="V59" t="str">
        <f t="shared" si="18"/>
        <v>V:\Tutorials\Programming\Java Spring\Spring Data 2\3. Spring Data JPA Query Methods\4. Challenge - Refactor to three query methods.mkv</v>
      </c>
    </row>
    <row r="60" spans="1:22" hidden="1" x14ac:dyDescent="0.25">
      <c r="A60" t="s">
        <v>189</v>
      </c>
      <c r="B60" t="b">
        <f t="shared" si="0"/>
        <v>0</v>
      </c>
      <c r="C60" t="b">
        <f t="shared" si="12"/>
        <v>0</v>
      </c>
      <c r="D60">
        <f t="shared" si="8"/>
        <v>4</v>
      </c>
      <c r="E60" t="str">
        <f t="shared" si="9"/>
        <v>3. Spring Data JPA Query Methods</v>
      </c>
      <c r="F60" s="8" t="str">
        <f t="shared" si="20"/>
        <v/>
      </c>
      <c r="G60" t="str">
        <f t="shared" si="2"/>
        <v/>
      </c>
      <c r="H60">
        <f t="shared" si="3"/>
        <v>0</v>
      </c>
      <c r="I60">
        <f t="shared" si="10"/>
        <v>0</v>
      </c>
      <c r="J60">
        <f t="shared" si="4"/>
        <v>1263</v>
      </c>
      <c r="K60">
        <f t="shared" si="5"/>
        <v>0</v>
      </c>
      <c r="L60">
        <f t="shared" si="6"/>
        <v>21</v>
      </c>
      <c r="M60">
        <f t="shared" si="7"/>
        <v>3</v>
      </c>
      <c r="N60">
        <f t="shared" si="19"/>
        <v>0</v>
      </c>
      <c r="O60">
        <f t="shared" si="19"/>
        <v>21</v>
      </c>
      <c r="P60">
        <f t="shared" si="19"/>
        <v>3</v>
      </c>
      <c r="Q60">
        <f t="shared" si="13"/>
        <v>1263</v>
      </c>
      <c r="R60">
        <f t="shared" si="14"/>
        <v>0</v>
      </c>
      <c r="S60">
        <f t="shared" si="15"/>
        <v>21</v>
      </c>
      <c r="T60">
        <f t="shared" si="16"/>
        <v>3</v>
      </c>
      <c r="U60">
        <f t="shared" si="17"/>
        <v>1263</v>
      </c>
      <c r="V60" t="str">
        <f t="shared" si="18"/>
        <v>V:\Tutorials\Programming\Java Spring\Spring Data 2\3. Spring Data JPA Query Methods\.mkv</v>
      </c>
    </row>
    <row r="61" spans="1:22" hidden="1" x14ac:dyDescent="0.25">
      <c r="A61" t="s">
        <v>3</v>
      </c>
      <c r="B61" t="b">
        <f t="shared" si="0"/>
        <v>0</v>
      </c>
      <c r="C61" t="b">
        <f t="shared" si="12"/>
        <v>0</v>
      </c>
      <c r="D61">
        <f t="shared" si="8"/>
        <v>4</v>
      </c>
      <c r="E61" t="str">
        <f t="shared" si="9"/>
        <v>3. Spring Data JPA Query Methods</v>
      </c>
      <c r="F61" s="8" t="str">
        <f t="shared" si="20"/>
        <v/>
      </c>
      <c r="G61" t="str">
        <f t="shared" si="2"/>
        <v/>
      </c>
      <c r="H61">
        <f t="shared" si="3"/>
        <v>0</v>
      </c>
      <c r="I61">
        <f t="shared" si="10"/>
        <v>0</v>
      </c>
      <c r="J61">
        <f t="shared" si="4"/>
        <v>1263</v>
      </c>
      <c r="K61">
        <f t="shared" si="5"/>
        <v>0</v>
      </c>
      <c r="L61">
        <f t="shared" si="6"/>
        <v>21</v>
      </c>
      <c r="M61">
        <f t="shared" si="7"/>
        <v>3</v>
      </c>
      <c r="N61">
        <f t="shared" si="19"/>
        <v>0</v>
      </c>
      <c r="O61">
        <f t="shared" si="19"/>
        <v>21</v>
      </c>
      <c r="P61">
        <f t="shared" si="19"/>
        <v>3</v>
      </c>
      <c r="Q61">
        <f t="shared" si="13"/>
        <v>1263</v>
      </c>
      <c r="R61">
        <f t="shared" si="14"/>
        <v>0</v>
      </c>
      <c r="S61">
        <f t="shared" si="15"/>
        <v>21</v>
      </c>
      <c r="T61">
        <f t="shared" si="16"/>
        <v>3</v>
      </c>
      <c r="U61">
        <f t="shared" si="17"/>
        <v>1263</v>
      </c>
      <c r="V61" t="str">
        <f t="shared" si="18"/>
        <v>V:\Tutorials\Programming\Java Spring\Spring Data 2\3. Spring Data JPA Query Methods\.mkv</v>
      </c>
    </row>
    <row r="62" spans="1:22" x14ac:dyDescent="0.25">
      <c r="A62" t="s">
        <v>190</v>
      </c>
      <c r="B62" t="b">
        <f t="shared" si="0"/>
        <v>0</v>
      </c>
      <c r="C62" t="b">
        <f t="shared" si="12"/>
        <v>1</v>
      </c>
      <c r="D62">
        <f t="shared" si="8"/>
        <v>5</v>
      </c>
      <c r="E62" t="str">
        <f t="shared" si="9"/>
        <v>3. Spring Data JPA Query Methods</v>
      </c>
      <c r="F62" s="8" t="str">
        <f t="shared" si="20"/>
        <v>5. Solution - Refactor to three query methods</v>
      </c>
      <c r="G62" t="str">
        <f t="shared" si="2"/>
        <v>1m 20s</v>
      </c>
      <c r="H62">
        <f t="shared" si="3"/>
        <v>1</v>
      </c>
      <c r="I62">
        <f t="shared" si="10"/>
        <v>20</v>
      </c>
      <c r="J62">
        <f t="shared" si="4"/>
        <v>1343</v>
      </c>
      <c r="K62">
        <f t="shared" si="5"/>
        <v>0</v>
      </c>
      <c r="L62">
        <f t="shared" si="6"/>
        <v>22</v>
      </c>
      <c r="M62">
        <f t="shared" si="7"/>
        <v>23</v>
      </c>
      <c r="N62">
        <f t="shared" si="19"/>
        <v>0</v>
      </c>
      <c r="O62">
        <f t="shared" si="19"/>
        <v>21</v>
      </c>
      <c r="P62">
        <f t="shared" si="19"/>
        <v>3</v>
      </c>
      <c r="Q62">
        <f t="shared" si="13"/>
        <v>1263</v>
      </c>
      <c r="R62">
        <f t="shared" si="14"/>
        <v>0</v>
      </c>
      <c r="S62">
        <f t="shared" si="15"/>
        <v>22</v>
      </c>
      <c r="T62">
        <f t="shared" si="16"/>
        <v>23</v>
      </c>
      <c r="U62">
        <f t="shared" si="17"/>
        <v>1343</v>
      </c>
      <c r="V62" t="str">
        <f t="shared" si="18"/>
        <v>V:\Tutorials\Programming\Java Spring\Spring Data 2\3. Spring Data JPA Query Methods\5. Solution - Refactor to three query methods.mkv</v>
      </c>
    </row>
    <row r="63" spans="1:22" hidden="1" x14ac:dyDescent="0.25">
      <c r="A63" t="s">
        <v>191</v>
      </c>
      <c r="B63" t="b">
        <f t="shared" si="0"/>
        <v>0</v>
      </c>
      <c r="C63" t="b">
        <f t="shared" si="12"/>
        <v>0</v>
      </c>
      <c r="D63">
        <f t="shared" si="8"/>
        <v>5</v>
      </c>
      <c r="E63" t="str">
        <f t="shared" si="9"/>
        <v>3. Spring Data JPA Query Methods</v>
      </c>
      <c r="F63" s="8" t="str">
        <f t="shared" si="20"/>
        <v/>
      </c>
      <c r="G63" t="str">
        <f t="shared" si="2"/>
        <v/>
      </c>
      <c r="H63">
        <f t="shared" si="3"/>
        <v>0</v>
      </c>
      <c r="I63">
        <f t="shared" si="10"/>
        <v>0</v>
      </c>
      <c r="J63">
        <f t="shared" si="4"/>
        <v>1343</v>
      </c>
      <c r="K63">
        <f t="shared" si="5"/>
        <v>0</v>
      </c>
      <c r="L63">
        <f t="shared" si="6"/>
        <v>22</v>
      </c>
      <c r="M63">
        <f t="shared" si="7"/>
        <v>23</v>
      </c>
      <c r="N63">
        <f t="shared" si="19"/>
        <v>0</v>
      </c>
      <c r="O63">
        <f t="shared" si="19"/>
        <v>22</v>
      </c>
      <c r="P63">
        <f t="shared" si="19"/>
        <v>23</v>
      </c>
      <c r="Q63">
        <f t="shared" si="13"/>
        <v>1343</v>
      </c>
      <c r="R63">
        <f t="shared" si="14"/>
        <v>0</v>
      </c>
      <c r="S63">
        <f t="shared" si="15"/>
        <v>22</v>
      </c>
      <c r="T63">
        <f t="shared" si="16"/>
        <v>23</v>
      </c>
      <c r="U63">
        <f t="shared" si="17"/>
        <v>1343</v>
      </c>
      <c r="V63" t="str">
        <f t="shared" si="18"/>
        <v>V:\Tutorials\Programming\Java Spring\Spring Data 2\3. Spring Data JPA Query Methods\.mkv</v>
      </c>
    </row>
    <row r="64" spans="1:22" hidden="1" x14ac:dyDescent="0.25">
      <c r="A64" t="s">
        <v>3</v>
      </c>
      <c r="B64" t="b">
        <f t="shared" si="0"/>
        <v>0</v>
      </c>
      <c r="C64" t="b">
        <f t="shared" si="12"/>
        <v>0</v>
      </c>
      <c r="D64">
        <f t="shared" si="8"/>
        <v>5</v>
      </c>
      <c r="E64" t="str">
        <f t="shared" si="9"/>
        <v>3. Spring Data JPA Query Methods</v>
      </c>
      <c r="F64" s="8" t="str">
        <f t="shared" si="20"/>
        <v/>
      </c>
      <c r="G64" t="str">
        <f t="shared" si="2"/>
        <v/>
      </c>
      <c r="H64">
        <f t="shared" si="3"/>
        <v>0</v>
      </c>
      <c r="I64">
        <f t="shared" si="10"/>
        <v>0</v>
      </c>
      <c r="J64">
        <f t="shared" si="4"/>
        <v>1343</v>
      </c>
      <c r="K64">
        <f t="shared" si="5"/>
        <v>0</v>
      </c>
      <c r="L64">
        <f t="shared" si="6"/>
        <v>22</v>
      </c>
      <c r="M64">
        <f t="shared" si="7"/>
        <v>23</v>
      </c>
      <c r="N64">
        <f t="shared" si="19"/>
        <v>0</v>
      </c>
      <c r="O64">
        <f t="shared" si="19"/>
        <v>22</v>
      </c>
      <c r="P64">
        <f t="shared" si="19"/>
        <v>23</v>
      </c>
      <c r="Q64">
        <f t="shared" si="13"/>
        <v>1343</v>
      </c>
      <c r="R64">
        <f t="shared" si="14"/>
        <v>0</v>
      </c>
      <c r="S64">
        <f t="shared" si="15"/>
        <v>22</v>
      </c>
      <c r="T64">
        <f t="shared" si="16"/>
        <v>23</v>
      </c>
      <c r="U64">
        <f t="shared" si="17"/>
        <v>1343</v>
      </c>
      <c r="V64" t="str">
        <f t="shared" si="18"/>
        <v>V:\Tutorials\Programming\Java Spring\Spring Data 2\3. Spring Data JPA Query Methods\.mkv</v>
      </c>
    </row>
    <row r="65" spans="1:22" x14ac:dyDescent="0.25">
      <c r="A65" t="s">
        <v>126</v>
      </c>
      <c r="B65" t="b">
        <f t="shared" si="0"/>
        <v>0</v>
      </c>
      <c r="C65" t="b">
        <f t="shared" si="12"/>
        <v>1</v>
      </c>
      <c r="D65">
        <f t="shared" si="8"/>
        <v>6</v>
      </c>
      <c r="E65" t="str">
        <f t="shared" si="9"/>
        <v>3. Spring Data JPA Query Methods</v>
      </c>
      <c r="F65" s="8" t="str">
        <f t="shared" si="20"/>
        <v>6. Paging and sorting</v>
      </c>
      <c r="G65" t="str">
        <f t="shared" si="2"/>
        <v>6m 28s</v>
      </c>
      <c r="H65">
        <f t="shared" si="3"/>
        <v>6</v>
      </c>
      <c r="I65">
        <f t="shared" si="10"/>
        <v>28</v>
      </c>
      <c r="J65">
        <f t="shared" si="4"/>
        <v>1731</v>
      </c>
      <c r="K65">
        <f t="shared" si="5"/>
        <v>0</v>
      </c>
      <c r="L65">
        <f t="shared" si="6"/>
        <v>28</v>
      </c>
      <c r="M65">
        <f t="shared" si="7"/>
        <v>51</v>
      </c>
      <c r="N65">
        <f t="shared" si="19"/>
        <v>0</v>
      </c>
      <c r="O65">
        <f t="shared" si="19"/>
        <v>22</v>
      </c>
      <c r="P65">
        <f t="shared" si="19"/>
        <v>23</v>
      </c>
      <c r="Q65">
        <f t="shared" si="13"/>
        <v>1343</v>
      </c>
      <c r="R65">
        <f t="shared" si="14"/>
        <v>0</v>
      </c>
      <c r="S65">
        <f t="shared" si="15"/>
        <v>28</v>
      </c>
      <c r="T65">
        <f t="shared" si="16"/>
        <v>51</v>
      </c>
      <c r="U65">
        <f t="shared" si="17"/>
        <v>1731</v>
      </c>
      <c r="V65" t="str">
        <f t="shared" si="18"/>
        <v>V:\Tutorials\Programming\Java Spring\Spring Data 2\3. Spring Data JPA Query Methods\6. Paging and sorting.mkv</v>
      </c>
    </row>
    <row r="66" spans="1:22" hidden="1" x14ac:dyDescent="0.25">
      <c r="A66" t="s">
        <v>192</v>
      </c>
      <c r="B66" t="b">
        <f t="shared" si="0"/>
        <v>0</v>
      </c>
      <c r="C66" t="b">
        <f t="shared" si="12"/>
        <v>0</v>
      </c>
      <c r="D66">
        <f t="shared" si="8"/>
        <v>6</v>
      </c>
      <c r="E66" t="str">
        <f t="shared" si="9"/>
        <v>3. Spring Data JPA Query Methods</v>
      </c>
      <c r="F66" s="8" t="str">
        <f t="shared" si="20"/>
        <v/>
      </c>
      <c r="G66" t="str">
        <f t="shared" si="2"/>
        <v/>
      </c>
      <c r="H66">
        <f t="shared" si="3"/>
        <v>0</v>
      </c>
      <c r="I66">
        <f t="shared" si="10"/>
        <v>0</v>
      </c>
      <c r="J66">
        <f t="shared" si="4"/>
        <v>1731</v>
      </c>
      <c r="K66">
        <f t="shared" si="5"/>
        <v>0</v>
      </c>
      <c r="L66">
        <f t="shared" si="6"/>
        <v>28</v>
      </c>
      <c r="M66">
        <f t="shared" si="7"/>
        <v>51</v>
      </c>
      <c r="N66">
        <f t="shared" si="19"/>
        <v>0</v>
      </c>
      <c r="O66">
        <f t="shared" si="19"/>
        <v>28</v>
      </c>
      <c r="P66">
        <f t="shared" si="19"/>
        <v>51</v>
      </c>
      <c r="Q66">
        <f t="shared" si="13"/>
        <v>1731</v>
      </c>
      <c r="R66">
        <f t="shared" si="14"/>
        <v>0</v>
      </c>
      <c r="S66">
        <f t="shared" si="15"/>
        <v>28</v>
      </c>
      <c r="T66">
        <f t="shared" si="16"/>
        <v>51</v>
      </c>
      <c r="U66">
        <f t="shared" si="17"/>
        <v>1731</v>
      </c>
      <c r="V66" t="str">
        <f t="shared" si="18"/>
        <v>V:\Tutorials\Programming\Java Spring\Spring Data 2\3. Spring Data JPA Query Methods\.mkv</v>
      </c>
    </row>
    <row r="67" spans="1:22" hidden="1" x14ac:dyDescent="0.25">
      <c r="A67" t="s">
        <v>3</v>
      </c>
      <c r="B67" t="b">
        <f t="shared" si="0"/>
        <v>0</v>
      </c>
      <c r="C67" t="b">
        <f t="shared" si="12"/>
        <v>0</v>
      </c>
      <c r="D67">
        <f t="shared" si="8"/>
        <v>6</v>
      </c>
      <c r="E67" t="str">
        <f t="shared" si="9"/>
        <v>3. Spring Data JPA Query Methods</v>
      </c>
      <c r="F67" s="8" t="str">
        <f t="shared" si="20"/>
        <v/>
      </c>
      <c r="G67" t="str">
        <f t="shared" si="2"/>
        <v/>
      </c>
      <c r="H67">
        <f t="shared" si="3"/>
        <v>0</v>
      </c>
      <c r="I67">
        <f t="shared" si="10"/>
        <v>0</v>
      </c>
      <c r="J67">
        <f t="shared" si="4"/>
        <v>1731</v>
      </c>
      <c r="K67">
        <f t="shared" si="5"/>
        <v>0</v>
      </c>
      <c r="L67">
        <f t="shared" si="6"/>
        <v>28</v>
      </c>
      <c r="M67">
        <f t="shared" si="7"/>
        <v>51</v>
      </c>
      <c r="N67">
        <f t="shared" si="19"/>
        <v>0</v>
      </c>
      <c r="O67">
        <f t="shared" si="19"/>
        <v>28</v>
      </c>
      <c r="P67">
        <f t="shared" si="19"/>
        <v>51</v>
      </c>
      <c r="Q67">
        <f t="shared" si="13"/>
        <v>1731</v>
      </c>
      <c r="R67">
        <f t="shared" si="14"/>
        <v>0</v>
      </c>
      <c r="S67">
        <f t="shared" si="15"/>
        <v>28</v>
      </c>
      <c r="T67">
        <f t="shared" si="16"/>
        <v>51</v>
      </c>
      <c r="U67">
        <f t="shared" si="17"/>
        <v>1731</v>
      </c>
      <c r="V67" t="str">
        <f t="shared" si="18"/>
        <v>V:\Tutorials\Programming\Java Spring\Spring Data 2\3. Spring Data JPA Query Methods\.mkv</v>
      </c>
    </row>
    <row r="68" spans="1:22" hidden="1" x14ac:dyDescent="0.25">
      <c r="A68" t="s">
        <v>12</v>
      </c>
      <c r="B68" t="b">
        <f t="shared" si="0"/>
        <v>0</v>
      </c>
      <c r="C68" t="b">
        <f t="shared" si="12"/>
        <v>0</v>
      </c>
      <c r="D68">
        <f t="shared" si="8"/>
        <v>6</v>
      </c>
      <c r="E68" t="str">
        <f t="shared" si="9"/>
        <v>3. Spring Data JPA Query Methods</v>
      </c>
      <c r="F68" s="8" t="str">
        <f t="shared" si="20"/>
        <v/>
      </c>
      <c r="G68" t="str">
        <f t="shared" si="2"/>
        <v/>
      </c>
      <c r="H68">
        <f t="shared" si="3"/>
        <v>0</v>
      </c>
      <c r="I68">
        <f t="shared" si="10"/>
        <v>0</v>
      </c>
      <c r="J68">
        <f t="shared" si="4"/>
        <v>1731</v>
      </c>
      <c r="K68">
        <f t="shared" si="5"/>
        <v>0</v>
      </c>
      <c r="L68">
        <f t="shared" si="6"/>
        <v>28</v>
      </c>
      <c r="M68">
        <f t="shared" si="7"/>
        <v>51</v>
      </c>
      <c r="N68">
        <f t="shared" si="19"/>
        <v>0</v>
      </c>
      <c r="O68">
        <f t="shared" si="19"/>
        <v>28</v>
      </c>
      <c r="P68">
        <f t="shared" si="19"/>
        <v>51</v>
      </c>
      <c r="Q68">
        <f t="shared" si="13"/>
        <v>1731</v>
      </c>
      <c r="R68">
        <f t="shared" si="14"/>
        <v>0</v>
      </c>
      <c r="S68">
        <f t="shared" si="15"/>
        <v>28</v>
      </c>
      <c r="T68">
        <f t="shared" si="16"/>
        <v>51</v>
      </c>
      <c r="U68">
        <f t="shared" si="17"/>
        <v>1731</v>
      </c>
      <c r="V68" t="str">
        <f t="shared" si="18"/>
        <v>V:\Tutorials\Programming\Java Spring\Spring Data 2\3. Spring Data JPA Query Methods\.mkv</v>
      </c>
    </row>
    <row r="69" spans="1:22" hidden="1" x14ac:dyDescent="0.25">
      <c r="A69" t="s">
        <v>193</v>
      </c>
      <c r="B69" t="b">
        <f t="shared" si="0"/>
        <v>0</v>
      </c>
      <c r="C69" t="b">
        <f t="shared" si="12"/>
        <v>0</v>
      </c>
      <c r="D69">
        <f t="shared" si="8"/>
        <v>6</v>
      </c>
      <c r="E69" t="str">
        <f t="shared" si="9"/>
        <v>3. Spring Data JPA Query Methods</v>
      </c>
      <c r="F69" s="8" t="str">
        <f t="shared" si="20"/>
        <v/>
      </c>
      <c r="G69" t="str">
        <f t="shared" si="2"/>
        <v/>
      </c>
      <c r="H69">
        <f t="shared" si="3"/>
        <v>0</v>
      </c>
      <c r="I69">
        <f t="shared" si="10"/>
        <v>0</v>
      </c>
      <c r="J69">
        <f t="shared" si="4"/>
        <v>1731</v>
      </c>
      <c r="K69">
        <f t="shared" si="5"/>
        <v>0</v>
      </c>
      <c r="L69">
        <f t="shared" si="6"/>
        <v>28</v>
      </c>
      <c r="M69">
        <f t="shared" si="7"/>
        <v>51</v>
      </c>
      <c r="N69">
        <f t="shared" si="19"/>
        <v>0</v>
      </c>
      <c r="O69">
        <f t="shared" si="19"/>
        <v>28</v>
      </c>
      <c r="P69">
        <f t="shared" si="19"/>
        <v>51</v>
      </c>
      <c r="Q69">
        <f t="shared" si="13"/>
        <v>1731</v>
      </c>
      <c r="R69">
        <f t="shared" si="14"/>
        <v>0</v>
      </c>
      <c r="S69">
        <f t="shared" si="15"/>
        <v>28</v>
      </c>
      <c r="T69">
        <f t="shared" si="16"/>
        <v>51</v>
      </c>
      <c r="U69">
        <f t="shared" si="17"/>
        <v>1731</v>
      </c>
      <c r="V69" t="str">
        <f t="shared" si="18"/>
        <v>V:\Tutorials\Programming\Java Spring\Spring Data 2\3. Spring Data JPA Query Methods\.mkv</v>
      </c>
    </row>
    <row r="70" spans="1:22" hidden="1" x14ac:dyDescent="0.25">
      <c r="B70" t="b">
        <f t="shared" si="0"/>
        <v>0</v>
      </c>
      <c r="C70" t="b">
        <f t="shared" si="12"/>
        <v>0</v>
      </c>
      <c r="D70">
        <f t="shared" si="8"/>
        <v>6</v>
      </c>
      <c r="E70" t="str">
        <f t="shared" si="9"/>
        <v>3. Spring Data JPA Query Methods</v>
      </c>
      <c r="F70" s="8" t="str">
        <f t="shared" si="20"/>
        <v/>
      </c>
      <c r="G70" t="str">
        <f t="shared" si="2"/>
        <v/>
      </c>
      <c r="H70">
        <f t="shared" si="3"/>
        <v>0</v>
      </c>
      <c r="I70">
        <f t="shared" si="10"/>
        <v>0</v>
      </c>
      <c r="J70">
        <f t="shared" si="4"/>
        <v>1731</v>
      </c>
      <c r="K70">
        <f t="shared" si="5"/>
        <v>0</v>
      </c>
      <c r="L70">
        <f t="shared" si="6"/>
        <v>28</v>
      </c>
      <c r="M70">
        <f t="shared" si="7"/>
        <v>51</v>
      </c>
      <c r="N70">
        <f t="shared" si="19"/>
        <v>0</v>
      </c>
      <c r="O70">
        <f t="shared" si="19"/>
        <v>28</v>
      </c>
      <c r="P70">
        <f t="shared" si="19"/>
        <v>51</v>
      </c>
      <c r="Q70">
        <f t="shared" si="13"/>
        <v>1731</v>
      </c>
      <c r="R70">
        <f t="shared" si="14"/>
        <v>0</v>
      </c>
      <c r="S70">
        <f t="shared" si="15"/>
        <v>28</v>
      </c>
      <c r="T70">
        <f t="shared" si="16"/>
        <v>51</v>
      </c>
      <c r="U70">
        <f t="shared" si="17"/>
        <v>1731</v>
      </c>
      <c r="V70" t="str">
        <f t="shared" si="18"/>
        <v>V:\Tutorials\Programming\Java Spring\Spring Data 2\3. Spring Data JPA Query Methods\.mkv</v>
      </c>
    </row>
    <row r="71" spans="1:22" hidden="1" x14ac:dyDescent="0.25">
      <c r="A71" t="s">
        <v>194</v>
      </c>
      <c r="B71" t="b">
        <f t="shared" si="0"/>
        <v>1</v>
      </c>
      <c r="C71" t="b">
        <f t="shared" si="12"/>
        <v>0</v>
      </c>
      <c r="D71">
        <f t="shared" si="8"/>
        <v>0</v>
      </c>
      <c r="E71" t="str">
        <f t="shared" si="9"/>
        <v>4. Dynamic Spring Data JPA Queries</v>
      </c>
      <c r="F71" s="8" t="str">
        <f t="shared" si="20"/>
        <v/>
      </c>
      <c r="G71" t="str">
        <f t="shared" si="2"/>
        <v/>
      </c>
      <c r="H71">
        <f t="shared" si="3"/>
        <v>0</v>
      </c>
      <c r="I71">
        <f t="shared" si="10"/>
        <v>0</v>
      </c>
      <c r="J71">
        <f t="shared" si="4"/>
        <v>1731</v>
      </c>
      <c r="K71">
        <f t="shared" si="5"/>
        <v>0</v>
      </c>
      <c r="L71">
        <f t="shared" si="6"/>
        <v>28</v>
      </c>
      <c r="M71">
        <f t="shared" si="7"/>
        <v>51</v>
      </c>
      <c r="N71">
        <f t="shared" si="19"/>
        <v>0</v>
      </c>
      <c r="O71">
        <f t="shared" si="19"/>
        <v>28</v>
      </c>
      <c r="P71">
        <f t="shared" si="19"/>
        <v>51</v>
      </c>
      <c r="Q71">
        <f t="shared" si="13"/>
        <v>1731</v>
      </c>
      <c r="R71">
        <f t="shared" si="14"/>
        <v>0</v>
      </c>
      <c r="S71">
        <f t="shared" si="15"/>
        <v>28</v>
      </c>
      <c r="T71">
        <f t="shared" si="16"/>
        <v>51</v>
      </c>
      <c r="U71">
        <f t="shared" si="17"/>
        <v>1731</v>
      </c>
      <c r="V71" t="str">
        <f t="shared" si="18"/>
        <v>V:\Tutorials\Programming\Java Spring\Spring Data 2\4. Dynamic Spring Data JPA Queries\.mkv</v>
      </c>
    </row>
    <row r="72" spans="1:22" hidden="1" x14ac:dyDescent="0.25">
      <c r="B72" t="b">
        <f t="shared" si="0"/>
        <v>0</v>
      </c>
      <c r="C72" t="b">
        <f t="shared" si="12"/>
        <v>0</v>
      </c>
      <c r="D72">
        <f t="shared" si="8"/>
        <v>0</v>
      </c>
      <c r="E72" t="str">
        <f t="shared" si="9"/>
        <v>4. Dynamic Spring Data JPA Queries</v>
      </c>
      <c r="F72" s="8" t="str">
        <f t="shared" si="20"/>
        <v/>
      </c>
      <c r="G72" t="str">
        <f t="shared" si="2"/>
        <v/>
      </c>
      <c r="H72">
        <f t="shared" si="3"/>
        <v>0</v>
      </c>
      <c r="I72">
        <f t="shared" si="10"/>
        <v>0</v>
      </c>
      <c r="J72">
        <f t="shared" si="4"/>
        <v>1731</v>
      </c>
      <c r="K72">
        <f t="shared" si="5"/>
        <v>0</v>
      </c>
      <c r="L72">
        <f t="shared" si="6"/>
        <v>28</v>
      </c>
      <c r="M72">
        <f t="shared" si="7"/>
        <v>51</v>
      </c>
      <c r="N72">
        <f t="shared" si="19"/>
        <v>0</v>
      </c>
      <c r="O72">
        <f t="shared" si="19"/>
        <v>28</v>
      </c>
      <c r="P72">
        <f t="shared" si="19"/>
        <v>51</v>
      </c>
      <c r="Q72">
        <f t="shared" si="13"/>
        <v>1731</v>
      </c>
      <c r="R72">
        <f t="shared" si="14"/>
        <v>0</v>
      </c>
      <c r="S72">
        <f t="shared" si="15"/>
        <v>28</v>
      </c>
      <c r="T72">
        <f t="shared" si="16"/>
        <v>51</v>
      </c>
      <c r="U72">
        <f t="shared" si="17"/>
        <v>1731</v>
      </c>
      <c r="V72" t="str">
        <f t="shared" si="18"/>
        <v>V:\Tutorials\Programming\Java Spring\Spring Data 2\4. Dynamic Spring Data JPA Queries\.mkv</v>
      </c>
    </row>
    <row r="73" spans="1:22" x14ac:dyDescent="0.25">
      <c r="A73" t="s">
        <v>195</v>
      </c>
      <c r="B73" t="b">
        <f t="shared" si="0"/>
        <v>0</v>
      </c>
      <c r="C73" t="b">
        <f t="shared" si="12"/>
        <v>1</v>
      </c>
      <c r="D73">
        <f t="shared" si="8"/>
        <v>1</v>
      </c>
      <c r="E73" t="str">
        <f t="shared" si="9"/>
        <v>4. Dynamic Spring Data JPA Queries</v>
      </c>
      <c r="F73" s="8" t="str">
        <f t="shared" si="20"/>
        <v>1. Specifications</v>
      </c>
      <c r="G73" t="str">
        <f t="shared" si="2"/>
        <v>7m 43s</v>
      </c>
      <c r="H73">
        <f t="shared" si="3"/>
        <v>7</v>
      </c>
      <c r="I73">
        <f t="shared" si="10"/>
        <v>43</v>
      </c>
      <c r="J73">
        <f t="shared" si="4"/>
        <v>2194</v>
      </c>
      <c r="K73">
        <f t="shared" si="5"/>
        <v>0</v>
      </c>
      <c r="L73">
        <f t="shared" si="6"/>
        <v>36</v>
      </c>
      <c r="M73">
        <f t="shared" si="7"/>
        <v>34</v>
      </c>
      <c r="N73">
        <f t="shared" si="19"/>
        <v>0</v>
      </c>
      <c r="O73">
        <v>0</v>
      </c>
      <c r="P73">
        <v>0</v>
      </c>
      <c r="Q73">
        <f t="shared" si="13"/>
        <v>0</v>
      </c>
      <c r="R73">
        <f t="shared" si="14"/>
        <v>0</v>
      </c>
      <c r="S73">
        <f t="shared" si="15"/>
        <v>7</v>
      </c>
      <c r="T73">
        <f t="shared" si="16"/>
        <v>43</v>
      </c>
      <c r="U73">
        <f t="shared" si="17"/>
        <v>463</v>
      </c>
      <c r="V73" t="str">
        <f t="shared" si="18"/>
        <v>V:\Tutorials\Programming\Java Spring\Spring Data 2\4. Dynamic Spring Data JPA Queries\1. Specifications.mkv</v>
      </c>
    </row>
    <row r="74" spans="1:22" hidden="1" x14ac:dyDescent="0.25">
      <c r="A74" t="s">
        <v>196</v>
      </c>
      <c r="B74" t="b">
        <f t="shared" ref="B74:B137" si="21">AND(NOT(ISERROR(FIND(". ",A74))),ISNUMBER(VALUE(LEFT(A74,FIND(". ",A74)-1))))</f>
        <v>0</v>
      </c>
      <c r="C74" t="b">
        <f t="shared" si="12"/>
        <v>0</v>
      </c>
      <c r="D74">
        <f t="shared" si="8"/>
        <v>1</v>
      </c>
      <c r="E74" t="str">
        <f t="shared" si="9"/>
        <v>4. Dynamic Spring Data JPA Queries</v>
      </c>
      <c r="F74" s="8" t="str">
        <f t="shared" si="20"/>
        <v/>
      </c>
      <c r="G74" t="str">
        <f t="shared" ref="G74:G137" si="22">IF(C74,IF(ISERROR(FIND("s",A75)),LEFT(A75,FIND("m",A75)),LEFT(A75,FIND("s",A75))),"")</f>
        <v/>
      </c>
      <c r="H74">
        <f t="shared" ref="H74:H137" si="23">IF(OR(G74="",ISERROR(FIND("m",G74))),0,VALUE(LEFT(G74,FIND("m",G74)-1)))</f>
        <v>0</v>
      </c>
      <c r="I74">
        <f t="shared" si="10"/>
        <v>0</v>
      </c>
      <c r="J74">
        <f t="shared" ref="J74:J137" si="24">J73+(H74*60+I74)</f>
        <v>2194</v>
      </c>
      <c r="K74">
        <f t="shared" ref="K74:K137" si="25">INT(J74/60/60)</f>
        <v>0</v>
      </c>
      <c r="L74">
        <f t="shared" ref="L74:L137" si="26">INT((J74-(K74*60*60))/60)</f>
        <v>36</v>
      </c>
      <c r="M74">
        <f t="shared" ref="M74:M137" si="27">J74-(((K74*60)+L74)*60)</f>
        <v>34</v>
      </c>
      <c r="N74">
        <f t="shared" si="19"/>
        <v>0</v>
      </c>
      <c r="O74">
        <f t="shared" si="19"/>
        <v>7</v>
      </c>
      <c r="P74">
        <f t="shared" si="19"/>
        <v>43</v>
      </c>
      <c r="Q74">
        <f t="shared" si="13"/>
        <v>463</v>
      </c>
      <c r="R74">
        <f t="shared" si="14"/>
        <v>0</v>
      </c>
      <c r="S74">
        <f t="shared" si="15"/>
        <v>7</v>
      </c>
      <c r="T74">
        <f t="shared" si="16"/>
        <v>43</v>
      </c>
      <c r="U74">
        <f t="shared" si="17"/>
        <v>463</v>
      </c>
      <c r="V74" t="str">
        <f t="shared" si="18"/>
        <v>V:\Tutorials\Programming\Java Spring\Spring Data 2\4. Dynamic Spring Data JPA Queries\.mkv</v>
      </c>
    </row>
    <row r="75" spans="1:22" hidden="1" x14ac:dyDescent="0.25">
      <c r="A75" t="s">
        <v>3</v>
      </c>
      <c r="B75" t="b">
        <f t="shared" si="21"/>
        <v>0</v>
      </c>
      <c r="C75" t="b">
        <f t="shared" si="12"/>
        <v>0</v>
      </c>
      <c r="D75">
        <f t="shared" ref="D75:D138" si="28">IF(B75,0,IF(C75,D74+1,D74))</f>
        <v>1</v>
      </c>
      <c r="E75" t="str">
        <f t="shared" ref="E75:E138" si="29">IF(B75,A75,E74)</f>
        <v>4. Dynamic Spring Data JPA Queries</v>
      </c>
      <c r="F75" s="8" t="str">
        <f t="shared" si="20"/>
        <v/>
      </c>
      <c r="G75" t="str">
        <f t="shared" si="22"/>
        <v/>
      </c>
      <c r="H75">
        <f t="shared" si="23"/>
        <v>0</v>
      </c>
      <c r="I75">
        <f t="shared" ref="I75:I138" si="30">IF(OR(G75="",ISERROR(FIND("s",G75))),0,VALUE(SUBSTITUTE(MID(G75,IF(ISERROR(FIND("m",G75)), 0,FIND("m",G75))+1,LEN(G75)),"s","")))</f>
        <v>0</v>
      </c>
      <c r="J75">
        <f t="shared" si="24"/>
        <v>2194</v>
      </c>
      <c r="K75">
        <f t="shared" si="25"/>
        <v>0</v>
      </c>
      <c r="L75">
        <f t="shared" si="26"/>
        <v>36</v>
      </c>
      <c r="M75">
        <f t="shared" si="27"/>
        <v>34</v>
      </c>
      <c r="N75">
        <f t="shared" si="19"/>
        <v>0</v>
      </c>
      <c r="O75">
        <f t="shared" si="19"/>
        <v>7</v>
      </c>
      <c r="P75">
        <f t="shared" si="19"/>
        <v>43</v>
      </c>
      <c r="Q75">
        <f t="shared" si="13"/>
        <v>463</v>
      </c>
      <c r="R75">
        <f t="shared" si="14"/>
        <v>0</v>
      </c>
      <c r="S75">
        <f t="shared" si="15"/>
        <v>7</v>
      </c>
      <c r="T75">
        <f t="shared" si="16"/>
        <v>43</v>
      </c>
      <c r="U75">
        <f t="shared" si="17"/>
        <v>463</v>
      </c>
      <c r="V75" t="str">
        <f t="shared" si="18"/>
        <v>V:\Tutorials\Programming\Java Spring\Spring Data 2\4. Dynamic Spring Data JPA Queries\.mkv</v>
      </c>
    </row>
    <row r="76" spans="1:22" x14ac:dyDescent="0.25">
      <c r="A76" t="s">
        <v>197</v>
      </c>
      <c r="B76" t="b">
        <f t="shared" si="21"/>
        <v>0</v>
      </c>
      <c r="C76" t="b">
        <f t="shared" si="12"/>
        <v>1</v>
      </c>
      <c r="D76">
        <f t="shared" si="28"/>
        <v>2</v>
      </c>
      <c r="E76" t="str">
        <f t="shared" si="29"/>
        <v>4. Dynamic Spring Data JPA Queries</v>
      </c>
      <c r="F76" s="8" t="str">
        <f t="shared" si="20"/>
        <v>2. Querydsl</v>
      </c>
      <c r="G76" t="str">
        <f t="shared" si="22"/>
        <v>6m 51s</v>
      </c>
      <c r="H76">
        <f t="shared" si="23"/>
        <v>6</v>
      </c>
      <c r="I76">
        <f t="shared" si="30"/>
        <v>51</v>
      </c>
      <c r="J76">
        <f t="shared" si="24"/>
        <v>2605</v>
      </c>
      <c r="K76">
        <f t="shared" si="25"/>
        <v>0</v>
      </c>
      <c r="L76">
        <f t="shared" si="26"/>
        <v>43</v>
      </c>
      <c r="M76">
        <f t="shared" si="27"/>
        <v>25</v>
      </c>
      <c r="N76">
        <f t="shared" si="19"/>
        <v>0</v>
      </c>
      <c r="O76">
        <f t="shared" si="19"/>
        <v>7</v>
      </c>
      <c r="P76">
        <f t="shared" si="19"/>
        <v>43</v>
      </c>
      <c r="Q76">
        <f t="shared" si="13"/>
        <v>463</v>
      </c>
      <c r="R76">
        <f t="shared" si="14"/>
        <v>0</v>
      </c>
      <c r="S76">
        <f t="shared" si="15"/>
        <v>14</v>
      </c>
      <c r="T76">
        <f t="shared" si="16"/>
        <v>34</v>
      </c>
      <c r="U76">
        <f t="shared" si="17"/>
        <v>874</v>
      </c>
      <c r="V76" t="str">
        <f t="shared" si="18"/>
        <v>V:\Tutorials\Programming\Java Spring\Spring Data 2\4. Dynamic Spring Data JPA Queries\2. Querydsl.mkv</v>
      </c>
    </row>
    <row r="77" spans="1:22" hidden="1" x14ac:dyDescent="0.25">
      <c r="A77" t="s">
        <v>198</v>
      </c>
      <c r="B77" t="b">
        <f t="shared" si="21"/>
        <v>0</v>
      </c>
      <c r="C77" t="b">
        <f t="shared" ref="C77:C140" si="31">OR(AND(NOT(ISERROR(FIND("m",A78))),ISNUMBER(VALUE(LEFT(A78,FIND("m",A78)-1)))),AND(NOT(ISERROR(FIND("s",A78))),ISNUMBER(VALUE(LEFT(A78,FIND("s",A78)-1)))))</f>
        <v>0</v>
      </c>
      <c r="D77">
        <f t="shared" si="28"/>
        <v>2</v>
      </c>
      <c r="E77" t="str">
        <f t="shared" si="29"/>
        <v>4. Dynamic Spring Data JPA Queries</v>
      </c>
      <c r="F77" s="8" t="str">
        <f t="shared" si="20"/>
        <v/>
      </c>
      <c r="G77" t="str">
        <f t="shared" si="22"/>
        <v/>
      </c>
      <c r="H77">
        <f t="shared" si="23"/>
        <v>0</v>
      </c>
      <c r="I77">
        <f t="shared" si="30"/>
        <v>0</v>
      </c>
      <c r="J77">
        <f t="shared" si="24"/>
        <v>2605</v>
      </c>
      <c r="K77">
        <f t="shared" si="25"/>
        <v>0</v>
      </c>
      <c r="L77">
        <f t="shared" si="26"/>
        <v>43</v>
      </c>
      <c r="M77">
        <f t="shared" si="27"/>
        <v>25</v>
      </c>
      <c r="N77">
        <f t="shared" si="19"/>
        <v>0</v>
      </c>
      <c r="O77">
        <f t="shared" si="19"/>
        <v>14</v>
      </c>
      <c r="P77">
        <f t="shared" si="19"/>
        <v>34</v>
      </c>
      <c r="Q77">
        <f t="shared" ref="Q77:Q140" si="32">(((N77*60)+O77)*60)+P77</f>
        <v>874</v>
      </c>
      <c r="R77">
        <f t="shared" ref="R77:R140" si="33">INT(U77/60/60)</f>
        <v>0</v>
      </c>
      <c r="S77">
        <f t="shared" ref="S77:S140" si="34">INT((U77-(R77*60*60))/60)</f>
        <v>14</v>
      </c>
      <c r="T77">
        <f t="shared" ref="T77:T140" si="35">U77-(((R77*60)+S77)*60)</f>
        <v>34</v>
      </c>
      <c r="U77">
        <f t="shared" ref="U77:U140" si="36">((H77*60)+I77)+Q77</f>
        <v>874</v>
      </c>
      <c r="V77" t="str">
        <f t="shared" ref="V77:V111" si="37">"V:\Tutorials\Programming\Java Spring\Spring Data 2\"&amp;E77&amp;"\"&amp;F77&amp;".mkv"</f>
        <v>V:\Tutorials\Programming\Java Spring\Spring Data 2\4. Dynamic Spring Data JPA Queries\.mkv</v>
      </c>
    </row>
    <row r="78" spans="1:22" hidden="1" x14ac:dyDescent="0.25">
      <c r="A78" t="s">
        <v>3</v>
      </c>
      <c r="B78" t="b">
        <f t="shared" si="21"/>
        <v>0</v>
      </c>
      <c r="C78" t="b">
        <f t="shared" si="31"/>
        <v>0</v>
      </c>
      <c r="D78">
        <f t="shared" si="28"/>
        <v>2</v>
      </c>
      <c r="E78" t="str">
        <f t="shared" si="29"/>
        <v>4. Dynamic Spring Data JPA Queries</v>
      </c>
      <c r="F78" s="8" t="str">
        <f t="shared" si="20"/>
        <v/>
      </c>
      <c r="G78" t="str">
        <f t="shared" si="22"/>
        <v/>
      </c>
      <c r="H78">
        <f t="shared" si="23"/>
        <v>0</v>
      </c>
      <c r="I78">
        <f t="shared" si="30"/>
        <v>0</v>
      </c>
      <c r="J78">
        <f t="shared" si="24"/>
        <v>2605</v>
      </c>
      <c r="K78">
        <f t="shared" si="25"/>
        <v>0</v>
      </c>
      <c r="L78">
        <f t="shared" si="26"/>
        <v>43</v>
      </c>
      <c r="M78">
        <f t="shared" si="27"/>
        <v>25</v>
      </c>
      <c r="N78">
        <f t="shared" si="19"/>
        <v>0</v>
      </c>
      <c r="O78">
        <f t="shared" si="19"/>
        <v>14</v>
      </c>
      <c r="P78">
        <f t="shared" si="19"/>
        <v>34</v>
      </c>
      <c r="Q78">
        <f t="shared" si="32"/>
        <v>874</v>
      </c>
      <c r="R78">
        <f t="shared" si="33"/>
        <v>0</v>
      </c>
      <c r="S78">
        <f t="shared" si="34"/>
        <v>14</v>
      </c>
      <c r="T78">
        <f t="shared" si="35"/>
        <v>34</v>
      </c>
      <c r="U78">
        <f t="shared" si="36"/>
        <v>874</v>
      </c>
      <c r="V78" t="str">
        <f t="shared" si="37"/>
        <v>V:\Tutorials\Programming\Java Spring\Spring Data 2\4. Dynamic Spring Data JPA Queries\.mkv</v>
      </c>
    </row>
    <row r="79" spans="1:22" x14ac:dyDescent="0.25">
      <c r="A79" t="s">
        <v>199</v>
      </c>
      <c r="B79" t="b">
        <f t="shared" si="21"/>
        <v>0</v>
      </c>
      <c r="C79" t="b">
        <f t="shared" si="31"/>
        <v>1</v>
      </c>
      <c r="D79">
        <f t="shared" si="28"/>
        <v>3</v>
      </c>
      <c r="E79" t="str">
        <f t="shared" si="29"/>
        <v>4. Dynamic Spring Data JPA Queries</v>
      </c>
      <c r="F79" s="8" t="str">
        <f t="shared" si="20"/>
        <v>3. Query by Example</v>
      </c>
      <c r="G79" t="str">
        <f t="shared" si="22"/>
        <v>3m 44s</v>
      </c>
      <c r="H79">
        <f t="shared" si="23"/>
        <v>3</v>
      </c>
      <c r="I79">
        <f t="shared" si="30"/>
        <v>44</v>
      </c>
      <c r="J79">
        <f t="shared" si="24"/>
        <v>2829</v>
      </c>
      <c r="K79">
        <f t="shared" si="25"/>
        <v>0</v>
      </c>
      <c r="L79">
        <f t="shared" si="26"/>
        <v>47</v>
      </c>
      <c r="M79">
        <f t="shared" si="27"/>
        <v>9</v>
      </c>
      <c r="N79">
        <f t="shared" si="19"/>
        <v>0</v>
      </c>
      <c r="O79">
        <f t="shared" si="19"/>
        <v>14</v>
      </c>
      <c r="P79">
        <v>45</v>
      </c>
      <c r="Q79">
        <f t="shared" si="32"/>
        <v>885</v>
      </c>
      <c r="R79">
        <f t="shared" si="33"/>
        <v>0</v>
      </c>
      <c r="S79">
        <f t="shared" si="34"/>
        <v>18</v>
      </c>
      <c r="T79">
        <f t="shared" si="35"/>
        <v>29</v>
      </c>
      <c r="U79">
        <f t="shared" si="36"/>
        <v>1109</v>
      </c>
      <c r="V79" t="str">
        <f t="shared" si="37"/>
        <v>V:\Tutorials\Programming\Java Spring\Spring Data 2\4. Dynamic Spring Data JPA Queries\3. Query by Example.mkv</v>
      </c>
    </row>
    <row r="80" spans="1:22" hidden="1" x14ac:dyDescent="0.25">
      <c r="A80" t="s">
        <v>200</v>
      </c>
      <c r="B80" t="b">
        <f t="shared" si="21"/>
        <v>0</v>
      </c>
      <c r="C80" t="b">
        <f t="shared" si="31"/>
        <v>0</v>
      </c>
      <c r="D80">
        <f t="shared" si="28"/>
        <v>3</v>
      </c>
      <c r="E80" t="str">
        <f t="shared" si="29"/>
        <v>4. Dynamic Spring Data JPA Queries</v>
      </c>
      <c r="F80" s="8" t="str">
        <f t="shared" si="20"/>
        <v/>
      </c>
      <c r="G80" t="str">
        <f t="shared" si="22"/>
        <v/>
      </c>
      <c r="H80">
        <f t="shared" si="23"/>
        <v>0</v>
      </c>
      <c r="I80">
        <f t="shared" si="30"/>
        <v>0</v>
      </c>
      <c r="J80">
        <f t="shared" si="24"/>
        <v>2829</v>
      </c>
      <c r="K80">
        <f t="shared" si="25"/>
        <v>0</v>
      </c>
      <c r="L80">
        <f t="shared" si="26"/>
        <v>47</v>
      </c>
      <c r="M80">
        <f t="shared" si="27"/>
        <v>9</v>
      </c>
      <c r="N80">
        <f t="shared" si="19"/>
        <v>0</v>
      </c>
      <c r="O80">
        <f t="shared" si="19"/>
        <v>18</v>
      </c>
      <c r="P80">
        <f t="shared" si="19"/>
        <v>29</v>
      </c>
      <c r="Q80">
        <f t="shared" si="32"/>
        <v>1109</v>
      </c>
      <c r="R80">
        <f t="shared" si="33"/>
        <v>0</v>
      </c>
      <c r="S80">
        <f t="shared" si="34"/>
        <v>18</v>
      </c>
      <c r="T80">
        <f t="shared" si="35"/>
        <v>29</v>
      </c>
      <c r="U80">
        <f t="shared" si="36"/>
        <v>1109</v>
      </c>
      <c r="V80" t="str">
        <f t="shared" si="37"/>
        <v>V:\Tutorials\Programming\Java Spring\Spring Data 2\4. Dynamic Spring Data JPA Queries\.mkv</v>
      </c>
    </row>
    <row r="81" spans="1:22" hidden="1" x14ac:dyDescent="0.25">
      <c r="A81" t="s">
        <v>3</v>
      </c>
      <c r="B81" t="b">
        <f t="shared" si="21"/>
        <v>0</v>
      </c>
      <c r="C81" t="b">
        <f t="shared" si="31"/>
        <v>0</v>
      </c>
      <c r="D81">
        <f t="shared" si="28"/>
        <v>3</v>
      </c>
      <c r="E81" t="str">
        <f t="shared" si="29"/>
        <v>4. Dynamic Spring Data JPA Queries</v>
      </c>
      <c r="F81" s="8" t="str">
        <f t="shared" si="20"/>
        <v/>
      </c>
      <c r="G81" t="str">
        <f t="shared" si="22"/>
        <v/>
      </c>
      <c r="H81">
        <f t="shared" si="23"/>
        <v>0</v>
      </c>
      <c r="I81">
        <f t="shared" si="30"/>
        <v>0</v>
      </c>
      <c r="J81">
        <f t="shared" si="24"/>
        <v>2829</v>
      </c>
      <c r="K81">
        <f t="shared" si="25"/>
        <v>0</v>
      </c>
      <c r="L81">
        <f t="shared" si="26"/>
        <v>47</v>
      </c>
      <c r="M81">
        <f t="shared" si="27"/>
        <v>9</v>
      </c>
      <c r="N81">
        <f t="shared" si="19"/>
        <v>0</v>
      </c>
      <c r="O81">
        <f t="shared" si="19"/>
        <v>18</v>
      </c>
      <c r="P81">
        <f t="shared" si="19"/>
        <v>29</v>
      </c>
      <c r="Q81">
        <f t="shared" si="32"/>
        <v>1109</v>
      </c>
      <c r="R81">
        <f t="shared" si="33"/>
        <v>0</v>
      </c>
      <c r="S81">
        <f t="shared" si="34"/>
        <v>18</v>
      </c>
      <c r="T81">
        <f t="shared" si="35"/>
        <v>29</v>
      </c>
      <c r="U81">
        <f t="shared" si="36"/>
        <v>1109</v>
      </c>
      <c r="V81" t="str">
        <f t="shared" si="37"/>
        <v>V:\Tutorials\Programming\Java Spring\Spring Data 2\4. Dynamic Spring Data JPA Queries\.mkv</v>
      </c>
    </row>
    <row r="82" spans="1:22" x14ac:dyDescent="0.25">
      <c r="A82" t="s">
        <v>201</v>
      </c>
      <c r="B82" t="b">
        <f t="shared" si="21"/>
        <v>0</v>
      </c>
      <c r="C82" t="b">
        <f t="shared" si="31"/>
        <v>1</v>
      </c>
      <c r="D82">
        <f t="shared" si="28"/>
        <v>4</v>
      </c>
      <c r="E82" t="str">
        <f t="shared" si="29"/>
        <v>4. Dynamic Spring Data JPA Queries</v>
      </c>
      <c r="F82" s="8" t="str">
        <f t="shared" si="20"/>
        <v>4. Challenge - Query by Example</v>
      </c>
      <c r="G82" t="str">
        <f t="shared" si="22"/>
        <v>43s</v>
      </c>
      <c r="H82">
        <f t="shared" si="23"/>
        <v>0</v>
      </c>
      <c r="I82">
        <f t="shared" si="30"/>
        <v>43</v>
      </c>
      <c r="J82">
        <f t="shared" si="24"/>
        <v>2872</v>
      </c>
      <c r="K82">
        <f t="shared" si="25"/>
        <v>0</v>
      </c>
      <c r="L82">
        <f t="shared" si="26"/>
        <v>47</v>
      </c>
      <c r="M82">
        <f t="shared" si="27"/>
        <v>52</v>
      </c>
      <c r="N82">
        <f t="shared" si="19"/>
        <v>0</v>
      </c>
      <c r="O82">
        <f t="shared" si="19"/>
        <v>18</v>
      </c>
      <c r="P82">
        <f t="shared" si="19"/>
        <v>29</v>
      </c>
      <c r="Q82">
        <f t="shared" si="32"/>
        <v>1109</v>
      </c>
      <c r="R82">
        <f t="shared" si="33"/>
        <v>0</v>
      </c>
      <c r="S82">
        <f t="shared" si="34"/>
        <v>19</v>
      </c>
      <c r="T82">
        <f t="shared" si="35"/>
        <v>12</v>
      </c>
      <c r="U82">
        <f t="shared" si="36"/>
        <v>1152</v>
      </c>
      <c r="V82" t="str">
        <f t="shared" si="37"/>
        <v>V:\Tutorials\Programming\Java Spring\Spring Data 2\4. Dynamic Spring Data JPA Queries\4. Challenge - Query by Example.mkv</v>
      </c>
    </row>
    <row r="83" spans="1:22" hidden="1" x14ac:dyDescent="0.25">
      <c r="A83" t="s">
        <v>202</v>
      </c>
      <c r="B83" t="b">
        <f t="shared" si="21"/>
        <v>0</v>
      </c>
      <c r="C83" t="b">
        <f t="shared" si="31"/>
        <v>0</v>
      </c>
      <c r="D83">
        <f t="shared" si="28"/>
        <v>4</v>
      </c>
      <c r="E83" t="str">
        <f t="shared" si="29"/>
        <v>4. Dynamic Spring Data JPA Queries</v>
      </c>
      <c r="F83" s="8" t="str">
        <f t="shared" si="20"/>
        <v/>
      </c>
      <c r="G83" t="str">
        <f t="shared" si="22"/>
        <v/>
      </c>
      <c r="H83">
        <f t="shared" si="23"/>
        <v>0</v>
      </c>
      <c r="I83">
        <f t="shared" si="30"/>
        <v>0</v>
      </c>
      <c r="J83">
        <f t="shared" si="24"/>
        <v>2872</v>
      </c>
      <c r="K83">
        <f t="shared" si="25"/>
        <v>0</v>
      </c>
      <c r="L83">
        <f t="shared" si="26"/>
        <v>47</v>
      </c>
      <c r="M83">
        <f t="shared" si="27"/>
        <v>52</v>
      </c>
      <c r="N83">
        <f t="shared" si="19"/>
        <v>0</v>
      </c>
      <c r="O83">
        <f t="shared" si="19"/>
        <v>19</v>
      </c>
      <c r="P83">
        <f t="shared" si="19"/>
        <v>12</v>
      </c>
      <c r="Q83">
        <f t="shared" si="32"/>
        <v>1152</v>
      </c>
      <c r="R83">
        <f t="shared" si="33"/>
        <v>0</v>
      </c>
      <c r="S83">
        <f t="shared" si="34"/>
        <v>19</v>
      </c>
      <c r="T83">
        <f t="shared" si="35"/>
        <v>12</v>
      </c>
      <c r="U83">
        <f t="shared" si="36"/>
        <v>1152</v>
      </c>
      <c r="V83" t="str">
        <f t="shared" si="37"/>
        <v>V:\Tutorials\Programming\Java Spring\Spring Data 2\4. Dynamic Spring Data JPA Queries\.mkv</v>
      </c>
    </row>
    <row r="84" spans="1:22" hidden="1" x14ac:dyDescent="0.25">
      <c r="A84" t="s">
        <v>3</v>
      </c>
      <c r="B84" t="b">
        <f t="shared" si="21"/>
        <v>0</v>
      </c>
      <c r="C84" t="b">
        <f t="shared" si="31"/>
        <v>0</v>
      </c>
      <c r="D84">
        <f t="shared" si="28"/>
        <v>4</v>
      </c>
      <c r="E84" t="str">
        <f t="shared" si="29"/>
        <v>4. Dynamic Spring Data JPA Queries</v>
      </c>
      <c r="F84" s="8" t="str">
        <f t="shared" si="20"/>
        <v/>
      </c>
      <c r="G84" t="str">
        <f t="shared" si="22"/>
        <v/>
      </c>
      <c r="H84">
        <f t="shared" si="23"/>
        <v>0</v>
      </c>
      <c r="I84">
        <f t="shared" si="30"/>
        <v>0</v>
      </c>
      <c r="J84">
        <f t="shared" si="24"/>
        <v>2872</v>
      </c>
      <c r="K84">
        <f t="shared" si="25"/>
        <v>0</v>
      </c>
      <c r="L84">
        <f t="shared" si="26"/>
        <v>47</v>
      </c>
      <c r="M84">
        <f t="shared" si="27"/>
        <v>52</v>
      </c>
      <c r="N84">
        <f t="shared" si="19"/>
        <v>0</v>
      </c>
      <c r="O84">
        <f t="shared" si="19"/>
        <v>19</v>
      </c>
      <c r="P84">
        <f t="shared" si="19"/>
        <v>12</v>
      </c>
      <c r="Q84">
        <f t="shared" si="32"/>
        <v>1152</v>
      </c>
      <c r="R84">
        <f t="shared" si="33"/>
        <v>0</v>
      </c>
      <c r="S84">
        <f t="shared" si="34"/>
        <v>19</v>
      </c>
      <c r="T84">
        <f t="shared" si="35"/>
        <v>12</v>
      </c>
      <c r="U84">
        <f t="shared" si="36"/>
        <v>1152</v>
      </c>
      <c r="V84" t="str">
        <f t="shared" si="37"/>
        <v>V:\Tutorials\Programming\Java Spring\Spring Data 2\4. Dynamic Spring Data JPA Queries\.mkv</v>
      </c>
    </row>
    <row r="85" spans="1:22" x14ac:dyDescent="0.25">
      <c r="A85" t="s">
        <v>203</v>
      </c>
      <c r="B85" t="b">
        <f t="shared" si="21"/>
        <v>0</v>
      </c>
      <c r="C85" t="b">
        <f t="shared" si="31"/>
        <v>1</v>
      </c>
      <c r="D85">
        <f t="shared" si="28"/>
        <v>5</v>
      </c>
      <c r="E85" t="str">
        <f t="shared" si="29"/>
        <v>4. Dynamic Spring Data JPA Queries</v>
      </c>
      <c r="F85" s="8" t="str">
        <f t="shared" si="20"/>
        <v>5. Solution - Query by Example</v>
      </c>
      <c r="G85" t="str">
        <f t="shared" si="22"/>
        <v>1m 58s</v>
      </c>
      <c r="H85">
        <f t="shared" si="23"/>
        <v>1</v>
      </c>
      <c r="I85">
        <f t="shared" si="30"/>
        <v>58</v>
      </c>
      <c r="J85">
        <f t="shared" si="24"/>
        <v>2990</v>
      </c>
      <c r="K85">
        <f t="shared" si="25"/>
        <v>0</v>
      </c>
      <c r="L85">
        <f t="shared" si="26"/>
        <v>49</v>
      </c>
      <c r="M85">
        <f t="shared" si="27"/>
        <v>50</v>
      </c>
      <c r="N85">
        <f t="shared" si="19"/>
        <v>0</v>
      </c>
      <c r="O85">
        <f t="shared" si="19"/>
        <v>19</v>
      </c>
      <c r="P85">
        <v>16</v>
      </c>
      <c r="Q85">
        <f t="shared" si="32"/>
        <v>1156</v>
      </c>
      <c r="R85">
        <f t="shared" si="33"/>
        <v>0</v>
      </c>
      <c r="S85">
        <f t="shared" si="34"/>
        <v>21</v>
      </c>
      <c r="T85">
        <f t="shared" si="35"/>
        <v>14</v>
      </c>
      <c r="U85">
        <f t="shared" si="36"/>
        <v>1274</v>
      </c>
      <c r="V85" t="str">
        <f t="shared" si="37"/>
        <v>V:\Tutorials\Programming\Java Spring\Spring Data 2\4. Dynamic Spring Data JPA Queries\5. Solution - Query by Example.mkv</v>
      </c>
    </row>
    <row r="86" spans="1:22" hidden="1" x14ac:dyDescent="0.25">
      <c r="A86" t="s">
        <v>204</v>
      </c>
      <c r="B86" t="b">
        <f t="shared" si="21"/>
        <v>0</v>
      </c>
      <c r="C86" t="b">
        <f t="shared" si="31"/>
        <v>0</v>
      </c>
      <c r="D86">
        <f t="shared" si="28"/>
        <v>5</v>
      </c>
      <c r="E86" t="str">
        <f t="shared" si="29"/>
        <v>4. Dynamic Spring Data JPA Queries</v>
      </c>
      <c r="F86" s="8" t="str">
        <f t="shared" si="20"/>
        <v/>
      </c>
      <c r="G86" t="str">
        <f t="shared" si="22"/>
        <v/>
      </c>
      <c r="H86">
        <f t="shared" si="23"/>
        <v>0</v>
      </c>
      <c r="I86">
        <f t="shared" si="30"/>
        <v>0</v>
      </c>
      <c r="J86">
        <f t="shared" si="24"/>
        <v>2990</v>
      </c>
      <c r="K86">
        <f t="shared" si="25"/>
        <v>0</v>
      </c>
      <c r="L86">
        <f t="shared" si="26"/>
        <v>49</v>
      </c>
      <c r="M86">
        <f t="shared" si="27"/>
        <v>50</v>
      </c>
      <c r="N86">
        <f t="shared" si="19"/>
        <v>0</v>
      </c>
      <c r="O86">
        <f t="shared" si="19"/>
        <v>21</v>
      </c>
      <c r="P86">
        <f t="shared" si="19"/>
        <v>14</v>
      </c>
      <c r="Q86">
        <f t="shared" si="32"/>
        <v>1274</v>
      </c>
      <c r="R86">
        <f t="shared" si="33"/>
        <v>0</v>
      </c>
      <c r="S86">
        <f t="shared" si="34"/>
        <v>21</v>
      </c>
      <c r="T86">
        <f t="shared" si="35"/>
        <v>14</v>
      </c>
      <c r="U86">
        <f t="shared" si="36"/>
        <v>1274</v>
      </c>
      <c r="V86" t="str">
        <f t="shared" si="37"/>
        <v>V:\Tutorials\Programming\Java Spring\Spring Data 2\4. Dynamic Spring Data JPA Queries\.mkv</v>
      </c>
    </row>
    <row r="87" spans="1:22" hidden="1" x14ac:dyDescent="0.25">
      <c r="A87" t="s">
        <v>3</v>
      </c>
      <c r="B87" t="b">
        <f t="shared" si="21"/>
        <v>0</v>
      </c>
      <c r="C87" t="b">
        <f t="shared" si="31"/>
        <v>0</v>
      </c>
      <c r="D87">
        <f t="shared" si="28"/>
        <v>5</v>
      </c>
      <c r="E87" t="str">
        <f t="shared" si="29"/>
        <v>4. Dynamic Spring Data JPA Queries</v>
      </c>
      <c r="F87" s="8" t="str">
        <f t="shared" si="20"/>
        <v/>
      </c>
      <c r="G87" t="str">
        <f t="shared" si="22"/>
        <v/>
      </c>
      <c r="H87">
        <f t="shared" si="23"/>
        <v>0</v>
      </c>
      <c r="I87">
        <f t="shared" si="30"/>
        <v>0</v>
      </c>
      <c r="J87">
        <f t="shared" si="24"/>
        <v>2990</v>
      </c>
      <c r="K87">
        <f t="shared" si="25"/>
        <v>0</v>
      </c>
      <c r="L87">
        <f t="shared" si="26"/>
        <v>49</v>
      </c>
      <c r="M87">
        <f t="shared" si="27"/>
        <v>50</v>
      </c>
      <c r="N87">
        <f t="shared" si="19"/>
        <v>0</v>
      </c>
      <c r="O87">
        <f t="shared" si="19"/>
        <v>21</v>
      </c>
      <c r="P87">
        <f t="shared" si="19"/>
        <v>14</v>
      </c>
      <c r="Q87">
        <f t="shared" si="32"/>
        <v>1274</v>
      </c>
      <c r="R87">
        <f t="shared" si="33"/>
        <v>0</v>
      </c>
      <c r="S87">
        <f t="shared" si="34"/>
        <v>21</v>
      </c>
      <c r="T87">
        <f t="shared" si="35"/>
        <v>14</v>
      </c>
      <c r="U87">
        <f t="shared" si="36"/>
        <v>1274</v>
      </c>
      <c r="V87" t="str">
        <f t="shared" si="37"/>
        <v>V:\Tutorials\Programming\Java Spring\Spring Data 2\4. Dynamic Spring Data JPA Queries\.mkv</v>
      </c>
    </row>
    <row r="88" spans="1:22" hidden="1" x14ac:dyDescent="0.25">
      <c r="A88" t="s">
        <v>12</v>
      </c>
      <c r="B88" t="b">
        <f t="shared" si="21"/>
        <v>0</v>
      </c>
      <c r="C88" t="b">
        <f t="shared" si="31"/>
        <v>0</v>
      </c>
      <c r="D88">
        <f t="shared" si="28"/>
        <v>5</v>
      </c>
      <c r="E88" t="str">
        <f t="shared" si="29"/>
        <v>4. Dynamic Spring Data JPA Queries</v>
      </c>
      <c r="F88" s="8" t="str">
        <f t="shared" si="20"/>
        <v/>
      </c>
      <c r="G88" t="str">
        <f t="shared" si="22"/>
        <v/>
      </c>
      <c r="H88">
        <f t="shared" si="23"/>
        <v>0</v>
      </c>
      <c r="I88">
        <f t="shared" si="30"/>
        <v>0</v>
      </c>
      <c r="J88">
        <f t="shared" si="24"/>
        <v>2990</v>
      </c>
      <c r="K88">
        <f t="shared" si="25"/>
        <v>0</v>
      </c>
      <c r="L88">
        <f t="shared" si="26"/>
        <v>49</v>
      </c>
      <c r="M88">
        <f t="shared" si="27"/>
        <v>50</v>
      </c>
      <c r="N88">
        <f t="shared" si="19"/>
        <v>0</v>
      </c>
      <c r="O88">
        <f t="shared" si="19"/>
        <v>21</v>
      </c>
      <c r="P88">
        <f t="shared" si="19"/>
        <v>14</v>
      </c>
      <c r="Q88">
        <f t="shared" si="32"/>
        <v>1274</v>
      </c>
      <c r="R88">
        <f t="shared" si="33"/>
        <v>0</v>
      </c>
      <c r="S88">
        <f t="shared" si="34"/>
        <v>21</v>
      </c>
      <c r="T88">
        <f t="shared" si="35"/>
        <v>14</v>
      </c>
      <c r="U88">
        <f t="shared" si="36"/>
        <v>1274</v>
      </c>
      <c r="V88" t="str">
        <f t="shared" si="37"/>
        <v>V:\Tutorials\Programming\Java Spring\Spring Data 2\4. Dynamic Spring Data JPA Queries\.mkv</v>
      </c>
    </row>
    <row r="89" spans="1:22" hidden="1" x14ac:dyDescent="0.25">
      <c r="A89" t="s">
        <v>22</v>
      </c>
      <c r="B89" t="b">
        <f t="shared" si="21"/>
        <v>0</v>
      </c>
      <c r="C89" t="b">
        <f t="shared" si="31"/>
        <v>0</v>
      </c>
      <c r="D89">
        <f t="shared" si="28"/>
        <v>5</v>
      </c>
      <c r="E89" t="str">
        <f t="shared" si="29"/>
        <v>4. Dynamic Spring Data JPA Queries</v>
      </c>
      <c r="F89" s="8" t="str">
        <f t="shared" si="20"/>
        <v/>
      </c>
      <c r="G89" t="str">
        <f t="shared" si="22"/>
        <v/>
      </c>
      <c r="H89">
        <f t="shared" si="23"/>
        <v>0</v>
      </c>
      <c r="I89">
        <f t="shared" si="30"/>
        <v>0</v>
      </c>
      <c r="J89">
        <f t="shared" si="24"/>
        <v>2990</v>
      </c>
      <c r="K89">
        <f t="shared" si="25"/>
        <v>0</v>
      </c>
      <c r="L89">
        <f t="shared" si="26"/>
        <v>49</v>
      </c>
      <c r="M89">
        <f t="shared" si="27"/>
        <v>50</v>
      </c>
      <c r="N89">
        <f t="shared" si="19"/>
        <v>0</v>
      </c>
      <c r="O89">
        <f t="shared" si="19"/>
        <v>21</v>
      </c>
      <c r="P89">
        <f t="shared" si="19"/>
        <v>14</v>
      </c>
      <c r="Q89">
        <f t="shared" si="32"/>
        <v>1274</v>
      </c>
      <c r="R89">
        <f t="shared" si="33"/>
        <v>0</v>
      </c>
      <c r="S89">
        <f t="shared" si="34"/>
        <v>21</v>
      </c>
      <c r="T89">
        <f t="shared" si="35"/>
        <v>14</v>
      </c>
      <c r="U89">
        <f t="shared" si="36"/>
        <v>1274</v>
      </c>
      <c r="V89" t="str">
        <f t="shared" si="37"/>
        <v>V:\Tutorials\Programming\Java Spring\Spring Data 2\4. Dynamic Spring Data JPA Queries\.mkv</v>
      </c>
    </row>
    <row r="90" spans="1:22" hidden="1" x14ac:dyDescent="0.25">
      <c r="B90" t="b">
        <f t="shared" si="21"/>
        <v>0</v>
      </c>
      <c r="C90" t="b">
        <f t="shared" si="31"/>
        <v>0</v>
      </c>
      <c r="D90">
        <f t="shared" si="28"/>
        <v>5</v>
      </c>
      <c r="E90" t="str">
        <f t="shared" si="29"/>
        <v>4. Dynamic Spring Data JPA Queries</v>
      </c>
      <c r="F90" s="8" t="str">
        <f t="shared" si="20"/>
        <v/>
      </c>
      <c r="G90" t="str">
        <f t="shared" si="22"/>
        <v/>
      </c>
      <c r="H90">
        <f t="shared" si="23"/>
        <v>0</v>
      </c>
      <c r="I90">
        <f t="shared" si="30"/>
        <v>0</v>
      </c>
      <c r="J90">
        <f t="shared" si="24"/>
        <v>2990</v>
      </c>
      <c r="K90">
        <f t="shared" si="25"/>
        <v>0</v>
      </c>
      <c r="L90">
        <f t="shared" si="26"/>
        <v>49</v>
      </c>
      <c r="M90">
        <f t="shared" si="27"/>
        <v>50</v>
      </c>
      <c r="N90">
        <f t="shared" si="19"/>
        <v>0</v>
      </c>
      <c r="O90">
        <f t="shared" si="19"/>
        <v>21</v>
      </c>
      <c r="P90">
        <f t="shared" si="19"/>
        <v>14</v>
      </c>
      <c r="Q90">
        <f t="shared" si="32"/>
        <v>1274</v>
      </c>
      <c r="R90">
        <f t="shared" si="33"/>
        <v>0</v>
      </c>
      <c r="S90">
        <f t="shared" si="34"/>
        <v>21</v>
      </c>
      <c r="T90">
        <f t="shared" si="35"/>
        <v>14</v>
      </c>
      <c r="U90">
        <f t="shared" si="36"/>
        <v>1274</v>
      </c>
      <c r="V90" t="str">
        <f t="shared" si="37"/>
        <v>V:\Tutorials\Programming\Java Spring\Spring Data 2\4. Dynamic Spring Data JPA Queries\.mkv</v>
      </c>
    </row>
    <row r="91" spans="1:22" hidden="1" x14ac:dyDescent="0.25">
      <c r="A91" t="s">
        <v>205</v>
      </c>
      <c r="B91" t="b">
        <f t="shared" si="21"/>
        <v>1</v>
      </c>
      <c r="C91" t="b">
        <f t="shared" si="31"/>
        <v>0</v>
      </c>
      <c r="D91">
        <f t="shared" si="28"/>
        <v>0</v>
      </c>
      <c r="E91" t="str">
        <f t="shared" si="29"/>
        <v>5. More Spring Data Features</v>
      </c>
      <c r="F91" s="8" t="str">
        <f t="shared" si="20"/>
        <v/>
      </c>
      <c r="G91" t="str">
        <f t="shared" si="22"/>
        <v/>
      </c>
      <c r="H91">
        <f t="shared" si="23"/>
        <v>0</v>
      </c>
      <c r="I91">
        <f t="shared" si="30"/>
        <v>0</v>
      </c>
      <c r="J91">
        <f t="shared" si="24"/>
        <v>2990</v>
      </c>
      <c r="K91">
        <f t="shared" si="25"/>
        <v>0</v>
      </c>
      <c r="L91">
        <f t="shared" si="26"/>
        <v>49</v>
      </c>
      <c r="M91">
        <f t="shared" si="27"/>
        <v>50</v>
      </c>
      <c r="N91">
        <f t="shared" ref="N91:P154" si="38">R90</f>
        <v>0</v>
      </c>
      <c r="O91">
        <f t="shared" si="38"/>
        <v>21</v>
      </c>
      <c r="P91">
        <f t="shared" si="38"/>
        <v>14</v>
      </c>
      <c r="Q91">
        <f t="shared" si="32"/>
        <v>1274</v>
      </c>
      <c r="R91">
        <f t="shared" si="33"/>
        <v>0</v>
      </c>
      <c r="S91">
        <f t="shared" si="34"/>
        <v>21</v>
      </c>
      <c r="T91">
        <f t="shared" si="35"/>
        <v>14</v>
      </c>
      <c r="U91">
        <f t="shared" si="36"/>
        <v>1274</v>
      </c>
      <c r="V91" t="str">
        <f t="shared" si="37"/>
        <v>V:\Tutorials\Programming\Java Spring\Spring Data 2\5. More Spring Data Features\.mkv</v>
      </c>
    </row>
    <row r="92" spans="1:22" hidden="1" x14ac:dyDescent="0.25">
      <c r="B92" t="b">
        <f t="shared" si="21"/>
        <v>0</v>
      </c>
      <c r="C92" t="b">
        <f t="shared" si="31"/>
        <v>0</v>
      </c>
      <c r="D92">
        <f t="shared" si="28"/>
        <v>0</v>
      </c>
      <c r="E92" t="str">
        <f t="shared" si="29"/>
        <v>5. More Spring Data Features</v>
      </c>
      <c r="F92" s="8" t="str">
        <f t="shared" si="20"/>
        <v/>
      </c>
      <c r="G92" t="str">
        <f t="shared" si="22"/>
        <v/>
      </c>
      <c r="H92">
        <f t="shared" si="23"/>
        <v>0</v>
      </c>
      <c r="I92">
        <f t="shared" si="30"/>
        <v>0</v>
      </c>
      <c r="J92">
        <f t="shared" si="24"/>
        <v>2990</v>
      </c>
      <c r="K92">
        <f t="shared" si="25"/>
        <v>0</v>
      </c>
      <c r="L92">
        <f t="shared" si="26"/>
        <v>49</v>
      </c>
      <c r="M92">
        <f t="shared" si="27"/>
        <v>50</v>
      </c>
      <c r="N92">
        <f t="shared" si="38"/>
        <v>0</v>
      </c>
      <c r="O92">
        <f t="shared" si="38"/>
        <v>21</v>
      </c>
      <c r="P92">
        <f t="shared" si="38"/>
        <v>14</v>
      </c>
      <c r="Q92">
        <f t="shared" si="32"/>
        <v>1274</v>
      </c>
      <c r="R92">
        <f t="shared" si="33"/>
        <v>0</v>
      </c>
      <c r="S92">
        <f t="shared" si="34"/>
        <v>21</v>
      </c>
      <c r="T92">
        <f t="shared" si="35"/>
        <v>14</v>
      </c>
      <c r="U92">
        <f t="shared" si="36"/>
        <v>1274</v>
      </c>
      <c r="V92" t="str">
        <f t="shared" si="37"/>
        <v>V:\Tutorials\Programming\Java Spring\Spring Data 2\5. More Spring Data Features\.mkv</v>
      </c>
    </row>
    <row r="93" spans="1:22" x14ac:dyDescent="0.25">
      <c r="A93" t="s">
        <v>206</v>
      </c>
      <c r="B93" t="b">
        <f t="shared" si="21"/>
        <v>0</v>
      </c>
      <c r="C93" t="b">
        <f t="shared" si="31"/>
        <v>1</v>
      </c>
      <c r="D93">
        <f t="shared" si="28"/>
        <v>1</v>
      </c>
      <c r="E93" t="str">
        <f t="shared" si="29"/>
        <v>5. More Spring Data Features</v>
      </c>
      <c r="F93" s="8" t="str">
        <f t="shared" si="20"/>
        <v>1. Spring Data REST</v>
      </c>
      <c r="G93" t="str">
        <f t="shared" si="22"/>
        <v>9m 32s</v>
      </c>
      <c r="H93">
        <f t="shared" si="23"/>
        <v>9</v>
      </c>
      <c r="I93">
        <f t="shared" si="30"/>
        <v>32</v>
      </c>
      <c r="J93">
        <f t="shared" si="24"/>
        <v>3562</v>
      </c>
      <c r="K93">
        <f t="shared" si="25"/>
        <v>0</v>
      </c>
      <c r="L93">
        <f t="shared" si="26"/>
        <v>59</v>
      </c>
      <c r="M93">
        <f t="shared" si="27"/>
        <v>22</v>
      </c>
      <c r="N93">
        <f t="shared" si="38"/>
        <v>0</v>
      </c>
      <c r="O93">
        <v>0</v>
      </c>
      <c r="P93">
        <v>0</v>
      </c>
      <c r="Q93">
        <f t="shared" si="32"/>
        <v>0</v>
      </c>
      <c r="R93">
        <f t="shared" si="33"/>
        <v>0</v>
      </c>
      <c r="S93">
        <f t="shared" si="34"/>
        <v>9</v>
      </c>
      <c r="T93">
        <f t="shared" si="35"/>
        <v>32</v>
      </c>
      <c r="U93">
        <f t="shared" si="36"/>
        <v>572</v>
      </c>
      <c r="V93" t="str">
        <f t="shared" si="37"/>
        <v>V:\Tutorials\Programming\Java Spring\Spring Data 2\5. More Spring Data Features\1. Spring Data REST.mkv</v>
      </c>
    </row>
    <row r="94" spans="1:22" hidden="1" x14ac:dyDescent="0.25">
      <c r="A94" t="s">
        <v>207</v>
      </c>
      <c r="B94" t="b">
        <f t="shared" si="21"/>
        <v>0</v>
      </c>
      <c r="C94" t="b">
        <f t="shared" si="31"/>
        <v>0</v>
      </c>
      <c r="D94">
        <f t="shared" si="28"/>
        <v>1</v>
      </c>
      <c r="E94" t="str">
        <f t="shared" si="29"/>
        <v>5. More Spring Data Features</v>
      </c>
      <c r="F94" s="8" t="str">
        <f t="shared" si="20"/>
        <v/>
      </c>
      <c r="G94" t="str">
        <f t="shared" si="22"/>
        <v/>
      </c>
      <c r="H94">
        <f t="shared" si="23"/>
        <v>0</v>
      </c>
      <c r="I94">
        <f t="shared" si="30"/>
        <v>0</v>
      </c>
      <c r="J94">
        <f t="shared" si="24"/>
        <v>3562</v>
      </c>
      <c r="K94">
        <f t="shared" si="25"/>
        <v>0</v>
      </c>
      <c r="L94">
        <f t="shared" si="26"/>
        <v>59</v>
      </c>
      <c r="M94">
        <f t="shared" si="27"/>
        <v>22</v>
      </c>
      <c r="N94">
        <f t="shared" si="38"/>
        <v>0</v>
      </c>
      <c r="O94">
        <f t="shared" si="38"/>
        <v>9</v>
      </c>
      <c r="P94">
        <f t="shared" si="38"/>
        <v>32</v>
      </c>
      <c r="Q94">
        <f t="shared" si="32"/>
        <v>572</v>
      </c>
      <c r="R94">
        <f t="shared" si="33"/>
        <v>0</v>
      </c>
      <c r="S94">
        <f t="shared" si="34"/>
        <v>9</v>
      </c>
      <c r="T94">
        <f t="shared" si="35"/>
        <v>32</v>
      </c>
      <c r="U94">
        <f t="shared" si="36"/>
        <v>572</v>
      </c>
      <c r="V94" t="str">
        <f t="shared" si="37"/>
        <v>V:\Tutorials\Programming\Java Spring\Spring Data 2\5. More Spring Data Features\.mkv</v>
      </c>
    </row>
    <row r="95" spans="1:22" hidden="1" x14ac:dyDescent="0.25">
      <c r="A95" t="s">
        <v>3</v>
      </c>
      <c r="B95" t="b">
        <f t="shared" si="21"/>
        <v>0</v>
      </c>
      <c r="C95" t="b">
        <f t="shared" si="31"/>
        <v>0</v>
      </c>
      <c r="D95">
        <f t="shared" si="28"/>
        <v>1</v>
      </c>
      <c r="E95" t="str">
        <f t="shared" si="29"/>
        <v>5. More Spring Data Features</v>
      </c>
      <c r="F95" s="8" t="str">
        <f t="shared" si="20"/>
        <v/>
      </c>
      <c r="G95" t="str">
        <f t="shared" si="22"/>
        <v/>
      </c>
      <c r="H95">
        <f t="shared" si="23"/>
        <v>0</v>
      </c>
      <c r="I95">
        <f t="shared" si="30"/>
        <v>0</v>
      </c>
      <c r="J95">
        <f t="shared" si="24"/>
        <v>3562</v>
      </c>
      <c r="K95">
        <f t="shared" si="25"/>
        <v>0</v>
      </c>
      <c r="L95">
        <f t="shared" si="26"/>
        <v>59</v>
      </c>
      <c r="M95">
        <f t="shared" si="27"/>
        <v>22</v>
      </c>
      <c r="N95">
        <f t="shared" si="38"/>
        <v>0</v>
      </c>
      <c r="O95">
        <f t="shared" si="38"/>
        <v>9</v>
      </c>
      <c r="P95">
        <f t="shared" si="38"/>
        <v>32</v>
      </c>
      <c r="Q95">
        <f t="shared" si="32"/>
        <v>572</v>
      </c>
      <c r="R95">
        <f t="shared" si="33"/>
        <v>0</v>
      </c>
      <c r="S95">
        <f t="shared" si="34"/>
        <v>9</v>
      </c>
      <c r="T95">
        <f t="shared" si="35"/>
        <v>32</v>
      </c>
      <c r="U95">
        <f t="shared" si="36"/>
        <v>572</v>
      </c>
      <c r="V95" t="str">
        <f t="shared" si="37"/>
        <v>V:\Tutorials\Programming\Java Spring\Spring Data 2\5. More Spring Data Features\.mkv</v>
      </c>
    </row>
    <row r="96" spans="1:22" x14ac:dyDescent="0.25">
      <c r="A96" t="s">
        <v>208</v>
      </c>
      <c r="B96" t="b">
        <f t="shared" si="21"/>
        <v>0</v>
      </c>
      <c r="C96" t="b">
        <f t="shared" si="31"/>
        <v>1</v>
      </c>
      <c r="D96">
        <f t="shared" si="28"/>
        <v>2</v>
      </c>
      <c r="E96" t="str">
        <f t="shared" si="29"/>
        <v>5. More Spring Data Features</v>
      </c>
      <c r="F96" s="8" t="str">
        <f t="shared" si="20"/>
        <v>2. Spring Data MongoDB</v>
      </c>
      <c r="G96" t="str">
        <f t="shared" si="22"/>
        <v>6m 47s</v>
      </c>
      <c r="H96">
        <f t="shared" si="23"/>
        <v>6</v>
      </c>
      <c r="I96">
        <f t="shared" si="30"/>
        <v>47</v>
      </c>
      <c r="J96">
        <f t="shared" si="24"/>
        <v>3969</v>
      </c>
      <c r="K96">
        <f t="shared" si="25"/>
        <v>1</v>
      </c>
      <c r="L96">
        <f t="shared" si="26"/>
        <v>6</v>
      </c>
      <c r="M96">
        <f t="shared" si="27"/>
        <v>9</v>
      </c>
      <c r="N96">
        <f t="shared" si="38"/>
        <v>0</v>
      </c>
      <c r="O96">
        <f t="shared" si="38"/>
        <v>9</v>
      </c>
      <c r="P96">
        <v>39</v>
      </c>
      <c r="Q96">
        <f t="shared" si="32"/>
        <v>579</v>
      </c>
      <c r="R96">
        <f t="shared" si="33"/>
        <v>0</v>
      </c>
      <c r="S96">
        <f t="shared" si="34"/>
        <v>16</v>
      </c>
      <c r="T96">
        <f t="shared" si="35"/>
        <v>26</v>
      </c>
      <c r="U96">
        <f t="shared" si="36"/>
        <v>986</v>
      </c>
      <c r="V96" t="str">
        <f t="shared" si="37"/>
        <v>V:\Tutorials\Programming\Java Spring\Spring Data 2\5. More Spring Data Features\2. Spring Data MongoDB.mkv</v>
      </c>
    </row>
    <row r="97" spans="1:22" hidden="1" x14ac:dyDescent="0.25">
      <c r="A97" t="s">
        <v>209</v>
      </c>
      <c r="B97" t="b">
        <f t="shared" si="21"/>
        <v>0</v>
      </c>
      <c r="C97" t="b">
        <f t="shared" si="31"/>
        <v>0</v>
      </c>
      <c r="D97">
        <f t="shared" si="28"/>
        <v>2</v>
      </c>
      <c r="E97" t="str">
        <f t="shared" si="29"/>
        <v>5. More Spring Data Features</v>
      </c>
      <c r="F97" s="8" t="str">
        <f t="shared" si="20"/>
        <v/>
      </c>
      <c r="G97" t="str">
        <f t="shared" si="22"/>
        <v/>
      </c>
      <c r="H97">
        <f t="shared" si="23"/>
        <v>0</v>
      </c>
      <c r="I97">
        <f t="shared" si="30"/>
        <v>0</v>
      </c>
      <c r="J97">
        <f t="shared" si="24"/>
        <v>3969</v>
      </c>
      <c r="K97">
        <f t="shared" si="25"/>
        <v>1</v>
      </c>
      <c r="L97">
        <f t="shared" si="26"/>
        <v>6</v>
      </c>
      <c r="M97">
        <f t="shared" si="27"/>
        <v>9</v>
      </c>
      <c r="N97">
        <f t="shared" si="38"/>
        <v>0</v>
      </c>
      <c r="O97">
        <f t="shared" si="38"/>
        <v>16</v>
      </c>
      <c r="P97">
        <f t="shared" si="38"/>
        <v>26</v>
      </c>
      <c r="Q97">
        <f t="shared" si="32"/>
        <v>986</v>
      </c>
      <c r="R97">
        <f t="shared" si="33"/>
        <v>0</v>
      </c>
      <c r="S97">
        <f t="shared" si="34"/>
        <v>16</v>
      </c>
      <c r="T97">
        <f t="shared" si="35"/>
        <v>26</v>
      </c>
      <c r="U97">
        <f t="shared" si="36"/>
        <v>986</v>
      </c>
      <c r="V97" t="str">
        <f t="shared" si="37"/>
        <v>V:\Tutorials\Programming\Java Spring\Spring Data 2\5. More Spring Data Features\.mkv</v>
      </c>
    </row>
    <row r="98" spans="1:22" hidden="1" x14ac:dyDescent="0.25">
      <c r="A98" t="s">
        <v>3</v>
      </c>
      <c r="B98" t="b">
        <f t="shared" si="21"/>
        <v>0</v>
      </c>
      <c r="C98" t="b">
        <f t="shared" si="31"/>
        <v>0</v>
      </c>
      <c r="D98">
        <f t="shared" si="28"/>
        <v>2</v>
      </c>
      <c r="E98" t="str">
        <f t="shared" si="29"/>
        <v>5. More Spring Data Features</v>
      </c>
      <c r="F98" s="8" t="str">
        <f t="shared" si="20"/>
        <v/>
      </c>
      <c r="G98" t="str">
        <f t="shared" si="22"/>
        <v/>
      </c>
      <c r="H98">
        <f t="shared" si="23"/>
        <v>0</v>
      </c>
      <c r="I98">
        <f t="shared" si="30"/>
        <v>0</v>
      </c>
      <c r="J98">
        <f t="shared" si="24"/>
        <v>3969</v>
      </c>
      <c r="K98">
        <f t="shared" si="25"/>
        <v>1</v>
      </c>
      <c r="L98">
        <f t="shared" si="26"/>
        <v>6</v>
      </c>
      <c r="M98">
        <f t="shared" si="27"/>
        <v>9</v>
      </c>
      <c r="N98">
        <f t="shared" si="38"/>
        <v>0</v>
      </c>
      <c r="O98">
        <f t="shared" si="38"/>
        <v>16</v>
      </c>
      <c r="P98">
        <f t="shared" si="38"/>
        <v>26</v>
      </c>
      <c r="Q98">
        <f t="shared" si="32"/>
        <v>986</v>
      </c>
      <c r="R98">
        <f t="shared" si="33"/>
        <v>0</v>
      </c>
      <c r="S98">
        <f t="shared" si="34"/>
        <v>16</v>
      </c>
      <c r="T98">
        <f t="shared" si="35"/>
        <v>26</v>
      </c>
      <c r="U98">
        <f t="shared" si="36"/>
        <v>986</v>
      </c>
      <c r="V98" t="str">
        <f t="shared" si="37"/>
        <v>V:\Tutorials\Programming\Java Spring\Spring Data 2\5. More Spring Data Features\.mkv</v>
      </c>
    </row>
    <row r="99" spans="1:22" x14ac:dyDescent="0.25">
      <c r="A99" t="s">
        <v>210</v>
      </c>
      <c r="B99" t="b">
        <f t="shared" si="21"/>
        <v>0</v>
      </c>
      <c r="C99" t="b">
        <f t="shared" si="31"/>
        <v>1</v>
      </c>
      <c r="D99">
        <f t="shared" si="28"/>
        <v>3</v>
      </c>
      <c r="E99" t="str">
        <f t="shared" si="29"/>
        <v>5. More Spring Data Features</v>
      </c>
      <c r="F99" s="8" t="str">
        <f t="shared" si="20"/>
        <v>3. Non-blocking Spring Data reactive repositories</v>
      </c>
      <c r="G99" t="str">
        <f t="shared" si="22"/>
        <v>6m 25s</v>
      </c>
      <c r="H99">
        <f t="shared" si="23"/>
        <v>6</v>
      </c>
      <c r="I99">
        <f t="shared" si="30"/>
        <v>25</v>
      </c>
      <c r="J99">
        <f t="shared" si="24"/>
        <v>4354</v>
      </c>
      <c r="K99">
        <f t="shared" si="25"/>
        <v>1</v>
      </c>
      <c r="L99">
        <f t="shared" si="26"/>
        <v>12</v>
      </c>
      <c r="M99">
        <f t="shared" si="27"/>
        <v>34</v>
      </c>
      <c r="N99">
        <f t="shared" si="38"/>
        <v>0</v>
      </c>
      <c r="O99">
        <f t="shared" si="38"/>
        <v>16</v>
      </c>
      <c r="P99">
        <v>33</v>
      </c>
      <c r="Q99">
        <f t="shared" si="32"/>
        <v>993</v>
      </c>
      <c r="R99">
        <f t="shared" si="33"/>
        <v>0</v>
      </c>
      <c r="S99">
        <f t="shared" si="34"/>
        <v>22</v>
      </c>
      <c r="T99">
        <f t="shared" si="35"/>
        <v>58</v>
      </c>
      <c r="U99">
        <f t="shared" si="36"/>
        <v>1378</v>
      </c>
      <c r="V99" t="str">
        <f t="shared" si="37"/>
        <v>V:\Tutorials\Programming\Java Spring\Spring Data 2\5. More Spring Data Features\3. Non-blocking Spring Data reactive repositories.mkv</v>
      </c>
    </row>
    <row r="100" spans="1:22" hidden="1" x14ac:dyDescent="0.25">
      <c r="A100" t="s">
        <v>211</v>
      </c>
      <c r="B100" t="b">
        <f t="shared" si="21"/>
        <v>0</v>
      </c>
      <c r="C100" t="b">
        <f t="shared" si="31"/>
        <v>0</v>
      </c>
      <c r="D100">
        <f t="shared" si="28"/>
        <v>3</v>
      </c>
      <c r="E100" t="str">
        <f t="shared" si="29"/>
        <v>5. More Spring Data Features</v>
      </c>
      <c r="F100" s="8" t="str">
        <f t="shared" si="20"/>
        <v/>
      </c>
      <c r="G100" t="str">
        <f t="shared" si="22"/>
        <v/>
      </c>
      <c r="H100">
        <f t="shared" si="23"/>
        <v>0</v>
      </c>
      <c r="I100">
        <f t="shared" si="30"/>
        <v>0</v>
      </c>
      <c r="J100">
        <f t="shared" si="24"/>
        <v>4354</v>
      </c>
      <c r="K100">
        <f t="shared" si="25"/>
        <v>1</v>
      </c>
      <c r="L100">
        <f t="shared" si="26"/>
        <v>12</v>
      </c>
      <c r="M100">
        <f t="shared" si="27"/>
        <v>34</v>
      </c>
      <c r="N100">
        <f t="shared" si="38"/>
        <v>0</v>
      </c>
      <c r="O100">
        <f t="shared" si="38"/>
        <v>22</v>
      </c>
      <c r="P100">
        <f t="shared" si="38"/>
        <v>58</v>
      </c>
      <c r="Q100">
        <f t="shared" si="32"/>
        <v>1378</v>
      </c>
      <c r="R100">
        <f t="shared" si="33"/>
        <v>0</v>
      </c>
      <c r="S100">
        <f t="shared" si="34"/>
        <v>22</v>
      </c>
      <c r="T100">
        <f t="shared" si="35"/>
        <v>58</v>
      </c>
      <c r="U100">
        <f t="shared" si="36"/>
        <v>1378</v>
      </c>
      <c r="V100" t="str">
        <f t="shared" si="37"/>
        <v>V:\Tutorials\Programming\Java Spring\Spring Data 2\5. More Spring Data Features\.mkv</v>
      </c>
    </row>
    <row r="101" spans="1:22" hidden="1" x14ac:dyDescent="0.25">
      <c r="A101" t="s">
        <v>3</v>
      </c>
      <c r="B101" t="b">
        <f t="shared" si="21"/>
        <v>0</v>
      </c>
      <c r="C101" t="b">
        <f t="shared" si="31"/>
        <v>0</v>
      </c>
      <c r="D101">
        <f t="shared" si="28"/>
        <v>3</v>
      </c>
      <c r="E101" t="str">
        <f t="shared" si="29"/>
        <v>5. More Spring Data Features</v>
      </c>
      <c r="F101" s="8" t="str">
        <f t="shared" si="20"/>
        <v/>
      </c>
      <c r="G101" t="str">
        <f t="shared" si="22"/>
        <v/>
      </c>
      <c r="H101">
        <f t="shared" si="23"/>
        <v>0</v>
      </c>
      <c r="I101">
        <f t="shared" si="30"/>
        <v>0</v>
      </c>
      <c r="J101">
        <f t="shared" si="24"/>
        <v>4354</v>
      </c>
      <c r="K101">
        <f t="shared" si="25"/>
        <v>1</v>
      </c>
      <c r="L101">
        <f t="shared" si="26"/>
        <v>12</v>
      </c>
      <c r="M101">
        <f t="shared" si="27"/>
        <v>34</v>
      </c>
      <c r="N101">
        <f t="shared" si="38"/>
        <v>0</v>
      </c>
      <c r="O101">
        <f t="shared" si="38"/>
        <v>22</v>
      </c>
      <c r="P101">
        <f t="shared" si="38"/>
        <v>58</v>
      </c>
      <c r="Q101">
        <f t="shared" si="32"/>
        <v>1378</v>
      </c>
      <c r="R101">
        <f t="shared" si="33"/>
        <v>0</v>
      </c>
      <c r="S101">
        <f t="shared" si="34"/>
        <v>22</v>
      </c>
      <c r="T101">
        <f t="shared" si="35"/>
        <v>58</v>
      </c>
      <c r="U101">
        <f t="shared" si="36"/>
        <v>1378</v>
      </c>
      <c r="V101" t="str">
        <f t="shared" si="37"/>
        <v>V:\Tutorials\Programming\Java Spring\Spring Data 2\5. More Spring Data Features\.mkv</v>
      </c>
    </row>
    <row r="102" spans="1:22" x14ac:dyDescent="0.25">
      <c r="A102" t="s">
        <v>212</v>
      </c>
      <c r="B102" t="b">
        <f t="shared" si="21"/>
        <v>0</v>
      </c>
      <c r="C102" t="b">
        <f t="shared" si="31"/>
        <v>1</v>
      </c>
      <c r="D102">
        <f t="shared" si="28"/>
        <v>4</v>
      </c>
      <c r="E102" t="str">
        <f t="shared" si="29"/>
        <v>5. More Spring Data Features</v>
      </c>
      <c r="F102" s="8" t="str">
        <f t="shared" si="20"/>
        <v>4. More data source support and features</v>
      </c>
      <c r="G102" t="str">
        <f t="shared" si="22"/>
        <v>2m 39s</v>
      </c>
      <c r="H102">
        <f t="shared" si="23"/>
        <v>2</v>
      </c>
      <c r="I102">
        <f t="shared" si="30"/>
        <v>39</v>
      </c>
      <c r="J102">
        <f t="shared" si="24"/>
        <v>4513</v>
      </c>
      <c r="K102">
        <f t="shared" si="25"/>
        <v>1</v>
      </c>
      <c r="L102">
        <f t="shared" si="26"/>
        <v>15</v>
      </c>
      <c r="M102">
        <f t="shared" si="27"/>
        <v>13</v>
      </c>
      <c r="N102">
        <f t="shared" si="38"/>
        <v>0</v>
      </c>
      <c r="O102">
        <f t="shared" si="38"/>
        <v>22</v>
      </c>
      <c r="P102">
        <f t="shared" si="38"/>
        <v>58</v>
      </c>
      <c r="Q102">
        <f t="shared" si="32"/>
        <v>1378</v>
      </c>
      <c r="R102">
        <f t="shared" si="33"/>
        <v>0</v>
      </c>
      <c r="S102">
        <f t="shared" si="34"/>
        <v>25</v>
      </c>
      <c r="T102">
        <f t="shared" si="35"/>
        <v>37</v>
      </c>
      <c r="U102">
        <f t="shared" si="36"/>
        <v>1537</v>
      </c>
      <c r="V102" t="str">
        <f t="shared" si="37"/>
        <v>V:\Tutorials\Programming\Java Spring\Spring Data 2\5. More Spring Data Features\4. More data source support and features.mkv</v>
      </c>
    </row>
    <row r="103" spans="1:22" hidden="1" x14ac:dyDescent="0.25">
      <c r="A103" t="s">
        <v>213</v>
      </c>
      <c r="B103" t="b">
        <f t="shared" si="21"/>
        <v>0</v>
      </c>
      <c r="C103" t="b">
        <f t="shared" si="31"/>
        <v>0</v>
      </c>
      <c r="D103">
        <f t="shared" si="28"/>
        <v>4</v>
      </c>
      <c r="E103" t="str">
        <f t="shared" si="29"/>
        <v>5. More Spring Data Features</v>
      </c>
      <c r="F103" s="8" t="str">
        <f t="shared" si="20"/>
        <v/>
      </c>
      <c r="G103" t="str">
        <f t="shared" si="22"/>
        <v/>
      </c>
      <c r="H103">
        <f t="shared" si="23"/>
        <v>0</v>
      </c>
      <c r="I103">
        <f t="shared" si="30"/>
        <v>0</v>
      </c>
      <c r="J103">
        <f t="shared" si="24"/>
        <v>4513</v>
      </c>
      <c r="K103">
        <f t="shared" si="25"/>
        <v>1</v>
      </c>
      <c r="L103">
        <f t="shared" si="26"/>
        <v>15</v>
      </c>
      <c r="M103">
        <f t="shared" si="27"/>
        <v>13</v>
      </c>
      <c r="N103">
        <f t="shared" si="38"/>
        <v>0</v>
      </c>
      <c r="O103">
        <f t="shared" si="38"/>
        <v>25</v>
      </c>
      <c r="P103">
        <f t="shared" si="38"/>
        <v>37</v>
      </c>
      <c r="Q103">
        <f t="shared" si="32"/>
        <v>1537</v>
      </c>
      <c r="R103">
        <f t="shared" si="33"/>
        <v>0</v>
      </c>
      <c r="S103">
        <f t="shared" si="34"/>
        <v>25</v>
      </c>
      <c r="T103">
        <f t="shared" si="35"/>
        <v>37</v>
      </c>
      <c r="U103">
        <f t="shared" si="36"/>
        <v>1537</v>
      </c>
      <c r="V103" t="str">
        <f t="shared" si="37"/>
        <v>V:\Tutorials\Programming\Java Spring\Spring Data 2\5. More Spring Data Features\.mkv</v>
      </c>
    </row>
    <row r="104" spans="1:22" hidden="1" x14ac:dyDescent="0.25">
      <c r="A104" t="s">
        <v>3</v>
      </c>
      <c r="B104" t="b">
        <f t="shared" si="21"/>
        <v>0</v>
      </c>
      <c r="C104" t="b">
        <f t="shared" si="31"/>
        <v>0</v>
      </c>
      <c r="D104">
        <f t="shared" si="28"/>
        <v>4</v>
      </c>
      <c r="E104" t="str">
        <f t="shared" si="29"/>
        <v>5. More Spring Data Features</v>
      </c>
      <c r="F104" s="8" t="str">
        <f t="shared" ref="F104:F167" si="39">SUBSTITUTE(IF(C104,D104&amp;". "&amp;A104,""),":"," -")</f>
        <v/>
      </c>
      <c r="G104" t="str">
        <f t="shared" si="22"/>
        <v/>
      </c>
      <c r="H104">
        <f t="shared" si="23"/>
        <v>0</v>
      </c>
      <c r="I104">
        <f t="shared" si="30"/>
        <v>0</v>
      </c>
      <c r="J104">
        <f t="shared" si="24"/>
        <v>4513</v>
      </c>
      <c r="K104">
        <f t="shared" si="25"/>
        <v>1</v>
      </c>
      <c r="L104">
        <f t="shared" si="26"/>
        <v>15</v>
      </c>
      <c r="M104">
        <f t="shared" si="27"/>
        <v>13</v>
      </c>
      <c r="N104">
        <f t="shared" si="38"/>
        <v>0</v>
      </c>
      <c r="O104">
        <f t="shared" si="38"/>
        <v>25</v>
      </c>
      <c r="P104">
        <f t="shared" si="38"/>
        <v>37</v>
      </c>
      <c r="Q104">
        <f t="shared" si="32"/>
        <v>1537</v>
      </c>
      <c r="R104">
        <f t="shared" si="33"/>
        <v>0</v>
      </c>
      <c r="S104">
        <f t="shared" si="34"/>
        <v>25</v>
      </c>
      <c r="T104">
        <f t="shared" si="35"/>
        <v>37</v>
      </c>
      <c r="U104">
        <f t="shared" si="36"/>
        <v>1537</v>
      </c>
      <c r="V104" t="str">
        <f t="shared" si="37"/>
        <v>V:\Tutorials\Programming\Java Spring\Spring Data 2\5. More Spring Data Features\.mkv</v>
      </c>
    </row>
    <row r="105" spans="1:22" hidden="1" x14ac:dyDescent="0.25">
      <c r="A105" t="s">
        <v>12</v>
      </c>
      <c r="B105" t="b">
        <f t="shared" si="21"/>
        <v>0</v>
      </c>
      <c r="C105" t="b">
        <f t="shared" si="31"/>
        <v>0</v>
      </c>
      <c r="D105">
        <f t="shared" si="28"/>
        <v>4</v>
      </c>
      <c r="E105" t="str">
        <f t="shared" si="29"/>
        <v>5. More Spring Data Features</v>
      </c>
      <c r="F105" s="8" t="str">
        <f t="shared" si="39"/>
        <v/>
      </c>
      <c r="G105" t="str">
        <f t="shared" si="22"/>
        <v/>
      </c>
      <c r="H105">
        <f t="shared" si="23"/>
        <v>0</v>
      </c>
      <c r="I105">
        <f t="shared" si="30"/>
        <v>0</v>
      </c>
      <c r="J105">
        <f t="shared" si="24"/>
        <v>4513</v>
      </c>
      <c r="K105">
        <f t="shared" si="25"/>
        <v>1</v>
      </c>
      <c r="L105">
        <f t="shared" si="26"/>
        <v>15</v>
      </c>
      <c r="M105">
        <f t="shared" si="27"/>
        <v>13</v>
      </c>
      <c r="N105">
        <f t="shared" si="38"/>
        <v>0</v>
      </c>
      <c r="O105">
        <f t="shared" si="38"/>
        <v>25</v>
      </c>
      <c r="P105">
        <f t="shared" si="38"/>
        <v>37</v>
      </c>
      <c r="Q105">
        <f t="shared" si="32"/>
        <v>1537</v>
      </c>
      <c r="R105">
        <f t="shared" si="33"/>
        <v>0</v>
      </c>
      <c r="S105">
        <f t="shared" si="34"/>
        <v>25</v>
      </c>
      <c r="T105">
        <f t="shared" si="35"/>
        <v>37</v>
      </c>
      <c r="U105">
        <f t="shared" si="36"/>
        <v>1537</v>
      </c>
      <c r="V105" t="str">
        <f t="shared" si="37"/>
        <v>V:\Tutorials\Programming\Java Spring\Spring Data 2\5. More Spring Data Features\.mkv</v>
      </c>
    </row>
    <row r="106" spans="1:22" hidden="1" x14ac:dyDescent="0.25">
      <c r="A106" t="s">
        <v>193</v>
      </c>
      <c r="B106" t="b">
        <f t="shared" si="21"/>
        <v>0</v>
      </c>
      <c r="C106" t="b">
        <f t="shared" si="31"/>
        <v>0</v>
      </c>
      <c r="D106">
        <f t="shared" si="28"/>
        <v>4</v>
      </c>
      <c r="E106" t="str">
        <f t="shared" si="29"/>
        <v>5. More Spring Data Features</v>
      </c>
      <c r="F106" s="8" t="str">
        <f t="shared" si="39"/>
        <v/>
      </c>
      <c r="G106" t="str">
        <f t="shared" si="22"/>
        <v/>
      </c>
      <c r="H106">
        <f t="shared" si="23"/>
        <v>0</v>
      </c>
      <c r="I106">
        <f t="shared" si="30"/>
        <v>0</v>
      </c>
      <c r="J106">
        <f t="shared" si="24"/>
        <v>4513</v>
      </c>
      <c r="K106">
        <f t="shared" si="25"/>
        <v>1</v>
      </c>
      <c r="L106">
        <f t="shared" si="26"/>
        <v>15</v>
      </c>
      <c r="M106">
        <f t="shared" si="27"/>
        <v>13</v>
      </c>
      <c r="N106">
        <f t="shared" si="38"/>
        <v>0</v>
      </c>
      <c r="O106">
        <f t="shared" si="38"/>
        <v>25</v>
      </c>
      <c r="P106">
        <f t="shared" si="38"/>
        <v>37</v>
      </c>
      <c r="Q106">
        <f t="shared" si="32"/>
        <v>1537</v>
      </c>
      <c r="R106">
        <f t="shared" si="33"/>
        <v>0</v>
      </c>
      <c r="S106">
        <f t="shared" si="34"/>
        <v>25</v>
      </c>
      <c r="T106">
        <f t="shared" si="35"/>
        <v>37</v>
      </c>
      <c r="U106">
        <f t="shared" si="36"/>
        <v>1537</v>
      </c>
      <c r="V106" t="str">
        <f t="shared" si="37"/>
        <v>V:\Tutorials\Programming\Java Spring\Spring Data 2\5. More Spring Data Features\.mkv</v>
      </c>
    </row>
    <row r="107" spans="1:22" hidden="1" x14ac:dyDescent="0.25">
      <c r="B107" t="b">
        <f t="shared" si="21"/>
        <v>0</v>
      </c>
      <c r="C107" t="b">
        <f t="shared" si="31"/>
        <v>0</v>
      </c>
      <c r="D107">
        <f t="shared" si="28"/>
        <v>4</v>
      </c>
      <c r="E107" t="str">
        <f t="shared" si="29"/>
        <v>5. More Spring Data Features</v>
      </c>
      <c r="F107" s="8" t="str">
        <f t="shared" si="39"/>
        <v/>
      </c>
      <c r="G107" t="str">
        <f t="shared" si="22"/>
        <v/>
      </c>
      <c r="H107">
        <f t="shared" si="23"/>
        <v>0</v>
      </c>
      <c r="I107">
        <f t="shared" si="30"/>
        <v>0</v>
      </c>
      <c r="J107">
        <f t="shared" si="24"/>
        <v>4513</v>
      </c>
      <c r="K107">
        <f t="shared" si="25"/>
        <v>1</v>
      </c>
      <c r="L107">
        <f t="shared" si="26"/>
        <v>15</v>
      </c>
      <c r="M107">
        <f t="shared" si="27"/>
        <v>13</v>
      </c>
      <c r="N107">
        <f t="shared" si="38"/>
        <v>0</v>
      </c>
      <c r="O107">
        <f t="shared" si="38"/>
        <v>25</v>
      </c>
      <c r="P107">
        <f t="shared" si="38"/>
        <v>37</v>
      </c>
      <c r="Q107">
        <f t="shared" si="32"/>
        <v>1537</v>
      </c>
      <c r="R107">
        <f t="shared" si="33"/>
        <v>0</v>
      </c>
      <c r="S107">
        <f t="shared" si="34"/>
        <v>25</v>
      </c>
      <c r="T107">
        <f t="shared" si="35"/>
        <v>37</v>
      </c>
      <c r="U107">
        <f t="shared" si="36"/>
        <v>1537</v>
      </c>
      <c r="V107" t="str">
        <f t="shared" si="37"/>
        <v>V:\Tutorials\Programming\Java Spring\Spring Data 2\5. More Spring Data Features\.mkv</v>
      </c>
    </row>
    <row r="108" spans="1:22" hidden="1" x14ac:dyDescent="0.25">
      <c r="A108" t="s">
        <v>98</v>
      </c>
      <c r="B108" t="b">
        <f t="shared" si="21"/>
        <v>1</v>
      </c>
      <c r="C108" t="b">
        <f t="shared" si="31"/>
        <v>0</v>
      </c>
      <c r="D108">
        <f t="shared" si="28"/>
        <v>0</v>
      </c>
      <c r="E108" t="str">
        <f t="shared" si="29"/>
        <v>6. Conclusion</v>
      </c>
      <c r="F108" s="8" t="str">
        <f t="shared" si="39"/>
        <v/>
      </c>
      <c r="G108" t="str">
        <f t="shared" si="22"/>
        <v/>
      </c>
      <c r="H108">
        <f t="shared" si="23"/>
        <v>0</v>
      </c>
      <c r="I108">
        <f t="shared" si="30"/>
        <v>0</v>
      </c>
      <c r="J108">
        <f t="shared" si="24"/>
        <v>4513</v>
      </c>
      <c r="K108">
        <f t="shared" si="25"/>
        <v>1</v>
      </c>
      <c r="L108">
        <f t="shared" si="26"/>
        <v>15</v>
      </c>
      <c r="M108">
        <f t="shared" si="27"/>
        <v>13</v>
      </c>
      <c r="N108">
        <f t="shared" si="38"/>
        <v>0</v>
      </c>
      <c r="O108">
        <f t="shared" si="38"/>
        <v>25</v>
      </c>
      <c r="P108">
        <f t="shared" si="38"/>
        <v>37</v>
      </c>
      <c r="Q108">
        <f t="shared" si="32"/>
        <v>1537</v>
      </c>
      <c r="R108">
        <f t="shared" si="33"/>
        <v>0</v>
      </c>
      <c r="S108">
        <f t="shared" si="34"/>
        <v>25</v>
      </c>
      <c r="T108">
        <f t="shared" si="35"/>
        <v>37</v>
      </c>
      <c r="U108">
        <f t="shared" si="36"/>
        <v>1537</v>
      </c>
      <c r="V108" t="str">
        <f t="shared" si="37"/>
        <v>V:\Tutorials\Programming\Java Spring\Spring Data 2\6. Conclusion\.mkv</v>
      </c>
    </row>
    <row r="109" spans="1:22" hidden="1" x14ac:dyDescent="0.25">
      <c r="B109" t="b">
        <f t="shared" si="21"/>
        <v>0</v>
      </c>
      <c r="C109" t="b">
        <f t="shared" si="31"/>
        <v>0</v>
      </c>
      <c r="D109">
        <f t="shared" si="28"/>
        <v>0</v>
      </c>
      <c r="E109" t="str">
        <f t="shared" si="29"/>
        <v>6. Conclusion</v>
      </c>
      <c r="F109" s="8" t="str">
        <f t="shared" si="39"/>
        <v/>
      </c>
      <c r="G109" t="str">
        <f t="shared" si="22"/>
        <v/>
      </c>
      <c r="H109">
        <f t="shared" si="23"/>
        <v>0</v>
      </c>
      <c r="I109">
        <f t="shared" si="30"/>
        <v>0</v>
      </c>
      <c r="J109">
        <f t="shared" si="24"/>
        <v>4513</v>
      </c>
      <c r="K109">
        <f t="shared" si="25"/>
        <v>1</v>
      </c>
      <c r="L109">
        <f t="shared" si="26"/>
        <v>15</v>
      </c>
      <c r="M109">
        <f t="shared" si="27"/>
        <v>13</v>
      </c>
      <c r="N109">
        <f t="shared" si="38"/>
        <v>0</v>
      </c>
      <c r="O109">
        <f t="shared" si="38"/>
        <v>25</v>
      </c>
      <c r="P109">
        <f t="shared" si="38"/>
        <v>37</v>
      </c>
      <c r="Q109">
        <f t="shared" si="32"/>
        <v>1537</v>
      </c>
      <c r="R109">
        <f t="shared" si="33"/>
        <v>0</v>
      </c>
      <c r="S109">
        <f t="shared" si="34"/>
        <v>25</v>
      </c>
      <c r="T109">
        <f t="shared" si="35"/>
        <v>37</v>
      </c>
      <c r="U109">
        <f t="shared" si="36"/>
        <v>1537</v>
      </c>
      <c r="V109" t="str">
        <f t="shared" si="37"/>
        <v>V:\Tutorials\Programming\Java Spring\Spring Data 2\6. Conclusion\.mkv</v>
      </c>
    </row>
    <row r="110" spans="1:22" x14ac:dyDescent="0.25">
      <c r="A110" t="s">
        <v>214</v>
      </c>
      <c r="B110" t="b">
        <f t="shared" si="21"/>
        <v>0</v>
      </c>
      <c r="C110" t="b">
        <f t="shared" si="31"/>
        <v>1</v>
      </c>
      <c r="D110">
        <f t="shared" si="28"/>
        <v>1</v>
      </c>
      <c r="E110" t="str">
        <f t="shared" si="29"/>
        <v>6. Conclusion</v>
      </c>
      <c r="F110" s="8" t="str">
        <f t="shared" si="39"/>
        <v>1. Next steps with Spring Data</v>
      </c>
      <c r="G110" t="str">
        <f t="shared" si="22"/>
        <v>1m 15s</v>
      </c>
      <c r="H110">
        <f t="shared" si="23"/>
        <v>1</v>
      </c>
      <c r="I110">
        <f t="shared" si="30"/>
        <v>15</v>
      </c>
      <c r="J110">
        <f t="shared" si="24"/>
        <v>4588</v>
      </c>
      <c r="K110">
        <f t="shared" si="25"/>
        <v>1</v>
      </c>
      <c r="L110">
        <f t="shared" si="26"/>
        <v>16</v>
      </c>
      <c r="M110">
        <f t="shared" si="27"/>
        <v>28</v>
      </c>
      <c r="N110">
        <f t="shared" si="38"/>
        <v>0</v>
      </c>
      <c r="O110">
        <v>0</v>
      </c>
      <c r="P110">
        <v>0</v>
      </c>
      <c r="Q110">
        <f t="shared" si="32"/>
        <v>0</v>
      </c>
      <c r="R110">
        <f t="shared" si="33"/>
        <v>0</v>
      </c>
      <c r="S110">
        <f t="shared" si="34"/>
        <v>1</v>
      </c>
      <c r="T110">
        <f t="shared" si="35"/>
        <v>15</v>
      </c>
      <c r="U110">
        <f t="shared" si="36"/>
        <v>75</v>
      </c>
      <c r="V110" t="str">
        <f t="shared" si="37"/>
        <v>V:\Tutorials\Programming\Java Spring\Spring Data 2\6. Conclusion\1. Next steps with Spring Data.mkv</v>
      </c>
    </row>
    <row r="111" spans="1:22" hidden="1" x14ac:dyDescent="0.25">
      <c r="A111" t="s">
        <v>15</v>
      </c>
      <c r="B111" t="b">
        <f t="shared" si="21"/>
        <v>0</v>
      </c>
      <c r="C111" t="b">
        <f t="shared" si="31"/>
        <v>0</v>
      </c>
      <c r="D111">
        <f t="shared" si="28"/>
        <v>1</v>
      </c>
      <c r="E111" t="str">
        <f t="shared" si="29"/>
        <v>6. Conclusion</v>
      </c>
      <c r="F111" s="8" t="str">
        <f t="shared" si="39"/>
        <v/>
      </c>
      <c r="G111" t="str">
        <f t="shared" si="22"/>
        <v/>
      </c>
      <c r="H111">
        <f t="shared" si="23"/>
        <v>0</v>
      </c>
      <c r="I111">
        <f t="shared" si="30"/>
        <v>0</v>
      </c>
      <c r="J111">
        <f t="shared" si="24"/>
        <v>4588</v>
      </c>
      <c r="K111">
        <f t="shared" si="25"/>
        <v>1</v>
      </c>
      <c r="L111">
        <f t="shared" si="26"/>
        <v>16</v>
      </c>
      <c r="M111">
        <f t="shared" si="27"/>
        <v>28</v>
      </c>
      <c r="N111">
        <f t="shared" si="38"/>
        <v>0</v>
      </c>
      <c r="O111">
        <f t="shared" si="38"/>
        <v>1</v>
      </c>
      <c r="P111">
        <f t="shared" si="38"/>
        <v>15</v>
      </c>
      <c r="Q111">
        <f t="shared" si="32"/>
        <v>75</v>
      </c>
      <c r="R111">
        <f t="shared" si="33"/>
        <v>0</v>
      </c>
      <c r="S111">
        <f t="shared" si="34"/>
        <v>1</v>
      </c>
      <c r="T111">
        <f t="shared" si="35"/>
        <v>15</v>
      </c>
      <c r="U111">
        <f t="shared" si="36"/>
        <v>75</v>
      </c>
      <c r="V111" t="str">
        <f t="shared" si="37"/>
        <v>V:\Tutorials\Programming\Java Spring\Spring Data 2\6. Conclusion\.mkv</v>
      </c>
    </row>
    <row r="112" spans="1:22" hidden="1" x14ac:dyDescent="0.25">
      <c r="B112" t="b">
        <f t="shared" si="21"/>
        <v>0</v>
      </c>
      <c r="C112" t="b">
        <f t="shared" si="31"/>
        <v>0</v>
      </c>
      <c r="D112">
        <f t="shared" si="28"/>
        <v>1</v>
      </c>
      <c r="E112" t="str">
        <f t="shared" si="29"/>
        <v>6. Conclusion</v>
      </c>
      <c r="F112" s="8" t="str">
        <f t="shared" si="39"/>
        <v/>
      </c>
      <c r="G112" t="str">
        <f t="shared" si="22"/>
        <v/>
      </c>
      <c r="H112">
        <f t="shared" si="23"/>
        <v>0</v>
      </c>
      <c r="I112">
        <f t="shared" si="30"/>
        <v>0</v>
      </c>
      <c r="J112">
        <f t="shared" si="24"/>
        <v>4588</v>
      </c>
      <c r="K112">
        <f t="shared" si="25"/>
        <v>1</v>
      </c>
      <c r="L112">
        <f t="shared" si="26"/>
        <v>16</v>
      </c>
      <c r="M112">
        <f t="shared" si="27"/>
        <v>28</v>
      </c>
      <c r="N112">
        <f t="shared" si="38"/>
        <v>0</v>
      </c>
      <c r="O112">
        <f t="shared" si="38"/>
        <v>1</v>
      </c>
      <c r="P112">
        <f t="shared" si="38"/>
        <v>15</v>
      </c>
      <c r="Q112">
        <f t="shared" si="32"/>
        <v>75</v>
      </c>
      <c r="R112">
        <f t="shared" si="33"/>
        <v>0</v>
      </c>
      <c r="S112">
        <f t="shared" si="34"/>
        <v>1</v>
      </c>
      <c r="T112">
        <f t="shared" si="35"/>
        <v>15</v>
      </c>
      <c r="U112">
        <f t="shared" si="36"/>
        <v>75</v>
      </c>
    </row>
    <row r="113" spans="2:21" hidden="1" x14ac:dyDescent="0.25">
      <c r="B113" t="b">
        <f t="shared" si="21"/>
        <v>0</v>
      </c>
      <c r="C113" t="b">
        <f t="shared" si="31"/>
        <v>0</v>
      </c>
      <c r="D113">
        <f t="shared" si="28"/>
        <v>1</v>
      </c>
      <c r="E113" t="str">
        <f t="shared" si="29"/>
        <v>6. Conclusion</v>
      </c>
      <c r="F113" s="8" t="str">
        <f t="shared" si="39"/>
        <v/>
      </c>
      <c r="G113" t="str">
        <f t="shared" si="22"/>
        <v/>
      </c>
      <c r="H113">
        <f t="shared" si="23"/>
        <v>0</v>
      </c>
      <c r="I113">
        <f t="shared" si="30"/>
        <v>0</v>
      </c>
      <c r="J113">
        <f t="shared" si="24"/>
        <v>4588</v>
      </c>
      <c r="K113">
        <f t="shared" si="25"/>
        <v>1</v>
      </c>
      <c r="L113">
        <f t="shared" si="26"/>
        <v>16</v>
      </c>
      <c r="M113">
        <f t="shared" si="27"/>
        <v>28</v>
      </c>
      <c r="N113">
        <f t="shared" si="38"/>
        <v>0</v>
      </c>
      <c r="O113">
        <f t="shared" si="38"/>
        <v>1</v>
      </c>
      <c r="P113">
        <f t="shared" si="38"/>
        <v>15</v>
      </c>
      <c r="Q113">
        <f t="shared" si="32"/>
        <v>75</v>
      </c>
      <c r="R113">
        <f t="shared" si="33"/>
        <v>0</v>
      </c>
      <c r="S113">
        <f t="shared" si="34"/>
        <v>1</v>
      </c>
      <c r="T113">
        <f t="shared" si="35"/>
        <v>15</v>
      </c>
      <c r="U113">
        <f t="shared" si="36"/>
        <v>75</v>
      </c>
    </row>
    <row r="114" spans="2:21" hidden="1" x14ac:dyDescent="0.25">
      <c r="B114" t="b">
        <f t="shared" si="21"/>
        <v>0</v>
      </c>
      <c r="C114" t="b">
        <f t="shared" si="31"/>
        <v>0</v>
      </c>
      <c r="D114">
        <f t="shared" si="28"/>
        <v>1</v>
      </c>
      <c r="E114" t="str">
        <f t="shared" si="29"/>
        <v>6. Conclusion</v>
      </c>
      <c r="F114" s="8" t="str">
        <f t="shared" si="39"/>
        <v/>
      </c>
      <c r="G114" t="str">
        <f t="shared" si="22"/>
        <v/>
      </c>
      <c r="H114">
        <f t="shared" si="23"/>
        <v>0</v>
      </c>
      <c r="I114">
        <f t="shared" si="30"/>
        <v>0</v>
      </c>
      <c r="J114">
        <f t="shared" si="24"/>
        <v>4588</v>
      </c>
      <c r="K114">
        <f t="shared" si="25"/>
        <v>1</v>
      </c>
      <c r="L114">
        <f t="shared" si="26"/>
        <v>16</v>
      </c>
      <c r="M114">
        <f t="shared" si="27"/>
        <v>28</v>
      </c>
      <c r="N114">
        <f t="shared" si="38"/>
        <v>0</v>
      </c>
      <c r="O114">
        <f t="shared" si="38"/>
        <v>1</v>
      </c>
      <c r="P114">
        <f t="shared" si="38"/>
        <v>15</v>
      </c>
      <c r="Q114">
        <f t="shared" si="32"/>
        <v>75</v>
      </c>
      <c r="R114">
        <f t="shared" si="33"/>
        <v>0</v>
      </c>
      <c r="S114">
        <f t="shared" si="34"/>
        <v>1</v>
      </c>
      <c r="T114">
        <f t="shared" si="35"/>
        <v>15</v>
      </c>
      <c r="U114">
        <f t="shared" si="36"/>
        <v>75</v>
      </c>
    </row>
    <row r="115" spans="2:21" hidden="1" x14ac:dyDescent="0.25">
      <c r="B115" t="b">
        <f t="shared" si="21"/>
        <v>0</v>
      </c>
      <c r="C115" t="b">
        <f t="shared" si="31"/>
        <v>0</v>
      </c>
      <c r="D115">
        <f t="shared" si="28"/>
        <v>1</v>
      </c>
      <c r="E115" t="str">
        <f t="shared" si="29"/>
        <v>6. Conclusion</v>
      </c>
      <c r="F115" s="8" t="str">
        <f t="shared" si="39"/>
        <v/>
      </c>
      <c r="G115" t="str">
        <f t="shared" si="22"/>
        <v/>
      </c>
      <c r="H115">
        <f t="shared" si="23"/>
        <v>0</v>
      </c>
      <c r="I115">
        <f t="shared" si="30"/>
        <v>0</v>
      </c>
      <c r="J115">
        <f t="shared" si="24"/>
        <v>4588</v>
      </c>
      <c r="K115">
        <f t="shared" si="25"/>
        <v>1</v>
      </c>
      <c r="L115">
        <f t="shared" si="26"/>
        <v>16</v>
      </c>
      <c r="M115">
        <f t="shared" si="27"/>
        <v>28</v>
      </c>
      <c r="N115">
        <f t="shared" si="38"/>
        <v>0</v>
      </c>
      <c r="O115">
        <f t="shared" si="38"/>
        <v>1</v>
      </c>
      <c r="P115">
        <f t="shared" si="38"/>
        <v>15</v>
      </c>
      <c r="Q115">
        <f t="shared" si="32"/>
        <v>75</v>
      </c>
      <c r="R115">
        <f t="shared" si="33"/>
        <v>0</v>
      </c>
      <c r="S115">
        <f t="shared" si="34"/>
        <v>1</v>
      </c>
      <c r="T115">
        <f t="shared" si="35"/>
        <v>15</v>
      </c>
      <c r="U115">
        <f t="shared" si="36"/>
        <v>75</v>
      </c>
    </row>
    <row r="116" spans="2:21" hidden="1" x14ac:dyDescent="0.25">
      <c r="B116" t="b">
        <f t="shared" si="21"/>
        <v>0</v>
      </c>
      <c r="C116" t="b">
        <f t="shared" si="31"/>
        <v>0</v>
      </c>
      <c r="D116">
        <f t="shared" si="28"/>
        <v>1</v>
      </c>
      <c r="E116" t="str">
        <f t="shared" si="29"/>
        <v>6. Conclusion</v>
      </c>
      <c r="F116" s="8" t="str">
        <f t="shared" si="39"/>
        <v/>
      </c>
      <c r="G116" t="str">
        <f t="shared" si="22"/>
        <v/>
      </c>
      <c r="H116">
        <f t="shared" si="23"/>
        <v>0</v>
      </c>
      <c r="I116">
        <f t="shared" si="30"/>
        <v>0</v>
      </c>
      <c r="J116">
        <f t="shared" si="24"/>
        <v>4588</v>
      </c>
      <c r="K116">
        <f t="shared" si="25"/>
        <v>1</v>
      </c>
      <c r="L116">
        <f t="shared" si="26"/>
        <v>16</v>
      </c>
      <c r="M116">
        <f t="shared" si="27"/>
        <v>28</v>
      </c>
      <c r="N116">
        <f t="shared" si="38"/>
        <v>0</v>
      </c>
      <c r="O116">
        <f t="shared" si="38"/>
        <v>1</v>
      </c>
      <c r="P116">
        <f t="shared" si="38"/>
        <v>15</v>
      </c>
      <c r="Q116">
        <f t="shared" si="32"/>
        <v>75</v>
      </c>
      <c r="R116">
        <f t="shared" si="33"/>
        <v>0</v>
      </c>
      <c r="S116">
        <f t="shared" si="34"/>
        <v>1</v>
      </c>
      <c r="T116">
        <f t="shared" si="35"/>
        <v>15</v>
      </c>
      <c r="U116">
        <f t="shared" si="36"/>
        <v>75</v>
      </c>
    </row>
    <row r="117" spans="2:21" hidden="1" x14ac:dyDescent="0.25">
      <c r="B117" t="b">
        <f t="shared" si="21"/>
        <v>0</v>
      </c>
      <c r="C117" t="b">
        <f t="shared" si="31"/>
        <v>0</v>
      </c>
      <c r="D117">
        <f t="shared" si="28"/>
        <v>1</v>
      </c>
      <c r="E117" t="str">
        <f t="shared" si="29"/>
        <v>6. Conclusion</v>
      </c>
      <c r="F117" s="8" t="str">
        <f t="shared" si="39"/>
        <v/>
      </c>
      <c r="G117" t="str">
        <f t="shared" si="22"/>
        <v/>
      </c>
      <c r="H117">
        <f t="shared" si="23"/>
        <v>0</v>
      </c>
      <c r="I117">
        <f t="shared" si="30"/>
        <v>0</v>
      </c>
      <c r="J117">
        <f t="shared" si="24"/>
        <v>4588</v>
      </c>
      <c r="K117">
        <f t="shared" si="25"/>
        <v>1</v>
      </c>
      <c r="L117">
        <f t="shared" si="26"/>
        <v>16</v>
      </c>
      <c r="M117">
        <f t="shared" si="27"/>
        <v>28</v>
      </c>
      <c r="N117">
        <f t="shared" si="38"/>
        <v>0</v>
      </c>
      <c r="O117">
        <f t="shared" si="38"/>
        <v>1</v>
      </c>
      <c r="P117">
        <f t="shared" si="38"/>
        <v>15</v>
      </c>
      <c r="Q117">
        <f t="shared" si="32"/>
        <v>75</v>
      </c>
      <c r="R117">
        <f t="shared" si="33"/>
        <v>0</v>
      </c>
      <c r="S117">
        <f t="shared" si="34"/>
        <v>1</v>
      </c>
      <c r="T117">
        <f t="shared" si="35"/>
        <v>15</v>
      </c>
      <c r="U117">
        <f t="shared" si="36"/>
        <v>75</v>
      </c>
    </row>
    <row r="118" spans="2:21" hidden="1" x14ac:dyDescent="0.25">
      <c r="B118" t="b">
        <f t="shared" si="21"/>
        <v>0</v>
      </c>
      <c r="C118" t="b">
        <f t="shared" si="31"/>
        <v>0</v>
      </c>
      <c r="D118">
        <f t="shared" si="28"/>
        <v>1</v>
      </c>
      <c r="E118" t="str">
        <f t="shared" si="29"/>
        <v>6. Conclusion</v>
      </c>
      <c r="F118" s="8" t="str">
        <f t="shared" si="39"/>
        <v/>
      </c>
      <c r="G118" t="str">
        <f t="shared" si="22"/>
        <v/>
      </c>
      <c r="H118">
        <f t="shared" si="23"/>
        <v>0</v>
      </c>
      <c r="I118">
        <f t="shared" si="30"/>
        <v>0</v>
      </c>
      <c r="J118">
        <f t="shared" si="24"/>
        <v>4588</v>
      </c>
      <c r="K118">
        <f t="shared" si="25"/>
        <v>1</v>
      </c>
      <c r="L118">
        <f t="shared" si="26"/>
        <v>16</v>
      </c>
      <c r="M118">
        <f t="shared" si="27"/>
        <v>28</v>
      </c>
      <c r="N118">
        <f t="shared" si="38"/>
        <v>0</v>
      </c>
      <c r="O118">
        <f t="shared" si="38"/>
        <v>1</v>
      </c>
      <c r="P118">
        <f t="shared" si="38"/>
        <v>15</v>
      </c>
      <c r="Q118">
        <f t="shared" si="32"/>
        <v>75</v>
      </c>
      <c r="R118">
        <f t="shared" si="33"/>
        <v>0</v>
      </c>
      <c r="S118">
        <f t="shared" si="34"/>
        <v>1</v>
      </c>
      <c r="T118">
        <f t="shared" si="35"/>
        <v>15</v>
      </c>
      <c r="U118">
        <f t="shared" si="36"/>
        <v>75</v>
      </c>
    </row>
    <row r="119" spans="2:21" hidden="1" x14ac:dyDescent="0.25">
      <c r="B119" t="b">
        <f t="shared" si="21"/>
        <v>0</v>
      </c>
      <c r="C119" t="b">
        <f t="shared" si="31"/>
        <v>0</v>
      </c>
      <c r="D119">
        <f t="shared" si="28"/>
        <v>1</v>
      </c>
      <c r="E119" t="str">
        <f t="shared" si="29"/>
        <v>6. Conclusion</v>
      </c>
      <c r="F119" s="8" t="str">
        <f t="shared" si="39"/>
        <v/>
      </c>
      <c r="G119" t="str">
        <f t="shared" si="22"/>
        <v/>
      </c>
      <c r="H119">
        <f t="shared" si="23"/>
        <v>0</v>
      </c>
      <c r="I119">
        <f t="shared" si="30"/>
        <v>0</v>
      </c>
      <c r="J119">
        <f t="shared" si="24"/>
        <v>4588</v>
      </c>
      <c r="K119">
        <f t="shared" si="25"/>
        <v>1</v>
      </c>
      <c r="L119">
        <f t="shared" si="26"/>
        <v>16</v>
      </c>
      <c r="M119">
        <f t="shared" si="27"/>
        <v>28</v>
      </c>
      <c r="N119">
        <f t="shared" si="38"/>
        <v>0</v>
      </c>
      <c r="O119">
        <f t="shared" si="38"/>
        <v>1</v>
      </c>
      <c r="P119">
        <f t="shared" si="38"/>
        <v>15</v>
      </c>
      <c r="Q119">
        <f t="shared" si="32"/>
        <v>75</v>
      </c>
      <c r="R119">
        <f t="shared" si="33"/>
        <v>0</v>
      </c>
      <c r="S119">
        <f t="shared" si="34"/>
        <v>1</v>
      </c>
      <c r="T119">
        <f t="shared" si="35"/>
        <v>15</v>
      </c>
      <c r="U119">
        <f t="shared" si="36"/>
        <v>75</v>
      </c>
    </row>
    <row r="120" spans="2:21" hidden="1" x14ac:dyDescent="0.25">
      <c r="B120" t="b">
        <f t="shared" si="21"/>
        <v>0</v>
      </c>
      <c r="C120" t="b">
        <f t="shared" si="31"/>
        <v>0</v>
      </c>
      <c r="D120">
        <f t="shared" si="28"/>
        <v>1</v>
      </c>
      <c r="E120" t="str">
        <f t="shared" si="29"/>
        <v>6. Conclusion</v>
      </c>
      <c r="F120" s="8" t="str">
        <f t="shared" si="39"/>
        <v/>
      </c>
      <c r="G120" t="str">
        <f t="shared" si="22"/>
        <v/>
      </c>
      <c r="H120">
        <f t="shared" si="23"/>
        <v>0</v>
      </c>
      <c r="I120">
        <f t="shared" si="30"/>
        <v>0</v>
      </c>
      <c r="J120">
        <f t="shared" si="24"/>
        <v>4588</v>
      </c>
      <c r="K120">
        <f t="shared" si="25"/>
        <v>1</v>
      </c>
      <c r="L120">
        <f t="shared" si="26"/>
        <v>16</v>
      </c>
      <c r="M120">
        <f t="shared" si="27"/>
        <v>28</v>
      </c>
      <c r="N120">
        <f t="shared" si="38"/>
        <v>0</v>
      </c>
      <c r="O120">
        <f t="shared" si="38"/>
        <v>1</v>
      </c>
      <c r="P120">
        <f t="shared" si="38"/>
        <v>15</v>
      </c>
      <c r="Q120">
        <f t="shared" si="32"/>
        <v>75</v>
      </c>
      <c r="R120">
        <f t="shared" si="33"/>
        <v>0</v>
      </c>
      <c r="S120">
        <f t="shared" si="34"/>
        <v>1</v>
      </c>
      <c r="T120">
        <f t="shared" si="35"/>
        <v>15</v>
      </c>
      <c r="U120">
        <f t="shared" si="36"/>
        <v>75</v>
      </c>
    </row>
    <row r="121" spans="2:21" hidden="1" x14ac:dyDescent="0.25">
      <c r="B121" t="b">
        <f t="shared" si="21"/>
        <v>0</v>
      </c>
      <c r="C121" t="b">
        <f t="shared" si="31"/>
        <v>0</v>
      </c>
      <c r="D121">
        <f t="shared" si="28"/>
        <v>1</v>
      </c>
      <c r="E121" t="str">
        <f t="shared" si="29"/>
        <v>6. Conclusion</v>
      </c>
      <c r="F121" s="8" t="str">
        <f t="shared" si="39"/>
        <v/>
      </c>
      <c r="G121" t="str">
        <f t="shared" si="22"/>
        <v/>
      </c>
      <c r="H121">
        <f t="shared" si="23"/>
        <v>0</v>
      </c>
      <c r="I121">
        <f t="shared" si="30"/>
        <v>0</v>
      </c>
      <c r="J121">
        <f t="shared" si="24"/>
        <v>4588</v>
      </c>
      <c r="K121">
        <f t="shared" si="25"/>
        <v>1</v>
      </c>
      <c r="L121">
        <f t="shared" si="26"/>
        <v>16</v>
      </c>
      <c r="M121">
        <f t="shared" si="27"/>
        <v>28</v>
      </c>
      <c r="N121">
        <f t="shared" si="38"/>
        <v>0</v>
      </c>
      <c r="O121">
        <f t="shared" si="38"/>
        <v>1</v>
      </c>
      <c r="P121">
        <f t="shared" si="38"/>
        <v>15</v>
      </c>
      <c r="Q121">
        <f t="shared" si="32"/>
        <v>75</v>
      </c>
      <c r="R121">
        <f t="shared" si="33"/>
        <v>0</v>
      </c>
      <c r="S121">
        <f t="shared" si="34"/>
        <v>1</v>
      </c>
      <c r="T121">
        <f t="shared" si="35"/>
        <v>15</v>
      </c>
      <c r="U121">
        <f t="shared" si="36"/>
        <v>75</v>
      </c>
    </row>
    <row r="122" spans="2:21" hidden="1" x14ac:dyDescent="0.25">
      <c r="B122" t="b">
        <f t="shared" si="21"/>
        <v>0</v>
      </c>
      <c r="C122" t="b">
        <f t="shared" si="31"/>
        <v>0</v>
      </c>
      <c r="D122">
        <f t="shared" si="28"/>
        <v>1</v>
      </c>
      <c r="E122" t="str">
        <f t="shared" si="29"/>
        <v>6. Conclusion</v>
      </c>
      <c r="F122" s="8" t="str">
        <f t="shared" si="39"/>
        <v/>
      </c>
      <c r="G122" t="str">
        <f t="shared" si="22"/>
        <v/>
      </c>
      <c r="H122">
        <f t="shared" si="23"/>
        <v>0</v>
      </c>
      <c r="I122">
        <f t="shared" si="30"/>
        <v>0</v>
      </c>
      <c r="J122">
        <f t="shared" si="24"/>
        <v>4588</v>
      </c>
      <c r="K122">
        <f t="shared" si="25"/>
        <v>1</v>
      </c>
      <c r="L122">
        <f t="shared" si="26"/>
        <v>16</v>
      </c>
      <c r="M122">
        <f t="shared" si="27"/>
        <v>28</v>
      </c>
      <c r="N122">
        <f t="shared" si="38"/>
        <v>0</v>
      </c>
      <c r="O122">
        <f t="shared" si="38"/>
        <v>1</v>
      </c>
      <c r="P122">
        <f t="shared" si="38"/>
        <v>15</v>
      </c>
      <c r="Q122">
        <f t="shared" si="32"/>
        <v>75</v>
      </c>
      <c r="R122">
        <f t="shared" si="33"/>
        <v>0</v>
      </c>
      <c r="S122">
        <f t="shared" si="34"/>
        <v>1</v>
      </c>
      <c r="T122">
        <f t="shared" si="35"/>
        <v>15</v>
      </c>
      <c r="U122">
        <f t="shared" si="36"/>
        <v>75</v>
      </c>
    </row>
    <row r="123" spans="2:21" hidden="1" x14ac:dyDescent="0.25">
      <c r="B123" t="b">
        <f t="shared" si="21"/>
        <v>0</v>
      </c>
      <c r="C123" t="b">
        <f t="shared" si="31"/>
        <v>0</v>
      </c>
      <c r="D123">
        <f t="shared" si="28"/>
        <v>1</v>
      </c>
      <c r="E123" t="str">
        <f t="shared" si="29"/>
        <v>6. Conclusion</v>
      </c>
      <c r="F123" s="8" t="str">
        <f t="shared" si="39"/>
        <v/>
      </c>
      <c r="G123" t="str">
        <f t="shared" si="22"/>
        <v/>
      </c>
      <c r="H123">
        <f t="shared" si="23"/>
        <v>0</v>
      </c>
      <c r="I123">
        <f t="shared" si="30"/>
        <v>0</v>
      </c>
      <c r="J123">
        <f t="shared" si="24"/>
        <v>4588</v>
      </c>
      <c r="K123">
        <f t="shared" si="25"/>
        <v>1</v>
      </c>
      <c r="L123">
        <f t="shared" si="26"/>
        <v>16</v>
      </c>
      <c r="M123">
        <f t="shared" si="27"/>
        <v>28</v>
      </c>
      <c r="N123">
        <f t="shared" si="38"/>
        <v>0</v>
      </c>
      <c r="O123">
        <f t="shared" si="38"/>
        <v>1</v>
      </c>
      <c r="P123">
        <f t="shared" si="38"/>
        <v>15</v>
      </c>
      <c r="Q123">
        <f t="shared" si="32"/>
        <v>75</v>
      </c>
      <c r="R123">
        <f t="shared" si="33"/>
        <v>0</v>
      </c>
      <c r="S123">
        <f t="shared" si="34"/>
        <v>1</v>
      </c>
      <c r="T123">
        <f t="shared" si="35"/>
        <v>15</v>
      </c>
      <c r="U123">
        <f t="shared" si="36"/>
        <v>75</v>
      </c>
    </row>
    <row r="124" spans="2:21" hidden="1" x14ac:dyDescent="0.25">
      <c r="B124" t="b">
        <f t="shared" si="21"/>
        <v>0</v>
      </c>
      <c r="C124" t="b">
        <f t="shared" si="31"/>
        <v>0</v>
      </c>
      <c r="D124">
        <f t="shared" si="28"/>
        <v>1</v>
      </c>
      <c r="E124" t="str">
        <f t="shared" si="29"/>
        <v>6. Conclusion</v>
      </c>
      <c r="F124" s="8" t="str">
        <f t="shared" si="39"/>
        <v/>
      </c>
      <c r="G124" t="str">
        <f t="shared" si="22"/>
        <v/>
      </c>
      <c r="H124">
        <f t="shared" si="23"/>
        <v>0</v>
      </c>
      <c r="I124">
        <f t="shared" si="30"/>
        <v>0</v>
      </c>
      <c r="J124">
        <f t="shared" si="24"/>
        <v>4588</v>
      </c>
      <c r="K124">
        <f t="shared" si="25"/>
        <v>1</v>
      </c>
      <c r="L124">
        <f t="shared" si="26"/>
        <v>16</v>
      </c>
      <c r="M124">
        <f t="shared" si="27"/>
        <v>28</v>
      </c>
      <c r="N124">
        <f t="shared" si="38"/>
        <v>0</v>
      </c>
      <c r="O124">
        <f t="shared" si="38"/>
        <v>1</v>
      </c>
      <c r="P124">
        <f t="shared" si="38"/>
        <v>15</v>
      </c>
      <c r="Q124">
        <f t="shared" si="32"/>
        <v>75</v>
      </c>
      <c r="R124">
        <f t="shared" si="33"/>
        <v>0</v>
      </c>
      <c r="S124">
        <f t="shared" si="34"/>
        <v>1</v>
      </c>
      <c r="T124">
        <f t="shared" si="35"/>
        <v>15</v>
      </c>
      <c r="U124">
        <f t="shared" si="36"/>
        <v>75</v>
      </c>
    </row>
    <row r="125" spans="2:21" hidden="1" x14ac:dyDescent="0.25">
      <c r="B125" t="b">
        <f t="shared" si="21"/>
        <v>0</v>
      </c>
      <c r="C125" t="b">
        <f t="shared" si="31"/>
        <v>0</v>
      </c>
      <c r="D125">
        <f t="shared" si="28"/>
        <v>1</v>
      </c>
      <c r="E125" t="str">
        <f t="shared" si="29"/>
        <v>6. Conclusion</v>
      </c>
      <c r="F125" s="8" t="str">
        <f t="shared" si="39"/>
        <v/>
      </c>
      <c r="G125" t="str">
        <f t="shared" si="22"/>
        <v/>
      </c>
      <c r="H125">
        <f t="shared" si="23"/>
        <v>0</v>
      </c>
      <c r="I125">
        <f t="shared" si="30"/>
        <v>0</v>
      </c>
      <c r="J125">
        <f t="shared" si="24"/>
        <v>4588</v>
      </c>
      <c r="K125">
        <f t="shared" si="25"/>
        <v>1</v>
      </c>
      <c r="L125">
        <f t="shared" si="26"/>
        <v>16</v>
      </c>
      <c r="M125">
        <f t="shared" si="27"/>
        <v>28</v>
      </c>
      <c r="N125">
        <f t="shared" si="38"/>
        <v>0</v>
      </c>
      <c r="O125">
        <f t="shared" si="38"/>
        <v>1</v>
      </c>
      <c r="P125">
        <f t="shared" si="38"/>
        <v>15</v>
      </c>
      <c r="Q125">
        <f t="shared" si="32"/>
        <v>75</v>
      </c>
      <c r="R125">
        <f t="shared" si="33"/>
        <v>0</v>
      </c>
      <c r="S125">
        <f t="shared" si="34"/>
        <v>1</v>
      </c>
      <c r="T125">
        <f t="shared" si="35"/>
        <v>15</v>
      </c>
      <c r="U125">
        <f t="shared" si="36"/>
        <v>75</v>
      </c>
    </row>
    <row r="126" spans="2:21" hidden="1" x14ac:dyDescent="0.25">
      <c r="B126" t="b">
        <f t="shared" si="21"/>
        <v>0</v>
      </c>
      <c r="C126" t="b">
        <f t="shared" si="31"/>
        <v>0</v>
      </c>
      <c r="D126">
        <f t="shared" si="28"/>
        <v>1</v>
      </c>
      <c r="E126" t="str">
        <f t="shared" si="29"/>
        <v>6. Conclusion</v>
      </c>
      <c r="F126" s="8" t="str">
        <f t="shared" si="39"/>
        <v/>
      </c>
      <c r="G126" t="str">
        <f t="shared" si="22"/>
        <v/>
      </c>
      <c r="H126">
        <f t="shared" si="23"/>
        <v>0</v>
      </c>
      <c r="I126">
        <f t="shared" si="30"/>
        <v>0</v>
      </c>
      <c r="J126">
        <f t="shared" si="24"/>
        <v>4588</v>
      </c>
      <c r="K126">
        <f t="shared" si="25"/>
        <v>1</v>
      </c>
      <c r="L126">
        <f t="shared" si="26"/>
        <v>16</v>
      </c>
      <c r="M126">
        <f t="shared" si="27"/>
        <v>28</v>
      </c>
      <c r="N126">
        <f t="shared" si="38"/>
        <v>0</v>
      </c>
      <c r="O126">
        <f t="shared" si="38"/>
        <v>1</v>
      </c>
      <c r="P126">
        <f t="shared" si="38"/>
        <v>15</v>
      </c>
      <c r="Q126">
        <f t="shared" si="32"/>
        <v>75</v>
      </c>
      <c r="R126">
        <f t="shared" si="33"/>
        <v>0</v>
      </c>
      <c r="S126">
        <f t="shared" si="34"/>
        <v>1</v>
      </c>
      <c r="T126">
        <f t="shared" si="35"/>
        <v>15</v>
      </c>
      <c r="U126">
        <f t="shared" si="36"/>
        <v>75</v>
      </c>
    </row>
    <row r="127" spans="2:21" hidden="1" x14ac:dyDescent="0.25">
      <c r="B127" t="b">
        <f t="shared" si="21"/>
        <v>0</v>
      </c>
      <c r="C127" t="b">
        <f t="shared" si="31"/>
        <v>0</v>
      </c>
      <c r="D127">
        <f t="shared" si="28"/>
        <v>1</v>
      </c>
      <c r="E127" t="str">
        <f t="shared" si="29"/>
        <v>6. Conclusion</v>
      </c>
      <c r="F127" s="8" t="str">
        <f t="shared" si="39"/>
        <v/>
      </c>
      <c r="G127" t="str">
        <f t="shared" si="22"/>
        <v/>
      </c>
      <c r="H127">
        <f t="shared" si="23"/>
        <v>0</v>
      </c>
      <c r="I127">
        <f t="shared" si="30"/>
        <v>0</v>
      </c>
      <c r="J127">
        <f t="shared" si="24"/>
        <v>4588</v>
      </c>
      <c r="K127">
        <f t="shared" si="25"/>
        <v>1</v>
      </c>
      <c r="L127">
        <f t="shared" si="26"/>
        <v>16</v>
      </c>
      <c r="M127">
        <f t="shared" si="27"/>
        <v>28</v>
      </c>
      <c r="N127">
        <f t="shared" si="38"/>
        <v>0</v>
      </c>
      <c r="O127">
        <f t="shared" si="38"/>
        <v>1</v>
      </c>
      <c r="P127">
        <f t="shared" si="38"/>
        <v>15</v>
      </c>
      <c r="Q127">
        <f t="shared" si="32"/>
        <v>75</v>
      </c>
      <c r="R127">
        <f t="shared" si="33"/>
        <v>0</v>
      </c>
      <c r="S127">
        <f t="shared" si="34"/>
        <v>1</v>
      </c>
      <c r="T127">
        <f t="shared" si="35"/>
        <v>15</v>
      </c>
      <c r="U127">
        <f t="shared" si="36"/>
        <v>75</v>
      </c>
    </row>
    <row r="128" spans="2:21" hidden="1" x14ac:dyDescent="0.25">
      <c r="B128" t="b">
        <f t="shared" si="21"/>
        <v>0</v>
      </c>
      <c r="C128" t="b">
        <f t="shared" si="31"/>
        <v>0</v>
      </c>
      <c r="D128">
        <f t="shared" si="28"/>
        <v>1</v>
      </c>
      <c r="E128" t="str">
        <f t="shared" si="29"/>
        <v>6. Conclusion</v>
      </c>
      <c r="F128" s="8" t="str">
        <f t="shared" si="39"/>
        <v/>
      </c>
      <c r="G128" t="str">
        <f t="shared" si="22"/>
        <v/>
      </c>
      <c r="H128">
        <f t="shared" si="23"/>
        <v>0</v>
      </c>
      <c r="I128">
        <f t="shared" si="30"/>
        <v>0</v>
      </c>
      <c r="J128">
        <f t="shared" si="24"/>
        <v>4588</v>
      </c>
      <c r="K128">
        <f t="shared" si="25"/>
        <v>1</v>
      </c>
      <c r="L128">
        <f t="shared" si="26"/>
        <v>16</v>
      </c>
      <c r="M128">
        <f t="shared" si="27"/>
        <v>28</v>
      </c>
      <c r="N128">
        <f t="shared" si="38"/>
        <v>0</v>
      </c>
      <c r="O128">
        <f t="shared" si="38"/>
        <v>1</v>
      </c>
      <c r="P128">
        <f t="shared" si="38"/>
        <v>15</v>
      </c>
      <c r="Q128">
        <f t="shared" si="32"/>
        <v>75</v>
      </c>
      <c r="R128">
        <f t="shared" si="33"/>
        <v>0</v>
      </c>
      <c r="S128">
        <f t="shared" si="34"/>
        <v>1</v>
      </c>
      <c r="T128">
        <f t="shared" si="35"/>
        <v>15</v>
      </c>
      <c r="U128">
        <f t="shared" si="36"/>
        <v>75</v>
      </c>
    </row>
    <row r="129" spans="2:21" hidden="1" x14ac:dyDescent="0.25">
      <c r="B129" t="b">
        <f t="shared" si="21"/>
        <v>0</v>
      </c>
      <c r="C129" t="b">
        <f t="shared" si="31"/>
        <v>0</v>
      </c>
      <c r="D129">
        <f t="shared" si="28"/>
        <v>1</v>
      </c>
      <c r="E129" t="str">
        <f t="shared" si="29"/>
        <v>6. Conclusion</v>
      </c>
      <c r="F129" s="8" t="str">
        <f t="shared" si="39"/>
        <v/>
      </c>
      <c r="G129" t="str">
        <f t="shared" si="22"/>
        <v/>
      </c>
      <c r="H129">
        <f t="shared" si="23"/>
        <v>0</v>
      </c>
      <c r="I129">
        <f t="shared" si="30"/>
        <v>0</v>
      </c>
      <c r="J129">
        <f t="shared" si="24"/>
        <v>4588</v>
      </c>
      <c r="K129">
        <f t="shared" si="25"/>
        <v>1</v>
      </c>
      <c r="L129">
        <f t="shared" si="26"/>
        <v>16</v>
      </c>
      <c r="M129">
        <f t="shared" si="27"/>
        <v>28</v>
      </c>
      <c r="N129">
        <f t="shared" si="38"/>
        <v>0</v>
      </c>
      <c r="O129">
        <f t="shared" si="38"/>
        <v>1</v>
      </c>
      <c r="P129">
        <f t="shared" si="38"/>
        <v>15</v>
      </c>
      <c r="Q129">
        <f t="shared" si="32"/>
        <v>75</v>
      </c>
      <c r="R129">
        <f t="shared" si="33"/>
        <v>0</v>
      </c>
      <c r="S129">
        <f t="shared" si="34"/>
        <v>1</v>
      </c>
      <c r="T129">
        <f t="shared" si="35"/>
        <v>15</v>
      </c>
      <c r="U129">
        <f t="shared" si="36"/>
        <v>75</v>
      </c>
    </row>
    <row r="130" spans="2:21" hidden="1" x14ac:dyDescent="0.25">
      <c r="B130" t="b">
        <f t="shared" si="21"/>
        <v>0</v>
      </c>
      <c r="C130" t="b">
        <f t="shared" si="31"/>
        <v>0</v>
      </c>
      <c r="D130">
        <f t="shared" si="28"/>
        <v>1</v>
      </c>
      <c r="E130" t="str">
        <f t="shared" si="29"/>
        <v>6. Conclusion</v>
      </c>
      <c r="F130" s="8" t="str">
        <f t="shared" si="39"/>
        <v/>
      </c>
      <c r="G130" t="str">
        <f t="shared" si="22"/>
        <v/>
      </c>
      <c r="H130">
        <f t="shared" si="23"/>
        <v>0</v>
      </c>
      <c r="I130">
        <f t="shared" si="30"/>
        <v>0</v>
      </c>
      <c r="J130">
        <f t="shared" si="24"/>
        <v>4588</v>
      </c>
      <c r="K130">
        <f t="shared" si="25"/>
        <v>1</v>
      </c>
      <c r="L130">
        <f t="shared" si="26"/>
        <v>16</v>
      </c>
      <c r="M130">
        <f t="shared" si="27"/>
        <v>28</v>
      </c>
      <c r="N130">
        <f t="shared" si="38"/>
        <v>0</v>
      </c>
      <c r="O130">
        <f t="shared" si="38"/>
        <v>1</v>
      </c>
      <c r="P130">
        <f t="shared" si="38"/>
        <v>15</v>
      </c>
      <c r="Q130">
        <f t="shared" si="32"/>
        <v>75</v>
      </c>
      <c r="R130">
        <f t="shared" si="33"/>
        <v>0</v>
      </c>
      <c r="S130">
        <f t="shared" si="34"/>
        <v>1</v>
      </c>
      <c r="T130">
        <f t="shared" si="35"/>
        <v>15</v>
      </c>
      <c r="U130">
        <f t="shared" si="36"/>
        <v>75</v>
      </c>
    </row>
    <row r="131" spans="2:21" hidden="1" x14ac:dyDescent="0.25">
      <c r="B131" t="b">
        <f t="shared" si="21"/>
        <v>0</v>
      </c>
      <c r="C131" t="b">
        <f t="shared" si="31"/>
        <v>0</v>
      </c>
      <c r="D131">
        <f t="shared" si="28"/>
        <v>1</v>
      </c>
      <c r="E131" t="str">
        <f t="shared" si="29"/>
        <v>6. Conclusion</v>
      </c>
      <c r="F131" s="8" t="str">
        <f t="shared" si="39"/>
        <v/>
      </c>
      <c r="G131" t="str">
        <f t="shared" si="22"/>
        <v/>
      </c>
      <c r="H131">
        <f t="shared" si="23"/>
        <v>0</v>
      </c>
      <c r="I131">
        <f t="shared" si="30"/>
        <v>0</v>
      </c>
      <c r="J131">
        <f t="shared" si="24"/>
        <v>4588</v>
      </c>
      <c r="K131">
        <f t="shared" si="25"/>
        <v>1</v>
      </c>
      <c r="L131">
        <f t="shared" si="26"/>
        <v>16</v>
      </c>
      <c r="M131">
        <f t="shared" si="27"/>
        <v>28</v>
      </c>
      <c r="N131">
        <f t="shared" si="38"/>
        <v>0</v>
      </c>
      <c r="O131">
        <f t="shared" si="38"/>
        <v>1</v>
      </c>
      <c r="P131">
        <f t="shared" si="38"/>
        <v>15</v>
      </c>
      <c r="Q131">
        <f t="shared" si="32"/>
        <v>75</v>
      </c>
      <c r="R131">
        <f t="shared" si="33"/>
        <v>0</v>
      </c>
      <c r="S131">
        <f t="shared" si="34"/>
        <v>1</v>
      </c>
      <c r="T131">
        <f t="shared" si="35"/>
        <v>15</v>
      </c>
      <c r="U131">
        <f t="shared" si="36"/>
        <v>75</v>
      </c>
    </row>
    <row r="132" spans="2:21" hidden="1" x14ac:dyDescent="0.25">
      <c r="B132" t="b">
        <f t="shared" si="21"/>
        <v>0</v>
      </c>
      <c r="C132" t="b">
        <f t="shared" si="31"/>
        <v>0</v>
      </c>
      <c r="D132">
        <f t="shared" si="28"/>
        <v>1</v>
      </c>
      <c r="E132" t="str">
        <f t="shared" si="29"/>
        <v>6. Conclusion</v>
      </c>
      <c r="F132" s="8" t="str">
        <f t="shared" si="39"/>
        <v/>
      </c>
      <c r="G132" t="str">
        <f t="shared" si="22"/>
        <v/>
      </c>
      <c r="H132">
        <f t="shared" si="23"/>
        <v>0</v>
      </c>
      <c r="I132">
        <f t="shared" si="30"/>
        <v>0</v>
      </c>
      <c r="J132">
        <f t="shared" si="24"/>
        <v>4588</v>
      </c>
      <c r="K132">
        <f t="shared" si="25"/>
        <v>1</v>
      </c>
      <c r="L132">
        <f t="shared" si="26"/>
        <v>16</v>
      </c>
      <c r="M132">
        <f t="shared" si="27"/>
        <v>28</v>
      </c>
      <c r="N132">
        <f t="shared" si="38"/>
        <v>0</v>
      </c>
      <c r="O132">
        <f t="shared" si="38"/>
        <v>1</v>
      </c>
      <c r="P132">
        <f t="shared" si="38"/>
        <v>15</v>
      </c>
      <c r="Q132">
        <f t="shared" si="32"/>
        <v>75</v>
      </c>
      <c r="R132">
        <f t="shared" si="33"/>
        <v>0</v>
      </c>
      <c r="S132">
        <f t="shared" si="34"/>
        <v>1</v>
      </c>
      <c r="T132">
        <f t="shared" si="35"/>
        <v>15</v>
      </c>
      <c r="U132">
        <f t="shared" si="36"/>
        <v>75</v>
      </c>
    </row>
    <row r="133" spans="2:21" hidden="1" x14ac:dyDescent="0.25">
      <c r="B133" t="b">
        <f t="shared" si="21"/>
        <v>0</v>
      </c>
      <c r="C133" t="b">
        <f t="shared" si="31"/>
        <v>0</v>
      </c>
      <c r="D133">
        <f t="shared" si="28"/>
        <v>1</v>
      </c>
      <c r="E133" t="str">
        <f t="shared" si="29"/>
        <v>6. Conclusion</v>
      </c>
      <c r="F133" s="8" t="str">
        <f t="shared" si="39"/>
        <v/>
      </c>
      <c r="G133" t="str">
        <f t="shared" si="22"/>
        <v/>
      </c>
      <c r="H133">
        <f t="shared" si="23"/>
        <v>0</v>
      </c>
      <c r="I133">
        <f t="shared" si="30"/>
        <v>0</v>
      </c>
      <c r="J133">
        <f t="shared" si="24"/>
        <v>4588</v>
      </c>
      <c r="K133">
        <f t="shared" si="25"/>
        <v>1</v>
      </c>
      <c r="L133">
        <f t="shared" si="26"/>
        <v>16</v>
      </c>
      <c r="M133">
        <f t="shared" si="27"/>
        <v>28</v>
      </c>
      <c r="N133">
        <f t="shared" si="38"/>
        <v>0</v>
      </c>
      <c r="O133">
        <f t="shared" si="38"/>
        <v>1</v>
      </c>
      <c r="P133">
        <f t="shared" si="38"/>
        <v>15</v>
      </c>
      <c r="Q133">
        <f t="shared" si="32"/>
        <v>75</v>
      </c>
      <c r="R133">
        <f t="shared" si="33"/>
        <v>0</v>
      </c>
      <c r="S133">
        <f t="shared" si="34"/>
        <v>1</v>
      </c>
      <c r="T133">
        <f t="shared" si="35"/>
        <v>15</v>
      </c>
      <c r="U133">
        <f t="shared" si="36"/>
        <v>75</v>
      </c>
    </row>
    <row r="134" spans="2:21" hidden="1" x14ac:dyDescent="0.25">
      <c r="B134" t="b">
        <f t="shared" si="21"/>
        <v>0</v>
      </c>
      <c r="C134" t="b">
        <f t="shared" si="31"/>
        <v>0</v>
      </c>
      <c r="D134">
        <f t="shared" si="28"/>
        <v>1</v>
      </c>
      <c r="E134" t="str">
        <f t="shared" si="29"/>
        <v>6. Conclusion</v>
      </c>
      <c r="F134" s="8" t="str">
        <f t="shared" si="39"/>
        <v/>
      </c>
      <c r="G134" t="str">
        <f t="shared" si="22"/>
        <v/>
      </c>
      <c r="H134">
        <f t="shared" si="23"/>
        <v>0</v>
      </c>
      <c r="I134">
        <f t="shared" si="30"/>
        <v>0</v>
      </c>
      <c r="J134">
        <f t="shared" si="24"/>
        <v>4588</v>
      </c>
      <c r="K134">
        <f t="shared" si="25"/>
        <v>1</v>
      </c>
      <c r="L134">
        <f t="shared" si="26"/>
        <v>16</v>
      </c>
      <c r="M134">
        <f t="shared" si="27"/>
        <v>28</v>
      </c>
      <c r="N134">
        <f t="shared" si="38"/>
        <v>0</v>
      </c>
      <c r="O134">
        <f t="shared" si="38"/>
        <v>1</v>
      </c>
      <c r="P134">
        <f t="shared" si="38"/>
        <v>15</v>
      </c>
      <c r="Q134">
        <f t="shared" si="32"/>
        <v>75</v>
      </c>
      <c r="R134">
        <f t="shared" si="33"/>
        <v>0</v>
      </c>
      <c r="S134">
        <f t="shared" si="34"/>
        <v>1</v>
      </c>
      <c r="T134">
        <f t="shared" si="35"/>
        <v>15</v>
      </c>
      <c r="U134">
        <f t="shared" si="36"/>
        <v>75</v>
      </c>
    </row>
    <row r="135" spans="2:21" hidden="1" x14ac:dyDescent="0.25">
      <c r="B135" t="b">
        <f t="shared" si="21"/>
        <v>0</v>
      </c>
      <c r="C135" t="b">
        <f t="shared" si="31"/>
        <v>0</v>
      </c>
      <c r="D135">
        <f t="shared" si="28"/>
        <v>1</v>
      </c>
      <c r="E135" t="str">
        <f t="shared" si="29"/>
        <v>6. Conclusion</v>
      </c>
      <c r="F135" s="8" t="str">
        <f t="shared" si="39"/>
        <v/>
      </c>
      <c r="G135" t="str">
        <f t="shared" si="22"/>
        <v/>
      </c>
      <c r="H135">
        <f t="shared" si="23"/>
        <v>0</v>
      </c>
      <c r="I135">
        <f t="shared" si="30"/>
        <v>0</v>
      </c>
      <c r="J135">
        <f t="shared" si="24"/>
        <v>4588</v>
      </c>
      <c r="K135">
        <f t="shared" si="25"/>
        <v>1</v>
      </c>
      <c r="L135">
        <f t="shared" si="26"/>
        <v>16</v>
      </c>
      <c r="M135">
        <f t="shared" si="27"/>
        <v>28</v>
      </c>
      <c r="N135">
        <f t="shared" si="38"/>
        <v>0</v>
      </c>
      <c r="O135">
        <f t="shared" si="38"/>
        <v>1</v>
      </c>
      <c r="P135">
        <f t="shared" si="38"/>
        <v>15</v>
      </c>
      <c r="Q135">
        <f t="shared" si="32"/>
        <v>75</v>
      </c>
      <c r="R135">
        <f t="shared" si="33"/>
        <v>0</v>
      </c>
      <c r="S135">
        <f t="shared" si="34"/>
        <v>1</v>
      </c>
      <c r="T135">
        <f t="shared" si="35"/>
        <v>15</v>
      </c>
      <c r="U135">
        <f t="shared" si="36"/>
        <v>75</v>
      </c>
    </row>
    <row r="136" spans="2:21" hidden="1" x14ac:dyDescent="0.25">
      <c r="B136" t="b">
        <f t="shared" si="21"/>
        <v>0</v>
      </c>
      <c r="C136" t="b">
        <f t="shared" si="31"/>
        <v>0</v>
      </c>
      <c r="D136">
        <f t="shared" si="28"/>
        <v>1</v>
      </c>
      <c r="E136" t="str">
        <f t="shared" si="29"/>
        <v>6. Conclusion</v>
      </c>
      <c r="F136" s="8" t="str">
        <f t="shared" si="39"/>
        <v/>
      </c>
      <c r="G136" t="str">
        <f t="shared" si="22"/>
        <v/>
      </c>
      <c r="H136">
        <f t="shared" si="23"/>
        <v>0</v>
      </c>
      <c r="I136">
        <f t="shared" si="30"/>
        <v>0</v>
      </c>
      <c r="J136">
        <f t="shared" si="24"/>
        <v>4588</v>
      </c>
      <c r="K136">
        <f t="shared" si="25"/>
        <v>1</v>
      </c>
      <c r="L136">
        <f t="shared" si="26"/>
        <v>16</v>
      </c>
      <c r="M136">
        <f t="shared" si="27"/>
        <v>28</v>
      </c>
      <c r="N136">
        <f t="shared" si="38"/>
        <v>0</v>
      </c>
      <c r="O136">
        <f t="shared" si="38"/>
        <v>1</v>
      </c>
      <c r="P136">
        <f t="shared" si="38"/>
        <v>15</v>
      </c>
      <c r="Q136">
        <f t="shared" si="32"/>
        <v>75</v>
      </c>
      <c r="R136">
        <f t="shared" si="33"/>
        <v>0</v>
      </c>
      <c r="S136">
        <f t="shared" si="34"/>
        <v>1</v>
      </c>
      <c r="T136">
        <f t="shared" si="35"/>
        <v>15</v>
      </c>
      <c r="U136">
        <f t="shared" si="36"/>
        <v>75</v>
      </c>
    </row>
    <row r="137" spans="2:21" hidden="1" x14ac:dyDescent="0.25">
      <c r="B137" t="b">
        <f t="shared" si="21"/>
        <v>0</v>
      </c>
      <c r="C137" t="b">
        <f t="shared" si="31"/>
        <v>0</v>
      </c>
      <c r="D137">
        <f t="shared" si="28"/>
        <v>1</v>
      </c>
      <c r="E137" t="str">
        <f t="shared" si="29"/>
        <v>6. Conclusion</v>
      </c>
      <c r="F137" s="8" t="str">
        <f t="shared" si="39"/>
        <v/>
      </c>
      <c r="G137" t="str">
        <f t="shared" si="22"/>
        <v/>
      </c>
      <c r="H137">
        <f t="shared" si="23"/>
        <v>0</v>
      </c>
      <c r="I137">
        <f t="shared" si="30"/>
        <v>0</v>
      </c>
      <c r="J137">
        <f t="shared" si="24"/>
        <v>4588</v>
      </c>
      <c r="K137">
        <f t="shared" si="25"/>
        <v>1</v>
      </c>
      <c r="L137">
        <f t="shared" si="26"/>
        <v>16</v>
      </c>
      <c r="M137">
        <f t="shared" si="27"/>
        <v>28</v>
      </c>
      <c r="N137">
        <f t="shared" si="38"/>
        <v>0</v>
      </c>
      <c r="O137">
        <f t="shared" si="38"/>
        <v>1</v>
      </c>
      <c r="P137">
        <f t="shared" si="38"/>
        <v>15</v>
      </c>
      <c r="Q137">
        <f t="shared" si="32"/>
        <v>75</v>
      </c>
      <c r="R137">
        <f t="shared" si="33"/>
        <v>0</v>
      </c>
      <c r="S137">
        <f t="shared" si="34"/>
        <v>1</v>
      </c>
      <c r="T137">
        <f t="shared" si="35"/>
        <v>15</v>
      </c>
      <c r="U137">
        <f t="shared" si="36"/>
        <v>75</v>
      </c>
    </row>
    <row r="138" spans="2:21" hidden="1" x14ac:dyDescent="0.25">
      <c r="B138" t="b">
        <f t="shared" ref="B138:B201" si="40">AND(NOT(ISERROR(FIND(". ",A138))),ISNUMBER(VALUE(LEFT(A138,FIND(". ",A138)-1))))</f>
        <v>0</v>
      </c>
      <c r="C138" t="b">
        <f t="shared" si="31"/>
        <v>0</v>
      </c>
      <c r="D138">
        <f t="shared" si="28"/>
        <v>1</v>
      </c>
      <c r="E138" t="str">
        <f t="shared" si="29"/>
        <v>6. Conclusion</v>
      </c>
      <c r="F138" s="8" t="str">
        <f t="shared" si="39"/>
        <v/>
      </c>
      <c r="G138" t="str">
        <f t="shared" ref="G138:G201" si="41">IF(C138,IF(ISERROR(FIND("s",A139)),LEFT(A139,FIND("m",A139)),LEFT(A139,FIND("s",A139))),"")</f>
        <v/>
      </c>
      <c r="H138">
        <f t="shared" ref="H138:H201" si="42">IF(OR(G138="",ISERROR(FIND("m",G138))),0,VALUE(LEFT(G138,FIND("m",G138)-1)))</f>
        <v>0</v>
      </c>
      <c r="I138">
        <f t="shared" si="30"/>
        <v>0</v>
      </c>
      <c r="J138">
        <f t="shared" ref="J138:J201" si="43">J137+(H138*60+I138)</f>
        <v>4588</v>
      </c>
      <c r="K138">
        <f t="shared" ref="K138:K201" si="44">INT(J138/60/60)</f>
        <v>1</v>
      </c>
      <c r="L138">
        <f t="shared" ref="L138:L201" si="45">INT((J138-(K138*60*60))/60)</f>
        <v>16</v>
      </c>
      <c r="M138">
        <f t="shared" ref="M138:M201" si="46">J138-(((K138*60)+L138)*60)</f>
        <v>28</v>
      </c>
      <c r="N138">
        <f t="shared" si="38"/>
        <v>0</v>
      </c>
      <c r="O138">
        <f t="shared" si="38"/>
        <v>1</v>
      </c>
      <c r="P138">
        <f t="shared" si="38"/>
        <v>15</v>
      </c>
      <c r="Q138">
        <f t="shared" si="32"/>
        <v>75</v>
      </c>
      <c r="R138">
        <f t="shared" si="33"/>
        <v>0</v>
      </c>
      <c r="S138">
        <f t="shared" si="34"/>
        <v>1</v>
      </c>
      <c r="T138">
        <f t="shared" si="35"/>
        <v>15</v>
      </c>
      <c r="U138">
        <f t="shared" si="36"/>
        <v>75</v>
      </c>
    </row>
    <row r="139" spans="2:21" hidden="1" x14ac:dyDescent="0.25">
      <c r="B139" t="b">
        <f t="shared" si="40"/>
        <v>0</v>
      </c>
      <c r="C139" t="b">
        <f t="shared" si="31"/>
        <v>0</v>
      </c>
      <c r="D139">
        <f t="shared" ref="D139:D202" si="47">IF(B139,0,IF(C139,D138+1,D138))</f>
        <v>1</v>
      </c>
      <c r="E139" t="str">
        <f t="shared" ref="E139:E202" si="48">IF(B139,A139,E138)</f>
        <v>6. Conclusion</v>
      </c>
      <c r="F139" s="8" t="str">
        <f t="shared" si="39"/>
        <v/>
      </c>
      <c r="G139" t="str">
        <f t="shared" si="41"/>
        <v/>
      </c>
      <c r="H139">
        <f t="shared" si="42"/>
        <v>0</v>
      </c>
      <c r="I139">
        <f t="shared" ref="I139:I202" si="49">IF(OR(G139="",ISERROR(FIND("s",G139))),0,VALUE(SUBSTITUTE(MID(G139,IF(ISERROR(FIND("m",G139)), 0,FIND("m",G139))+1,LEN(G139)),"s","")))</f>
        <v>0</v>
      </c>
      <c r="J139">
        <f t="shared" si="43"/>
        <v>4588</v>
      </c>
      <c r="K139">
        <f t="shared" si="44"/>
        <v>1</v>
      </c>
      <c r="L139">
        <f t="shared" si="45"/>
        <v>16</v>
      </c>
      <c r="M139">
        <f t="shared" si="46"/>
        <v>28</v>
      </c>
      <c r="N139">
        <f t="shared" si="38"/>
        <v>0</v>
      </c>
      <c r="O139">
        <f t="shared" si="38"/>
        <v>1</v>
      </c>
      <c r="P139">
        <f t="shared" si="38"/>
        <v>15</v>
      </c>
      <c r="Q139">
        <f t="shared" si="32"/>
        <v>75</v>
      </c>
      <c r="R139">
        <f t="shared" si="33"/>
        <v>0</v>
      </c>
      <c r="S139">
        <f t="shared" si="34"/>
        <v>1</v>
      </c>
      <c r="T139">
        <f t="shared" si="35"/>
        <v>15</v>
      </c>
      <c r="U139">
        <f t="shared" si="36"/>
        <v>75</v>
      </c>
    </row>
    <row r="140" spans="2:21" hidden="1" x14ac:dyDescent="0.25">
      <c r="B140" t="b">
        <f t="shared" si="40"/>
        <v>0</v>
      </c>
      <c r="C140" t="b">
        <f t="shared" si="31"/>
        <v>0</v>
      </c>
      <c r="D140">
        <f t="shared" si="47"/>
        <v>1</v>
      </c>
      <c r="E140" t="str">
        <f t="shared" si="48"/>
        <v>6. Conclusion</v>
      </c>
      <c r="F140" s="8" t="str">
        <f t="shared" si="39"/>
        <v/>
      </c>
      <c r="G140" t="str">
        <f t="shared" si="41"/>
        <v/>
      </c>
      <c r="H140">
        <f t="shared" si="42"/>
        <v>0</v>
      </c>
      <c r="I140">
        <f t="shared" si="49"/>
        <v>0</v>
      </c>
      <c r="J140">
        <f t="shared" si="43"/>
        <v>4588</v>
      </c>
      <c r="K140">
        <f t="shared" si="44"/>
        <v>1</v>
      </c>
      <c r="L140">
        <f t="shared" si="45"/>
        <v>16</v>
      </c>
      <c r="M140">
        <f t="shared" si="46"/>
        <v>28</v>
      </c>
      <c r="N140">
        <f t="shared" si="38"/>
        <v>0</v>
      </c>
      <c r="O140">
        <f t="shared" si="38"/>
        <v>1</v>
      </c>
      <c r="P140">
        <f t="shared" si="38"/>
        <v>15</v>
      </c>
      <c r="Q140">
        <f t="shared" si="32"/>
        <v>75</v>
      </c>
      <c r="R140">
        <f t="shared" si="33"/>
        <v>0</v>
      </c>
      <c r="S140">
        <f t="shared" si="34"/>
        <v>1</v>
      </c>
      <c r="T140">
        <f t="shared" si="35"/>
        <v>15</v>
      </c>
      <c r="U140">
        <f t="shared" si="36"/>
        <v>75</v>
      </c>
    </row>
    <row r="141" spans="2:21" hidden="1" x14ac:dyDescent="0.25">
      <c r="B141" t="b">
        <f t="shared" si="40"/>
        <v>0</v>
      </c>
      <c r="C141" t="b">
        <f t="shared" ref="C141:C204" si="50">OR(AND(NOT(ISERROR(FIND("m",A142))),ISNUMBER(VALUE(LEFT(A142,FIND("m",A142)-1)))),AND(NOT(ISERROR(FIND("s",A142))),ISNUMBER(VALUE(LEFT(A142,FIND("s",A142)-1)))))</f>
        <v>0</v>
      </c>
      <c r="D141">
        <f t="shared" si="47"/>
        <v>1</v>
      </c>
      <c r="E141" t="str">
        <f t="shared" si="48"/>
        <v>6. Conclusion</v>
      </c>
      <c r="F141" s="8" t="str">
        <f t="shared" si="39"/>
        <v/>
      </c>
      <c r="G141" t="str">
        <f t="shared" si="41"/>
        <v/>
      </c>
      <c r="H141">
        <f t="shared" si="42"/>
        <v>0</v>
      </c>
      <c r="I141">
        <f t="shared" si="49"/>
        <v>0</v>
      </c>
      <c r="J141">
        <f t="shared" si="43"/>
        <v>4588</v>
      </c>
      <c r="K141">
        <f t="shared" si="44"/>
        <v>1</v>
      </c>
      <c r="L141">
        <f t="shared" si="45"/>
        <v>16</v>
      </c>
      <c r="M141">
        <f t="shared" si="46"/>
        <v>28</v>
      </c>
      <c r="N141">
        <f t="shared" si="38"/>
        <v>0</v>
      </c>
      <c r="O141">
        <f t="shared" si="38"/>
        <v>1</v>
      </c>
      <c r="P141">
        <f t="shared" si="38"/>
        <v>15</v>
      </c>
      <c r="Q141">
        <f t="shared" ref="Q141:Q204" si="51">(((N141*60)+O141)*60)+P141</f>
        <v>75</v>
      </c>
      <c r="R141">
        <f t="shared" ref="R141:R204" si="52">INT(U141/60/60)</f>
        <v>0</v>
      </c>
      <c r="S141">
        <f t="shared" ref="S141:S204" si="53">INT((U141-(R141*60*60))/60)</f>
        <v>1</v>
      </c>
      <c r="T141">
        <f t="shared" ref="T141:T204" si="54">U141-(((R141*60)+S141)*60)</f>
        <v>15</v>
      </c>
      <c r="U141">
        <f t="shared" ref="U141:U204" si="55">((H141*60)+I141)+Q141</f>
        <v>75</v>
      </c>
    </row>
    <row r="142" spans="2:21" hidden="1" x14ac:dyDescent="0.25">
      <c r="B142" t="b">
        <f t="shared" si="40"/>
        <v>0</v>
      </c>
      <c r="C142" t="b">
        <f t="shared" si="50"/>
        <v>0</v>
      </c>
      <c r="D142">
        <f t="shared" si="47"/>
        <v>1</v>
      </c>
      <c r="E142" t="str">
        <f t="shared" si="48"/>
        <v>6. Conclusion</v>
      </c>
      <c r="F142" s="8" t="str">
        <f t="shared" si="39"/>
        <v/>
      </c>
      <c r="G142" t="str">
        <f t="shared" si="41"/>
        <v/>
      </c>
      <c r="H142">
        <f t="shared" si="42"/>
        <v>0</v>
      </c>
      <c r="I142">
        <f t="shared" si="49"/>
        <v>0</v>
      </c>
      <c r="J142">
        <f t="shared" si="43"/>
        <v>4588</v>
      </c>
      <c r="K142">
        <f t="shared" si="44"/>
        <v>1</v>
      </c>
      <c r="L142">
        <f t="shared" si="45"/>
        <v>16</v>
      </c>
      <c r="M142">
        <f t="shared" si="46"/>
        <v>28</v>
      </c>
      <c r="N142">
        <f t="shared" si="38"/>
        <v>0</v>
      </c>
      <c r="O142">
        <f t="shared" si="38"/>
        <v>1</v>
      </c>
      <c r="P142">
        <f t="shared" si="38"/>
        <v>15</v>
      </c>
      <c r="Q142">
        <f t="shared" si="51"/>
        <v>75</v>
      </c>
      <c r="R142">
        <f t="shared" si="52"/>
        <v>0</v>
      </c>
      <c r="S142">
        <f t="shared" si="53"/>
        <v>1</v>
      </c>
      <c r="T142">
        <f t="shared" si="54"/>
        <v>15</v>
      </c>
      <c r="U142">
        <f t="shared" si="55"/>
        <v>75</v>
      </c>
    </row>
    <row r="143" spans="2:21" hidden="1" x14ac:dyDescent="0.25">
      <c r="B143" t="b">
        <f t="shared" si="40"/>
        <v>0</v>
      </c>
      <c r="C143" t="b">
        <f t="shared" si="50"/>
        <v>0</v>
      </c>
      <c r="D143">
        <f t="shared" si="47"/>
        <v>1</v>
      </c>
      <c r="E143" t="str">
        <f t="shared" si="48"/>
        <v>6. Conclusion</v>
      </c>
      <c r="F143" s="8" t="str">
        <f t="shared" si="39"/>
        <v/>
      </c>
      <c r="G143" t="str">
        <f t="shared" si="41"/>
        <v/>
      </c>
      <c r="H143">
        <f t="shared" si="42"/>
        <v>0</v>
      </c>
      <c r="I143">
        <f t="shared" si="49"/>
        <v>0</v>
      </c>
      <c r="J143">
        <f t="shared" si="43"/>
        <v>4588</v>
      </c>
      <c r="K143">
        <f t="shared" si="44"/>
        <v>1</v>
      </c>
      <c r="L143">
        <f t="shared" si="45"/>
        <v>16</v>
      </c>
      <c r="M143">
        <f t="shared" si="46"/>
        <v>28</v>
      </c>
      <c r="N143">
        <f t="shared" si="38"/>
        <v>0</v>
      </c>
      <c r="O143">
        <f t="shared" si="38"/>
        <v>1</v>
      </c>
      <c r="P143">
        <f t="shared" si="38"/>
        <v>15</v>
      </c>
      <c r="Q143">
        <f t="shared" si="51"/>
        <v>75</v>
      </c>
      <c r="R143">
        <f t="shared" si="52"/>
        <v>0</v>
      </c>
      <c r="S143">
        <f t="shared" si="53"/>
        <v>1</v>
      </c>
      <c r="T143">
        <f t="shared" si="54"/>
        <v>15</v>
      </c>
      <c r="U143">
        <f t="shared" si="55"/>
        <v>75</v>
      </c>
    </row>
    <row r="144" spans="2:21" hidden="1" x14ac:dyDescent="0.25">
      <c r="B144" t="b">
        <f t="shared" si="40"/>
        <v>0</v>
      </c>
      <c r="C144" t="b">
        <f t="shared" si="50"/>
        <v>0</v>
      </c>
      <c r="D144">
        <f t="shared" si="47"/>
        <v>1</v>
      </c>
      <c r="E144" t="str">
        <f t="shared" si="48"/>
        <v>6. Conclusion</v>
      </c>
      <c r="F144" s="8" t="str">
        <f t="shared" si="39"/>
        <v/>
      </c>
      <c r="G144" t="str">
        <f t="shared" si="41"/>
        <v/>
      </c>
      <c r="H144">
        <f t="shared" si="42"/>
        <v>0</v>
      </c>
      <c r="I144">
        <f t="shared" si="49"/>
        <v>0</v>
      </c>
      <c r="J144">
        <f t="shared" si="43"/>
        <v>4588</v>
      </c>
      <c r="K144">
        <f t="shared" si="44"/>
        <v>1</v>
      </c>
      <c r="L144">
        <f t="shared" si="45"/>
        <v>16</v>
      </c>
      <c r="M144">
        <f t="shared" si="46"/>
        <v>28</v>
      </c>
      <c r="N144">
        <f t="shared" si="38"/>
        <v>0</v>
      </c>
      <c r="O144">
        <f t="shared" si="38"/>
        <v>1</v>
      </c>
      <c r="P144">
        <f t="shared" si="38"/>
        <v>15</v>
      </c>
      <c r="Q144">
        <f t="shared" si="51"/>
        <v>75</v>
      </c>
      <c r="R144">
        <f t="shared" si="52"/>
        <v>0</v>
      </c>
      <c r="S144">
        <f t="shared" si="53"/>
        <v>1</v>
      </c>
      <c r="T144">
        <f t="shared" si="54"/>
        <v>15</v>
      </c>
      <c r="U144">
        <f t="shared" si="55"/>
        <v>75</v>
      </c>
    </row>
    <row r="145" spans="2:21" hidden="1" x14ac:dyDescent="0.25">
      <c r="B145" t="b">
        <f t="shared" si="40"/>
        <v>0</v>
      </c>
      <c r="C145" t="b">
        <f t="shared" si="50"/>
        <v>0</v>
      </c>
      <c r="D145">
        <f t="shared" si="47"/>
        <v>1</v>
      </c>
      <c r="E145" t="str">
        <f t="shared" si="48"/>
        <v>6. Conclusion</v>
      </c>
      <c r="F145" s="8" t="str">
        <f t="shared" si="39"/>
        <v/>
      </c>
      <c r="G145" t="str">
        <f t="shared" si="41"/>
        <v/>
      </c>
      <c r="H145">
        <f t="shared" si="42"/>
        <v>0</v>
      </c>
      <c r="I145">
        <f t="shared" si="49"/>
        <v>0</v>
      </c>
      <c r="J145">
        <f t="shared" si="43"/>
        <v>4588</v>
      </c>
      <c r="K145">
        <f t="shared" si="44"/>
        <v>1</v>
      </c>
      <c r="L145">
        <f t="shared" si="45"/>
        <v>16</v>
      </c>
      <c r="M145">
        <f t="shared" si="46"/>
        <v>28</v>
      </c>
      <c r="N145">
        <f t="shared" si="38"/>
        <v>0</v>
      </c>
      <c r="O145">
        <f t="shared" si="38"/>
        <v>1</v>
      </c>
      <c r="P145">
        <f t="shared" si="38"/>
        <v>15</v>
      </c>
      <c r="Q145">
        <f t="shared" si="51"/>
        <v>75</v>
      </c>
      <c r="R145">
        <f t="shared" si="52"/>
        <v>0</v>
      </c>
      <c r="S145">
        <f t="shared" si="53"/>
        <v>1</v>
      </c>
      <c r="T145">
        <f t="shared" si="54"/>
        <v>15</v>
      </c>
      <c r="U145">
        <f t="shared" si="55"/>
        <v>75</v>
      </c>
    </row>
    <row r="146" spans="2:21" hidden="1" x14ac:dyDescent="0.25">
      <c r="B146" t="b">
        <f t="shared" si="40"/>
        <v>0</v>
      </c>
      <c r="C146" t="b">
        <f t="shared" si="50"/>
        <v>0</v>
      </c>
      <c r="D146">
        <f t="shared" si="47"/>
        <v>1</v>
      </c>
      <c r="E146" t="str">
        <f t="shared" si="48"/>
        <v>6. Conclusion</v>
      </c>
      <c r="F146" s="8" t="str">
        <f t="shared" si="39"/>
        <v/>
      </c>
      <c r="G146" t="str">
        <f t="shared" si="41"/>
        <v/>
      </c>
      <c r="H146">
        <f t="shared" si="42"/>
        <v>0</v>
      </c>
      <c r="I146">
        <f t="shared" si="49"/>
        <v>0</v>
      </c>
      <c r="J146">
        <f t="shared" si="43"/>
        <v>4588</v>
      </c>
      <c r="K146">
        <f t="shared" si="44"/>
        <v>1</v>
      </c>
      <c r="L146">
        <f t="shared" si="45"/>
        <v>16</v>
      </c>
      <c r="M146">
        <f t="shared" si="46"/>
        <v>28</v>
      </c>
      <c r="N146">
        <f t="shared" si="38"/>
        <v>0</v>
      </c>
      <c r="O146">
        <f t="shared" si="38"/>
        <v>1</v>
      </c>
      <c r="P146">
        <f t="shared" si="38"/>
        <v>15</v>
      </c>
      <c r="Q146">
        <f t="shared" si="51"/>
        <v>75</v>
      </c>
      <c r="R146">
        <f t="shared" si="52"/>
        <v>0</v>
      </c>
      <c r="S146">
        <f t="shared" si="53"/>
        <v>1</v>
      </c>
      <c r="T146">
        <f t="shared" si="54"/>
        <v>15</v>
      </c>
      <c r="U146">
        <f t="shared" si="55"/>
        <v>75</v>
      </c>
    </row>
    <row r="147" spans="2:21" hidden="1" x14ac:dyDescent="0.25">
      <c r="B147" t="b">
        <f t="shared" si="40"/>
        <v>0</v>
      </c>
      <c r="C147" t="b">
        <f t="shared" si="50"/>
        <v>0</v>
      </c>
      <c r="D147">
        <f t="shared" si="47"/>
        <v>1</v>
      </c>
      <c r="E147" t="str">
        <f t="shared" si="48"/>
        <v>6. Conclusion</v>
      </c>
      <c r="F147" s="8" t="str">
        <f t="shared" si="39"/>
        <v/>
      </c>
      <c r="G147" t="str">
        <f t="shared" si="41"/>
        <v/>
      </c>
      <c r="H147">
        <f t="shared" si="42"/>
        <v>0</v>
      </c>
      <c r="I147">
        <f t="shared" si="49"/>
        <v>0</v>
      </c>
      <c r="J147">
        <f t="shared" si="43"/>
        <v>4588</v>
      </c>
      <c r="K147">
        <f t="shared" si="44"/>
        <v>1</v>
      </c>
      <c r="L147">
        <f t="shared" si="45"/>
        <v>16</v>
      </c>
      <c r="M147">
        <f t="shared" si="46"/>
        <v>28</v>
      </c>
      <c r="N147">
        <f t="shared" si="38"/>
        <v>0</v>
      </c>
      <c r="O147">
        <f t="shared" si="38"/>
        <v>1</v>
      </c>
      <c r="P147">
        <f t="shared" si="38"/>
        <v>15</v>
      </c>
      <c r="Q147">
        <f t="shared" si="51"/>
        <v>75</v>
      </c>
      <c r="R147">
        <f t="shared" si="52"/>
        <v>0</v>
      </c>
      <c r="S147">
        <f t="shared" si="53"/>
        <v>1</v>
      </c>
      <c r="T147">
        <f t="shared" si="54"/>
        <v>15</v>
      </c>
      <c r="U147">
        <f t="shared" si="55"/>
        <v>75</v>
      </c>
    </row>
    <row r="148" spans="2:21" hidden="1" x14ac:dyDescent="0.25">
      <c r="B148" t="b">
        <f t="shared" si="40"/>
        <v>0</v>
      </c>
      <c r="C148" t="b">
        <f t="shared" si="50"/>
        <v>0</v>
      </c>
      <c r="D148">
        <f t="shared" si="47"/>
        <v>1</v>
      </c>
      <c r="E148" t="str">
        <f t="shared" si="48"/>
        <v>6. Conclusion</v>
      </c>
      <c r="F148" s="8" t="str">
        <f t="shared" si="39"/>
        <v/>
      </c>
      <c r="G148" t="str">
        <f t="shared" si="41"/>
        <v/>
      </c>
      <c r="H148">
        <f t="shared" si="42"/>
        <v>0</v>
      </c>
      <c r="I148">
        <f t="shared" si="49"/>
        <v>0</v>
      </c>
      <c r="J148">
        <f t="shared" si="43"/>
        <v>4588</v>
      </c>
      <c r="K148">
        <f t="shared" si="44"/>
        <v>1</v>
      </c>
      <c r="L148">
        <f t="shared" si="45"/>
        <v>16</v>
      </c>
      <c r="M148">
        <f t="shared" si="46"/>
        <v>28</v>
      </c>
      <c r="N148">
        <f t="shared" si="38"/>
        <v>0</v>
      </c>
      <c r="O148">
        <f t="shared" si="38"/>
        <v>1</v>
      </c>
      <c r="P148">
        <f t="shared" si="38"/>
        <v>15</v>
      </c>
      <c r="Q148">
        <f t="shared" si="51"/>
        <v>75</v>
      </c>
      <c r="R148">
        <f t="shared" si="52"/>
        <v>0</v>
      </c>
      <c r="S148">
        <f t="shared" si="53"/>
        <v>1</v>
      </c>
      <c r="T148">
        <f t="shared" si="54"/>
        <v>15</v>
      </c>
      <c r="U148">
        <f t="shared" si="55"/>
        <v>75</v>
      </c>
    </row>
    <row r="149" spans="2:21" hidden="1" x14ac:dyDescent="0.25">
      <c r="B149" t="b">
        <f t="shared" si="40"/>
        <v>0</v>
      </c>
      <c r="C149" t="b">
        <f t="shared" si="50"/>
        <v>0</v>
      </c>
      <c r="D149">
        <f t="shared" si="47"/>
        <v>1</v>
      </c>
      <c r="E149" t="str">
        <f t="shared" si="48"/>
        <v>6. Conclusion</v>
      </c>
      <c r="F149" s="8" t="str">
        <f t="shared" si="39"/>
        <v/>
      </c>
      <c r="G149" t="str">
        <f t="shared" si="41"/>
        <v/>
      </c>
      <c r="H149">
        <f t="shared" si="42"/>
        <v>0</v>
      </c>
      <c r="I149">
        <f t="shared" si="49"/>
        <v>0</v>
      </c>
      <c r="J149">
        <f t="shared" si="43"/>
        <v>4588</v>
      </c>
      <c r="K149">
        <f t="shared" si="44"/>
        <v>1</v>
      </c>
      <c r="L149">
        <f t="shared" si="45"/>
        <v>16</v>
      </c>
      <c r="M149">
        <f t="shared" si="46"/>
        <v>28</v>
      </c>
      <c r="N149">
        <f t="shared" si="38"/>
        <v>0</v>
      </c>
      <c r="O149">
        <f t="shared" si="38"/>
        <v>1</v>
      </c>
      <c r="P149">
        <f t="shared" si="38"/>
        <v>15</v>
      </c>
      <c r="Q149">
        <f t="shared" si="51"/>
        <v>75</v>
      </c>
      <c r="R149">
        <f t="shared" si="52"/>
        <v>0</v>
      </c>
      <c r="S149">
        <f t="shared" si="53"/>
        <v>1</v>
      </c>
      <c r="T149">
        <f t="shared" si="54"/>
        <v>15</v>
      </c>
      <c r="U149">
        <f t="shared" si="55"/>
        <v>75</v>
      </c>
    </row>
    <row r="150" spans="2:21" hidden="1" x14ac:dyDescent="0.25">
      <c r="B150" t="b">
        <f t="shared" si="40"/>
        <v>0</v>
      </c>
      <c r="C150" t="b">
        <f t="shared" si="50"/>
        <v>0</v>
      </c>
      <c r="D150">
        <f t="shared" si="47"/>
        <v>1</v>
      </c>
      <c r="E150" t="str">
        <f t="shared" si="48"/>
        <v>6. Conclusion</v>
      </c>
      <c r="F150" s="8" t="str">
        <f t="shared" si="39"/>
        <v/>
      </c>
      <c r="G150" t="str">
        <f t="shared" si="41"/>
        <v/>
      </c>
      <c r="H150">
        <f t="shared" si="42"/>
        <v>0</v>
      </c>
      <c r="I150">
        <f t="shared" si="49"/>
        <v>0</v>
      </c>
      <c r="J150">
        <f t="shared" si="43"/>
        <v>4588</v>
      </c>
      <c r="K150">
        <f t="shared" si="44"/>
        <v>1</v>
      </c>
      <c r="L150">
        <f t="shared" si="45"/>
        <v>16</v>
      </c>
      <c r="M150">
        <f t="shared" si="46"/>
        <v>28</v>
      </c>
      <c r="N150">
        <f t="shared" si="38"/>
        <v>0</v>
      </c>
      <c r="O150">
        <f t="shared" si="38"/>
        <v>1</v>
      </c>
      <c r="P150">
        <f t="shared" si="38"/>
        <v>15</v>
      </c>
      <c r="Q150">
        <f t="shared" si="51"/>
        <v>75</v>
      </c>
      <c r="R150">
        <f t="shared" si="52"/>
        <v>0</v>
      </c>
      <c r="S150">
        <f t="shared" si="53"/>
        <v>1</v>
      </c>
      <c r="T150">
        <f t="shared" si="54"/>
        <v>15</v>
      </c>
      <c r="U150">
        <f t="shared" si="55"/>
        <v>75</v>
      </c>
    </row>
    <row r="151" spans="2:21" hidden="1" x14ac:dyDescent="0.25">
      <c r="B151" t="b">
        <f t="shared" si="40"/>
        <v>0</v>
      </c>
      <c r="C151" t="b">
        <f t="shared" si="50"/>
        <v>0</v>
      </c>
      <c r="D151">
        <f t="shared" si="47"/>
        <v>1</v>
      </c>
      <c r="E151" t="str">
        <f t="shared" si="48"/>
        <v>6. Conclusion</v>
      </c>
      <c r="F151" s="8" t="str">
        <f t="shared" si="39"/>
        <v/>
      </c>
      <c r="G151" t="str">
        <f t="shared" si="41"/>
        <v/>
      </c>
      <c r="H151">
        <f t="shared" si="42"/>
        <v>0</v>
      </c>
      <c r="I151">
        <f t="shared" si="49"/>
        <v>0</v>
      </c>
      <c r="J151">
        <f t="shared" si="43"/>
        <v>4588</v>
      </c>
      <c r="K151">
        <f t="shared" si="44"/>
        <v>1</v>
      </c>
      <c r="L151">
        <f t="shared" si="45"/>
        <v>16</v>
      </c>
      <c r="M151">
        <f t="shared" si="46"/>
        <v>28</v>
      </c>
      <c r="N151">
        <f t="shared" si="38"/>
        <v>0</v>
      </c>
      <c r="O151">
        <f t="shared" si="38"/>
        <v>1</v>
      </c>
      <c r="P151">
        <f t="shared" si="38"/>
        <v>15</v>
      </c>
      <c r="Q151">
        <f t="shared" si="51"/>
        <v>75</v>
      </c>
      <c r="R151">
        <f t="shared" si="52"/>
        <v>0</v>
      </c>
      <c r="S151">
        <f t="shared" si="53"/>
        <v>1</v>
      </c>
      <c r="T151">
        <f t="shared" si="54"/>
        <v>15</v>
      </c>
      <c r="U151">
        <f t="shared" si="55"/>
        <v>75</v>
      </c>
    </row>
    <row r="152" spans="2:21" hidden="1" x14ac:dyDescent="0.25">
      <c r="B152" t="b">
        <f t="shared" si="40"/>
        <v>0</v>
      </c>
      <c r="C152" t="b">
        <f t="shared" si="50"/>
        <v>0</v>
      </c>
      <c r="D152">
        <f t="shared" si="47"/>
        <v>1</v>
      </c>
      <c r="E152" t="str">
        <f t="shared" si="48"/>
        <v>6. Conclusion</v>
      </c>
      <c r="F152" s="8" t="str">
        <f t="shared" si="39"/>
        <v/>
      </c>
      <c r="G152" t="str">
        <f t="shared" si="41"/>
        <v/>
      </c>
      <c r="H152">
        <f t="shared" si="42"/>
        <v>0</v>
      </c>
      <c r="I152">
        <f t="shared" si="49"/>
        <v>0</v>
      </c>
      <c r="J152">
        <f t="shared" si="43"/>
        <v>4588</v>
      </c>
      <c r="K152">
        <f t="shared" si="44"/>
        <v>1</v>
      </c>
      <c r="L152">
        <f t="shared" si="45"/>
        <v>16</v>
      </c>
      <c r="M152">
        <f t="shared" si="46"/>
        <v>28</v>
      </c>
      <c r="N152">
        <f t="shared" si="38"/>
        <v>0</v>
      </c>
      <c r="O152">
        <f t="shared" si="38"/>
        <v>1</v>
      </c>
      <c r="P152">
        <f t="shared" si="38"/>
        <v>15</v>
      </c>
      <c r="Q152">
        <f t="shared" si="51"/>
        <v>75</v>
      </c>
      <c r="R152">
        <f t="shared" si="52"/>
        <v>0</v>
      </c>
      <c r="S152">
        <f t="shared" si="53"/>
        <v>1</v>
      </c>
      <c r="T152">
        <f t="shared" si="54"/>
        <v>15</v>
      </c>
      <c r="U152">
        <f t="shared" si="55"/>
        <v>75</v>
      </c>
    </row>
    <row r="153" spans="2:21" hidden="1" x14ac:dyDescent="0.25">
      <c r="B153" t="b">
        <f t="shared" si="40"/>
        <v>0</v>
      </c>
      <c r="C153" t="b">
        <f t="shared" si="50"/>
        <v>0</v>
      </c>
      <c r="D153">
        <f t="shared" si="47"/>
        <v>1</v>
      </c>
      <c r="E153" t="str">
        <f t="shared" si="48"/>
        <v>6. Conclusion</v>
      </c>
      <c r="F153" s="8" t="str">
        <f t="shared" si="39"/>
        <v/>
      </c>
      <c r="G153" t="str">
        <f t="shared" si="41"/>
        <v/>
      </c>
      <c r="H153">
        <f t="shared" si="42"/>
        <v>0</v>
      </c>
      <c r="I153">
        <f t="shared" si="49"/>
        <v>0</v>
      </c>
      <c r="J153">
        <f t="shared" si="43"/>
        <v>4588</v>
      </c>
      <c r="K153">
        <f t="shared" si="44"/>
        <v>1</v>
      </c>
      <c r="L153">
        <f t="shared" si="45"/>
        <v>16</v>
      </c>
      <c r="M153">
        <f t="shared" si="46"/>
        <v>28</v>
      </c>
      <c r="N153">
        <f t="shared" si="38"/>
        <v>0</v>
      </c>
      <c r="O153">
        <f t="shared" si="38"/>
        <v>1</v>
      </c>
      <c r="P153">
        <f t="shared" si="38"/>
        <v>15</v>
      </c>
      <c r="Q153">
        <f t="shared" si="51"/>
        <v>75</v>
      </c>
      <c r="R153">
        <f t="shared" si="52"/>
        <v>0</v>
      </c>
      <c r="S153">
        <f t="shared" si="53"/>
        <v>1</v>
      </c>
      <c r="T153">
        <f t="shared" si="54"/>
        <v>15</v>
      </c>
      <c r="U153">
        <f t="shared" si="55"/>
        <v>75</v>
      </c>
    </row>
    <row r="154" spans="2:21" hidden="1" x14ac:dyDescent="0.25">
      <c r="B154" t="b">
        <f t="shared" si="40"/>
        <v>0</v>
      </c>
      <c r="C154" t="b">
        <f t="shared" si="50"/>
        <v>0</v>
      </c>
      <c r="D154">
        <f t="shared" si="47"/>
        <v>1</v>
      </c>
      <c r="E154" t="str">
        <f t="shared" si="48"/>
        <v>6. Conclusion</v>
      </c>
      <c r="F154" s="8" t="str">
        <f t="shared" si="39"/>
        <v/>
      </c>
      <c r="G154" t="str">
        <f t="shared" si="41"/>
        <v/>
      </c>
      <c r="H154">
        <f t="shared" si="42"/>
        <v>0</v>
      </c>
      <c r="I154">
        <f t="shared" si="49"/>
        <v>0</v>
      </c>
      <c r="J154">
        <f t="shared" si="43"/>
        <v>4588</v>
      </c>
      <c r="K154">
        <f t="shared" si="44"/>
        <v>1</v>
      </c>
      <c r="L154">
        <f t="shared" si="45"/>
        <v>16</v>
      </c>
      <c r="M154">
        <f t="shared" si="46"/>
        <v>28</v>
      </c>
      <c r="N154">
        <f t="shared" si="38"/>
        <v>0</v>
      </c>
      <c r="O154">
        <f t="shared" si="38"/>
        <v>1</v>
      </c>
      <c r="P154">
        <f t="shared" si="38"/>
        <v>15</v>
      </c>
      <c r="Q154">
        <f t="shared" si="51"/>
        <v>75</v>
      </c>
      <c r="R154">
        <f t="shared" si="52"/>
        <v>0</v>
      </c>
      <c r="S154">
        <f t="shared" si="53"/>
        <v>1</v>
      </c>
      <c r="T154">
        <f t="shared" si="54"/>
        <v>15</v>
      </c>
      <c r="U154">
        <f t="shared" si="55"/>
        <v>75</v>
      </c>
    </row>
    <row r="155" spans="2:21" hidden="1" x14ac:dyDescent="0.25">
      <c r="B155" t="b">
        <f t="shared" si="40"/>
        <v>0</v>
      </c>
      <c r="C155" t="b">
        <f t="shared" si="50"/>
        <v>0</v>
      </c>
      <c r="D155">
        <f t="shared" si="47"/>
        <v>1</v>
      </c>
      <c r="E155" t="str">
        <f t="shared" si="48"/>
        <v>6. Conclusion</v>
      </c>
      <c r="F155" s="8" t="str">
        <f t="shared" si="39"/>
        <v/>
      </c>
      <c r="G155" t="str">
        <f t="shared" si="41"/>
        <v/>
      </c>
      <c r="H155">
        <f t="shared" si="42"/>
        <v>0</v>
      </c>
      <c r="I155">
        <f t="shared" si="49"/>
        <v>0</v>
      </c>
      <c r="J155">
        <f t="shared" si="43"/>
        <v>4588</v>
      </c>
      <c r="K155">
        <f t="shared" si="44"/>
        <v>1</v>
      </c>
      <c r="L155">
        <f t="shared" si="45"/>
        <v>16</v>
      </c>
      <c r="M155">
        <f t="shared" si="46"/>
        <v>28</v>
      </c>
      <c r="N155">
        <f t="shared" ref="N155:P218" si="56">R154</f>
        <v>0</v>
      </c>
      <c r="O155">
        <f t="shared" si="56"/>
        <v>1</v>
      </c>
      <c r="P155">
        <f t="shared" si="56"/>
        <v>15</v>
      </c>
      <c r="Q155">
        <f t="shared" si="51"/>
        <v>75</v>
      </c>
      <c r="R155">
        <f t="shared" si="52"/>
        <v>0</v>
      </c>
      <c r="S155">
        <f t="shared" si="53"/>
        <v>1</v>
      </c>
      <c r="T155">
        <f t="shared" si="54"/>
        <v>15</v>
      </c>
      <c r="U155">
        <f t="shared" si="55"/>
        <v>75</v>
      </c>
    </row>
    <row r="156" spans="2:21" hidden="1" x14ac:dyDescent="0.25">
      <c r="B156" t="b">
        <f t="shared" si="40"/>
        <v>0</v>
      </c>
      <c r="C156" t="b">
        <f t="shared" si="50"/>
        <v>0</v>
      </c>
      <c r="D156">
        <f t="shared" si="47"/>
        <v>1</v>
      </c>
      <c r="E156" t="str">
        <f t="shared" si="48"/>
        <v>6. Conclusion</v>
      </c>
      <c r="F156" s="8" t="str">
        <f t="shared" si="39"/>
        <v/>
      </c>
      <c r="G156" t="str">
        <f t="shared" si="41"/>
        <v/>
      </c>
      <c r="H156">
        <f t="shared" si="42"/>
        <v>0</v>
      </c>
      <c r="I156">
        <f t="shared" si="49"/>
        <v>0</v>
      </c>
      <c r="J156">
        <f t="shared" si="43"/>
        <v>4588</v>
      </c>
      <c r="K156">
        <f t="shared" si="44"/>
        <v>1</v>
      </c>
      <c r="L156">
        <f t="shared" si="45"/>
        <v>16</v>
      </c>
      <c r="M156">
        <f t="shared" si="46"/>
        <v>28</v>
      </c>
      <c r="N156">
        <f t="shared" si="56"/>
        <v>0</v>
      </c>
      <c r="O156">
        <f t="shared" si="56"/>
        <v>1</v>
      </c>
      <c r="P156">
        <f t="shared" si="56"/>
        <v>15</v>
      </c>
      <c r="Q156">
        <f t="shared" si="51"/>
        <v>75</v>
      </c>
      <c r="R156">
        <f t="shared" si="52"/>
        <v>0</v>
      </c>
      <c r="S156">
        <f t="shared" si="53"/>
        <v>1</v>
      </c>
      <c r="T156">
        <f t="shared" si="54"/>
        <v>15</v>
      </c>
      <c r="U156">
        <f t="shared" si="55"/>
        <v>75</v>
      </c>
    </row>
    <row r="157" spans="2:21" hidden="1" x14ac:dyDescent="0.25">
      <c r="B157" t="b">
        <f t="shared" si="40"/>
        <v>0</v>
      </c>
      <c r="C157" t="b">
        <f t="shared" si="50"/>
        <v>0</v>
      </c>
      <c r="D157">
        <f t="shared" si="47"/>
        <v>1</v>
      </c>
      <c r="E157" t="str">
        <f t="shared" si="48"/>
        <v>6. Conclusion</v>
      </c>
      <c r="F157" s="8" t="str">
        <f t="shared" si="39"/>
        <v/>
      </c>
      <c r="G157" t="str">
        <f t="shared" si="41"/>
        <v/>
      </c>
      <c r="H157">
        <f t="shared" si="42"/>
        <v>0</v>
      </c>
      <c r="I157">
        <f t="shared" si="49"/>
        <v>0</v>
      </c>
      <c r="J157">
        <f t="shared" si="43"/>
        <v>4588</v>
      </c>
      <c r="K157">
        <f t="shared" si="44"/>
        <v>1</v>
      </c>
      <c r="L157">
        <f t="shared" si="45"/>
        <v>16</v>
      </c>
      <c r="M157">
        <f t="shared" si="46"/>
        <v>28</v>
      </c>
      <c r="N157">
        <f t="shared" si="56"/>
        <v>0</v>
      </c>
      <c r="O157">
        <f t="shared" si="56"/>
        <v>1</v>
      </c>
      <c r="P157">
        <f t="shared" si="56"/>
        <v>15</v>
      </c>
      <c r="Q157">
        <f t="shared" si="51"/>
        <v>75</v>
      </c>
      <c r="R157">
        <f t="shared" si="52"/>
        <v>0</v>
      </c>
      <c r="S157">
        <f t="shared" si="53"/>
        <v>1</v>
      </c>
      <c r="T157">
        <f t="shared" si="54"/>
        <v>15</v>
      </c>
      <c r="U157">
        <f t="shared" si="55"/>
        <v>75</v>
      </c>
    </row>
    <row r="158" spans="2:21" hidden="1" x14ac:dyDescent="0.25">
      <c r="B158" t="b">
        <f t="shared" si="40"/>
        <v>0</v>
      </c>
      <c r="C158" t="b">
        <f t="shared" si="50"/>
        <v>0</v>
      </c>
      <c r="D158">
        <f t="shared" si="47"/>
        <v>1</v>
      </c>
      <c r="E158" t="str">
        <f t="shared" si="48"/>
        <v>6. Conclusion</v>
      </c>
      <c r="F158" s="8" t="str">
        <f t="shared" si="39"/>
        <v/>
      </c>
      <c r="G158" t="str">
        <f t="shared" si="41"/>
        <v/>
      </c>
      <c r="H158">
        <f t="shared" si="42"/>
        <v>0</v>
      </c>
      <c r="I158">
        <f t="shared" si="49"/>
        <v>0</v>
      </c>
      <c r="J158">
        <f t="shared" si="43"/>
        <v>4588</v>
      </c>
      <c r="K158">
        <f t="shared" si="44"/>
        <v>1</v>
      </c>
      <c r="L158">
        <f t="shared" si="45"/>
        <v>16</v>
      </c>
      <c r="M158">
        <f t="shared" si="46"/>
        <v>28</v>
      </c>
      <c r="N158">
        <f t="shared" si="56"/>
        <v>0</v>
      </c>
      <c r="O158">
        <f t="shared" si="56"/>
        <v>1</v>
      </c>
      <c r="P158">
        <f t="shared" si="56"/>
        <v>15</v>
      </c>
      <c r="Q158">
        <f t="shared" si="51"/>
        <v>75</v>
      </c>
      <c r="R158">
        <f t="shared" si="52"/>
        <v>0</v>
      </c>
      <c r="S158">
        <f t="shared" si="53"/>
        <v>1</v>
      </c>
      <c r="T158">
        <f t="shared" si="54"/>
        <v>15</v>
      </c>
      <c r="U158">
        <f t="shared" si="55"/>
        <v>75</v>
      </c>
    </row>
    <row r="159" spans="2:21" hidden="1" x14ac:dyDescent="0.25">
      <c r="B159" t="b">
        <f t="shared" si="40"/>
        <v>0</v>
      </c>
      <c r="C159" t="b">
        <f t="shared" si="50"/>
        <v>0</v>
      </c>
      <c r="D159">
        <f t="shared" si="47"/>
        <v>1</v>
      </c>
      <c r="E159" t="str">
        <f t="shared" si="48"/>
        <v>6. Conclusion</v>
      </c>
      <c r="F159" s="8" t="str">
        <f t="shared" si="39"/>
        <v/>
      </c>
      <c r="G159" t="str">
        <f t="shared" si="41"/>
        <v/>
      </c>
      <c r="H159">
        <f t="shared" si="42"/>
        <v>0</v>
      </c>
      <c r="I159">
        <f t="shared" si="49"/>
        <v>0</v>
      </c>
      <c r="J159">
        <f t="shared" si="43"/>
        <v>4588</v>
      </c>
      <c r="K159">
        <f t="shared" si="44"/>
        <v>1</v>
      </c>
      <c r="L159">
        <f t="shared" si="45"/>
        <v>16</v>
      </c>
      <c r="M159">
        <f t="shared" si="46"/>
        <v>28</v>
      </c>
      <c r="N159">
        <f t="shared" si="56"/>
        <v>0</v>
      </c>
      <c r="O159">
        <f t="shared" si="56"/>
        <v>1</v>
      </c>
      <c r="P159">
        <f t="shared" si="56"/>
        <v>15</v>
      </c>
      <c r="Q159">
        <f t="shared" si="51"/>
        <v>75</v>
      </c>
      <c r="R159">
        <f t="shared" si="52"/>
        <v>0</v>
      </c>
      <c r="S159">
        <f t="shared" si="53"/>
        <v>1</v>
      </c>
      <c r="T159">
        <f t="shared" si="54"/>
        <v>15</v>
      </c>
      <c r="U159">
        <f t="shared" si="55"/>
        <v>75</v>
      </c>
    </row>
    <row r="160" spans="2:21" hidden="1" x14ac:dyDescent="0.25">
      <c r="B160" t="b">
        <f t="shared" si="40"/>
        <v>0</v>
      </c>
      <c r="C160" t="b">
        <f t="shared" si="50"/>
        <v>0</v>
      </c>
      <c r="D160">
        <f t="shared" si="47"/>
        <v>1</v>
      </c>
      <c r="E160" t="str">
        <f t="shared" si="48"/>
        <v>6. Conclusion</v>
      </c>
      <c r="F160" s="8" t="str">
        <f t="shared" si="39"/>
        <v/>
      </c>
      <c r="G160" t="str">
        <f t="shared" si="41"/>
        <v/>
      </c>
      <c r="H160">
        <f t="shared" si="42"/>
        <v>0</v>
      </c>
      <c r="I160">
        <f t="shared" si="49"/>
        <v>0</v>
      </c>
      <c r="J160">
        <f t="shared" si="43"/>
        <v>4588</v>
      </c>
      <c r="K160">
        <f t="shared" si="44"/>
        <v>1</v>
      </c>
      <c r="L160">
        <f t="shared" si="45"/>
        <v>16</v>
      </c>
      <c r="M160">
        <f t="shared" si="46"/>
        <v>28</v>
      </c>
      <c r="N160">
        <f t="shared" si="56"/>
        <v>0</v>
      </c>
      <c r="O160">
        <f t="shared" si="56"/>
        <v>1</v>
      </c>
      <c r="P160">
        <f t="shared" si="56"/>
        <v>15</v>
      </c>
      <c r="Q160">
        <f t="shared" si="51"/>
        <v>75</v>
      </c>
      <c r="R160">
        <f t="shared" si="52"/>
        <v>0</v>
      </c>
      <c r="S160">
        <f t="shared" si="53"/>
        <v>1</v>
      </c>
      <c r="T160">
        <f t="shared" si="54"/>
        <v>15</v>
      </c>
      <c r="U160">
        <f t="shared" si="55"/>
        <v>75</v>
      </c>
    </row>
    <row r="161" spans="2:21" hidden="1" x14ac:dyDescent="0.25">
      <c r="B161" t="b">
        <f t="shared" si="40"/>
        <v>0</v>
      </c>
      <c r="C161" t="b">
        <f t="shared" si="50"/>
        <v>0</v>
      </c>
      <c r="D161">
        <f t="shared" si="47"/>
        <v>1</v>
      </c>
      <c r="E161" t="str">
        <f t="shared" si="48"/>
        <v>6. Conclusion</v>
      </c>
      <c r="F161" s="8" t="str">
        <f t="shared" si="39"/>
        <v/>
      </c>
      <c r="G161" t="str">
        <f t="shared" si="41"/>
        <v/>
      </c>
      <c r="H161">
        <f t="shared" si="42"/>
        <v>0</v>
      </c>
      <c r="I161">
        <f t="shared" si="49"/>
        <v>0</v>
      </c>
      <c r="J161">
        <f t="shared" si="43"/>
        <v>4588</v>
      </c>
      <c r="K161">
        <f t="shared" si="44"/>
        <v>1</v>
      </c>
      <c r="L161">
        <f t="shared" si="45"/>
        <v>16</v>
      </c>
      <c r="M161">
        <f t="shared" si="46"/>
        <v>28</v>
      </c>
      <c r="N161">
        <f t="shared" si="56"/>
        <v>0</v>
      </c>
      <c r="O161">
        <f t="shared" si="56"/>
        <v>1</v>
      </c>
      <c r="P161">
        <f t="shared" si="56"/>
        <v>15</v>
      </c>
      <c r="Q161">
        <f t="shared" si="51"/>
        <v>75</v>
      </c>
      <c r="R161">
        <f t="shared" si="52"/>
        <v>0</v>
      </c>
      <c r="S161">
        <f t="shared" si="53"/>
        <v>1</v>
      </c>
      <c r="T161">
        <f t="shared" si="54"/>
        <v>15</v>
      </c>
      <c r="U161">
        <f t="shared" si="55"/>
        <v>75</v>
      </c>
    </row>
    <row r="162" spans="2:21" hidden="1" x14ac:dyDescent="0.25">
      <c r="B162" t="b">
        <f t="shared" si="40"/>
        <v>0</v>
      </c>
      <c r="C162" t="b">
        <f t="shared" si="50"/>
        <v>0</v>
      </c>
      <c r="D162">
        <f t="shared" si="47"/>
        <v>1</v>
      </c>
      <c r="E162" t="str">
        <f t="shared" si="48"/>
        <v>6. Conclusion</v>
      </c>
      <c r="F162" s="8" t="str">
        <f t="shared" si="39"/>
        <v/>
      </c>
      <c r="G162" t="str">
        <f t="shared" si="41"/>
        <v/>
      </c>
      <c r="H162">
        <f t="shared" si="42"/>
        <v>0</v>
      </c>
      <c r="I162">
        <f t="shared" si="49"/>
        <v>0</v>
      </c>
      <c r="J162">
        <f t="shared" si="43"/>
        <v>4588</v>
      </c>
      <c r="K162">
        <f t="shared" si="44"/>
        <v>1</v>
      </c>
      <c r="L162">
        <f t="shared" si="45"/>
        <v>16</v>
      </c>
      <c r="M162">
        <f t="shared" si="46"/>
        <v>28</v>
      </c>
      <c r="N162">
        <f t="shared" si="56"/>
        <v>0</v>
      </c>
      <c r="O162">
        <f t="shared" si="56"/>
        <v>1</v>
      </c>
      <c r="P162">
        <f t="shared" si="56"/>
        <v>15</v>
      </c>
      <c r="Q162">
        <f t="shared" si="51"/>
        <v>75</v>
      </c>
      <c r="R162">
        <f t="shared" si="52"/>
        <v>0</v>
      </c>
      <c r="S162">
        <f t="shared" si="53"/>
        <v>1</v>
      </c>
      <c r="T162">
        <f t="shared" si="54"/>
        <v>15</v>
      </c>
      <c r="U162">
        <f t="shared" si="55"/>
        <v>75</v>
      </c>
    </row>
    <row r="163" spans="2:21" hidden="1" x14ac:dyDescent="0.25">
      <c r="B163" t="b">
        <f t="shared" si="40"/>
        <v>0</v>
      </c>
      <c r="C163" t="b">
        <f t="shared" si="50"/>
        <v>0</v>
      </c>
      <c r="D163">
        <f t="shared" si="47"/>
        <v>1</v>
      </c>
      <c r="E163" t="str">
        <f t="shared" si="48"/>
        <v>6. Conclusion</v>
      </c>
      <c r="F163" s="8" t="str">
        <f t="shared" si="39"/>
        <v/>
      </c>
      <c r="G163" t="str">
        <f t="shared" si="41"/>
        <v/>
      </c>
      <c r="H163">
        <f t="shared" si="42"/>
        <v>0</v>
      </c>
      <c r="I163">
        <f t="shared" si="49"/>
        <v>0</v>
      </c>
      <c r="J163">
        <f t="shared" si="43"/>
        <v>4588</v>
      </c>
      <c r="K163">
        <f t="shared" si="44"/>
        <v>1</v>
      </c>
      <c r="L163">
        <f t="shared" si="45"/>
        <v>16</v>
      </c>
      <c r="M163">
        <f t="shared" si="46"/>
        <v>28</v>
      </c>
      <c r="N163">
        <f t="shared" si="56"/>
        <v>0</v>
      </c>
      <c r="O163">
        <f t="shared" si="56"/>
        <v>1</v>
      </c>
      <c r="P163">
        <f t="shared" si="56"/>
        <v>15</v>
      </c>
      <c r="Q163">
        <f t="shared" si="51"/>
        <v>75</v>
      </c>
      <c r="R163">
        <f t="shared" si="52"/>
        <v>0</v>
      </c>
      <c r="S163">
        <f t="shared" si="53"/>
        <v>1</v>
      </c>
      <c r="T163">
        <f t="shared" si="54"/>
        <v>15</v>
      </c>
      <c r="U163">
        <f t="shared" si="55"/>
        <v>75</v>
      </c>
    </row>
    <row r="164" spans="2:21" hidden="1" x14ac:dyDescent="0.25">
      <c r="B164" t="b">
        <f t="shared" si="40"/>
        <v>0</v>
      </c>
      <c r="C164" t="b">
        <f t="shared" si="50"/>
        <v>0</v>
      </c>
      <c r="D164">
        <f t="shared" si="47"/>
        <v>1</v>
      </c>
      <c r="E164" t="str">
        <f t="shared" si="48"/>
        <v>6. Conclusion</v>
      </c>
      <c r="F164" s="8" t="str">
        <f t="shared" si="39"/>
        <v/>
      </c>
      <c r="G164" t="str">
        <f t="shared" si="41"/>
        <v/>
      </c>
      <c r="H164">
        <f t="shared" si="42"/>
        <v>0</v>
      </c>
      <c r="I164">
        <f t="shared" si="49"/>
        <v>0</v>
      </c>
      <c r="J164">
        <f t="shared" si="43"/>
        <v>4588</v>
      </c>
      <c r="K164">
        <f t="shared" si="44"/>
        <v>1</v>
      </c>
      <c r="L164">
        <f t="shared" si="45"/>
        <v>16</v>
      </c>
      <c r="M164">
        <f t="shared" si="46"/>
        <v>28</v>
      </c>
      <c r="N164">
        <f t="shared" si="56"/>
        <v>0</v>
      </c>
      <c r="O164">
        <f t="shared" si="56"/>
        <v>1</v>
      </c>
      <c r="P164">
        <f t="shared" si="56"/>
        <v>15</v>
      </c>
      <c r="Q164">
        <f t="shared" si="51"/>
        <v>75</v>
      </c>
      <c r="R164">
        <f t="shared" si="52"/>
        <v>0</v>
      </c>
      <c r="S164">
        <f t="shared" si="53"/>
        <v>1</v>
      </c>
      <c r="T164">
        <f t="shared" si="54"/>
        <v>15</v>
      </c>
      <c r="U164">
        <f t="shared" si="55"/>
        <v>75</v>
      </c>
    </row>
    <row r="165" spans="2:21" hidden="1" x14ac:dyDescent="0.25">
      <c r="B165" t="b">
        <f t="shared" si="40"/>
        <v>0</v>
      </c>
      <c r="C165" t="b">
        <f t="shared" si="50"/>
        <v>0</v>
      </c>
      <c r="D165">
        <f t="shared" si="47"/>
        <v>1</v>
      </c>
      <c r="E165" t="str">
        <f t="shared" si="48"/>
        <v>6. Conclusion</v>
      </c>
      <c r="F165" s="8" t="str">
        <f t="shared" si="39"/>
        <v/>
      </c>
      <c r="G165" t="str">
        <f t="shared" si="41"/>
        <v/>
      </c>
      <c r="H165">
        <f t="shared" si="42"/>
        <v>0</v>
      </c>
      <c r="I165">
        <f t="shared" si="49"/>
        <v>0</v>
      </c>
      <c r="J165">
        <f t="shared" si="43"/>
        <v>4588</v>
      </c>
      <c r="K165">
        <f t="shared" si="44"/>
        <v>1</v>
      </c>
      <c r="L165">
        <f t="shared" si="45"/>
        <v>16</v>
      </c>
      <c r="M165">
        <f t="shared" si="46"/>
        <v>28</v>
      </c>
      <c r="N165">
        <f t="shared" si="56"/>
        <v>0</v>
      </c>
      <c r="O165">
        <f t="shared" si="56"/>
        <v>1</v>
      </c>
      <c r="P165">
        <f t="shared" si="56"/>
        <v>15</v>
      </c>
      <c r="Q165">
        <f t="shared" si="51"/>
        <v>75</v>
      </c>
      <c r="R165">
        <f t="shared" si="52"/>
        <v>0</v>
      </c>
      <c r="S165">
        <f t="shared" si="53"/>
        <v>1</v>
      </c>
      <c r="T165">
        <f t="shared" si="54"/>
        <v>15</v>
      </c>
      <c r="U165">
        <f t="shared" si="55"/>
        <v>75</v>
      </c>
    </row>
    <row r="166" spans="2:21" hidden="1" x14ac:dyDescent="0.25">
      <c r="B166" t="b">
        <f t="shared" si="40"/>
        <v>0</v>
      </c>
      <c r="C166" t="b">
        <f t="shared" si="50"/>
        <v>0</v>
      </c>
      <c r="D166">
        <f t="shared" si="47"/>
        <v>1</v>
      </c>
      <c r="E166" t="str">
        <f t="shared" si="48"/>
        <v>6. Conclusion</v>
      </c>
      <c r="F166" s="8" t="str">
        <f t="shared" si="39"/>
        <v/>
      </c>
      <c r="G166" t="str">
        <f t="shared" si="41"/>
        <v/>
      </c>
      <c r="H166">
        <f t="shared" si="42"/>
        <v>0</v>
      </c>
      <c r="I166">
        <f t="shared" si="49"/>
        <v>0</v>
      </c>
      <c r="J166">
        <f t="shared" si="43"/>
        <v>4588</v>
      </c>
      <c r="K166">
        <f t="shared" si="44"/>
        <v>1</v>
      </c>
      <c r="L166">
        <f t="shared" si="45"/>
        <v>16</v>
      </c>
      <c r="M166">
        <f t="shared" si="46"/>
        <v>28</v>
      </c>
      <c r="N166">
        <f t="shared" si="56"/>
        <v>0</v>
      </c>
      <c r="O166">
        <f t="shared" si="56"/>
        <v>1</v>
      </c>
      <c r="P166">
        <f t="shared" si="56"/>
        <v>15</v>
      </c>
      <c r="Q166">
        <f t="shared" si="51"/>
        <v>75</v>
      </c>
      <c r="R166">
        <f t="shared" si="52"/>
        <v>0</v>
      </c>
      <c r="S166">
        <f t="shared" si="53"/>
        <v>1</v>
      </c>
      <c r="T166">
        <f t="shared" si="54"/>
        <v>15</v>
      </c>
      <c r="U166">
        <f t="shared" si="55"/>
        <v>75</v>
      </c>
    </row>
    <row r="167" spans="2:21" hidden="1" x14ac:dyDescent="0.25">
      <c r="B167" t="b">
        <f t="shared" si="40"/>
        <v>0</v>
      </c>
      <c r="C167" t="b">
        <f t="shared" si="50"/>
        <v>0</v>
      </c>
      <c r="D167">
        <f t="shared" si="47"/>
        <v>1</v>
      </c>
      <c r="E167" t="str">
        <f t="shared" si="48"/>
        <v>6. Conclusion</v>
      </c>
      <c r="F167" s="8" t="str">
        <f t="shared" si="39"/>
        <v/>
      </c>
      <c r="G167" t="str">
        <f t="shared" si="41"/>
        <v/>
      </c>
      <c r="H167">
        <f t="shared" si="42"/>
        <v>0</v>
      </c>
      <c r="I167">
        <f t="shared" si="49"/>
        <v>0</v>
      </c>
      <c r="J167">
        <f t="shared" si="43"/>
        <v>4588</v>
      </c>
      <c r="K167">
        <f t="shared" si="44"/>
        <v>1</v>
      </c>
      <c r="L167">
        <f t="shared" si="45"/>
        <v>16</v>
      </c>
      <c r="M167">
        <f t="shared" si="46"/>
        <v>28</v>
      </c>
      <c r="N167">
        <f t="shared" si="56"/>
        <v>0</v>
      </c>
      <c r="O167">
        <f t="shared" si="56"/>
        <v>1</v>
      </c>
      <c r="P167">
        <f t="shared" si="56"/>
        <v>15</v>
      </c>
      <c r="Q167">
        <f t="shared" si="51"/>
        <v>75</v>
      </c>
      <c r="R167">
        <f t="shared" si="52"/>
        <v>0</v>
      </c>
      <c r="S167">
        <f t="shared" si="53"/>
        <v>1</v>
      </c>
      <c r="T167">
        <f t="shared" si="54"/>
        <v>15</v>
      </c>
      <c r="U167">
        <f t="shared" si="55"/>
        <v>75</v>
      </c>
    </row>
    <row r="168" spans="2:21" hidden="1" x14ac:dyDescent="0.25">
      <c r="B168" t="b">
        <f t="shared" si="40"/>
        <v>0</v>
      </c>
      <c r="C168" t="b">
        <f t="shared" si="50"/>
        <v>0</v>
      </c>
      <c r="D168">
        <f t="shared" si="47"/>
        <v>1</v>
      </c>
      <c r="E168" t="str">
        <f t="shared" si="48"/>
        <v>6. Conclusion</v>
      </c>
      <c r="F168" s="8" t="str">
        <f t="shared" ref="F168:F231" si="57">SUBSTITUTE(IF(C168,D168&amp;". "&amp;A168,""),":"," -")</f>
        <v/>
      </c>
      <c r="G168" t="str">
        <f t="shared" si="41"/>
        <v/>
      </c>
      <c r="H168">
        <f t="shared" si="42"/>
        <v>0</v>
      </c>
      <c r="I168">
        <f t="shared" si="49"/>
        <v>0</v>
      </c>
      <c r="J168">
        <f t="shared" si="43"/>
        <v>4588</v>
      </c>
      <c r="K168">
        <f t="shared" si="44"/>
        <v>1</v>
      </c>
      <c r="L168">
        <f t="shared" si="45"/>
        <v>16</v>
      </c>
      <c r="M168">
        <f t="shared" si="46"/>
        <v>28</v>
      </c>
      <c r="N168">
        <f t="shared" si="56"/>
        <v>0</v>
      </c>
      <c r="O168">
        <f t="shared" si="56"/>
        <v>1</v>
      </c>
      <c r="P168">
        <f t="shared" si="56"/>
        <v>15</v>
      </c>
      <c r="Q168">
        <f t="shared" si="51"/>
        <v>75</v>
      </c>
      <c r="R168">
        <f t="shared" si="52"/>
        <v>0</v>
      </c>
      <c r="S168">
        <f t="shared" si="53"/>
        <v>1</v>
      </c>
      <c r="T168">
        <f t="shared" si="54"/>
        <v>15</v>
      </c>
      <c r="U168">
        <f t="shared" si="55"/>
        <v>75</v>
      </c>
    </row>
    <row r="169" spans="2:21" hidden="1" x14ac:dyDescent="0.25">
      <c r="B169" t="b">
        <f t="shared" si="40"/>
        <v>0</v>
      </c>
      <c r="C169" t="b">
        <f t="shared" si="50"/>
        <v>0</v>
      </c>
      <c r="D169">
        <f t="shared" si="47"/>
        <v>1</v>
      </c>
      <c r="E169" t="str">
        <f t="shared" si="48"/>
        <v>6. Conclusion</v>
      </c>
      <c r="F169" s="8" t="str">
        <f t="shared" si="57"/>
        <v/>
      </c>
      <c r="G169" t="str">
        <f t="shared" si="41"/>
        <v/>
      </c>
      <c r="H169">
        <f t="shared" si="42"/>
        <v>0</v>
      </c>
      <c r="I169">
        <f t="shared" si="49"/>
        <v>0</v>
      </c>
      <c r="J169">
        <f t="shared" si="43"/>
        <v>4588</v>
      </c>
      <c r="K169">
        <f t="shared" si="44"/>
        <v>1</v>
      </c>
      <c r="L169">
        <f t="shared" si="45"/>
        <v>16</v>
      </c>
      <c r="M169">
        <f t="shared" si="46"/>
        <v>28</v>
      </c>
      <c r="N169">
        <f t="shared" si="56"/>
        <v>0</v>
      </c>
      <c r="O169">
        <f t="shared" si="56"/>
        <v>1</v>
      </c>
      <c r="P169">
        <f t="shared" si="56"/>
        <v>15</v>
      </c>
      <c r="Q169">
        <f t="shared" si="51"/>
        <v>75</v>
      </c>
      <c r="R169">
        <f t="shared" si="52"/>
        <v>0</v>
      </c>
      <c r="S169">
        <f t="shared" si="53"/>
        <v>1</v>
      </c>
      <c r="T169">
        <f t="shared" si="54"/>
        <v>15</v>
      </c>
      <c r="U169">
        <f t="shared" si="55"/>
        <v>75</v>
      </c>
    </row>
    <row r="170" spans="2:21" hidden="1" x14ac:dyDescent="0.25">
      <c r="B170" t="b">
        <f t="shared" si="40"/>
        <v>0</v>
      </c>
      <c r="C170" t="b">
        <f t="shared" si="50"/>
        <v>0</v>
      </c>
      <c r="D170">
        <f t="shared" si="47"/>
        <v>1</v>
      </c>
      <c r="E170" t="str">
        <f t="shared" si="48"/>
        <v>6. Conclusion</v>
      </c>
      <c r="F170" s="8" t="str">
        <f t="shared" si="57"/>
        <v/>
      </c>
      <c r="G170" t="str">
        <f t="shared" si="41"/>
        <v/>
      </c>
      <c r="H170">
        <f t="shared" si="42"/>
        <v>0</v>
      </c>
      <c r="I170">
        <f t="shared" si="49"/>
        <v>0</v>
      </c>
      <c r="J170">
        <f t="shared" si="43"/>
        <v>4588</v>
      </c>
      <c r="K170">
        <f t="shared" si="44"/>
        <v>1</v>
      </c>
      <c r="L170">
        <f t="shared" si="45"/>
        <v>16</v>
      </c>
      <c r="M170">
        <f t="shared" si="46"/>
        <v>28</v>
      </c>
      <c r="N170">
        <f t="shared" si="56"/>
        <v>0</v>
      </c>
      <c r="O170">
        <f t="shared" si="56"/>
        <v>1</v>
      </c>
      <c r="P170">
        <f t="shared" si="56"/>
        <v>15</v>
      </c>
      <c r="Q170">
        <f t="shared" si="51"/>
        <v>75</v>
      </c>
      <c r="R170">
        <f t="shared" si="52"/>
        <v>0</v>
      </c>
      <c r="S170">
        <f t="shared" si="53"/>
        <v>1</v>
      </c>
      <c r="T170">
        <f t="shared" si="54"/>
        <v>15</v>
      </c>
      <c r="U170">
        <f t="shared" si="55"/>
        <v>75</v>
      </c>
    </row>
    <row r="171" spans="2:21" hidden="1" x14ac:dyDescent="0.25">
      <c r="B171" t="b">
        <f t="shared" si="40"/>
        <v>0</v>
      </c>
      <c r="C171" t="b">
        <f t="shared" si="50"/>
        <v>0</v>
      </c>
      <c r="D171">
        <f t="shared" si="47"/>
        <v>1</v>
      </c>
      <c r="E171" t="str">
        <f t="shared" si="48"/>
        <v>6. Conclusion</v>
      </c>
      <c r="F171" s="8" t="str">
        <f t="shared" si="57"/>
        <v/>
      </c>
      <c r="G171" t="str">
        <f t="shared" si="41"/>
        <v/>
      </c>
      <c r="H171">
        <f t="shared" si="42"/>
        <v>0</v>
      </c>
      <c r="I171">
        <f t="shared" si="49"/>
        <v>0</v>
      </c>
      <c r="J171">
        <f t="shared" si="43"/>
        <v>4588</v>
      </c>
      <c r="K171">
        <f t="shared" si="44"/>
        <v>1</v>
      </c>
      <c r="L171">
        <f t="shared" si="45"/>
        <v>16</v>
      </c>
      <c r="M171">
        <f t="shared" si="46"/>
        <v>28</v>
      </c>
      <c r="N171">
        <f t="shared" si="56"/>
        <v>0</v>
      </c>
      <c r="O171">
        <f t="shared" si="56"/>
        <v>1</v>
      </c>
      <c r="P171">
        <f t="shared" si="56"/>
        <v>15</v>
      </c>
      <c r="Q171">
        <f t="shared" si="51"/>
        <v>75</v>
      </c>
      <c r="R171">
        <f t="shared" si="52"/>
        <v>0</v>
      </c>
      <c r="S171">
        <f t="shared" si="53"/>
        <v>1</v>
      </c>
      <c r="T171">
        <f t="shared" si="54"/>
        <v>15</v>
      </c>
      <c r="U171">
        <f t="shared" si="55"/>
        <v>75</v>
      </c>
    </row>
    <row r="172" spans="2:21" hidden="1" x14ac:dyDescent="0.25">
      <c r="B172" t="b">
        <f t="shared" si="40"/>
        <v>0</v>
      </c>
      <c r="C172" t="b">
        <f t="shared" si="50"/>
        <v>0</v>
      </c>
      <c r="D172">
        <f t="shared" si="47"/>
        <v>1</v>
      </c>
      <c r="E172" t="str">
        <f t="shared" si="48"/>
        <v>6. Conclusion</v>
      </c>
      <c r="F172" s="8" t="str">
        <f t="shared" si="57"/>
        <v/>
      </c>
      <c r="G172" t="str">
        <f t="shared" si="41"/>
        <v/>
      </c>
      <c r="H172">
        <f t="shared" si="42"/>
        <v>0</v>
      </c>
      <c r="I172">
        <f t="shared" si="49"/>
        <v>0</v>
      </c>
      <c r="J172">
        <f t="shared" si="43"/>
        <v>4588</v>
      </c>
      <c r="K172">
        <f t="shared" si="44"/>
        <v>1</v>
      </c>
      <c r="L172">
        <f t="shared" si="45"/>
        <v>16</v>
      </c>
      <c r="M172">
        <f t="shared" si="46"/>
        <v>28</v>
      </c>
      <c r="N172">
        <f t="shared" si="56"/>
        <v>0</v>
      </c>
      <c r="O172">
        <f t="shared" si="56"/>
        <v>1</v>
      </c>
      <c r="P172">
        <f t="shared" si="56"/>
        <v>15</v>
      </c>
      <c r="Q172">
        <f t="shared" si="51"/>
        <v>75</v>
      </c>
      <c r="R172">
        <f t="shared" si="52"/>
        <v>0</v>
      </c>
      <c r="S172">
        <f t="shared" si="53"/>
        <v>1</v>
      </c>
      <c r="T172">
        <f t="shared" si="54"/>
        <v>15</v>
      </c>
      <c r="U172">
        <f t="shared" si="55"/>
        <v>75</v>
      </c>
    </row>
    <row r="173" spans="2:21" hidden="1" x14ac:dyDescent="0.25">
      <c r="B173" t="b">
        <f t="shared" si="40"/>
        <v>0</v>
      </c>
      <c r="C173" t="b">
        <f t="shared" si="50"/>
        <v>0</v>
      </c>
      <c r="D173">
        <f t="shared" si="47"/>
        <v>1</v>
      </c>
      <c r="E173" t="str">
        <f t="shared" si="48"/>
        <v>6. Conclusion</v>
      </c>
      <c r="F173" s="8" t="str">
        <f t="shared" si="57"/>
        <v/>
      </c>
      <c r="G173" t="str">
        <f t="shared" si="41"/>
        <v/>
      </c>
      <c r="H173">
        <f t="shared" si="42"/>
        <v>0</v>
      </c>
      <c r="I173">
        <f t="shared" si="49"/>
        <v>0</v>
      </c>
      <c r="J173">
        <f t="shared" si="43"/>
        <v>4588</v>
      </c>
      <c r="K173">
        <f t="shared" si="44"/>
        <v>1</v>
      </c>
      <c r="L173">
        <f t="shared" si="45"/>
        <v>16</v>
      </c>
      <c r="M173">
        <f t="shared" si="46"/>
        <v>28</v>
      </c>
      <c r="N173">
        <f t="shared" si="56"/>
        <v>0</v>
      </c>
      <c r="O173">
        <f t="shared" si="56"/>
        <v>1</v>
      </c>
      <c r="P173">
        <f t="shared" si="56"/>
        <v>15</v>
      </c>
      <c r="Q173">
        <f t="shared" si="51"/>
        <v>75</v>
      </c>
      <c r="R173">
        <f t="shared" si="52"/>
        <v>0</v>
      </c>
      <c r="S173">
        <f t="shared" si="53"/>
        <v>1</v>
      </c>
      <c r="T173">
        <f t="shared" si="54"/>
        <v>15</v>
      </c>
      <c r="U173">
        <f t="shared" si="55"/>
        <v>75</v>
      </c>
    </row>
    <row r="174" spans="2:21" hidden="1" x14ac:dyDescent="0.25">
      <c r="B174" t="b">
        <f t="shared" si="40"/>
        <v>0</v>
      </c>
      <c r="C174" t="b">
        <f t="shared" si="50"/>
        <v>0</v>
      </c>
      <c r="D174">
        <f t="shared" si="47"/>
        <v>1</v>
      </c>
      <c r="E174" t="str">
        <f t="shared" si="48"/>
        <v>6. Conclusion</v>
      </c>
      <c r="F174" s="8" t="str">
        <f t="shared" si="57"/>
        <v/>
      </c>
      <c r="G174" t="str">
        <f t="shared" si="41"/>
        <v/>
      </c>
      <c r="H174">
        <f t="shared" si="42"/>
        <v>0</v>
      </c>
      <c r="I174">
        <f t="shared" si="49"/>
        <v>0</v>
      </c>
      <c r="J174">
        <f t="shared" si="43"/>
        <v>4588</v>
      </c>
      <c r="K174">
        <f t="shared" si="44"/>
        <v>1</v>
      </c>
      <c r="L174">
        <f t="shared" si="45"/>
        <v>16</v>
      </c>
      <c r="M174">
        <f t="shared" si="46"/>
        <v>28</v>
      </c>
      <c r="N174">
        <f t="shared" si="56"/>
        <v>0</v>
      </c>
      <c r="O174">
        <f t="shared" si="56"/>
        <v>1</v>
      </c>
      <c r="P174">
        <f t="shared" si="56"/>
        <v>15</v>
      </c>
      <c r="Q174">
        <f t="shared" si="51"/>
        <v>75</v>
      </c>
      <c r="R174">
        <f t="shared" si="52"/>
        <v>0</v>
      </c>
      <c r="S174">
        <f t="shared" si="53"/>
        <v>1</v>
      </c>
      <c r="T174">
        <f t="shared" si="54"/>
        <v>15</v>
      </c>
      <c r="U174">
        <f t="shared" si="55"/>
        <v>75</v>
      </c>
    </row>
    <row r="175" spans="2:21" hidden="1" x14ac:dyDescent="0.25">
      <c r="B175" t="b">
        <f t="shared" si="40"/>
        <v>0</v>
      </c>
      <c r="C175" t="b">
        <f t="shared" si="50"/>
        <v>0</v>
      </c>
      <c r="D175">
        <f t="shared" si="47"/>
        <v>1</v>
      </c>
      <c r="E175" t="str">
        <f t="shared" si="48"/>
        <v>6. Conclusion</v>
      </c>
      <c r="F175" s="8" t="str">
        <f t="shared" si="57"/>
        <v/>
      </c>
      <c r="G175" t="str">
        <f t="shared" si="41"/>
        <v/>
      </c>
      <c r="H175">
        <f t="shared" si="42"/>
        <v>0</v>
      </c>
      <c r="I175">
        <f t="shared" si="49"/>
        <v>0</v>
      </c>
      <c r="J175">
        <f t="shared" si="43"/>
        <v>4588</v>
      </c>
      <c r="K175">
        <f t="shared" si="44"/>
        <v>1</v>
      </c>
      <c r="L175">
        <f t="shared" si="45"/>
        <v>16</v>
      </c>
      <c r="M175">
        <f t="shared" si="46"/>
        <v>28</v>
      </c>
      <c r="N175">
        <f t="shared" si="56"/>
        <v>0</v>
      </c>
      <c r="O175">
        <f t="shared" si="56"/>
        <v>1</v>
      </c>
      <c r="P175">
        <f t="shared" si="56"/>
        <v>15</v>
      </c>
      <c r="Q175">
        <f t="shared" si="51"/>
        <v>75</v>
      </c>
      <c r="R175">
        <f t="shared" si="52"/>
        <v>0</v>
      </c>
      <c r="S175">
        <f t="shared" si="53"/>
        <v>1</v>
      </c>
      <c r="T175">
        <f t="shared" si="54"/>
        <v>15</v>
      </c>
      <c r="U175">
        <f t="shared" si="55"/>
        <v>75</v>
      </c>
    </row>
    <row r="176" spans="2:21" hidden="1" x14ac:dyDescent="0.25">
      <c r="B176" t="b">
        <f t="shared" si="40"/>
        <v>0</v>
      </c>
      <c r="C176" t="b">
        <f t="shared" si="50"/>
        <v>0</v>
      </c>
      <c r="D176">
        <f t="shared" si="47"/>
        <v>1</v>
      </c>
      <c r="E176" t="str">
        <f t="shared" si="48"/>
        <v>6. Conclusion</v>
      </c>
      <c r="F176" s="8" t="str">
        <f t="shared" si="57"/>
        <v/>
      </c>
      <c r="G176" t="str">
        <f t="shared" si="41"/>
        <v/>
      </c>
      <c r="H176">
        <f t="shared" si="42"/>
        <v>0</v>
      </c>
      <c r="I176">
        <f t="shared" si="49"/>
        <v>0</v>
      </c>
      <c r="J176">
        <f t="shared" si="43"/>
        <v>4588</v>
      </c>
      <c r="K176">
        <f t="shared" si="44"/>
        <v>1</v>
      </c>
      <c r="L176">
        <f t="shared" si="45"/>
        <v>16</v>
      </c>
      <c r="M176">
        <f t="shared" si="46"/>
        <v>28</v>
      </c>
      <c r="N176">
        <f t="shared" si="56"/>
        <v>0</v>
      </c>
      <c r="O176">
        <f t="shared" si="56"/>
        <v>1</v>
      </c>
      <c r="P176">
        <f t="shared" si="56"/>
        <v>15</v>
      </c>
      <c r="Q176">
        <f t="shared" si="51"/>
        <v>75</v>
      </c>
      <c r="R176">
        <f t="shared" si="52"/>
        <v>0</v>
      </c>
      <c r="S176">
        <f t="shared" si="53"/>
        <v>1</v>
      </c>
      <c r="T176">
        <f t="shared" si="54"/>
        <v>15</v>
      </c>
      <c r="U176">
        <f t="shared" si="55"/>
        <v>75</v>
      </c>
    </row>
    <row r="177" spans="2:21" hidden="1" x14ac:dyDescent="0.25">
      <c r="B177" t="b">
        <f t="shared" si="40"/>
        <v>0</v>
      </c>
      <c r="C177" t="b">
        <f t="shared" si="50"/>
        <v>0</v>
      </c>
      <c r="D177">
        <f t="shared" si="47"/>
        <v>1</v>
      </c>
      <c r="E177" t="str">
        <f t="shared" si="48"/>
        <v>6. Conclusion</v>
      </c>
      <c r="F177" s="8" t="str">
        <f t="shared" si="57"/>
        <v/>
      </c>
      <c r="G177" t="str">
        <f t="shared" si="41"/>
        <v/>
      </c>
      <c r="H177">
        <f t="shared" si="42"/>
        <v>0</v>
      </c>
      <c r="I177">
        <f t="shared" si="49"/>
        <v>0</v>
      </c>
      <c r="J177">
        <f t="shared" si="43"/>
        <v>4588</v>
      </c>
      <c r="K177">
        <f t="shared" si="44"/>
        <v>1</v>
      </c>
      <c r="L177">
        <f t="shared" si="45"/>
        <v>16</v>
      </c>
      <c r="M177">
        <f t="shared" si="46"/>
        <v>28</v>
      </c>
      <c r="N177">
        <f t="shared" si="56"/>
        <v>0</v>
      </c>
      <c r="O177">
        <f t="shared" si="56"/>
        <v>1</v>
      </c>
      <c r="P177">
        <f t="shared" si="56"/>
        <v>15</v>
      </c>
      <c r="Q177">
        <f t="shared" si="51"/>
        <v>75</v>
      </c>
      <c r="R177">
        <f t="shared" si="52"/>
        <v>0</v>
      </c>
      <c r="S177">
        <f t="shared" si="53"/>
        <v>1</v>
      </c>
      <c r="T177">
        <f t="shared" si="54"/>
        <v>15</v>
      </c>
      <c r="U177">
        <f t="shared" si="55"/>
        <v>75</v>
      </c>
    </row>
    <row r="178" spans="2:21" hidden="1" x14ac:dyDescent="0.25">
      <c r="B178" t="b">
        <f t="shared" si="40"/>
        <v>0</v>
      </c>
      <c r="C178" t="b">
        <f t="shared" si="50"/>
        <v>0</v>
      </c>
      <c r="D178">
        <f t="shared" si="47"/>
        <v>1</v>
      </c>
      <c r="E178" t="str">
        <f t="shared" si="48"/>
        <v>6. Conclusion</v>
      </c>
      <c r="F178" s="8" t="str">
        <f t="shared" si="57"/>
        <v/>
      </c>
      <c r="G178" t="str">
        <f t="shared" si="41"/>
        <v/>
      </c>
      <c r="H178">
        <f t="shared" si="42"/>
        <v>0</v>
      </c>
      <c r="I178">
        <f t="shared" si="49"/>
        <v>0</v>
      </c>
      <c r="J178">
        <f t="shared" si="43"/>
        <v>4588</v>
      </c>
      <c r="K178">
        <f t="shared" si="44"/>
        <v>1</v>
      </c>
      <c r="L178">
        <f t="shared" si="45"/>
        <v>16</v>
      </c>
      <c r="M178">
        <f t="shared" si="46"/>
        <v>28</v>
      </c>
      <c r="N178">
        <f t="shared" si="56"/>
        <v>0</v>
      </c>
      <c r="O178">
        <f t="shared" si="56"/>
        <v>1</v>
      </c>
      <c r="P178">
        <f t="shared" si="56"/>
        <v>15</v>
      </c>
      <c r="Q178">
        <f t="shared" si="51"/>
        <v>75</v>
      </c>
      <c r="R178">
        <f t="shared" si="52"/>
        <v>0</v>
      </c>
      <c r="S178">
        <f t="shared" si="53"/>
        <v>1</v>
      </c>
      <c r="T178">
        <f t="shared" si="54"/>
        <v>15</v>
      </c>
      <c r="U178">
        <f t="shared" si="55"/>
        <v>75</v>
      </c>
    </row>
    <row r="179" spans="2:21" hidden="1" x14ac:dyDescent="0.25">
      <c r="B179" t="b">
        <f t="shared" si="40"/>
        <v>0</v>
      </c>
      <c r="C179" t="b">
        <f t="shared" si="50"/>
        <v>0</v>
      </c>
      <c r="D179">
        <f t="shared" si="47"/>
        <v>1</v>
      </c>
      <c r="E179" t="str">
        <f t="shared" si="48"/>
        <v>6. Conclusion</v>
      </c>
      <c r="F179" s="8" t="str">
        <f t="shared" si="57"/>
        <v/>
      </c>
      <c r="G179" t="str">
        <f t="shared" si="41"/>
        <v/>
      </c>
      <c r="H179">
        <f t="shared" si="42"/>
        <v>0</v>
      </c>
      <c r="I179">
        <f t="shared" si="49"/>
        <v>0</v>
      </c>
      <c r="J179">
        <f t="shared" si="43"/>
        <v>4588</v>
      </c>
      <c r="K179">
        <f t="shared" si="44"/>
        <v>1</v>
      </c>
      <c r="L179">
        <f t="shared" si="45"/>
        <v>16</v>
      </c>
      <c r="M179">
        <f t="shared" si="46"/>
        <v>28</v>
      </c>
      <c r="N179">
        <f t="shared" si="56"/>
        <v>0</v>
      </c>
      <c r="O179">
        <f t="shared" si="56"/>
        <v>1</v>
      </c>
      <c r="P179">
        <f t="shared" si="56"/>
        <v>15</v>
      </c>
      <c r="Q179">
        <f t="shared" si="51"/>
        <v>75</v>
      </c>
      <c r="R179">
        <f t="shared" si="52"/>
        <v>0</v>
      </c>
      <c r="S179">
        <f t="shared" si="53"/>
        <v>1</v>
      </c>
      <c r="T179">
        <f t="shared" si="54"/>
        <v>15</v>
      </c>
      <c r="U179">
        <f t="shared" si="55"/>
        <v>75</v>
      </c>
    </row>
    <row r="180" spans="2:21" hidden="1" x14ac:dyDescent="0.25">
      <c r="B180" t="b">
        <f t="shared" si="40"/>
        <v>0</v>
      </c>
      <c r="C180" t="b">
        <f t="shared" si="50"/>
        <v>0</v>
      </c>
      <c r="D180">
        <f t="shared" si="47"/>
        <v>1</v>
      </c>
      <c r="E180" t="str">
        <f t="shared" si="48"/>
        <v>6. Conclusion</v>
      </c>
      <c r="F180" s="8" t="str">
        <f t="shared" si="57"/>
        <v/>
      </c>
      <c r="G180" t="str">
        <f t="shared" si="41"/>
        <v/>
      </c>
      <c r="H180">
        <f t="shared" si="42"/>
        <v>0</v>
      </c>
      <c r="I180">
        <f t="shared" si="49"/>
        <v>0</v>
      </c>
      <c r="J180">
        <f t="shared" si="43"/>
        <v>4588</v>
      </c>
      <c r="K180">
        <f t="shared" si="44"/>
        <v>1</v>
      </c>
      <c r="L180">
        <f t="shared" si="45"/>
        <v>16</v>
      </c>
      <c r="M180">
        <f t="shared" si="46"/>
        <v>28</v>
      </c>
      <c r="N180">
        <f t="shared" si="56"/>
        <v>0</v>
      </c>
      <c r="O180">
        <f t="shared" si="56"/>
        <v>1</v>
      </c>
      <c r="P180">
        <f t="shared" si="56"/>
        <v>15</v>
      </c>
      <c r="Q180">
        <f t="shared" si="51"/>
        <v>75</v>
      </c>
      <c r="R180">
        <f t="shared" si="52"/>
        <v>0</v>
      </c>
      <c r="S180">
        <f t="shared" si="53"/>
        <v>1</v>
      </c>
      <c r="T180">
        <f t="shared" si="54"/>
        <v>15</v>
      </c>
      <c r="U180">
        <f t="shared" si="55"/>
        <v>75</v>
      </c>
    </row>
    <row r="181" spans="2:21" hidden="1" x14ac:dyDescent="0.25">
      <c r="B181" t="b">
        <f t="shared" si="40"/>
        <v>0</v>
      </c>
      <c r="C181" t="b">
        <f t="shared" si="50"/>
        <v>0</v>
      </c>
      <c r="D181">
        <f t="shared" si="47"/>
        <v>1</v>
      </c>
      <c r="E181" t="str">
        <f t="shared" si="48"/>
        <v>6. Conclusion</v>
      </c>
      <c r="F181" s="8" t="str">
        <f t="shared" si="57"/>
        <v/>
      </c>
      <c r="G181" t="str">
        <f t="shared" si="41"/>
        <v/>
      </c>
      <c r="H181">
        <f t="shared" si="42"/>
        <v>0</v>
      </c>
      <c r="I181">
        <f t="shared" si="49"/>
        <v>0</v>
      </c>
      <c r="J181">
        <f t="shared" si="43"/>
        <v>4588</v>
      </c>
      <c r="K181">
        <f t="shared" si="44"/>
        <v>1</v>
      </c>
      <c r="L181">
        <f t="shared" si="45"/>
        <v>16</v>
      </c>
      <c r="M181">
        <f t="shared" si="46"/>
        <v>28</v>
      </c>
      <c r="N181">
        <f t="shared" si="56"/>
        <v>0</v>
      </c>
      <c r="O181">
        <f t="shared" si="56"/>
        <v>1</v>
      </c>
      <c r="P181">
        <f t="shared" si="56"/>
        <v>15</v>
      </c>
      <c r="Q181">
        <f t="shared" si="51"/>
        <v>75</v>
      </c>
      <c r="R181">
        <f t="shared" si="52"/>
        <v>0</v>
      </c>
      <c r="S181">
        <f t="shared" si="53"/>
        <v>1</v>
      </c>
      <c r="T181">
        <f t="shared" si="54"/>
        <v>15</v>
      </c>
      <c r="U181">
        <f t="shared" si="55"/>
        <v>75</v>
      </c>
    </row>
    <row r="182" spans="2:21" hidden="1" x14ac:dyDescent="0.25">
      <c r="B182" t="b">
        <f t="shared" si="40"/>
        <v>0</v>
      </c>
      <c r="C182" t="b">
        <f t="shared" si="50"/>
        <v>0</v>
      </c>
      <c r="D182">
        <f t="shared" si="47"/>
        <v>1</v>
      </c>
      <c r="E182" t="str">
        <f t="shared" si="48"/>
        <v>6. Conclusion</v>
      </c>
      <c r="F182" s="8" t="str">
        <f t="shared" si="57"/>
        <v/>
      </c>
      <c r="G182" t="str">
        <f t="shared" si="41"/>
        <v/>
      </c>
      <c r="H182">
        <f t="shared" si="42"/>
        <v>0</v>
      </c>
      <c r="I182">
        <f t="shared" si="49"/>
        <v>0</v>
      </c>
      <c r="J182">
        <f t="shared" si="43"/>
        <v>4588</v>
      </c>
      <c r="K182">
        <f t="shared" si="44"/>
        <v>1</v>
      </c>
      <c r="L182">
        <f t="shared" si="45"/>
        <v>16</v>
      </c>
      <c r="M182">
        <f t="shared" si="46"/>
        <v>28</v>
      </c>
      <c r="N182">
        <f t="shared" si="56"/>
        <v>0</v>
      </c>
      <c r="O182">
        <f t="shared" si="56"/>
        <v>1</v>
      </c>
      <c r="P182">
        <f t="shared" si="56"/>
        <v>15</v>
      </c>
      <c r="Q182">
        <f t="shared" si="51"/>
        <v>75</v>
      </c>
      <c r="R182">
        <f t="shared" si="52"/>
        <v>0</v>
      </c>
      <c r="S182">
        <f t="shared" si="53"/>
        <v>1</v>
      </c>
      <c r="T182">
        <f t="shared" si="54"/>
        <v>15</v>
      </c>
      <c r="U182">
        <f t="shared" si="55"/>
        <v>75</v>
      </c>
    </row>
    <row r="183" spans="2:21" hidden="1" x14ac:dyDescent="0.25">
      <c r="B183" t="b">
        <f t="shared" si="40"/>
        <v>0</v>
      </c>
      <c r="C183" t="b">
        <f t="shared" si="50"/>
        <v>0</v>
      </c>
      <c r="D183">
        <f t="shared" si="47"/>
        <v>1</v>
      </c>
      <c r="E183" t="str">
        <f t="shared" si="48"/>
        <v>6. Conclusion</v>
      </c>
      <c r="F183" s="8" t="str">
        <f t="shared" si="57"/>
        <v/>
      </c>
      <c r="G183" t="str">
        <f t="shared" si="41"/>
        <v/>
      </c>
      <c r="H183">
        <f t="shared" si="42"/>
        <v>0</v>
      </c>
      <c r="I183">
        <f t="shared" si="49"/>
        <v>0</v>
      </c>
      <c r="J183">
        <f t="shared" si="43"/>
        <v>4588</v>
      </c>
      <c r="K183">
        <f t="shared" si="44"/>
        <v>1</v>
      </c>
      <c r="L183">
        <f t="shared" si="45"/>
        <v>16</v>
      </c>
      <c r="M183">
        <f t="shared" si="46"/>
        <v>28</v>
      </c>
      <c r="N183">
        <f t="shared" si="56"/>
        <v>0</v>
      </c>
      <c r="O183">
        <f t="shared" si="56"/>
        <v>1</v>
      </c>
      <c r="P183">
        <f t="shared" si="56"/>
        <v>15</v>
      </c>
      <c r="Q183">
        <f t="shared" si="51"/>
        <v>75</v>
      </c>
      <c r="R183">
        <f t="shared" si="52"/>
        <v>0</v>
      </c>
      <c r="S183">
        <f t="shared" si="53"/>
        <v>1</v>
      </c>
      <c r="T183">
        <f t="shared" si="54"/>
        <v>15</v>
      </c>
      <c r="U183">
        <f t="shared" si="55"/>
        <v>75</v>
      </c>
    </row>
    <row r="184" spans="2:21" hidden="1" x14ac:dyDescent="0.25">
      <c r="B184" t="b">
        <f t="shared" si="40"/>
        <v>0</v>
      </c>
      <c r="C184" t="b">
        <f t="shared" si="50"/>
        <v>0</v>
      </c>
      <c r="D184">
        <f t="shared" si="47"/>
        <v>1</v>
      </c>
      <c r="E184" t="str">
        <f t="shared" si="48"/>
        <v>6. Conclusion</v>
      </c>
      <c r="F184" s="8" t="str">
        <f t="shared" si="57"/>
        <v/>
      </c>
      <c r="G184" t="str">
        <f t="shared" si="41"/>
        <v/>
      </c>
      <c r="H184">
        <f t="shared" si="42"/>
        <v>0</v>
      </c>
      <c r="I184">
        <f t="shared" si="49"/>
        <v>0</v>
      </c>
      <c r="J184">
        <f t="shared" si="43"/>
        <v>4588</v>
      </c>
      <c r="K184">
        <f t="shared" si="44"/>
        <v>1</v>
      </c>
      <c r="L184">
        <f t="shared" si="45"/>
        <v>16</v>
      </c>
      <c r="M184">
        <f t="shared" si="46"/>
        <v>28</v>
      </c>
      <c r="N184">
        <f t="shared" si="56"/>
        <v>0</v>
      </c>
      <c r="O184">
        <f t="shared" si="56"/>
        <v>1</v>
      </c>
      <c r="P184">
        <f t="shared" si="56"/>
        <v>15</v>
      </c>
      <c r="Q184">
        <f t="shared" si="51"/>
        <v>75</v>
      </c>
      <c r="R184">
        <f t="shared" si="52"/>
        <v>0</v>
      </c>
      <c r="S184">
        <f t="shared" si="53"/>
        <v>1</v>
      </c>
      <c r="T184">
        <f t="shared" si="54"/>
        <v>15</v>
      </c>
      <c r="U184">
        <f t="shared" si="55"/>
        <v>75</v>
      </c>
    </row>
    <row r="185" spans="2:21" hidden="1" x14ac:dyDescent="0.25">
      <c r="B185" t="b">
        <f t="shared" si="40"/>
        <v>0</v>
      </c>
      <c r="C185" t="b">
        <f t="shared" si="50"/>
        <v>0</v>
      </c>
      <c r="D185">
        <f t="shared" si="47"/>
        <v>1</v>
      </c>
      <c r="E185" t="str">
        <f t="shared" si="48"/>
        <v>6. Conclusion</v>
      </c>
      <c r="F185" s="8" t="str">
        <f t="shared" si="57"/>
        <v/>
      </c>
      <c r="G185" t="str">
        <f t="shared" si="41"/>
        <v/>
      </c>
      <c r="H185">
        <f t="shared" si="42"/>
        <v>0</v>
      </c>
      <c r="I185">
        <f t="shared" si="49"/>
        <v>0</v>
      </c>
      <c r="J185">
        <f t="shared" si="43"/>
        <v>4588</v>
      </c>
      <c r="K185">
        <f t="shared" si="44"/>
        <v>1</v>
      </c>
      <c r="L185">
        <f t="shared" si="45"/>
        <v>16</v>
      </c>
      <c r="M185">
        <f t="shared" si="46"/>
        <v>28</v>
      </c>
      <c r="N185">
        <f t="shared" si="56"/>
        <v>0</v>
      </c>
      <c r="O185">
        <f t="shared" si="56"/>
        <v>1</v>
      </c>
      <c r="P185">
        <f t="shared" si="56"/>
        <v>15</v>
      </c>
      <c r="Q185">
        <f t="shared" si="51"/>
        <v>75</v>
      </c>
      <c r="R185">
        <f t="shared" si="52"/>
        <v>0</v>
      </c>
      <c r="S185">
        <f t="shared" si="53"/>
        <v>1</v>
      </c>
      <c r="T185">
        <f t="shared" si="54"/>
        <v>15</v>
      </c>
      <c r="U185">
        <f t="shared" si="55"/>
        <v>75</v>
      </c>
    </row>
    <row r="186" spans="2:21" hidden="1" x14ac:dyDescent="0.25">
      <c r="B186" t="b">
        <f t="shared" si="40"/>
        <v>0</v>
      </c>
      <c r="C186" t="b">
        <f t="shared" si="50"/>
        <v>0</v>
      </c>
      <c r="D186">
        <f t="shared" si="47"/>
        <v>1</v>
      </c>
      <c r="E186" t="str">
        <f t="shared" si="48"/>
        <v>6. Conclusion</v>
      </c>
      <c r="F186" s="8" t="str">
        <f t="shared" si="57"/>
        <v/>
      </c>
      <c r="G186" t="str">
        <f t="shared" si="41"/>
        <v/>
      </c>
      <c r="H186">
        <f t="shared" si="42"/>
        <v>0</v>
      </c>
      <c r="I186">
        <f t="shared" si="49"/>
        <v>0</v>
      </c>
      <c r="J186">
        <f t="shared" si="43"/>
        <v>4588</v>
      </c>
      <c r="K186">
        <f t="shared" si="44"/>
        <v>1</v>
      </c>
      <c r="L186">
        <f t="shared" si="45"/>
        <v>16</v>
      </c>
      <c r="M186">
        <f t="shared" si="46"/>
        <v>28</v>
      </c>
      <c r="N186">
        <f t="shared" si="56"/>
        <v>0</v>
      </c>
      <c r="O186">
        <f t="shared" si="56"/>
        <v>1</v>
      </c>
      <c r="P186">
        <f t="shared" si="56"/>
        <v>15</v>
      </c>
      <c r="Q186">
        <f t="shared" si="51"/>
        <v>75</v>
      </c>
      <c r="R186">
        <f t="shared" si="52"/>
        <v>0</v>
      </c>
      <c r="S186">
        <f t="shared" si="53"/>
        <v>1</v>
      </c>
      <c r="T186">
        <f t="shared" si="54"/>
        <v>15</v>
      </c>
      <c r="U186">
        <f t="shared" si="55"/>
        <v>75</v>
      </c>
    </row>
    <row r="187" spans="2:21" hidden="1" x14ac:dyDescent="0.25">
      <c r="B187" t="b">
        <f t="shared" si="40"/>
        <v>0</v>
      </c>
      <c r="C187" t="b">
        <f t="shared" si="50"/>
        <v>0</v>
      </c>
      <c r="D187">
        <f t="shared" si="47"/>
        <v>1</v>
      </c>
      <c r="E187" t="str">
        <f t="shared" si="48"/>
        <v>6. Conclusion</v>
      </c>
      <c r="F187" s="8" t="str">
        <f t="shared" si="57"/>
        <v/>
      </c>
      <c r="G187" t="str">
        <f t="shared" si="41"/>
        <v/>
      </c>
      <c r="H187">
        <f t="shared" si="42"/>
        <v>0</v>
      </c>
      <c r="I187">
        <f t="shared" si="49"/>
        <v>0</v>
      </c>
      <c r="J187">
        <f t="shared" si="43"/>
        <v>4588</v>
      </c>
      <c r="K187">
        <f t="shared" si="44"/>
        <v>1</v>
      </c>
      <c r="L187">
        <f t="shared" si="45"/>
        <v>16</v>
      </c>
      <c r="M187">
        <f t="shared" si="46"/>
        <v>28</v>
      </c>
      <c r="N187">
        <f t="shared" si="56"/>
        <v>0</v>
      </c>
      <c r="O187">
        <f t="shared" si="56"/>
        <v>1</v>
      </c>
      <c r="P187">
        <f t="shared" si="56"/>
        <v>15</v>
      </c>
      <c r="Q187">
        <f t="shared" si="51"/>
        <v>75</v>
      </c>
      <c r="R187">
        <f t="shared" si="52"/>
        <v>0</v>
      </c>
      <c r="S187">
        <f t="shared" si="53"/>
        <v>1</v>
      </c>
      <c r="T187">
        <f t="shared" si="54"/>
        <v>15</v>
      </c>
      <c r="U187">
        <f t="shared" si="55"/>
        <v>75</v>
      </c>
    </row>
    <row r="188" spans="2:21" hidden="1" x14ac:dyDescent="0.25">
      <c r="B188" t="b">
        <f t="shared" si="40"/>
        <v>0</v>
      </c>
      <c r="C188" t="b">
        <f t="shared" si="50"/>
        <v>0</v>
      </c>
      <c r="D188">
        <f t="shared" si="47"/>
        <v>1</v>
      </c>
      <c r="E188" t="str">
        <f t="shared" si="48"/>
        <v>6. Conclusion</v>
      </c>
      <c r="F188" s="8" t="str">
        <f t="shared" si="57"/>
        <v/>
      </c>
      <c r="G188" t="str">
        <f t="shared" si="41"/>
        <v/>
      </c>
      <c r="H188">
        <f t="shared" si="42"/>
        <v>0</v>
      </c>
      <c r="I188">
        <f t="shared" si="49"/>
        <v>0</v>
      </c>
      <c r="J188">
        <f t="shared" si="43"/>
        <v>4588</v>
      </c>
      <c r="K188">
        <f t="shared" si="44"/>
        <v>1</v>
      </c>
      <c r="L188">
        <f t="shared" si="45"/>
        <v>16</v>
      </c>
      <c r="M188">
        <f t="shared" si="46"/>
        <v>28</v>
      </c>
      <c r="N188">
        <f t="shared" si="56"/>
        <v>0</v>
      </c>
      <c r="O188">
        <f t="shared" si="56"/>
        <v>1</v>
      </c>
      <c r="P188">
        <f t="shared" si="56"/>
        <v>15</v>
      </c>
      <c r="Q188">
        <f t="shared" si="51"/>
        <v>75</v>
      </c>
      <c r="R188">
        <f t="shared" si="52"/>
        <v>0</v>
      </c>
      <c r="S188">
        <f t="shared" si="53"/>
        <v>1</v>
      </c>
      <c r="T188">
        <f t="shared" si="54"/>
        <v>15</v>
      </c>
      <c r="U188">
        <f t="shared" si="55"/>
        <v>75</v>
      </c>
    </row>
    <row r="189" spans="2:21" hidden="1" x14ac:dyDescent="0.25">
      <c r="B189" t="b">
        <f t="shared" si="40"/>
        <v>0</v>
      </c>
      <c r="C189" t="b">
        <f t="shared" si="50"/>
        <v>0</v>
      </c>
      <c r="D189">
        <f t="shared" si="47"/>
        <v>1</v>
      </c>
      <c r="E189" t="str">
        <f t="shared" si="48"/>
        <v>6. Conclusion</v>
      </c>
      <c r="F189" s="8" t="str">
        <f t="shared" si="57"/>
        <v/>
      </c>
      <c r="G189" t="str">
        <f t="shared" si="41"/>
        <v/>
      </c>
      <c r="H189">
        <f t="shared" si="42"/>
        <v>0</v>
      </c>
      <c r="I189">
        <f t="shared" si="49"/>
        <v>0</v>
      </c>
      <c r="J189">
        <f t="shared" si="43"/>
        <v>4588</v>
      </c>
      <c r="K189">
        <f t="shared" si="44"/>
        <v>1</v>
      </c>
      <c r="L189">
        <f t="shared" si="45"/>
        <v>16</v>
      </c>
      <c r="M189">
        <f t="shared" si="46"/>
        <v>28</v>
      </c>
      <c r="N189">
        <f t="shared" si="56"/>
        <v>0</v>
      </c>
      <c r="O189">
        <f t="shared" si="56"/>
        <v>1</v>
      </c>
      <c r="P189">
        <f t="shared" si="56"/>
        <v>15</v>
      </c>
      <c r="Q189">
        <f t="shared" si="51"/>
        <v>75</v>
      </c>
      <c r="R189">
        <f t="shared" si="52"/>
        <v>0</v>
      </c>
      <c r="S189">
        <f t="shared" si="53"/>
        <v>1</v>
      </c>
      <c r="T189">
        <f t="shared" si="54"/>
        <v>15</v>
      </c>
      <c r="U189">
        <f t="shared" si="55"/>
        <v>75</v>
      </c>
    </row>
    <row r="190" spans="2:21" hidden="1" x14ac:dyDescent="0.25">
      <c r="B190" t="b">
        <f t="shared" si="40"/>
        <v>0</v>
      </c>
      <c r="C190" t="b">
        <f t="shared" si="50"/>
        <v>0</v>
      </c>
      <c r="D190">
        <f t="shared" si="47"/>
        <v>1</v>
      </c>
      <c r="E190" t="str">
        <f t="shared" si="48"/>
        <v>6. Conclusion</v>
      </c>
      <c r="F190" s="8" t="str">
        <f t="shared" si="57"/>
        <v/>
      </c>
      <c r="G190" t="str">
        <f t="shared" si="41"/>
        <v/>
      </c>
      <c r="H190">
        <f t="shared" si="42"/>
        <v>0</v>
      </c>
      <c r="I190">
        <f t="shared" si="49"/>
        <v>0</v>
      </c>
      <c r="J190">
        <f t="shared" si="43"/>
        <v>4588</v>
      </c>
      <c r="K190">
        <f t="shared" si="44"/>
        <v>1</v>
      </c>
      <c r="L190">
        <f t="shared" si="45"/>
        <v>16</v>
      </c>
      <c r="M190">
        <f t="shared" si="46"/>
        <v>28</v>
      </c>
      <c r="N190">
        <f t="shared" si="56"/>
        <v>0</v>
      </c>
      <c r="O190">
        <f t="shared" si="56"/>
        <v>1</v>
      </c>
      <c r="P190">
        <f t="shared" si="56"/>
        <v>15</v>
      </c>
      <c r="Q190">
        <f t="shared" si="51"/>
        <v>75</v>
      </c>
      <c r="R190">
        <f t="shared" si="52"/>
        <v>0</v>
      </c>
      <c r="S190">
        <f t="shared" si="53"/>
        <v>1</v>
      </c>
      <c r="T190">
        <f t="shared" si="54"/>
        <v>15</v>
      </c>
      <c r="U190">
        <f t="shared" si="55"/>
        <v>75</v>
      </c>
    </row>
    <row r="191" spans="2:21" hidden="1" x14ac:dyDescent="0.25">
      <c r="B191" t="b">
        <f t="shared" si="40"/>
        <v>0</v>
      </c>
      <c r="C191" t="b">
        <f t="shared" si="50"/>
        <v>0</v>
      </c>
      <c r="D191">
        <f t="shared" si="47"/>
        <v>1</v>
      </c>
      <c r="E191" t="str">
        <f t="shared" si="48"/>
        <v>6. Conclusion</v>
      </c>
      <c r="F191" s="8" t="str">
        <f t="shared" si="57"/>
        <v/>
      </c>
      <c r="G191" t="str">
        <f t="shared" si="41"/>
        <v/>
      </c>
      <c r="H191">
        <f t="shared" si="42"/>
        <v>0</v>
      </c>
      <c r="I191">
        <f t="shared" si="49"/>
        <v>0</v>
      </c>
      <c r="J191">
        <f t="shared" si="43"/>
        <v>4588</v>
      </c>
      <c r="K191">
        <f t="shared" si="44"/>
        <v>1</v>
      </c>
      <c r="L191">
        <f t="shared" si="45"/>
        <v>16</v>
      </c>
      <c r="M191">
        <f t="shared" si="46"/>
        <v>28</v>
      </c>
      <c r="N191">
        <f t="shared" si="56"/>
        <v>0</v>
      </c>
      <c r="O191">
        <f t="shared" si="56"/>
        <v>1</v>
      </c>
      <c r="P191">
        <f t="shared" si="56"/>
        <v>15</v>
      </c>
      <c r="Q191">
        <f t="shared" si="51"/>
        <v>75</v>
      </c>
      <c r="R191">
        <f t="shared" si="52"/>
        <v>0</v>
      </c>
      <c r="S191">
        <f t="shared" si="53"/>
        <v>1</v>
      </c>
      <c r="T191">
        <f t="shared" si="54"/>
        <v>15</v>
      </c>
      <c r="U191">
        <f t="shared" si="55"/>
        <v>75</v>
      </c>
    </row>
    <row r="192" spans="2:21" hidden="1" x14ac:dyDescent="0.25">
      <c r="B192" t="b">
        <f t="shared" si="40"/>
        <v>0</v>
      </c>
      <c r="C192" t="b">
        <f t="shared" si="50"/>
        <v>0</v>
      </c>
      <c r="D192">
        <f t="shared" si="47"/>
        <v>1</v>
      </c>
      <c r="E192" t="str">
        <f t="shared" si="48"/>
        <v>6. Conclusion</v>
      </c>
      <c r="F192" s="8" t="str">
        <f t="shared" si="57"/>
        <v/>
      </c>
      <c r="G192" t="str">
        <f t="shared" si="41"/>
        <v/>
      </c>
      <c r="H192">
        <f t="shared" si="42"/>
        <v>0</v>
      </c>
      <c r="I192">
        <f t="shared" si="49"/>
        <v>0</v>
      </c>
      <c r="J192">
        <f t="shared" si="43"/>
        <v>4588</v>
      </c>
      <c r="K192">
        <f t="shared" si="44"/>
        <v>1</v>
      </c>
      <c r="L192">
        <f t="shared" si="45"/>
        <v>16</v>
      </c>
      <c r="M192">
        <f t="shared" si="46"/>
        <v>28</v>
      </c>
      <c r="N192">
        <f t="shared" si="56"/>
        <v>0</v>
      </c>
      <c r="O192">
        <f t="shared" si="56"/>
        <v>1</v>
      </c>
      <c r="P192">
        <f t="shared" si="56"/>
        <v>15</v>
      </c>
      <c r="Q192">
        <f t="shared" si="51"/>
        <v>75</v>
      </c>
      <c r="R192">
        <f t="shared" si="52"/>
        <v>0</v>
      </c>
      <c r="S192">
        <f t="shared" si="53"/>
        <v>1</v>
      </c>
      <c r="T192">
        <f t="shared" si="54"/>
        <v>15</v>
      </c>
      <c r="U192">
        <f t="shared" si="55"/>
        <v>75</v>
      </c>
    </row>
    <row r="193" spans="2:21" hidden="1" x14ac:dyDescent="0.25">
      <c r="B193" t="b">
        <f t="shared" si="40"/>
        <v>0</v>
      </c>
      <c r="C193" t="b">
        <f t="shared" si="50"/>
        <v>0</v>
      </c>
      <c r="D193">
        <f t="shared" si="47"/>
        <v>1</v>
      </c>
      <c r="E193" t="str">
        <f t="shared" si="48"/>
        <v>6. Conclusion</v>
      </c>
      <c r="F193" s="8" t="str">
        <f t="shared" si="57"/>
        <v/>
      </c>
      <c r="G193" t="str">
        <f t="shared" si="41"/>
        <v/>
      </c>
      <c r="H193">
        <f t="shared" si="42"/>
        <v>0</v>
      </c>
      <c r="I193">
        <f t="shared" si="49"/>
        <v>0</v>
      </c>
      <c r="J193">
        <f t="shared" si="43"/>
        <v>4588</v>
      </c>
      <c r="K193">
        <f t="shared" si="44"/>
        <v>1</v>
      </c>
      <c r="L193">
        <f t="shared" si="45"/>
        <v>16</v>
      </c>
      <c r="M193">
        <f t="shared" si="46"/>
        <v>28</v>
      </c>
      <c r="N193">
        <f t="shared" si="56"/>
        <v>0</v>
      </c>
      <c r="O193">
        <f t="shared" si="56"/>
        <v>1</v>
      </c>
      <c r="P193">
        <f t="shared" si="56"/>
        <v>15</v>
      </c>
      <c r="Q193">
        <f t="shared" si="51"/>
        <v>75</v>
      </c>
      <c r="R193">
        <f t="shared" si="52"/>
        <v>0</v>
      </c>
      <c r="S193">
        <f t="shared" si="53"/>
        <v>1</v>
      </c>
      <c r="T193">
        <f t="shared" si="54"/>
        <v>15</v>
      </c>
      <c r="U193">
        <f t="shared" si="55"/>
        <v>75</v>
      </c>
    </row>
    <row r="194" spans="2:21" hidden="1" x14ac:dyDescent="0.25">
      <c r="B194" t="b">
        <f t="shared" si="40"/>
        <v>0</v>
      </c>
      <c r="C194" t="b">
        <f t="shared" si="50"/>
        <v>0</v>
      </c>
      <c r="D194">
        <f t="shared" si="47"/>
        <v>1</v>
      </c>
      <c r="E194" t="str">
        <f t="shared" si="48"/>
        <v>6. Conclusion</v>
      </c>
      <c r="F194" s="8" t="str">
        <f t="shared" si="57"/>
        <v/>
      </c>
      <c r="G194" t="str">
        <f t="shared" si="41"/>
        <v/>
      </c>
      <c r="H194">
        <f t="shared" si="42"/>
        <v>0</v>
      </c>
      <c r="I194">
        <f t="shared" si="49"/>
        <v>0</v>
      </c>
      <c r="J194">
        <f t="shared" si="43"/>
        <v>4588</v>
      </c>
      <c r="K194">
        <f t="shared" si="44"/>
        <v>1</v>
      </c>
      <c r="L194">
        <f t="shared" si="45"/>
        <v>16</v>
      </c>
      <c r="M194">
        <f t="shared" si="46"/>
        <v>28</v>
      </c>
      <c r="N194">
        <f t="shared" si="56"/>
        <v>0</v>
      </c>
      <c r="O194">
        <f t="shared" si="56"/>
        <v>1</v>
      </c>
      <c r="P194">
        <f t="shared" si="56"/>
        <v>15</v>
      </c>
      <c r="Q194">
        <f t="shared" si="51"/>
        <v>75</v>
      </c>
      <c r="R194">
        <f t="shared" si="52"/>
        <v>0</v>
      </c>
      <c r="S194">
        <f t="shared" si="53"/>
        <v>1</v>
      </c>
      <c r="T194">
        <f t="shared" si="54"/>
        <v>15</v>
      </c>
      <c r="U194">
        <f t="shared" si="55"/>
        <v>75</v>
      </c>
    </row>
    <row r="195" spans="2:21" hidden="1" x14ac:dyDescent="0.25">
      <c r="B195" t="b">
        <f t="shared" si="40"/>
        <v>0</v>
      </c>
      <c r="C195" t="b">
        <f t="shared" si="50"/>
        <v>0</v>
      </c>
      <c r="D195">
        <f t="shared" si="47"/>
        <v>1</v>
      </c>
      <c r="E195" t="str">
        <f t="shared" si="48"/>
        <v>6. Conclusion</v>
      </c>
      <c r="F195" s="8" t="str">
        <f t="shared" si="57"/>
        <v/>
      </c>
      <c r="G195" t="str">
        <f t="shared" si="41"/>
        <v/>
      </c>
      <c r="H195">
        <f t="shared" si="42"/>
        <v>0</v>
      </c>
      <c r="I195">
        <f t="shared" si="49"/>
        <v>0</v>
      </c>
      <c r="J195">
        <f t="shared" si="43"/>
        <v>4588</v>
      </c>
      <c r="K195">
        <f t="shared" si="44"/>
        <v>1</v>
      </c>
      <c r="L195">
        <f t="shared" si="45"/>
        <v>16</v>
      </c>
      <c r="M195">
        <f t="shared" si="46"/>
        <v>28</v>
      </c>
      <c r="N195">
        <f t="shared" si="56"/>
        <v>0</v>
      </c>
      <c r="O195">
        <f t="shared" si="56"/>
        <v>1</v>
      </c>
      <c r="P195">
        <f t="shared" si="56"/>
        <v>15</v>
      </c>
      <c r="Q195">
        <f t="shared" si="51"/>
        <v>75</v>
      </c>
      <c r="R195">
        <f t="shared" si="52"/>
        <v>0</v>
      </c>
      <c r="S195">
        <f t="shared" si="53"/>
        <v>1</v>
      </c>
      <c r="T195">
        <f t="shared" si="54"/>
        <v>15</v>
      </c>
      <c r="U195">
        <f t="shared" si="55"/>
        <v>75</v>
      </c>
    </row>
    <row r="196" spans="2:21" hidden="1" x14ac:dyDescent="0.25">
      <c r="B196" t="b">
        <f t="shared" si="40"/>
        <v>0</v>
      </c>
      <c r="C196" t="b">
        <f t="shared" si="50"/>
        <v>0</v>
      </c>
      <c r="D196">
        <f t="shared" si="47"/>
        <v>1</v>
      </c>
      <c r="E196" t="str">
        <f t="shared" si="48"/>
        <v>6. Conclusion</v>
      </c>
      <c r="F196" s="8" t="str">
        <f t="shared" si="57"/>
        <v/>
      </c>
      <c r="G196" t="str">
        <f t="shared" si="41"/>
        <v/>
      </c>
      <c r="H196">
        <f t="shared" si="42"/>
        <v>0</v>
      </c>
      <c r="I196">
        <f t="shared" si="49"/>
        <v>0</v>
      </c>
      <c r="J196">
        <f t="shared" si="43"/>
        <v>4588</v>
      </c>
      <c r="K196">
        <f t="shared" si="44"/>
        <v>1</v>
      </c>
      <c r="L196">
        <f t="shared" si="45"/>
        <v>16</v>
      </c>
      <c r="M196">
        <f t="shared" si="46"/>
        <v>28</v>
      </c>
      <c r="N196">
        <f t="shared" si="56"/>
        <v>0</v>
      </c>
      <c r="O196">
        <f t="shared" si="56"/>
        <v>1</v>
      </c>
      <c r="P196">
        <f t="shared" si="56"/>
        <v>15</v>
      </c>
      <c r="Q196">
        <f t="shared" si="51"/>
        <v>75</v>
      </c>
      <c r="R196">
        <f t="shared" si="52"/>
        <v>0</v>
      </c>
      <c r="S196">
        <f t="shared" si="53"/>
        <v>1</v>
      </c>
      <c r="T196">
        <f t="shared" si="54"/>
        <v>15</v>
      </c>
      <c r="U196">
        <f t="shared" si="55"/>
        <v>75</v>
      </c>
    </row>
    <row r="197" spans="2:21" hidden="1" x14ac:dyDescent="0.25">
      <c r="B197" t="b">
        <f t="shared" si="40"/>
        <v>0</v>
      </c>
      <c r="C197" t="b">
        <f t="shared" si="50"/>
        <v>0</v>
      </c>
      <c r="D197">
        <f t="shared" si="47"/>
        <v>1</v>
      </c>
      <c r="E197" t="str">
        <f t="shared" si="48"/>
        <v>6. Conclusion</v>
      </c>
      <c r="F197" s="8" t="str">
        <f t="shared" si="57"/>
        <v/>
      </c>
      <c r="G197" t="str">
        <f t="shared" si="41"/>
        <v/>
      </c>
      <c r="H197">
        <f t="shared" si="42"/>
        <v>0</v>
      </c>
      <c r="I197">
        <f t="shared" si="49"/>
        <v>0</v>
      </c>
      <c r="J197">
        <f t="shared" si="43"/>
        <v>4588</v>
      </c>
      <c r="K197">
        <f t="shared" si="44"/>
        <v>1</v>
      </c>
      <c r="L197">
        <f t="shared" si="45"/>
        <v>16</v>
      </c>
      <c r="M197">
        <f t="shared" si="46"/>
        <v>28</v>
      </c>
      <c r="N197">
        <f t="shared" si="56"/>
        <v>0</v>
      </c>
      <c r="O197">
        <f t="shared" si="56"/>
        <v>1</v>
      </c>
      <c r="P197">
        <f t="shared" si="56"/>
        <v>15</v>
      </c>
      <c r="Q197">
        <f t="shared" si="51"/>
        <v>75</v>
      </c>
      <c r="R197">
        <f t="shared" si="52"/>
        <v>0</v>
      </c>
      <c r="S197">
        <f t="shared" si="53"/>
        <v>1</v>
      </c>
      <c r="T197">
        <f t="shared" si="54"/>
        <v>15</v>
      </c>
      <c r="U197">
        <f t="shared" si="55"/>
        <v>75</v>
      </c>
    </row>
    <row r="198" spans="2:21" hidden="1" x14ac:dyDescent="0.25">
      <c r="B198" t="b">
        <f t="shared" si="40"/>
        <v>0</v>
      </c>
      <c r="C198" t="b">
        <f t="shared" si="50"/>
        <v>0</v>
      </c>
      <c r="D198">
        <f t="shared" si="47"/>
        <v>1</v>
      </c>
      <c r="E198" t="str">
        <f t="shared" si="48"/>
        <v>6. Conclusion</v>
      </c>
      <c r="F198" s="8" t="str">
        <f t="shared" si="57"/>
        <v/>
      </c>
      <c r="G198" t="str">
        <f t="shared" si="41"/>
        <v/>
      </c>
      <c r="H198">
        <f t="shared" si="42"/>
        <v>0</v>
      </c>
      <c r="I198">
        <f t="shared" si="49"/>
        <v>0</v>
      </c>
      <c r="J198">
        <f t="shared" si="43"/>
        <v>4588</v>
      </c>
      <c r="K198">
        <f t="shared" si="44"/>
        <v>1</v>
      </c>
      <c r="L198">
        <f t="shared" si="45"/>
        <v>16</v>
      </c>
      <c r="M198">
        <f t="shared" si="46"/>
        <v>28</v>
      </c>
      <c r="N198">
        <f t="shared" si="56"/>
        <v>0</v>
      </c>
      <c r="O198">
        <f t="shared" si="56"/>
        <v>1</v>
      </c>
      <c r="P198">
        <f t="shared" si="56"/>
        <v>15</v>
      </c>
      <c r="Q198">
        <f t="shared" si="51"/>
        <v>75</v>
      </c>
      <c r="R198">
        <f t="shared" si="52"/>
        <v>0</v>
      </c>
      <c r="S198">
        <f t="shared" si="53"/>
        <v>1</v>
      </c>
      <c r="T198">
        <f t="shared" si="54"/>
        <v>15</v>
      </c>
      <c r="U198">
        <f t="shared" si="55"/>
        <v>75</v>
      </c>
    </row>
    <row r="199" spans="2:21" hidden="1" x14ac:dyDescent="0.25">
      <c r="B199" t="b">
        <f t="shared" si="40"/>
        <v>0</v>
      </c>
      <c r="C199" t="b">
        <f t="shared" si="50"/>
        <v>0</v>
      </c>
      <c r="D199">
        <f t="shared" si="47"/>
        <v>1</v>
      </c>
      <c r="E199" t="str">
        <f t="shared" si="48"/>
        <v>6. Conclusion</v>
      </c>
      <c r="F199" s="8" t="str">
        <f t="shared" si="57"/>
        <v/>
      </c>
      <c r="G199" t="str">
        <f t="shared" si="41"/>
        <v/>
      </c>
      <c r="H199">
        <f t="shared" si="42"/>
        <v>0</v>
      </c>
      <c r="I199">
        <f t="shared" si="49"/>
        <v>0</v>
      </c>
      <c r="J199">
        <f t="shared" si="43"/>
        <v>4588</v>
      </c>
      <c r="K199">
        <f t="shared" si="44"/>
        <v>1</v>
      </c>
      <c r="L199">
        <f t="shared" si="45"/>
        <v>16</v>
      </c>
      <c r="M199">
        <f t="shared" si="46"/>
        <v>28</v>
      </c>
      <c r="N199">
        <f t="shared" si="56"/>
        <v>0</v>
      </c>
      <c r="O199">
        <f t="shared" si="56"/>
        <v>1</v>
      </c>
      <c r="P199">
        <f t="shared" si="56"/>
        <v>15</v>
      </c>
      <c r="Q199">
        <f t="shared" si="51"/>
        <v>75</v>
      </c>
      <c r="R199">
        <f t="shared" si="52"/>
        <v>0</v>
      </c>
      <c r="S199">
        <f t="shared" si="53"/>
        <v>1</v>
      </c>
      <c r="T199">
        <f t="shared" si="54"/>
        <v>15</v>
      </c>
      <c r="U199">
        <f t="shared" si="55"/>
        <v>75</v>
      </c>
    </row>
    <row r="200" spans="2:21" hidden="1" x14ac:dyDescent="0.25">
      <c r="B200" t="b">
        <f t="shared" si="40"/>
        <v>0</v>
      </c>
      <c r="C200" t="b">
        <f t="shared" si="50"/>
        <v>0</v>
      </c>
      <c r="D200">
        <f t="shared" si="47"/>
        <v>1</v>
      </c>
      <c r="E200" t="str">
        <f t="shared" si="48"/>
        <v>6. Conclusion</v>
      </c>
      <c r="F200" s="8" t="str">
        <f t="shared" si="57"/>
        <v/>
      </c>
      <c r="G200" t="str">
        <f t="shared" si="41"/>
        <v/>
      </c>
      <c r="H200">
        <f t="shared" si="42"/>
        <v>0</v>
      </c>
      <c r="I200">
        <f t="shared" si="49"/>
        <v>0</v>
      </c>
      <c r="J200">
        <f t="shared" si="43"/>
        <v>4588</v>
      </c>
      <c r="K200">
        <f t="shared" si="44"/>
        <v>1</v>
      </c>
      <c r="L200">
        <f t="shared" si="45"/>
        <v>16</v>
      </c>
      <c r="M200">
        <f t="shared" si="46"/>
        <v>28</v>
      </c>
      <c r="N200">
        <f t="shared" si="56"/>
        <v>0</v>
      </c>
      <c r="O200">
        <f t="shared" si="56"/>
        <v>1</v>
      </c>
      <c r="P200">
        <f t="shared" si="56"/>
        <v>15</v>
      </c>
      <c r="Q200">
        <f t="shared" si="51"/>
        <v>75</v>
      </c>
      <c r="R200">
        <f t="shared" si="52"/>
        <v>0</v>
      </c>
      <c r="S200">
        <f t="shared" si="53"/>
        <v>1</v>
      </c>
      <c r="T200">
        <f t="shared" si="54"/>
        <v>15</v>
      </c>
      <c r="U200">
        <f t="shared" si="55"/>
        <v>75</v>
      </c>
    </row>
    <row r="201" spans="2:21" hidden="1" x14ac:dyDescent="0.25">
      <c r="B201" t="b">
        <f t="shared" si="40"/>
        <v>0</v>
      </c>
      <c r="C201" t="b">
        <f t="shared" si="50"/>
        <v>0</v>
      </c>
      <c r="D201">
        <f t="shared" si="47"/>
        <v>1</v>
      </c>
      <c r="E201" t="str">
        <f t="shared" si="48"/>
        <v>6. Conclusion</v>
      </c>
      <c r="F201" s="8" t="str">
        <f t="shared" si="57"/>
        <v/>
      </c>
      <c r="G201" t="str">
        <f t="shared" si="41"/>
        <v/>
      </c>
      <c r="H201">
        <f t="shared" si="42"/>
        <v>0</v>
      </c>
      <c r="I201">
        <f t="shared" si="49"/>
        <v>0</v>
      </c>
      <c r="J201">
        <f t="shared" si="43"/>
        <v>4588</v>
      </c>
      <c r="K201">
        <f t="shared" si="44"/>
        <v>1</v>
      </c>
      <c r="L201">
        <f t="shared" si="45"/>
        <v>16</v>
      </c>
      <c r="M201">
        <f t="shared" si="46"/>
        <v>28</v>
      </c>
      <c r="N201">
        <f t="shared" si="56"/>
        <v>0</v>
      </c>
      <c r="O201">
        <f t="shared" si="56"/>
        <v>1</v>
      </c>
      <c r="P201">
        <f t="shared" si="56"/>
        <v>15</v>
      </c>
      <c r="Q201">
        <f t="shared" si="51"/>
        <v>75</v>
      </c>
      <c r="R201">
        <f t="shared" si="52"/>
        <v>0</v>
      </c>
      <c r="S201">
        <f t="shared" si="53"/>
        <v>1</v>
      </c>
      <c r="T201">
        <f t="shared" si="54"/>
        <v>15</v>
      </c>
      <c r="U201">
        <f t="shared" si="55"/>
        <v>75</v>
      </c>
    </row>
    <row r="202" spans="2:21" hidden="1" x14ac:dyDescent="0.25">
      <c r="B202" t="b">
        <f t="shared" ref="B202:B265" si="58">AND(NOT(ISERROR(FIND(". ",A202))),ISNUMBER(VALUE(LEFT(A202,FIND(". ",A202)-1))))</f>
        <v>0</v>
      </c>
      <c r="C202" t="b">
        <f t="shared" si="50"/>
        <v>0</v>
      </c>
      <c r="D202">
        <f t="shared" si="47"/>
        <v>1</v>
      </c>
      <c r="E202" t="str">
        <f t="shared" si="48"/>
        <v>6. Conclusion</v>
      </c>
      <c r="F202" s="8" t="str">
        <f t="shared" si="57"/>
        <v/>
      </c>
      <c r="G202" t="str">
        <f t="shared" ref="G202:G265" si="59">IF(C202,IF(ISERROR(FIND("s",A203)),LEFT(A203,FIND("m",A203)),LEFT(A203,FIND("s",A203))),"")</f>
        <v/>
      </c>
      <c r="H202">
        <f t="shared" ref="H202:H265" si="60">IF(OR(G202="",ISERROR(FIND("m",G202))),0,VALUE(LEFT(G202,FIND("m",G202)-1)))</f>
        <v>0</v>
      </c>
      <c r="I202">
        <f t="shared" si="49"/>
        <v>0</v>
      </c>
      <c r="J202">
        <f t="shared" ref="J202:J265" si="61">J201+(H202*60+I202)</f>
        <v>4588</v>
      </c>
      <c r="K202">
        <f t="shared" ref="K202:K265" si="62">INT(J202/60/60)</f>
        <v>1</v>
      </c>
      <c r="L202">
        <f t="shared" ref="L202:L265" si="63">INT((J202-(K202*60*60))/60)</f>
        <v>16</v>
      </c>
      <c r="M202">
        <f t="shared" ref="M202:M265" si="64">J202-(((K202*60)+L202)*60)</f>
        <v>28</v>
      </c>
      <c r="N202">
        <f t="shared" si="56"/>
        <v>0</v>
      </c>
      <c r="O202">
        <f t="shared" si="56"/>
        <v>1</v>
      </c>
      <c r="P202">
        <f t="shared" si="56"/>
        <v>15</v>
      </c>
      <c r="Q202">
        <f t="shared" si="51"/>
        <v>75</v>
      </c>
      <c r="R202">
        <f t="shared" si="52"/>
        <v>0</v>
      </c>
      <c r="S202">
        <f t="shared" si="53"/>
        <v>1</v>
      </c>
      <c r="T202">
        <f t="shared" si="54"/>
        <v>15</v>
      </c>
      <c r="U202">
        <f t="shared" si="55"/>
        <v>75</v>
      </c>
    </row>
    <row r="203" spans="2:21" hidden="1" x14ac:dyDescent="0.25">
      <c r="B203" t="b">
        <f t="shared" si="58"/>
        <v>0</v>
      </c>
      <c r="C203" t="b">
        <f t="shared" si="50"/>
        <v>0</v>
      </c>
      <c r="D203">
        <f t="shared" ref="D203:D266" si="65">IF(B203,0,IF(C203,D202+1,D202))</f>
        <v>1</v>
      </c>
      <c r="E203" t="str">
        <f t="shared" ref="E203:E266" si="66">IF(B203,A203,E202)</f>
        <v>6. Conclusion</v>
      </c>
      <c r="F203" s="8" t="str">
        <f t="shared" si="57"/>
        <v/>
      </c>
      <c r="G203" t="str">
        <f t="shared" si="59"/>
        <v/>
      </c>
      <c r="H203">
        <f t="shared" si="60"/>
        <v>0</v>
      </c>
      <c r="I203">
        <f t="shared" ref="I203:I266" si="67">IF(OR(G203="",ISERROR(FIND("s",G203))),0,VALUE(SUBSTITUTE(MID(G203,IF(ISERROR(FIND("m",G203)), 0,FIND("m",G203))+1,LEN(G203)),"s","")))</f>
        <v>0</v>
      </c>
      <c r="J203">
        <f t="shared" si="61"/>
        <v>4588</v>
      </c>
      <c r="K203">
        <f t="shared" si="62"/>
        <v>1</v>
      </c>
      <c r="L203">
        <f t="shared" si="63"/>
        <v>16</v>
      </c>
      <c r="M203">
        <f t="shared" si="64"/>
        <v>28</v>
      </c>
      <c r="N203">
        <f t="shared" si="56"/>
        <v>0</v>
      </c>
      <c r="O203">
        <f t="shared" si="56"/>
        <v>1</v>
      </c>
      <c r="P203">
        <f t="shared" si="56"/>
        <v>15</v>
      </c>
      <c r="Q203">
        <f t="shared" si="51"/>
        <v>75</v>
      </c>
      <c r="R203">
        <f t="shared" si="52"/>
        <v>0</v>
      </c>
      <c r="S203">
        <f t="shared" si="53"/>
        <v>1</v>
      </c>
      <c r="T203">
        <f t="shared" si="54"/>
        <v>15</v>
      </c>
      <c r="U203">
        <f t="shared" si="55"/>
        <v>75</v>
      </c>
    </row>
    <row r="204" spans="2:21" hidden="1" x14ac:dyDescent="0.25">
      <c r="B204" t="b">
        <f t="shared" si="58"/>
        <v>0</v>
      </c>
      <c r="C204" t="b">
        <f t="shared" si="50"/>
        <v>0</v>
      </c>
      <c r="D204">
        <f t="shared" si="65"/>
        <v>1</v>
      </c>
      <c r="E204" t="str">
        <f t="shared" si="66"/>
        <v>6. Conclusion</v>
      </c>
      <c r="F204" s="8" t="str">
        <f t="shared" si="57"/>
        <v/>
      </c>
      <c r="G204" t="str">
        <f t="shared" si="59"/>
        <v/>
      </c>
      <c r="H204">
        <f t="shared" si="60"/>
        <v>0</v>
      </c>
      <c r="I204">
        <f t="shared" si="67"/>
        <v>0</v>
      </c>
      <c r="J204">
        <f t="shared" si="61"/>
        <v>4588</v>
      </c>
      <c r="K204">
        <f t="shared" si="62"/>
        <v>1</v>
      </c>
      <c r="L204">
        <f t="shared" si="63"/>
        <v>16</v>
      </c>
      <c r="M204">
        <f t="shared" si="64"/>
        <v>28</v>
      </c>
      <c r="N204">
        <f t="shared" si="56"/>
        <v>0</v>
      </c>
      <c r="O204">
        <f t="shared" si="56"/>
        <v>1</v>
      </c>
      <c r="P204">
        <f t="shared" si="56"/>
        <v>15</v>
      </c>
      <c r="Q204">
        <f t="shared" si="51"/>
        <v>75</v>
      </c>
      <c r="R204">
        <f t="shared" si="52"/>
        <v>0</v>
      </c>
      <c r="S204">
        <f t="shared" si="53"/>
        <v>1</v>
      </c>
      <c r="T204">
        <f t="shared" si="54"/>
        <v>15</v>
      </c>
      <c r="U204">
        <f t="shared" si="55"/>
        <v>75</v>
      </c>
    </row>
    <row r="205" spans="2:21" hidden="1" x14ac:dyDescent="0.25">
      <c r="B205" t="b">
        <f t="shared" si="58"/>
        <v>0</v>
      </c>
      <c r="C205" t="b">
        <f t="shared" ref="C205:C268" si="68">OR(AND(NOT(ISERROR(FIND("m",A206))),ISNUMBER(VALUE(LEFT(A206,FIND("m",A206)-1)))),AND(NOT(ISERROR(FIND("s",A206))),ISNUMBER(VALUE(LEFT(A206,FIND("s",A206)-1)))))</f>
        <v>0</v>
      </c>
      <c r="D205">
        <f t="shared" si="65"/>
        <v>1</v>
      </c>
      <c r="E205" t="str">
        <f t="shared" si="66"/>
        <v>6. Conclusion</v>
      </c>
      <c r="F205" s="8" t="str">
        <f t="shared" si="57"/>
        <v/>
      </c>
      <c r="G205" t="str">
        <f t="shared" si="59"/>
        <v/>
      </c>
      <c r="H205">
        <f t="shared" si="60"/>
        <v>0</v>
      </c>
      <c r="I205">
        <f t="shared" si="67"/>
        <v>0</v>
      </c>
      <c r="J205">
        <f t="shared" si="61"/>
        <v>4588</v>
      </c>
      <c r="K205">
        <f t="shared" si="62"/>
        <v>1</v>
      </c>
      <c r="L205">
        <f t="shared" si="63"/>
        <v>16</v>
      </c>
      <c r="M205">
        <f t="shared" si="64"/>
        <v>28</v>
      </c>
      <c r="N205">
        <f t="shared" si="56"/>
        <v>0</v>
      </c>
      <c r="O205">
        <f t="shared" si="56"/>
        <v>1</v>
      </c>
      <c r="P205">
        <f t="shared" si="56"/>
        <v>15</v>
      </c>
      <c r="Q205">
        <f t="shared" ref="Q205:Q268" si="69">(((N205*60)+O205)*60)+P205</f>
        <v>75</v>
      </c>
      <c r="R205">
        <f t="shared" ref="R205:R268" si="70">INT(U205/60/60)</f>
        <v>0</v>
      </c>
      <c r="S205">
        <f t="shared" ref="S205:S268" si="71">INT((U205-(R205*60*60))/60)</f>
        <v>1</v>
      </c>
      <c r="T205">
        <f t="shared" ref="T205:T268" si="72">U205-(((R205*60)+S205)*60)</f>
        <v>15</v>
      </c>
      <c r="U205">
        <f t="shared" ref="U205:U268" si="73">((H205*60)+I205)+Q205</f>
        <v>75</v>
      </c>
    </row>
    <row r="206" spans="2:21" hidden="1" x14ac:dyDescent="0.25">
      <c r="B206" t="b">
        <f t="shared" si="58"/>
        <v>0</v>
      </c>
      <c r="C206" t="b">
        <f t="shared" si="68"/>
        <v>0</v>
      </c>
      <c r="D206">
        <f t="shared" si="65"/>
        <v>1</v>
      </c>
      <c r="E206" t="str">
        <f t="shared" si="66"/>
        <v>6. Conclusion</v>
      </c>
      <c r="F206" s="8" t="str">
        <f t="shared" si="57"/>
        <v/>
      </c>
      <c r="G206" t="str">
        <f t="shared" si="59"/>
        <v/>
      </c>
      <c r="H206">
        <f t="shared" si="60"/>
        <v>0</v>
      </c>
      <c r="I206">
        <f t="shared" si="67"/>
        <v>0</v>
      </c>
      <c r="J206">
        <f t="shared" si="61"/>
        <v>4588</v>
      </c>
      <c r="K206">
        <f t="shared" si="62"/>
        <v>1</v>
      </c>
      <c r="L206">
        <f t="shared" si="63"/>
        <v>16</v>
      </c>
      <c r="M206">
        <f t="shared" si="64"/>
        <v>28</v>
      </c>
      <c r="N206">
        <f t="shared" si="56"/>
        <v>0</v>
      </c>
      <c r="O206">
        <f t="shared" si="56"/>
        <v>1</v>
      </c>
      <c r="P206">
        <f t="shared" si="56"/>
        <v>15</v>
      </c>
      <c r="Q206">
        <f t="shared" si="69"/>
        <v>75</v>
      </c>
      <c r="R206">
        <f t="shared" si="70"/>
        <v>0</v>
      </c>
      <c r="S206">
        <f t="shared" si="71"/>
        <v>1</v>
      </c>
      <c r="T206">
        <f t="shared" si="72"/>
        <v>15</v>
      </c>
      <c r="U206">
        <f t="shared" si="73"/>
        <v>75</v>
      </c>
    </row>
    <row r="207" spans="2:21" hidden="1" x14ac:dyDescent="0.25">
      <c r="B207" t="b">
        <f t="shared" si="58"/>
        <v>0</v>
      </c>
      <c r="C207" t="b">
        <f t="shared" si="68"/>
        <v>0</v>
      </c>
      <c r="D207">
        <f t="shared" si="65"/>
        <v>1</v>
      </c>
      <c r="E207" t="str">
        <f t="shared" si="66"/>
        <v>6. Conclusion</v>
      </c>
      <c r="F207" s="8" t="str">
        <f t="shared" si="57"/>
        <v/>
      </c>
      <c r="G207" t="str">
        <f t="shared" si="59"/>
        <v/>
      </c>
      <c r="H207">
        <f t="shared" si="60"/>
        <v>0</v>
      </c>
      <c r="I207">
        <f t="shared" si="67"/>
        <v>0</v>
      </c>
      <c r="J207">
        <f t="shared" si="61"/>
        <v>4588</v>
      </c>
      <c r="K207">
        <f t="shared" si="62"/>
        <v>1</v>
      </c>
      <c r="L207">
        <f t="shared" si="63"/>
        <v>16</v>
      </c>
      <c r="M207">
        <f t="shared" si="64"/>
        <v>28</v>
      </c>
      <c r="N207">
        <f t="shared" si="56"/>
        <v>0</v>
      </c>
      <c r="O207">
        <f t="shared" si="56"/>
        <v>1</v>
      </c>
      <c r="P207">
        <f t="shared" si="56"/>
        <v>15</v>
      </c>
      <c r="Q207">
        <f t="shared" si="69"/>
        <v>75</v>
      </c>
      <c r="R207">
        <f t="shared" si="70"/>
        <v>0</v>
      </c>
      <c r="S207">
        <f t="shared" si="71"/>
        <v>1</v>
      </c>
      <c r="T207">
        <f t="shared" si="72"/>
        <v>15</v>
      </c>
      <c r="U207">
        <f t="shared" si="73"/>
        <v>75</v>
      </c>
    </row>
    <row r="208" spans="2:21" hidden="1" x14ac:dyDescent="0.25">
      <c r="B208" t="b">
        <f t="shared" si="58"/>
        <v>0</v>
      </c>
      <c r="C208" t="b">
        <f t="shared" si="68"/>
        <v>0</v>
      </c>
      <c r="D208">
        <f t="shared" si="65"/>
        <v>1</v>
      </c>
      <c r="E208" t="str">
        <f t="shared" si="66"/>
        <v>6. Conclusion</v>
      </c>
      <c r="F208" s="8" t="str">
        <f t="shared" si="57"/>
        <v/>
      </c>
      <c r="G208" t="str">
        <f t="shared" si="59"/>
        <v/>
      </c>
      <c r="H208">
        <f t="shared" si="60"/>
        <v>0</v>
      </c>
      <c r="I208">
        <f t="shared" si="67"/>
        <v>0</v>
      </c>
      <c r="J208">
        <f t="shared" si="61"/>
        <v>4588</v>
      </c>
      <c r="K208">
        <f t="shared" si="62"/>
        <v>1</v>
      </c>
      <c r="L208">
        <f t="shared" si="63"/>
        <v>16</v>
      </c>
      <c r="M208">
        <f t="shared" si="64"/>
        <v>28</v>
      </c>
      <c r="N208">
        <f t="shared" si="56"/>
        <v>0</v>
      </c>
      <c r="O208">
        <f t="shared" si="56"/>
        <v>1</v>
      </c>
      <c r="P208">
        <f t="shared" si="56"/>
        <v>15</v>
      </c>
      <c r="Q208">
        <f t="shared" si="69"/>
        <v>75</v>
      </c>
      <c r="R208">
        <f t="shared" si="70"/>
        <v>0</v>
      </c>
      <c r="S208">
        <f t="shared" si="71"/>
        <v>1</v>
      </c>
      <c r="T208">
        <f t="shared" si="72"/>
        <v>15</v>
      </c>
      <c r="U208">
        <f t="shared" si="73"/>
        <v>75</v>
      </c>
    </row>
    <row r="209" spans="2:21" hidden="1" x14ac:dyDescent="0.25">
      <c r="B209" t="b">
        <f t="shared" si="58"/>
        <v>0</v>
      </c>
      <c r="C209" t="b">
        <f t="shared" si="68"/>
        <v>0</v>
      </c>
      <c r="D209">
        <f t="shared" si="65"/>
        <v>1</v>
      </c>
      <c r="E209" t="str">
        <f t="shared" si="66"/>
        <v>6. Conclusion</v>
      </c>
      <c r="F209" s="8" t="str">
        <f t="shared" si="57"/>
        <v/>
      </c>
      <c r="G209" t="str">
        <f t="shared" si="59"/>
        <v/>
      </c>
      <c r="H209">
        <f t="shared" si="60"/>
        <v>0</v>
      </c>
      <c r="I209">
        <f t="shared" si="67"/>
        <v>0</v>
      </c>
      <c r="J209">
        <f t="shared" si="61"/>
        <v>4588</v>
      </c>
      <c r="K209">
        <f t="shared" si="62"/>
        <v>1</v>
      </c>
      <c r="L209">
        <f t="shared" si="63"/>
        <v>16</v>
      </c>
      <c r="M209">
        <f t="shared" si="64"/>
        <v>28</v>
      </c>
      <c r="N209">
        <f t="shared" si="56"/>
        <v>0</v>
      </c>
      <c r="O209">
        <f t="shared" si="56"/>
        <v>1</v>
      </c>
      <c r="P209">
        <f t="shared" si="56"/>
        <v>15</v>
      </c>
      <c r="Q209">
        <f t="shared" si="69"/>
        <v>75</v>
      </c>
      <c r="R209">
        <f t="shared" si="70"/>
        <v>0</v>
      </c>
      <c r="S209">
        <f t="shared" si="71"/>
        <v>1</v>
      </c>
      <c r="T209">
        <f t="shared" si="72"/>
        <v>15</v>
      </c>
      <c r="U209">
        <f t="shared" si="73"/>
        <v>75</v>
      </c>
    </row>
    <row r="210" spans="2:21" hidden="1" x14ac:dyDescent="0.25">
      <c r="B210" t="b">
        <f t="shared" si="58"/>
        <v>0</v>
      </c>
      <c r="C210" t="b">
        <f t="shared" si="68"/>
        <v>0</v>
      </c>
      <c r="D210">
        <f t="shared" si="65"/>
        <v>1</v>
      </c>
      <c r="E210" t="str">
        <f t="shared" si="66"/>
        <v>6. Conclusion</v>
      </c>
      <c r="F210" s="8" t="str">
        <f t="shared" si="57"/>
        <v/>
      </c>
      <c r="G210" t="str">
        <f t="shared" si="59"/>
        <v/>
      </c>
      <c r="H210">
        <f t="shared" si="60"/>
        <v>0</v>
      </c>
      <c r="I210">
        <f t="shared" si="67"/>
        <v>0</v>
      </c>
      <c r="J210">
        <f t="shared" si="61"/>
        <v>4588</v>
      </c>
      <c r="K210">
        <f t="shared" si="62"/>
        <v>1</v>
      </c>
      <c r="L210">
        <f t="shared" si="63"/>
        <v>16</v>
      </c>
      <c r="M210">
        <f t="shared" si="64"/>
        <v>28</v>
      </c>
      <c r="N210">
        <f t="shared" si="56"/>
        <v>0</v>
      </c>
      <c r="O210">
        <f t="shared" si="56"/>
        <v>1</v>
      </c>
      <c r="P210">
        <f t="shared" si="56"/>
        <v>15</v>
      </c>
      <c r="Q210">
        <f t="shared" si="69"/>
        <v>75</v>
      </c>
      <c r="R210">
        <f t="shared" si="70"/>
        <v>0</v>
      </c>
      <c r="S210">
        <f t="shared" si="71"/>
        <v>1</v>
      </c>
      <c r="T210">
        <f t="shared" si="72"/>
        <v>15</v>
      </c>
      <c r="U210">
        <f t="shared" si="73"/>
        <v>75</v>
      </c>
    </row>
    <row r="211" spans="2:21" hidden="1" x14ac:dyDescent="0.25">
      <c r="B211" t="b">
        <f t="shared" si="58"/>
        <v>0</v>
      </c>
      <c r="C211" t="b">
        <f t="shared" si="68"/>
        <v>0</v>
      </c>
      <c r="D211">
        <f t="shared" si="65"/>
        <v>1</v>
      </c>
      <c r="E211" t="str">
        <f t="shared" si="66"/>
        <v>6. Conclusion</v>
      </c>
      <c r="F211" s="8" t="str">
        <f t="shared" si="57"/>
        <v/>
      </c>
      <c r="G211" t="str">
        <f t="shared" si="59"/>
        <v/>
      </c>
      <c r="H211">
        <f t="shared" si="60"/>
        <v>0</v>
      </c>
      <c r="I211">
        <f t="shared" si="67"/>
        <v>0</v>
      </c>
      <c r="J211">
        <f t="shared" si="61"/>
        <v>4588</v>
      </c>
      <c r="K211">
        <f t="shared" si="62"/>
        <v>1</v>
      </c>
      <c r="L211">
        <f t="shared" si="63"/>
        <v>16</v>
      </c>
      <c r="M211">
        <f t="shared" si="64"/>
        <v>28</v>
      </c>
      <c r="N211">
        <f t="shared" si="56"/>
        <v>0</v>
      </c>
      <c r="O211">
        <f t="shared" si="56"/>
        <v>1</v>
      </c>
      <c r="P211">
        <f t="shared" si="56"/>
        <v>15</v>
      </c>
      <c r="Q211">
        <f t="shared" si="69"/>
        <v>75</v>
      </c>
      <c r="R211">
        <f t="shared" si="70"/>
        <v>0</v>
      </c>
      <c r="S211">
        <f t="shared" si="71"/>
        <v>1</v>
      </c>
      <c r="T211">
        <f t="shared" si="72"/>
        <v>15</v>
      </c>
      <c r="U211">
        <f t="shared" si="73"/>
        <v>75</v>
      </c>
    </row>
    <row r="212" spans="2:21" hidden="1" x14ac:dyDescent="0.25">
      <c r="B212" t="b">
        <f t="shared" si="58"/>
        <v>0</v>
      </c>
      <c r="C212" t="b">
        <f t="shared" si="68"/>
        <v>0</v>
      </c>
      <c r="D212">
        <f t="shared" si="65"/>
        <v>1</v>
      </c>
      <c r="E212" t="str">
        <f t="shared" si="66"/>
        <v>6. Conclusion</v>
      </c>
      <c r="F212" s="8" t="str">
        <f t="shared" si="57"/>
        <v/>
      </c>
      <c r="G212" t="str">
        <f t="shared" si="59"/>
        <v/>
      </c>
      <c r="H212">
        <f t="shared" si="60"/>
        <v>0</v>
      </c>
      <c r="I212">
        <f t="shared" si="67"/>
        <v>0</v>
      </c>
      <c r="J212">
        <f t="shared" si="61"/>
        <v>4588</v>
      </c>
      <c r="K212">
        <f t="shared" si="62"/>
        <v>1</v>
      </c>
      <c r="L212">
        <f t="shared" si="63"/>
        <v>16</v>
      </c>
      <c r="M212">
        <f t="shared" si="64"/>
        <v>28</v>
      </c>
      <c r="N212">
        <f t="shared" si="56"/>
        <v>0</v>
      </c>
      <c r="O212">
        <f t="shared" si="56"/>
        <v>1</v>
      </c>
      <c r="P212">
        <f t="shared" si="56"/>
        <v>15</v>
      </c>
      <c r="Q212">
        <f t="shared" si="69"/>
        <v>75</v>
      </c>
      <c r="R212">
        <f t="shared" si="70"/>
        <v>0</v>
      </c>
      <c r="S212">
        <f t="shared" si="71"/>
        <v>1</v>
      </c>
      <c r="T212">
        <f t="shared" si="72"/>
        <v>15</v>
      </c>
      <c r="U212">
        <f t="shared" si="73"/>
        <v>75</v>
      </c>
    </row>
    <row r="213" spans="2:21" hidden="1" x14ac:dyDescent="0.25">
      <c r="B213" t="b">
        <f t="shared" si="58"/>
        <v>0</v>
      </c>
      <c r="C213" t="b">
        <f t="shared" si="68"/>
        <v>0</v>
      </c>
      <c r="D213">
        <f t="shared" si="65"/>
        <v>1</v>
      </c>
      <c r="E213" t="str">
        <f t="shared" si="66"/>
        <v>6. Conclusion</v>
      </c>
      <c r="F213" s="8" t="str">
        <f t="shared" si="57"/>
        <v/>
      </c>
      <c r="G213" t="str">
        <f t="shared" si="59"/>
        <v/>
      </c>
      <c r="H213">
        <f t="shared" si="60"/>
        <v>0</v>
      </c>
      <c r="I213">
        <f t="shared" si="67"/>
        <v>0</v>
      </c>
      <c r="J213">
        <f t="shared" si="61"/>
        <v>4588</v>
      </c>
      <c r="K213">
        <f t="shared" si="62"/>
        <v>1</v>
      </c>
      <c r="L213">
        <f t="shared" si="63"/>
        <v>16</v>
      </c>
      <c r="M213">
        <f t="shared" si="64"/>
        <v>28</v>
      </c>
      <c r="N213">
        <f t="shared" si="56"/>
        <v>0</v>
      </c>
      <c r="O213">
        <f t="shared" si="56"/>
        <v>1</v>
      </c>
      <c r="P213">
        <f t="shared" si="56"/>
        <v>15</v>
      </c>
      <c r="Q213">
        <f t="shared" si="69"/>
        <v>75</v>
      </c>
      <c r="R213">
        <f t="shared" si="70"/>
        <v>0</v>
      </c>
      <c r="S213">
        <f t="shared" si="71"/>
        <v>1</v>
      </c>
      <c r="T213">
        <f t="shared" si="72"/>
        <v>15</v>
      </c>
      <c r="U213">
        <f t="shared" si="73"/>
        <v>75</v>
      </c>
    </row>
    <row r="214" spans="2:21" hidden="1" x14ac:dyDescent="0.25">
      <c r="B214" t="b">
        <f t="shared" si="58"/>
        <v>0</v>
      </c>
      <c r="C214" t="b">
        <f t="shared" si="68"/>
        <v>0</v>
      </c>
      <c r="D214">
        <f t="shared" si="65"/>
        <v>1</v>
      </c>
      <c r="E214" t="str">
        <f t="shared" si="66"/>
        <v>6. Conclusion</v>
      </c>
      <c r="F214" s="8" t="str">
        <f t="shared" si="57"/>
        <v/>
      </c>
      <c r="G214" t="str">
        <f t="shared" si="59"/>
        <v/>
      </c>
      <c r="H214">
        <f t="shared" si="60"/>
        <v>0</v>
      </c>
      <c r="I214">
        <f t="shared" si="67"/>
        <v>0</v>
      </c>
      <c r="J214">
        <f t="shared" si="61"/>
        <v>4588</v>
      </c>
      <c r="K214">
        <f t="shared" si="62"/>
        <v>1</v>
      </c>
      <c r="L214">
        <f t="shared" si="63"/>
        <v>16</v>
      </c>
      <c r="M214">
        <f t="shared" si="64"/>
        <v>28</v>
      </c>
      <c r="N214">
        <f t="shared" si="56"/>
        <v>0</v>
      </c>
      <c r="O214">
        <f t="shared" si="56"/>
        <v>1</v>
      </c>
      <c r="P214">
        <f t="shared" si="56"/>
        <v>15</v>
      </c>
      <c r="Q214">
        <f t="shared" si="69"/>
        <v>75</v>
      </c>
      <c r="R214">
        <f t="shared" si="70"/>
        <v>0</v>
      </c>
      <c r="S214">
        <f t="shared" si="71"/>
        <v>1</v>
      </c>
      <c r="T214">
        <f t="shared" si="72"/>
        <v>15</v>
      </c>
      <c r="U214">
        <f t="shared" si="73"/>
        <v>75</v>
      </c>
    </row>
    <row r="215" spans="2:21" hidden="1" x14ac:dyDescent="0.25">
      <c r="B215" t="b">
        <f t="shared" si="58"/>
        <v>0</v>
      </c>
      <c r="C215" t="b">
        <f t="shared" si="68"/>
        <v>0</v>
      </c>
      <c r="D215">
        <f t="shared" si="65"/>
        <v>1</v>
      </c>
      <c r="E215" t="str">
        <f t="shared" si="66"/>
        <v>6. Conclusion</v>
      </c>
      <c r="F215" s="8" t="str">
        <f t="shared" si="57"/>
        <v/>
      </c>
      <c r="G215" t="str">
        <f t="shared" si="59"/>
        <v/>
      </c>
      <c r="H215">
        <f t="shared" si="60"/>
        <v>0</v>
      </c>
      <c r="I215">
        <f t="shared" si="67"/>
        <v>0</v>
      </c>
      <c r="J215">
        <f t="shared" si="61"/>
        <v>4588</v>
      </c>
      <c r="K215">
        <f t="shared" si="62"/>
        <v>1</v>
      </c>
      <c r="L215">
        <f t="shared" si="63"/>
        <v>16</v>
      </c>
      <c r="M215">
        <f t="shared" si="64"/>
        <v>28</v>
      </c>
      <c r="N215">
        <f t="shared" si="56"/>
        <v>0</v>
      </c>
      <c r="O215">
        <f t="shared" si="56"/>
        <v>1</v>
      </c>
      <c r="P215">
        <f t="shared" si="56"/>
        <v>15</v>
      </c>
      <c r="Q215">
        <f t="shared" si="69"/>
        <v>75</v>
      </c>
      <c r="R215">
        <f t="shared" si="70"/>
        <v>0</v>
      </c>
      <c r="S215">
        <f t="shared" si="71"/>
        <v>1</v>
      </c>
      <c r="T215">
        <f t="shared" si="72"/>
        <v>15</v>
      </c>
      <c r="U215">
        <f t="shared" si="73"/>
        <v>75</v>
      </c>
    </row>
    <row r="216" spans="2:21" hidden="1" x14ac:dyDescent="0.25">
      <c r="B216" t="b">
        <f t="shared" si="58"/>
        <v>0</v>
      </c>
      <c r="C216" t="b">
        <f t="shared" si="68"/>
        <v>0</v>
      </c>
      <c r="D216">
        <f t="shared" si="65"/>
        <v>1</v>
      </c>
      <c r="E216" t="str">
        <f t="shared" si="66"/>
        <v>6. Conclusion</v>
      </c>
      <c r="F216" s="8" t="str">
        <f t="shared" si="57"/>
        <v/>
      </c>
      <c r="G216" t="str">
        <f t="shared" si="59"/>
        <v/>
      </c>
      <c r="H216">
        <f t="shared" si="60"/>
        <v>0</v>
      </c>
      <c r="I216">
        <f t="shared" si="67"/>
        <v>0</v>
      </c>
      <c r="J216">
        <f t="shared" si="61"/>
        <v>4588</v>
      </c>
      <c r="K216">
        <f t="shared" si="62"/>
        <v>1</v>
      </c>
      <c r="L216">
        <f t="shared" si="63"/>
        <v>16</v>
      </c>
      <c r="M216">
        <f t="shared" si="64"/>
        <v>28</v>
      </c>
      <c r="N216">
        <f t="shared" si="56"/>
        <v>0</v>
      </c>
      <c r="O216">
        <f t="shared" si="56"/>
        <v>1</v>
      </c>
      <c r="P216">
        <f t="shared" si="56"/>
        <v>15</v>
      </c>
      <c r="Q216">
        <f t="shared" si="69"/>
        <v>75</v>
      </c>
      <c r="R216">
        <f t="shared" si="70"/>
        <v>0</v>
      </c>
      <c r="S216">
        <f t="shared" si="71"/>
        <v>1</v>
      </c>
      <c r="T216">
        <f t="shared" si="72"/>
        <v>15</v>
      </c>
      <c r="U216">
        <f t="shared" si="73"/>
        <v>75</v>
      </c>
    </row>
    <row r="217" spans="2:21" hidden="1" x14ac:dyDescent="0.25">
      <c r="B217" t="b">
        <f t="shared" si="58"/>
        <v>0</v>
      </c>
      <c r="C217" t="b">
        <f t="shared" si="68"/>
        <v>0</v>
      </c>
      <c r="D217">
        <f t="shared" si="65"/>
        <v>1</v>
      </c>
      <c r="E217" t="str">
        <f t="shared" si="66"/>
        <v>6. Conclusion</v>
      </c>
      <c r="F217" s="8" t="str">
        <f t="shared" si="57"/>
        <v/>
      </c>
      <c r="G217" t="str">
        <f t="shared" si="59"/>
        <v/>
      </c>
      <c r="H217">
        <f t="shared" si="60"/>
        <v>0</v>
      </c>
      <c r="I217">
        <f t="shared" si="67"/>
        <v>0</v>
      </c>
      <c r="J217">
        <f t="shared" si="61"/>
        <v>4588</v>
      </c>
      <c r="K217">
        <f t="shared" si="62"/>
        <v>1</v>
      </c>
      <c r="L217">
        <f t="shared" si="63"/>
        <v>16</v>
      </c>
      <c r="M217">
        <f t="shared" si="64"/>
        <v>28</v>
      </c>
      <c r="N217">
        <f t="shared" si="56"/>
        <v>0</v>
      </c>
      <c r="O217">
        <f t="shared" si="56"/>
        <v>1</v>
      </c>
      <c r="P217">
        <f t="shared" si="56"/>
        <v>15</v>
      </c>
      <c r="Q217">
        <f t="shared" si="69"/>
        <v>75</v>
      </c>
      <c r="R217">
        <f t="shared" si="70"/>
        <v>0</v>
      </c>
      <c r="S217">
        <f t="shared" si="71"/>
        <v>1</v>
      </c>
      <c r="T217">
        <f t="shared" si="72"/>
        <v>15</v>
      </c>
      <c r="U217">
        <f t="shared" si="73"/>
        <v>75</v>
      </c>
    </row>
    <row r="218" spans="2:21" hidden="1" x14ac:dyDescent="0.25">
      <c r="B218" t="b">
        <f t="shared" si="58"/>
        <v>0</v>
      </c>
      <c r="C218" t="b">
        <f t="shared" si="68"/>
        <v>0</v>
      </c>
      <c r="D218">
        <f t="shared" si="65"/>
        <v>1</v>
      </c>
      <c r="E218" t="str">
        <f t="shared" si="66"/>
        <v>6. Conclusion</v>
      </c>
      <c r="F218" s="8" t="str">
        <f t="shared" si="57"/>
        <v/>
      </c>
      <c r="G218" t="str">
        <f t="shared" si="59"/>
        <v/>
      </c>
      <c r="H218">
        <f t="shared" si="60"/>
        <v>0</v>
      </c>
      <c r="I218">
        <f t="shared" si="67"/>
        <v>0</v>
      </c>
      <c r="J218">
        <f t="shared" si="61"/>
        <v>4588</v>
      </c>
      <c r="K218">
        <f t="shared" si="62"/>
        <v>1</v>
      </c>
      <c r="L218">
        <f t="shared" si="63"/>
        <v>16</v>
      </c>
      <c r="M218">
        <f t="shared" si="64"/>
        <v>28</v>
      </c>
      <c r="N218">
        <f t="shared" si="56"/>
        <v>0</v>
      </c>
      <c r="O218">
        <f t="shared" si="56"/>
        <v>1</v>
      </c>
      <c r="P218">
        <f t="shared" si="56"/>
        <v>15</v>
      </c>
      <c r="Q218">
        <f t="shared" si="69"/>
        <v>75</v>
      </c>
      <c r="R218">
        <f t="shared" si="70"/>
        <v>0</v>
      </c>
      <c r="S218">
        <f t="shared" si="71"/>
        <v>1</v>
      </c>
      <c r="T218">
        <f t="shared" si="72"/>
        <v>15</v>
      </c>
      <c r="U218">
        <f t="shared" si="73"/>
        <v>75</v>
      </c>
    </row>
    <row r="219" spans="2:21" hidden="1" x14ac:dyDescent="0.25">
      <c r="B219" t="b">
        <f t="shared" si="58"/>
        <v>0</v>
      </c>
      <c r="C219" t="b">
        <f t="shared" si="68"/>
        <v>0</v>
      </c>
      <c r="D219">
        <f t="shared" si="65"/>
        <v>1</v>
      </c>
      <c r="E219" t="str">
        <f t="shared" si="66"/>
        <v>6. Conclusion</v>
      </c>
      <c r="F219" s="8" t="str">
        <f t="shared" si="57"/>
        <v/>
      </c>
      <c r="G219" t="str">
        <f t="shared" si="59"/>
        <v/>
      </c>
      <c r="H219">
        <f t="shared" si="60"/>
        <v>0</v>
      </c>
      <c r="I219">
        <f t="shared" si="67"/>
        <v>0</v>
      </c>
      <c r="J219">
        <f t="shared" si="61"/>
        <v>4588</v>
      </c>
      <c r="K219">
        <f t="shared" si="62"/>
        <v>1</v>
      </c>
      <c r="L219">
        <f t="shared" si="63"/>
        <v>16</v>
      </c>
      <c r="M219">
        <f t="shared" si="64"/>
        <v>28</v>
      </c>
      <c r="N219">
        <f t="shared" ref="N219:P282" si="74">R218</f>
        <v>0</v>
      </c>
      <c r="O219">
        <f t="shared" si="74"/>
        <v>1</v>
      </c>
      <c r="P219">
        <f t="shared" si="74"/>
        <v>15</v>
      </c>
      <c r="Q219">
        <f t="shared" si="69"/>
        <v>75</v>
      </c>
      <c r="R219">
        <f t="shared" si="70"/>
        <v>0</v>
      </c>
      <c r="S219">
        <f t="shared" si="71"/>
        <v>1</v>
      </c>
      <c r="T219">
        <f t="shared" si="72"/>
        <v>15</v>
      </c>
      <c r="U219">
        <f t="shared" si="73"/>
        <v>75</v>
      </c>
    </row>
    <row r="220" spans="2:21" hidden="1" x14ac:dyDescent="0.25">
      <c r="B220" t="b">
        <f t="shared" si="58"/>
        <v>0</v>
      </c>
      <c r="C220" t="b">
        <f t="shared" si="68"/>
        <v>0</v>
      </c>
      <c r="D220">
        <f t="shared" si="65"/>
        <v>1</v>
      </c>
      <c r="E220" t="str">
        <f t="shared" si="66"/>
        <v>6. Conclusion</v>
      </c>
      <c r="F220" s="8" t="str">
        <f t="shared" si="57"/>
        <v/>
      </c>
      <c r="G220" t="str">
        <f t="shared" si="59"/>
        <v/>
      </c>
      <c r="H220">
        <f t="shared" si="60"/>
        <v>0</v>
      </c>
      <c r="I220">
        <f t="shared" si="67"/>
        <v>0</v>
      </c>
      <c r="J220">
        <f t="shared" si="61"/>
        <v>4588</v>
      </c>
      <c r="K220">
        <f t="shared" si="62"/>
        <v>1</v>
      </c>
      <c r="L220">
        <f t="shared" si="63"/>
        <v>16</v>
      </c>
      <c r="M220">
        <f t="shared" si="64"/>
        <v>28</v>
      </c>
      <c r="N220">
        <f t="shared" si="74"/>
        <v>0</v>
      </c>
      <c r="O220">
        <f t="shared" si="74"/>
        <v>1</v>
      </c>
      <c r="P220">
        <f t="shared" si="74"/>
        <v>15</v>
      </c>
      <c r="Q220">
        <f t="shared" si="69"/>
        <v>75</v>
      </c>
      <c r="R220">
        <f t="shared" si="70"/>
        <v>0</v>
      </c>
      <c r="S220">
        <f t="shared" si="71"/>
        <v>1</v>
      </c>
      <c r="T220">
        <f t="shared" si="72"/>
        <v>15</v>
      </c>
      <c r="U220">
        <f t="shared" si="73"/>
        <v>75</v>
      </c>
    </row>
    <row r="221" spans="2:21" hidden="1" x14ac:dyDescent="0.25">
      <c r="B221" t="b">
        <f t="shared" si="58"/>
        <v>0</v>
      </c>
      <c r="C221" t="b">
        <f t="shared" si="68"/>
        <v>0</v>
      </c>
      <c r="D221">
        <f t="shared" si="65"/>
        <v>1</v>
      </c>
      <c r="E221" t="str">
        <f t="shared" si="66"/>
        <v>6. Conclusion</v>
      </c>
      <c r="F221" s="8" t="str">
        <f t="shared" si="57"/>
        <v/>
      </c>
      <c r="G221" t="str">
        <f t="shared" si="59"/>
        <v/>
      </c>
      <c r="H221">
        <f t="shared" si="60"/>
        <v>0</v>
      </c>
      <c r="I221">
        <f t="shared" si="67"/>
        <v>0</v>
      </c>
      <c r="J221">
        <f t="shared" si="61"/>
        <v>4588</v>
      </c>
      <c r="K221">
        <f t="shared" si="62"/>
        <v>1</v>
      </c>
      <c r="L221">
        <f t="shared" si="63"/>
        <v>16</v>
      </c>
      <c r="M221">
        <f t="shared" si="64"/>
        <v>28</v>
      </c>
      <c r="N221">
        <f t="shared" si="74"/>
        <v>0</v>
      </c>
      <c r="O221">
        <f t="shared" si="74"/>
        <v>1</v>
      </c>
      <c r="P221">
        <f t="shared" si="74"/>
        <v>15</v>
      </c>
      <c r="Q221">
        <f t="shared" si="69"/>
        <v>75</v>
      </c>
      <c r="R221">
        <f t="shared" si="70"/>
        <v>0</v>
      </c>
      <c r="S221">
        <f t="shared" si="71"/>
        <v>1</v>
      </c>
      <c r="T221">
        <f t="shared" si="72"/>
        <v>15</v>
      </c>
      <c r="U221">
        <f t="shared" si="73"/>
        <v>75</v>
      </c>
    </row>
    <row r="222" spans="2:21" hidden="1" x14ac:dyDescent="0.25">
      <c r="B222" t="b">
        <f t="shared" si="58"/>
        <v>0</v>
      </c>
      <c r="C222" t="b">
        <f t="shared" si="68"/>
        <v>0</v>
      </c>
      <c r="D222">
        <f t="shared" si="65"/>
        <v>1</v>
      </c>
      <c r="E222" t="str">
        <f t="shared" si="66"/>
        <v>6. Conclusion</v>
      </c>
      <c r="F222" s="8" t="str">
        <f t="shared" si="57"/>
        <v/>
      </c>
      <c r="G222" t="str">
        <f t="shared" si="59"/>
        <v/>
      </c>
      <c r="H222">
        <f t="shared" si="60"/>
        <v>0</v>
      </c>
      <c r="I222">
        <f t="shared" si="67"/>
        <v>0</v>
      </c>
      <c r="J222">
        <f t="shared" si="61"/>
        <v>4588</v>
      </c>
      <c r="K222">
        <f t="shared" si="62"/>
        <v>1</v>
      </c>
      <c r="L222">
        <f t="shared" si="63"/>
        <v>16</v>
      </c>
      <c r="M222">
        <f t="shared" si="64"/>
        <v>28</v>
      </c>
      <c r="N222">
        <f t="shared" si="74"/>
        <v>0</v>
      </c>
      <c r="O222">
        <f t="shared" si="74"/>
        <v>1</v>
      </c>
      <c r="P222">
        <f t="shared" si="74"/>
        <v>15</v>
      </c>
      <c r="Q222">
        <f t="shared" si="69"/>
        <v>75</v>
      </c>
      <c r="R222">
        <f t="shared" si="70"/>
        <v>0</v>
      </c>
      <c r="S222">
        <f t="shared" si="71"/>
        <v>1</v>
      </c>
      <c r="T222">
        <f t="shared" si="72"/>
        <v>15</v>
      </c>
      <c r="U222">
        <f t="shared" si="73"/>
        <v>75</v>
      </c>
    </row>
    <row r="223" spans="2:21" hidden="1" x14ac:dyDescent="0.25">
      <c r="B223" t="b">
        <f t="shared" si="58"/>
        <v>0</v>
      </c>
      <c r="C223" t="b">
        <f t="shared" si="68"/>
        <v>0</v>
      </c>
      <c r="D223">
        <f t="shared" si="65"/>
        <v>1</v>
      </c>
      <c r="E223" t="str">
        <f t="shared" si="66"/>
        <v>6. Conclusion</v>
      </c>
      <c r="F223" s="8" t="str">
        <f t="shared" si="57"/>
        <v/>
      </c>
      <c r="G223" t="str">
        <f t="shared" si="59"/>
        <v/>
      </c>
      <c r="H223">
        <f t="shared" si="60"/>
        <v>0</v>
      </c>
      <c r="I223">
        <f t="shared" si="67"/>
        <v>0</v>
      </c>
      <c r="J223">
        <f t="shared" si="61"/>
        <v>4588</v>
      </c>
      <c r="K223">
        <f t="shared" si="62"/>
        <v>1</v>
      </c>
      <c r="L223">
        <f t="shared" si="63"/>
        <v>16</v>
      </c>
      <c r="M223">
        <f t="shared" si="64"/>
        <v>28</v>
      </c>
      <c r="N223">
        <f t="shared" si="74"/>
        <v>0</v>
      </c>
      <c r="O223">
        <f t="shared" si="74"/>
        <v>1</v>
      </c>
      <c r="P223">
        <f t="shared" si="74"/>
        <v>15</v>
      </c>
      <c r="Q223">
        <f t="shared" si="69"/>
        <v>75</v>
      </c>
      <c r="R223">
        <f t="shared" si="70"/>
        <v>0</v>
      </c>
      <c r="S223">
        <f t="shared" si="71"/>
        <v>1</v>
      </c>
      <c r="T223">
        <f t="shared" si="72"/>
        <v>15</v>
      </c>
      <c r="U223">
        <f t="shared" si="73"/>
        <v>75</v>
      </c>
    </row>
    <row r="224" spans="2:21" hidden="1" x14ac:dyDescent="0.25">
      <c r="B224" t="b">
        <f t="shared" si="58"/>
        <v>0</v>
      </c>
      <c r="C224" t="b">
        <f t="shared" si="68"/>
        <v>0</v>
      </c>
      <c r="D224">
        <f t="shared" si="65"/>
        <v>1</v>
      </c>
      <c r="E224" t="str">
        <f t="shared" si="66"/>
        <v>6. Conclusion</v>
      </c>
      <c r="F224" s="8" t="str">
        <f t="shared" si="57"/>
        <v/>
      </c>
      <c r="G224" t="str">
        <f t="shared" si="59"/>
        <v/>
      </c>
      <c r="H224">
        <f t="shared" si="60"/>
        <v>0</v>
      </c>
      <c r="I224">
        <f t="shared" si="67"/>
        <v>0</v>
      </c>
      <c r="J224">
        <f t="shared" si="61"/>
        <v>4588</v>
      </c>
      <c r="K224">
        <f t="shared" si="62"/>
        <v>1</v>
      </c>
      <c r="L224">
        <f t="shared" si="63"/>
        <v>16</v>
      </c>
      <c r="M224">
        <f t="shared" si="64"/>
        <v>28</v>
      </c>
      <c r="N224">
        <f t="shared" si="74"/>
        <v>0</v>
      </c>
      <c r="O224">
        <f t="shared" si="74"/>
        <v>1</v>
      </c>
      <c r="P224">
        <f t="shared" si="74"/>
        <v>15</v>
      </c>
      <c r="Q224">
        <f t="shared" si="69"/>
        <v>75</v>
      </c>
      <c r="R224">
        <f t="shared" si="70"/>
        <v>0</v>
      </c>
      <c r="S224">
        <f t="shared" si="71"/>
        <v>1</v>
      </c>
      <c r="T224">
        <f t="shared" si="72"/>
        <v>15</v>
      </c>
      <c r="U224">
        <f t="shared" si="73"/>
        <v>75</v>
      </c>
    </row>
    <row r="225" spans="2:21" hidden="1" x14ac:dyDescent="0.25">
      <c r="B225" t="b">
        <f t="shared" si="58"/>
        <v>0</v>
      </c>
      <c r="C225" t="b">
        <f t="shared" si="68"/>
        <v>0</v>
      </c>
      <c r="D225">
        <f t="shared" si="65"/>
        <v>1</v>
      </c>
      <c r="E225" t="str">
        <f t="shared" si="66"/>
        <v>6. Conclusion</v>
      </c>
      <c r="F225" s="8" t="str">
        <f t="shared" si="57"/>
        <v/>
      </c>
      <c r="G225" t="str">
        <f t="shared" si="59"/>
        <v/>
      </c>
      <c r="H225">
        <f t="shared" si="60"/>
        <v>0</v>
      </c>
      <c r="I225">
        <f t="shared" si="67"/>
        <v>0</v>
      </c>
      <c r="J225">
        <f t="shared" si="61"/>
        <v>4588</v>
      </c>
      <c r="K225">
        <f t="shared" si="62"/>
        <v>1</v>
      </c>
      <c r="L225">
        <f t="shared" si="63"/>
        <v>16</v>
      </c>
      <c r="M225">
        <f t="shared" si="64"/>
        <v>28</v>
      </c>
      <c r="N225">
        <f t="shared" si="74"/>
        <v>0</v>
      </c>
      <c r="O225">
        <f t="shared" si="74"/>
        <v>1</v>
      </c>
      <c r="P225">
        <f t="shared" si="74"/>
        <v>15</v>
      </c>
      <c r="Q225">
        <f t="shared" si="69"/>
        <v>75</v>
      </c>
      <c r="R225">
        <f t="shared" si="70"/>
        <v>0</v>
      </c>
      <c r="S225">
        <f t="shared" si="71"/>
        <v>1</v>
      </c>
      <c r="T225">
        <f t="shared" si="72"/>
        <v>15</v>
      </c>
      <c r="U225">
        <f t="shared" si="73"/>
        <v>75</v>
      </c>
    </row>
    <row r="226" spans="2:21" hidden="1" x14ac:dyDescent="0.25">
      <c r="B226" t="b">
        <f t="shared" si="58"/>
        <v>0</v>
      </c>
      <c r="C226" t="b">
        <f t="shared" si="68"/>
        <v>0</v>
      </c>
      <c r="D226">
        <f t="shared" si="65"/>
        <v>1</v>
      </c>
      <c r="E226" t="str">
        <f t="shared" si="66"/>
        <v>6. Conclusion</v>
      </c>
      <c r="F226" s="8" t="str">
        <f t="shared" si="57"/>
        <v/>
      </c>
      <c r="G226" t="str">
        <f t="shared" si="59"/>
        <v/>
      </c>
      <c r="H226">
        <f t="shared" si="60"/>
        <v>0</v>
      </c>
      <c r="I226">
        <f t="shared" si="67"/>
        <v>0</v>
      </c>
      <c r="J226">
        <f t="shared" si="61"/>
        <v>4588</v>
      </c>
      <c r="K226">
        <f t="shared" si="62"/>
        <v>1</v>
      </c>
      <c r="L226">
        <f t="shared" si="63"/>
        <v>16</v>
      </c>
      <c r="M226">
        <f t="shared" si="64"/>
        <v>28</v>
      </c>
      <c r="N226">
        <f t="shared" si="74"/>
        <v>0</v>
      </c>
      <c r="O226">
        <f t="shared" si="74"/>
        <v>1</v>
      </c>
      <c r="P226">
        <f t="shared" si="74"/>
        <v>15</v>
      </c>
      <c r="Q226">
        <f t="shared" si="69"/>
        <v>75</v>
      </c>
      <c r="R226">
        <f t="shared" si="70"/>
        <v>0</v>
      </c>
      <c r="S226">
        <f t="shared" si="71"/>
        <v>1</v>
      </c>
      <c r="T226">
        <f t="shared" si="72"/>
        <v>15</v>
      </c>
      <c r="U226">
        <f t="shared" si="73"/>
        <v>75</v>
      </c>
    </row>
    <row r="227" spans="2:21" hidden="1" x14ac:dyDescent="0.25">
      <c r="B227" t="b">
        <f t="shared" si="58"/>
        <v>0</v>
      </c>
      <c r="C227" t="b">
        <f t="shared" si="68"/>
        <v>0</v>
      </c>
      <c r="D227">
        <f t="shared" si="65"/>
        <v>1</v>
      </c>
      <c r="E227" t="str">
        <f t="shared" si="66"/>
        <v>6. Conclusion</v>
      </c>
      <c r="F227" s="8" t="str">
        <f t="shared" si="57"/>
        <v/>
      </c>
      <c r="G227" t="str">
        <f t="shared" si="59"/>
        <v/>
      </c>
      <c r="H227">
        <f t="shared" si="60"/>
        <v>0</v>
      </c>
      <c r="I227">
        <f t="shared" si="67"/>
        <v>0</v>
      </c>
      <c r="J227">
        <f t="shared" si="61"/>
        <v>4588</v>
      </c>
      <c r="K227">
        <f t="shared" si="62"/>
        <v>1</v>
      </c>
      <c r="L227">
        <f t="shared" si="63"/>
        <v>16</v>
      </c>
      <c r="M227">
        <f t="shared" si="64"/>
        <v>28</v>
      </c>
      <c r="N227">
        <f t="shared" si="74"/>
        <v>0</v>
      </c>
      <c r="O227">
        <f t="shared" si="74"/>
        <v>1</v>
      </c>
      <c r="P227">
        <f t="shared" si="74"/>
        <v>15</v>
      </c>
      <c r="Q227">
        <f t="shared" si="69"/>
        <v>75</v>
      </c>
      <c r="R227">
        <f t="shared" si="70"/>
        <v>0</v>
      </c>
      <c r="S227">
        <f t="shared" si="71"/>
        <v>1</v>
      </c>
      <c r="T227">
        <f t="shared" si="72"/>
        <v>15</v>
      </c>
      <c r="U227">
        <f t="shared" si="73"/>
        <v>75</v>
      </c>
    </row>
    <row r="228" spans="2:21" hidden="1" x14ac:dyDescent="0.25">
      <c r="B228" t="b">
        <f t="shared" si="58"/>
        <v>0</v>
      </c>
      <c r="C228" t="b">
        <f t="shared" si="68"/>
        <v>0</v>
      </c>
      <c r="D228">
        <f t="shared" si="65"/>
        <v>1</v>
      </c>
      <c r="E228" t="str">
        <f t="shared" si="66"/>
        <v>6. Conclusion</v>
      </c>
      <c r="F228" s="8" t="str">
        <f t="shared" si="57"/>
        <v/>
      </c>
      <c r="G228" t="str">
        <f t="shared" si="59"/>
        <v/>
      </c>
      <c r="H228">
        <f t="shared" si="60"/>
        <v>0</v>
      </c>
      <c r="I228">
        <f t="shared" si="67"/>
        <v>0</v>
      </c>
      <c r="J228">
        <f t="shared" si="61"/>
        <v>4588</v>
      </c>
      <c r="K228">
        <f t="shared" si="62"/>
        <v>1</v>
      </c>
      <c r="L228">
        <f t="shared" si="63"/>
        <v>16</v>
      </c>
      <c r="M228">
        <f t="shared" si="64"/>
        <v>28</v>
      </c>
      <c r="N228">
        <f t="shared" si="74"/>
        <v>0</v>
      </c>
      <c r="O228">
        <f t="shared" si="74"/>
        <v>1</v>
      </c>
      <c r="P228">
        <f t="shared" si="74"/>
        <v>15</v>
      </c>
      <c r="Q228">
        <f t="shared" si="69"/>
        <v>75</v>
      </c>
      <c r="R228">
        <f t="shared" si="70"/>
        <v>0</v>
      </c>
      <c r="S228">
        <f t="shared" si="71"/>
        <v>1</v>
      </c>
      <c r="T228">
        <f t="shared" si="72"/>
        <v>15</v>
      </c>
      <c r="U228">
        <f t="shared" si="73"/>
        <v>75</v>
      </c>
    </row>
    <row r="229" spans="2:21" hidden="1" x14ac:dyDescent="0.25">
      <c r="B229" t="b">
        <f t="shared" si="58"/>
        <v>0</v>
      </c>
      <c r="C229" t="b">
        <f t="shared" si="68"/>
        <v>0</v>
      </c>
      <c r="D229">
        <f t="shared" si="65"/>
        <v>1</v>
      </c>
      <c r="E229" t="str">
        <f t="shared" si="66"/>
        <v>6. Conclusion</v>
      </c>
      <c r="F229" s="8" t="str">
        <f t="shared" si="57"/>
        <v/>
      </c>
      <c r="G229" t="str">
        <f t="shared" si="59"/>
        <v/>
      </c>
      <c r="H229">
        <f t="shared" si="60"/>
        <v>0</v>
      </c>
      <c r="I229">
        <f t="shared" si="67"/>
        <v>0</v>
      </c>
      <c r="J229">
        <f t="shared" si="61"/>
        <v>4588</v>
      </c>
      <c r="K229">
        <f t="shared" si="62"/>
        <v>1</v>
      </c>
      <c r="L229">
        <f t="shared" si="63"/>
        <v>16</v>
      </c>
      <c r="M229">
        <f t="shared" si="64"/>
        <v>28</v>
      </c>
      <c r="N229">
        <f t="shared" si="74"/>
        <v>0</v>
      </c>
      <c r="O229">
        <f t="shared" si="74"/>
        <v>1</v>
      </c>
      <c r="P229">
        <f t="shared" si="74"/>
        <v>15</v>
      </c>
      <c r="Q229">
        <f t="shared" si="69"/>
        <v>75</v>
      </c>
      <c r="R229">
        <f t="shared" si="70"/>
        <v>0</v>
      </c>
      <c r="S229">
        <f t="shared" si="71"/>
        <v>1</v>
      </c>
      <c r="T229">
        <f t="shared" si="72"/>
        <v>15</v>
      </c>
      <c r="U229">
        <f t="shared" si="73"/>
        <v>75</v>
      </c>
    </row>
    <row r="230" spans="2:21" hidden="1" x14ac:dyDescent="0.25">
      <c r="B230" t="b">
        <f t="shared" si="58"/>
        <v>0</v>
      </c>
      <c r="C230" t="b">
        <f t="shared" si="68"/>
        <v>0</v>
      </c>
      <c r="D230">
        <f t="shared" si="65"/>
        <v>1</v>
      </c>
      <c r="E230" t="str">
        <f t="shared" si="66"/>
        <v>6. Conclusion</v>
      </c>
      <c r="F230" s="8" t="str">
        <f t="shared" si="57"/>
        <v/>
      </c>
      <c r="G230" t="str">
        <f t="shared" si="59"/>
        <v/>
      </c>
      <c r="H230">
        <f t="shared" si="60"/>
        <v>0</v>
      </c>
      <c r="I230">
        <f t="shared" si="67"/>
        <v>0</v>
      </c>
      <c r="J230">
        <f t="shared" si="61"/>
        <v>4588</v>
      </c>
      <c r="K230">
        <f t="shared" si="62"/>
        <v>1</v>
      </c>
      <c r="L230">
        <f t="shared" si="63"/>
        <v>16</v>
      </c>
      <c r="M230">
        <f t="shared" si="64"/>
        <v>28</v>
      </c>
      <c r="N230">
        <f t="shared" si="74"/>
        <v>0</v>
      </c>
      <c r="O230">
        <f t="shared" si="74"/>
        <v>1</v>
      </c>
      <c r="P230">
        <f t="shared" si="74"/>
        <v>15</v>
      </c>
      <c r="Q230">
        <f t="shared" si="69"/>
        <v>75</v>
      </c>
      <c r="R230">
        <f t="shared" si="70"/>
        <v>0</v>
      </c>
      <c r="S230">
        <f t="shared" si="71"/>
        <v>1</v>
      </c>
      <c r="T230">
        <f t="shared" si="72"/>
        <v>15</v>
      </c>
      <c r="U230">
        <f t="shared" si="73"/>
        <v>75</v>
      </c>
    </row>
    <row r="231" spans="2:21" hidden="1" x14ac:dyDescent="0.25">
      <c r="B231" t="b">
        <f t="shared" si="58"/>
        <v>0</v>
      </c>
      <c r="C231" t="b">
        <f t="shared" si="68"/>
        <v>0</v>
      </c>
      <c r="D231">
        <f t="shared" si="65"/>
        <v>1</v>
      </c>
      <c r="E231" t="str">
        <f t="shared" si="66"/>
        <v>6. Conclusion</v>
      </c>
      <c r="F231" s="8" t="str">
        <f t="shared" si="57"/>
        <v/>
      </c>
      <c r="G231" t="str">
        <f t="shared" si="59"/>
        <v/>
      </c>
      <c r="H231">
        <f t="shared" si="60"/>
        <v>0</v>
      </c>
      <c r="I231">
        <f t="shared" si="67"/>
        <v>0</v>
      </c>
      <c r="J231">
        <f t="shared" si="61"/>
        <v>4588</v>
      </c>
      <c r="K231">
        <f t="shared" si="62"/>
        <v>1</v>
      </c>
      <c r="L231">
        <f t="shared" si="63"/>
        <v>16</v>
      </c>
      <c r="M231">
        <f t="shared" si="64"/>
        <v>28</v>
      </c>
      <c r="N231">
        <f t="shared" si="74"/>
        <v>0</v>
      </c>
      <c r="O231">
        <f t="shared" si="74"/>
        <v>1</v>
      </c>
      <c r="P231">
        <f t="shared" si="74"/>
        <v>15</v>
      </c>
      <c r="Q231">
        <f t="shared" si="69"/>
        <v>75</v>
      </c>
      <c r="R231">
        <f t="shared" si="70"/>
        <v>0</v>
      </c>
      <c r="S231">
        <f t="shared" si="71"/>
        <v>1</v>
      </c>
      <c r="T231">
        <f t="shared" si="72"/>
        <v>15</v>
      </c>
      <c r="U231">
        <f t="shared" si="73"/>
        <v>75</v>
      </c>
    </row>
    <row r="232" spans="2:21" hidden="1" x14ac:dyDescent="0.25">
      <c r="B232" t="b">
        <f t="shared" si="58"/>
        <v>0</v>
      </c>
      <c r="C232" t="b">
        <f t="shared" si="68"/>
        <v>0</v>
      </c>
      <c r="D232">
        <f t="shared" si="65"/>
        <v>1</v>
      </c>
      <c r="E232" t="str">
        <f t="shared" si="66"/>
        <v>6. Conclusion</v>
      </c>
      <c r="F232" s="8" t="str">
        <f t="shared" ref="F232:F295" si="75">SUBSTITUTE(IF(C232,D232&amp;". "&amp;A232,""),":"," -")</f>
        <v/>
      </c>
      <c r="G232" t="str">
        <f t="shared" si="59"/>
        <v/>
      </c>
      <c r="H232">
        <f t="shared" si="60"/>
        <v>0</v>
      </c>
      <c r="I232">
        <f t="shared" si="67"/>
        <v>0</v>
      </c>
      <c r="J232">
        <f t="shared" si="61"/>
        <v>4588</v>
      </c>
      <c r="K232">
        <f t="shared" si="62"/>
        <v>1</v>
      </c>
      <c r="L232">
        <f t="shared" si="63"/>
        <v>16</v>
      </c>
      <c r="M232">
        <f t="shared" si="64"/>
        <v>28</v>
      </c>
      <c r="N232">
        <f t="shared" si="74"/>
        <v>0</v>
      </c>
      <c r="O232">
        <f t="shared" si="74"/>
        <v>1</v>
      </c>
      <c r="P232">
        <f t="shared" si="74"/>
        <v>15</v>
      </c>
      <c r="Q232">
        <f t="shared" si="69"/>
        <v>75</v>
      </c>
      <c r="R232">
        <f t="shared" si="70"/>
        <v>0</v>
      </c>
      <c r="S232">
        <f t="shared" si="71"/>
        <v>1</v>
      </c>
      <c r="T232">
        <f t="shared" si="72"/>
        <v>15</v>
      </c>
      <c r="U232">
        <f t="shared" si="73"/>
        <v>75</v>
      </c>
    </row>
    <row r="233" spans="2:21" hidden="1" x14ac:dyDescent="0.25">
      <c r="B233" t="b">
        <f t="shared" si="58"/>
        <v>0</v>
      </c>
      <c r="C233" t="b">
        <f t="shared" si="68"/>
        <v>0</v>
      </c>
      <c r="D233">
        <f t="shared" si="65"/>
        <v>1</v>
      </c>
      <c r="E233" t="str">
        <f t="shared" si="66"/>
        <v>6. Conclusion</v>
      </c>
      <c r="F233" s="8" t="str">
        <f t="shared" si="75"/>
        <v/>
      </c>
      <c r="G233" t="str">
        <f t="shared" si="59"/>
        <v/>
      </c>
      <c r="H233">
        <f t="shared" si="60"/>
        <v>0</v>
      </c>
      <c r="I233">
        <f t="shared" si="67"/>
        <v>0</v>
      </c>
      <c r="J233">
        <f t="shared" si="61"/>
        <v>4588</v>
      </c>
      <c r="K233">
        <f t="shared" si="62"/>
        <v>1</v>
      </c>
      <c r="L233">
        <f t="shared" si="63"/>
        <v>16</v>
      </c>
      <c r="M233">
        <f t="shared" si="64"/>
        <v>28</v>
      </c>
      <c r="N233">
        <f t="shared" si="74"/>
        <v>0</v>
      </c>
      <c r="O233">
        <f t="shared" si="74"/>
        <v>1</v>
      </c>
      <c r="P233">
        <f t="shared" si="74"/>
        <v>15</v>
      </c>
      <c r="Q233">
        <f t="shared" si="69"/>
        <v>75</v>
      </c>
      <c r="R233">
        <f t="shared" si="70"/>
        <v>0</v>
      </c>
      <c r="S233">
        <f t="shared" si="71"/>
        <v>1</v>
      </c>
      <c r="T233">
        <f t="shared" si="72"/>
        <v>15</v>
      </c>
      <c r="U233">
        <f t="shared" si="73"/>
        <v>75</v>
      </c>
    </row>
    <row r="234" spans="2:21" hidden="1" x14ac:dyDescent="0.25">
      <c r="B234" t="b">
        <f t="shared" si="58"/>
        <v>0</v>
      </c>
      <c r="C234" t="b">
        <f t="shared" si="68"/>
        <v>0</v>
      </c>
      <c r="D234">
        <f t="shared" si="65"/>
        <v>1</v>
      </c>
      <c r="E234" t="str">
        <f t="shared" si="66"/>
        <v>6. Conclusion</v>
      </c>
      <c r="F234" s="8" t="str">
        <f t="shared" si="75"/>
        <v/>
      </c>
      <c r="G234" t="str">
        <f t="shared" si="59"/>
        <v/>
      </c>
      <c r="H234">
        <f t="shared" si="60"/>
        <v>0</v>
      </c>
      <c r="I234">
        <f t="shared" si="67"/>
        <v>0</v>
      </c>
      <c r="J234">
        <f t="shared" si="61"/>
        <v>4588</v>
      </c>
      <c r="K234">
        <f t="shared" si="62"/>
        <v>1</v>
      </c>
      <c r="L234">
        <f t="shared" si="63"/>
        <v>16</v>
      </c>
      <c r="M234">
        <f t="shared" si="64"/>
        <v>28</v>
      </c>
      <c r="N234">
        <f t="shared" si="74"/>
        <v>0</v>
      </c>
      <c r="O234">
        <f t="shared" si="74"/>
        <v>1</v>
      </c>
      <c r="P234">
        <f t="shared" si="74"/>
        <v>15</v>
      </c>
      <c r="Q234">
        <f t="shared" si="69"/>
        <v>75</v>
      </c>
      <c r="R234">
        <f t="shared" si="70"/>
        <v>0</v>
      </c>
      <c r="S234">
        <f t="shared" si="71"/>
        <v>1</v>
      </c>
      <c r="T234">
        <f t="shared" si="72"/>
        <v>15</v>
      </c>
      <c r="U234">
        <f t="shared" si="73"/>
        <v>75</v>
      </c>
    </row>
    <row r="235" spans="2:21" hidden="1" x14ac:dyDescent="0.25">
      <c r="B235" t="b">
        <f t="shared" si="58"/>
        <v>0</v>
      </c>
      <c r="C235" t="b">
        <f t="shared" si="68"/>
        <v>0</v>
      </c>
      <c r="D235">
        <f t="shared" si="65"/>
        <v>1</v>
      </c>
      <c r="E235" t="str">
        <f t="shared" si="66"/>
        <v>6. Conclusion</v>
      </c>
      <c r="F235" s="8" t="str">
        <f t="shared" si="75"/>
        <v/>
      </c>
      <c r="G235" t="str">
        <f t="shared" si="59"/>
        <v/>
      </c>
      <c r="H235">
        <f t="shared" si="60"/>
        <v>0</v>
      </c>
      <c r="I235">
        <f t="shared" si="67"/>
        <v>0</v>
      </c>
      <c r="J235">
        <f t="shared" si="61"/>
        <v>4588</v>
      </c>
      <c r="K235">
        <f t="shared" si="62"/>
        <v>1</v>
      </c>
      <c r="L235">
        <f t="shared" si="63"/>
        <v>16</v>
      </c>
      <c r="M235">
        <f t="shared" si="64"/>
        <v>28</v>
      </c>
      <c r="N235">
        <f t="shared" si="74"/>
        <v>0</v>
      </c>
      <c r="O235">
        <f t="shared" si="74"/>
        <v>1</v>
      </c>
      <c r="P235">
        <f t="shared" si="74"/>
        <v>15</v>
      </c>
      <c r="Q235">
        <f t="shared" si="69"/>
        <v>75</v>
      </c>
      <c r="R235">
        <f t="shared" si="70"/>
        <v>0</v>
      </c>
      <c r="S235">
        <f t="shared" si="71"/>
        <v>1</v>
      </c>
      <c r="T235">
        <f t="shared" si="72"/>
        <v>15</v>
      </c>
      <c r="U235">
        <f t="shared" si="73"/>
        <v>75</v>
      </c>
    </row>
    <row r="236" spans="2:21" hidden="1" x14ac:dyDescent="0.25">
      <c r="B236" t="b">
        <f t="shared" si="58"/>
        <v>0</v>
      </c>
      <c r="C236" t="b">
        <f t="shared" si="68"/>
        <v>0</v>
      </c>
      <c r="D236">
        <f t="shared" si="65"/>
        <v>1</v>
      </c>
      <c r="E236" t="str">
        <f t="shared" si="66"/>
        <v>6. Conclusion</v>
      </c>
      <c r="F236" s="8" t="str">
        <f t="shared" si="75"/>
        <v/>
      </c>
      <c r="G236" t="str">
        <f t="shared" si="59"/>
        <v/>
      </c>
      <c r="H236">
        <f t="shared" si="60"/>
        <v>0</v>
      </c>
      <c r="I236">
        <f t="shared" si="67"/>
        <v>0</v>
      </c>
      <c r="J236">
        <f t="shared" si="61"/>
        <v>4588</v>
      </c>
      <c r="K236">
        <f t="shared" si="62"/>
        <v>1</v>
      </c>
      <c r="L236">
        <f t="shared" si="63"/>
        <v>16</v>
      </c>
      <c r="M236">
        <f t="shared" si="64"/>
        <v>28</v>
      </c>
      <c r="N236">
        <f t="shared" si="74"/>
        <v>0</v>
      </c>
      <c r="O236">
        <f t="shared" si="74"/>
        <v>1</v>
      </c>
      <c r="P236">
        <f t="shared" si="74"/>
        <v>15</v>
      </c>
      <c r="Q236">
        <f t="shared" si="69"/>
        <v>75</v>
      </c>
      <c r="R236">
        <f t="shared" si="70"/>
        <v>0</v>
      </c>
      <c r="S236">
        <f t="shared" si="71"/>
        <v>1</v>
      </c>
      <c r="T236">
        <f t="shared" si="72"/>
        <v>15</v>
      </c>
      <c r="U236">
        <f t="shared" si="73"/>
        <v>75</v>
      </c>
    </row>
    <row r="237" spans="2:21" hidden="1" x14ac:dyDescent="0.25">
      <c r="B237" t="b">
        <f t="shared" si="58"/>
        <v>0</v>
      </c>
      <c r="C237" t="b">
        <f t="shared" si="68"/>
        <v>0</v>
      </c>
      <c r="D237">
        <f t="shared" si="65"/>
        <v>1</v>
      </c>
      <c r="E237" t="str">
        <f t="shared" si="66"/>
        <v>6. Conclusion</v>
      </c>
      <c r="F237" s="8" t="str">
        <f t="shared" si="75"/>
        <v/>
      </c>
      <c r="G237" t="str">
        <f t="shared" si="59"/>
        <v/>
      </c>
      <c r="H237">
        <f t="shared" si="60"/>
        <v>0</v>
      </c>
      <c r="I237">
        <f t="shared" si="67"/>
        <v>0</v>
      </c>
      <c r="J237">
        <f t="shared" si="61"/>
        <v>4588</v>
      </c>
      <c r="K237">
        <f t="shared" si="62"/>
        <v>1</v>
      </c>
      <c r="L237">
        <f t="shared" si="63"/>
        <v>16</v>
      </c>
      <c r="M237">
        <f t="shared" si="64"/>
        <v>28</v>
      </c>
      <c r="N237">
        <f t="shared" si="74"/>
        <v>0</v>
      </c>
      <c r="O237">
        <f t="shared" si="74"/>
        <v>1</v>
      </c>
      <c r="P237">
        <f t="shared" si="74"/>
        <v>15</v>
      </c>
      <c r="Q237">
        <f t="shared" si="69"/>
        <v>75</v>
      </c>
      <c r="R237">
        <f t="shared" si="70"/>
        <v>0</v>
      </c>
      <c r="S237">
        <f t="shared" si="71"/>
        <v>1</v>
      </c>
      <c r="T237">
        <f t="shared" si="72"/>
        <v>15</v>
      </c>
      <c r="U237">
        <f t="shared" si="73"/>
        <v>75</v>
      </c>
    </row>
    <row r="238" spans="2:21" hidden="1" x14ac:dyDescent="0.25">
      <c r="B238" t="b">
        <f t="shared" si="58"/>
        <v>0</v>
      </c>
      <c r="C238" t="b">
        <f t="shared" si="68"/>
        <v>0</v>
      </c>
      <c r="D238">
        <f t="shared" si="65"/>
        <v>1</v>
      </c>
      <c r="E238" t="str">
        <f t="shared" si="66"/>
        <v>6. Conclusion</v>
      </c>
      <c r="F238" s="8" t="str">
        <f t="shared" si="75"/>
        <v/>
      </c>
      <c r="G238" t="str">
        <f t="shared" si="59"/>
        <v/>
      </c>
      <c r="H238">
        <f t="shared" si="60"/>
        <v>0</v>
      </c>
      <c r="I238">
        <f t="shared" si="67"/>
        <v>0</v>
      </c>
      <c r="J238">
        <f t="shared" si="61"/>
        <v>4588</v>
      </c>
      <c r="K238">
        <f t="shared" si="62"/>
        <v>1</v>
      </c>
      <c r="L238">
        <f t="shared" si="63"/>
        <v>16</v>
      </c>
      <c r="M238">
        <f t="shared" si="64"/>
        <v>28</v>
      </c>
      <c r="N238">
        <f t="shared" si="74"/>
        <v>0</v>
      </c>
      <c r="O238">
        <f t="shared" si="74"/>
        <v>1</v>
      </c>
      <c r="P238">
        <f t="shared" si="74"/>
        <v>15</v>
      </c>
      <c r="Q238">
        <f t="shared" si="69"/>
        <v>75</v>
      </c>
      <c r="R238">
        <f t="shared" si="70"/>
        <v>0</v>
      </c>
      <c r="S238">
        <f t="shared" si="71"/>
        <v>1</v>
      </c>
      <c r="T238">
        <f t="shared" si="72"/>
        <v>15</v>
      </c>
      <c r="U238">
        <f t="shared" si="73"/>
        <v>75</v>
      </c>
    </row>
    <row r="239" spans="2:21" hidden="1" x14ac:dyDescent="0.25">
      <c r="B239" t="b">
        <f t="shared" si="58"/>
        <v>0</v>
      </c>
      <c r="C239" t="b">
        <f t="shared" si="68"/>
        <v>0</v>
      </c>
      <c r="D239">
        <f t="shared" si="65"/>
        <v>1</v>
      </c>
      <c r="E239" t="str">
        <f t="shared" si="66"/>
        <v>6. Conclusion</v>
      </c>
      <c r="F239" s="8" t="str">
        <f t="shared" si="75"/>
        <v/>
      </c>
      <c r="G239" t="str">
        <f t="shared" si="59"/>
        <v/>
      </c>
      <c r="H239">
        <f t="shared" si="60"/>
        <v>0</v>
      </c>
      <c r="I239">
        <f t="shared" si="67"/>
        <v>0</v>
      </c>
      <c r="J239">
        <f t="shared" si="61"/>
        <v>4588</v>
      </c>
      <c r="K239">
        <f t="shared" si="62"/>
        <v>1</v>
      </c>
      <c r="L239">
        <f t="shared" si="63"/>
        <v>16</v>
      </c>
      <c r="M239">
        <f t="shared" si="64"/>
        <v>28</v>
      </c>
      <c r="N239">
        <f t="shared" si="74"/>
        <v>0</v>
      </c>
      <c r="O239">
        <f t="shared" si="74"/>
        <v>1</v>
      </c>
      <c r="P239">
        <f t="shared" si="74"/>
        <v>15</v>
      </c>
      <c r="Q239">
        <f t="shared" si="69"/>
        <v>75</v>
      </c>
      <c r="R239">
        <f t="shared" si="70"/>
        <v>0</v>
      </c>
      <c r="S239">
        <f t="shared" si="71"/>
        <v>1</v>
      </c>
      <c r="T239">
        <f t="shared" si="72"/>
        <v>15</v>
      </c>
      <c r="U239">
        <f t="shared" si="73"/>
        <v>75</v>
      </c>
    </row>
    <row r="240" spans="2:21" hidden="1" x14ac:dyDescent="0.25">
      <c r="B240" t="b">
        <f t="shared" si="58"/>
        <v>0</v>
      </c>
      <c r="C240" t="b">
        <f t="shared" si="68"/>
        <v>0</v>
      </c>
      <c r="D240">
        <f t="shared" si="65"/>
        <v>1</v>
      </c>
      <c r="E240" t="str">
        <f t="shared" si="66"/>
        <v>6. Conclusion</v>
      </c>
      <c r="F240" s="8" t="str">
        <f t="shared" si="75"/>
        <v/>
      </c>
      <c r="G240" t="str">
        <f t="shared" si="59"/>
        <v/>
      </c>
      <c r="H240">
        <f t="shared" si="60"/>
        <v>0</v>
      </c>
      <c r="I240">
        <f t="shared" si="67"/>
        <v>0</v>
      </c>
      <c r="J240">
        <f t="shared" si="61"/>
        <v>4588</v>
      </c>
      <c r="K240">
        <f t="shared" si="62"/>
        <v>1</v>
      </c>
      <c r="L240">
        <f t="shared" si="63"/>
        <v>16</v>
      </c>
      <c r="M240">
        <f t="shared" si="64"/>
        <v>28</v>
      </c>
      <c r="N240">
        <f t="shared" si="74"/>
        <v>0</v>
      </c>
      <c r="O240">
        <f t="shared" si="74"/>
        <v>1</v>
      </c>
      <c r="P240">
        <f t="shared" si="74"/>
        <v>15</v>
      </c>
      <c r="Q240">
        <f t="shared" si="69"/>
        <v>75</v>
      </c>
      <c r="R240">
        <f t="shared" si="70"/>
        <v>0</v>
      </c>
      <c r="S240">
        <f t="shared" si="71"/>
        <v>1</v>
      </c>
      <c r="T240">
        <f t="shared" si="72"/>
        <v>15</v>
      </c>
      <c r="U240">
        <f t="shared" si="73"/>
        <v>75</v>
      </c>
    </row>
    <row r="241" spans="2:21" hidden="1" x14ac:dyDescent="0.25">
      <c r="B241" t="b">
        <f t="shared" si="58"/>
        <v>0</v>
      </c>
      <c r="C241" t="b">
        <f t="shared" si="68"/>
        <v>0</v>
      </c>
      <c r="D241">
        <f t="shared" si="65"/>
        <v>1</v>
      </c>
      <c r="E241" t="str">
        <f t="shared" si="66"/>
        <v>6. Conclusion</v>
      </c>
      <c r="F241" s="8" t="str">
        <f t="shared" si="75"/>
        <v/>
      </c>
      <c r="G241" t="str">
        <f t="shared" si="59"/>
        <v/>
      </c>
      <c r="H241">
        <f t="shared" si="60"/>
        <v>0</v>
      </c>
      <c r="I241">
        <f t="shared" si="67"/>
        <v>0</v>
      </c>
      <c r="J241">
        <f t="shared" si="61"/>
        <v>4588</v>
      </c>
      <c r="K241">
        <f t="shared" si="62"/>
        <v>1</v>
      </c>
      <c r="L241">
        <f t="shared" si="63"/>
        <v>16</v>
      </c>
      <c r="M241">
        <f t="shared" si="64"/>
        <v>28</v>
      </c>
      <c r="N241">
        <f t="shared" si="74"/>
        <v>0</v>
      </c>
      <c r="O241">
        <f t="shared" si="74"/>
        <v>1</v>
      </c>
      <c r="P241">
        <f t="shared" si="74"/>
        <v>15</v>
      </c>
      <c r="Q241">
        <f t="shared" si="69"/>
        <v>75</v>
      </c>
      <c r="R241">
        <f t="shared" si="70"/>
        <v>0</v>
      </c>
      <c r="S241">
        <f t="shared" si="71"/>
        <v>1</v>
      </c>
      <c r="T241">
        <f t="shared" si="72"/>
        <v>15</v>
      </c>
      <c r="U241">
        <f t="shared" si="73"/>
        <v>75</v>
      </c>
    </row>
    <row r="242" spans="2:21" hidden="1" x14ac:dyDescent="0.25">
      <c r="B242" t="b">
        <f t="shared" si="58"/>
        <v>0</v>
      </c>
      <c r="C242" t="b">
        <f t="shared" si="68"/>
        <v>0</v>
      </c>
      <c r="D242">
        <f t="shared" si="65"/>
        <v>1</v>
      </c>
      <c r="E242" t="str">
        <f t="shared" si="66"/>
        <v>6. Conclusion</v>
      </c>
      <c r="F242" s="8" t="str">
        <f t="shared" si="75"/>
        <v/>
      </c>
      <c r="G242" t="str">
        <f t="shared" si="59"/>
        <v/>
      </c>
      <c r="H242">
        <f t="shared" si="60"/>
        <v>0</v>
      </c>
      <c r="I242">
        <f t="shared" si="67"/>
        <v>0</v>
      </c>
      <c r="J242">
        <f t="shared" si="61"/>
        <v>4588</v>
      </c>
      <c r="K242">
        <f t="shared" si="62"/>
        <v>1</v>
      </c>
      <c r="L242">
        <f t="shared" si="63"/>
        <v>16</v>
      </c>
      <c r="M242">
        <f t="shared" si="64"/>
        <v>28</v>
      </c>
      <c r="N242">
        <f t="shared" si="74"/>
        <v>0</v>
      </c>
      <c r="O242">
        <f t="shared" si="74"/>
        <v>1</v>
      </c>
      <c r="P242">
        <f t="shared" si="74"/>
        <v>15</v>
      </c>
      <c r="Q242">
        <f t="shared" si="69"/>
        <v>75</v>
      </c>
      <c r="R242">
        <f t="shared" si="70"/>
        <v>0</v>
      </c>
      <c r="S242">
        <f t="shared" si="71"/>
        <v>1</v>
      </c>
      <c r="T242">
        <f t="shared" si="72"/>
        <v>15</v>
      </c>
      <c r="U242">
        <f t="shared" si="73"/>
        <v>75</v>
      </c>
    </row>
    <row r="243" spans="2:21" hidden="1" x14ac:dyDescent="0.25">
      <c r="B243" t="b">
        <f t="shared" si="58"/>
        <v>0</v>
      </c>
      <c r="C243" t="b">
        <f t="shared" si="68"/>
        <v>0</v>
      </c>
      <c r="D243">
        <f t="shared" si="65"/>
        <v>1</v>
      </c>
      <c r="E243" t="str">
        <f t="shared" si="66"/>
        <v>6. Conclusion</v>
      </c>
      <c r="F243" s="8" t="str">
        <f t="shared" si="75"/>
        <v/>
      </c>
      <c r="G243" t="str">
        <f t="shared" si="59"/>
        <v/>
      </c>
      <c r="H243">
        <f t="shared" si="60"/>
        <v>0</v>
      </c>
      <c r="I243">
        <f t="shared" si="67"/>
        <v>0</v>
      </c>
      <c r="J243">
        <f t="shared" si="61"/>
        <v>4588</v>
      </c>
      <c r="K243">
        <f t="shared" si="62"/>
        <v>1</v>
      </c>
      <c r="L243">
        <f t="shared" si="63"/>
        <v>16</v>
      </c>
      <c r="M243">
        <f t="shared" si="64"/>
        <v>28</v>
      </c>
      <c r="N243">
        <f t="shared" si="74"/>
        <v>0</v>
      </c>
      <c r="O243">
        <f t="shared" si="74"/>
        <v>1</v>
      </c>
      <c r="P243">
        <f t="shared" si="74"/>
        <v>15</v>
      </c>
      <c r="Q243">
        <f t="shared" si="69"/>
        <v>75</v>
      </c>
      <c r="R243">
        <f t="shared" si="70"/>
        <v>0</v>
      </c>
      <c r="S243">
        <f t="shared" si="71"/>
        <v>1</v>
      </c>
      <c r="T243">
        <f t="shared" si="72"/>
        <v>15</v>
      </c>
      <c r="U243">
        <f t="shared" si="73"/>
        <v>75</v>
      </c>
    </row>
    <row r="244" spans="2:21" hidden="1" x14ac:dyDescent="0.25">
      <c r="B244" t="b">
        <f t="shared" si="58"/>
        <v>0</v>
      </c>
      <c r="C244" t="b">
        <f t="shared" si="68"/>
        <v>0</v>
      </c>
      <c r="D244">
        <f t="shared" si="65"/>
        <v>1</v>
      </c>
      <c r="E244" t="str">
        <f t="shared" si="66"/>
        <v>6. Conclusion</v>
      </c>
      <c r="F244" s="8" t="str">
        <f t="shared" si="75"/>
        <v/>
      </c>
      <c r="G244" t="str">
        <f t="shared" si="59"/>
        <v/>
      </c>
      <c r="H244">
        <f t="shared" si="60"/>
        <v>0</v>
      </c>
      <c r="I244">
        <f t="shared" si="67"/>
        <v>0</v>
      </c>
      <c r="J244">
        <f t="shared" si="61"/>
        <v>4588</v>
      </c>
      <c r="K244">
        <f t="shared" si="62"/>
        <v>1</v>
      </c>
      <c r="L244">
        <f t="shared" si="63"/>
        <v>16</v>
      </c>
      <c r="M244">
        <f t="shared" si="64"/>
        <v>28</v>
      </c>
      <c r="N244">
        <f t="shared" si="74"/>
        <v>0</v>
      </c>
      <c r="O244">
        <f t="shared" si="74"/>
        <v>1</v>
      </c>
      <c r="P244">
        <f t="shared" si="74"/>
        <v>15</v>
      </c>
      <c r="Q244">
        <f t="shared" si="69"/>
        <v>75</v>
      </c>
      <c r="R244">
        <f t="shared" si="70"/>
        <v>0</v>
      </c>
      <c r="S244">
        <f t="shared" si="71"/>
        <v>1</v>
      </c>
      <c r="T244">
        <f t="shared" si="72"/>
        <v>15</v>
      </c>
      <c r="U244">
        <f t="shared" si="73"/>
        <v>75</v>
      </c>
    </row>
    <row r="245" spans="2:21" hidden="1" x14ac:dyDescent="0.25">
      <c r="B245" t="b">
        <f t="shared" si="58"/>
        <v>0</v>
      </c>
      <c r="C245" t="b">
        <f t="shared" si="68"/>
        <v>0</v>
      </c>
      <c r="D245">
        <f t="shared" si="65"/>
        <v>1</v>
      </c>
      <c r="E245" t="str">
        <f t="shared" si="66"/>
        <v>6. Conclusion</v>
      </c>
      <c r="F245" s="8" t="str">
        <f t="shared" si="75"/>
        <v/>
      </c>
      <c r="G245" t="str">
        <f t="shared" si="59"/>
        <v/>
      </c>
      <c r="H245">
        <f t="shared" si="60"/>
        <v>0</v>
      </c>
      <c r="I245">
        <f t="shared" si="67"/>
        <v>0</v>
      </c>
      <c r="J245">
        <f t="shared" si="61"/>
        <v>4588</v>
      </c>
      <c r="K245">
        <f t="shared" si="62"/>
        <v>1</v>
      </c>
      <c r="L245">
        <f t="shared" si="63"/>
        <v>16</v>
      </c>
      <c r="M245">
        <f t="shared" si="64"/>
        <v>28</v>
      </c>
      <c r="N245">
        <f t="shared" si="74"/>
        <v>0</v>
      </c>
      <c r="O245">
        <f t="shared" si="74"/>
        <v>1</v>
      </c>
      <c r="P245">
        <f t="shared" si="74"/>
        <v>15</v>
      </c>
      <c r="Q245">
        <f t="shared" si="69"/>
        <v>75</v>
      </c>
      <c r="R245">
        <f t="shared" si="70"/>
        <v>0</v>
      </c>
      <c r="S245">
        <f t="shared" si="71"/>
        <v>1</v>
      </c>
      <c r="T245">
        <f t="shared" si="72"/>
        <v>15</v>
      </c>
      <c r="U245">
        <f t="shared" si="73"/>
        <v>75</v>
      </c>
    </row>
    <row r="246" spans="2:21" hidden="1" x14ac:dyDescent="0.25">
      <c r="B246" t="b">
        <f t="shared" si="58"/>
        <v>0</v>
      </c>
      <c r="C246" t="b">
        <f t="shared" si="68"/>
        <v>0</v>
      </c>
      <c r="D246">
        <f t="shared" si="65"/>
        <v>1</v>
      </c>
      <c r="E246" t="str">
        <f t="shared" si="66"/>
        <v>6. Conclusion</v>
      </c>
      <c r="F246" s="8" t="str">
        <f t="shared" si="75"/>
        <v/>
      </c>
      <c r="G246" t="str">
        <f t="shared" si="59"/>
        <v/>
      </c>
      <c r="H246">
        <f t="shared" si="60"/>
        <v>0</v>
      </c>
      <c r="I246">
        <f t="shared" si="67"/>
        <v>0</v>
      </c>
      <c r="J246">
        <f t="shared" si="61"/>
        <v>4588</v>
      </c>
      <c r="K246">
        <f t="shared" si="62"/>
        <v>1</v>
      </c>
      <c r="L246">
        <f t="shared" si="63"/>
        <v>16</v>
      </c>
      <c r="M246">
        <f t="shared" si="64"/>
        <v>28</v>
      </c>
      <c r="N246">
        <f t="shared" si="74"/>
        <v>0</v>
      </c>
      <c r="O246">
        <f t="shared" si="74"/>
        <v>1</v>
      </c>
      <c r="P246">
        <f t="shared" si="74"/>
        <v>15</v>
      </c>
      <c r="Q246">
        <f t="shared" si="69"/>
        <v>75</v>
      </c>
      <c r="R246">
        <f t="shared" si="70"/>
        <v>0</v>
      </c>
      <c r="S246">
        <f t="shared" si="71"/>
        <v>1</v>
      </c>
      <c r="T246">
        <f t="shared" si="72"/>
        <v>15</v>
      </c>
      <c r="U246">
        <f t="shared" si="73"/>
        <v>75</v>
      </c>
    </row>
    <row r="247" spans="2:21" hidden="1" x14ac:dyDescent="0.25">
      <c r="B247" t="b">
        <f t="shared" si="58"/>
        <v>0</v>
      </c>
      <c r="C247" t="b">
        <f t="shared" si="68"/>
        <v>0</v>
      </c>
      <c r="D247">
        <f t="shared" si="65"/>
        <v>1</v>
      </c>
      <c r="E247" t="str">
        <f t="shared" si="66"/>
        <v>6. Conclusion</v>
      </c>
      <c r="F247" s="8" t="str">
        <f t="shared" si="75"/>
        <v/>
      </c>
      <c r="G247" t="str">
        <f t="shared" si="59"/>
        <v/>
      </c>
      <c r="H247">
        <f t="shared" si="60"/>
        <v>0</v>
      </c>
      <c r="I247">
        <f t="shared" si="67"/>
        <v>0</v>
      </c>
      <c r="J247">
        <f t="shared" si="61"/>
        <v>4588</v>
      </c>
      <c r="K247">
        <f t="shared" si="62"/>
        <v>1</v>
      </c>
      <c r="L247">
        <f t="shared" si="63"/>
        <v>16</v>
      </c>
      <c r="M247">
        <f t="shared" si="64"/>
        <v>28</v>
      </c>
      <c r="N247">
        <f t="shared" si="74"/>
        <v>0</v>
      </c>
      <c r="O247">
        <f t="shared" si="74"/>
        <v>1</v>
      </c>
      <c r="P247">
        <f t="shared" si="74"/>
        <v>15</v>
      </c>
      <c r="Q247">
        <f t="shared" si="69"/>
        <v>75</v>
      </c>
      <c r="R247">
        <f t="shared" si="70"/>
        <v>0</v>
      </c>
      <c r="S247">
        <f t="shared" si="71"/>
        <v>1</v>
      </c>
      <c r="T247">
        <f t="shared" si="72"/>
        <v>15</v>
      </c>
      <c r="U247">
        <f t="shared" si="73"/>
        <v>75</v>
      </c>
    </row>
    <row r="248" spans="2:21" hidden="1" x14ac:dyDescent="0.25">
      <c r="B248" t="b">
        <f t="shared" si="58"/>
        <v>0</v>
      </c>
      <c r="C248" t="b">
        <f t="shared" si="68"/>
        <v>0</v>
      </c>
      <c r="D248">
        <f t="shared" si="65"/>
        <v>1</v>
      </c>
      <c r="E248" t="str">
        <f t="shared" si="66"/>
        <v>6. Conclusion</v>
      </c>
      <c r="F248" s="8" t="str">
        <f t="shared" si="75"/>
        <v/>
      </c>
      <c r="G248" t="str">
        <f t="shared" si="59"/>
        <v/>
      </c>
      <c r="H248">
        <f t="shared" si="60"/>
        <v>0</v>
      </c>
      <c r="I248">
        <f t="shared" si="67"/>
        <v>0</v>
      </c>
      <c r="J248">
        <f t="shared" si="61"/>
        <v>4588</v>
      </c>
      <c r="K248">
        <f t="shared" si="62"/>
        <v>1</v>
      </c>
      <c r="L248">
        <f t="shared" si="63"/>
        <v>16</v>
      </c>
      <c r="M248">
        <f t="shared" si="64"/>
        <v>28</v>
      </c>
      <c r="N248">
        <f t="shared" si="74"/>
        <v>0</v>
      </c>
      <c r="O248">
        <f t="shared" si="74"/>
        <v>1</v>
      </c>
      <c r="P248">
        <f t="shared" si="74"/>
        <v>15</v>
      </c>
      <c r="Q248">
        <f t="shared" si="69"/>
        <v>75</v>
      </c>
      <c r="R248">
        <f t="shared" si="70"/>
        <v>0</v>
      </c>
      <c r="S248">
        <f t="shared" si="71"/>
        <v>1</v>
      </c>
      <c r="T248">
        <f t="shared" si="72"/>
        <v>15</v>
      </c>
      <c r="U248">
        <f t="shared" si="73"/>
        <v>75</v>
      </c>
    </row>
    <row r="249" spans="2:21" hidden="1" x14ac:dyDescent="0.25">
      <c r="B249" t="b">
        <f t="shared" si="58"/>
        <v>0</v>
      </c>
      <c r="C249" t="b">
        <f t="shared" si="68"/>
        <v>0</v>
      </c>
      <c r="D249">
        <f t="shared" si="65"/>
        <v>1</v>
      </c>
      <c r="E249" t="str">
        <f t="shared" si="66"/>
        <v>6. Conclusion</v>
      </c>
      <c r="F249" s="8" t="str">
        <f t="shared" si="75"/>
        <v/>
      </c>
      <c r="G249" t="str">
        <f t="shared" si="59"/>
        <v/>
      </c>
      <c r="H249">
        <f t="shared" si="60"/>
        <v>0</v>
      </c>
      <c r="I249">
        <f t="shared" si="67"/>
        <v>0</v>
      </c>
      <c r="J249">
        <f t="shared" si="61"/>
        <v>4588</v>
      </c>
      <c r="K249">
        <f t="shared" si="62"/>
        <v>1</v>
      </c>
      <c r="L249">
        <f t="shared" si="63"/>
        <v>16</v>
      </c>
      <c r="M249">
        <f t="shared" si="64"/>
        <v>28</v>
      </c>
      <c r="N249">
        <f t="shared" si="74"/>
        <v>0</v>
      </c>
      <c r="O249">
        <f t="shared" si="74"/>
        <v>1</v>
      </c>
      <c r="P249">
        <f t="shared" si="74"/>
        <v>15</v>
      </c>
      <c r="Q249">
        <f t="shared" si="69"/>
        <v>75</v>
      </c>
      <c r="R249">
        <f t="shared" si="70"/>
        <v>0</v>
      </c>
      <c r="S249">
        <f t="shared" si="71"/>
        <v>1</v>
      </c>
      <c r="T249">
        <f t="shared" si="72"/>
        <v>15</v>
      </c>
      <c r="U249">
        <f t="shared" si="73"/>
        <v>75</v>
      </c>
    </row>
    <row r="250" spans="2:21" hidden="1" x14ac:dyDescent="0.25">
      <c r="B250" t="b">
        <f t="shared" si="58"/>
        <v>0</v>
      </c>
      <c r="C250" t="b">
        <f t="shared" si="68"/>
        <v>0</v>
      </c>
      <c r="D250">
        <f t="shared" si="65"/>
        <v>1</v>
      </c>
      <c r="E250" t="str">
        <f t="shared" si="66"/>
        <v>6. Conclusion</v>
      </c>
      <c r="F250" s="8" t="str">
        <f t="shared" si="75"/>
        <v/>
      </c>
      <c r="G250" t="str">
        <f t="shared" si="59"/>
        <v/>
      </c>
      <c r="H250">
        <f t="shared" si="60"/>
        <v>0</v>
      </c>
      <c r="I250">
        <f t="shared" si="67"/>
        <v>0</v>
      </c>
      <c r="J250">
        <f t="shared" si="61"/>
        <v>4588</v>
      </c>
      <c r="K250">
        <f t="shared" si="62"/>
        <v>1</v>
      </c>
      <c r="L250">
        <f t="shared" si="63"/>
        <v>16</v>
      </c>
      <c r="M250">
        <f t="shared" si="64"/>
        <v>28</v>
      </c>
      <c r="N250">
        <f t="shared" si="74"/>
        <v>0</v>
      </c>
      <c r="O250">
        <f t="shared" si="74"/>
        <v>1</v>
      </c>
      <c r="P250">
        <f t="shared" si="74"/>
        <v>15</v>
      </c>
      <c r="Q250">
        <f t="shared" si="69"/>
        <v>75</v>
      </c>
      <c r="R250">
        <f t="shared" si="70"/>
        <v>0</v>
      </c>
      <c r="S250">
        <f t="shared" si="71"/>
        <v>1</v>
      </c>
      <c r="T250">
        <f t="shared" si="72"/>
        <v>15</v>
      </c>
      <c r="U250">
        <f t="shared" si="73"/>
        <v>75</v>
      </c>
    </row>
    <row r="251" spans="2:21" hidden="1" x14ac:dyDescent="0.25">
      <c r="B251" t="b">
        <f t="shared" si="58"/>
        <v>0</v>
      </c>
      <c r="C251" t="b">
        <f t="shared" si="68"/>
        <v>0</v>
      </c>
      <c r="D251">
        <f t="shared" si="65"/>
        <v>1</v>
      </c>
      <c r="E251" t="str">
        <f t="shared" si="66"/>
        <v>6. Conclusion</v>
      </c>
      <c r="F251" s="8" t="str">
        <f t="shared" si="75"/>
        <v/>
      </c>
      <c r="G251" t="str">
        <f t="shared" si="59"/>
        <v/>
      </c>
      <c r="H251">
        <f t="shared" si="60"/>
        <v>0</v>
      </c>
      <c r="I251">
        <f t="shared" si="67"/>
        <v>0</v>
      </c>
      <c r="J251">
        <f t="shared" si="61"/>
        <v>4588</v>
      </c>
      <c r="K251">
        <f t="shared" si="62"/>
        <v>1</v>
      </c>
      <c r="L251">
        <f t="shared" si="63"/>
        <v>16</v>
      </c>
      <c r="M251">
        <f t="shared" si="64"/>
        <v>28</v>
      </c>
      <c r="N251">
        <f t="shared" si="74"/>
        <v>0</v>
      </c>
      <c r="O251">
        <f t="shared" si="74"/>
        <v>1</v>
      </c>
      <c r="P251">
        <f t="shared" si="74"/>
        <v>15</v>
      </c>
      <c r="Q251">
        <f t="shared" si="69"/>
        <v>75</v>
      </c>
      <c r="R251">
        <f t="shared" si="70"/>
        <v>0</v>
      </c>
      <c r="S251">
        <f t="shared" si="71"/>
        <v>1</v>
      </c>
      <c r="T251">
        <f t="shared" si="72"/>
        <v>15</v>
      </c>
      <c r="U251">
        <f t="shared" si="73"/>
        <v>75</v>
      </c>
    </row>
    <row r="252" spans="2:21" hidden="1" x14ac:dyDescent="0.25">
      <c r="B252" t="b">
        <f t="shared" si="58"/>
        <v>0</v>
      </c>
      <c r="C252" t="b">
        <f t="shared" si="68"/>
        <v>0</v>
      </c>
      <c r="D252">
        <f t="shared" si="65"/>
        <v>1</v>
      </c>
      <c r="E252" t="str">
        <f t="shared" si="66"/>
        <v>6. Conclusion</v>
      </c>
      <c r="F252" s="8" t="str">
        <f t="shared" si="75"/>
        <v/>
      </c>
      <c r="G252" t="str">
        <f t="shared" si="59"/>
        <v/>
      </c>
      <c r="H252">
        <f t="shared" si="60"/>
        <v>0</v>
      </c>
      <c r="I252">
        <f t="shared" si="67"/>
        <v>0</v>
      </c>
      <c r="J252">
        <f t="shared" si="61"/>
        <v>4588</v>
      </c>
      <c r="K252">
        <f t="shared" si="62"/>
        <v>1</v>
      </c>
      <c r="L252">
        <f t="shared" si="63"/>
        <v>16</v>
      </c>
      <c r="M252">
        <f t="shared" si="64"/>
        <v>28</v>
      </c>
      <c r="N252">
        <f t="shared" si="74"/>
        <v>0</v>
      </c>
      <c r="O252">
        <f t="shared" si="74"/>
        <v>1</v>
      </c>
      <c r="P252">
        <f t="shared" si="74"/>
        <v>15</v>
      </c>
      <c r="Q252">
        <f t="shared" si="69"/>
        <v>75</v>
      </c>
      <c r="R252">
        <f t="shared" si="70"/>
        <v>0</v>
      </c>
      <c r="S252">
        <f t="shared" si="71"/>
        <v>1</v>
      </c>
      <c r="T252">
        <f t="shared" si="72"/>
        <v>15</v>
      </c>
      <c r="U252">
        <f t="shared" si="73"/>
        <v>75</v>
      </c>
    </row>
    <row r="253" spans="2:21" hidden="1" x14ac:dyDescent="0.25">
      <c r="B253" t="b">
        <f t="shared" si="58"/>
        <v>0</v>
      </c>
      <c r="C253" t="b">
        <f t="shared" si="68"/>
        <v>0</v>
      </c>
      <c r="D253">
        <f t="shared" si="65"/>
        <v>1</v>
      </c>
      <c r="E253" t="str">
        <f t="shared" si="66"/>
        <v>6. Conclusion</v>
      </c>
      <c r="F253" s="8" t="str">
        <f t="shared" si="75"/>
        <v/>
      </c>
      <c r="G253" t="str">
        <f t="shared" si="59"/>
        <v/>
      </c>
      <c r="H253">
        <f t="shared" si="60"/>
        <v>0</v>
      </c>
      <c r="I253">
        <f t="shared" si="67"/>
        <v>0</v>
      </c>
      <c r="J253">
        <f t="shared" si="61"/>
        <v>4588</v>
      </c>
      <c r="K253">
        <f t="shared" si="62"/>
        <v>1</v>
      </c>
      <c r="L253">
        <f t="shared" si="63"/>
        <v>16</v>
      </c>
      <c r="M253">
        <f t="shared" si="64"/>
        <v>28</v>
      </c>
      <c r="N253">
        <f t="shared" si="74"/>
        <v>0</v>
      </c>
      <c r="O253">
        <f t="shared" si="74"/>
        <v>1</v>
      </c>
      <c r="P253">
        <f t="shared" si="74"/>
        <v>15</v>
      </c>
      <c r="Q253">
        <f t="shared" si="69"/>
        <v>75</v>
      </c>
      <c r="R253">
        <f t="shared" si="70"/>
        <v>0</v>
      </c>
      <c r="S253">
        <f t="shared" si="71"/>
        <v>1</v>
      </c>
      <c r="T253">
        <f t="shared" si="72"/>
        <v>15</v>
      </c>
      <c r="U253">
        <f t="shared" si="73"/>
        <v>75</v>
      </c>
    </row>
    <row r="254" spans="2:21" hidden="1" x14ac:dyDescent="0.25">
      <c r="B254" t="b">
        <f t="shared" si="58"/>
        <v>0</v>
      </c>
      <c r="C254" t="b">
        <f t="shared" si="68"/>
        <v>0</v>
      </c>
      <c r="D254">
        <f t="shared" si="65"/>
        <v>1</v>
      </c>
      <c r="E254" t="str">
        <f t="shared" si="66"/>
        <v>6. Conclusion</v>
      </c>
      <c r="F254" s="8" t="str">
        <f t="shared" si="75"/>
        <v/>
      </c>
      <c r="G254" t="str">
        <f t="shared" si="59"/>
        <v/>
      </c>
      <c r="H254">
        <f t="shared" si="60"/>
        <v>0</v>
      </c>
      <c r="I254">
        <f t="shared" si="67"/>
        <v>0</v>
      </c>
      <c r="J254">
        <f t="shared" si="61"/>
        <v>4588</v>
      </c>
      <c r="K254">
        <f t="shared" si="62"/>
        <v>1</v>
      </c>
      <c r="L254">
        <f t="shared" si="63"/>
        <v>16</v>
      </c>
      <c r="M254">
        <f t="shared" si="64"/>
        <v>28</v>
      </c>
      <c r="N254">
        <f t="shared" si="74"/>
        <v>0</v>
      </c>
      <c r="O254">
        <f t="shared" si="74"/>
        <v>1</v>
      </c>
      <c r="P254">
        <f t="shared" si="74"/>
        <v>15</v>
      </c>
      <c r="Q254">
        <f t="shared" si="69"/>
        <v>75</v>
      </c>
      <c r="R254">
        <f t="shared" si="70"/>
        <v>0</v>
      </c>
      <c r="S254">
        <f t="shared" si="71"/>
        <v>1</v>
      </c>
      <c r="T254">
        <f t="shared" si="72"/>
        <v>15</v>
      </c>
      <c r="U254">
        <f t="shared" si="73"/>
        <v>75</v>
      </c>
    </row>
    <row r="255" spans="2:21" hidden="1" x14ac:dyDescent="0.25">
      <c r="B255" t="b">
        <f t="shared" si="58"/>
        <v>0</v>
      </c>
      <c r="C255" t="b">
        <f t="shared" si="68"/>
        <v>0</v>
      </c>
      <c r="D255">
        <f t="shared" si="65"/>
        <v>1</v>
      </c>
      <c r="E255" t="str">
        <f t="shared" si="66"/>
        <v>6. Conclusion</v>
      </c>
      <c r="F255" s="8" t="str">
        <f t="shared" si="75"/>
        <v/>
      </c>
      <c r="G255" t="str">
        <f t="shared" si="59"/>
        <v/>
      </c>
      <c r="H255">
        <f t="shared" si="60"/>
        <v>0</v>
      </c>
      <c r="I255">
        <f t="shared" si="67"/>
        <v>0</v>
      </c>
      <c r="J255">
        <f t="shared" si="61"/>
        <v>4588</v>
      </c>
      <c r="K255">
        <f t="shared" si="62"/>
        <v>1</v>
      </c>
      <c r="L255">
        <f t="shared" si="63"/>
        <v>16</v>
      </c>
      <c r="M255">
        <f t="shared" si="64"/>
        <v>28</v>
      </c>
      <c r="N255">
        <f t="shared" si="74"/>
        <v>0</v>
      </c>
      <c r="O255">
        <f t="shared" si="74"/>
        <v>1</v>
      </c>
      <c r="P255">
        <f t="shared" si="74"/>
        <v>15</v>
      </c>
      <c r="Q255">
        <f t="shared" si="69"/>
        <v>75</v>
      </c>
      <c r="R255">
        <f t="shared" si="70"/>
        <v>0</v>
      </c>
      <c r="S255">
        <f t="shared" si="71"/>
        <v>1</v>
      </c>
      <c r="T255">
        <f t="shared" si="72"/>
        <v>15</v>
      </c>
      <c r="U255">
        <f t="shared" si="73"/>
        <v>75</v>
      </c>
    </row>
    <row r="256" spans="2:21" hidden="1" x14ac:dyDescent="0.25">
      <c r="B256" t="b">
        <f t="shared" si="58"/>
        <v>0</v>
      </c>
      <c r="C256" t="b">
        <f t="shared" si="68"/>
        <v>0</v>
      </c>
      <c r="D256">
        <f t="shared" si="65"/>
        <v>1</v>
      </c>
      <c r="E256" t="str">
        <f t="shared" si="66"/>
        <v>6. Conclusion</v>
      </c>
      <c r="F256" s="8" t="str">
        <f t="shared" si="75"/>
        <v/>
      </c>
      <c r="G256" t="str">
        <f t="shared" si="59"/>
        <v/>
      </c>
      <c r="H256">
        <f t="shared" si="60"/>
        <v>0</v>
      </c>
      <c r="I256">
        <f t="shared" si="67"/>
        <v>0</v>
      </c>
      <c r="J256">
        <f t="shared" si="61"/>
        <v>4588</v>
      </c>
      <c r="K256">
        <f t="shared" si="62"/>
        <v>1</v>
      </c>
      <c r="L256">
        <f t="shared" si="63"/>
        <v>16</v>
      </c>
      <c r="M256">
        <f t="shared" si="64"/>
        <v>28</v>
      </c>
      <c r="N256">
        <f t="shared" si="74"/>
        <v>0</v>
      </c>
      <c r="O256">
        <f t="shared" si="74"/>
        <v>1</v>
      </c>
      <c r="P256">
        <f t="shared" si="74"/>
        <v>15</v>
      </c>
      <c r="Q256">
        <f t="shared" si="69"/>
        <v>75</v>
      </c>
      <c r="R256">
        <f t="shared" si="70"/>
        <v>0</v>
      </c>
      <c r="S256">
        <f t="shared" si="71"/>
        <v>1</v>
      </c>
      <c r="T256">
        <f t="shared" si="72"/>
        <v>15</v>
      </c>
      <c r="U256">
        <f t="shared" si="73"/>
        <v>75</v>
      </c>
    </row>
    <row r="257" spans="2:21" hidden="1" x14ac:dyDescent="0.25">
      <c r="B257" t="b">
        <f t="shared" si="58"/>
        <v>0</v>
      </c>
      <c r="C257" t="b">
        <f t="shared" si="68"/>
        <v>0</v>
      </c>
      <c r="D257">
        <f t="shared" si="65"/>
        <v>1</v>
      </c>
      <c r="E257" t="str">
        <f t="shared" si="66"/>
        <v>6. Conclusion</v>
      </c>
      <c r="F257" s="8" t="str">
        <f t="shared" si="75"/>
        <v/>
      </c>
      <c r="G257" t="str">
        <f t="shared" si="59"/>
        <v/>
      </c>
      <c r="H257">
        <f t="shared" si="60"/>
        <v>0</v>
      </c>
      <c r="I257">
        <f t="shared" si="67"/>
        <v>0</v>
      </c>
      <c r="J257">
        <f t="shared" si="61"/>
        <v>4588</v>
      </c>
      <c r="K257">
        <f t="shared" si="62"/>
        <v>1</v>
      </c>
      <c r="L257">
        <f t="shared" si="63"/>
        <v>16</v>
      </c>
      <c r="M257">
        <f t="shared" si="64"/>
        <v>28</v>
      </c>
      <c r="N257">
        <f t="shared" si="74"/>
        <v>0</v>
      </c>
      <c r="O257">
        <f t="shared" si="74"/>
        <v>1</v>
      </c>
      <c r="P257">
        <f t="shared" si="74"/>
        <v>15</v>
      </c>
      <c r="Q257">
        <f t="shared" si="69"/>
        <v>75</v>
      </c>
      <c r="R257">
        <f t="shared" si="70"/>
        <v>0</v>
      </c>
      <c r="S257">
        <f t="shared" si="71"/>
        <v>1</v>
      </c>
      <c r="T257">
        <f t="shared" si="72"/>
        <v>15</v>
      </c>
      <c r="U257">
        <f t="shared" si="73"/>
        <v>75</v>
      </c>
    </row>
    <row r="258" spans="2:21" hidden="1" x14ac:dyDescent="0.25">
      <c r="B258" t="b">
        <f t="shared" si="58"/>
        <v>0</v>
      </c>
      <c r="C258" t="b">
        <f t="shared" si="68"/>
        <v>0</v>
      </c>
      <c r="D258">
        <f t="shared" si="65"/>
        <v>1</v>
      </c>
      <c r="E258" t="str">
        <f t="shared" si="66"/>
        <v>6. Conclusion</v>
      </c>
      <c r="F258" s="8" t="str">
        <f t="shared" si="75"/>
        <v/>
      </c>
      <c r="G258" t="str">
        <f t="shared" si="59"/>
        <v/>
      </c>
      <c r="H258">
        <f t="shared" si="60"/>
        <v>0</v>
      </c>
      <c r="I258">
        <f t="shared" si="67"/>
        <v>0</v>
      </c>
      <c r="J258">
        <f t="shared" si="61"/>
        <v>4588</v>
      </c>
      <c r="K258">
        <f t="shared" si="62"/>
        <v>1</v>
      </c>
      <c r="L258">
        <f t="shared" si="63"/>
        <v>16</v>
      </c>
      <c r="M258">
        <f t="shared" si="64"/>
        <v>28</v>
      </c>
      <c r="N258">
        <f t="shared" si="74"/>
        <v>0</v>
      </c>
      <c r="O258">
        <f t="shared" si="74"/>
        <v>1</v>
      </c>
      <c r="P258">
        <f t="shared" si="74"/>
        <v>15</v>
      </c>
      <c r="Q258">
        <f t="shared" si="69"/>
        <v>75</v>
      </c>
      <c r="R258">
        <f t="shared" si="70"/>
        <v>0</v>
      </c>
      <c r="S258">
        <f t="shared" si="71"/>
        <v>1</v>
      </c>
      <c r="T258">
        <f t="shared" si="72"/>
        <v>15</v>
      </c>
      <c r="U258">
        <f t="shared" si="73"/>
        <v>75</v>
      </c>
    </row>
    <row r="259" spans="2:21" hidden="1" x14ac:dyDescent="0.25">
      <c r="B259" t="b">
        <f t="shared" si="58"/>
        <v>0</v>
      </c>
      <c r="C259" t="b">
        <f t="shared" si="68"/>
        <v>0</v>
      </c>
      <c r="D259">
        <f t="shared" si="65"/>
        <v>1</v>
      </c>
      <c r="E259" t="str">
        <f t="shared" si="66"/>
        <v>6. Conclusion</v>
      </c>
      <c r="F259" s="8" t="str">
        <f t="shared" si="75"/>
        <v/>
      </c>
      <c r="G259" t="str">
        <f t="shared" si="59"/>
        <v/>
      </c>
      <c r="H259">
        <f t="shared" si="60"/>
        <v>0</v>
      </c>
      <c r="I259">
        <f t="shared" si="67"/>
        <v>0</v>
      </c>
      <c r="J259">
        <f t="shared" si="61"/>
        <v>4588</v>
      </c>
      <c r="K259">
        <f t="shared" si="62"/>
        <v>1</v>
      </c>
      <c r="L259">
        <f t="shared" si="63"/>
        <v>16</v>
      </c>
      <c r="M259">
        <f t="shared" si="64"/>
        <v>28</v>
      </c>
      <c r="N259">
        <f t="shared" si="74"/>
        <v>0</v>
      </c>
      <c r="O259">
        <f t="shared" si="74"/>
        <v>1</v>
      </c>
      <c r="P259">
        <f t="shared" si="74"/>
        <v>15</v>
      </c>
      <c r="Q259">
        <f t="shared" si="69"/>
        <v>75</v>
      </c>
      <c r="R259">
        <f t="shared" si="70"/>
        <v>0</v>
      </c>
      <c r="S259">
        <f t="shared" si="71"/>
        <v>1</v>
      </c>
      <c r="T259">
        <f t="shared" si="72"/>
        <v>15</v>
      </c>
      <c r="U259">
        <f t="shared" si="73"/>
        <v>75</v>
      </c>
    </row>
    <row r="260" spans="2:21" hidden="1" x14ac:dyDescent="0.25">
      <c r="B260" t="b">
        <f t="shared" si="58"/>
        <v>0</v>
      </c>
      <c r="C260" t="b">
        <f t="shared" si="68"/>
        <v>0</v>
      </c>
      <c r="D260">
        <f t="shared" si="65"/>
        <v>1</v>
      </c>
      <c r="E260" t="str">
        <f t="shared" si="66"/>
        <v>6. Conclusion</v>
      </c>
      <c r="F260" s="8" t="str">
        <f t="shared" si="75"/>
        <v/>
      </c>
      <c r="G260" t="str">
        <f t="shared" si="59"/>
        <v/>
      </c>
      <c r="H260">
        <f t="shared" si="60"/>
        <v>0</v>
      </c>
      <c r="I260">
        <f t="shared" si="67"/>
        <v>0</v>
      </c>
      <c r="J260">
        <f t="shared" si="61"/>
        <v>4588</v>
      </c>
      <c r="K260">
        <f t="shared" si="62"/>
        <v>1</v>
      </c>
      <c r="L260">
        <f t="shared" si="63"/>
        <v>16</v>
      </c>
      <c r="M260">
        <f t="shared" si="64"/>
        <v>28</v>
      </c>
      <c r="N260">
        <f t="shared" si="74"/>
        <v>0</v>
      </c>
      <c r="O260">
        <f t="shared" si="74"/>
        <v>1</v>
      </c>
      <c r="P260">
        <f t="shared" si="74"/>
        <v>15</v>
      </c>
      <c r="Q260">
        <f t="shared" si="69"/>
        <v>75</v>
      </c>
      <c r="R260">
        <f t="shared" si="70"/>
        <v>0</v>
      </c>
      <c r="S260">
        <f t="shared" si="71"/>
        <v>1</v>
      </c>
      <c r="T260">
        <f t="shared" si="72"/>
        <v>15</v>
      </c>
      <c r="U260">
        <f t="shared" si="73"/>
        <v>75</v>
      </c>
    </row>
    <row r="261" spans="2:21" hidden="1" x14ac:dyDescent="0.25">
      <c r="B261" t="b">
        <f t="shared" si="58"/>
        <v>0</v>
      </c>
      <c r="C261" t="b">
        <f t="shared" si="68"/>
        <v>0</v>
      </c>
      <c r="D261">
        <f t="shared" si="65"/>
        <v>1</v>
      </c>
      <c r="E261" t="str">
        <f t="shared" si="66"/>
        <v>6. Conclusion</v>
      </c>
      <c r="F261" s="8" t="str">
        <f t="shared" si="75"/>
        <v/>
      </c>
      <c r="G261" t="str">
        <f t="shared" si="59"/>
        <v/>
      </c>
      <c r="H261">
        <f t="shared" si="60"/>
        <v>0</v>
      </c>
      <c r="I261">
        <f t="shared" si="67"/>
        <v>0</v>
      </c>
      <c r="J261">
        <f t="shared" si="61"/>
        <v>4588</v>
      </c>
      <c r="K261">
        <f t="shared" si="62"/>
        <v>1</v>
      </c>
      <c r="L261">
        <f t="shared" si="63"/>
        <v>16</v>
      </c>
      <c r="M261">
        <f t="shared" si="64"/>
        <v>28</v>
      </c>
      <c r="N261">
        <f t="shared" si="74"/>
        <v>0</v>
      </c>
      <c r="O261">
        <f t="shared" si="74"/>
        <v>1</v>
      </c>
      <c r="P261">
        <f t="shared" si="74"/>
        <v>15</v>
      </c>
      <c r="Q261">
        <f t="shared" si="69"/>
        <v>75</v>
      </c>
      <c r="R261">
        <f t="shared" si="70"/>
        <v>0</v>
      </c>
      <c r="S261">
        <f t="shared" si="71"/>
        <v>1</v>
      </c>
      <c r="T261">
        <f t="shared" si="72"/>
        <v>15</v>
      </c>
      <c r="U261">
        <f t="shared" si="73"/>
        <v>75</v>
      </c>
    </row>
    <row r="262" spans="2:21" hidden="1" x14ac:dyDescent="0.25">
      <c r="B262" t="b">
        <f t="shared" si="58"/>
        <v>0</v>
      </c>
      <c r="C262" t="b">
        <f t="shared" si="68"/>
        <v>0</v>
      </c>
      <c r="D262">
        <f t="shared" si="65"/>
        <v>1</v>
      </c>
      <c r="E262" t="str">
        <f t="shared" si="66"/>
        <v>6. Conclusion</v>
      </c>
      <c r="F262" s="8" t="str">
        <f t="shared" si="75"/>
        <v/>
      </c>
      <c r="G262" t="str">
        <f t="shared" si="59"/>
        <v/>
      </c>
      <c r="H262">
        <f t="shared" si="60"/>
        <v>0</v>
      </c>
      <c r="I262">
        <f t="shared" si="67"/>
        <v>0</v>
      </c>
      <c r="J262">
        <f t="shared" si="61"/>
        <v>4588</v>
      </c>
      <c r="K262">
        <f t="shared" si="62"/>
        <v>1</v>
      </c>
      <c r="L262">
        <f t="shared" si="63"/>
        <v>16</v>
      </c>
      <c r="M262">
        <f t="shared" si="64"/>
        <v>28</v>
      </c>
      <c r="N262">
        <f t="shared" si="74"/>
        <v>0</v>
      </c>
      <c r="O262">
        <f t="shared" si="74"/>
        <v>1</v>
      </c>
      <c r="P262">
        <f t="shared" si="74"/>
        <v>15</v>
      </c>
      <c r="Q262">
        <f t="shared" si="69"/>
        <v>75</v>
      </c>
      <c r="R262">
        <f t="shared" si="70"/>
        <v>0</v>
      </c>
      <c r="S262">
        <f t="shared" si="71"/>
        <v>1</v>
      </c>
      <c r="T262">
        <f t="shared" si="72"/>
        <v>15</v>
      </c>
      <c r="U262">
        <f t="shared" si="73"/>
        <v>75</v>
      </c>
    </row>
    <row r="263" spans="2:21" hidden="1" x14ac:dyDescent="0.25">
      <c r="B263" t="b">
        <f t="shared" si="58"/>
        <v>0</v>
      </c>
      <c r="C263" t="b">
        <f t="shared" si="68"/>
        <v>0</v>
      </c>
      <c r="D263">
        <f t="shared" si="65"/>
        <v>1</v>
      </c>
      <c r="E263" t="str">
        <f t="shared" si="66"/>
        <v>6. Conclusion</v>
      </c>
      <c r="F263" s="8" t="str">
        <f t="shared" si="75"/>
        <v/>
      </c>
      <c r="G263" t="str">
        <f t="shared" si="59"/>
        <v/>
      </c>
      <c r="H263">
        <f t="shared" si="60"/>
        <v>0</v>
      </c>
      <c r="I263">
        <f t="shared" si="67"/>
        <v>0</v>
      </c>
      <c r="J263">
        <f t="shared" si="61"/>
        <v>4588</v>
      </c>
      <c r="K263">
        <f t="shared" si="62"/>
        <v>1</v>
      </c>
      <c r="L263">
        <f t="shared" si="63"/>
        <v>16</v>
      </c>
      <c r="M263">
        <f t="shared" si="64"/>
        <v>28</v>
      </c>
      <c r="N263">
        <f t="shared" si="74"/>
        <v>0</v>
      </c>
      <c r="O263">
        <f t="shared" si="74"/>
        <v>1</v>
      </c>
      <c r="P263">
        <f t="shared" si="74"/>
        <v>15</v>
      </c>
      <c r="Q263">
        <f t="shared" si="69"/>
        <v>75</v>
      </c>
      <c r="R263">
        <f t="shared" si="70"/>
        <v>0</v>
      </c>
      <c r="S263">
        <f t="shared" si="71"/>
        <v>1</v>
      </c>
      <c r="T263">
        <f t="shared" si="72"/>
        <v>15</v>
      </c>
      <c r="U263">
        <f t="shared" si="73"/>
        <v>75</v>
      </c>
    </row>
    <row r="264" spans="2:21" hidden="1" x14ac:dyDescent="0.25">
      <c r="B264" t="b">
        <f t="shared" si="58"/>
        <v>0</v>
      </c>
      <c r="C264" t="b">
        <f t="shared" si="68"/>
        <v>0</v>
      </c>
      <c r="D264">
        <f t="shared" si="65"/>
        <v>1</v>
      </c>
      <c r="E264" t="str">
        <f t="shared" si="66"/>
        <v>6. Conclusion</v>
      </c>
      <c r="F264" s="8" t="str">
        <f t="shared" si="75"/>
        <v/>
      </c>
      <c r="G264" t="str">
        <f t="shared" si="59"/>
        <v/>
      </c>
      <c r="H264">
        <f t="shared" si="60"/>
        <v>0</v>
      </c>
      <c r="I264">
        <f t="shared" si="67"/>
        <v>0</v>
      </c>
      <c r="J264">
        <f t="shared" si="61"/>
        <v>4588</v>
      </c>
      <c r="K264">
        <f t="shared" si="62"/>
        <v>1</v>
      </c>
      <c r="L264">
        <f t="shared" si="63"/>
        <v>16</v>
      </c>
      <c r="M264">
        <f t="shared" si="64"/>
        <v>28</v>
      </c>
      <c r="N264">
        <f t="shared" si="74"/>
        <v>0</v>
      </c>
      <c r="O264">
        <f t="shared" si="74"/>
        <v>1</v>
      </c>
      <c r="P264">
        <f t="shared" si="74"/>
        <v>15</v>
      </c>
      <c r="Q264">
        <f t="shared" si="69"/>
        <v>75</v>
      </c>
      <c r="R264">
        <f t="shared" si="70"/>
        <v>0</v>
      </c>
      <c r="S264">
        <f t="shared" si="71"/>
        <v>1</v>
      </c>
      <c r="T264">
        <f t="shared" si="72"/>
        <v>15</v>
      </c>
      <c r="U264">
        <f t="shared" si="73"/>
        <v>75</v>
      </c>
    </row>
    <row r="265" spans="2:21" hidden="1" x14ac:dyDescent="0.25">
      <c r="B265" t="b">
        <f t="shared" si="58"/>
        <v>0</v>
      </c>
      <c r="C265" t="b">
        <f t="shared" si="68"/>
        <v>0</v>
      </c>
      <c r="D265">
        <f t="shared" si="65"/>
        <v>1</v>
      </c>
      <c r="E265" t="str">
        <f t="shared" si="66"/>
        <v>6. Conclusion</v>
      </c>
      <c r="F265" s="8" t="str">
        <f t="shared" si="75"/>
        <v/>
      </c>
      <c r="G265" t="str">
        <f t="shared" si="59"/>
        <v/>
      </c>
      <c r="H265">
        <f t="shared" si="60"/>
        <v>0</v>
      </c>
      <c r="I265">
        <f t="shared" si="67"/>
        <v>0</v>
      </c>
      <c r="J265">
        <f t="shared" si="61"/>
        <v>4588</v>
      </c>
      <c r="K265">
        <f t="shared" si="62"/>
        <v>1</v>
      </c>
      <c r="L265">
        <f t="shared" si="63"/>
        <v>16</v>
      </c>
      <c r="M265">
        <f t="shared" si="64"/>
        <v>28</v>
      </c>
      <c r="N265">
        <f t="shared" si="74"/>
        <v>0</v>
      </c>
      <c r="O265">
        <f t="shared" si="74"/>
        <v>1</v>
      </c>
      <c r="P265">
        <f t="shared" si="74"/>
        <v>15</v>
      </c>
      <c r="Q265">
        <f t="shared" si="69"/>
        <v>75</v>
      </c>
      <c r="R265">
        <f t="shared" si="70"/>
        <v>0</v>
      </c>
      <c r="S265">
        <f t="shared" si="71"/>
        <v>1</v>
      </c>
      <c r="T265">
        <f t="shared" si="72"/>
        <v>15</v>
      </c>
      <c r="U265">
        <f t="shared" si="73"/>
        <v>75</v>
      </c>
    </row>
    <row r="266" spans="2:21" hidden="1" x14ac:dyDescent="0.25">
      <c r="B266" t="b">
        <f t="shared" ref="B266:B329" si="76">AND(NOT(ISERROR(FIND(". ",A266))),ISNUMBER(VALUE(LEFT(A266,FIND(". ",A266)-1))))</f>
        <v>0</v>
      </c>
      <c r="C266" t="b">
        <f t="shared" si="68"/>
        <v>0</v>
      </c>
      <c r="D266">
        <f t="shared" si="65"/>
        <v>1</v>
      </c>
      <c r="E266" t="str">
        <f t="shared" si="66"/>
        <v>6. Conclusion</v>
      </c>
      <c r="F266" s="8" t="str">
        <f t="shared" si="75"/>
        <v/>
      </c>
      <c r="G266" t="str">
        <f t="shared" ref="G266:G329" si="77">IF(C266,IF(ISERROR(FIND("s",A267)),LEFT(A267,FIND("m",A267)),LEFT(A267,FIND("s",A267))),"")</f>
        <v/>
      </c>
      <c r="H266">
        <f t="shared" ref="H266:H329" si="78">IF(OR(G266="",ISERROR(FIND("m",G266))),0,VALUE(LEFT(G266,FIND("m",G266)-1)))</f>
        <v>0</v>
      </c>
      <c r="I266">
        <f t="shared" si="67"/>
        <v>0</v>
      </c>
      <c r="J266">
        <f t="shared" ref="J266:J329" si="79">J265+(H266*60+I266)</f>
        <v>4588</v>
      </c>
      <c r="K266">
        <f t="shared" ref="K266:K329" si="80">INT(J266/60/60)</f>
        <v>1</v>
      </c>
      <c r="L266">
        <f t="shared" ref="L266:L329" si="81">INT((J266-(K266*60*60))/60)</f>
        <v>16</v>
      </c>
      <c r="M266">
        <f t="shared" ref="M266:M329" si="82">J266-(((K266*60)+L266)*60)</f>
        <v>28</v>
      </c>
      <c r="N266">
        <f t="shared" si="74"/>
        <v>0</v>
      </c>
      <c r="O266">
        <f t="shared" si="74"/>
        <v>1</v>
      </c>
      <c r="P266">
        <f t="shared" si="74"/>
        <v>15</v>
      </c>
      <c r="Q266">
        <f t="shared" si="69"/>
        <v>75</v>
      </c>
      <c r="R266">
        <f t="shared" si="70"/>
        <v>0</v>
      </c>
      <c r="S266">
        <f t="shared" si="71"/>
        <v>1</v>
      </c>
      <c r="T266">
        <f t="shared" si="72"/>
        <v>15</v>
      </c>
      <c r="U266">
        <f t="shared" si="73"/>
        <v>75</v>
      </c>
    </row>
    <row r="267" spans="2:21" hidden="1" x14ac:dyDescent="0.25">
      <c r="B267" t="b">
        <f t="shared" si="76"/>
        <v>0</v>
      </c>
      <c r="C267" t="b">
        <f t="shared" si="68"/>
        <v>0</v>
      </c>
      <c r="D267">
        <f t="shared" ref="D267:D330" si="83">IF(B267,0,IF(C267,D266+1,D266))</f>
        <v>1</v>
      </c>
      <c r="E267" t="str">
        <f t="shared" ref="E267:E330" si="84">IF(B267,A267,E266)</f>
        <v>6. Conclusion</v>
      </c>
      <c r="F267" s="8" t="str">
        <f t="shared" si="75"/>
        <v/>
      </c>
      <c r="G267" t="str">
        <f t="shared" si="77"/>
        <v/>
      </c>
      <c r="H267">
        <f t="shared" si="78"/>
        <v>0</v>
      </c>
      <c r="I267">
        <f t="shared" ref="I267:I330" si="85">IF(OR(G267="",ISERROR(FIND("s",G267))),0,VALUE(SUBSTITUTE(MID(G267,IF(ISERROR(FIND("m",G267)), 0,FIND("m",G267))+1,LEN(G267)),"s","")))</f>
        <v>0</v>
      </c>
      <c r="J267">
        <f t="shared" si="79"/>
        <v>4588</v>
      </c>
      <c r="K267">
        <f t="shared" si="80"/>
        <v>1</v>
      </c>
      <c r="L267">
        <f t="shared" si="81"/>
        <v>16</v>
      </c>
      <c r="M267">
        <f t="shared" si="82"/>
        <v>28</v>
      </c>
      <c r="N267">
        <f t="shared" si="74"/>
        <v>0</v>
      </c>
      <c r="O267">
        <f t="shared" si="74"/>
        <v>1</v>
      </c>
      <c r="P267">
        <f t="shared" si="74"/>
        <v>15</v>
      </c>
      <c r="Q267">
        <f t="shared" si="69"/>
        <v>75</v>
      </c>
      <c r="R267">
        <f t="shared" si="70"/>
        <v>0</v>
      </c>
      <c r="S267">
        <f t="shared" si="71"/>
        <v>1</v>
      </c>
      <c r="T267">
        <f t="shared" si="72"/>
        <v>15</v>
      </c>
      <c r="U267">
        <f t="shared" si="73"/>
        <v>75</v>
      </c>
    </row>
    <row r="268" spans="2:21" hidden="1" x14ac:dyDescent="0.25">
      <c r="B268" t="b">
        <f t="shared" si="76"/>
        <v>0</v>
      </c>
      <c r="C268" t="b">
        <f t="shared" si="68"/>
        <v>0</v>
      </c>
      <c r="D268">
        <f t="shared" si="83"/>
        <v>1</v>
      </c>
      <c r="E268" t="str">
        <f t="shared" si="84"/>
        <v>6. Conclusion</v>
      </c>
      <c r="F268" s="8" t="str">
        <f t="shared" si="75"/>
        <v/>
      </c>
      <c r="G268" t="str">
        <f t="shared" si="77"/>
        <v/>
      </c>
      <c r="H268">
        <f t="shared" si="78"/>
        <v>0</v>
      </c>
      <c r="I268">
        <f t="shared" si="85"/>
        <v>0</v>
      </c>
      <c r="J268">
        <f t="shared" si="79"/>
        <v>4588</v>
      </c>
      <c r="K268">
        <f t="shared" si="80"/>
        <v>1</v>
      </c>
      <c r="L268">
        <f t="shared" si="81"/>
        <v>16</v>
      </c>
      <c r="M268">
        <f t="shared" si="82"/>
        <v>28</v>
      </c>
      <c r="N268">
        <f t="shared" si="74"/>
        <v>0</v>
      </c>
      <c r="O268">
        <f t="shared" si="74"/>
        <v>1</v>
      </c>
      <c r="P268">
        <f t="shared" si="74"/>
        <v>15</v>
      </c>
      <c r="Q268">
        <f t="shared" si="69"/>
        <v>75</v>
      </c>
      <c r="R268">
        <f t="shared" si="70"/>
        <v>0</v>
      </c>
      <c r="S268">
        <f t="shared" si="71"/>
        <v>1</v>
      </c>
      <c r="T268">
        <f t="shared" si="72"/>
        <v>15</v>
      </c>
      <c r="U268">
        <f t="shared" si="73"/>
        <v>75</v>
      </c>
    </row>
    <row r="269" spans="2:21" hidden="1" x14ac:dyDescent="0.25">
      <c r="B269" t="b">
        <f t="shared" si="76"/>
        <v>0</v>
      </c>
      <c r="C269" t="b">
        <f t="shared" ref="C269:C332" si="86">OR(AND(NOT(ISERROR(FIND("m",A270))),ISNUMBER(VALUE(LEFT(A270,FIND("m",A270)-1)))),AND(NOT(ISERROR(FIND("s",A270))),ISNUMBER(VALUE(LEFT(A270,FIND("s",A270)-1)))))</f>
        <v>0</v>
      </c>
      <c r="D269">
        <f t="shared" si="83"/>
        <v>1</v>
      </c>
      <c r="E269" t="str">
        <f t="shared" si="84"/>
        <v>6. Conclusion</v>
      </c>
      <c r="F269" s="8" t="str">
        <f t="shared" si="75"/>
        <v/>
      </c>
      <c r="G269" t="str">
        <f t="shared" si="77"/>
        <v/>
      </c>
      <c r="H269">
        <f t="shared" si="78"/>
        <v>0</v>
      </c>
      <c r="I269">
        <f t="shared" si="85"/>
        <v>0</v>
      </c>
      <c r="J269">
        <f t="shared" si="79"/>
        <v>4588</v>
      </c>
      <c r="K269">
        <f t="shared" si="80"/>
        <v>1</v>
      </c>
      <c r="L269">
        <f t="shared" si="81"/>
        <v>16</v>
      </c>
      <c r="M269">
        <f t="shared" si="82"/>
        <v>28</v>
      </c>
      <c r="N269">
        <f t="shared" si="74"/>
        <v>0</v>
      </c>
      <c r="O269">
        <f t="shared" si="74"/>
        <v>1</v>
      </c>
      <c r="P269">
        <f t="shared" si="74"/>
        <v>15</v>
      </c>
      <c r="Q269">
        <f t="shared" ref="Q269:Q332" si="87">(((N269*60)+O269)*60)+P269</f>
        <v>75</v>
      </c>
      <c r="R269">
        <f t="shared" ref="R269:R332" si="88">INT(U269/60/60)</f>
        <v>0</v>
      </c>
      <c r="S269">
        <f t="shared" ref="S269:S332" si="89">INT((U269-(R269*60*60))/60)</f>
        <v>1</v>
      </c>
      <c r="T269">
        <f t="shared" ref="T269:T332" si="90">U269-(((R269*60)+S269)*60)</f>
        <v>15</v>
      </c>
      <c r="U269">
        <f t="shared" ref="U269:U332" si="91">((H269*60)+I269)+Q269</f>
        <v>75</v>
      </c>
    </row>
    <row r="270" spans="2:21" hidden="1" x14ac:dyDescent="0.25">
      <c r="B270" t="b">
        <f t="shared" si="76"/>
        <v>0</v>
      </c>
      <c r="C270" t="b">
        <f t="shared" si="86"/>
        <v>0</v>
      </c>
      <c r="D270">
        <f t="shared" si="83"/>
        <v>1</v>
      </c>
      <c r="E270" t="str">
        <f t="shared" si="84"/>
        <v>6. Conclusion</v>
      </c>
      <c r="F270" s="8" t="str">
        <f t="shared" si="75"/>
        <v/>
      </c>
      <c r="G270" t="str">
        <f t="shared" si="77"/>
        <v/>
      </c>
      <c r="H270">
        <f t="shared" si="78"/>
        <v>0</v>
      </c>
      <c r="I270">
        <f t="shared" si="85"/>
        <v>0</v>
      </c>
      <c r="J270">
        <f t="shared" si="79"/>
        <v>4588</v>
      </c>
      <c r="K270">
        <f t="shared" si="80"/>
        <v>1</v>
      </c>
      <c r="L270">
        <f t="shared" si="81"/>
        <v>16</v>
      </c>
      <c r="M270">
        <f t="shared" si="82"/>
        <v>28</v>
      </c>
      <c r="N270">
        <f t="shared" si="74"/>
        <v>0</v>
      </c>
      <c r="O270">
        <f t="shared" si="74"/>
        <v>1</v>
      </c>
      <c r="P270">
        <f t="shared" si="74"/>
        <v>15</v>
      </c>
      <c r="Q270">
        <f t="shared" si="87"/>
        <v>75</v>
      </c>
      <c r="R270">
        <f t="shared" si="88"/>
        <v>0</v>
      </c>
      <c r="S270">
        <f t="shared" si="89"/>
        <v>1</v>
      </c>
      <c r="T270">
        <f t="shared" si="90"/>
        <v>15</v>
      </c>
      <c r="U270">
        <f t="shared" si="91"/>
        <v>75</v>
      </c>
    </row>
    <row r="271" spans="2:21" hidden="1" x14ac:dyDescent="0.25">
      <c r="B271" t="b">
        <f t="shared" si="76"/>
        <v>0</v>
      </c>
      <c r="C271" t="b">
        <f t="shared" si="86"/>
        <v>0</v>
      </c>
      <c r="D271">
        <f t="shared" si="83"/>
        <v>1</v>
      </c>
      <c r="E271" t="str">
        <f t="shared" si="84"/>
        <v>6. Conclusion</v>
      </c>
      <c r="F271" s="8" t="str">
        <f t="shared" si="75"/>
        <v/>
      </c>
      <c r="G271" t="str">
        <f t="shared" si="77"/>
        <v/>
      </c>
      <c r="H271">
        <f t="shared" si="78"/>
        <v>0</v>
      </c>
      <c r="I271">
        <f t="shared" si="85"/>
        <v>0</v>
      </c>
      <c r="J271">
        <f t="shared" si="79"/>
        <v>4588</v>
      </c>
      <c r="K271">
        <f t="shared" si="80"/>
        <v>1</v>
      </c>
      <c r="L271">
        <f t="shared" si="81"/>
        <v>16</v>
      </c>
      <c r="M271">
        <f t="shared" si="82"/>
        <v>28</v>
      </c>
      <c r="N271">
        <f t="shared" si="74"/>
        <v>0</v>
      </c>
      <c r="O271">
        <f t="shared" si="74"/>
        <v>1</v>
      </c>
      <c r="P271">
        <f t="shared" si="74"/>
        <v>15</v>
      </c>
      <c r="Q271">
        <f t="shared" si="87"/>
        <v>75</v>
      </c>
      <c r="R271">
        <f t="shared" si="88"/>
        <v>0</v>
      </c>
      <c r="S271">
        <f t="shared" si="89"/>
        <v>1</v>
      </c>
      <c r="T271">
        <f t="shared" si="90"/>
        <v>15</v>
      </c>
      <c r="U271">
        <f t="shared" si="91"/>
        <v>75</v>
      </c>
    </row>
    <row r="272" spans="2:21" hidden="1" x14ac:dyDescent="0.25">
      <c r="B272" t="b">
        <f t="shared" si="76"/>
        <v>0</v>
      </c>
      <c r="C272" t="b">
        <f t="shared" si="86"/>
        <v>0</v>
      </c>
      <c r="D272">
        <f t="shared" si="83"/>
        <v>1</v>
      </c>
      <c r="E272" t="str">
        <f t="shared" si="84"/>
        <v>6. Conclusion</v>
      </c>
      <c r="F272" s="8" t="str">
        <f t="shared" si="75"/>
        <v/>
      </c>
      <c r="G272" t="str">
        <f t="shared" si="77"/>
        <v/>
      </c>
      <c r="H272">
        <f t="shared" si="78"/>
        <v>0</v>
      </c>
      <c r="I272">
        <f t="shared" si="85"/>
        <v>0</v>
      </c>
      <c r="J272">
        <f t="shared" si="79"/>
        <v>4588</v>
      </c>
      <c r="K272">
        <f t="shared" si="80"/>
        <v>1</v>
      </c>
      <c r="L272">
        <f t="shared" si="81"/>
        <v>16</v>
      </c>
      <c r="M272">
        <f t="shared" si="82"/>
        <v>28</v>
      </c>
      <c r="N272">
        <f t="shared" si="74"/>
        <v>0</v>
      </c>
      <c r="O272">
        <f t="shared" si="74"/>
        <v>1</v>
      </c>
      <c r="P272">
        <f t="shared" si="74"/>
        <v>15</v>
      </c>
      <c r="Q272">
        <f t="shared" si="87"/>
        <v>75</v>
      </c>
      <c r="R272">
        <f t="shared" si="88"/>
        <v>0</v>
      </c>
      <c r="S272">
        <f t="shared" si="89"/>
        <v>1</v>
      </c>
      <c r="T272">
        <f t="shared" si="90"/>
        <v>15</v>
      </c>
      <c r="U272">
        <f t="shared" si="91"/>
        <v>75</v>
      </c>
    </row>
    <row r="273" spans="2:21" hidden="1" x14ac:dyDescent="0.25">
      <c r="B273" t="b">
        <f t="shared" si="76"/>
        <v>0</v>
      </c>
      <c r="C273" t="b">
        <f t="shared" si="86"/>
        <v>0</v>
      </c>
      <c r="D273">
        <f t="shared" si="83"/>
        <v>1</v>
      </c>
      <c r="E273" t="str">
        <f t="shared" si="84"/>
        <v>6. Conclusion</v>
      </c>
      <c r="F273" s="8" t="str">
        <f t="shared" si="75"/>
        <v/>
      </c>
      <c r="G273" t="str">
        <f t="shared" si="77"/>
        <v/>
      </c>
      <c r="H273">
        <f t="shared" si="78"/>
        <v>0</v>
      </c>
      <c r="I273">
        <f t="shared" si="85"/>
        <v>0</v>
      </c>
      <c r="J273">
        <f t="shared" si="79"/>
        <v>4588</v>
      </c>
      <c r="K273">
        <f t="shared" si="80"/>
        <v>1</v>
      </c>
      <c r="L273">
        <f t="shared" si="81"/>
        <v>16</v>
      </c>
      <c r="M273">
        <f t="shared" si="82"/>
        <v>28</v>
      </c>
      <c r="N273">
        <f t="shared" si="74"/>
        <v>0</v>
      </c>
      <c r="O273">
        <f t="shared" si="74"/>
        <v>1</v>
      </c>
      <c r="P273">
        <f t="shared" si="74"/>
        <v>15</v>
      </c>
      <c r="Q273">
        <f t="shared" si="87"/>
        <v>75</v>
      </c>
      <c r="R273">
        <f t="shared" si="88"/>
        <v>0</v>
      </c>
      <c r="S273">
        <f t="shared" si="89"/>
        <v>1</v>
      </c>
      <c r="T273">
        <f t="shared" si="90"/>
        <v>15</v>
      </c>
      <c r="U273">
        <f t="shared" si="91"/>
        <v>75</v>
      </c>
    </row>
    <row r="274" spans="2:21" hidden="1" x14ac:dyDescent="0.25">
      <c r="B274" t="b">
        <f t="shared" si="76"/>
        <v>0</v>
      </c>
      <c r="C274" t="b">
        <f t="shared" si="86"/>
        <v>0</v>
      </c>
      <c r="D274">
        <f t="shared" si="83"/>
        <v>1</v>
      </c>
      <c r="E274" t="str">
        <f t="shared" si="84"/>
        <v>6. Conclusion</v>
      </c>
      <c r="F274" s="8" t="str">
        <f t="shared" si="75"/>
        <v/>
      </c>
      <c r="G274" t="str">
        <f t="shared" si="77"/>
        <v/>
      </c>
      <c r="H274">
        <f t="shared" si="78"/>
        <v>0</v>
      </c>
      <c r="I274">
        <f t="shared" si="85"/>
        <v>0</v>
      </c>
      <c r="J274">
        <f t="shared" si="79"/>
        <v>4588</v>
      </c>
      <c r="K274">
        <f t="shared" si="80"/>
        <v>1</v>
      </c>
      <c r="L274">
        <f t="shared" si="81"/>
        <v>16</v>
      </c>
      <c r="M274">
        <f t="shared" si="82"/>
        <v>28</v>
      </c>
      <c r="N274">
        <f t="shared" si="74"/>
        <v>0</v>
      </c>
      <c r="O274">
        <f t="shared" si="74"/>
        <v>1</v>
      </c>
      <c r="P274">
        <f t="shared" si="74"/>
        <v>15</v>
      </c>
      <c r="Q274">
        <f t="shared" si="87"/>
        <v>75</v>
      </c>
      <c r="R274">
        <f t="shared" si="88"/>
        <v>0</v>
      </c>
      <c r="S274">
        <f t="shared" si="89"/>
        <v>1</v>
      </c>
      <c r="T274">
        <f t="shared" si="90"/>
        <v>15</v>
      </c>
      <c r="U274">
        <f t="shared" si="91"/>
        <v>75</v>
      </c>
    </row>
    <row r="275" spans="2:21" hidden="1" x14ac:dyDescent="0.25">
      <c r="B275" t="b">
        <f t="shared" si="76"/>
        <v>0</v>
      </c>
      <c r="C275" t="b">
        <f t="shared" si="86"/>
        <v>0</v>
      </c>
      <c r="D275">
        <f t="shared" si="83"/>
        <v>1</v>
      </c>
      <c r="E275" t="str">
        <f t="shared" si="84"/>
        <v>6. Conclusion</v>
      </c>
      <c r="F275" s="8" t="str">
        <f t="shared" si="75"/>
        <v/>
      </c>
      <c r="G275" t="str">
        <f t="shared" si="77"/>
        <v/>
      </c>
      <c r="H275">
        <f t="shared" si="78"/>
        <v>0</v>
      </c>
      <c r="I275">
        <f t="shared" si="85"/>
        <v>0</v>
      </c>
      <c r="J275">
        <f t="shared" si="79"/>
        <v>4588</v>
      </c>
      <c r="K275">
        <f t="shared" si="80"/>
        <v>1</v>
      </c>
      <c r="L275">
        <f t="shared" si="81"/>
        <v>16</v>
      </c>
      <c r="M275">
        <f t="shared" si="82"/>
        <v>28</v>
      </c>
      <c r="N275">
        <f t="shared" si="74"/>
        <v>0</v>
      </c>
      <c r="O275">
        <f t="shared" si="74"/>
        <v>1</v>
      </c>
      <c r="P275">
        <f t="shared" si="74"/>
        <v>15</v>
      </c>
      <c r="Q275">
        <f t="shared" si="87"/>
        <v>75</v>
      </c>
      <c r="R275">
        <f t="shared" si="88"/>
        <v>0</v>
      </c>
      <c r="S275">
        <f t="shared" si="89"/>
        <v>1</v>
      </c>
      <c r="T275">
        <f t="shared" si="90"/>
        <v>15</v>
      </c>
      <c r="U275">
        <f t="shared" si="91"/>
        <v>75</v>
      </c>
    </row>
    <row r="276" spans="2:21" hidden="1" x14ac:dyDescent="0.25">
      <c r="B276" t="b">
        <f t="shared" si="76"/>
        <v>0</v>
      </c>
      <c r="C276" t="b">
        <f t="shared" si="86"/>
        <v>0</v>
      </c>
      <c r="D276">
        <f t="shared" si="83"/>
        <v>1</v>
      </c>
      <c r="E276" t="str">
        <f t="shared" si="84"/>
        <v>6. Conclusion</v>
      </c>
      <c r="F276" s="8" t="str">
        <f t="shared" si="75"/>
        <v/>
      </c>
      <c r="G276" t="str">
        <f t="shared" si="77"/>
        <v/>
      </c>
      <c r="H276">
        <f t="shared" si="78"/>
        <v>0</v>
      </c>
      <c r="I276">
        <f t="shared" si="85"/>
        <v>0</v>
      </c>
      <c r="J276">
        <f t="shared" si="79"/>
        <v>4588</v>
      </c>
      <c r="K276">
        <f t="shared" si="80"/>
        <v>1</v>
      </c>
      <c r="L276">
        <f t="shared" si="81"/>
        <v>16</v>
      </c>
      <c r="M276">
        <f t="shared" si="82"/>
        <v>28</v>
      </c>
      <c r="N276">
        <f t="shared" si="74"/>
        <v>0</v>
      </c>
      <c r="O276">
        <f t="shared" si="74"/>
        <v>1</v>
      </c>
      <c r="P276">
        <f t="shared" si="74"/>
        <v>15</v>
      </c>
      <c r="Q276">
        <f t="shared" si="87"/>
        <v>75</v>
      </c>
      <c r="R276">
        <f t="shared" si="88"/>
        <v>0</v>
      </c>
      <c r="S276">
        <f t="shared" si="89"/>
        <v>1</v>
      </c>
      <c r="T276">
        <f t="shared" si="90"/>
        <v>15</v>
      </c>
      <c r="U276">
        <f t="shared" si="91"/>
        <v>75</v>
      </c>
    </row>
    <row r="277" spans="2:21" hidden="1" x14ac:dyDescent="0.25">
      <c r="B277" t="b">
        <f t="shared" si="76"/>
        <v>0</v>
      </c>
      <c r="C277" t="b">
        <f t="shared" si="86"/>
        <v>0</v>
      </c>
      <c r="D277">
        <f t="shared" si="83"/>
        <v>1</v>
      </c>
      <c r="E277" t="str">
        <f t="shared" si="84"/>
        <v>6. Conclusion</v>
      </c>
      <c r="F277" s="8" t="str">
        <f t="shared" si="75"/>
        <v/>
      </c>
      <c r="G277" t="str">
        <f t="shared" si="77"/>
        <v/>
      </c>
      <c r="H277">
        <f t="shared" si="78"/>
        <v>0</v>
      </c>
      <c r="I277">
        <f t="shared" si="85"/>
        <v>0</v>
      </c>
      <c r="J277">
        <f t="shared" si="79"/>
        <v>4588</v>
      </c>
      <c r="K277">
        <f t="shared" si="80"/>
        <v>1</v>
      </c>
      <c r="L277">
        <f t="shared" si="81"/>
        <v>16</v>
      </c>
      <c r="M277">
        <f t="shared" si="82"/>
        <v>28</v>
      </c>
      <c r="N277">
        <f t="shared" si="74"/>
        <v>0</v>
      </c>
      <c r="O277">
        <f t="shared" si="74"/>
        <v>1</v>
      </c>
      <c r="P277">
        <f t="shared" si="74"/>
        <v>15</v>
      </c>
      <c r="Q277">
        <f t="shared" si="87"/>
        <v>75</v>
      </c>
      <c r="R277">
        <f t="shared" si="88"/>
        <v>0</v>
      </c>
      <c r="S277">
        <f t="shared" si="89"/>
        <v>1</v>
      </c>
      <c r="T277">
        <f t="shared" si="90"/>
        <v>15</v>
      </c>
      <c r="U277">
        <f t="shared" si="91"/>
        <v>75</v>
      </c>
    </row>
    <row r="278" spans="2:21" hidden="1" x14ac:dyDescent="0.25">
      <c r="B278" t="b">
        <f t="shared" si="76"/>
        <v>0</v>
      </c>
      <c r="C278" t="b">
        <f t="shared" si="86"/>
        <v>0</v>
      </c>
      <c r="D278">
        <f t="shared" si="83"/>
        <v>1</v>
      </c>
      <c r="E278" t="str">
        <f t="shared" si="84"/>
        <v>6. Conclusion</v>
      </c>
      <c r="F278" s="8" t="str">
        <f t="shared" si="75"/>
        <v/>
      </c>
      <c r="G278" t="str">
        <f t="shared" si="77"/>
        <v/>
      </c>
      <c r="H278">
        <f t="shared" si="78"/>
        <v>0</v>
      </c>
      <c r="I278">
        <f t="shared" si="85"/>
        <v>0</v>
      </c>
      <c r="J278">
        <f t="shared" si="79"/>
        <v>4588</v>
      </c>
      <c r="K278">
        <f t="shared" si="80"/>
        <v>1</v>
      </c>
      <c r="L278">
        <f t="shared" si="81"/>
        <v>16</v>
      </c>
      <c r="M278">
        <f t="shared" si="82"/>
        <v>28</v>
      </c>
      <c r="N278">
        <f t="shared" si="74"/>
        <v>0</v>
      </c>
      <c r="O278">
        <f t="shared" si="74"/>
        <v>1</v>
      </c>
      <c r="P278">
        <f t="shared" si="74"/>
        <v>15</v>
      </c>
      <c r="Q278">
        <f t="shared" si="87"/>
        <v>75</v>
      </c>
      <c r="R278">
        <f t="shared" si="88"/>
        <v>0</v>
      </c>
      <c r="S278">
        <f t="shared" si="89"/>
        <v>1</v>
      </c>
      <c r="T278">
        <f t="shared" si="90"/>
        <v>15</v>
      </c>
      <c r="U278">
        <f t="shared" si="91"/>
        <v>75</v>
      </c>
    </row>
    <row r="279" spans="2:21" hidden="1" x14ac:dyDescent="0.25">
      <c r="B279" t="b">
        <f t="shared" si="76"/>
        <v>0</v>
      </c>
      <c r="C279" t="b">
        <f t="shared" si="86"/>
        <v>0</v>
      </c>
      <c r="D279">
        <f t="shared" si="83"/>
        <v>1</v>
      </c>
      <c r="E279" t="str">
        <f t="shared" si="84"/>
        <v>6. Conclusion</v>
      </c>
      <c r="F279" s="8" t="str">
        <f t="shared" si="75"/>
        <v/>
      </c>
      <c r="G279" t="str">
        <f t="shared" si="77"/>
        <v/>
      </c>
      <c r="H279">
        <f t="shared" si="78"/>
        <v>0</v>
      </c>
      <c r="I279">
        <f t="shared" si="85"/>
        <v>0</v>
      </c>
      <c r="J279">
        <f t="shared" si="79"/>
        <v>4588</v>
      </c>
      <c r="K279">
        <f t="shared" si="80"/>
        <v>1</v>
      </c>
      <c r="L279">
        <f t="shared" si="81"/>
        <v>16</v>
      </c>
      <c r="M279">
        <f t="shared" si="82"/>
        <v>28</v>
      </c>
      <c r="N279">
        <f t="shared" si="74"/>
        <v>0</v>
      </c>
      <c r="O279">
        <f t="shared" si="74"/>
        <v>1</v>
      </c>
      <c r="P279">
        <f t="shared" si="74"/>
        <v>15</v>
      </c>
      <c r="Q279">
        <f t="shared" si="87"/>
        <v>75</v>
      </c>
      <c r="R279">
        <f t="shared" si="88"/>
        <v>0</v>
      </c>
      <c r="S279">
        <f t="shared" si="89"/>
        <v>1</v>
      </c>
      <c r="T279">
        <f t="shared" si="90"/>
        <v>15</v>
      </c>
      <c r="U279">
        <f t="shared" si="91"/>
        <v>75</v>
      </c>
    </row>
    <row r="280" spans="2:21" hidden="1" x14ac:dyDescent="0.25">
      <c r="B280" t="b">
        <f t="shared" si="76"/>
        <v>0</v>
      </c>
      <c r="C280" t="b">
        <f t="shared" si="86"/>
        <v>0</v>
      </c>
      <c r="D280">
        <f t="shared" si="83"/>
        <v>1</v>
      </c>
      <c r="E280" t="str">
        <f t="shared" si="84"/>
        <v>6. Conclusion</v>
      </c>
      <c r="F280" s="8" t="str">
        <f t="shared" si="75"/>
        <v/>
      </c>
      <c r="G280" t="str">
        <f t="shared" si="77"/>
        <v/>
      </c>
      <c r="H280">
        <f t="shared" si="78"/>
        <v>0</v>
      </c>
      <c r="I280">
        <f t="shared" si="85"/>
        <v>0</v>
      </c>
      <c r="J280">
        <f t="shared" si="79"/>
        <v>4588</v>
      </c>
      <c r="K280">
        <f t="shared" si="80"/>
        <v>1</v>
      </c>
      <c r="L280">
        <f t="shared" si="81"/>
        <v>16</v>
      </c>
      <c r="M280">
        <f t="shared" si="82"/>
        <v>28</v>
      </c>
      <c r="N280">
        <f t="shared" si="74"/>
        <v>0</v>
      </c>
      <c r="O280">
        <f t="shared" si="74"/>
        <v>1</v>
      </c>
      <c r="P280">
        <f t="shared" si="74"/>
        <v>15</v>
      </c>
      <c r="Q280">
        <f t="shared" si="87"/>
        <v>75</v>
      </c>
      <c r="R280">
        <f t="shared" si="88"/>
        <v>0</v>
      </c>
      <c r="S280">
        <f t="shared" si="89"/>
        <v>1</v>
      </c>
      <c r="T280">
        <f t="shared" si="90"/>
        <v>15</v>
      </c>
      <c r="U280">
        <f t="shared" si="91"/>
        <v>75</v>
      </c>
    </row>
    <row r="281" spans="2:21" hidden="1" x14ac:dyDescent="0.25">
      <c r="B281" t="b">
        <f t="shared" si="76"/>
        <v>0</v>
      </c>
      <c r="C281" t="b">
        <f t="shared" si="86"/>
        <v>0</v>
      </c>
      <c r="D281">
        <f t="shared" si="83"/>
        <v>1</v>
      </c>
      <c r="E281" t="str">
        <f t="shared" si="84"/>
        <v>6. Conclusion</v>
      </c>
      <c r="F281" s="8" t="str">
        <f t="shared" si="75"/>
        <v/>
      </c>
      <c r="G281" t="str">
        <f t="shared" si="77"/>
        <v/>
      </c>
      <c r="H281">
        <f t="shared" si="78"/>
        <v>0</v>
      </c>
      <c r="I281">
        <f t="shared" si="85"/>
        <v>0</v>
      </c>
      <c r="J281">
        <f t="shared" si="79"/>
        <v>4588</v>
      </c>
      <c r="K281">
        <f t="shared" si="80"/>
        <v>1</v>
      </c>
      <c r="L281">
        <f t="shared" si="81"/>
        <v>16</v>
      </c>
      <c r="M281">
        <f t="shared" si="82"/>
        <v>28</v>
      </c>
      <c r="N281">
        <f t="shared" si="74"/>
        <v>0</v>
      </c>
      <c r="O281">
        <f t="shared" si="74"/>
        <v>1</v>
      </c>
      <c r="P281">
        <f t="shared" si="74"/>
        <v>15</v>
      </c>
      <c r="Q281">
        <f t="shared" si="87"/>
        <v>75</v>
      </c>
      <c r="R281">
        <f t="shared" si="88"/>
        <v>0</v>
      </c>
      <c r="S281">
        <f t="shared" si="89"/>
        <v>1</v>
      </c>
      <c r="T281">
        <f t="shared" si="90"/>
        <v>15</v>
      </c>
      <c r="U281">
        <f t="shared" si="91"/>
        <v>75</v>
      </c>
    </row>
    <row r="282" spans="2:21" hidden="1" x14ac:dyDescent="0.25">
      <c r="B282" t="b">
        <f t="shared" si="76"/>
        <v>0</v>
      </c>
      <c r="C282" t="b">
        <f t="shared" si="86"/>
        <v>0</v>
      </c>
      <c r="D282">
        <f t="shared" si="83"/>
        <v>1</v>
      </c>
      <c r="E282" t="str">
        <f t="shared" si="84"/>
        <v>6. Conclusion</v>
      </c>
      <c r="F282" s="8" t="str">
        <f t="shared" si="75"/>
        <v/>
      </c>
      <c r="G282" t="str">
        <f t="shared" si="77"/>
        <v/>
      </c>
      <c r="H282">
        <f t="shared" si="78"/>
        <v>0</v>
      </c>
      <c r="I282">
        <f t="shared" si="85"/>
        <v>0</v>
      </c>
      <c r="J282">
        <f t="shared" si="79"/>
        <v>4588</v>
      </c>
      <c r="K282">
        <f t="shared" si="80"/>
        <v>1</v>
      </c>
      <c r="L282">
        <f t="shared" si="81"/>
        <v>16</v>
      </c>
      <c r="M282">
        <f t="shared" si="82"/>
        <v>28</v>
      </c>
      <c r="N282">
        <f t="shared" si="74"/>
        <v>0</v>
      </c>
      <c r="O282">
        <f t="shared" si="74"/>
        <v>1</v>
      </c>
      <c r="P282">
        <f t="shared" si="74"/>
        <v>15</v>
      </c>
      <c r="Q282">
        <f t="shared" si="87"/>
        <v>75</v>
      </c>
      <c r="R282">
        <f t="shared" si="88"/>
        <v>0</v>
      </c>
      <c r="S282">
        <f t="shared" si="89"/>
        <v>1</v>
      </c>
      <c r="T282">
        <f t="shared" si="90"/>
        <v>15</v>
      </c>
      <c r="U282">
        <f t="shared" si="91"/>
        <v>75</v>
      </c>
    </row>
    <row r="283" spans="2:21" hidden="1" x14ac:dyDescent="0.25">
      <c r="B283" t="b">
        <f t="shared" si="76"/>
        <v>0</v>
      </c>
      <c r="C283" t="b">
        <f t="shared" si="86"/>
        <v>0</v>
      </c>
      <c r="D283">
        <f t="shared" si="83"/>
        <v>1</v>
      </c>
      <c r="E283" t="str">
        <f t="shared" si="84"/>
        <v>6. Conclusion</v>
      </c>
      <c r="F283" s="8" t="str">
        <f t="shared" si="75"/>
        <v/>
      </c>
      <c r="G283" t="str">
        <f t="shared" si="77"/>
        <v/>
      </c>
      <c r="H283">
        <f t="shared" si="78"/>
        <v>0</v>
      </c>
      <c r="I283">
        <f t="shared" si="85"/>
        <v>0</v>
      </c>
      <c r="J283">
        <f t="shared" si="79"/>
        <v>4588</v>
      </c>
      <c r="K283">
        <f t="shared" si="80"/>
        <v>1</v>
      </c>
      <c r="L283">
        <f t="shared" si="81"/>
        <v>16</v>
      </c>
      <c r="M283">
        <f t="shared" si="82"/>
        <v>28</v>
      </c>
      <c r="N283">
        <f t="shared" ref="N283:P346" si="92">R282</f>
        <v>0</v>
      </c>
      <c r="O283">
        <f t="shared" si="92"/>
        <v>1</v>
      </c>
      <c r="P283">
        <f t="shared" si="92"/>
        <v>15</v>
      </c>
      <c r="Q283">
        <f t="shared" si="87"/>
        <v>75</v>
      </c>
      <c r="R283">
        <f t="shared" si="88"/>
        <v>0</v>
      </c>
      <c r="S283">
        <f t="shared" si="89"/>
        <v>1</v>
      </c>
      <c r="T283">
        <f t="shared" si="90"/>
        <v>15</v>
      </c>
      <c r="U283">
        <f t="shared" si="91"/>
        <v>75</v>
      </c>
    </row>
    <row r="284" spans="2:21" hidden="1" x14ac:dyDescent="0.25">
      <c r="B284" t="b">
        <f t="shared" si="76"/>
        <v>0</v>
      </c>
      <c r="C284" t="b">
        <f t="shared" si="86"/>
        <v>0</v>
      </c>
      <c r="D284">
        <f t="shared" si="83"/>
        <v>1</v>
      </c>
      <c r="E284" t="str">
        <f t="shared" si="84"/>
        <v>6. Conclusion</v>
      </c>
      <c r="F284" s="8" t="str">
        <f t="shared" si="75"/>
        <v/>
      </c>
      <c r="G284" t="str">
        <f t="shared" si="77"/>
        <v/>
      </c>
      <c r="H284">
        <f t="shared" si="78"/>
        <v>0</v>
      </c>
      <c r="I284">
        <f t="shared" si="85"/>
        <v>0</v>
      </c>
      <c r="J284">
        <f t="shared" si="79"/>
        <v>4588</v>
      </c>
      <c r="K284">
        <f t="shared" si="80"/>
        <v>1</v>
      </c>
      <c r="L284">
        <f t="shared" si="81"/>
        <v>16</v>
      </c>
      <c r="M284">
        <f t="shared" si="82"/>
        <v>28</v>
      </c>
      <c r="N284">
        <f t="shared" si="92"/>
        <v>0</v>
      </c>
      <c r="O284">
        <f t="shared" si="92"/>
        <v>1</v>
      </c>
      <c r="P284">
        <f t="shared" si="92"/>
        <v>15</v>
      </c>
      <c r="Q284">
        <f t="shared" si="87"/>
        <v>75</v>
      </c>
      <c r="R284">
        <f t="shared" si="88"/>
        <v>0</v>
      </c>
      <c r="S284">
        <f t="shared" si="89"/>
        <v>1</v>
      </c>
      <c r="T284">
        <f t="shared" si="90"/>
        <v>15</v>
      </c>
      <c r="U284">
        <f t="shared" si="91"/>
        <v>75</v>
      </c>
    </row>
    <row r="285" spans="2:21" hidden="1" x14ac:dyDescent="0.25">
      <c r="B285" t="b">
        <f t="shared" si="76"/>
        <v>0</v>
      </c>
      <c r="C285" t="b">
        <f t="shared" si="86"/>
        <v>0</v>
      </c>
      <c r="D285">
        <f t="shared" si="83"/>
        <v>1</v>
      </c>
      <c r="E285" t="str">
        <f t="shared" si="84"/>
        <v>6. Conclusion</v>
      </c>
      <c r="F285" s="8" t="str">
        <f t="shared" si="75"/>
        <v/>
      </c>
      <c r="G285" t="str">
        <f t="shared" si="77"/>
        <v/>
      </c>
      <c r="H285">
        <f t="shared" si="78"/>
        <v>0</v>
      </c>
      <c r="I285">
        <f t="shared" si="85"/>
        <v>0</v>
      </c>
      <c r="J285">
        <f t="shared" si="79"/>
        <v>4588</v>
      </c>
      <c r="K285">
        <f t="shared" si="80"/>
        <v>1</v>
      </c>
      <c r="L285">
        <f t="shared" si="81"/>
        <v>16</v>
      </c>
      <c r="M285">
        <f t="shared" si="82"/>
        <v>28</v>
      </c>
      <c r="N285">
        <f t="shared" si="92"/>
        <v>0</v>
      </c>
      <c r="O285">
        <f t="shared" si="92"/>
        <v>1</v>
      </c>
      <c r="P285">
        <f t="shared" si="92"/>
        <v>15</v>
      </c>
      <c r="Q285">
        <f t="shared" si="87"/>
        <v>75</v>
      </c>
      <c r="R285">
        <f t="shared" si="88"/>
        <v>0</v>
      </c>
      <c r="S285">
        <f t="shared" si="89"/>
        <v>1</v>
      </c>
      <c r="T285">
        <f t="shared" si="90"/>
        <v>15</v>
      </c>
      <c r="U285">
        <f t="shared" si="91"/>
        <v>75</v>
      </c>
    </row>
    <row r="286" spans="2:21" hidden="1" x14ac:dyDescent="0.25">
      <c r="B286" t="b">
        <f t="shared" si="76"/>
        <v>0</v>
      </c>
      <c r="C286" t="b">
        <f t="shared" si="86"/>
        <v>0</v>
      </c>
      <c r="D286">
        <f t="shared" si="83"/>
        <v>1</v>
      </c>
      <c r="E286" t="str">
        <f t="shared" si="84"/>
        <v>6. Conclusion</v>
      </c>
      <c r="F286" s="8" t="str">
        <f t="shared" si="75"/>
        <v/>
      </c>
      <c r="G286" t="str">
        <f t="shared" si="77"/>
        <v/>
      </c>
      <c r="H286">
        <f t="shared" si="78"/>
        <v>0</v>
      </c>
      <c r="I286">
        <f t="shared" si="85"/>
        <v>0</v>
      </c>
      <c r="J286">
        <f t="shared" si="79"/>
        <v>4588</v>
      </c>
      <c r="K286">
        <f t="shared" si="80"/>
        <v>1</v>
      </c>
      <c r="L286">
        <f t="shared" si="81"/>
        <v>16</v>
      </c>
      <c r="M286">
        <f t="shared" si="82"/>
        <v>28</v>
      </c>
      <c r="N286">
        <f t="shared" si="92"/>
        <v>0</v>
      </c>
      <c r="O286">
        <f t="shared" si="92"/>
        <v>1</v>
      </c>
      <c r="P286">
        <f t="shared" si="92"/>
        <v>15</v>
      </c>
      <c r="Q286">
        <f t="shared" si="87"/>
        <v>75</v>
      </c>
      <c r="R286">
        <f t="shared" si="88"/>
        <v>0</v>
      </c>
      <c r="S286">
        <f t="shared" si="89"/>
        <v>1</v>
      </c>
      <c r="T286">
        <f t="shared" si="90"/>
        <v>15</v>
      </c>
      <c r="U286">
        <f t="shared" si="91"/>
        <v>75</v>
      </c>
    </row>
    <row r="287" spans="2:21" hidden="1" x14ac:dyDescent="0.25">
      <c r="B287" t="b">
        <f t="shared" si="76"/>
        <v>0</v>
      </c>
      <c r="C287" t="b">
        <f t="shared" si="86"/>
        <v>0</v>
      </c>
      <c r="D287">
        <f t="shared" si="83"/>
        <v>1</v>
      </c>
      <c r="E287" t="str">
        <f t="shared" si="84"/>
        <v>6. Conclusion</v>
      </c>
      <c r="F287" s="8" t="str">
        <f t="shared" si="75"/>
        <v/>
      </c>
      <c r="G287" t="str">
        <f t="shared" si="77"/>
        <v/>
      </c>
      <c r="H287">
        <f t="shared" si="78"/>
        <v>0</v>
      </c>
      <c r="I287">
        <f t="shared" si="85"/>
        <v>0</v>
      </c>
      <c r="J287">
        <f t="shared" si="79"/>
        <v>4588</v>
      </c>
      <c r="K287">
        <f t="shared" si="80"/>
        <v>1</v>
      </c>
      <c r="L287">
        <f t="shared" si="81"/>
        <v>16</v>
      </c>
      <c r="M287">
        <f t="shared" si="82"/>
        <v>28</v>
      </c>
      <c r="N287">
        <f t="shared" si="92"/>
        <v>0</v>
      </c>
      <c r="O287">
        <f t="shared" si="92"/>
        <v>1</v>
      </c>
      <c r="P287">
        <f t="shared" si="92"/>
        <v>15</v>
      </c>
      <c r="Q287">
        <f t="shared" si="87"/>
        <v>75</v>
      </c>
      <c r="R287">
        <f t="shared" si="88"/>
        <v>0</v>
      </c>
      <c r="S287">
        <f t="shared" si="89"/>
        <v>1</v>
      </c>
      <c r="T287">
        <f t="shared" si="90"/>
        <v>15</v>
      </c>
      <c r="U287">
        <f t="shared" si="91"/>
        <v>75</v>
      </c>
    </row>
    <row r="288" spans="2:21" hidden="1" x14ac:dyDescent="0.25">
      <c r="B288" t="b">
        <f t="shared" si="76"/>
        <v>0</v>
      </c>
      <c r="C288" t="b">
        <f t="shared" si="86"/>
        <v>0</v>
      </c>
      <c r="D288">
        <f t="shared" si="83"/>
        <v>1</v>
      </c>
      <c r="E288" t="str">
        <f t="shared" si="84"/>
        <v>6. Conclusion</v>
      </c>
      <c r="F288" s="8" t="str">
        <f t="shared" si="75"/>
        <v/>
      </c>
      <c r="G288" t="str">
        <f t="shared" si="77"/>
        <v/>
      </c>
      <c r="H288">
        <f t="shared" si="78"/>
        <v>0</v>
      </c>
      <c r="I288">
        <f t="shared" si="85"/>
        <v>0</v>
      </c>
      <c r="J288">
        <f t="shared" si="79"/>
        <v>4588</v>
      </c>
      <c r="K288">
        <f t="shared" si="80"/>
        <v>1</v>
      </c>
      <c r="L288">
        <f t="shared" si="81"/>
        <v>16</v>
      </c>
      <c r="M288">
        <f t="shared" si="82"/>
        <v>28</v>
      </c>
      <c r="N288">
        <f t="shared" si="92"/>
        <v>0</v>
      </c>
      <c r="O288">
        <f t="shared" si="92"/>
        <v>1</v>
      </c>
      <c r="P288">
        <f t="shared" si="92"/>
        <v>15</v>
      </c>
      <c r="Q288">
        <f t="shared" si="87"/>
        <v>75</v>
      </c>
      <c r="R288">
        <f t="shared" si="88"/>
        <v>0</v>
      </c>
      <c r="S288">
        <f t="shared" si="89"/>
        <v>1</v>
      </c>
      <c r="T288">
        <f t="shared" si="90"/>
        <v>15</v>
      </c>
      <c r="U288">
        <f t="shared" si="91"/>
        <v>75</v>
      </c>
    </row>
    <row r="289" spans="2:21" hidden="1" x14ac:dyDescent="0.25">
      <c r="B289" t="b">
        <f t="shared" si="76"/>
        <v>0</v>
      </c>
      <c r="C289" t="b">
        <f t="shared" si="86"/>
        <v>0</v>
      </c>
      <c r="D289">
        <f t="shared" si="83"/>
        <v>1</v>
      </c>
      <c r="E289" t="str">
        <f t="shared" si="84"/>
        <v>6. Conclusion</v>
      </c>
      <c r="F289" s="8" t="str">
        <f t="shared" si="75"/>
        <v/>
      </c>
      <c r="G289" t="str">
        <f t="shared" si="77"/>
        <v/>
      </c>
      <c r="H289">
        <f t="shared" si="78"/>
        <v>0</v>
      </c>
      <c r="I289">
        <f t="shared" si="85"/>
        <v>0</v>
      </c>
      <c r="J289">
        <f t="shared" si="79"/>
        <v>4588</v>
      </c>
      <c r="K289">
        <f t="shared" si="80"/>
        <v>1</v>
      </c>
      <c r="L289">
        <f t="shared" si="81"/>
        <v>16</v>
      </c>
      <c r="M289">
        <f t="shared" si="82"/>
        <v>28</v>
      </c>
      <c r="N289">
        <f t="shared" si="92"/>
        <v>0</v>
      </c>
      <c r="O289">
        <f t="shared" si="92"/>
        <v>1</v>
      </c>
      <c r="P289">
        <f t="shared" si="92"/>
        <v>15</v>
      </c>
      <c r="Q289">
        <f t="shared" si="87"/>
        <v>75</v>
      </c>
      <c r="R289">
        <f t="shared" si="88"/>
        <v>0</v>
      </c>
      <c r="S289">
        <f t="shared" si="89"/>
        <v>1</v>
      </c>
      <c r="T289">
        <f t="shared" si="90"/>
        <v>15</v>
      </c>
      <c r="U289">
        <f t="shared" si="91"/>
        <v>75</v>
      </c>
    </row>
    <row r="290" spans="2:21" hidden="1" x14ac:dyDescent="0.25">
      <c r="B290" t="b">
        <f t="shared" si="76"/>
        <v>0</v>
      </c>
      <c r="C290" t="b">
        <f t="shared" si="86"/>
        <v>0</v>
      </c>
      <c r="D290">
        <f t="shared" si="83"/>
        <v>1</v>
      </c>
      <c r="E290" t="str">
        <f t="shared" si="84"/>
        <v>6. Conclusion</v>
      </c>
      <c r="F290" s="8" t="str">
        <f t="shared" si="75"/>
        <v/>
      </c>
      <c r="G290" t="str">
        <f t="shared" si="77"/>
        <v/>
      </c>
      <c r="H290">
        <f t="shared" si="78"/>
        <v>0</v>
      </c>
      <c r="I290">
        <f t="shared" si="85"/>
        <v>0</v>
      </c>
      <c r="J290">
        <f t="shared" si="79"/>
        <v>4588</v>
      </c>
      <c r="K290">
        <f t="shared" si="80"/>
        <v>1</v>
      </c>
      <c r="L290">
        <f t="shared" si="81"/>
        <v>16</v>
      </c>
      <c r="M290">
        <f t="shared" si="82"/>
        <v>28</v>
      </c>
      <c r="N290">
        <f t="shared" si="92"/>
        <v>0</v>
      </c>
      <c r="O290">
        <f t="shared" si="92"/>
        <v>1</v>
      </c>
      <c r="P290">
        <f t="shared" si="92"/>
        <v>15</v>
      </c>
      <c r="Q290">
        <f t="shared" si="87"/>
        <v>75</v>
      </c>
      <c r="R290">
        <f t="shared" si="88"/>
        <v>0</v>
      </c>
      <c r="S290">
        <f t="shared" si="89"/>
        <v>1</v>
      </c>
      <c r="T290">
        <f t="shared" si="90"/>
        <v>15</v>
      </c>
      <c r="U290">
        <f t="shared" si="91"/>
        <v>75</v>
      </c>
    </row>
    <row r="291" spans="2:21" hidden="1" x14ac:dyDescent="0.25">
      <c r="B291" t="b">
        <f t="shared" si="76"/>
        <v>0</v>
      </c>
      <c r="C291" t="b">
        <f t="shared" si="86"/>
        <v>0</v>
      </c>
      <c r="D291">
        <f t="shared" si="83"/>
        <v>1</v>
      </c>
      <c r="E291" t="str">
        <f t="shared" si="84"/>
        <v>6. Conclusion</v>
      </c>
      <c r="F291" s="8" t="str">
        <f t="shared" si="75"/>
        <v/>
      </c>
      <c r="G291" t="str">
        <f t="shared" si="77"/>
        <v/>
      </c>
      <c r="H291">
        <f t="shared" si="78"/>
        <v>0</v>
      </c>
      <c r="I291">
        <f t="shared" si="85"/>
        <v>0</v>
      </c>
      <c r="J291">
        <f t="shared" si="79"/>
        <v>4588</v>
      </c>
      <c r="K291">
        <f t="shared" si="80"/>
        <v>1</v>
      </c>
      <c r="L291">
        <f t="shared" si="81"/>
        <v>16</v>
      </c>
      <c r="M291">
        <f t="shared" si="82"/>
        <v>28</v>
      </c>
      <c r="N291">
        <f t="shared" si="92"/>
        <v>0</v>
      </c>
      <c r="O291">
        <f t="shared" si="92"/>
        <v>1</v>
      </c>
      <c r="P291">
        <f t="shared" si="92"/>
        <v>15</v>
      </c>
      <c r="Q291">
        <f t="shared" si="87"/>
        <v>75</v>
      </c>
      <c r="R291">
        <f t="shared" si="88"/>
        <v>0</v>
      </c>
      <c r="S291">
        <f t="shared" si="89"/>
        <v>1</v>
      </c>
      <c r="T291">
        <f t="shared" si="90"/>
        <v>15</v>
      </c>
      <c r="U291">
        <f t="shared" si="91"/>
        <v>75</v>
      </c>
    </row>
    <row r="292" spans="2:21" hidden="1" x14ac:dyDescent="0.25">
      <c r="B292" t="b">
        <f t="shared" si="76"/>
        <v>0</v>
      </c>
      <c r="C292" t="b">
        <f t="shared" si="86"/>
        <v>0</v>
      </c>
      <c r="D292">
        <f t="shared" si="83"/>
        <v>1</v>
      </c>
      <c r="E292" t="str">
        <f t="shared" si="84"/>
        <v>6. Conclusion</v>
      </c>
      <c r="F292" s="8" t="str">
        <f t="shared" si="75"/>
        <v/>
      </c>
      <c r="G292" t="str">
        <f t="shared" si="77"/>
        <v/>
      </c>
      <c r="H292">
        <f t="shared" si="78"/>
        <v>0</v>
      </c>
      <c r="I292">
        <f t="shared" si="85"/>
        <v>0</v>
      </c>
      <c r="J292">
        <f t="shared" si="79"/>
        <v>4588</v>
      </c>
      <c r="K292">
        <f t="shared" si="80"/>
        <v>1</v>
      </c>
      <c r="L292">
        <f t="shared" si="81"/>
        <v>16</v>
      </c>
      <c r="M292">
        <f t="shared" si="82"/>
        <v>28</v>
      </c>
      <c r="N292">
        <f t="shared" si="92"/>
        <v>0</v>
      </c>
      <c r="O292">
        <f t="shared" si="92"/>
        <v>1</v>
      </c>
      <c r="P292">
        <f t="shared" si="92"/>
        <v>15</v>
      </c>
      <c r="Q292">
        <f t="shared" si="87"/>
        <v>75</v>
      </c>
      <c r="R292">
        <f t="shared" si="88"/>
        <v>0</v>
      </c>
      <c r="S292">
        <f t="shared" si="89"/>
        <v>1</v>
      </c>
      <c r="T292">
        <f t="shared" si="90"/>
        <v>15</v>
      </c>
      <c r="U292">
        <f t="shared" si="91"/>
        <v>75</v>
      </c>
    </row>
    <row r="293" spans="2:21" hidden="1" x14ac:dyDescent="0.25">
      <c r="B293" t="b">
        <f t="shared" si="76"/>
        <v>0</v>
      </c>
      <c r="C293" t="b">
        <f t="shared" si="86"/>
        <v>0</v>
      </c>
      <c r="D293">
        <f t="shared" si="83"/>
        <v>1</v>
      </c>
      <c r="E293" t="str">
        <f t="shared" si="84"/>
        <v>6. Conclusion</v>
      </c>
      <c r="F293" s="8" t="str">
        <f t="shared" si="75"/>
        <v/>
      </c>
      <c r="G293" t="str">
        <f t="shared" si="77"/>
        <v/>
      </c>
      <c r="H293">
        <f t="shared" si="78"/>
        <v>0</v>
      </c>
      <c r="I293">
        <f t="shared" si="85"/>
        <v>0</v>
      </c>
      <c r="J293">
        <f t="shared" si="79"/>
        <v>4588</v>
      </c>
      <c r="K293">
        <f t="shared" si="80"/>
        <v>1</v>
      </c>
      <c r="L293">
        <f t="shared" si="81"/>
        <v>16</v>
      </c>
      <c r="M293">
        <f t="shared" si="82"/>
        <v>28</v>
      </c>
      <c r="N293">
        <f t="shared" si="92"/>
        <v>0</v>
      </c>
      <c r="O293">
        <f t="shared" si="92"/>
        <v>1</v>
      </c>
      <c r="P293">
        <f t="shared" si="92"/>
        <v>15</v>
      </c>
      <c r="Q293">
        <f t="shared" si="87"/>
        <v>75</v>
      </c>
      <c r="R293">
        <f t="shared" si="88"/>
        <v>0</v>
      </c>
      <c r="S293">
        <f t="shared" si="89"/>
        <v>1</v>
      </c>
      <c r="T293">
        <f t="shared" si="90"/>
        <v>15</v>
      </c>
      <c r="U293">
        <f t="shared" si="91"/>
        <v>75</v>
      </c>
    </row>
    <row r="294" spans="2:21" hidden="1" x14ac:dyDescent="0.25">
      <c r="B294" t="b">
        <f t="shared" si="76"/>
        <v>0</v>
      </c>
      <c r="C294" t="b">
        <f t="shared" si="86"/>
        <v>0</v>
      </c>
      <c r="D294">
        <f t="shared" si="83"/>
        <v>1</v>
      </c>
      <c r="E294" t="str">
        <f t="shared" si="84"/>
        <v>6. Conclusion</v>
      </c>
      <c r="F294" s="8" t="str">
        <f t="shared" si="75"/>
        <v/>
      </c>
      <c r="G294" t="str">
        <f t="shared" si="77"/>
        <v/>
      </c>
      <c r="H294">
        <f t="shared" si="78"/>
        <v>0</v>
      </c>
      <c r="I294">
        <f t="shared" si="85"/>
        <v>0</v>
      </c>
      <c r="J294">
        <f t="shared" si="79"/>
        <v>4588</v>
      </c>
      <c r="K294">
        <f t="shared" si="80"/>
        <v>1</v>
      </c>
      <c r="L294">
        <f t="shared" si="81"/>
        <v>16</v>
      </c>
      <c r="M294">
        <f t="shared" si="82"/>
        <v>28</v>
      </c>
      <c r="N294">
        <f t="shared" si="92"/>
        <v>0</v>
      </c>
      <c r="O294">
        <f t="shared" si="92"/>
        <v>1</v>
      </c>
      <c r="P294">
        <f t="shared" si="92"/>
        <v>15</v>
      </c>
      <c r="Q294">
        <f t="shared" si="87"/>
        <v>75</v>
      </c>
      <c r="R294">
        <f t="shared" si="88"/>
        <v>0</v>
      </c>
      <c r="S294">
        <f t="shared" si="89"/>
        <v>1</v>
      </c>
      <c r="T294">
        <f t="shared" si="90"/>
        <v>15</v>
      </c>
      <c r="U294">
        <f t="shared" si="91"/>
        <v>75</v>
      </c>
    </row>
    <row r="295" spans="2:21" hidden="1" x14ac:dyDescent="0.25">
      <c r="B295" t="b">
        <f t="shared" si="76"/>
        <v>0</v>
      </c>
      <c r="C295" t="b">
        <f t="shared" si="86"/>
        <v>0</v>
      </c>
      <c r="D295">
        <f t="shared" si="83"/>
        <v>1</v>
      </c>
      <c r="E295" t="str">
        <f t="shared" si="84"/>
        <v>6. Conclusion</v>
      </c>
      <c r="F295" s="8" t="str">
        <f t="shared" si="75"/>
        <v/>
      </c>
      <c r="G295" t="str">
        <f t="shared" si="77"/>
        <v/>
      </c>
      <c r="H295">
        <f t="shared" si="78"/>
        <v>0</v>
      </c>
      <c r="I295">
        <f t="shared" si="85"/>
        <v>0</v>
      </c>
      <c r="J295">
        <f t="shared" si="79"/>
        <v>4588</v>
      </c>
      <c r="K295">
        <f t="shared" si="80"/>
        <v>1</v>
      </c>
      <c r="L295">
        <f t="shared" si="81"/>
        <v>16</v>
      </c>
      <c r="M295">
        <f t="shared" si="82"/>
        <v>28</v>
      </c>
      <c r="N295">
        <f t="shared" si="92"/>
        <v>0</v>
      </c>
      <c r="O295">
        <f t="shared" si="92"/>
        <v>1</v>
      </c>
      <c r="P295">
        <f t="shared" si="92"/>
        <v>15</v>
      </c>
      <c r="Q295">
        <f t="shared" si="87"/>
        <v>75</v>
      </c>
      <c r="R295">
        <f t="shared" si="88"/>
        <v>0</v>
      </c>
      <c r="S295">
        <f t="shared" si="89"/>
        <v>1</v>
      </c>
      <c r="T295">
        <f t="shared" si="90"/>
        <v>15</v>
      </c>
      <c r="U295">
        <f t="shared" si="91"/>
        <v>75</v>
      </c>
    </row>
    <row r="296" spans="2:21" hidden="1" x14ac:dyDescent="0.25">
      <c r="B296" t="b">
        <f t="shared" si="76"/>
        <v>0</v>
      </c>
      <c r="C296" t="b">
        <f t="shared" si="86"/>
        <v>0</v>
      </c>
      <c r="D296">
        <f t="shared" si="83"/>
        <v>1</v>
      </c>
      <c r="E296" t="str">
        <f t="shared" si="84"/>
        <v>6. Conclusion</v>
      </c>
      <c r="F296" s="8" t="str">
        <f t="shared" ref="F296:F359" si="93">SUBSTITUTE(IF(C296,D296&amp;". "&amp;A296,""),":"," -")</f>
        <v/>
      </c>
      <c r="G296" t="str">
        <f t="shared" si="77"/>
        <v/>
      </c>
      <c r="H296">
        <f t="shared" si="78"/>
        <v>0</v>
      </c>
      <c r="I296">
        <f t="shared" si="85"/>
        <v>0</v>
      </c>
      <c r="J296">
        <f t="shared" si="79"/>
        <v>4588</v>
      </c>
      <c r="K296">
        <f t="shared" si="80"/>
        <v>1</v>
      </c>
      <c r="L296">
        <f t="shared" si="81"/>
        <v>16</v>
      </c>
      <c r="M296">
        <f t="shared" si="82"/>
        <v>28</v>
      </c>
      <c r="N296">
        <f t="shared" si="92"/>
        <v>0</v>
      </c>
      <c r="O296">
        <f t="shared" si="92"/>
        <v>1</v>
      </c>
      <c r="P296">
        <f t="shared" si="92"/>
        <v>15</v>
      </c>
      <c r="Q296">
        <f t="shared" si="87"/>
        <v>75</v>
      </c>
      <c r="R296">
        <f t="shared" si="88"/>
        <v>0</v>
      </c>
      <c r="S296">
        <f t="shared" si="89"/>
        <v>1</v>
      </c>
      <c r="T296">
        <f t="shared" si="90"/>
        <v>15</v>
      </c>
      <c r="U296">
        <f t="shared" si="91"/>
        <v>75</v>
      </c>
    </row>
    <row r="297" spans="2:21" hidden="1" x14ac:dyDescent="0.25">
      <c r="B297" t="b">
        <f t="shared" si="76"/>
        <v>0</v>
      </c>
      <c r="C297" t="b">
        <f t="shared" si="86"/>
        <v>0</v>
      </c>
      <c r="D297">
        <f t="shared" si="83"/>
        <v>1</v>
      </c>
      <c r="E297" t="str">
        <f t="shared" si="84"/>
        <v>6. Conclusion</v>
      </c>
      <c r="F297" s="8" t="str">
        <f t="shared" si="93"/>
        <v/>
      </c>
      <c r="G297" t="str">
        <f t="shared" si="77"/>
        <v/>
      </c>
      <c r="H297">
        <f t="shared" si="78"/>
        <v>0</v>
      </c>
      <c r="I297">
        <f t="shared" si="85"/>
        <v>0</v>
      </c>
      <c r="J297">
        <f t="shared" si="79"/>
        <v>4588</v>
      </c>
      <c r="K297">
        <f t="shared" si="80"/>
        <v>1</v>
      </c>
      <c r="L297">
        <f t="shared" si="81"/>
        <v>16</v>
      </c>
      <c r="M297">
        <f t="shared" si="82"/>
        <v>28</v>
      </c>
      <c r="N297">
        <f t="shared" si="92"/>
        <v>0</v>
      </c>
      <c r="O297">
        <f t="shared" si="92"/>
        <v>1</v>
      </c>
      <c r="P297">
        <f t="shared" si="92"/>
        <v>15</v>
      </c>
      <c r="Q297">
        <f t="shared" si="87"/>
        <v>75</v>
      </c>
      <c r="R297">
        <f t="shared" si="88"/>
        <v>0</v>
      </c>
      <c r="S297">
        <f t="shared" si="89"/>
        <v>1</v>
      </c>
      <c r="T297">
        <f t="shared" si="90"/>
        <v>15</v>
      </c>
      <c r="U297">
        <f t="shared" si="91"/>
        <v>75</v>
      </c>
    </row>
    <row r="298" spans="2:21" hidden="1" x14ac:dyDescent="0.25">
      <c r="B298" t="b">
        <f t="shared" si="76"/>
        <v>0</v>
      </c>
      <c r="C298" t="b">
        <f t="shared" si="86"/>
        <v>0</v>
      </c>
      <c r="D298">
        <f t="shared" si="83"/>
        <v>1</v>
      </c>
      <c r="E298" t="str">
        <f t="shared" si="84"/>
        <v>6. Conclusion</v>
      </c>
      <c r="F298" s="8" t="str">
        <f t="shared" si="93"/>
        <v/>
      </c>
      <c r="G298" t="str">
        <f t="shared" si="77"/>
        <v/>
      </c>
      <c r="H298">
        <f t="shared" si="78"/>
        <v>0</v>
      </c>
      <c r="I298">
        <f t="shared" si="85"/>
        <v>0</v>
      </c>
      <c r="J298">
        <f t="shared" si="79"/>
        <v>4588</v>
      </c>
      <c r="K298">
        <f t="shared" si="80"/>
        <v>1</v>
      </c>
      <c r="L298">
        <f t="shared" si="81"/>
        <v>16</v>
      </c>
      <c r="M298">
        <f t="shared" si="82"/>
        <v>28</v>
      </c>
      <c r="N298">
        <f t="shared" si="92"/>
        <v>0</v>
      </c>
      <c r="O298">
        <f t="shared" si="92"/>
        <v>1</v>
      </c>
      <c r="P298">
        <f t="shared" si="92"/>
        <v>15</v>
      </c>
      <c r="Q298">
        <f t="shared" si="87"/>
        <v>75</v>
      </c>
      <c r="R298">
        <f t="shared" si="88"/>
        <v>0</v>
      </c>
      <c r="S298">
        <f t="shared" si="89"/>
        <v>1</v>
      </c>
      <c r="T298">
        <f t="shared" si="90"/>
        <v>15</v>
      </c>
      <c r="U298">
        <f t="shared" si="91"/>
        <v>75</v>
      </c>
    </row>
    <row r="299" spans="2:21" hidden="1" x14ac:dyDescent="0.25">
      <c r="B299" t="b">
        <f t="shared" si="76"/>
        <v>0</v>
      </c>
      <c r="C299" t="b">
        <f t="shared" si="86"/>
        <v>0</v>
      </c>
      <c r="D299">
        <f t="shared" si="83"/>
        <v>1</v>
      </c>
      <c r="E299" t="str">
        <f t="shared" si="84"/>
        <v>6. Conclusion</v>
      </c>
      <c r="F299" s="8" t="str">
        <f t="shared" si="93"/>
        <v/>
      </c>
      <c r="G299" t="str">
        <f t="shared" si="77"/>
        <v/>
      </c>
      <c r="H299">
        <f t="shared" si="78"/>
        <v>0</v>
      </c>
      <c r="I299">
        <f t="shared" si="85"/>
        <v>0</v>
      </c>
      <c r="J299">
        <f t="shared" si="79"/>
        <v>4588</v>
      </c>
      <c r="K299">
        <f t="shared" si="80"/>
        <v>1</v>
      </c>
      <c r="L299">
        <f t="shared" si="81"/>
        <v>16</v>
      </c>
      <c r="M299">
        <f t="shared" si="82"/>
        <v>28</v>
      </c>
      <c r="N299">
        <f t="shared" si="92"/>
        <v>0</v>
      </c>
      <c r="O299">
        <f t="shared" si="92"/>
        <v>1</v>
      </c>
      <c r="P299">
        <f t="shared" si="92"/>
        <v>15</v>
      </c>
      <c r="Q299">
        <f t="shared" si="87"/>
        <v>75</v>
      </c>
      <c r="R299">
        <f t="shared" si="88"/>
        <v>0</v>
      </c>
      <c r="S299">
        <f t="shared" si="89"/>
        <v>1</v>
      </c>
      <c r="T299">
        <f t="shared" si="90"/>
        <v>15</v>
      </c>
      <c r="U299">
        <f t="shared" si="91"/>
        <v>75</v>
      </c>
    </row>
    <row r="300" spans="2:21" hidden="1" x14ac:dyDescent="0.25">
      <c r="B300" t="b">
        <f t="shared" si="76"/>
        <v>0</v>
      </c>
      <c r="C300" t="b">
        <f t="shared" si="86"/>
        <v>0</v>
      </c>
      <c r="D300">
        <f t="shared" si="83"/>
        <v>1</v>
      </c>
      <c r="E300" t="str">
        <f t="shared" si="84"/>
        <v>6. Conclusion</v>
      </c>
      <c r="F300" s="8" t="str">
        <f t="shared" si="93"/>
        <v/>
      </c>
      <c r="G300" t="str">
        <f t="shared" si="77"/>
        <v/>
      </c>
      <c r="H300">
        <f t="shared" si="78"/>
        <v>0</v>
      </c>
      <c r="I300">
        <f t="shared" si="85"/>
        <v>0</v>
      </c>
      <c r="J300">
        <f t="shared" si="79"/>
        <v>4588</v>
      </c>
      <c r="K300">
        <f t="shared" si="80"/>
        <v>1</v>
      </c>
      <c r="L300">
        <f t="shared" si="81"/>
        <v>16</v>
      </c>
      <c r="M300">
        <f t="shared" si="82"/>
        <v>28</v>
      </c>
      <c r="N300">
        <f t="shared" si="92"/>
        <v>0</v>
      </c>
      <c r="O300">
        <f t="shared" si="92"/>
        <v>1</v>
      </c>
      <c r="P300">
        <f t="shared" si="92"/>
        <v>15</v>
      </c>
      <c r="Q300">
        <f t="shared" si="87"/>
        <v>75</v>
      </c>
      <c r="R300">
        <f t="shared" si="88"/>
        <v>0</v>
      </c>
      <c r="S300">
        <f t="shared" si="89"/>
        <v>1</v>
      </c>
      <c r="T300">
        <f t="shared" si="90"/>
        <v>15</v>
      </c>
      <c r="U300">
        <f t="shared" si="91"/>
        <v>75</v>
      </c>
    </row>
    <row r="301" spans="2:21" hidden="1" x14ac:dyDescent="0.25">
      <c r="B301" t="b">
        <f t="shared" si="76"/>
        <v>0</v>
      </c>
      <c r="C301" t="b">
        <f t="shared" si="86"/>
        <v>0</v>
      </c>
      <c r="D301">
        <f t="shared" si="83"/>
        <v>1</v>
      </c>
      <c r="E301" t="str">
        <f t="shared" si="84"/>
        <v>6. Conclusion</v>
      </c>
      <c r="F301" s="8" t="str">
        <f t="shared" si="93"/>
        <v/>
      </c>
      <c r="G301" t="str">
        <f t="shared" si="77"/>
        <v/>
      </c>
      <c r="H301">
        <f t="shared" si="78"/>
        <v>0</v>
      </c>
      <c r="I301">
        <f t="shared" si="85"/>
        <v>0</v>
      </c>
      <c r="J301">
        <f t="shared" si="79"/>
        <v>4588</v>
      </c>
      <c r="K301">
        <f t="shared" si="80"/>
        <v>1</v>
      </c>
      <c r="L301">
        <f t="shared" si="81"/>
        <v>16</v>
      </c>
      <c r="M301">
        <f t="shared" si="82"/>
        <v>28</v>
      </c>
      <c r="N301">
        <f t="shared" si="92"/>
        <v>0</v>
      </c>
      <c r="O301">
        <f t="shared" si="92"/>
        <v>1</v>
      </c>
      <c r="P301">
        <f t="shared" si="92"/>
        <v>15</v>
      </c>
      <c r="Q301">
        <f t="shared" si="87"/>
        <v>75</v>
      </c>
      <c r="R301">
        <f t="shared" si="88"/>
        <v>0</v>
      </c>
      <c r="S301">
        <f t="shared" si="89"/>
        <v>1</v>
      </c>
      <c r="T301">
        <f t="shared" si="90"/>
        <v>15</v>
      </c>
      <c r="U301">
        <f t="shared" si="91"/>
        <v>75</v>
      </c>
    </row>
    <row r="302" spans="2:21" hidden="1" x14ac:dyDescent="0.25">
      <c r="B302" t="b">
        <f t="shared" si="76"/>
        <v>0</v>
      </c>
      <c r="C302" t="b">
        <f t="shared" si="86"/>
        <v>0</v>
      </c>
      <c r="D302">
        <f t="shared" si="83"/>
        <v>1</v>
      </c>
      <c r="E302" t="str">
        <f t="shared" si="84"/>
        <v>6. Conclusion</v>
      </c>
      <c r="F302" s="8" t="str">
        <f t="shared" si="93"/>
        <v/>
      </c>
      <c r="G302" t="str">
        <f t="shared" si="77"/>
        <v/>
      </c>
      <c r="H302">
        <f t="shared" si="78"/>
        <v>0</v>
      </c>
      <c r="I302">
        <f t="shared" si="85"/>
        <v>0</v>
      </c>
      <c r="J302">
        <f t="shared" si="79"/>
        <v>4588</v>
      </c>
      <c r="K302">
        <f t="shared" si="80"/>
        <v>1</v>
      </c>
      <c r="L302">
        <f t="shared" si="81"/>
        <v>16</v>
      </c>
      <c r="M302">
        <f t="shared" si="82"/>
        <v>28</v>
      </c>
      <c r="N302">
        <f t="shared" si="92"/>
        <v>0</v>
      </c>
      <c r="O302">
        <f t="shared" si="92"/>
        <v>1</v>
      </c>
      <c r="P302">
        <f t="shared" si="92"/>
        <v>15</v>
      </c>
      <c r="Q302">
        <f t="shared" si="87"/>
        <v>75</v>
      </c>
      <c r="R302">
        <f t="shared" si="88"/>
        <v>0</v>
      </c>
      <c r="S302">
        <f t="shared" si="89"/>
        <v>1</v>
      </c>
      <c r="T302">
        <f t="shared" si="90"/>
        <v>15</v>
      </c>
      <c r="U302">
        <f t="shared" si="91"/>
        <v>75</v>
      </c>
    </row>
    <row r="303" spans="2:21" hidden="1" x14ac:dyDescent="0.25">
      <c r="B303" t="b">
        <f t="shared" si="76"/>
        <v>0</v>
      </c>
      <c r="C303" t="b">
        <f t="shared" si="86"/>
        <v>0</v>
      </c>
      <c r="D303">
        <f t="shared" si="83"/>
        <v>1</v>
      </c>
      <c r="E303" t="str">
        <f t="shared" si="84"/>
        <v>6. Conclusion</v>
      </c>
      <c r="F303" s="8" t="str">
        <f t="shared" si="93"/>
        <v/>
      </c>
      <c r="G303" t="str">
        <f t="shared" si="77"/>
        <v/>
      </c>
      <c r="H303">
        <f t="shared" si="78"/>
        <v>0</v>
      </c>
      <c r="I303">
        <f t="shared" si="85"/>
        <v>0</v>
      </c>
      <c r="J303">
        <f t="shared" si="79"/>
        <v>4588</v>
      </c>
      <c r="K303">
        <f t="shared" si="80"/>
        <v>1</v>
      </c>
      <c r="L303">
        <f t="shared" si="81"/>
        <v>16</v>
      </c>
      <c r="M303">
        <f t="shared" si="82"/>
        <v>28</v>
      </c>
      <c r="N303">
        <f t="shared" si="92"/>
        <v>0</v>
      </c>
      <c r="O303">
        <f t="shared" si="92"/>
        <v>1</v>
      </c>
      <c r="P303">
        <f t="shared" si="92"/>
        <v>15</v>
      </c>
      <c r="Q303">
        <f t="shared" si="87"/>
        <v>75</v>
      </c>
      <c r="R303">
        <f t="shared" si="88"/>
        <v>0</v>
      </c>
      <c r="S303">
        <f t="shared" si="89"/>
        <v>1</v>
      </c>
      <c r="T303">
        <f t="shared" si="90"/>
        <v>15</v>
      </c>
      <c r="U303">
        <f t="shared" si="91"/>
        <v>75</v>
      </c>
    </row>
    <row r="304" spans="2:21" hidden="1" x14ac:dyDescent="0.25">
      <c r="B304" t="b">
        <f t="shared" si="76"/>
        <v>0</v>
      </c>
      <c r="C304" t="b">
        <f t="shared" si="86"/>
        <v>0</v>
      </c>
      <c r="D304">
        <f t="shared" si="83"/>
        <v>1</v>
      </c>
      <c r="E304" t="str">
        <f t="shared" si="84"/>
        <v>6. Conclusion</v>
      </c>
      <c r="F304" s="8" t="str">
        <f t="shared" si="93"/>
        <v/>
      </c>
      <c r="G304" t="str">
        <f t="shared" si="77"/>
        <v/>
      </c>
      <c r="H304">
        <f t="shared" si="78"/>
        <v>0</v>
      </c>
      <c r="I304">
        <f t="shared" si="85"/>
        <v>0</v>
      </c>
      <c r="J304">
        <f t="shared" si="79"/>
        <v>4588</v>
      </c>
      <c r="K304">
        <f t="shared" si="80"/>
        <v>1</v>
      </c>
      <c r="L304">
        <f t="shared" si="81"/>
        <v>16</v>
      </c>
      <c r="M304">
        <f t="shared" si="82"/>
        <v>28</v>
      </c>
      <c r="N304">
        <f t="shared" si="92"/>
        <v>0</v>
      </c>
      <c r="O304">
        <f t="shared" si="92"/>
        <v>1</v>
      </c>
      <c r="P304">
        <f t="shared" si="92"/>
        <v>15</v>
      </c>
      <c r="Q304">
        <f t="shared" si="87"/>
        <v>75</v>
      </c>
      <c r="R304">
        <f t="shared" si="88"/>
        <v>0</v>
      </c>
      <c r="S304">
        <f t="shared" si="89"/>
        <v>1</v>
      </c>
      <c r="T304">
        <f t="shared" si="90"/>
        <v>15</v>
      </c>
      <c r="U304">
        <f t="shared" si="91"/>
        <v>75</v>
      </c>
    </row>
    <row r="305" spans="2:21" hidden="1" x14ac:dyDescent="0.25">
      <c r="B305" t="b">
        <f t="shared" si="76"/>
        <v>0</v>
      </c>
      <c r="C305" t="b">
        <f t="shared" si="86"/>
        <v>0</v>
      </c>
      <c r="D305">
        <f t="shared" si="83"/>
        <v>1</v>
      </c>
      <c r="E305" t="str">
        <f t="shared" si="84"/>
        <v>6. Conclusion</v>
      </c>
      <c r="F305" s="8" t="str">
        <f t="shared" si="93"/>
        <v/>
      </c>
      <c r="G305" t="str">
        <f t="shared" si="77"/>
        <v/>
      </c>
      <c r="H305">
        <f t="shared" si="78"/>
        <v>0</v>
      </c>
      <c r="I305">
        <f t="shared" si="85"/>
        <v>0</v>
      </c>
      <c r="J305">
        <f t="shared" si="79"/>
        <v>4588</v>
      </c>
      <c r="K305">
        <f t="shared" si="80"/>
        <v>1</v>
      </c>
      <c r="L305">
        <f t="shared" si="81"/>
        <v>16</v>
      </c>
      <c r="M305">
        <f t="shared" si="82"/>
        <v>28</v>
      </c>
      <c r="N305">
        <f t="shared" si="92"/>
        <v>0</v>
      </c>
      <c r="O305">
        <f t="shared" si="92"/>
        <v>1</v>
      </c>
      <c r="P305">
        <f t="shared" si="92"/>
        <v>15</v>
      </c>
      <c r="Q305">
        <f t="shared" si="87"/>
        <v>75</v>
      </c>
      <c r="R305">
        <f t="shared" si="88"/>
        <v>0</v>
      </c>
      <c r="S305">
        <f t="shared" si="89"/>
        <v>1</v>
      </c>
      <c r="T305">
        <f t="shared" si="90"/>
        <v>15</v>
      </c>
      <c r="U305">
        <f t="shared" si="91"/>
        <v>75</v>
      </c>
    </row>
    <row r="306" spans="2:21" hidden="1" x14ac:dyDescent="0.25">
      <c r="B306" t="b">
        <f t="shared" si="76"/>
        <v>0</v>
      </c>
      <c r="C306" t="b">
        <f t="shared" si="86"/>
        <v>0</v>
      </c>
      <c r="D306">
        <f t="shared" si="83"/>
        <v>1</v>
      </c>
      <c r="E306" t="str">
        <f t="shared" si="84"/>
        <v>6. Conclusion</v>
      </c>
      <c r="F306" s="8" t="str">
        <f t="shared" si="93"/>
        <v/>
      </c>
      <c r="G306" t="str">
        <f t="shared" si="77"/>
        <v/>
      </c>
      <c r="H306">
        <f t="shared" si="78"/>
        <v>0</v>
      </c>
      <c r="I306">
        <f t="shared" si="85"/>
        <v>0</v>
      </c>
      <c r="J306">
        <f t="shared" si="79"/>
        <v>4588</v>
      </c>
      <c r="K306">
        <f t="shared" si="80"/>
        <v>1</v>
      </c>
      <c r="L306">
        <f t="shared" si="81"/>
        <v>16</v>
      </c>
      <c r="M306">
        <f t="shared" si="82"/>
        <v>28</v>
      </c>
      <c r="N306">
        <f t="shared" si="92"/>
        <v>0</v>
      </c>
      <c r="O306">
        <f t="shared" si="92"/>
        <v>1</v>
      </c>
      <c r="P306">
        <f t="shared" si="92"/>
        <v>15</v>
      </c>
      <c r="Q306">
        <f t="shared" si="87"/>
        <v>75</v>
      </c>
      <c r="R306">
        <f t="shared" si="88"/>
        <v>0</v>
      </c>
      <c r="S306">
        <f t="shared" si="89"/>
        <v>1</v>
      </c>
      <c r="T306">
        <f t="shared" si="90"/>
        <v>15</v>
      </c>
      <c r="U306">
        <f t="shared" si="91"/>
        <v>75</v>
      </c>
    </row>
    <row r="307" spans="2:21" hidden="1" x14ac:dyDescent="0.25">
      <c r="B307" t="b">
        <f t="shared" si="76"/>
        <v>0</v>
      </c>
      <c r="C307" t="b">
        <f t="shared" si="86"/>
        <v>0</v>
      </c>
      <c r="D307">
        <f t="shared" si="83"/>
        <v>1</v>
      </c>
      <c r="E307" t="str">
        <f t="shared" si="84"/>
        <v>6. Conclusion</v>
      </c>
      <c r="F307" s="8" t="str">
        <f t="shared" si="93"/>
        <v/>
      </c>
      <c r="G307" t="str">
        <f t="shared" si="77"/>
        <v/>
      </c>
      <c r="H307">
        <f t="shared" si="78"/>
        <v>0</v>
      </c>
      <c r="I307">
        <f t="shared" si="85"/>
        <v>0</v>
      </c>
      <c r="J307">
        <f t="shared" si="79"/>
        <v>4588</v>
      </c>
      <c r="K307">
        <f t="shared" si="80"/>
        <v>1</v>
      </c>
      <c r="L307">
        <f t="shared" si="81"/>
        <v>16</v>
      </c>
      <c r="M307">
        <f t="shared" si="82"/>
        <v>28</v>
      </c>
      <c r="N307">
        <f t="shared" si="92"/>
        <v>0</v>
      </c>
      <c r="O307">
        <f t="shared" si="92"/>
        <v>1</v>
      </c>
      <c r="P307">
        <f t="shared" si="92"/>
        <v>15</v>
      </c>
      <c r="Q307">
        <f t="shared" si="87"/>
        <v>75</v>
      </c>
      <c r="R307">
        <f t="shared" si="88"/>
        <v>0</v>
      </c>
      <c r="S307">
        <f t="shared" si="89"/>
        <v>1</v>
      </c>
      <c r="T307">
        <f t="shared" si="90"/>
        <v>15</v>
      </c>
      <c r="U307">
        <f t="shared" si="91"/>
        <v>75</v>
      </c>
    </row>
    <row r="308" spans="2:21" hidden="1" x14ac:dyDescent="0.25">
      <c r="B308" t="b">
        <f t="shared" si="76"/>
        <v>0</v>
      </c>
      <c r="C308" t="b">
        <f t="shared" si="86"/>
        <v>0</v>
      </c>
      <c r="D308">
        <f t="shared" si="83"/>
        <v>1</v>
      </c>
      <c r="E308" t="str">
        <f t="shared" si="84"/>
        <v>6. Conclusion</v>
      </c>
      <c r="F308" s="8" t="str">
        <f t="shared" si="93"/>
        <v/>
      </c>
      <c r="G308" t="str">
        <f t="shared" si="77"/>
        <v/>
      </c>
      <c r="H308">
        <f t="shared" si="78"/>
        <v>0</v>
      </c>
      <c r="I308">
        <f t="shared" si="85"/>
        <v>0</v>
      </c>
      <c r="J308">
        <f t="shared" si="79"/>
        <v>4588</v>
      </c>
      <c r="K308">
        <f t="shared" si="80"/>
        <v>1</v>
      </c>
      <c r="L308">
        <f t="shared" si="81"/>
        <v>16</v>
      </c>
      <c r="M308">
        <f t="shared" si="82"/>
        <v>28</v>
      </c>
      <c r="N308">
        <f t="shared" si="92"/>
        <v>0</v>
      </c>
      <c r="O308">
        <f t="shared" si="92"/>
        <v>1</v>
      </c>
      <c r="P308">
        <f t="shared" si="92"/>
        <v>15</v>
      </c>
      <c r="Q308">
        <f t="shared" si="87"/>
        <v>75</v>
      </c>
      <c r="R308">
        <f t="shared" si="88"/>
        <v>0</v>
      </c>
      <c r="S308">
        <f t="shared" si="89"/>
        <v>1</v>
      </c>
      <c r="T308">
        <f t="shared" si="90"/>
        <v>15</v>
      </c>
      <c r="U308">
        <f t="shared" si="91"/>
        <v>75</v>
      </c>
    </row>
    <row r="309" spans="2:21" hidden="1" x14ac:dyDescent="0.25">
      <c r="B309" t="b">
        <f t="shared" si="76"/>
        <v>0</v>
      </c>
      <c r="C309" t="b">
        <f t="shared" si="86"/>
        <v>0</v>
      </c>
      <c r="D309">
        <f t="shared" si="83"/>
        <v>1</v>
      </c>
      <c r="E309" t="str">
        <f t="shared" si="84"/>
        <v>6. Conclusion</v>
      </c>
      <c r="F309" s="8" t="str">
        <f t="shared" si="93"/>
        <v/>
      </c>
      <c r="G309" t="str">
        <f t="shared" si="77"/>
        <v/>
      </c>
      <c r="H309">
        <f t="shared" si="78"/>
        <v>0</v>
      </c>
      <c r="I309">
        <f t="shared" si="85"/>
        <v>0</v>
      </c>
      <c r="J309">
        <f t="shared" si="79"/>
        <v>4588</v>
      </c>
      <c r="K309">
        <f t="shared" si="80"/>
        <v>1</v>
      </c>
      <c r="L309">
        <f t="shared" si="81"/>
        <v>16</v>
      </c>
      <c r="M309">
        <f t="shared" si="82"/>
        <v>28</v>
      </c>
      <c r="N309">
        <f t="shared" si="92"/>
        <v>0</v>
      </c>
      <c r="O309">
        <f t="shared" si="92"/>
        <v>1</v>
      </c>
      <c r="P309">
        <f t="shared" si="92"/>
        <v>15</v>
      </c>
      <c r="Q309">
        <f t="shared" si="87"/>
        <v>75</v>
      </c>
      <c r="R309">
        <f t="shared" si="88"/>
        <v>0</v>
      </c>
      <c r="S309">
        <f t="shared" si="89"/>
        <v>1</v>
      </c>
      <c r="T309">
        <f t="shared" si="90"/>
        <v>15</v>
      </c>
      <c r="U309">
        <f t="shared" si="91"/>
        <v>75</v>
      </c>
    </row>
    <row r="310" spans="2:21" hidden="1" x14ac:dyDescent="0.25">
      <c r="B310" t="b">
        <f t="shared" si="76"/>
        <v>0</v>
      </c>
      <c r="C310" t="b">
        <f t="shared" si="86"/>
        <v>0</v>
      </c>
      <c r="D310">
        <f t="shared" si="83"/>
        <v>1</v>
      </c>
      <c r="E310" t="str">
        <f t="shared" si="84"/>
        <v>6. Conclusion</v>
      </c>
      <c r="F310" s="8" t="str">
        <f t="shared" si="93"/>
        <v/>
      </c>
      <c r="G310" t="str">
        <f t="shared" si="77"/>
        <v/>
      </c>
      <c r="H310">
        <f t="shared" si="78"/>
        <v>0</v>
      </c>
      <c r="I310">
        <f t="shared" si="85"/>
        <v>0</v>
      </c>
      <c r="J310">
        <f t="shared" si="79"/>
        <v>4588</v>
      </c>
      <c r="K310">
        <f t="shared" si="80"/>
        <v>1</v>
      </c>
      <c r="L310">
        <f t="shared" si="81"/>
        <v>16</v>
      </c>
      <c r="M310">
        <f t="shared" si="82"/>
        <v>28</v>
      </c>
      <c r="N310">
        <f t="shared" si="92"/>
        <v>0</v>
      </c>
      <c r="O310">
        <f t="shared" si="92"/>
        <v>1</v>
      </c>
      <c r="P310">
        <f t="shared" si="92"/>
        <v>15</v>
      </c>
      <c r="Q310">
        <f t="shared" si="87"/>
        <v>75</v>
      </c>
      <c r="R310">
        <f t="shared" si="88"/>
        <v>0</v>
      </c>
      <c r="S310">
        <f t="shared" si="89"/>
        <v>1</v>
      </c>
      <c r="T310">
        <f t="shared" si="90"/>
        <v>15</v>
      </c>
      <c r="U310">
        <f t="shared" si="91"/>
        <v>75</v>
      </c>
    </row>
    <row r="311" spans="2:21" hidden="1" x14ac:dyDescent="0.25">
      <c r="B311" t="b">
        <f t="shared" si="76"/>
        <v>0</v>
      </c>
      <c r="C311" t="b">
        <f t="shared" si="86"/>
        <v>0</v>
      </c>
      <c r="D311">
        <f t="shared" si="83"/>
        <v>1</v>
      </c>
      <c r="E311" t="str">
        <f t="shared" si="84"/>
        <v>6. Conclusion</v>
      </c>
      <c r="F311" s="8" t="str">
        <f t="shared" si="93"/>
        <v/>
      </c>
      <c r="G311" t="str">
        <f t="shared" si="77"/>
        <v/>
      </c>
      <c r="H311">
        <f t="shared" si="78"/>
        <v>0</v>
      </c>
      <c r="I311">
        <f t="shared" si="85"/>
        <v>0</v>
      </c>
      <c r="J311">
        <f t="shared" si="79"/>
        <v>4588</v>
      </c>
      <c r="K311">
        <f t="shared" si="80"/>
        <v>1</v>
      </c>
      <c r="L311">
        <f t="shared" si="81"/>
        <v>16</v>
      </c>
      <c r="M311">
        <f t="shared" si="82"/>
        <v>28</v>
      </c>
      <c r="N311">
        <f t="shared" si="92"/>
        <v>0</v>
      </c>
      <c r="O311">
        <f t="shared" si="92"/>
        <v>1</v>
      </c>
      <c r="P311">
        <f t="shared" si="92"/>
        <v>15</v>
      </c>
      <c r="Q311">
        <f t="shared" si="87"/>
        <v>75</v>
      </c>
      <c r="R311">
        <f t="shared" si="88"/>
        <v>0</v>
      </c>
      <c r="S311">
        <f t="shared" si="89"/>
        <v>1</v>
      </c>
      <c r="T311">
        <f t="shared" si="90"/>
        <v>15</v>
      </c>
      <c r="U311">
        <f t="shared" si="91"/>
        <v>75</v>
      </c>
    </row>
    <row r="312" spans="2:21" hidden="1" x14ac:dyDescent="0.25">
      <c r="B312" t="b">
        <f t="shared" si="76"/>
        <v>0</v>
      </c>
      <c r="C312" t="b">
        <f t="shared" si="86"/>
        <v>0</v>
      </c>
      <c r="D312">
        <f t="shared" si="83"/>
        <v>1</v>
      </c>
      <c r="E312" t="str">
        <f t="shared" si="84"/>
        <v>6. Conclusion</v>
      </c>
      <c r="F312" s="8" t="str">
        <f t="shared" si="93"/>
        <v/>
      </c>
      <c r="G312" t="str">
        <f t="shared" si="77"/>
        <v/>
      </c>
      <c r="H312">
        <f t="shared" si="78"/>
        <v>0</v>
      </c>
      <c r="I312">
        <f t="shared" si="85"/>
        <v>0</v>
      </c>
      <c r="J312">
        <f t="shared" si="79"/>
        <v>4588</v>
      </c>
      <c r="K312">
        <f t="shared" si="80"/>
        <v>1</v>
      </c>
      <c r="L312">
        <f t="shared" si="81"/>
        <v>16</v>
      </c>
      <c r="M312">
        <f t="shared" si="82"/>
        <v>28</v>
      </c>
      <c r="N312">
        <f t="shared" si="92"/>
        <v>0</v>
      </c>
      <c r="O312">
        <f t="shared" si="92"/>
        <v>1</v>
      </c>
      <c r="P312">
        <f t="shared" si="92"/>
        <v>15</v>
      </c>
      <c r="Q312">
        <f t="shared" si="87"/>
        <v>75</v>
      </c>
      <c r="R312">
        <f t="shared" si="88"/>
        <v>0</v>
      </c>
      <c r="S312">
        <f t="shared" si="89"/>
        <v>1</v>
      </c>
      <c r="T312">
        <f t="shared" si="90"/>
        <v>15</v>
      </c>
      <c r="U312">
        <f t="shared" si="91"/>
        <v>75</v>
      </c>
    </row>
    <row r="313" spans="2:21" hidden="1" x14ac:dyDescent="0.25">
      <c r="B313" t="b">
        <f t="shared" si="76"/>
        <v>0</v>
      </c>
      <c r="C313" t="b">
        <f t="shared" si="86"/>
        <v>0</v>
      </c>
      <c r="D313">
        <f t="shared" si="83"/>
        <v>1</v>
      </c>
      <c r="E313" t="str">
        <f t="shared" si="84"/>
        <v>6. Conclusion</v>
      </c>
      <c r="F313" s="8" t="str">
        <f t="shared" si="93"/>
        <v/>
      </c>
      <c r="G313" t="str">
        <f t="shared" si="77"/>
        <v/>
      </c>
      <c r="H313">
        <f t="shared" si="78"/>
        <v>0</v>
      </c>
      <c r="I313">
        <f t="shared" si="85"/>
        <v>0</v>
      </c>
      <c r="J313">
        <f t="shared" si="79"/>
        <v>4588</v>
      </c>
      <c r="K313">
        <f t="shared" si="80"/>
        <v>1</v>
      </c>
      <c r="L313">
        <f t="shared" si="81"/>
        <v>16</v>
      </c>
      <c r="M313">
        <f t="shared" si="82"/>
        <v>28</v>
      </c>
      <c r="N313">
        <f t="shared" si="92"/>
        <v>0</v>
      </c>
      <c r="O313">
        <f t="shared" si="92"/>
        <v>1</v>
      </c>
      <c r="P313">
        <f t="shared" si="92"/>
        <v>15</v>
      </c>
      <c r="Q313">
        <f t="shared" si="87"/>
        <v>75</v>
      </c>
      <c r="R313">
        <f t="shared" si="88"/>
        <v>0</v>
      </c>
      <c r="S313">
        <f t="shared" si="89"/>
        <v>1</v>
      </c>
      <c r="T313">
        <f t="shared" si="90"/>
        <v>15</v>
      </c>
      <c r="U313">
        <f t="shared" si="91"/>
        <v>75</v>
      </c>
    </row>
    <row r="314" spans="2:21" hidden="1" x14ac:dyDescent="0.25">
      <c r="B314" t="b">
        <f t="shared" si="76"/>
        <v>0</v>
      </c>
      <c r="C314" t="b">
        <f t="shared" si="86"/>
        <v>0</v>
      </c>
      <c r="D314">
        <f t="shared" si="83"/>
        <v>1</v>
      </c>
      <c r="E314" t="str">
        <f t="shared" si="84"/>
        <v>6. Conclusion</v>
      </c>
      <c r="F314" s="8" t="str">
        <f t="shared" si="93"/>
        <v/>
      </c>
      <c r="G314" t="str">
        <f t="shared" si="77"/>
        <v/>
      </c>
      <c r="H314">
        <f t="shared" si="78"/>
        <v>0</v>
      </c>
      <c r="I314">
        <f t="shared" si="85"/>
        <v>0</v>
      </c>
      <c r="J314">
        <f t="shared" si="79"/>
        <v>4588</v>
      </c>
      <c r="K314">
        <f t="shared" si="80"/>
        <v>1</v>
      </c>
      <c r="L314">
        <f t="shared" si="81"/>
        <v>16</v>
      </c>
      <c r="M314">
        <f t="shared" si="82"/>
        <v>28</v>
      </c>
      <c r="N314">
        <f t="shared" si="92"/>
        <v>0</v>
      </c>
      <c r="O314">
        <f t="shared" si="92"/>
        <v>1</v>
      </c>
      <c r="P314">
        <f t="shared" si="92"/>
        <v>15</v>
      </c>
      <c r="Q314">
        <f t="shared" si="87"/>
        <v>75</v>
      </c>
      <c r="R314">
        <f t="shared" si="88"/>
        <v>0</v>
      </c>
      <c r="S314">
        <f t="shared" si="89"/>
        <v>1</v>
      </c>
      <c r="T314">
        <f t="shared" si="90"/>
        <v>15</v>
      </c>
      <c r="U314">
        <f t="shared" si="91"/>
        <v>75</v>
      </c>
    </row>
    <row r="315" spans="2:21" hidden="1" x14ac:dyDescent="0.25">
      <c r="B315" t="b">
        <f t="shared" si="76"/>
        <v>0</v>
      </c>
      <c r="C315" t="b">
        <f t="shared" si="86"/>
        <v>0</v>
      </c>
      <c r="D315">
        <f t="shared" si="83"/>
        <v>1</v>
      </c>
      <c r="E315" t="str">
        <f t="shared" si="84"/>
        <v>6. Conclusion</v>
      </c>
      <c r="F315" s="8" t="str">
        <f t="shared" si="93"/>
        <v/>
      </c>
      <c r="G315" t="str">
        <f t="shared" si="77"/>
        <v/>
      </c>
      <c r="H315">
        <f t="shared" si="78"/>
        <v>0</v>
      </c>
      <c r="I315">
        <f t="shared" si="85"/>
        <v>0</v>
      </c>
      <c r="J315">
        <f t="shared" si="79"/>
        <v>4588</v>
      </c>
      <c r="K315">
        <f t="shared" si="80"/>
        <v>1</v>
      </c>
      <c r="L315">
        <f t="shared" si="81"/>
        <v>16</v>
      </c>
      <c r="M315">
        <f t="shared" si="82"/>
        <v>28</v>
      </c>
      <c r="N315">
        <f t="shared" si="92"/>
        <v>0</v>
      </c>
      <c r="O315">
        <f t="shared" si="92"/>
        <v>1</v>
      </c>
      <c r="P315">
        <f t="shared" si="92"/>
        <v>15</v>
      </c>
      <c r="Q315">
        <f t="shared" si="87"/>
        <v>75</v>
      </c>
      <c r="R315">
        <f t="shared" si="88"/>
        <v>0</v>
      </c>
      <c r="S315">
        <f t="shared" si="89"/>
        <v>1</v>
      </c>
      <c r="T315">
        <f t="shared" si="90"/>
        <v>15</v>
      </c>
      <c r="U315">
        <f t="shared" si="91"/>
        <v>75</v>
      </c>
    </row>
    <row r="316" spans="2:21" hidden="1" x14ac:dyDescent="0.25">
      <c r="B316" t="b">
        <f t="shared" si="76"/>
        <v>0</v>
      </c>
      <c r="C316" t="b">
        <f t="shared" si="86"/>
        <v>0</v>
      </c>
      <c r="D316">
        <f t="shared" si="83"/>
        <v>1</v>
      </c>
      <c r="E316" t="str">
        <f t="shared" si="84"/>
        <v>6. Conclusion</v>
      </c>
      <c r="F316" s="8" t="str">
        <f t="shared" si="93"/>
        <v/>
      </c>
      <c r="G316" t="str">
        <f t="shared" si="77"/>
        <v/>
      </c>
      <c r="H316">
        <f t="shared" si="78"/>
        <v>0</v>
      </c>
      <c r="I316">
        <f t="shared" si="85"/>
        <v>0</v>
      </c>
      <c r="J316">
        <f t="shared" si="79"/>
        <v>4588</v>
      </c>
      <c r="K316">
        <f t="shared" si="80"/>
        <v>1</v>
      </c>
      <c r="L316">
        <f t="shared" si="81"/>
        <v>16</v>
      </c>
      <c r="M316">
        <f t="shared" si="82"/>
        <v>28</v>
      </c>
      <c r="N316">
        <f t="shared" si="92"/>
        <v>0</v>
      </c>
      <c r="O316">
        <f t="shared" si="92"/>
        <v>1</v>
      </c>
      <c r="P316">
        <f t="shared" si="92"/>
        <v>15</v>
      </c>
      <c r="Q316">
        <f t="shared" si="87"/>
        <v>75</v>
      </c>
      <c r="R316">
        <f t="shared" si="88"/>
        <v>0</v>
      </c>
      <c r="S316">
        <f t="shared" si="89"/>
        <v>1</v>
      </c>
      <c r="T316">
        <f t="shared" si="90"/>
        <v>15</v>
      </c>
      <c r="U316">
        <f t="shared" si="91"/>
        <v>75</v>
      </c>
    </row>
    <row r="317" spans="2:21" hidden="1" x14ac:dyDescent="0.25">
      <c r="B317" t="b">
        <f t="shared" si="76"/>
        <v>0</v>
      </c>
      <c r="C317" t="b">
        <f t="shared" si="86"/>
        <v>0</v>
      </c>
      <c r="D317">
        <f t="shared" si="83"/>
        <v>1</v>
      </c>
      <c r="E317" t="str">
        <f t="shared" si="84"/>
        <v>6. Conclusion</v>
      </c>
      <c r="F317" s="8" t="str">
        <f t="shared" si="93"/>
        <v/>
      </c>
      <c r="G317" t="str">
        <f t="shared" si="77"/>
        <v/>
      </c>
      <c r="H317">
        <f t="shared" si="78"/>
        <v>0</v>
      </c>
      <c r="I317">
        <f t="shared" si="85"/>
        <v>0</v>
      </c>
      <c r="J317">
        <f t="shared" si="79"/>
        <v>4588</v>
      </c>
      <c r="K317">
        <f t="shared" si="80"/>
        <v>1</v>
      </c>
      <c r="L317">
        <f t="shared" si="81"/>
        <v>16</v>
      </c>
      <c r="M317">
        <f t="shared" si="82"/>
        <v>28</v>
      </c>
      <c r="N317">
        <f t="shared" si="92"/>
        <v>0</v>
      </c>
      <c r="O317">
        <f t="shared" si="92"/>
        <v>1</v>
      </c>
      <c r="P317">
        <f t="shared" si="92"/>
        <v>15</v>
      </c>
      <c r="Q317">
        <f t="shared" si="87"/>
        <v>75</v>
      </c>
      <c r="R317">
        <f t="shared" si="88"/>
        <v>0</v>
      </c>
      <c r="S317">
        <f t="shared" si="89"/>
        <v>1</v>
      </c>
      <c r="T317">
        <f t="shared" si="90"/>
        <v>15</v>
      </c>
      <c r="U317">
        <f t="shared" si="91"/>
        <v>75</v>
      </c>
    </row>
    <row r="318" spans="2:21" hidden="1" x14ac:dyDescent="0.25">
      <c r="B318" t="b">
        <f t="shared" si="76"/>
        <v>0</v>
      </c>
      <c r="C318" t="b">
        <f t="shared" si="86"/>
        <v>0</v>
      </c>
      <c r="D318">
        <f t="shared" si="83"/>
        <v>1</v>
      </c>
      <c r="E318" t="str">
        <f t="shared" si="84"/>
        <v>6. Conclusion</v>
      </c>
      <c r="F318" s="8" t="str">
        <f t="shared" si="93"/>
        <v/>
      </c>
      <c r="G318" t="str">
        <f t="shared" si="77"/>
        <v/>
      </c>
      <c r="H318">
        <f t="shared" si="78"/>
        <v>0</v>
      </c>
      <c r="I318">
        <f t="shared" si="85"/>
        <v>0</v>
      </c>
      <c r="J318">
        <f t="shared" si="79"/>
        <v>4588</v>
      </c>
      <c r="K318">
        <f t="shared" si="80"/>
        <v>1</v>
      </c>
      <c r="L318">
        <f t="shared" si="81"/>
        <v>16</v>
      </c>
      <c r="M318">
        <f t="shared" si="82"/>
        <v>28</v>
      </c>
      <c r="N318">
        <f t="shared" si="92"/>
        <v>0</v>
      </c>
      <c r="O318">
        <f t="shared" si="92"/>
        <v>1</v>
      </c>
      <c r="P318">
        <f t="shared" si="92"/>
        <v>15</v>
      </c>
      <c r="Q318">
        <f t="shared" si="87"/>
        <v>75</v>
      </c>
      <c r="R318">
        <f t="shared" si="88"/>
        <v>0</v>
      </c>
      <c r="S318">
        <f t="shared" si="89"/>
        <v>1</v>
      </c>
      <c r="T318">
        <f t="shared" si="90"/>
        <v>15</v>
      </c>
      <c r="U318">
        <f t="shared" si="91"/>
        <v>75</v>
      </c>
    </row>
    <row r="319" spans="2:21" hidden="1" x14ac:dyDescent="0.25">
      <c r="B319" t="b">
        <f t="shared" si="76"/>
        <v>0</v>
      </c>
      <c r="C319" t="b">
        <f t="shared" si="86"/>
        <v>0</v>
      </c>
      <c r="D319">
        <f t="shared" si="83"/>
        <v>1</v>
      </c>
      <c r="E319" t="str">
        <f t="shared" si="84"/>
        <v>6. Conclusion</v>
      </c>
      <c r="F319" s="8" t="str">
        <f t="shared" si="93"/>
        <v/>
      </c>
      <c r="G319" t="str">
        <f t="shared" si="77"/>
        <v/>
      </c>
      <c r="H319">
        <f t="shared" si="78"/>
        <v>0</v>
      </c>
      <c r="I319">
        <f t="shared" si="85"/>
        <v>0</v>
      </c>
      <c r="J319">
        <f t="shared" si="79"/>
        <v>4588</v>
      </c>
      <c r="K319">
        <f t="shared" si="80"/>
        <v>1</v>
      </c>
      <c r="L319">
        <f t="shared" si="81"/>
        <v>16</v>
      </c>
      <c r="M319">
        <f t="shared" si="82"/>
        <v>28</v>
      </c>
      <c r="N319">
        <f t="shared" si="92"/>
        <v>0</v>
      </c>
      <c r="O319">
        <f t="shared" si="92"/>
        <v>1</v>
      </c>
      <c r="P319">
        <f t="shared" si="92"/>
        <v>15</v>
      </c>
      <c r="Q319">
        <f t="shared" si="87"/>
        <v>75</v>
      </c>
      <c r="R319">
        <f t="shared" si="88"/>
        <v>0</v>
      </c>
      <c r="S319">
        <f t="shared" si="89"/>
        <v>1</v>
      </c>
      <c r="T319">
        <f t="shared" si="90"/>
        <v>15</v>
      </c>
      <c r="U319">
        <f t="shared" si="91"/>
        <v>75</v>
      </c>
    </row>
    <row r="320" spans="2:21" hidden="1" x14ac:dyDescent="0.25">
      <c r="B320" t="b">
        <f t="shared" si="76"/>
        <v>0</v>
      </c>
      <c r="C320" t="b">
        <f t="shared" si="86"/>
        <v>0</v>
      </c>
      <c r="D320">
        <f t="shared" si="83"/>
        <v>1</v>
      </c>
      <c r="E320" t="str">
        <f t="shared" si="84"/>
        <v>6. Conclusion</v>
      </c>
      <c r="F320" s="8" t="str">
        <f t="shared" si="93"/>
        <v/>
      </c>
      <c r="G320" t="str">
        <f t="shared" si="77"/>
        <v/>
      </c>
      <c r="H320">
        <f t="shared" si="78"/>
        <v>0</v>
      </c>
      <c r="I320">
        <f t="shared" si="85"/>
        <v>0</v>
      </c>
      <c r="J320">
        <f t="shared" si="79"/>
        <v>4588</v>
      </c>
      <c r="K320">
        <f t="shared" si="80"/>
        <v>1</v>
      </c>
      <c r="L320">
        <f t="shared" si="81"/>
        <v>16</v>
      </c>
      <c r="M320">
        <f t="shared" si="82"/>
        <v>28</v>
      </c>
      <c r="N320">
        <f t="shared" si="92"/>
        <v>0</v>
      </c>
      <c r="O320">
        <f t="shared" si="92"/>
        <v>1</v>
      </c>
      <c r="P320">
        <f t="shared" si="92"/>
        <v>15</v>
      </c>
      <c r="Q320">
        <f t="shared" si="87"/>
        <v>75</v>
      </c>
      <c r="R320">
        <f t="shared" si="88"/>
        <v>0</v>
      </c>
      <c r="S320">
        <f t="shared" si="89"/>
        <v>1</v>
      </c>
      <c r="T320">
        <f t="shared" si="90"/>
        <v>15</v>
      </c>
      <c r="U320">
        <f t="shared" si="91"/>
        <v>75</v>
      </c>
    </row>
    <row r="321" spans="2:21" hidden="1" x14ac:dyDescent="0.25">
      <c r="B321" t="b">
        <f t="shared" si="76"/>
        <v>0</v>
      </c>
      <c r="C321" t="b">
        <f t="shared" si="86"/>
        <v>0</v>
      </c>
      <c r="D321">
        <f t="shared" si="83"/>
        <v>1</v>
      </c>
      <c r="E321" t="str">
        <f t="shared" si="84"/>
        <v>6. Conclusion</v>
      </c>
      <c r="F321" s="8" t="str">
        <f t="shared" si="93"/>
        <v/>
      </c>
      <c r="G321" t="str">
        <f t="shared" si="77"/>
        <v/>
      </c>
      <c r="H321">
        <f t="shared" si="78"/>
        <v>0</v>
      </c>
      <c r="I321">
        <f t="shared" si="85"/>
        <v>0</v>
      </c>
      <c r="J321">
        <f t="shared" si="79"/>
        <v>4588</v>
      </c>
      <c r="K321">
        <f t="shared" si="80"/>
        <v>1</v>
      </c>
      <c r="L321">
        <f t="shared" si="81"/>
        <v>16</v>
      </c>
      <c r="M321">
        <f t="shared" si="82"/>
        <v>28</v>
      </c>
      <c r="N321">
        <f t="shared" si="92"/>
        <v>0</v>
      </c>
      <c r="O321">
        <f t="shared" si="92"/>
        <v>1</v>
      </c>
      <c r="P321">
        <f t="shared" si="92"/>
        <v>15</v>
      </c>
      <c r="Q321">
        <f t="shared" si="87"/>
        <v>75</v>
      </c>
      <c r="R321">
        <f t="shared" si="88"/>
        <v>0</v>
      </c>
      <c r="S321">
        <f t="shared" si="89"/>
        <v>1</v>
      </c>
      <c r="T321">
        <f t="shared" si="90"/>
        <v>15</v>
      </c>
      <c r="U321">
        <f t="shared" si="91"/>
        <v>75</v>
      </c>
    </row>
    <row r="322" spans="2:21" hidden="1" x14ac:dyDescent="0.25">
      <c r="B322" t="b">
        <f t="shared" si="76"/>
        <v>0</v>
      </c>
      <c r="C322" t="b">
        <f t="shared" si="86"/>
        <v>0</v>
      </c>
      <c r="D322">
        <f t="shared" si="83"/>
        <v>1</v>
      </c>
      <c r="E322" t="str">
        <f t="shared" si="84"/>
        <v>6. Conclusion</v>
      </c>
      <c r="F322" s="8" t="str">
        <f t="shared" si="93"/>
        <v/>
      </c>
      <c r="G322" t="str">
        <f t="shared" si="77"/>
        <v/>
      </c>
      <c r="H322">
        <f t="shared" si="78"/>
        <v>0</v>
      </c>
      <c r="I322">
        <f t="shared" si="85"/>
        <v>0</v>
      </c>
      <c r="J322">
        <f t="shared" si="79"/>
        <v>4588</v>
      </c>
      <c r="K322">
        <f t="shared" si="80"/>
        <v>1</v>
      </c>
      <c r="L322">
        <f t="shared" si="81"/>
        <v>16</v>
      </c>
      <c r="M322">
        <f t="shared" si="82"/>
        <v>28</v>
      </c>
      <c r="N322">
        <f t="shared" si="92"/>
        <v>0</v>
      </c>
      <c r="O322">
        <f t="shared" si="92"/>
        <v>1</v>
      </c>
      <c r="P322">
        <f t="shared" si="92"/>
        <v>15</v>
      </c>
      <c r="Q322">
        <f t="shared" si="87"/>
        <v>75</v>
      </c>
      <c r="R322">
        <f t="shared" si="88"/>
        <v>0</v>
      </c>
      <c r="S322">
        <f t="shared" si="89"/>
        <v>1</v>
      </c>
      <c r="T322">
        <f t="shared" si="90"/>
        <v>15</v>
      </c>
      <c r="U322">
        <f t="shared" si="91"/>
        <v>75</v>
      </c>
    </row>
    <row r="323" spans="2:21" hidden="1" x14ac:dyDescent="0.25">
      <c r="B323" t="b">
        <f t="shared" si="76"/>
        <v>0</v>
      </c>
      <c r="C323" t="b">
        <f t="shared" si="86"/>
        <v>0</v>
      </c>
      <c r="D323">
        <f t="shared" si="83"/>
        <v>1</v>
      </c>
      <c r="E323" t="str">
        <f t="shared" si="84"/>
        <v>6. Conclusion</v>
      </c>
      <c r="F323" s="8" t="str">
        <f t="shared" si="93"/>
        <v/>
      </c>
      <c r="G323" t="str">
        <f t="shared" si="77"/>
        <v/>
      </c>
      <c r="H323">
        <f t="shared" si="78"/>
        <v>0</v>
      </c>
      <c r="I323">
        <f t="shared" si="85"/>
        <v>0</v>
      </c>
      <c r="J323">
        <f t="shared" si="79"/>
        <v>4588</v>
      </c>
      <c r="K323">
        <f t="shared" si="80"/>
        <v>1</v>
      </c>
      <c r="L323">
        <f t="shared" si="81"/>
        <v>16</v>
      </c>
      <c r="M323">
        <f t="shared" si="82"/>
        <v>28</v>
      </c>
      <c r="N323">
        <f t="shared" si="92"/>
        <v>0</v>
      </c>
      <c r="O323">
        <f t="shared" si="92"/>
        <v>1</v>
      </c>
      <c r="P323">
        <f t="shared" si="92"/>
        <v>15</v>
      </c>
      <c r="Q323">
        <f t="shared" si="87"/>
        <v>75</v>
      </c>
      <c r="R323">
        <f t="shared" si="88"/>
        <v>0</v>
      </c>
      <c r="S323">
        <f t="shared" si="89"/>
        <v>1</v>
      </c>
      <c r="T323">
        <f t="shared" si="90"/>
        <v>15</v>
      </c>
      <c r="U323">
        <f t="shared" si="91"/>
        <v>75</v>
      </c>
    </row>
    <row r="324" spans="2:21" hidden="1" x14ac:dyDescent="0.25">
      <c r="B324" t="b">
        <f t="shared" si="76"/>
        <v>0</v>
      </c>
      <c r="C324" t="b">
        <f t="shared" si="86"/>
        <v>0</v>
      </c>
      <c r="D324">
        <f t="shared" si="83"/>
        <v>1</v>
      </c>
      <c r="E324" t="str">
        <f t="shared" si="84"/>
        <v>6. Conclusion</v>
      </c>
      <c r="F324" s="8" t="str">
        <f t="shared" si="93"/>
        <v/>
      </c>
      <c r="G324" t="str">
        <f t="shared" si="77"/>
        <v/>
      </c>
      <c r="H324">
        <f t="shared" si="78"/>
        <v>0</v>
      </c>
      <c r="I324">
        <f t="shared" si="85"/>
        <v>0</v>
      </c>
      <c r="J324">
        <f t="shared" si="79"/>
        <v>4588</v>
      </c>
      <c r="K324">
        <f t="shared" si="80"/>
        <v>1</v>
      </c>
      <c r="L324">
        <f t="shared" si="81"/>
        <v>16</v>
      </c>
      <c r="M324">
        <f t="shared" si="82"/>
        <v>28</v>
      </c>
      <c r="N324">
        <f t="shared" si="92"/>
        <v>0</v>
      </c>
      <c r="O324">
        <f t="shared" si="92"/>
        <v>1</v>
      </c>
      <c r="P324">
        <f t="shared" si="92"/>
        <v>15</v>
      </c>
      <c r="Q324">
        <f t="shared" si="87"/>
        <v>75</v>
      </c>
      <c r="R324">
        <f t="shared" si="88"/>
        <v>0</v>
      </c>
      <c r="S324">
        <f t="shared" si="89"/>
        <v>1</v>
      </c>
      <c r="T324">
        <f t="shared" si="90"/>
        <v>15</v>
      </c>
      <c r="U324">
        <f t="shared" si="91"/>
        <v>75</v>
      </c>
    </row>
    <row r="325" spans="2:21" hidden="1" x14ac:dyDescent="0.25">
      <c r="B325" t="b">
        <f t="shared" si="76"/>
        <v>0</v>
      </c>
      <c r="C325" t="b">
        <f t="shared" si="86"/>
        <v>0</v>
      </c>
      <c r="D325">
        <f t="shared" si="83"/>
        <v>1</v>
      </c>
      <c r="E325" t="str">
        <f t="shared" si="84"/>
        <v>6. Conclusion</v>
      </c>
      <c r="F325" s="8" t="str">
        <f t="shared" si="93"/>
        <v/>
      </c>
      <c r="G325" t="str">
        <f t="shared" si="77"/>
        <v/>
      </c>
      <c r="H325">
        <f t="shared" si="78"/>
        <v>0</v>
      </c>
      <c r="I325">
        <f t="shared" si="85"/>
        <v>0</v>
      </c>
      <c r="J325">
        <f t="shared" si="79"/>
        <v>4588</v>
      </c>
      <c r="K325">
        <f t="shared" si="80"/>
        <v>1</v>
      </c>
      <c r="L325">
        <f t="shared" si="81"/>
        <v>16</v>
      </c>
      <c r="M325">
        <f t="shared" si="82"/>
        <v>28</v>
      </c>
      <c r="N325">
        <f t="shared" si="92"/>
        <v>0</v>
      </c>
      <c r="O325">
        <f t="shared" si="92"/>
        <v>1</v>
      </c>
      <c r="P325">
        <f t="shared" si="92"/>
        <v>15</v>
      </c>
      <c r="Q325">
        <f t="shared" si="87"/>
        <v>75</v>
      </c>
      <c r="R325">
        <f t="shared" si="88"/>
        <v>0</v>
      </c>
      <c r="S325">
        <f t="shared" si="89"/>
        <v>1</v>
      </c>
      <c r="T325">
        <f t="shared" si="90"/>
        <v>15</v>
      </c>
      <c r="U325">
        <f t="shared" si="91"/>
        <v>75</v>
      </c>
    </row>
    <row r="326" spans="2:21" hidden="1" x14ac:dyDescent="0.25">
      <c r="B326" t="b">
        <f t="shared" si="76"/>
        <v>0</v>
      </c>
      <c r="C326" t="b">
        <f t="shared" si="86"/>
        <v>0</v>
      </c>
      <c r="D326">
        <f t="shared" si="83"/>
        <v>1</v>
      </c>
      <c r="E326" t="str">
        <f t="shared" si="84"/>
        <v>6. Conclusion</v>
      </c>
      <c r="F326" s="8" t="str">
        <f t="shared" si="93"/>
        <v/>
      </c>
      <c r="G326" t="str">
        <f t="shared" si="77"/>
        <v/>
      </c>
      <c r="H326">
        <f t="shared" si="78"/>
        <v>0</v>
      </c>
      <c r="I326">
        <f t="shared" si="85"/>
        <v>0</v>
      </c>
      <c r="J326">
        <f t="shared" si="79"/>
        <v>4588</v>
      </c>
      <c r="K326">
        <f t="shared" si="80"/>
        <v>1</v>
      </c>
      <c r="L326">
        <f t="shared" si="81"/>
        <v>16</v>
      </c>
      <c r="M326">
        <f t="shared" si="82"/>
        <v>28</v>
      </c>
      <c r="N326">
        <f t="shared" si="92"/>
        <v>0</v>
      </c>
      <c r="O326">
        <f t="shared" si="92"/>
        <v>1</v>
      </c>
      <c r="P326">
        <f t="shared" si="92"/>
        <v>15</v>
      </c>
      <c r="Q326">
        <f t="shared" si="87"/>
        <v>75</v>
      </c>
      <c r="R326">
        <f t="shared" si="88"/>
        <v>0</v>
      </c>
      <c r="S326">
        <f t="shared" si="89"/>
        <v>1</v>
      </c>
      <c r="T326">
        <f t="shared" si="90"/>
        <v>15</v>
      </c>
      <c r="U326">
        <f t="shared" si="91"/>
        <v>75</v>
      </c>
    </row>
    <row r="327" spans="2:21" hidden="1" x14ac:dyDescent="0.25">
      <c r="B327" t="b">
        <f t="shared" si="76"/>
        <v>0</v>
      </c>
      <c r="C327" t="b">
        <f t="shared" si="86"/>
        <v>0</v>
      </c>
      <c r="D327">
        <f t="shared" si="83"/>
        <v>1</v>
      </c>
      <c r="E327" t="str">
        <f t="shared" si="84"/>
        <v>6. Conclusion</v>
      </c>
      <c r="F327" s="8" t="str">
        <f t="shared" si="93"/>
        <v/>
      </c>
      <c r="G327" t="str">
        <f t="shared" si="77"/>
        <v/>
      </c>
      <c r="H327">
        <f t="shared" si="78"/>
        <v>0</v>
      </c>
      <c r="I327">
        <f t="shared" si="85"/>
        <v>0</v>
      </c>
      <c r="J327">
        <f t="shared" si="79"/>
        <v>4588</v>
      </c>
      <c r="K327">
        <f t="shared" si="80"/>
        <v>1</v>
      </c>
      <c r="L327">
        <f t="shared" si="81"/>
        <v>16</v>
      </c>
      <c r="M327">
        <f t="shared" si="82"/>
        <v>28</v>
      </c>
      <c r="N327">
        <f t="shared" si="92"/>
        <v>0</v>
      </c>
      <c r="O327">
        <f t="shared" si="92"/>
        <v>1</v>
      </c>
      <c r="P327">
        <f t="shared" si="92"/>
        <v>15</v>
      </c>
      <c r="Q327">
        <f t="shared" si="87"/>
        <v>75</v>
      </c>
      <c r="R327">
        <f t="shared" si="88"/>
        <v>0</v>
      </c>
      <c r="S327">
        <f t="shared" si="89"/>
        <v>1</v>
      </c>
      <c r="T327">
        <f t="shared" si="90"/>
        <v>15</v>
      </c>
      <c r="U327">
        <f t="shared" si="91"/>
        <v>75</v>
      </c>
    </row>
    <row r="328" spans="2:21" hidden="1" x14ac:dyDescent="0.25">
      <c r="B328" t="b">
        <f t="shared" si="76"/>
        <v>0</v>
      </c>
      <c r="C328" t="b">
        <f t="shared" si="86"/>
        <v>0</v>
      </c>
      <c r="D328">
        <f t="shared" si="83"/>
        <v>1</v>
      </c>
      <c r="E328" t="str">
        <f t="shared" si="84"/>
        <v>6. Conclusion</v>
      </c>
      <c r="F328" s="8" t="str">
        <f t="shared" si="93"/>
        <v/>
      </c>
      <c r="G328" t="str">
        <f t="shared" si="77"/>
        <v/>
      </c>
      <c r="H328">
        <f t="shared" si="78"/>
        <v>0</v>
      </c>
      <c r="I328">
        <f t="shared" si="85"/>
        <v>0</v>
      </c>
      <c r="J328">
        <f t="shared" si="79"/>
        <v>4588</v>
      </c>
      <c r="K328">
        <f t="shared" si="80"/>
        <v>1</v>
      </c>
      <c r="L328">
        <f t="shared" si="81"/>
        <v>16</v>
      </c>
      <c r="M328">
        <f t="shared" si="82"/>
        <v>28</v>
      </c>
      <c r="N328">
        <f t="shared" si="92"/>
        <v>0</v>
      </c>
      <c r="O328">
        <f t="shared" si="92"/>
        <v>1</v>
      </c>
      <c r="P328">
        <f t="shared" si="92"/>
        <v>15</v>
      </c>
      <c r="Q328">
        <f t="shared" si="87"/>
        <v>75</v>
      </c>
      <c r="R328">
        <f t="shared" si="88"/>
        <v>0</v>
      </c>
      <c r="S328">
        <f t="shared" si="89"/>
        <v>1</v>
      </c>
      <c r="T328">
        <f t="shared" si="90"/>
        <v>15</v>
      </c>
      <c r="U328">
        <f t="shared" si="91"/>
        <v>75</v>
      </c>
    </row>
    <row r="329" spans="2:21" hidden="1" x14ac:dyDescent="0.25">
      <c r="B329" t="b">
        <f t="shared" si="76"/>
        <v>0</v>
      </c>
      <c r="C329" t="b">
        <f t="shared" si="86"/>
        <v>0</v>
      </c>
      <c r="D329">
        <f t="shared" si="83"/>
        <v>1</v>
      </c>
      <c r="E329" t="str">
        <f t="shared" si="84"/>
        <v>6. Conclusion</v>
      </c>
      <c r="F329" s="8" t="str">
        <f t="shared" si="93"/>
        <v/>
      </c>
      <c r="G329" t="str">
        <f t="shared" si="77"/>
        <v/>
      </c>
      <c r="H329">
        <f t="shared" si="78"/>
        <v>0</v>
      </c>
      <c r="I329">
        <f t="shared" si="85"/>
        <v>0</v>
      </c>
      <c r="J329">
        <f t="shared" si="79"/>
        <v>4588</v>
      </c>
      <c r="K329">
        <f t="shared" si="80"/>
        <v>1</v>
      </c>
      <c r="L329">
        <f t="shared" si="81"/>
        <v>16</v>
      </c>
      <c r="M329">
        <f t="shared" si="82"/>
        <v>28</v>
      </c>
      <c r="N329">
        <f t="shared" si="92"/>
        <v>0</v>
      </c>
      <c r="O329">
        <f t="shared" si="92"/>
        <v>1</v>
      </c>
      <c r="P329">
        <f t="shared" si="92"/>
        <v>15</v>
      </c>
      <c r="Q329">
        <f t="shared" si="87"/>
        <v>75</v>
      </c>
      <c r="R329">
        <f t="shared" si="88"/>
        <v>0</v>
      </c>
      <c r="S329">
        <f t="shared" si="89"/>
        <v>1</v>
      </c>
      <c r="T329">
        <f t="shared" si="90"/>
        <v>15</v>
      </c>
      <c r="U329">
        <f t="shared" si="91"/>
        <v>75</v>
      </c>
    </row>
    <row r="330" spans="2:21" hidden="1" x14ac:dyDescent="0.25">
      <c r="B330" t="b">
        <f t="shared" ref="B330:B393" si="94">AND(NOT(ISERROR(FIND(". ",A330))),ISNUMBER(VALUE(LEFT(A330,FIND(". ",A330)-1))))</f>
        <v>0</v>
      </c>
      <c r="C330" t="b">
        <f t="shared" si="86"/>
        <v>0</v>
      </c>
      <c r="D330">
        <f t="shared" si="83"/>
        <v>1</v>
      </c>
      <c r="E330" t="str">
        <f t="shared" si="84"/>
        <v>6. Conclusion</v>
      </c>
      <c r="F330" s="8" t="str">
        <f t="shared" si="93"/>
        <v/>
      </c>
      <c r="G330" t="str">
        <f t="shared" ref="G330:G393" si="95">IF(C330,IF(ISERROR(FIND("s",A331)),LEFT(A331,FIND("m",A331)),LEFT(A331,FIND("s",A331))),"")</f>
        <v/>
      </c>
      <c r="H330">
        <f t="shared" ref="H330:H393" si="96">IF(OR(G330="",ISERROR(FIND("m",G330))),0,VALUE(LEFT(G330,FIND("m",G330)-1)))</f>
        <v>0</v>
      </c>
      <c r="I330">
        <f t="shared" si="85"/>
        <v>0</v>
      </c>
      <c r="J330">
        <f t="shared" ref="J330:J393" si="97">J329+(H330*60+I330)</f>
        <v>4588</v>
      </c>
      <c r="K330">
        <f t="shared" ref="K330:K393" si="98">INT(J330/60/60)</f>
        <v>1</v>
      </c>
      <c r="L330">
        <f t="shared" ref="L330:L393" si="99">INT((J330-(K330*60*60))/60)</f>
        <v>16</v>
      </c>
      <c r="M330">
        <f t="shared" ref="M330:M393" si="100">J330-(((K330*60)+L330)*60)</f>
        <v>28</v>
      </c>
      <c r="N330">
        <f t="shared" si="92"/>
        <v>0</v>
      </c>
      <c r="O330">
        <f t="shared" si="92"/>
        <v>1</v>
      </c>
      <c r="P330">
        <f t="shared" si="92"/>
        <v>15</v>
      </c>
      <c r="Q330">
        <f t="shared" si="87"/>
        <v>75</v>
      </c>
      <c r="R330">
        <f t="shared" si="88"/>
        <v>0</v>
      </c>
      <c r="S330">
        <f t="shared" si="89"/>
        <v>1</v>
      </c>
      <c r="T330">
        <f t="shared" si="90"/>
        <v>15</v>
      </c>
      <c r="U330">
        <f t="shared" si="91"/>
        <v>75</v>
      </c>
    </row>
    <row r="331" spans="2:21" hidden="1" x14ac:dyDescent="0.25">
      <c r="B331" t="b">
        <f t="shared" si="94"/>
        <v>0</v>
      </c>
      <c r="C331" t="b">
        <f t="shared" si="86"/>
        <v>0</v>
      </c>
      <c r="D331">
        <f t="shared" ref="D331:D394" si="101">IF(B331,0,IF(C331,D330+1,D330))</f>
        <v>1</v>
      </c>
      <c r="E331" t="str">
        <f t="shared" ref="E331:E394" si="102">IF(B331,A331,E330)</f>
        <v>6. Conclusion</v>
      </c>
      <c r="F331" s="8" t="str">
        <f t="shared" si="93"/>
        <v/>
      </c>
      <c r="G331" t="str">
        <f t="shared" si="95"/>
        <v/>
      </c>
      <c r="H331">
        <f t="shared" si="96"/>
        <v>0</v>
      </c>
      <c r="I331">
        <f t="shared" ref="I331:I394" si="103">IF(OR(G331="",ISERROR(FIND("s",G331))),0,VALUE(SUBSTITUTE(MID(G331,IF(ISERROR(FIND("m",G331)), 0,FIND("m",G331))+1,LEN(G331)),"s","")))</f>
        <v>0</v>
      </c>
      <c r="J331">
        <f t="shared" si="97"/>
        <v>4588</v>
      </c>
      <c r="K331">
        <f t="shared" si="98"/>
        <v>1</v>
      </c>
      <c r="L331">
        <f t="shared" si="99"/>
        <v>16</v>
      </c>
      <c r="M331">
        <f t="shared" si="100"/>
        <v>28</v>
      </c>
      <c r="N331">
        <f t="shared" si="92"/>
        <v>0</v>
      </c>
      <c r="O331">
        <f t="shared" si="92"/>
        <v>1</v>
      </c>
      <c r="P331">
        <f t="shared" si="92"/>
        <v>15</v>
      </c>
      <c r="Q331">
        <f t="shared" si="87"/>
        <v>75</v>
      </c>
      <c r="R331">
        <f t="shared" si="88"/>
        <v>0</v>
      </c>
      <c r="S331">
        <f t="shared" si="89"/>
        <v>1</v>
      </c>
      <c r="T331">
        <f t="shared" si="90"/>
        <v>15</v>
      </c>
      <c r="U331">
        <f t="shared" si="91"/>
        <v>75</v>
      </c>
    </row>
    <row r="332" spans="2:21" hidden="1" x14ac:dyDescent="0.25">
      <c r="B332" t="b">
        <f t="shared" si="94"/>
        <v>0</v>
      </c>
      <c r="C332" t="b">
        <f t="shared" si="86"/>
        <v>0</v>
      </c>
      <c r="D332">
        <f t="shared" si="101"/>
        <v>1</v>
      </c>
      <c r="E332" t="str">
        <f t="shared" si="102"/>
        <v>6. Conclusion</v>
      </c>
      <c r="F332" s="8" t="str">
        <f t="shared" si="93"/>
        <v/>
      </c>
      <c r="G332" t="str">
        <f t="shared" si="95"/>
        <v/>
      </c>
      <c r="H332">
        <f t="shared" si="96"/>
        <v>0</v>
      </c>
      <c r="I332">
        <f t="shared" si="103"/>
        <v>0</v>
      </c>
      <c r="J332">
        <f t="shared" si="97"/>
        <v>4588</v>
      </c>
      <c r="K332">
        <f t="shared" si="98"/>
        <v>1</v>
      </c>
      <c r="L332">
        <f t="shared" si="99"/>
        <v>16</v>
      </c>
      <c r="M332">
        <f t="shared" si="100"/>
        <v>28</v>
      </c>
      <c r="N332">
        <f t="shared" si="92"/>
        <v>0</v>
      </c>
      <c r="O332">
        <f t="shared" si="92"/>
        <v>1</v>
      </c>
      <c r="P332">
        <f t="shared" si="92"/>
        <v>15</v>
      </c>
      <c r="Q332">
        <f t="shared" si="87"/>
        <v>75</v>
      </c>
      <c r="R332">
        <f t="shared" si="88"/>
        <v>0</v>
      </c>
      <c r="S332">
        <f t="shared" si="89"/>
        <v>1</v>
      </c>
      <c r="T332">
        <f t="shared" si="90"/>
        <v>15</v>
      </c>
      <c r="U332">
        <f t="shared" si="91"/>
        <v>75</v>
      </c>
    </row>
    <row r="333" spans="2:21" hidden="1" x14ac:dyDescent="0.25">
      <c r="B333" t="b">
        <f t="shared" si="94"/>
        <v>0</v>
      </c>
      <c r="C333" t="b">
        <f t="shared" ref="C333:C396" si="104">OR(AND(NOT(ISERROR(FIND("m",A334))),ISNUMBER(VALUE(LEFT(A334,FIND("m",A334)-1)))),AND(NOT(ISERROR(FIND("s",A334))),ISNUMBER(VALUE(LEFT(A334,FIND("s",A334)-1)))))</f>
        <v>0</v>
      </c>
      <c r="D333">
        <f t="shared" si="101"/>
        <v>1</v>
      </c>
      <c r="E333" t="str">
        <f t="shared" si="102"/>
        <v>6. Conclusion</v>
      </c>
      <c r="F333" s="8" t="str">
        <f t="shared" si="93"/>
        <v/>
      </c>
      <c r="G333" t="str">
        <f t="shared" si="95"/>
        <v/>
      </c>
      <c r="H333">
        <f t="shared" si="96"/>
        <v>0</v>
      </c>
      <c r="I333">
        <f t="shared" si="103"/>
        <v>0</v>
      </c>
      <c r="J333">
        <f t="shared" si="97"/>
        <v>4588</v>
      </c>
      <c r="K333">
        <f t="shared" si="98"/>
        <v>1</v>
      </c>
      <c r="L333">
        <f t="shared" si="99"/>
        <v>16</v>
      </c>
      <c r="M333">
        <f t="shared" si="100"/>
        <v>28</v>
      </c>
      <c r="N333">
        <f t="shared" si="92"/>
        <v>0</v>
      </c>
      <c r="O333">
        <f t="shared" si="92"/>
        <v>1</v>
      </c>
      <c r="P333">
        <f t="shared" si="92"/>
        <v>15</v>
      </c>
      <c r="Q333">
        <f t="shared" ref="Q333:Q396" si="105">(((N333*60)+O333)*60)+P333</f>
        <v>75</v>
      </c>
      <c r="R333">
        <f t="shared" ref="R333:R396" si="106">INT(U333/60/60)</f>
        <v>0</v>
      </c>
      <c r="S333">
        <f t="shared" ref="S333:S396" si="107">INT((U333-(R333*60*60))/60)</f>
        <v>1</v>
      </c>
      <c r="T333">
        <f t="shared" ref="T333:T396" si="108">U333-(((R333*60)+S333)*60)</f>
        <v>15</v>
      </c>
      <c r="U333">
        <f t="shared" ref="U333:U396" si="109">((H333*60)+I333)+Q333</f>
        <v>75</v>
      </c>
    </row>
    <row r="334" spans="2:21" hidden="1" x14ac:dyDescent="0.25">
      <c r="B334" t="b">
        <f t="shared" si="94"/>
        <v>0</v>
      </c>
      <c r="C334" t="b">
        <f t="shared" si="104"/>
        <v>0</v>
      </c>
      <c r="D334">
        <f t="shared" si="101"/>
        <v>1</v>
      </c>
      <c r="E334" t="str">
        <f t="shared" si="102"/>
        <v>6. Conclusion</v>
      </c>
      <c r="F334" s="8" t="str">
        <f t="shared" si="93"/>
        <v/>
      </c>
      <c r="G334" t="str">
        <f t="shared" si="95"/>
        <v/>
      </c>
      <c r="H334">
        <f t="shared" si="96"/>
        <v>0</v>
      </c>
      <c r="I334">
        <f t="shared" si="103"/>
        <v>0</v>
      </c>
      <c r="J334">
        <f t="shared" si="97"/>
        <v>4588</v>
      </c>
      <c r="K334">
        <f t="shared" si="98"/>
        <v>1</v>
      </c>
      <c r="L334">
        <f t="shared" si="99"/>
        <v>16</v>
      </c>
      <c r="M334">
        <f t="shared" si="100"/>
        <v>28</v>
      </c>
      <c r="N334">
        <f t="shared" si="92"/>
        <v>0</v>
      </c>
      <c r="O334">
        <f t="shared" si="92"/>
        <v>1</v>
      </c>
      <c r="P334">
        <f t="shared" si="92"/>
        <v>15</v>
      </c>
      <c r="Q334">
        <f t="shared" si="105"/>
        <v>75</v>
      </c>
      <c r="R334">
        <f t="shared" si="106"/>
        <v>0</v>
      </c>
      <c r="S334">
        <f t="shared" si="107"/>
        <v>1</v>
      </c>
      <c r="T334">
        <f t="shared" si="108"/>
        <v>15</v>
      </c>
      <c r="U334">
        <f t="shared" si="109"/>
        <v>75</v>
      </c>
    </row>
    <row r="335" spans="2:21" hidden="1" x14ac:dyDescent="0.25">
      <c r="B335" t="b">
        <f t="shared" si="94"/>
        <v>0</v>
      </c>
      <c r="C335" t="b">
        <f t="shared" si="104"/>
        <v>0</v>
      </c>
      <c r="D335">
        <f t="shared" si="101"/>
        <v>1</v>
      </c>
      <c r="E335" t="str">
        <f t="shared" si="102"/>
        <v>6. Conclusion</v>
      </c>
      <c r="F335" s="8" t="str">
        <f t="shared" si="93"/>
        <v/>
      </c>
      <c r="G335" t="str">
        <f t="shared" si="95"/>
        <v/>
      </c>
      <c r="H335">
        <f t="shared" si="96"/>
        <v>0</v>
      </c>
      <c r="I335">
        <f t="shared" si="103"/>
        <v>0</v>
      </c>
      <c r="J335">
        <f t="shared" si="97"/>
        <v>4588</v>
      </c>
      <c r="K335">
        <f t="shared" si="98"/>
        <v>1</v>
      </c>
      <c r="L335">
        <f t="shared" si="99"/>
        <v>16</v>
      </c>
      <c r="M335">
        <f t="shared" si="100"/>
        <v>28</v>
      </c>
      <c r="N335">
        <f t="shared" si="92"/>
        <v>0</v>
      </c>
      <c r="O335">
        <f t="shared" si="92"/>
        <v>1</v>
      </c>
      <c r="P335">
        <f t="shared" si="92"/>
        <v>15</v>
      </c>
      <c r="Q335">
        <f t="shared" si="105"/>
        <v>75</v>
      </c>
      <c r="R335">
        <f t="shared" si="106"/>
        <v>0</v>
      </c>
      <c r="S335">
        <f t="shared" si="107"/>
        <v>1</v>
      </c>
      <c r="T335">
        <f t="shared" si="108"/>
        <v>15</v>
      </c>
      <c r="U335">
        <f t="shared" si="109"/>
        <v>75</v>
      </c>
    </row>
    <row r="336" spans="2:21" hidden="1" x14ac:dyDescent="0.25">
      <c r="B336" t="b">
        <f t="shared" si="94"/>
        <v>0</v>
      </c>
      <c r="C336" t="b">
        <f t="shared" si="104"/>
        <v>0</v>
      </c>
      <c r="D336">
        <f t="shared" si="101"/>
        <v>1</v>
      </c>
      <c r="E336" t="str">
        <f t="shared" si="102"/>
        <v>6. Conclusion</v>
      </c>
      <c r="F336" s="8" t="str">
        <f t="shared" si="93"/>
        <v/>
      </c>
      <c r="G336" t="str">
        <f t="shared" si="95"/>
        <v/>
      </c>
      <c r="H336">
        <f t="shared" si="96"/>
        <v>0</v>
      </c>
      <c r="I336">
        <f t="shared" si="103"/>
        <v>0</v>
      </c>
      <c r="J336">
        <f t="shared" si="97"/>
        <v>4588</v>
      </c>
      <c r="K336">
        <f t="shared" si="98"/>
        <v>1</v>
      </c>
      <c r="L336">
        <f t="shared" si="99"/>
        <v>16</v>
      </c>
      <c r="M336">
        <f t="shared" si="100"/>
        <v>28</v>
      </c>
      <c r="N336">
        <f t="shared" si="92"/>
        <v>0</v>
      </c>
      <c r="O336">
        <f t="shared" si="92"/>
        <v>1</v>
      </c>
      <c r="P336">
        <f t="shared" si="92"/>
        <v>15</v>
      </c>
      <c r="Q336">
        <f t="shared" si="105"/>
        <v>75</v>
      </c>
      <c r="R336">
        <f t="shared" si="106"/>
        <v>0</v>
      </c>
      <c r="S336">
        <f t="shared" si="107"/>
        <v>1</v>
      </c>
      <c r="T336">
        <f t="shared" si="108"/>
        <v>15</v>
      </c>
      <c r="U336">
        <f t="shared" si="109"/>
        <v>75</v>
      </c>
    </row>
    <row r="337" spans="2:21" hidden="1" x14ac:dyDescent="0.25">
      <c r="B337" t="b">
        <f t="shared" si="94"/>
        <v>0</v>
      </c>
      <c r="C337" t="b">
        <f t="shared" si="104"/>
        <v>0</v>
      </c>
      <c r="D337">
        <f t="shared" si="101"/>
        <v>1</v>
      </c>
      <c r="E337" t="str">
        <f t="shared" si="102"/>
        <v>6. Conclusion</v>
      </c>
      <c r="F337" s="8" t="str">
        <f t="shared" si="93"/>
        <v/>
      </c>
      <c r="G337" t="str">
        <f t="shared" si="95"/>
        <v/>
      </c>
      <c r="H337">
        <f t="shared" si="96"/>
        <v>0</v>
      </c>
      <c r="I337">
        <f t="shared" si="103"/>
        <v>0</v>
      </c>
      <c r="J337">
        <f t="shared" si="97"/>
        <v>4588</v>
      </c>
      <c r="K337">
        <f t="shared" si="98"/>
        <v>1</v>
      </c>
      <c r="L337">
        <f t="shared" si="99"/>
        <v>16</v>
      </c>
      <c r="M337">
        <f t="shared" si="100"/>
        <v>28</v>
      </c>
      <c r="N337">
        <f t="shared" si="92"/>
        <v>0</v>
      </c>
      <c r="O337">
        <f t="shared" si="92"/>
        <v>1</v>
      </c>
      <c r="P337">
        <f t="shared" si="92"/>
        <v>15</v>
      </c>
      <c r="Q337">
        <f t="shared" si="105"/>
        <v>75</v>
      </c>
      <c r="R337">
        <f t="shared" si="106"/>
        <v>0</v>
      </c>
      <c r="S337">
        <f t="shared" si="107"/>
        <v>1</v>
      </c>
      <c r="T337">
        <f t="shared" si="108"/>
        <v>15</v>
      </c>
      <c r="U337">
        <f t="shared" si="109"/>
        <v>75</v>
      </c>
    </row>
    <row r="338" spans="2:21" hidden="1" x14ac:dyDescent="0.25">
      <c r="B338" t="b">
        <f t="shared" si="94"/>
        <v>0</v>
      </c>
      <c r="C338" t="b">
        <f t="shared" si="104"/>
        <v>0</v>
      </c>
      <c r="D338">
        <f t="shared" si="101"/>
        <v>1</v>
      </c>
      <c r="E338" t="str">
        <f t="shared" si="102"/>
        <v>6. Conclusion</v>
      </c>
      <c r="F338" s="8" t="str">
        <f t="shared" si="93"/>
        <v/>
      </c>
      <c r="G338" t="str">
        <f t="shared" si="95"/>
        <v/>
      </c>
      <c r="H338">
        <f t="shared" si="96"/>
        <v>0</v>
      </c>
      <c r="I338">
        <f t="shared" si="103"/>
        <v>0</v>
      </c>
      <c r="J338">
        <f t="shared" si="97"/>
        <v>4588</v>
      </c>
      <c r="K338">
        <f t="shared" si="98"/>
        <v>1</v>
      </c>
      <c r="L338">
        <f t="shared" si="99"/>
        <v>16</v>
      </c>
      <c r="M338">
        <f t="shared" si="100"/>
        <v>28</v>
      </c>
      <c r="N338">
        <f t="shared" si="92"/>
        <v>0</v>
      </c>
      <c r="O338">
        <f t="shared" si="92"/>
        <v>1</v>
      </c>
      <c r="P338">
        <f t="shared" si="92"/>
        <v>15</v>
      </c>
      <c r="Q338">
        <f t="shared" si="105"/>
        <v>75</v>
      </c>
      <c r="R338">
        <f t="shared" si="106"/>
        <v>0</v>
      </c>
      <c r="S338">
        <f t="shared" si="107"/>
        <v>1</v>
      </c>
      <c r="T338">
        <f t="shared" si="108"/>
        <v>15</v>
      </c>
      <c r="U338">
        <f t="shared" si="109"/>
        <v>75</v>
      </c>
    </row>
    <row r="339" spans="2:21" hidden="1" x14ac:dyDescent="0.25">
      <c r="B339" t="b">
        <f t="shared" si="94"/>
        <v>0</v>
      </c>
      <c r="C339" t="b">
        <f t="shared" si="104"/>
        <v>0</v>
      </c>
      <c r="D339">
        <f t="shared" si="101"/>
        <v>1</v>
      </c>
      <c r="E339" t="str">
        <f t="shared" si="102"/>
        <v>6. Conclusion</v>
      </c>
      <c r="F339" s="8" t="str">
        <f t="shared" si="93"/>
        <v/>
      </c>
      <c r="G339" t="str">
        <f t="shared" si="95"/>
        <v/>
      </c>
      <c r="H339">
        <f t="shared" si="96"/>
        <v>0</v>
      </c>
      <c r="I339">
        <f t="shared" si="103"/>
        <v>0</v>
      </c>
      <c r="J339">
        <f t="shared" si="97"/>
        <v>4588</v>
      </c>
      <c r="K339">
        <f t="shared" si="98"/>
        <v>1</v>
      </c>
      <c r="L339">
        <f t="shared" si="99"/>
        <v>16</v>
      </c>
      <c r="M339">
        <f t="shared" si="100"/>
        <v>28</v>
      </c>
      <c r="N339">
        <f t="shared" si="92"/>
        <v>0</v>
      </c>
      <c r="O339">
        <f t="shared" si="92"/>
        <v>1</v>
      </c>
      <c r="P339">
        <f t="shared" si="92"/>
        <v>15</v>
      </c>
      <c r="Q339">
        <f t="shared" si="105"/>
        <v>75</v>
      </c>
      <c r="R339">
        <f t="shared" si="106"/>
        <v>0</v>
      </c>
      <c r="S339">
        <f t="shared" si="107"/>
        <v>1</v>
      </c>
      <c r="T339">
        <f t="shared" si="108"/>
        <v>15</v>
      </c>
      <c r="U339">
        <f t="shared" si="109"/>
        <v>75</v>
      </c>
    </row>
    <row r="340" spans="2:21" hidden="1" x14ac:dyDescent="0.25">
      <c r="B340" t="b">
        <f t="shared" si="94"/>
        <v>0</v>
      </c>
      <c r="C340" t="b">
        <f t="shared" si="104"/>
        <v>0</v>
      </c>
      <c r="D340">
        <f t="shared" si="101"/>
        <v>1</v>
      </c>
      <c r="E340" t="str">
        <f t="shared" si="102"/>
        <v>6. Conclusion</v>
      </c>
      <c r="F340" s="8" t="str">
        <f t="shared" si="93"/>
        <v/>
      </c>
      <c r="G340" t="str">
        <f t="shared" si="95"/>
        <v/>
      </c>
      <c r="H340">
        <f t="shared" si="96"/>
        <v>0</v>
      </c>
      <c r="I340">
        <f t="shared" si="103"/>
        <v>0</v>
      </c>
      <c r="J340">
        <f t="shared" si="97"/>
        <v>4588</v>
      </c>
      <c r="K340">
        <f t="shared" si="98"/>
        <v>1</v>
      </c>
      <c r="L340">
        <f t="shared" si="99"/>
        <v>16</v>
      </c>
      <c r="M340">
        <f t="shared" si="100"/>
        <v>28</v>
      </c>
      <c r="N340">
        <f t="shared" si="92"/>
        <v>0</v>
      </c>
      <c r="O340">
        <f t="shared" si="92"/>
        <v>1</v>
      </c>
      <c r="P340">
        <f t="shared" si="92"/>
        <v>15</v>
      </c>
      <c r="Q340">
        <f t="shared" si="105"/>
        <v>75</v>
      </c>
      <c r="R340">
        <f t="shared" si="106"/>
        <v>0</v>
      </c>
      <c r="S340">
        <f t="shared" si="107"/>
        <v>1</v>
      </c>
      <c r="T340">
        <f t="shared" si="108"/>
        <v>15</v>
      </c>
      <c r="U340">
        <f t="shared" si="109"/>
        <v>75</v>
      </c>
    </row>
    <row r="341" spans="2:21" hidden="1" x14ac:dyDescent="0.25">
      <c r="B341" t="b">
        <f t="shared" si="94"/>
        <v>0</v>
      </c>
      <c r="C341" t="b">
        <f t="shared" si="104"/>
        <v>0</v>
      </c>
      <c r="D341">
        <f t="shared" si="101"/>
        <v>1</v>
      </c>
      <c r="E341" t="str">
        <f t="shared" si="102"/>
        <v>6. Conclusion</v>
      </c>
      <c r="F341" s="8" t="str">
        <f t="shared" si="93"/>
        <v/>
      </c>
      <c r="G341" t="str">
        <f t="shared" si="95"/>
        <v/>
      </c>
      <c r="H341">
        <f t="shared" si="96"/>
        <v>0</v>
      </c>
      <c r="I341">
        <f t="shared" si="103"/>
        <v>0</v>
      </c>
      <c r="J341">
        <f t="shared" si="97"/>
        <v>4588</v>
      </c>
      <c r="K341">
        <f t="shared" si="98"/>
        <v>1</v>
      </c>
      <c r="L341">
        <f t="shared" si="99"/>
        <v>16</v>
      </c>
      <c r="M341">
        <f t="shared" si="100"/>
        <v>28</v>
      </c>
      <c r="N341">
        <f t="shared" si="92"/>
        <v>0</v>
      </c>
      <c r="O341">
        <f t="shared" si="92"/>
        <v>1</v>
      </c>
      <c r="P341">
        <f t="shared" si="92"/>
        <v>15</v>
      </c>
      <c r="Q341">
        <f t="shared" si="105"/>
        <v>75</v>
      </c>
      <c r="R341">
        <f t="shared" si="106"/>
        <v>0</v>
      </c>
      <c r="S341">
        <f t="shared" si="107"/>
        <v>1</v>
      </c>
      <c r="T341">
        <f t="shared" si="108"/>
        <v>15</v>
      </c>
      <c r="U341">
        <f t="shared" si="109"/>
        <v>75</v>
      </c>
    </row>
    <row r="342" spans="2:21" hidden="1" x14ac:dyDescent="0.25">
      <c r="B342" t="b">
        <f t="shared" si="94"/>
        <v>0</v>
      </c>
      <c r="C342" t="b">
        <f t="shared" si="104"/>
        <v>0</v>
      </c>
      <c r="D342">
        <f t="shared" si="101"/>
        <v>1</v>
      </c>
      <c r="E342" t="str">
        <f t="shared" si="102"/>
        <v>6. Conclusion</v>
      </c>
      <c r="F342" s="8" t="str">
        <f t="shared" si="93"/>
        <v/>
      </c>
      <c r="G342" t="str">
        <f t="shared" si="95"/>
        <v/>
      </c>
      <c r="H342">
        <f t="shared" si="96"/>
        <v>0</v>
      </c>
      <c r="I342">
        <f t="shared" si="103"/>
        <v>0</v>
      </c>
      <c r="J342">
        <f t="shared" si="97"/>
        <v>4588</v>
      </c>
      <c r="K342">
        <f t="shared" si="98"/>
        <v>1</v>
      </c>
      <c r="L342">
        <f t="shared" si="99"/>
        <v>16</v>
      </c>
      <c r="M342">
        <f t="shared" si="100"/>
        <v>28</v>
      </c>
      <c r="N342">
        <f t="shared" si="92"/>
        <v>0</v>
      </c>
      <c r="O342">
        <f t="shared" si="92"/>
        <v>1</v>
      </c>
      <c r="P342">
        <f t="shared" si="92"/>
        <v>15</v>
      </c>
      <c r="Q342">
        <f t="shared" si="105"/>
        <v>75</v>
      </c>
      <c r="R342">
        <f t="shared" si="106"/>
        <v>0</v>
      </c>
      <c r="S342">
        <f t="shared" si="107"/>
        <v>1</v>
      </c>
      <c r="T342">
        <f t="shared" si="108"/>
        <v>15</v>
      </c>
      <c r="U342">
        <f t="shared" si="109"/>
        <v>75</v>
      </c>
    </row>
    <row r="343" spans="2:21" hidden="1" x14ac:dyDescent="0.25">
      <c r="B343" t="b">
        <f t="shared" si="94"/>
        <v>0</v>
      </c>
      <c r="C343" t="b">
        <f t="shared" si="104"/>
        <v>0</v>
      </c>
      <c r="D343">
        <f t="shared" si="101"/>
        <v>1</v>
      </c>
      <c r="E343" t="str">
        <f t="shared" si="102"/>
        <v>6. Conclusion</v>
      </c>
      <c r="F343" s="8" t="str">
        <f t="shared" si="93"/>
        <v/>
      </c>
      <c r="G343" t="str">
        <f t="shared" si="95"/>
        <v/>
      </c>
      <c r="H343">
        <f t="shared" si="96"/>
        <v>0</v>
      </c>
      <c r="I343">
        <f t="shared" si="103"/>
        <v>0</v>
      </c>
      <c r="J343">
        <f t="shared" si="97"/>
        <v>4588</v>
      </c>
      <c r="K343">
        <f t="shared" si="98"/>
        <v>1</v>
      </c>
      <c r="L343">
        <f t="shared" si="99"/>
        <v>16</v>
      </c>
      <c r="M343">
        <f t="shared" si="100"/>
        <v>28</v>
      </c>
      <c r="N343">
        <f t="shared" si="92"/>
        <v>0</v>
      </c>
      <c r="O343">
        <f t="shared" si="92"/>
        <v>1</v>
      </c>
      <c r="P343">
        <f t="shared" si="92"/>
        <v>15</v>
      </c>
      <c r="Q343">
        <f t="shared" si="105"/>
        <v>75</v>
      </c>
      <c r="R343">
        <f t="shared" si="106"/>
        <v>0</v>
      </c>
      <c r="S343">
        <f t="shared" si="107"/>
        <v>1</v>
      </c>
      <c r="T343">
        <f t="shared" si="108"/>
        <v>15</v>
      </c>
      <c r="U343">
        <f t="shared" si="109"/>
        <v>75</v>
      </c>
    </row>
    <row r="344" spans="2:21" hidden="1" x14ac:dyDescent="0.25">
      <c r="B344" t="b">
        <f t="shared" si="94"/>
        <v>0</v>
      </c>
      <c r="C344" t="b">
        <f t="shared" si="104"/>
        <v>0</v>
      </c>
      <c r="D344">
        <f t="shared" si="101"/>
        <v>1</v>
      </c>
      <c r="E344" t="str">
        <f t="shared" si="102"/>
        <v>6. Conclusion</v>
      </c>
      <c r="F344" s="8" t="str">
        <f t="shared" si="93"/>
        <v/>
      </c>
      <c r="G344" t="str">
        <f t="shared" si="95"/>
        <v/>
      </c>
      <c r="H344">
        <f t="shared" si="96"/>
        <v>0</v>
      </c>
      <c r="I344">
        <f t="shared" si="103"/>
        <v>0</v>
      </c>
      <c r="J344">
        <f t="shared" si="97"/>
        <v>4588</v>
      </c>
      <c r="K344">
        <f t="shared" si="98"/>
        <v>1</v>
      </c>
      <c r="L344">
        <f t="shared" si="99"/>
        <v>16</v>
      </c>
      <c r="M344">
        <f t="shared" si="100"/>
        <v>28</v>
      </c>
      <c r="N344">
        <f t="shared" si="92"/>
        <v>0</v>
      </c>
      <c r="O344">
        <f t="shared" si="92"/>
        <v>1</v>
      </c>
      <c r="P344">
        <f t="shared" si="92"/>
        <v>15</v>
      </c>
      <c r="Q344">
        <f t="shared" si="105"/>
        <v>75</v>
      </c>
      <c r="R344">
        <f t="shared" si="106"/>
        <v>0</v>
      </c>
      <c r="S344">
        <f t="shared" si="107"/>
        <v>1</v>
      </c>
      <c r="T344">
        <f t="shared" si="108"/>
        <v>15</v>
      </c>
      <c r="U344">
        <f t="shared" si="109"/>
        <v>75</v>
      </c>
    </row>
    <row r="345" spans="2:21" hidden="1" x14ac:dyDescent="0.25">
      <c r="B345" t="b">
        <f t="shared" si="94"/>
        <v>0</v>
      </c>
      <c r="C345" t="b">
        <f t="shared" si="104"/>
        <v>0</v>
      </c>
      <c r="D345">
        <f t="shared" si="101"/>
        <v>1</v>
      </c>
      <c r="E345" t="str">
        <f t="shared" si="102"/>
        <v>6. Conclusion</v>
      </c>
      <c r="F345" s="8" t="str">
        <f t="shared" si="93"/>
        <v/>
      </c>
      <c r="G345" t="str">
        <f t="shared" si="95"/>
        <v/>
      </c>
      <c r="H345">
        <f t="shared" si="96"/>
        <v>0</v>
      </c>
      <c r="I345">
        <f t="shared" si="103"/>
        <v>0</v>
      </c>
      <c r="J345">
        <f t="shared" si="97"/>
        <v>4588</v>
      </c>
      <c r="K345">
        <f t="shared" si="98"/>
        <v>1</v>
      </c>
      <c r="L345">
        <f t="shared" si="99"/>
        <v>16</v>
      </c>
      <c r="M345">
        <f t="shared" si="100"/>
        <v>28</v>
      </c>
      <c r="N345">
        <f t="shared" si="92"/>
        <v>0</v>
      </c>
      <c r="O345">
        <f t="shared" si="92"/>
        <v>1</v>
      </c>
      <c r="P345">
        <f t="shared" si="92"/>
        <v>15</v>
      </c>
      <c r="Q345">
        <f t="shared" si="105"/>
        <v>75</v>
      </c>
      <c r="R345">
        <f t="shared" si="106"/>
        <v>0</v>
      </c>
      <c r="S345">
        <f t="shared" si="107"/>
        <v>1</v>
      </c>
      <c r="T345">
        <f t="shared" si="108"/>
        <v>15</v>
      </c>
      <c r="U345">
        <f t="shared" si="109"/>
        <v>75</v>
      </c>
    </row>
    <row r="346" spans="2:21" hidden="1" x14ac:dyDescent="0.25">
      <c r="B346" t="b">
        <f t="shared" si="94"/>
        <v>0</v>
      </c>
      <c r="C346" t="b">
        <f t="shared" si="104"/>
        <v>0</v>
      </c>
      <c r="D346">
        <f t="shared" si="101"/>
        <v>1</v>
      </c>
      <c r="E346" t="str">
        <f t="shared" si="102"/>
        <v>6. Conclusion</v>
      </c>
      <c r="F346" s="8" t="str">
        <f t="shared" si="93"/>
        <v/>
      </c>
      <c r="G346" t="str">
        <f t="shared" si="95"/>
        <v/>
      </c>
      <c r="H346">
        <f t="shared" si="96"/>
        <v>0</v>
      </c>
      <c r="I346">
        <f t="shared" si="103"/>
        <v>0</v>
      </c>
      <c r="J346">
        <f t="shared" si="97"/>
        <v>4588</v>
      </c>
      <c r="K346">
        <f t="shared" si="98"/>
        <v>1</v>
      </c>
      <c r="L346">
        <f t="shared" si="99"/>
        <v>16</v>
      </c>
      <c r="M346">
        <f t="shared" si="100"/>
        <v>28</v>
      </c>
      <c r="N346">
        <f t="shared" si="92"/>
        <v>0</v>
      </c>
      <c r="O346">
        <f t="shared" si="92"/>
        <v>1</v>
      </c>
      <c r="P346">
        <f t="shared" si="92"/>
        <v>15</v>
      </c>
      <c r="Q346">
        <f t="shared" si="105"/>
        <v>75</v>
      </c>
      <c r="R346">
        <f t="shared" si="106"/>
        <v>0</v>
      </c>
      <c r="S346">
        <f t="shared" si="107"/>
        <v>1</v>
      </c>
      <c r="T346">
        <f t="shared" si="108"/>
        <v>15</v>
      </c>
      <c r="U346">
        <f t="shared" si="109"/>
        <v>75</v>
      </c>
    </row>
    <row r="347" spans="2:21" hidden="1" x14ac:dyDescent="0.25">
      <c r="B347" t="b">
        <f t="shared" si="94"/>
        <v>0</v>
      </c>
      <c r="C347" t="b">
        <f t="shared" si="104"/>
        <v>0</v>
      </c>
      <c r="D347">
        <f t="shared" si="101"/>
        <v>1</v>
      </c>
      <c r="E347" t="str">
        <f t="shared" si="102"/>
        <v>6. Conclusion</v>
      </c>
      <c r="F347" s="8" t="str">
        <f t="shared" si="93"/>
        <v/>
      </c>
      <c r="G347" t="str">
        <f t="shared" si="95"/>
        <v/>
      </c>
      <c r="H347">
        <f t="shared" si="96"/>
        <v>0</v>
      </c>
      <c r="I347">
        <f t="shared" si="103"/>
        <v>0</v>
      </c>
      <c r="J347">
        <f t="shared" si="97"/>
        <v>4588</v>
      </c>
      <c r="K347">
        <f t="shared" si="98"/>
        <v>1</v>
      </c>
      <c r="L347">
        <f t="shared" si="99"/>
        <v>16</v>
      </c>
      <c r="M347">
        <f t="shared" si="100"/>
        <v>28</v>
      </c>
      <c r="N347">
        <f t="shared" ref="N347:P410" si="110">R346</f>
        <v>0</v>
      </c>
      <c r="O347">
        <f t="shared" si="110"/>
        <v>1</v>
      </c>
      <c r="P347">
        <f t="shared" si="110"/>
        <v>15</v>
      </c>
      <c r="Q347">
        <f t="shared" si="105"/>
        <v>75</v>
      </c>
      <c r="R347">
        <f t="shared" si="106"/>
        <v>0</v>
      </c>
      <c r="S347">
        <f t="shared" si="107"/>
        <v>1</v>
      </c>
      <c r="T347">
        <f t="shared" si="108"/>
        <v>15</v>
      </c>
      <c r="U347">
        <f t="shared" si="109"/>
        <v>75</v>
      </c>
    </row>
    <row r="348" spans="2:21" hidden="1" x14ac:dyDescent="0.25">
      <c r="B348" t="b">
        <f t="shared" si="94"/>
        <v>0</v>
      </c>
      <c r="C348" t="b">
        <f t="shared" si="104"/>
        <v>0</v>
      </c>
      <c r="D348">
        <f t="shared" si="101"/>
        <v>1</v>
      </c>
      <c r="E348" t="str">
        <f t="shared" si="102"/>
        <v>6. Conclusion</v>
      </c>
      <c r="F348" s="8" t="str">
        <f t="shared" si="93"/>
        <v/>
      </c>
      <c r="G348" t="str">
        <f t="shared" si="95"/>
        <v/>
      </c>
      <c r="H348">
        <f t="shared" si="96"/>
        <v>0</v>
      </c>
      <c r="I348">
        <f t="shared" si="103"/>
        <v>0</v>
      </c>
      <c r="J348">
        <f t="shared" si="97"/>
        <v>4588</v>
      </c>
      <c r="K348">
        <f t="shared" si="98"/>
        <v>1</v>
      </c>
      <c r="L348">
        <f t="shared" si="99"/>
        <v>16</v>
      </c>
      <c r="M348">
        <f t="shared" si="100"/>
        <v>28</v>
      </c>
      <c r="N348">
        <f t="shared" si="110"/>
        <v>0</v>
      </c>
      <c r="O348">
        <f t="shared" si="110"/>
        <v>1</v>
      </c>
      <c r="P348">
        <f t="shared" si="110"/>
        <v>15</v>
      </c>
      <c r="Q348">
        <f t="shared" si="105"/>
        <v>75</v>
      </c>
      <c r="R348">
        <f t="shared" si="106"/>
        <v>0</v>
      </c>
      <c r="S348">
        <f t="shared" si="107"/>
        <v>1</v>
      </c>
      <c r="T348">
        <f t="shared" si="108"/>
        <v>15</v>
      </c>
      <c r="U348">
        <f t="shared" si="109"/>
        <v>75</v>
      </c>
    </row>
    <row r="349" spans="2:21" hidden="1" x14ac:dyDescent="0.25">
      <c r="B349" t="b">
        <f t="shared" si="94"/>
        <v>0</v>
      </c>
      <c r="C349" t="b">
        <f t="shared" si="104"/>
        <v>0</v>
      </c>
      <c r="D349">
        <f t="shared" si="101"/>
        <v>1</v>
      </c>
      <c r="E349" t="str">
        <f t="shared" si="102"/>
        <v>6. Conclusion</v>
      </c>
      <c r="F349" s="8" t="str">
        <f t="shared" si="93"/>
        <v/>
      </c>
      <c r="G349" t="str">
        <f t="shared" si="95"/>
        <v/>
      </c>
      <c r="H349">
        <f t="shared" si="96"/>
        <v>0</v>
      </c>
      <c r="I349">
        <f t="shared" si="103"/>
        <v>0</v>
      </c>
      <c r="J349">
        <f t="shared" si="97"/>
        <v>4588</v>
      </c>
      <c r="K349">
        <f t="shared" si="98"/>
        <v>1</v>
      </c>
      <c r="L349">
        <f t="shared" si="99"/>
        <v>16</v>
      </c>
      <c r="M349">
        <f t="shared" si="100"/>
        <v>28</v>
      </c>
      <c r="N349">
        <f t="shared" si="110"/>
        <v>0</v>
      </c>
      <c r="O349">
        <f t="shared" si="110"/>
        <v>1</v>
      </c>
      <c r="P349">
        <f t="shared" si="110"/>
        <v>15</v>
      </c>
      <c r="Q349">
        <f t="shared" si="105"/>
        <v>75</v>
      </c>
      <c r="R349">
        <f t="shared" si="106"/>
        <v>0</v>
      </c>
      <c r="S349">
        <f t="shared" si="107"/>
        <v>1</v>
      </c>
      <c r="T349">
        <f t="shared" si="108"/>
        <v>15</v>
      </c>
      <c r="U349">
        <f t="shared" si="109"/>
        <v>75</v>
      </c>
    </row>
    <row r="350" spans="2:21" hidden="1" x14ac:dyDescent="0.25">
      <c r="B350" t="b">
        <f t="shared" si="94"/>
        <v>0</v>
      </c>
      <c r="C350" t="b">
        <f t="shared" si="104"/>
        <v>0</v>
      </c>
      <c r="D350">
        <f t="shared" si="101"/>
        <v>1</v>
      </c>
      <c r="E350" t="str">
        <f t="shared" si="102"/>
        <v>6. Conclusion</v>
      </c>
      <c r="F350" s="8" t="str">
        <f t="shared" si="93"/>
        <v/>
      </c>
      <c r="G350" t="str">
        <f t="shared" si="95"/>
        <v/>
      </c>
      <c r="H350">
        <f t="shared" si="96"/>
        <v>0</v>
      </c>
      <c r="I350">
        <f t="shared" si="103"/>
        <v>0</v>
      </c>
      <c r="J350">
        <f t="shared" si="97"/>
        <v>4588</v>
      </c>
      <c r="K350">
        <f t="shared" si="98"/>
        <v>1</v>
      </c>
      <c r="L350">
        <f t="shared" si="99"/>
        <v>16</v>
      </c>
      <c r="M350">
        <f t="shared" si="100"/>
        <v>28</v>
      </c>
      <c r="N350">
        <f t="shared" si="110"/>
        <v>0</v>
      </c>
      <c r="O350">
        <f t="shared" si="110"/>
        <v>1</v>
      </c>
      <c r="P350">
        <f t="shared" si="110"/>
        <v>15</v>
      </c>
      <c r="Q350">
        <f t="shared" si="105"/>
        <v>75</v>
      </c>
      <c r="R350">
        <f t="shared" si="106"/>
        <v>0</v>
      </c>
      <c r="S350">
        <f t="shared" si="107"/>
        <v>1</v>
      </c>
      <c r="T350">
        <f t="shared" si="108"/>
        <v>15</v>
      </c>
      <c r="U350">
        <f t="shared" si="109"/>
        <v>75</v>
      </c>
    </row>
    <row r="351" spans="2:21" hidden="1" x14ac:dyDescent="0.25">
      <c r="B351" t="b">
        <f t="shared" si="94"/>
        <v>0</v>
      </c>
      <c r="C351" t="b">
        <f t="shared" si="104"/>
        <v>0</v>
      </c>
      <c r="D351">
        <f t="shared" si="101"/>
        <v>1</v>
      </c>
      <c r="E351" t="str">
        <f t="shared" si="102"/>
        <v>6. Conclusion</v>
      </c>
      <c r="F351" s="8" t="str">
        <f t="shared" si="93"/>
        <v/>
      </c>
      <c r="G351" t="str">
        <f t="shared" si="95"/>
        <v/>
      </c>
      <c r="H351">
        <f t="shared" si="96"/>
        <v>0</v>
      </c>
      <c r="I351">
        <f t="shared" si="103"/>
        <v>0</v>
      </c>
      <c r="J351">
        <f t="shared" si="97"/>
        <v>4588</v>
      </c>
      <c r="K351">
        <f t="shared" si="98"/>
        <v>1</v>
      </c>
      <c r="L351">
        <f t="shared" si="99"/>
        <v>16</v>
      </c>
      <c r="M351">
        <f t="shared" si="100"/>
        <v>28</v>
      </c>
      <c r="N351">
        <f t="shared" si="110"/>
        <v>0</v>
      </c>
      <c r="O351">
        <f t="shared" si="110"/>
        <v>1</v>
      </c>
      <c r="P351">
        <f t="shared" si="110"/>
        <v>15</v>
      </c>
      <c r="Q351">
        <f t="shared" si="105"/>
        <v>75</v>
      </c>
      <c r="R351">
        <f t="shared" si="106"/>
        <v>0</v>
      </c>
      <c r="S351">
        <f t="shared" si="107"/>
        <v>1</v>
      </c>
      <c r="T351">
        <f t="shared" si="108"/>
        <v>15</v>
      </c>
      <c r="U351">
        <f t="shared" si="109"/>
        <v>75</v>
      </c>
    </row>
    <row r="352" spans="2:21" hidden="1" x14ac:dyDescent="0.25">
      <c r="B352" t="b">
        <f t="shared" si="94"/>
        <v>0</v>
      </c>
      <c r="C352" t="b">
        <f t="shared" si="104"/>
        <v>0</v>
      </c>
      <c r="D352">
        <f t="shared" si="101"/>
        <v>1</v>
      </c>
      <c r="E352" t="str">
        <f t="shared" si="102"/>
        <v>6. Conclusion</v>
      </c>
      <c r="F352" s="8" t="str">
        <f t="shared" si="93"/>
        <v/>
      </c>
      <c r="G352" t="str">
        <f t="shared" si="95"/>
        <v/>
      </c>
      <c r="H352">
        <f t="shared" si="96"/>
        <v>0</v>
      </c>
      <c r="I352">
        <f t="shared" si="103"/>
        <v>0</v>
      </c>
      <c r="J352">
        <f t="shared" si="97"/>
        <v>4588</v>
      </c>
      <c r="K352">
        <f t="shared" si="98"/>
        <v>1</v>
      </c>
      <c r="L352">
        <f t="shared" si="99"/>
        <v>16</v>
      </c>
      <c r="M352">
        <f t="shared" si="100"/>
        <v>28</v>
      </c>
      <c r="N352">
        <f t="shared" si="110"/>
        <v>0</v>
      </c>
      <c r="O352">
        <f t="shared" si="110"/>
        <v>1</v>
      </c>
      <c r="P352">
        <f t="shared" si="110"/>
        <v>15</v>
      </c>
      <c r="Q352">
        <f t="shared" si="105"/>
        <v>75</v>
      </c>
      <c r="R352">
        <f t="shared" si="106"/>
        <v>0</v>
      </c>
      <c r="S352">
        <f t="shared" si="107"/>
        <v>1</v>
      </c>
      <c r="T352">
        <f t="shared" si="108"/>
        <v>15</v>
      </c>
      <c r="U352">
        <f t="shared" si="109"/>
        <v>75</v>
      </c>
    </row>
    <row r="353" spans="2:21" hidden="1" x14ac:dyDescent="0.25">
      <c r="B353" t="b">
        <f t="shared" si="94"/>
        <v>0</v>
      </c>
      <c r="C353" t="b">
        <f t="shared" si="104"/>
        <v>0</v>
      </c>
      <c r="D353">
        <f t="shared" si="101"/>
        <v>1</v>
      </c>
      <c r="E353" t="str">
        <f t="shared" si="102"/>
        <v>6. Conclusion</v>
      </c>
      <c r="F353" s="8" t="str">
        <f t="shared" si="93"/>
        <v/>
      </c>
      <c r="G353" t="str">
        <f t="shared" si="95"/>
        <v/>
      </c>
      <c r="H353">
        <f t="shared" si="96"/>
        <v>0</v>
      </c>
      <c r="I353">
        <f t="shared" si="103"/>
        <v>0</v>
      </c>
      <c r="J353">
        <f t="shared" si="97"/>
        <v>4588</v>
      </c>
      <c r="K353">
        <f t="shared" si="98"/>
        <v>1</v>
      </c>
      <c r="L353">
        <f t="shared" si="99"/>
        <v>16</v>
      </c>
      <c r="M353">
        <f t="shared" si="100"/>
        <v>28</v>
      </c>
      <c r="N353">
        <f t="shared" si="110"/>
        <v>0</v>
      </c>
      <c r="O353">
        <f t="shared" si="110"/>
        <v>1</v>
      </c>
      <c r="P353">
        <f t="shared" si="110"/>
        <v>15</v>
      </c>
      <c r="Q353">
        <f t="shared" si="105"/>
        <v>75</v>
      </c>
      <c r="R353">
        <f t="shared" si="106"/>
        <v>0</v>
      </c>
      <c r="S353">
        <f t="shared" si="107"/>
        <v>1</v>
      </c>
      <c r="T353">
        <f t="shared" si="108"/>
        <v>15</v>
      </c>
      <c r="U353">
        <f t="shared" si="109"/>
        <v>75</v>
      </c>
    </row>
    <row r="354" spans="2:21" hidden="1" x14ac:dyDescent="0.25">
      <c r="B354" t="b">
        <f t="shared" si="94"/>
        <v>0</v>
      </c>
      <c r="C354" t="b">
        <f t="shared" si="104"/>
        <v>0</v>
      </c>
      <c r="D354">
        <f t="shared" si="101"/>
        <v>1</v>
      </c>
      <c r="E354" t="str">
        <f t="shared" si="102"/>
        <v>6. Conclusion</v>
      </c>
      <c r="F354" s="8" t="str">
        <f t="shared" si="93"/>
        <v/>
      </c>
      <c r="G354" t="str">
        <f t="shared" si="95"/>
        <v/>
      </c>
      <c r="H354">
        <f t="shared" si="96"/>
        <v>0</v>
      </c>
      <c r="I354">
        <f t="shared" si="103"/>
        <v>0</v>
      </c>
      <c r="J354">
        <f t="shared" si="97"/>
        <v>4588</v>
      </c>
      <c r="K354">
        <f t="shared" si="98"/>
        <v>1</v>
      </c>
      <c r="L354">
        <f t="shared" si="99"/>
        <v>16</v>
      </c>
      <c r="M354">
        <f t="shared" si="100"/>
        <v>28</v>
      </c>
      <c r="N354">
        <f t="shared" si="110"/>
        <v>0</v>
      </c>
      <c r="O354">
        <f t="shared" si="110"/>
        <v>1</v>
      </c>
      <c r="P354">
        <f t="shared" si="110"/>
        <v>15</v>
      </c>
      <c r="Q354">
        <f t="shared" si="105"/>
        <v>75</v>
      </c>
      <c r="R354">
        <f t="shared" si="106"/>
        <v>0</v>
      </c>
      <c r="S354">
        <f t="shared" si="107"/>
        <v>1</v>
      </c>
      <c r="T354">
        <f t="shared" si="108"/>
        <v>15</v>
      </c>
      <c r="U354">
        <f t="shared" si="109"/>
        <v>75</v>
      </c>
    </row>
    <row r="355" spans="2:21" hidden="1" x14ac:dyDescent="0.25">
      <c r="B355" t="b">
        <f t="shared" si="94"/>
        <v>0</v>
      </c>
      <c r="C355" t="b">
        <f t="shared" si="104"/>
        <v>0</v>
      </c>
      <c r="D355">
        <f t="shared" si="101"/>
        <v>1</v>
      </c>
      <c r="E355" t="str">
        <f t="shared" si="102"/>
        <v>6. Conclusion</v>
      </c>
      <c r="F355" s="8" t="str">
        <f t="shared" si="93"/>
        <v/>
      </c>
      <c r="G355" t="str">
        <f t="shared" si="95"/>
        <v/>
      </c>
      <c r="H355">
        <f t="shared" si="96"/>
        <v>0</v>
      </c>
      <c r="I355">
        <f t="shared" si="103"/>
        <v>0</v>
      </c>
      <c r="J355">
        <f t="shared" si="97"/>
        <v>4588</v>
      </c>
      <c r="K355">
        <f t="shared" si="98"/>
        <v>1</v>
      </c>
      <c r="L355">
        <f t="shared" si="99"/>
        <v>16</v>
      </c>
      <c r="M355">
        <f t="shared" si="100"/>
        <v>28</v>
      </c>
      <c r="N355">
        <f t="shared" si="110"/>
        <v>0</v>
      </c>
      <c r="O355">
        <f t="shared" si="110"/>
        <v>1</v>
      </c>
      <c r="P355">
        <f t="shared" si="110"/>
        <v>15</v>
      </c>
      <c r="Q355">
        <f t="shared" si="105"/>
        <v>75</v>
      </c>
      <c r="R355">
        <f t="shared" si="106"/>
        <v>0</v>
      </c>
      <c r="S355">
        <f t="shared" si="107"/>
        <v>1</v>
      </c>
      <c r="T355">
        <f t="shared" si="108"/>
        <v>15</v>
      </c>
      <c r="U355">
        <f t="shared" si="109"/>
        <v>75</v>
      </c>
    </row>
    <row r="356" spans="2:21" hidden="1" x14ac:dyDescent="0.25">
      <c r="B356" t="b">
        <f t="shared" si="94"/>
        <v>0</v>
      </c>
      <c r="C356" t="b">
        <f t="shared" si="104"/>
        <v>0</v>
      </c>
      <c r="D356">
        <f t="shared" si="101"/>
        <v>1</v>
      </c>
      <c r="E356" t="str">
        <f t="shared" si="102"/>
        <v>6. Conclusion</v>
      </c>
      <c r="F356" s="8" t="str">
        <f t="shared" si="93"/>
        <v/>
      </c>
      <c r="G356" t="str">
        <f t="shared" si="95"/>
        <v/>
      </c>
      <c r="H356">
        <f t="shared" si="96"/>
        <v>0</v>
      </c>
      <c r="I356">
        <f t="shared" si="103"/>
        <v>0</v>
      </c>
      <c r="J356">
        <f t="shared" si="97"/>
        <v>4588</v>
      </c>
      <c r="K356">
        <f t="shared" si="98"/>
        <v>1</v>
      </c>
      <c r="L356">
        <f t="shared" si="99"/>
        <v>16</v>
      </c>
      <c r="M356">
        <f t="shared" si="100"/>
        <v>28</v>
      </c>
      <c r="N356">
        <f t="shared" si="110"/>
        <v>0</v>
      </c>
      <c r="O356">
        <f t="shared" si="110"/>
        <v>1</v>
      </c>
      <c r="P356">
        <f t="shared" si="110"/>
        <v>15</v>
      </c>
      <c r="Q356">
        <f t="shared" si="105"/>
        <v>75</v>
      </c>
      <c r="R356">
        <f t="shared" si="106"/>
        <v>0</v>
      </c>
      <c r="S356">
        <f t="shared" si="107"/>
        <v>1</v>
      </c>
      <c r="T356">
        <f t="shared" si="108"/>
        <v>15</v>
      </c>
      <c r="U356">
        <f t="shared" si="109"/>
        <v>75</v>
      </c>
    </row>
    <row r="357" spans="2:21" hidden="1" x14ac:dyDescent="0.25">
      <c r="B357" t="b">
        <f t="shared" si="94"/>
        <v>0</v>
      </c>
      <c r="C357" t="b">
        <f t="shared" si="104"/>
        <v>0</v>
      </c>
      <c r="D357">
        <f t="shared" si="101"/>
        <v>1</v>
      </c>
      <c r="E357" t="str">
        <f t="shared" si="102"/>
        <v>6. Conclusion</v>
      </c>
      <c r="F357" s="8" t="str">
        <f t="shared" si="93"/>
        <v/>
      </c>
      <c r="G357" t="str">
        <f t="shared" si="95"/>
        <v/>
      </c>
      <c r="H357">
        <f t="shared" si="96"/>
        <v>0</v>
      </c>
      <c r="I357">
        <f t="shared" si="103"/>
        <v>0</v>
      </c>
      <c r="J357">
        <f t="shared" si="97"/>
        <v>4588</v>
      </c>
      <c r="K357">
        <f t="shared" si="98"/>
        <v>1</v>
      </c>
      <c r="L357">
        <f t="shared" si="99"/>
        <v>16</v>
      </c>
      <c r="M357">
        <f t="shared" si="100"/>
        <v>28</v>
      </c>
      <c r="N357">
        <f t="shared" si="110"/>
        <v>0</v>
      </c>
      <c r="O357">
        <f t="shared" si="110"/>
        <v>1</v>
      </c>
      <c r="P357">
        <f t="shared" si="110"/>
        <v>15</v>
      </c>
      <c r="Q357">
        <f t="shared" si="105"/>
        <v>75</v>
      </c>
      <c r="R357">
        <f t="shared" si="106"/>
        <v>0</v>
      </c>
      <c r="S357">
        <f t="shared" si="107"/>
        <v>1</v>
      </c>
      <c r="T357">
        <f t="shared" si="108"/>
        <v>15</v>
      </c>
      <c r="U357">
        <f t="shared" si="109"/>
        <v>75</v>
      </c>
    </row>
    <row r="358" spans="2:21" hidden="1" x14ac:dyDescent="0.25">
      <c r="B358" t="b">
        <f t="shared" si="94"/>
        <v>0</v>
      </c>
      <c r="C358" t="b">
        <f t="shared" si="104"/>
        <v>0</v>
      </c>
      <c r="D358">
        <f t="shared" si="101"/>
        <v>1</v>
      </c>
      <c r="E358" t="str">
        <f t="shared" si="102"/>
        <v>6. Conclusion</v>
      </c>
      <c r="F358" s="8" t="str">
        <f t="shared" si="93"/>
        <v/>
      </c>
      <c r="G358" t="str">
        <f t="shared" si="95"/>
        <v/>
      </c>
      <c r="H358">
        <f t="shared" si="96"/>
        <v>0</v>
      </c>
      <c r="I358">
        <f t="shared" si="103"/>
        <v>0</v>
      </c>
      <c r="J358">
        <f t="shared" si="97"/>
        <v>4588</v>
      </c>
      <c r="K358">
        <f t="shared" si="98"/>
        <v>1</v>
      </c>
      <c r="L358">
        <f t="shared" si="99"/>
        <v>16</v>
      </c>
      <c r="M358">
        <f t="shared" si="100"/>
        <v>28</v>
      </c>
      <c r="N358">
        <f t="shared" si="110"/>
        <v>0</v>
      </c>
      <c r="O358">
        <f t="shared" si="110"/>
        <v>1</v>
      </c>
      <c r="P358">
        <f t="shared" si="110"/>
        <v>15</v>
      </c>
      <c r="Q358">
        <f t="shared" si="105"/>
        <v>75</v>
      </c>
      <c r="R358">
        <f t="shared" si="106"/>
        <v>0</v>
      </c>
      <c r="S358">
        <f t="shared" si="107"/>
        <v>1</v>
      </c>
      <c r="T358">
        <f t="shared" si="108"/>
        <v>15</v>
      </c>
      <c r="U358">
        <f t="shared" si="109"/>
        <v>75</v>
      </c>
    </row>
    <row r="359" spans="2:21" hidden="1" x14ac:dyDescent="0.25">
      <c r="B359" t="b">
        <f t="shared" si="94"/>
        <v>0</v>
      </c>
      <c r="C359" t="b">
        <f t="shared" si="104"/>
        <v>0</v>
      </c>
      <c r="D359">
        <f t="shared" si="101"/>
        <v>1</v>
      </c>
      <c r="E359" t="str">
        <f t="shared" si="102"/>
        <v>6. Conclusion</v>
      </c>
      <c r="F359" s="8" t="str">
        <f t="shared" si="93"/>
        <v/>
      </c>
      <c r="G359" t="str">
        <f t="shared" si="95"/>
        <v/>
      </c>
      <c r="H359">
        <f t="shared" si="96"/>
        <v>0</v>
      </c>
      <c r="I359">
        <f t="shared" si="103"/>
        <v>0</v>
      </c>
      <c r="J359">
        <f t="shared" si="97"/>
        <v>4588</v>
      </c>
      <c r="K359">
        <f t="shared" si="98"/>
        <v>1</v>
      </c>
      <c r="L359">
        <f t="shared" si="99"/>
        <v>16</v>
      </c>
      <c r="M359">
        <f t="shared" si="100"/>
        <v>28</v>
      </c>
      <c r="N359">
        <f t="shared" si="110"/>
        <v>0</v>
      </c>
      <c r="O359">
        <f t="shared" si="110"/>
        <v>1</v>
      </c>
      <c r="P359">
        <f t="shared" si="110"/>
        <v>15</v>
      </c>
      <c r="Q359">
        <f t="shared" si="105"/>
        <v>75</v>
      </c>
      <c r="R359">
        <f t="shared" si="106"/>
        <v>0</v>
      </c>
      <c r="S359">
        <f t="shared" si="107"/>
        <v>1</v>
      </c>
      <c r="T359">
        <f t="shared" si="108"/>
        <v>15</v>
      </c>
      <c r="U359">
        <f t="shared" si="109"/>
        <v>75</v>
      </c>
    </row>
    <row r="360" spans="2:21" hidden="1" x14ac:dyDescent="0.25">
      <c r="B360" t="b">
        <f t="shared" si="94"/>
        <v>0</v>
      </c>
      <c r="C360" t="b">
        <f t="shared" si="104"/>
        <v>0</v>
      </c>
      <c r="D360">
        <f t="shared" si="101"/>
        <v>1</v>
      </c>
      <c r="E360" t="str">
        <f t="shared" si="102"/>
        <v>6. Conclusion</v>
      </c>
      <c r="F360" s="8" t="str">
        <f t="shared" ref="F360:F423" si="111">SUBSTITUTE(IF(C360,D360&amp;". "&amp;A360,""),":"," -")</f>
        <v/>
      </c>
      <c r="G360" t="str">
        <f t="shared" si="95"/>
        <v/>
      </c>
      <c r="H360">
        <f t="shared" si="96"/>
        <v>0</v>
      </c>
      <c r="I360">
        <f t="shared" si="103"/>
        <v>0</v>
      </c>
      <c r="J360">
        <f t="shared" si="97"/>
        <v>4588</v>
      </c>
      <c r="K360">
        <f t="shared" si="98"/>
        <v>1</v>
      </c>
      <c r="L360">
        <f t="shared" si="99"/>
        <v>16</v>
      </c>
      <c r="M360">
        <f t="shared" si="100"/>
        <v>28</v>
      </c>
      <c r="N360">
        <f t="shared" si="110"/>
        <v>0</v>
      </c>
      <c r="O360">
        <f t="shared" si="110"/>
        <v>1</v>
      </c>
      <c r="P360">
        <f t="shared" si="110"/>
        <v>15</v>
      </c>
      <c r="Q360">
        <f t="shared" si="105"/>
        <v>75</v>
      </c>
      <c r="R360">
        <f t="shared" si="106"/>
        <v>0</v>
      </c>
      <c r="S360">
        <f t="shared" si="107"/>
        <v>1</v>
      </c>
      <c r="T360">
        <f t="shared" si="108"/>
        <v>15</v>
      </c>
      <c r="U360">
        <f t="shared" si="109"/>
        <v>75</v>
      </c>
    </row>
    <row r="361" spans="2:21" hidden="1" x14ac:dyDescent="0.25">
      <c r="B361" t="b">
        <f t="shared" si="94"/>
        <v>0</v>
      </c>
      <c r="C361" t="b">
        <f t="shared" si="104"/>
        <v>0</v>
      </c>
      <c r="D361">
        <f t="shared" si="101"/>
        <v>1</v>
      </c>
      <c r="E361" t="str">
        <f t="shared" si="102"/>
        <v>6. Conclusion</v>
      </c>
      <c r="F361" s="8" t="str">
        <f t="shared" si="111"/>
        <v/>
      </c>
      <c r="G361" t="str">
        <f t="shared" si="95"/>
        <v/>
      </c>
      <c r="H361">
        <f t="shared" si="96"/>
        <v>0</v>
      </c>
      <c r="I361">
        <f t="shared" si="103"/>
        <v>0</v>
      </c>
      <c r="J361">
        <f t="shared" si="97"/>
        <v>4588</v>
      </c>
      <c r="K361">
        <f t="shared" si="98"/>
        <v>1</v>
      </c>
      <c r="L361">
        <f t="shared" si="99"/>
        <v>16</v>
      </c>
      <c r="M361">
        <f t="shared" si="100"/>
        <v>28</v>
      </c>
      <c r="N361">
        <f t="shared" si="110"/>
        <v>0</v>
      </c>
      <c r="O361">
        <f t="shared" si="110"/>
        <v>1</v>
      </c>
      <c r="P361">
        <f t="shared" si="110"/>
        <v>15</v>
      </c>
      <c r="Q361">
        <f t="shared" si="105"/>
        <v>75</v>
      </c>
      <c r="R361">
        <f t="shared" si="106"/>
        <v>0</v>
      </c>
      <c r="S361">
        <f t="shared" si="107"/>
        <v>1</v>
      </c>
      <c r="T361">
        <f t="shared" si="108"/>
        <v>15</v>
      </c>
      <c r="U361">
        <f t="shared" si="109"/>
        <v>75</v>
      </c>
    </row>
    <row r="362" spans="2:21" hidden="1" x14ac:dyDescent="0.25">
      <c r="B362" t="b">
        <f t="shared" si="94"/>
        <v>0</v>
      </c>
      <c r="C362" t="b">
        <f t="shared" si="104"/>
        <v>0</v>
      </c>
      <c r="D362">
        <f t="shared" si="101"/>
        <v>1</v>
      </c>
      <c r="E362" t="str">
        <f t="shared" si="102"/>
        <v>6. Conclusion</v>
      </c>
      <c r="F362" s="8" t="str">
        <f t="shared" si="111"/>
        <v/>
      </c>
      <c r="G362" t="str">
        <f t="shared" si="95"/>
        <v/>
      </c>
      <c r="H362">
        <f t="shared" si="96"/>
        <v>0</v>
      </c>
      <c r="I362">
        <f t="shared" si="103"/>
        <v>0</v>
      </c>
      <c r="J362">
        <f t="shared" si="97"/>
        <v>4588</v>
      </c>
      <c r="K362">
        <f t="shared" si="98"/>
        <v>1</v>
      </c>
      <c r="L362">
        <f t="shared" si="99"/>
        <v>16</v>
      </c>
      <c r="M362">
        <f t="shared" si="100"/>
        <v>28</v>
      </c>
      <c r="N362">
        <f t="shared" si="110"/>
        <v>0</v>
      </c>
      <c r="O362">
        <f t="shared" si="110"/>
        <v>1</v>
      </c>
      <c r="P362">
        <f t="shared" si="110"/>
        <v>15</v>
      </c>
      <c r="Q362">
        <f t="shared" si="105"/>
        <v>75</v>
      </c>
      <c r="R362">
        <f t="shared" si="106"/>
        <v>0</v>
      </c>
      <c r="S362">
        <f t="shared" si="107"/>
        <v>1</v>
      </c>
      <c r="T362">
        <f t="shared" si="108"/>
        <v>15</v>
      </c>
      <c r="U362">
        <f t="shared" si="109"/>
        <v>75</v>
      </c>
    </row>
    <row r="363" spans="2:21" hidden="1" x14ac:dyDescent="0.25">
      <c r="B363" t="b">
        <f t="shared" si="94"/>
        <v>0</v>
      </c>
      <c r="C363" t="b">
        <f t="shared" si="104"/>
        <v>0</v>
      </c>
      <c r="D363">
        <f t="shared" si="101"/>
        <v>1</v>
      </c>
      <c r="E363" t="str">
        <f t="shared" si="102"/>
        <v>6. Conclusion</v>
      </c>
      <c r="F363" s="8" t="str">
        <f t="shared" si="111"/>
        <v/>
      </c>
      <c r="G363" t="str">
        <f t="shared" si="95"/>
        <v/>
      </c>
      <c r="H363">
        <f t="shared" si="96"/>
        <v>0</v>
      </c>
      <c r="I363">
        <f t="shared" si="103"/>
        <v>0</v>
      </c>
      <c r="J363">
        <f t="shared" si="97"/>
        <v>4588</v>
      </c>
      <c r="K363">
        <f t="shared" si="98"/>
        <v>1</v>
      </c>
      <c r="L363">
        <f t="shared" si="99"/>
        <v>16</v>
      </c>
      <c r="M363">
        <f t="shared" si="100"/>
        <v>28</v>
      </c>
      <c r="N363">
        <f t="shared" si="110"/>
        <v>0</v>
      </c>
      <c r="O363">
        <f t="shared" si="110"/>
        <v>1</v>
      </c>
      <c r="P363">
        <f t="shared" si="110"/>
        <v>15</v>
      </c>
      <c r="Q363">
        <f t="shared" si="105"/>
        <v>75</v>
      </c>
      <c r="R363">
        <f t="shared" si="106"/>
        <v>0</v>
      </c>
      <c r="S363">
        <f t="shared" si="107"/>
        <v>1</v>
      </c>
      <c r="T363">
        <f t="shared" si="108"/>
        <v>15</v>
      </c>
      <c r="U363">
        <f t="shared" si="109"/>
        <v>75</v>
      </c>
    </row>
    <row r="364" spans="2:21" hidden="1" x14ac:dyDescent="0.25">
      <c r="B364" t="b">
        <f t="shared" si="94"/>
        <v>0</v>
      </c>
      <c r="C364" t="b">
        <f t="shared" si="104"/>
        <v>0</v>
      </c>
      <c r="D364">
        <f t="shared" si="101"/>
        <v>1</v>
      </c>
      <c r="E364" t="str">
        <f t="shared" si="102"/>
        <v>6. Conclusion</v>
      </c>
      <c r="F364" s="8" t="str">
        <f t="shared" si="111"/>
        <v/>
      </c>
      <c r="G364" t="str">
        <f t="shared" si="95"/>
        <v/>
      </c>
      <c r="H364">
        <f t="shared" si="96"/>
        <v>0</v>
      </c>
      <c r="I364">
        <f t="shared" si="103"/>
        <v>0</v>
      </c>
      <c r="J364">
        <f t="shared" si="97"/>
        <v>4588</v>
      </c>
      <c r="K364">
        <f t="shared" si="98"/>
        <v>1</v>
      </c>
      <c r="L364">
        <f t="shared" si="99"/>
        <v>16</v>
      </c>
      <c r="M364">
        <f t="shared" si="100"/>
        <v>28</v>
      </c>
      <c r="N364">
        <f t="shared" si="110"/>
        <v>0</v>
      </c>
      <c r="O364">
        <f t="shared" si="110"/>
        <v>1</v>
      </c>
      <c r="P364">
        <f t="shared" si="110"/>
        <v>15</v>
      </c>
      <c r="Q364">
        <f t="shared" si="105"/>
        <v>75</v>
      </c>
      <c r="R364">
        <f t="shared" si="106"/>
        <v>0</v>
      </c>
      <c r="S364">
        <f t="shared" si="107"/>
        <v>1</v>
      </c>
      <c r="T364">
        <f t="shared" si="108"/>
        <v>15</v>
      </c>
      <c r="U364">
        <f t="shared" si="109"/>
        <v>75</v>
      </c>
    </row>
    <row r="365" spans="2:21" hidden="1" x14ac:dyDescent="0.25">
      <c r="B365" t="b">
        <f t="shared" si="94"/>
        <v>0</v>
      </c>
      <c r="C365" t="b">
        <f t="shared" si="104"/>
        <v>0</v>
      </c>
      <c r="D365">
        <f t="shared" si="101"/>
        <v>1</v>
      </c>
      <c r="E365" t="str">
        <f t="shared" si="102"/>
        <v>6. Conclusion</v>
      </c>
      <c r="F365" s="8" t="str">
        <f t="shared" si="111"/>
        <v/>
      </c>
      <c r="G365" t="str">
        <f t="shared" si="95"/>
        <v/>
      </c>
      <c r="H365">
        <f t="shared" si="96"/>
        <v>0</v>
      </c>
      <c r="I365">
        <f t="shared" si="103"/>
        <v>0</v>
      </c>
      <c r="J365">
        <f t="shared" si="97"/>
        <v>4588</v>
      </c>
      <c r="K365">
        <f t="shared" si="98"/>
        <v>1</v>
      </c>
      <c r="L365">
        <f t="shared" si="99"/>
        <v>16</v>
      </c>
      <c r="M365">
        <f t="shared" si="100"/>
        <v>28</v>
      </c>
      <c r="N365">
        <f t="shared" si="110"/>
        <v>0</v>
      </c>
      <c r="O365">
        <f t="shared" si="110"/>
        <v>1</v>
      </c>
      <c r="P365">
        <f t="shared" si="110"/>
        <v>15</v>
      </c>
      <c r="Q365">
        <f t="shared" si="105"/>
        <v>75</v>
      </c>
      <c r="R365">
        <f t="shared" si="106"/>
        <v>0</v>
      </c>
      <c r="S365">
        <f t="shared" si="107"/>
        <v>1</v>
      </c>
      <c r="T365">
        <f t="shared" si="108"/>
        <v>15</v>
      </c>
      <c r="U365">
        <f t="shared" si="109"/>
        <v>75</v>
      </c>
    </row>
    <row r="366" spans="2:21" hidden="1" x14ac:dyDescent="0.25">
      <c r="B366" t="b">
        <f t="shared" si="94"/>
        <v>0</v>
      </c>
      <c r="C366" t="b">
        <f t="shared" si="104"/>
        <v>0</v>
      </c>
      <c r="D366">
        <f t="shared" si="101"/>
        <v>1</v>
      </c>
      <c r="E366" t="str">
        <f t="shared" si="102"/>
        <v>6. Conclusion</v>
      </c>
      <c r="F366" s="8" t="str">
        <f t="shared" si="111"/>
        <v/>
      </c>
      <c r="G366" t="str">
        <f t="shared" si="95"/>
        <v/>
      </c>
      <c r="H366">
        <f t="shared" si="96"/>
        <v>0</v>
      </c>
      <c r="I366">
        <f t="shared" si="103"/>
        <v>0</v>
      </c>
      <c r="J366">
        <f t="shared" si="97"/>
        <v>4588</v>
      </c>
      <c r="K366">
        <f t="shared" si="98"/>
        <v>1</v>
      </c>
      <c r="L366">
        <f t="shared" si="99"/>
        <v>16</v>
      </c>
      <c r="M366">
        <f t="shared" si="100"/>
        <v>28</v>
      </c>
      <c r="N366">
        <f t="shared" si="110"/>
        <v>0</v>
      </c>
      <c r="O366">
        <f t="shared" si="110"/>
        <v>1</v>
      </c>
      <c r="P366">
        <f t="shared" si="110"/>
        <v>15</v>
      </c>
      <c r="Q366">
        <f t="shared" si="105"/>
        <v>75</v>
      </c>
      <c r="R366">
        <f t="shared" si="106"/>
        <v>0</v>
      </c>
      <c r="S366">
        <f t="shared" si="107"/>
        <v>1</v>
      </c>
      <c r="T366">
        <f t="shared" si="108"/>
        <v>15</v>
      </c>
      <c r="U366">
        <f t="shared" si="109"/>
        <v>75</v>
      </c>
    </row>
    <row r="367" spans="2:21" hidden="1" x14ac:dyDescent="0.25">
      <c r="B367" t="b">
        <f t="shared" si="94"/>
        <v>0</v>
      </c>
      <c r="C367" t="b">
        <f t="shared" si="104"/>
        <v>0</v>
      </c>
      <c r="D367">
        <f t="shared" si="101"/>
        <v>1</v>
      </c>
      <c r="E367" t="str">
        <f t="shared" si="102"/>
        <v>6. Conclusion</v>
      </c>
      <c r="F367" s="8" t="str">
        <f t="shared" si="111"/>
        <v/>
      </c>
      <c r="G367" t="str">
        <f t="shared" si="95"/>
        <v/>
      </c>
      <c r="H367">
        <f t="shared" si="96"/>
        <v>0</v>
      </c>
      <c r="I367">
        <f t="shared" si="103"/>
        <v>0</v>
      </c>
      <c r="J367">
        <f t="shared" si="97"/>
        <v>4588</v>
      </c>
      <c r="K367">
        <f t="shared" si="98"/>
        <v>1</v>
      </c>
      <c r="L367">
        <f t="shared" si="99"/>
        <v>16</v>
      </c>
      <c r="M367">
        <f t="shared" si="100"/>
        <v>28</v>
      </c>
      <c r="N367">
        <f t="shared" si="110"/>
        <v>0</v>
      </c>
      <c r="O367">
        <f t="shared" si="110"/>
        <v>1</v>
      </c>
      <c r="P367">
        <f t="shared" si="110"/>
        <v>15</v>
      </c>
      <c r="Q367">
        <f t="shared" si="105"/>
        <v>75</v>
      </c>
      <c r="R367">
        <f t="shared" si="106"/>
        <v>0</v>
      </c>
      <c r="S367">
        <f t="shared" si="107"/>
        <v>1</v>
      </c>
      <c r="T367">
        <f t="shared" si="108"/>
        <v>15</v>
      </c>
      <c r="U367">
        <f t="shared" si="109"/>
        <v>75</v>
      </c>
    </row>
    <row r="368" spans="2:21" hidden="1" x14ac:dyDescent="0.25">
      <c r="B368" t="b">
        <f t="shared" si="94"/>
        <v>0</v>
      </c>
      <c r="C368" t="b">
        <f t="shared" si="104"/>
        <v>0</v>
      </c>
      <c r="D368">
        <f t="shared" si="101"/>
        <v>1</v>
      </c>
      <c r="E368" t="str">
        <f t="shared" si="102"/>
        <v>6. Conclusion</v>
      </c>
      <c r="F368" s="8" t="str">
        <f t="shared" si="111"/>
        <v/>
      </c>
      <c r="G368" t="str">
        <f t="shared" si="95"/>
        <v/>
      </c>
      <c r="H368">
        <f t="shared" si="96"/>
        <v>0</v>
      </c>
      <c r="I368">
        <f t="shared" si="103"/>
        <v>0</v>
      </c>
      <c r="J368">
        <f t="shared" si="97"/>
        <v>4588</v>
      </c>
      <c r="K368">
        <f t="shared" si="98"/>
        <v>1</v>
      </c>
      <c r="L368">
        <f t="shared" si="99"/>
        <v>16</v>
      </c>
      <c r="M368">
        <f t="shared" si="100"/>
        <v>28</v>
      </c>
      <c r="N368">
        <f t="shared" si="110"/>
        <v>0</v>
      </c>
      <c r="O368">
        <f t="shared" si="110"/>
        <v>1</v>
      </c>
      <c r="P368">
        <f t="shared" si="110"/>
        <v>15</v>
      </c>
      <c r="Q368">
        <f t="shared" si="105"/>
        <v>75</v>
      </c>
      <c r="R368">
        <f t="shared" si="106"/>
        <v>0</v>
      </c>
      <c r="S368">
        <f t="shared" si="107"/>
        <v>1</v>
      </c>
      <c r="T368">
        <f t="shared" si="108"/>
        <v>15</v>
      </c>
      <c r="U368">
        <f t="shared" si="109"/>
        <v>75</v>
      </c>
    </row>
    <row r="369" spans="2:21" hidden="1" x14ac:dyDescent="0.25">
      <c r="B369" t="b">
        <f t="shared" si="94"/>
        <v>0</v>
      </c>
      <c r="C369" t="b">
        <f t="shared" si="104"/>
        <v>0</v>
      </c>
      <c r="D369">
        <f t="shared" si="101"/>
        <v>1</v>
      </c>
      <c r="E369" t="str">
        <f t="shared" si="102"/>
        <v>6. Conclusion</v>
      </c>
      <c r="F369" s="8" t="str">
        <f t="shared" si="111"/>
        <v/>
      </c>
      <c r="G369" t="str">
        <f t="shared" si="95"/>
        <v/>
      </c>
      <c r="H369">
        <f t="shared" si="96"/>
        <v>0</v>
      </c>
      <c r="I369">
        <f t="shared" si="103"/>
        <v>0</v>
      </c>
      <c r="J369">
        <f t="shared" si="97"/>
        <v>4588</v>
      </c>
      <c r="K369">
        <f t="shared" si="98"/>
        <v>1</v>
      </c>
      <c r="L369">
        <f t="shared" si="99"/>
        <v>16</v>
      </c>
      <c r="M369">
        <f t="shared" si="100"/>
        <v>28</v>
      </c>
      <c r="N369">
        <f t="shared" si="110"/>
        <v>0</v>
      </c>
      <c r="O369">
        <f t="shared" si="110"/>
        <v>1</v>
      </c>
      <c r="P369">
        <f t="shared" si="110"/>
        <v>15</v>
      </c>
      <c r="Q369">
        <f t="shared" si="105"/>
        <v>75</v>
      </c>
      <c r="R369">
        <f t="shared" si="106"/>
        <v>0</v>
      </c>
      <c r="S369">
        <f t="shared" si="107"/>
        <v>1</v>
      </c>
      <c r="T369">
        <f t="shared" si="108"/>
        <v>15</v>
      </c>
      <c r="U369">
        <f t="shared" si="109"/>
        <v>75</v>
      </c>
    </row>
    <row r="370" spans="2:21" hidden="1" x14ac:dyDescent="0.25">
      <c r="B370" t="b">
        <f t="shared" si="94"/>
        <v>0</v>
      </c>
      <c r="C370" t="b">
        <f t="shared" si="104"/>
        <v>0</v>
      </c>
      <c r="D370">
        <f t="shared" si="101"/>
        <v>1</v>
      </c>
      <c r="E370" t="str">
        <f t="shared" si="102"/>
        <v>6. Conclusion</v>
      </c>
      <c r="F370" s="8" t="str">
        <f t="shared" si="111"/>
        <v/>
      </c>
      <c r="G370" t="str">
        <f t="shared" si="95"/>
        <v/>
      </c>
      <c r="H370">
        <f t="shared" si="96"/>
        <v>0</v>
      </c>
      <c r="I370">
        <f t="shared" si="103"/>
        <v>0</v>
      </c>
      <c r="J370">
        <f t="shared" si="97"/>
        <v>4588</v>
      </c>
      <c r="K370">
        <f t="shared" si="98"/>
        <v>1</v>
      </c>
      <c r="L370">
        <f t="shared" si="99"/>
        <v>16</v>
      </c>
      <c r="M370">
        <f t="shared" si="100"/>
        <v>28</v>
      </c>
      <c r="N370">
        <f t="shared" si="110"/>
        <v>0</v>
      </c>
      <c r="O370">
        <f t="shared" si="110"/>
        <v>1</v>
      </c>
      <c r="P370">
        <f t="shared" si="110"/>
        <v>15</v>
      </c>
      <c r="Q370">
        <f t="shared" si="105"/>
        <v>75</v>
      </c>
      <c r="R370">
        <f t="shared" si="106"/>
        <v>0</v>
      </c>
      <c r="S370">
        <f t="shared" si="107"/>
        <v>1</v>
      </c>
      <c r="T370">
        <f t="shared" si="108"/>
        <v>15</v>
      </c>
      <c r="U370">
        <f t="shared" si="109"/>
        <v>75</v>
      </c>
    </row>
    <row r="371" spans="2:21" hidden="1" x14ac:dyDescent="0.25">
      <c r="B371" t="b">
        <f t="shared" si="94"/>
        <v>0</v>
      </c>
      <c r="C371" t="b">
        <f t="shared" si="104"/>
        <v>0</v>
      </c>
      <c r="D371">
        <f t="shared" si="101"/>
        <v>1</v>
      </c>
      <c r="E371" t="str">
        <f t="shared" si="102"/>
        <v>6. Conclusion</v>
      </c>
      <c r="F371" s="8" t="str">
        <f t="shared" si="111"/>
        <v/>
      </c>
      <c r="G371" t="str">
        <f t="shared" si="95"/>
        <v/>
      </c>
      <c r="H371">
        <f t="shared" si="96"/>
        <v>0</v>
      </c>
      <c r="I371">
        <f t="shared" si="103"/>
        <v>0</v>
      </c>
      <c r="J371">
        <f t="shared" si="97"/>
        <v>4588</v>
      </c>
      <c r="K371">
        <f t="shared" si="98"/>
        <v>1</v>
      </c>
      <c r="L371">
        <f t="shared" si="99"/>
        <v>16</v>
      </c>
      <c r="M371">
        <f t="shared" si="100"/>
        <v>28</v>
      </c>
      <c r="N371">
        <f t="shared" si="110"/>
        <v>0</v>
      </c>
      <c r="O371">
        <f t="shared" si="110"/>
        <v>1</v>
      </c>
      <c r="P371">
        <f t="shared" si="110"/>
        <v>15</v>
      </c>
      <c r="Q371">
        <f t="shared" si="105"/>
        <v>75</v>
      </c>
      <c r="R371">
        <f t="shared" si="106"/>
        <v>0</v>
      </c>
      <c r="S371">
        <f t="shared" si="107"/>
        <v>1</v>
      </c>
      <c r="T371">
        <f t="shared" si="108"/>
        <v>15</v>
      </c>
      <c r="U371">
        <f t="shared" si="109"/>
        <v>75</v>
      </c>
    </row>
    <row r="372" spans="2:21" hidden="1" x14ac:dyDescent="0.25">
      <c r="B372" t="b">
        <f t="shared" si="94"/>
        <v>0</v>
      </c>
      <c r="C372" t="b">
        <f t="shared" si="104"/>
        <v>0</v>
      </c>
      <c r="D372">
        <f t="shared" si="101"/>
        <v>1</v>
      </c>
      <c r="E372" t="str">
        <f t="shared" si="102"/>
        <v>6. Conclusion</v>
      </c>
      <c r="F372" s="8" t="str">
        <f t="shared" si="111"/>
        <v/>
      </c>
      <c r="G372" t="str">
        <f t="shared" si="95"/>
        <v/>
      </c>
      <c r="H372">
        <f t="shared" si="96"/>
        <v>0</v>
      </c>
      <c r="I372">
        <f t="shared" si="103"/>
        <v>0</v>
      </c>
      <c r="J372">
        <f t="shared" si="97"/>
        <v>4588</v>
      </c>
      <c r="K372">
        <f t="shared" si="98"/>
        <v>1</v>
      </c>
      <c r="L372">
        <f t="shared" si="99"/>
        <v>16</v>
      </c>
      <c r="M372">
        <f t="shared" si="100"/>
        <v>28</v>
      </c>
      <c r="N372">
        <f t="shared" si="110"/>
        <v>0</v>
      </c>
      <c r="O372">
        <f t="shared" si="110"/>
        <v>1</v>
      </c>
      <c r="P372">
        <f t="shared" si="110"/>
        <v>15</v>
      </c>
      <c r="Q372">
        <f t="shared" si="105"/>
        <v>75</v>
      </c>
      <c r="R372">
        <f t="shared" si="106"/>
        <v>0</v>
      </c>
      <c r="S372">
        <f t="shared" si="107"/>
        <v>1</v>
      </c>
      <c r="T372">
        <f t="shared" si="108"/>
        <v>15</v>
      </c>
      <c r="U372">
        <f t="shared" si="109"/>
        <v>75</v>
      </c>
    </row>
    <row r="373" spans="2:21" hidden="1" x14ac:dyDescent="0.25">
      <c r="B373" t="b">
        <f t="shared" si="94"/>
        <v>0</v>
      </c>
      <c r="C373" t="b">
        <f t="shared" si="104"/>
        <v>0</v>
      </c>
      <c r="D373">
        <f t="shared" si="101"/>
        <v>1</v>
      </c>
      <c r="E373" t="str">
        <f t="shared" si="102"/>
        <v>6. Conclusion</v>
      </c>
      <c r="F373" s="8" t="str">
        <f t="shared" si="111"/>
        <v/>
      </c>
      <c r="G373" t="str">
        <f t="shared" si="95"/>
        <v/>
      </c>
      <c r="H373">
        <f t="shared" si="96"/>
        <v>0</v>
      </c>
      <c r="I373">
        <f t="shared" si="103"/>
        <v>0</v>
      </c>
      <c r="J373">
        <f t="shared" si="97"/>
        <v>4588</v>
      </c>
      <c r="K373">
        <f t="shared" si="98"/>
        <v>1</v>
      </c>
      <c r="L373">
        <f t="shared" si="99"/>
        <v>16</v>
      </c>
      <c r="M373">
        <f t="shared" si="100"/>
        <v>28</v>
      </c>
      <c r="N373">
        <f t="shared" si="110"/>
        <v>0</v>
      </c>
      <c r="O373">
        <f t="shared" si="110"/>
        <v>1</v>
      </c>
      <c r="P373">
        <f t="shared" si="110"/>
        <v>15</v>
      </c>
      <c r="Q373">
        <f t="shared" si="105"/>
        <v>75</v>
      </c>
      <c r="R373">
        <f t="shared" si="106"/>
        <v>0</v>
      </c>
      <c r="S373">
        <f t="shared" si="107"/>
        <v>1</v>
      </c>
      <c r="T373">
        <f t="shared" si="108"/>
        <v>15</v>
      </c>
      <c r="U373">
        <f t="shared" si="109"/>
        <v>75</v>
      </c>
    </row>
    <row r="374" spans="2:21" hidden="1" x14ac:dyDescent="0.25">
      <c r="B374" t="b">
        <f t="shared" si="94"/>
        <v>0</v>
      </c>
      <c r="C374" t="b">
        <f t="shared" si="104"/>
        <v>0</v>
      </c>
      <c r="D374">
        <f t="shared" si="101"/>
        <v>1</v>
      </c>
      <c r="E374" t="str">
        <f t="shared" si="102"/>
        <v>6. Conclusion</v>
      </c>
      <c r="F374" s="8" t="str">
        <f t="shared" si="111"/>
        <v/>
      </c>
      <c r="G374" t="str">
        <f t="shared" si="95"/>
        <v/>
      </c>
      <c r="H374">
        <f t="shared" si="96"/>
        <v>0</v>
      </c>
      <c r="I374">
        <f t="shared" si="103"/>
        <v>0</v>
      </c>
      <c r="J374">
        <f t="shared" si="97"/>
        <v>4588</v>
      </c>
      <c r="K374">
        <f t="shared" si="98"/>
        <v>1</v>
      </c>
      <c r="L374">
        <f t="shared" si="99"/>
        <v>16</v>
      </c>
      <c r="M374">
        <f t="shared" si="100"/>
        <v>28</v>
      </c>
      <c r="N374">
        <f t="shared" si="110"/>
        <v>0</v>
      </c>
      <c r="O374">
        <f t="shared" si="110"/>
        <v>1</v>
      </c>
      <c r="P374">
        <f t="shared" si="110"/>
        <v>15</v>
      </c>
      <c r="Q374">
        <f t="shared" si="105"/>
        <v>75</v>
      </c>
      <c r="R374">
        <f t="shared" si="106"/>
        <v>0</v>
      </c>
      <c r="S374">
        <f t="shared" si="107"/>
        <v>1</v>
      </c>
      <c r="T374">
        <f t="shared" si="108"/>
        <v>15</v>
      </c>
      <c r="U374">
        <f t="shared" si="109"/>
        <v>75</v>
      </c>
    </row>
    <row r="375" spans="2:21" hidden="1" x14ac:dyDescent="0.25">
      <c r="B375" t="b">
        <f t="shared" si="94"/>
        <v>0</v>
      </c>
      <c r="C375" t="b">
        <f t="shared" si="104"/>
        <v>0</v>
      </c>
      <c r="D375">
        <f t="shared" si="101"/>
        <v>1</v>
      </c>
      <c r="E375" t="str">
        <f t="shared" si="102"/>
        <v>6. Conclusion</v>
      </c>
      <c r="F375" s="8" t="str">
        <f t="shared" si="111"/>
        <v/>
      </c>
      <c r="G375" t="str">
        <f t="shared" si="95"/>
        <v/>
      </c>
      <c r="H375">
        <f t="shared" si="96"/>
        <v>0</v>
      </c>
      <c r="I375">
        <f t="shared" si="103"/>
        <v>0</v>
      </c>
      <c r="J375">
        <f t="shared" si="97"/>
        <v>4588</v>
      </c>
      <c r="K375">
        <f t="shared" si="98"/>
        <v>1</v>
      </c>
      <c r="L375">
        <f t="shared" si="99"/>
        <v>16</v>
      </c>
      <c r="M375">
        <f t="shared" si="100"/>
        <v>28</v>
      </c>
      <c r="N375">
        <f t="shared" si="110"/>
        <v>0</v>
      </c>
      <c r="O375">
        <f t="shared" si="110"/>
        <v>1</v>
      </c>
      <c r="P375">
        <f t="shared" si="110"/>
        <v>15</v>
      </c>
      <c r="Q375">
        <f t="shared" si="105"/>
        <v>75</v>
      </c>
      <c r="R375">
        <f t="shared" si="106"/>
        <v>0</v>
      </c>
      <c r="S375">
        <f t="shared" si="107"/>
        <v>1</v>
      </c>
      <c r="T375">
        <f t="shared" si="108"/>
        <v>15</v>
      </c>
      <c r="U375">
        <f t="shared" si="109"/>
        <v>75</v>
      </c>
    </row>
    <row r="376" spans="2:21" hidden="1" x14ac:dyDescent="0.25">
      <c r="B376" t="b">
        <f t="shared" si="94"/>
        <v>0</v>
      </c>
      <c r="C376" t="b">
        <f t="shared" si="104"/>
        <v>0</v>
      </c>
      <c r="D376">
        <f t="shared" si="101"/>
        <v>1</v>
      </c>
      <c r="E376" t="str">
        <f t="shared" si="102"/>
        <v>6. Conclusion</v>
      </c>
      <c r="F376" s="8" t="str">
        <f t="shared" si="111"/>
        <v/>
      </c>
      <c r="G376" t="str">
        <f t="shared" si="95"/>
        <v/>
      </c>
      <c r="H376">
        <f t="shared" si="96"/>
        <v>0</v>
      </c>
      <c r="I376">
        <f t="shared" si="103"/>
        <v>0</v>
      </c>
      <c r="J376">
        <f t="shared" si="97"/>
        <v>4588</v>
      </c>
      <c r="K376">
        <f t="shared" si="98"/>
        <v>1</v>
      </c>
      <c r="L376">
        <f t="shared" si="99"/>
        <v>16</v>
      </c>
      <c r="M376">
        <f t="shared" si="100"/>
        <v>28</v>
      </c>
      <c r="N376">
        <f t="shared" si="110"/>
        <v>0</v>
      </c>
      <c r="O376">
        <f t="shared" si="110"/>
        <v>1</v>
      </c>
      <c r="P376">
        <f t="shared" si="110"/>
        <v>15</v>
      </c>
      <c r="Q376">
        <f t="shared" si="105"/>
        <v>75</v>
      </c>
      <c r="R376">
        <f t="shared" si="106"/>
        <v>0</v>
      </c>
      <c r="S376">
        <f t="shared" si="107"/>
        <v>1</v>
      </c>
      <c r="T376">
        <f t="shared" si="108"/>
        <v>15</v>
      </c>
      <c r="U376">
        <f t="shared" si="109"/>
        <v>75</v>
      </c>
    </row>
    <row r="377" spans="2:21" hidden="1" x14ac:dyDescent="0.25">
      <c r="B377" t="b">
        <f t="shared" si="94"/>
        <v>0</v>
      </c>
      <c r="C377" t="b">
        <f t="shared" si="104"/>
        <v>0</v>
      </c>
      <c r="D377">
        <f t="shared" si="101"/>
        <v>1</v>
      </c>
      <c r="E377" t="str">
        <f t="shared" si="102"/>
        <v>6. Conclusion</v>
      </c>
      <c r="F377" s="8" t="str">
        <f t="shared" si="111"/>
        <v/>
      </c>
      <c r="G377" t="str">
        <f t="shared" si="95"/>
        <v/>
      </c>
      <c r="H377">
        <f t="shared" si="96"/>
        <v>0</v>
      </c>
      <c r="I377">
        <f t="shared" si="103"/>
        <v>0</v>
      </c>
      <c r="J377">
        <f t="shared" si="97"/>
        <v>4588</v>
      </c>
      <c r="K377">
        <f t="shared" si="98"/>
        <v>1</v>
      </c>
      <c r="L377">
        <f t="shared" si="99"/>
        <v>16</v>
      </c>
      <c r="M377">
        <f t="shared" si="100"/>
        <v>28</v>
      </c>
      <c r="N377">
        <f t="shared" si="110"/>
        <v>0</v>
      </c>
      <c r="O377">
        <f t="shared" si="110"/>
        <v>1</v>
      </c>
      <c r="P377">
        <f t="shared" si="110"/>
        <v>15</v>
      </c>
      <c r="Q377">
        <f t="shared" si="105"/>
        <v>75</v>
      </c>
      <c r="R377">
        <f t="shared" si="106"/>
        <v>0</v>
      </c>
      <c r="S377">
        <f t="shared" si="107"/>
        <v>1</v>
      </c>
      <c r="T377">
        <f t="shared" si="108"/>
        <v>15</v>
      </c>
      <c r="U377">
        <f t="shared" si="109"/>
        <v>75</v>
      </c>
    </row>
    <row r="378" spans="2:21" hidden="1" x14ac:dyDescent="0.25">
      <c r="B378" t="b">
        <f t="shared" si="94"/>
        <v>0</v>
      </c>
      <c r="C378" t="b">
        <f t="shared" si="104"/>
        <v>0</v>
      </c>
      <c r="D378">
        <f t="shared" si="101"/>
        <v>1</v>
      </c>
      <c r="E378" t="str">
        <f t="shared" si="102"/>
        <v>6. Conclusion</v>
      </c>
      <c r="F378" s="8" t="str">
        <f t="shared" si="111"/>
        <v/>
      </c>
      <c r="G378" t="str">
        <f t="shared" si="95"/>
        <v/>
      </c>
      <c r="H378">
        <f t="shared" si="96"/>
        <v>0</v>
      </c>
      <c r="I378">
        <f t="shared" si="103"/>
        <v>0</v>
      </c>
      <c r="J378">
        <f t="shared" si="97"/>
        <v>4588</v>
      </c>
      <c r="K378">
        <f t="shared" si="98"/>
        <v>1</v>
      </c>
      <c r="L378">
        <f t="shared" si="99"/>
        <v>16</v>
      </c>
      <c r="M378">
        <f t="shared" si="100"/>
        <v>28</v>
      </c>
      <c r="N378">
        <f t="shared" si="110"/>
        <v>0</v>
      </c>
      <c r="O378">
        <f t="shared" si="110"/>
        <v>1</v>
      </c>
      <c r="P378">
        <f t="shared" si="110"/>
        <v>15</v>
      </c>
      <c r="Q378">
        <f t="shared" si="105"/>
        <v>75</v>
      </c>
      <c r="R378">
        <f t="shared" si="106"/>
        <v>0</v>
      </c>
      <c r="S378">
        <f t="shared" si="107"/>
        <v>1</v>
      </c>
      <c r="T378">
        <f t="shared" si="108"/>
        <v>15</v>
      </c>
      <c r="U378">
        <f t="shared" si="109"/>
        <v>75</v>
      </c>
    </row>
    <row r="379" spans="2:21" hidden="1" x14ac:dyDescent="0.25">
      <c r="B379" t="b">
        <f t="shared" si="94"/>
        <v>0</v>
      </c>
      <c r="C379" t="b">
        <f t="shared" si="104"/>
        <v>0</v>
      </c>
      <c r="D379">
        <f t="shared" si="101"/>
        <v>1</v>
      </c>
      <c r="E379" t="str">
        <f t="shared" si="102"/>
        <v>6. Conclusion</v>
      </c>
      <c r="F379" s="8" t="str">
        <f t="shared" si="111"/>
        <v/>
      </c>
      <c r="G379" t="str">
        <f t="shared" si="95"/>
        <v/>
      </c>
      <c r="H379">
        <f t="shared" si="96"/>
        <v>0</v>
      </c>
      <c r="I379">
        <f t="shared" si="103"/>
        <v>0</v>
      </c>
      <c r="J379">
        <f t="shared" si="97"/>
        <v>4588</v>
      </c>
      <c r="K379">
        <f t="shared" si="98"/>
        <v>1</v>
      </c>
      <c r="L379">
        <f t="shared" si="99"/>
        <v>16</v>
      </c>
      <c r="M379">
        <f t="shared" si="100"/>
        <v>28</v>
      </c>
      <c r="N379">
        <f t="shared" si="110"/>
        <v>0</v>
      </c>
      <c r="O379">
        <f t="shared" si="110"/>
        <v>1</v>
      </c>
      <c r="P379">
        <f t="shared" si="110"/>
        <v>15</v>
      </c>
      <c r="Q379">
        <f t="shared" si="105"/>
        <v>75</v>
      </c>
      <c r="R379">
        <f t="shared" si="106"/>
        <v>0</v>
      </c>
      <c r="S379">
        <f t="shared" si="107"/>
        <v>1</v>
      </c>
      <c r="T379">
        <f t="shared" si="108"/>
        <v>15</v>
      </c>
      <c r="U379">
        <f t="shared" si="109"/>
        <v>75</v>
      </c>
    </row>
    <row r="380" spans="2:21" hidden="1" x14ac:dyDescent="0.25">
      <c r="B380" t="b">
        <f t="shared" si="94"/>
        <v>0</v>
      </c>
      <c r="C380" t="b">
        <f t="shared" si="104"/>
        <v>0</v>
      </c>
      <c r="D380">
        <f t="shared" si="101"/>
        <v>1</v>
      </c>
      <c r="E380" t="str">
        <f t="shared" si="102"/>
        <v>6. Conclusion</v>
      </c>
      <c r="F380" s="8" t="str">
        <f t="shared" si="111"/>
        <v/>
      </c>
      <c r="G380" t="str">
        <f t="shared" si="95"/>
        <v/>
      </c>
      <c r="H380">
        <f t="shared" si="96"/>
        <v>0</v>
      </c>
      <c r="I380">
        <f t="shared" si="103"/>
        <v>0</v>
      </c>
      <c r="J380">
        <f t="shared" si="97"/>
        <v>4588</v>
      </c>
      <c r="K380">
        <f t="shared" si="98"/>
        <v>1</v>
      </c>
      <c r="L380">
        <f t="shared" si="99"/>
        <v>16</v>
      </c>
      <c r="M380">
        <f t="shared" si="100"/>
        <v>28</v>
      </c>
      <c r="N380">
        <f t="shared" si="110"/>
        <v>0</v>
      </c>
      <c r="O380">
        <f t="shared" si="110"/>
        <v>1</v>
      </c>
      <c r="P380">
        <f t="shared" si="110"/>
        <v>15</v>
      </c>
      <c r="Q380">
        <f t="shared" si="105"/>
        <v>75</v>
      </c>
      <c r="R380">
        <f t="shared" si="106"/>
        <v>0</v>
      </c>
      <c r="S380">
        <f t="shared" si="107"/>
        <v>1</v>
      </c>
      <c r="T380">
        <f t="shared" si="108"/>
        <v>15</v>
      </c>
      <c r="U380">
        <f t="shared" si="109"/>
        <v>75</v>
      </c>
    </row>
    <row r="381" spans="2:21" hidden="1" x14ac:dyDescent="0.25">
      <c r="B381" t="b">
        <f t="shared" si="94"/>
        <v>0</v>
      </c>
      <c r="C381" t="b">
        <f t="shared" si="104"/>
        <v>0</v>
      </c>
      <c r="D381">
        <f t="shared" si="101"/>
        <v>1</v>
      </c>
      <c r="E381" t="str">
        <f t="shared" si="102"/>
        <v>6. Conclusion</v>
      </c>
      <c r="F381" s="8" t="str">
        <f t="shared" si="111"/>
        <v/>
      </c>
      <c r="G381" t="str">
        <f t="shared" si="95"/>
        <v/>
      </c>
      <c r="H381">
        <f t="shared" si="96"/>
        <v>0</v>
      </c>
      <c r="I381">
        <f t="shared" si="103"/>
        <v>0</v>
      </c>
      <c r="J381">
        <f t="shared" si="97"/>
        <v>4588</v>
      </c>
      <c r="K381">
        <f t="shared" si="98"/>
        <v>1</v>
      </c>
      <c r="L381">
        <f t="shared" si="99"/>
        <v>16</v>
      </c>
      <c r="M381">
        <f t="shared" si="100"/>
        <v>28</v>
      </c>
      <c r="N381">
        <f t="shared" si="110"/>
        <v>0</v>
      </c>
      <c r="O381">
        <f t="shared" si="110"/>
        <v>1</v>
      </c>
      <c r="P381">
        <f t="shared" si="110"/>
        <v>15</v>
      </c>
      <c r="Q381">
        <f t="shared" si="105"/>
        <v>75</v>
      </c>
      <c r="R381">
        <f t="shared" si="106"/>
        <v>0</v>
      </c>
      <c r="S381">
        <f t="shared" si="107"/>
        <v>1</v>
      </c>
      <c r="T381">
        <f t="shared" si="108"/>
        <v>15</v>
      </c>
      <c r="U381">
        <f t="shared" si="109"/>
        <v>75</v>
      </c>
    </row>
    <row r="382" spans="2:21" hidden="1" x14ac:dyDescent="0.25">
      <c r="B382" t="b">
        <f t="shared" si="94"/>
        <v>0</v>
      </c>
      <c r="C382" t="b">
        <f t="shared" si="104"/>
        <v>0</v>
      </c>
      <c r="D382">
        <f t="shared" si="101"/>
        <v>1</v>
      </c>
      <c r="E382" t="str">
        <f t="shared" si="102"/>
        <v>6. Conclusion</v>
      </c>
      <c r="F382" s="8" t="str">
        <f t="shared" si="111"/>
        <v/>
      </c>
      <c r="G382" t="str">
        <f t="shared" si="95"/>
        <v/>
      </c>
      <c r="H382">
        <f t="shared" si="96"/>
        <v>0</v>
      </c>
      <c r="I382">
        <f t="shared" si="103"/>
        <v>0</v>
      </c>
      <c r="J382">
        <f t="shared" si="97"/>
        <v>4588</v>
      </c>
      <c r="K382">
        <f t="shared" si="98"/>
        <v>1</v>
      </c>
      <c r="L382">
        <f t="shared" si="99"/>
        <v>16</v>
      </c>
      <c r="M382">
        <f t="shared" si="100"/>
        <v>28</v>
      </c>
      <c r="N382">
        <f t="shared" si="110"/>
        <v>0</v>
      </c>
      <c r="O382">
        <f t="shared" si="110"/>
        <v>1</v>
      </c>
      <c r="P382">
        <f t="shared" si="110"/>
        <v>15</v>
      </c>
      <c r="Q382">
        <f t="shared" si="105"/>
        <v>75</v>
      </c>
      <c r="R382">
        <f t="shared" si="106"/>
        <v>0</v>
      </c>
      <c r="S382">
        <f t="shared" si="107"/>
        <v>1</v>
      </c>
      <c r="T382">
        <f t="shared" si="108"/>
        <v>15</v>
      </c>
      <c r="U382">
        <f t="shared" si="109"/>
        <v>75</v>
      </c>
    </row>
    <row r="383" spans="2:21" hidden="1" x14ac:dyDescent="0.25">
      <c r="B383" t="b">
        <f t="shared" si="94"/>
        <v>0</v>
      </c>
      <c r="C383" t="b">
        <f t="shared" si="104"/>
        <v>0</v>
      </c>
      <c r="D383">
        <f t="shared" si="101"/>
        <v>1</v>
      </c>
      <c r="E383" t="str">
        <f t="shared" si="102"/>
        <v>6. Conclusion</v>
      </c>
      <c r="F383" s="8" t="str">
        <f t="shared" si="111"/>
        <v/>
      </c>
      <c r="G383" t="str">
        <f t="shared" si="95"/>
        <v/>
      </c>
      <c r="H383">
        <f t="shared" si="96"/>
        <v>0</v>
      </c>
      <c r="I383">
        <f t="shared" si="103"/>
        <v>0</v>
      </c>
      <c r="J383">
        <f t="shared" si="97"/>
        <v>4588</v>
      </c>
      <c r="K383">
        <f t="shared" si="98"/>
        <v>1</v>
      </c>
      <c r="L383">
        <f t="shared" si="99"/>
        <v>16</v>
      </c>
      <c r="M383">
        <f t="shared" si="100"/>
        <v>28</v>
      </c>
      <c r="N383">
        <f t="shared" si="110"/>
        <v>0</v>
      </c>
      <c r="O383">
        <f t="shared" si="110"/>
        <v>1</v>
      </c>
      <c r="P383">
        <f t="shared" si="110"/>
        <v>15</v>
      </c>
      <c r="Q383">
        <f t="shared" si="105"/>
        <v>75</v>
      </c>
      <c r="R383">
        <f t="shared" si="106"/>
        <v>0</v>
      </c>
      <c r="S383">
        <f t="shared" si="107"/>
        <v>1</v>
      </c>
      <c r="T383">
        <f t="shared" si="108"/>
        <v>15</v>
      </c>
      <c r="U383">
        <f t="shared" si="109"/>
        <v>75</v>
      </c>
    </row>
    <row r="384" spans="2:21" hidden="1" x14ac:dyDescent="0.25">
      <c r="B384" t="b">
        <f t="shared" si="94"/>
        <v>0</v>
      </c>
      <c r="C384" t="b">
        <f t="shared" si="104"/>
        <v>0</v>
      </c>
      <c r="D384">
        <f t="shared" si="101"/>
        <v>1</v>
      </c>
      <c r="E384" t="str">
        <f t="shared" si="102"/>
        <v>6. Conclusion</v>
      </c>
      <c r="F384" s="8" t="str">
        <f t="shared" si="111"/>
        <v/>
      </c>
      <c r="G384" t="str">
        <f t="shared" si="95"/>
        <v/>
      </c>
      <c r="H384">
        <f t="shared" si="96"/>
        <v>0</v>
      </c>
      <c r="I384">
        <f t="shared" si="103"/>
        <v>0</v>
      </c>
      <c r="J384">
        <f t="shared" si="97"/>
        <v>4588</v>
      </c>
      <c r="K384">
        <f t="shared" si="98"/>
        <v>1</v>
      </c>
      <c r="L384">
        <f t="shared" si="99"/>
        <v>16</v>
      </c>
      <c r="M384">
        <f t="shared" si="100"/>
        <v>28</v>
      </c>
      <c r="N384">
        <f t="shared" si="110"/>
        <v>0</v>
      </c>
      <c r="O384">
        <f t="shared" si="110"/>
        <v>1</v>
      </c>
      <c r="P384">
        <f t="shared" si="110"/>
        <v>15</v>
      </c>
      <c r="Q384">
        <f t="shared" si="105"/>
        <v>75</v>
      </c>
      <c r="R384">
        <f t="shared" si="106"/>
        <v>0</v>
      </c>
      <c r="S384">
        <f t="shared" si="107"/>
        <v>1</v>
      </c>
      <c r="T384">
        <f t="shared" si="108"/>
        <v>15</v>
      </c>
      <c r="U384">
        <f t="shared" si="109"/>
        <v>75</v>
      </c>
    </row>
    <row r="385" spans="2:21" hidden="1" x14ac:dyDescent="0.25">
      <c r="B385" t="b">
        <f t="shared" si="94"/>
        <v>0</v>
      </c>
      <c r="C385" t="b">
        <f t="shared" si="104"/>
        <v>0</v>
      </c>
      <c r="D385">
        <f t="shared" si="101"/>
        <v>1</v>
      </c>
      <c r="E385" t="str">
        <f t="shared" si="102"/>
        <v>6. Conclusion</v>
      </c>
      <c r="F385" s="8" t="str">
        <f t="shared" si="111"/>
        <v/>
      </c>
      <c r="G385" t="str">
        <f t="shared" si="95"/>
        <v/>
      </c>
      <c r="H385">
        <f t="shared" si="96"/>
        <v>0</v>
      </c>
      <c r="I385">
        <f t="shared" si="103"/>
        <v>0</v>
      </c>
      <c r="J385">
        <f t="shared" si="97"/>
        <v>4588</v>
      </c>
      <c r="K385">
        <f t="shared" si="98"/>
        <v>1</v>
      </c>
      <c r="L385">
        <f t="shared" si="99"/>
        <v>16</v>
      </c>
      <c r="M385">
        <f t="shared" si="100"/>
        <v>28</v>
      </c>
      <c r="N385">
        <f t="shared" si="110"/>
        <v>0</v>
      </c>
      <c r="O385">
        <f t="shared" si="110"/>
        <v>1</v>
      </c>
      <c r="P385">
        <f t="shared" si="110"/>
        <v>15</v>
      </c>
      <c r="Q385">
        <f t="shared" si="105"/>
        <v>75</v>
      </c>
      <c r="R385">
        <f t="shared" si="106"/>
        <v>0</v>
      </c>
      <c r="S385">
        <f t="shared" si="107"/>
        <v>1</v>
      </c>
      <c r="T385">
        <f t="shared" si="108"/>
        <v>15</v>
      </c>
      <c r="U385">
        <f t="shared" si="109"/>
        <v>75</v>
      </c>
    </row>
    <row r="386" spans="2:21" hidden="1" x14ac:dyDescent="0.25">
      <c r="B386" t="b">
        <f t="shared" si="94"/>
        <v>0</v>
      </c>
      <c r="C386" t="b">
        <f t="shared" si="104"/>
        <v>0</v>
      </c>
      <c r="D386">
        <f t="shared" si="101"/>
        <v>1</v>
      </c>
      <c r="E386" t="str">
        <f t="shared" si="102"/>
        <v>6. Conclusion</v>
      </c>
      <c r="F386" s="8" t="str">
        <f t="shared" si="111"/>
        <v/>
      </c>
      <c r="G386" t="str">
        <f t="shared" si="95"/>
        <v/>
      </c>
      <c r="H386">
        <f t="shared" si="96"/>
        <v>0</v>
      </c>
      <c r="I386">
        <f t="shared" si="103"/>
        <v>0</v>
      </c>
      <c r="J386">
        <f t="shared" si="97"/>
        <v>4588</v>
      </c>
      <c r="K386">
        <f t="shared" si="98"/>
        <v>1</v>
      </c>
      <c r="L386">
        <f t="shared" si="99"/>
        <v>16</v>
      </c>
      <c r="M386">
        <f t="shared" si="100"/>
        <v>28</v>
      </c>
      <c r="N386">
        <f t="shared" si="110"/>
        <v>0</v>
      </c>
      <c r="O386">
        <f t="shared" si="110"/>
        <v>1</v>
      </c>
      <c r="P386">
        <f t="shared" si="110"/>
        <v>15</v>
      </c>
      <c r="Q386">
        <f t="shared" si="105"/>
        <v>75</v>
      </c>
      <c r="R386">
        <f t="shared" si="106"/>
        <v>0</v>
      </c>
      <c r="S386">
        <f t="shared" si="107"/>
        <v>1</v>
      </c>
      <c r="T386">
        <f t="shared" si="108"/>
        <v>15</v>
      </c>
      <c r="U386">
        <f t="shared" si="109"/>
        <v>75</v>
      </c>
    </row>
    <row r="387" spans="2:21" hidden="1" x14ac:dyDescent="0.25">
      <c r="B387" t="b">
        <f t="shared" si="94"/>
        <v>0</v>
      </c>
      <c r="C387" t="b">
        <f t="shared" si="104"/>
        <v>0</v>
      </c>
      <c r="D387">
        <f t="shared" si="101"/>
        <v>1</v>
      </c>
      <c r="E387" t="str">
        <f t="shared" si="102"/>
        <v>6. Conclusion</v>
      </c>
      <c r="F387" s="8" t="str">
        <f t="shared" si="111"/>
        <v/>
      </c>
      <c r="G387" t="str">
        <f t="shared" si="95"/>
        <v/>
      </c>
      <c r="H387">
        <f t="shared" si="96"/>
        <v>0</v>
      </c>
      <c r="I387">
        <f t="shared" si="103"/>
        <v>0</v>
      </c>
      <c r="J387">
        <f t="shared" si="97"/>
        <v>4588</v>
      </c>
      <c r="K387">
        <f t="shared" si="98"/>
        <v>1</v>
      </c>
      <c r="L387">
        <f t="shared" si="99"/>
        <v>16</v>
      </c>
      <c r="M387">
        <f t="shared" si="100"/>
        <v>28</v>
      </c>
      <c r="N387">
        <f t="shared" si="110"/>
        <v>0</v>
      </c>
      <c r="O387">
        <f t="shared" si="110"/>
        <v>1</v>
      </c>
      <c r="P387">
        <f t="shared" si="110"/>
        <v>15</v>
      </c>
      <c r="Q387">
        <f t="shared" si="105"/>
        <v>75</v>
      </c>
      <c r="R387">
        <f t="shared" si="106"/>
        <v>0</v>
      </c>
      <c r="S387">
        <f t="shared" si="107"/>
        <v>1</v>
      </c>
      <c r="T387">
        <f t="shared" si="108"/>
        <v>15</v>
      </c>
      <c r="U387">
        <f t="shared" si="109"/>
        <v>75</v>
      </c>
    </row>
    <row r="388" spans="2:21" hidden="1" x14ac:dyDescent="0.25">
      <c r="B388" t="b">
        <f t="shared" si="94"/>
        <v>0</v>
      </c>
      <c r="C388" t="b">
        <f t="shared" si="104"/>
        <v>0</v>
      </c>
      <c r="D388">
        <f t="shared" si="101"/>
        <v>1</v>
      </c>
      <c r="E388" t="str">
        <f t="shared" si="102"/>
        <v>6. Conclusion</v>
      </c>
      <c r="F388" s="8" t="str">
        <f t="shared" si="111"/>
        <v/>
      </c>
      <c r="G388" t="str">
        <f t="shared" si="95"/>
        <v/>
      </c>
      <c r="H388">
        <f t="shared" si="96"/>
        <v>0</v>
      </c>
      <c r="I388">
        <f t="shared" si="103"/>
        <v>0</v>
      </c>
      <c r="J388">
        <f t="shared" si="97"/>
        <v>4588</v>
      </c>
      <c r="K388">
        <f t="shared" si="98"/>
        <v>1</v>
      </c>
      <c r="L388">
        <f t="shared" si="99"/>
        <v>16</v>
      </c>
      <c r="M388">
        <f t="shared" si="100"/>
        <v>28</v>
      </c>
      <c r="N388">
        <f t="shared" si="110"/>
        <v>0</v>
      </c>
      <c r="O388">
        <f t="shared" si="110"/>
        <v>1</v>
      </c>
      <c r="P388">
        <f t="shared" si="110"/>
        <v>15</v>
      </c>
      <c r="Q388">
        <f t="shared" si="105"/>
        <v>75</v>
      </c>
      <c r="R388">
        <f t="shared" si="106"/>
        <v>0</v>
      </c>
      <c r="S388">
        <f t="shared" si="107"/>
        <v>1</v>
      </c>
      <c r="T388">
        <f t="shared" si="108"/>
        <v>15</v>
      </c>
      <c r="U388">
        <f t="shared" si="109"/>
        <v>75</v>
      </c>
    </row>
    <row r="389" spans="2:21" hidden="1" x14ac:dyDescent="0.25">
      <c r="B389" t="b">
        <f t="shared" si="94"/>
        <v>0</v>
      </c>
      <c r="C389" t="b">
        <f t="shared" si="104"/>
        <v>0</v>
      </c>
      <c r="D389">
        <f t="shared" si="101"/>
        <v>1</v>
      </c>
      <c r="E389" t="str">
        <f t="shared" si="102"/>
        <v>6. Conclusion</v>
      </c>
      <c r="F389" s="8" t="str">
        <f t="shared" si="111"/>
        <v/>
      </c>
      <c r="G389" t="str">
        <f t="shared" si="95"/>
        <v/>
      </c>
      <c r="H389">
        <f t="shared" si="96"/>
        <v>0</v>
      </c>
      <c r="I389">
        <f t="shared" si="103"/>
        <v>0</v>
      </c>
      <c r="J389">
        <f t="shared" si="97"/>
        <v>4588</v>
      </c>
      <c r="K389">
        <f t="shared" si="98"/>
        <v>1</v>
      </c>
      <c r="L389">
        <f t="shared" si="99"/>
        <v>16</v>
      </c>
      <c r="M389">
        <f t="shared" si="100"/>
        <v>28</v>
      </c>
      <c r="N389">
        <f t="shared" si="110"/>
        <v>0</v>
      </c>
      <c r="O389">
        <f t="shared" si="110"/>
        <v>1</v>
      </c>
      <c r="P389">
        <f t="shared" si="110"/>
        <v>15</v>
      </c>
      <c r="Q389">
        <f t="shared" si="105"/>
        <v>75</v>
      </c>
      <c r="R389">
        <f t="shared" si="106"/>
        <v>0</v>
      </c>
      <c r="S389">
        <f t="shared" si="107"/>
        <v>1</v>
      </c>
      <c r="T389">
        <f t="shared" si="108"/>
        <v>15</v>
      </c>
      <c r="U389">
        <f t="shared" si="109"/>
        <v>75</v>
      </c>
    </row>
    <row r="390" spans="2:21" hidden="1" x14ac:dyDescent="0.25">
      <c r="B390" t="b">
        <f t="shared" si="94"/>
        <v>0</v>
      </c>
      <c r="C390" t="b">
        <f t="shared" si="104"/>
        <v>0</v>
      </c>
      <c r="D390">
        <f t="shared" si="101"/>
        <v>1</v>
      </c>
      <c r="E390" t="str">
        <f t="shared" si="102"/>
        <v>6. Conclusion</v>
      </c>
      <c r="F390" s="8" t="str">
        <f t="shared" si="111"/>
        <v/>
      </c>
      <c r="G390" t="str">
        <f t="shared" si="95"/>
        <v/>
      </c>
      <c r="H390">
        <f t="shared" si="96"/>
        <v>0</v>
      </c>
      <c r="I390">
        <f t="shared" si="103"/>
        <v>0</v>
      </c>
      <c r="J390">
        <f t="shared" si="97"/>
        <v>4588</v>
      </c>
      <c r="K390">
        <f t="shared" si="98"/>
        <v>1</v>
      </c>
      <c r="L390">
        <f t="shared" si="99"/>
        <v>16</v>
      </c>
      <c r="M390">
        <f t="shared" si="100"/>
        <v>28</v>
      </c>
      <c r="N390">
        <f t="shared" si="110"/>
        <v>0</v>
      </c>
      <c r="O390">
        <f t="shared" si="110"/>
        <v>1</v>
      </c>
      <c r="P390">
        <f t="shared" si="110"/>
        <v>15</v>
      </c>
      <c r="Q390">
        <f t="shared" si="105"/>
        <v>75</v>
      </c>
      <c r="R390">
        <f t="shared" si="106"/>
        <v>0</v>
      </c>
      <c r="S390">
        <f t="shared" si="107"/>
        <v>1</v>
      </c>
      <c r="T390">
        <f t="shared" si="108"/>
        <v>15</v>
      </c>
      <c r="U390">
        <f t="shared" si="109"/>
        <v>75</v>
      </c>
    </row>
    <row r="391" spans="2:21" hidden="1" x14ac:dyDescent="0.25">
      <c r="B391" t="b">
        <f t="shared" si="94"/>
        <v>0</v>
      </c>
      <c r="C391" t="b">
        <f t="shared" si="104"/>
        <v>0</v>
      </c>
      <c r="D391">
        <f t="shared" si="101"/>
        <v>1</v>
      </c>
      <c r="E391" t="str">
        <f t="shared" si="102"/>
        <v>6. Conclusion</v>
      </c>
      <c r="F391" s="8" t="str">
        <f t="shared" si="111"/>
        <v/>
      </c>
      <c r="G391" t="str">
        <f t="shared" si="95"/>
        <v/>
      </c>
      <c r="H391">
        <f t="shared" si="96"/>
        <v>0</v>
      </c>
      <c r="I391">
        <f t="shared" si="103"/>
        <v>0</v>
      </c>
      <c r="J391">
        <f t="shared" si="97"/>
        <v>4588</v>
      </c>
      <c r="K391">
        <f t="shared" si="98"/>
        <v>1</v>
      </c>
      <c r="L391">
        <f t="shared" si="99"/>
        <v>16</v>
      </c>
      <c r="M391">
        <f t="shared" si="100"/>
        <v>28</v>
      </c>
      <c r="N391">
        <f t="shared" si="110"/>
        <v>0</v>
      </c>
      <c r="O391">
        <f t="shared" si="110"/>
        <v>1</v>
      </c>
      <c r="P391">
        <f t="shared" si="110"/>
        <v>15</v>
      </c>
      <c r="Q391">
        <f t="shared" si="105"/>
        <v>75</v>
      </c>
      <c r="R391">
        <f t="shared" si="106"/>
        <v>0</v>
      </c>
      <c r="S391">
        <f t="shared" si="107"/>
        <v>1</v>
      </c>
      <c r="T391">
        <f t="shared" si="108"/>
        <v>15</v>
      </c>
      <c r="U391">
        <f t="shared" si="109"/>
        <v>75</v>
      </c>
    </row>
    <row r="392" spans="2:21" hidden="1" x14ac:dyDescent="0.25">
      <c r="B392" t="b">
        <f t="shared" si="94"/>
        <v>0</v>
      </c>
      <c r="C392" t="b">
        <f t="shared" si="104"/>
        <v>0</v>
      </c>
      <c r="D392">
        <f t="shared" si="101"/>
        <v>1</v>
      </c>
      <c r="E392" t="str">
        <f t="shared" si="102"/>
        <v>6. Conclusion</v>
      </c>
      <c r="F392" s="8" t="str">
        <f t="shared" si="111"/>
        <v/>
      </c>
      <c r="G392" t="str">
        <f t="shared" si="95"/>
        <v/>
      </c>
      <c r="H392">
        <f t="shared" si="96"/>
        <v>0</v>
      </c>
      <c r="I392">
        <f t="shared" si="103"/>
        <v>0</v>
      </c>
      <c r="J392">
        <f t="shared" si="97"/>
        <v>4588</v>
      </c>
      <c r="K392">
        <f t="shared" si="98"/>
        <v>1</v>
      </c>
      <c r="L392">
        <f t="shared" si="99"/>
        <v>16</v>
      </c>
      <c r="M392">
        <f t="shared" si="100"/>
        <v>28</v>
      </c>
      <c r="N392">
        <f t="shared" si="110"/>
        <v>0</v>
      </c>
      <c r="O392">
        <f t="shared" si="110"/>
        <v>1</v>
      </c>
      <c r="P392">
        <f t="shared" si="110"/>
        <v>15</v>
      </c>
      <c r="Q392">
        <f t="shared" si="105"/>
        <v>75</v>
      </c>
      <c r="R392">
        <f t="shared" si="106"/>
        <v>0</v>
      </c>
      <c r="S392">
        <f t="shared" si="107"/>
        <v>1</v>
      </c>
      <c r="T392">
        <f t="shared" si="108"/>
        <v>15</v>
      </c>
      <c r="U392">
        <f t="shared" si="109"/>
        <v>75</v>
      </c>
    </row>
    <row r="393" spans="2:21" hidden="1" x14ac:dyDescent="0.25">
      <c r="B393" t="b">
        <f t="shared" si="94"/>
        <v>0</v>
      </c>
      <c r="C393" t="b">
        <f t="shared" si="104"/>
        <v>0</v>
      </c>
      <c r="D393">
        <f t="shared" si="101"/>
        <v>1</v>
      </c>
      <c r="E393" t="str">
        <f t="shared" si="102"/>
        <v>6. Conclusion</v>
      </c>
      <c r="F393" s="8" t="str">
        <f t="shared" si="111"/>
        <v/>
      </c>
      <c r="G393" t="str">
        <f t="shared" si="95"/>
        <v/>
      </c>
      <c r="H393">
        <f t="shared" si="96"/>
        <v>0</v>
      </c>
      <c r="I393">
        <f t="shared" si="103"/>
        <v>0</v>
      </c>
      <c r="J393">
        <f t="shared" si="97"/>
        <v>4588</v>
      </c>
      <c r="K393">
        <f t="shared" si="98"/>
        <v>1</v>
      </c>
      <c r="L393">
        <f t="shared" si="99"/>
        <v>16</v>
      </c>
      <c r="M393">
        <f t="shared" si="100"/>
        <v>28</v>
      </c>
      <c r="N393">
        <f t="shared" si="110"/>
        <v>0</v>
      </c>
      <c r="O393">
        <f t="shared" si="110"/>
        <v>1</v>
      </c>
      <c r="P393">
        <f t="shared" si="110"/>
        <v>15</v>
      </c>
      <c r="Q393">
        <f t="shared" si="105"/>
        <v>75</v>
      </c>
      <c r="R393">
        <f t="shared" si="106"/>
        <v>0</v>
      </c>
      <c r="S393">
        <f t="shared" si="107"/>
        <v>1</v>
      </c>
      <c r="T393">
        <f t="shared" si="108"/>
        <v>15</v>
      </c>
      <c r="U393">
        <f t="shared" si="109"/>
        <v>75</v>
      </c>
    </row>
    <row r="394" spans="2:21" hidden="1" x14ac:dyDescent="0.25">
      <c r="B394" t="b">
        <f t="shared" ref="B394:B457" si="112">AND(NOT(ISERROR(FIND(". ",A394))),ISNUMBER(VALUE(LEFT(A394,FIND(". ",A394)-1))))</f>
        <v>0</v>
      </c>
      <c r="C394" t="b">
        <f t="shared" si="104"/>
        <v>0</v>
      </c>
      <c r="D394">
        <f t="shared" si="101"/>
        <v>1</v>
      </c>
      <c r="E394" t="str">
        <f t="shared" si="102"/>
        <v>6. Conclusion</v>
      </c>
      <c r="F394" s="8" t="str">
        <f t="shared" si="111"/>
        <v/>
      </c>
      <c r="G394" t="str">
        <f t="shared" ref="G394:G457" si="113">IF(C394,IF(ISERROR(FIND("s",A395)),LEFT(A395,FIND("m",A395)),LEFT(A395,FIND("s",A395))),"")</f>
        <v/>
      </c>
      <c r="H394">
        <f t="shared" ref="H394:H457" si="114">IF(OR(G394="",ISERROR(FIND("m",G394))),0,VALUE(LEFT(G394,FIND("m",G394)-1)))</f>
        <v>0</v>
      </c>
      <c r="I394">
        <f t="shared" si="103"/>
        <v>0</v>
      </c>
      <c r="J394">
        <f t="shared" ref="J394:J457" si="115">J393+(H394*60+I394)</f>
        <v>4588</v>
      </c>
      <c r="K394">
        <f t="shared" ref="K394:K457" si="116">INT(J394/60/60)</f>
        <v>1</v>
      </c>
      <c r="L394">
        <f t="shared" ref="L394:L457" si="117">INT((J394-(K394*60*60))/60)</f>
        <v>16</v>
      </c>
      <c r="M394">
        <f t="shared" ref="M394:M457" si="118">J394-(((K394*60)+L394)*60)</f>
        <v>28</v>
      </c>
      <c r="N394">
        <f t="shared" si="110"/>
        <v>0</v>
      </c>
      <c r="O394">
        <f t="shared" si="110"/>
        <v>1</v>
      </c>
      <c r="P394">
        <f t="shared" si="110"/>
        <v>15</v>
      </c>
      <c r="Q394">
        <f t="shared" si="105"/>
        <v>75</v>
      </c>
      <c r="R394">
        <f t="shared" si="106"/>
        <v>0</v>
      </c>
      <c r="S394">
        <f t="shared" si="107"/>
        <v>1</v>
      </c>
      <c r="T394">
        <f t="shared" si="108"/>
        <v>15</v>
      </c>
      <c r="U394">
        <f t="shared" si="109"/>
        <v>75</v>
      </c>
    </row>
    <row r="395" spans="2:21" hidden="1" x14ac:dyDescent="0.25">
      <c r="B395" t="b">
        <f t="shared" si="112"/>
        <v>0</v>
      </c>
      <c r="C395" t="b">
        <f t="shared" si="104"/>
        <v>0</v>
      </c>
      <c r="D395">
        <f t="shared" ref="D395:D458" si="119">IF(B395,0,IF(C395,D394+1,D394))</f>
        <v>1</v>
      </c>
      <c r="E395" t="str">
        <f t="shared" ref="E395:E458" si="120">IF(B395,A395,E394)</f>
        <v>6. Conclusion</v>
      </c>
      <c r="F395" s="8" t="str">
        <f t="shared" si="111"/>
        <v/>
      </c>
      <c r="G395" t="str">
        <f t="shared" si="113"/>
        <v/>
      </c>
      <c r="H395">
        <f t="shared" si="114"/>
        <v>0</v>
      </c>
      <c r="I395">
        <f t="shared" ref="I395:I458" si="121">IF(OR(G395="",ISERROR(FIND("s",G395))),0,VALUE(SUBSTITUTE(MID(G395,IF(ISERROR(FIND("m",G395)), 0,FIND("m",G395))+1,LEN(G395)),"s","")))</f>
        <v>0</v>
      </c>
      <c r="J395">
        <f t="shared" si="115"/>
        <v>4588</v>
      </c>
      <c r="K395">
        <f t="shared" si="116"/>
        <v>1</v>
      </c>
      <c r="L395">
        <f t="shared" si="117"/>
        <v>16</v>
      </c>
      <c r="M395">
        <f t="shared" si="118"/>
        <v>28</v>
      </c>
      <c r="N395">
        <f t="shared" si="110"/>
        <v>0</v>
      </c>
      <c r="O395">
        <f t="shared" si="110"/>
        <v>1</v>
      </c>
      <c r="P395">
        <f t="shared" si="110"/>
        <v>15</v>
      </c>
      <c r="Q395">
        <f t="shared" si="105"/>
        <v>75</v>
      </c>
      <c r="R395">
        <f t="shared" si="106"/>
        <v>0</v>
      </c>
      <c r="S395">
        <f t="shared" si="107"/>
        <v>1</v>
      </c>
      <c r="T395">
        <f t="shared" si="108"/>
        <v>15</v>
      </c>
      <c r="U395">
        <f t="shared" si="109"/>
        <v>75</v>
      </c>
    </row>
    <row r="396" spans="2:21" hidden="1" x14ac:dyDescent="0.25">
      <c r="B396" t="b">
        <f t="shared" si="112"/>
        <v>0</v>
      </c>
      <c r="C396" t="b">
        <f t="shared" si="104"/>
        <v>0</v>
      </c>
      <c r="D396">
        <f t="shared" si="119"/>
        <v>1</v>
      </c>
      <c r="E396" t="str">
        <f t="shared" si="120"/>
        <v>6. Conclusion</v>
      </c>
      <c r="F396" s="8" t="str">
        <f t="shared" si="111"/>
        <v/>
      </c>
      <c r="G396" t="str">
        <f t="shared" si="113"/>
        <v/>
      </c>
      <c r="H396">
        <f t="shared" si="114"/>
        <v>0</v>
      </c>
      <c r="I396">
        <f t="shared" si="121"/>
        <v>0</v>
      </c>
      <c r="J396">
        <f t="shared" si="115"/>
        <v>4588</v>
      </c>
      <c r="K396">
        <f t="shared" si="116"/>
        <v>1</v>
      </c>
      <c r="L396">
        <f t="shared" si="117"/>
        <v>16</v>
      </c>
      <c r="M396">
        <f t="shared" si="118"/>
        <v>28</v>
      </c>
      <c r="N396">
        <f t="shared" si="110"/>
        <v>0</v>
      </c>
      <c r="O396">
        <f t="shared" si="110"/>
        <v>1</v>
      </c>
      <c r="P396">
        <f t="shared" si="110"/>
        <v>15</v>
      </c>
      <c r="Q396">
        <f t="shared" si="105"/>
        <v>75</v>
      </c>
      <c r="R396">
        <f t="shared" si="106"/>
        <v>0</v>
      </c>
      <c r="S396">
        <f t="shared" si="107"/>
        <v>1</v>
      </c>
      <c r="T396">
        <f t="shared" si="108"/>
        <v>15</v>
      </c>
      <c r="U396">
        <f t="shared" si="109"/>
        <v>75</v>
      </c>
    </row>
    <row r="397" spans="2:21" hidden="1" x14ac:dyDescent="0.25">
      <c r="B397" t="b">
        <f t="shared" si="112"/>
        <v>0</v>
      </c>
      <c r="C397" t="b">
        <f t="shared" ref="C397:C460" si="122">OR(AND(NOT(ISERROR(FIND("m",A398))),ISNUMBER(VALUE(LEFT(A398,FIND("m",A398)-1)))),AND(NOT(ISERROR(FIND("s",A398))),ISNUMBER(VALUE(LEFT(A398,FIND("s",A398)-1)))))</f>
        <v>0</v>
      </c>
      <c r="D397">
        <f t="shared" si="119"/>
        <v>1</v>
      </c>
      <c r="E397" t="str">
        <f t="shared" si="120"/>
        <v>6. Conclusion</v>
      </c>
      <c r="F397" s="8" t="str">
        <f t="shared" si="111"/>
        <v/>
      </c>
      <c r="G397" t="str">
        <f t="shared" si="113"/>
        <v/>
      </c>
      <c r="H397">
        <f t="shared" si="114"/>
        <v>0</v>
      </c>
      <c r="I397">
        <f t="shared" si="121"/>
        <v>0</v>
      </c>
      <c r="J397">
        <f t="shared" si="115"/>
        <v>4588</v>
      </c>
      <c r="K397">
        <f t="shared" si="116"/>
        <v>1</v>
      </c>
      <c r="L397">
        <f t="shared" si="117"/>
        <v>16</v>
      </c>
      <c r="M397">
        <f t="shared" si="118"/>
        <v>28</v>
      </c>
      <c r="N397">
        <f t="shared" si="110"/>
        <v>0</v>
      </c>
      <c r="O397">
        <f t="shared" si="110"/>
        <v>1</v>
      </c>
      <c r="P397">
        <f t="shared" si="110"/>
        <v>15</v>
      </c>
      <c r="Q397">
        <f t="shared" ref="Q397:Q460" si="123">(((N397*60)+O397)*60)+P397</f>
        <v>75</v>
      </c>
      <c r="R397">
        <f t="shared" ref="R397:R460" si="124">INT(U397/60/60)</f>
        <v>0</v>
      </c>
      <c r="S397">
        <f t="shared" ref="S397:S460" si="125">INT((U397-(R397*60*60))/60)</f>
        <v>1</v>
      </c>
      <c r="T397">
        <f t="shared" ref="T397:T460" si="126">U397-(((R397*60)+S397)*60)</f>
        <v>15</v>
      </c>
      <c r="U397">
        <f t="shared" ref="U397:U460" si="127">((H397*60)+I397)+Q397</f>
        <v>75</v>
      </c>
    </row>
    <row r="398" spans="2:21" hidden="1" x14ac:dyDescent="0.25">
      <c r="B398" t="b">
        <f t="shared" si="112"/>
        <v>0</v>
      </c>
      <c r="C398" t="b">
        <f t="shared" si="122"/>
        <v>0</v>
      </c>
      <c r="D398">
        <f t="shared" si="119"/>
        <v>1</v>
      </c>
      <c r="E398" t="str">
        <f t="shared" si="120"/>
        <v>6. Conclusion</v>
      </c>
      <c r="F398" s="8" t="str">
        <f t="shared" si="111"/>
        <v/>
      </c>
      <c r="G398" t="str">
        <f t="shared" si="113"/>
        <v/>
      </c>
      <c r="H398">
        <f t="shared" si="114"/>
        <v>0</v>
      </c>
      <c r="I398">
        <f t="shared" si="121"/>
        <v>0</v>
      </c>
      <c r="J398">
        <f t="shared" si="115"/>
        <v>4588</v>
      </c>
      <c r="K398">
        <f t="shared" si="116"/>
        <v>1</v>
      </c>
      <c r="L398">
        <f t="shared" si="117"/>
        <v>16</v>
      </c>
      <c r="M398">
        <f t="shared" si="118"/>
        <v>28</v>
      </c>
      <c r="N398">
        <f t="shared" si="110"/>
        <v>0</v>
      </c>
      <c r="O398">
        <f t="shared" si="110"/>
        <v>1</v>
      </c>
      <c r="P398">
        <f t="shared" si="110"/>
        <v>15</v>
      </c>
      <c r="Q398">
        <f t="shared" si="123"/>
        <v>75</v>
      </c>
      <c r="R398">
        <f t="shared" si="124"/>
        <v>0</v>
      </c>
      <c r="S398">
        <f t="shared" si="125"/>
        <v>1</v>
      </c>
      <c r="T398">
        <f t="shared" si="126"/>
        <v>15</v>
      </c>
      <c r="U398">
        <f t="shared" si="127"/>
        <v>75</v>
      </c>
    </row>
    <row r="399" spans="2:21" hidden="1" x14ac:dyDescent="0.25">
      <c r="B399" t="b">
        <f t="shared" si="112"/>
        <v>0</v>
      </c>
      <c r="C399" t="b">
        <f t="shared" si="122"/>
        <v>0</v>
      </c>
      <c r="D399">
        <f t="shared" si="119"/>
        <v>1</v>
      </c>
      <c r="E399" t="str">
        <f t="shared" si="120"/>
        <v>6. Conclusion</v>
      </c>
      <c r="F399" s="8" t="str">
        <f t="shared" si="111"/>
        <v/>
      </c>
      <c r="G399" t="str">
        <f t="shared" si="113"/>
        <v/>
      </c>
      <c r="H399">
        <f t="shared" si="114"/>
        <v>0</v>
      </c>
      <c r="I399">
        <f t="shared" si="121"/>
        <v>0</v>
      </c>
      <c r="J399">
        <f t="shared" si="115"/>
        <v>4588</v>
      </c>
      <c r="K399">
        <f t="shared" si="116"/>
        <v>1</v>
      </c>
      <c r="L399">
        <f t="shared" si="117"/>
        <v>16</v>
      </c>
      <c r="M399">
        <f t="shared" si="118"/>
        <v>28</v>
      </c>
      <c r="N399">
        <f t="shared" si="110"/>
        <v>0</v>
      </c>
      <c r="O399">
        <f t="shared" si="110"/>
        <v>1</v>
      </c>
      <c r="P399">
        <f t="shared" si="110"/>
        <v>15</v>
      </c>
      <c r="Q399">
        <f t="shared" si="123"/>
        <v>75</v>
      </c>
      <c r="R399">
        <f t="shared" si="124"/>
        <v>0</v>
      </c>
      <c r="S399">
        <f t="shared" si="125"/>
        <v>1</v>
      </c>
      <c r="T399">
        <f t="shared" si="126"/>
        <v>15</v>
      </c>
      <c r="U399">
        <f t="shared" si="127"/>
        <v>75</v>
      </c>
    </row>
    <row r="400" spans="2:21" hidden="1" x14ac:dyDescent="0.25">
      <c r="B400" t="b">
        <f t="shared" si="112"/>
        <v>0</v>
      </c>
      <c r="C400" t="b">
        <f t="shared" si="122"/>
        <v>0</v>
      </c>
      <c r="D400">
        <f t="shared" si="119"/>
        <v>1</v>
      </c>
      <c r="E400" t="str">
        <f t="shared" si="120"/>
        <v>6. Conclusion</v>
      </c>
      <c r="F400" s="8" t="str">
        <f t="shared" si="111"/>
        <v/>
      </c>
      <c r="G400" t="str">
        <f t="shared" si="113"/>
        <v/>
      </c>
      <c r="H400">
        <f t="shared" si="114"/>
        <v>0</v>
      </c>
      <c r="I400">
        <f t="shared" si="121"/>
        <v>0</v>
      </c>
      <c r="J400">
        <f t="shared" si="115"/>
        <v>4588</v>
      </c>
      <c r="K400">
        <f t="shared" si="116"/>
        <v>1</v>
      </c>
      <c r="L400">
        <f t="shared" si="117"/>
        <v>16</v>
      </c>
      <c r="M400">
        <f t="shared" si="118"/>
        <v>28</v>
      </c>
      <c r="N400">
        <f t="shared" si="110"/>
        <v>0</v>
      </c>
      <c r="O400">
        <f t="shared" si="110"/>
        <v>1</v>
      </c>
      <c r="P400">
        <f t="shared" si="110"/>
        <v>15</v>
      </c>
      <c r="Q400">
        <f t="shared" si="123"/>
        <v>75</v>
      </c>
      <c r="R400">
        <f t="shared" si="124"/>
        <v>0</v>
      </c>
      <c r="S400">
        <f t="shared" si="125"/>
        <v>1</v>
      </c>
      <c r="T400">
        <f t="shared" si="126"/>
        <v>15</v>
      </c>
      <c r="U400">
        <f t="shared" si="127"/>
        <v>75</v>
      </c>
    </row>
    <row r="401" spans="2:21" hidden="1" x14ac:dyDescent="0.25">
      <c r="B401" t="b">
        <f t="shared" si="112"/>
        <v>0</v>
      </c>
      <c r="C401" t="b">
        <f t="shared" si="122"/>
        <v>0</v>
      </c>
      <c r="D401">
        <f t="shared" si="119"/>
        <v>1</v>
      </c>
      <c r="E401" t="str">
        <f t="shared" si="120"/>
        <v>6. Conclusion</v>
      </c>
      <c r="F401" s="8" t="str">
        <f t="shared" si="111"/>
        <v/>
      </c>
      <c r="G401" t="str">
        <f t="shared" si="113"/>
        <v/>
      </c>
      <c r="H401">
        <f t="shared" si="114"/>
        <v>0</v>
      </c>
      <c r="I401">
        <f t="shared" si="121"/>
        <v>0</v>
      </c>
      <c r="J401">
        <f t="shared" si="115"/>
        <v>4588</v>
      </c>
      <c r="K401">
        <f t="shared" si="116"/>
        <v>1</v>
      </c>
      <c r="L401">
        <f t="shared" si="117"/>
        <v>16</v>
      </c>
      <c r="M401">
        <f t="shared" si="118"/>
        <v>28</v>
      </c>
      <c r="N401">
        <f t="shared" si="110"/>
        <v>0</v>
      </c>
      <c r="O401">
        <f t="shared" si="110"/>
        <v>1</v>
      </c>
      <c r="P401">
        <f t="shared" si="110"/>
        <v>15</v>
      </c>
      <c r="Q401">
        <f t="shared" si="123"/>
        <v>75</v>
      </c>
      <c r="R401">
        <f t="shared" si="124"/>
        <v>0</v>
      </c>
      <c r="S401">
        <f t="shared" si="125"/>
        <v>1</v>
      </c>
      <c r="T401">
        <f t="shared" si="126"/>
        <v>15</v>
      </c>
      <c r="U401">
        <f t="shared" si="127"/>
        <v>75</v>
      </c>
    </row>
    <row r="402" spans="2:21" hidden="1" x14ac:dyDescent="0.25">
      <c r="B402" t="b">
        <f t="shared" si="112"/>
        <v>0</v>
      </c>
      <c r="C402" t="b">
        <f t="shared" si="122"/>
        <v>0</v>
      </c>
      <c r="D402">
        <f t="shared" si="119"/>
        <v>1</v>
      </c>
      <c r="E402" t="str">
        <f t="shared" si="120"/>
        <v>6. Conclusion</v>
      </c>
      <c r="F402" s="8" t="str">
        <f t="shared" si="111"/>
        <v/>
      </c>
      <c r="G402" t="str">
        <f t="shared" si="113"/>
        <v/>
      </c>
      <c r="H402">
        <f t="shared" si="114"/>
        <v>0</v>
      </c>
      <c r="I402">
        <f t="shared" si="121"/>
        <v>0</v>
      </c>
      <c r="J402">
        <f t="shared" si="115"/>
        <v>4588</v>
      </c>
      <c r="K402">
        <f t="shared" si="116"/>
        <v>1</v>
      </c>
      <c r="L402">
        <f t="shared" si="117"/>
        <v>16</v>
      </c>
      <c r="M402">
        <f t="shared" si="118"/>
        <v>28</v>
      </c>
      <c r="N402">
        <f t="shared" si="110"/>
        <v>0</v>
      </c>
      <c r="O402">
        <f t="shared" si="110"/>
        <v>1</v>
      </c>
      <c r="P402">
        <f t="shared" si="110"/>
        <v>15</v>
      </c>
      <c r="Q402">
        <f t="shared" si="123"/>
        <v>75</v>
      </c>
      <c r="R402">
        <f t="shared" si="124"/>
        <v>0</v>
      </c>
      <c r="S402">
        <f t="shared" si="125"/>
        <v>1</v>
      </c>
      <c r="T402">
        <f t="shared" si="126"/>
        <v>15</v>
      </c>
      <c r="U402">
        <f t="shared" si="127"/>
        <v>75</v>
      </c>
    </row>
    <row r="403" spans="2:21" hidden="1" x14ac:dyDescent="0.25">
      <c r="B403" t="b">
        <f t="shared" si="112"/>
        <v>0</v>
      </c>
      <c r="C403" t="b">
        <f t="shared" si="122"/>
        <v>0</v>
      </c>
      <c r="D403">
        <f t="shared" si="119"/>
        <v>1</v>
      </c>
      <c r="E403" t="str">
        <f t="shared" si="120"/>
        <v>6. Conclusion</v>
      </c>
      <c r="F403" s="8" t="str">
        <f t="shared" si="111"/>
        <v/>
      </c>
      <c r="G403" t="str">
        <f t="shared" si="113"/>
        <v/>
      </c>
      <c r="H403">
        <f t="shared" si="114"/>
        <v>0</v>
      </c>
      <c r="I403">
        <f t="shared" si="121"/>
        <v>0</v>
      </c>
      <c r="J403">
        <f t="shared" si="115"/>
        <v>4588</v>
      </c>
      <c r="K403">
        <f t="shared" si="116"/>
        <v>1</v>
      </c>
      <c r="L403">
        <f t="shared" si="117"/>
        <v>16</v>
      </c>
      <c r="M403">
        <f t="shared" si="118"/>
        <v>28</v>
      </c>
      <c r="N403">
        <f t="shared" si="110"/>
        <v>0</v>
      </c>
      <c r="O403">
        <f t="shared" si="110"/>
        <v>1</v>
      </c>
      <c r="P403">
        <f t="shared" si="110"/>
        <v>15</v>
      </c>
      <c r="Q403">
        <f t="shared" si="123"/>
        <v>75</v>
      </c>
      <c r="R403">
        <f t="shared" si="124"/>
        <v>0</v>
      </c>
      <c r="S403">
        <f t="shared" si="125"/>
        <v>1</v>
      </c>
      <c r="T403">
        <f t="shared" si="126"/>
        <v>15</v>
      </c>
      <c r="U403">
        <f t="shared" si="127"/>
        <v>75</v>
      </c>
    </row>
    <row r="404" spans="2:21" hidden="1" x14ac:dyDescent="0.25">
      <c r="B404" t="b">
        <f t="shared" si="112"/>
        <v>0</v>
      </c>
      <c r="C404" t="b">
        <f t="shared" si="122"/>
        <v>0</v>
      </c>
      <c r="D404">
        <f t="shared" si="119"/>
        <v>1</v>
      </c>
      <c r="E404" t="str">
        <f t="shared" si="120"/>
        <v>6. Conclusion</v>
      </c>
      <c r="F404" s="8" t="str">
        <f t="shared" si="111"/>
        <v/>
      </c>
      <c r="G404" t="str">
        <f t="shared" si="113"/>
        <v/>
      </c>
      <c r="H404">
        <f t="shared" si="114"/>
        <v>0</v>
      </c>
      <c r="I404">
        <f t="shared" si="121"/>
        <v>0</v>
      </c>
      <c r="J404">
        <f t="shared" si="115"/>
        <v>4588</v>
      </c>
      <c r="K404">
        <f t="shared" si="116"/>
        <v>1</v>
      </c>
      <c r="L404">
        <f t="shared" si="117"/>
        <v>16</v>
      </c>
      <c r="M404">
        <f t="shared" si="118"/>
        <v>28</v>
      </c>
      <c r="N404">
        <f t="shared" si="110"/>
        <v>0</v>
      </c>
      <c r="O404">
        <f t="shared" si="110"/>
        <v>1</v>
      </c>
      <c r="P404">
        <f t="shared" si="110"/>
        <v>15</v>
      </c>
      <c r="Q404">
        <f t="shared" si="123"/>
        <v>75</v>
      </c>
      <c r="R404">
        <f t="shared" si="124"/>
        <v>0</v>
      </c>
      <c r="S404">
        <f t="shared" si="125"/>
        <v>1</v>
      </c>
      <c r="T404">
        <f t="shared" si="126"/>
        <v>15</v>
      </c>
      <c r="U404">
        <f t="shared" si="127"/>
        <v>75</v>
      </c>
    </row>
    <row r="405" spans="2:21" hidden="1" x14ac:dyDescent="0.25">
      <c r="B405" t="b">
        <f t="shared" si="112"/>
        <v>0</v>
      </c>
      <c r="C405" t="b">
        <f t="shared" si="122"/>
        <v>0</v>
      </c>
      <c r="D405">
        <f t="shared" si="119"/>
        <v>1</v>
      </c>
      <c r="E405" t="str">
        <f t="shared" si="120"/>
        <v>6. Conclusion</v>
      </c>
      <c r="F405" s="8" t="str">
        <f t="shared" si="111"/>
        <v/>
      </c>
      <c r="G405" t="str">
        <f t="shared" si="113"/>
        <v/>
      </c>
      <c r="H405">
        <f t="shared" si="114"/>
        <v>0</v>
      </c>
      <c r="I405">
        <f t="shared" si="121"/>
        <v>0</v>
      </c>
      <c r="J405">
        <f t="shared" si="115"/>
        <v>4588</v>
      </c>
      <c r="K405">
        <f t="shared" si="116"/>
        <v>1</v>
      </c>
      <c r="L405">
        <f t="shared" si="117"/>
        <v>16</v>
      </c>
      <c r="M405">
        <f t="shared" si="118"/>
        <v>28</v>
      </c>
      <c r="N405">
        <f t="shared" si="110"/>
        <v>0</v>
      </c>
      <c r="O405">
        <f t="shared" si="110"/>
        <v>1</v>
      </c>
      <c r="P405">
        <f t="shared" si="110"/>
        <v>15</v>
      </c>
      <c r="Q405">
        <f t="shared" si="123"/>
        <v>75</v>
      </c>
      <c r="R405">
        <f t="shared" si="124"/>
        <v>0</v>
      </c>
      <c r="S405">
        <f t="shared" si="125"/>
        <v>1</v>
      </c>
      <c r="T405">
        <f t="shared" si="126"/>
        <v>15</v>
      </c>
      <c r="U405">
        <f t="shared" si="127"/>
        <v>75</v>
      </c>
    </row>
    <row r="406" spans="2:21" hidden="1" x14ac:dyDescent="0.25">
      <c r="B406" t="b">
        <f t="shared" si="112"/>
        <v>0</v>
      </c>
      <c r="C406" t="b">
        <f t="shared" si="122"/>
        <v>0</v>
      </c>
      <c r="D406">
        <f t="shared" si="119"/>
        <v>1</v>
      </c>
      <c r="E406" t="str">
        <f t="shared" si="120"/>
        <v>6. Conclusion</v>
      </c>
      <c r="F406" s="8" t="str">
        <f t="shared" si="111"/>
        <v/>
      </c>
      <c r="G406" t="str">
        <f t="shared" si="113"/>
        <v/>
      </c>
      <c r="H406">
        <f t="shared" si="114"/>
        <v>0</v>
      </c>
      <c r="I406">
        <f t="shared" si="121"/>
        <v>0</v>
      </c>
      <c r="J406">
        <f t="shared" si="115"/>
        <v>4588</v>
      </c>
      <c r="K406">
        <f t="shared" si="116"/>
        <v>1</v>
      </c>
      <c r="L406">
        <f t="shared" si="117"/>
        <v>16</v>
      </c>
      <c r="M406">
        <f t="shared" si="118"/>
        <v>28</v>
      </c>
      <c r="N406">
        <f t="shared" si="110"/>
        <v>0</v>
      </c>
      <c r="O406">
        <f t="shared" si="110"/>
        <v>1</v>
      </c>
      <c r="P406">
        <f t="shared" si="110"/>
        <v>15</v>
      </c>
      <c r="Q406">
        <f t="shared" si="123"/>
        <v>75</v>
      </c>
      <c r="R406">
        <f t="shared" si="124"/>
        <v>0</v>
      </c>
      <c r="S406">
        <f t="shared" si="125"/>
        <v>1</v>
      </c>
      <c r="T406">
        <f t="shared" si="126"/>
        <v>15</v>
      </c>
      <c r="U406">
        <f t="shared" si="127"/>
        <v>75</v>
      </c>
    </row>
    <row r="407" spans="2:21" hidden="1" x14ac:dyDescent="0.25">
      <c r="B407" t="b">
        <f t="shared" si="112"/>
        <v>0</v>
      </c>
      <c r="C407" t="b">
        <f t="shared" si="122"/>
        <v>0</v>
      </c>
      <c r="D407">
        <f t="shared" si="119"/>
        <v>1</v>
      </c>
      <c r="E407" t="str">
        <f t="shared" si="120"/>
        <v>6. Conclusion</v>
      </c>
      <c r="F407" s="8" t="str">
        <f t="shared" si="111"/>
        <v/>
      </c>
      <c r="G407" t="str">
        <f t="shared" si="113"/>
        <v/>
      </c>
      <c r="H407">
        <f t="shared" si="114"/>
        <v>0</v>
      </c>
      <c r="I407">
        <f t="shared" si="121"/>
        <v>0</v>
      </c>
      <c r="J407">
        <f t="shared" si="115"/>
        <v>4588</v>
      </c>
      <c r="K407">
        <f t="shared" si="116"/>
        <v>1</v>
      </c>
      <c r="L407">
        <f t="shared" si="117"/>
        <v>16</v>
      </c>
      <c r="M407">
        <f t="shared" si="118"/>
        <v>28</v>
      </c>
      <c r="N407">
        <f t="shared" si="110"/>
        <v>0</v>
      </c>
      <c r="O407">
        <f t="shared" si="110"/>
        <v>1</v>
      </c>
      <c r="P407">
        <f t="shared" si="110"/>
        <v>15</v>
      </c>
      <c r="Q407">
        <f t="shared" si="123"/>
        <v>75</v>
      </c>
      <c r="R407">
        <f t="shared" si="124"/>
        <v>0</v>
      </c>
      <c r="S407">
        <f t="shared" si="125"/>
        <v>1</v>
      </c>
      <c r="T407">
        <f t="shared" si="126"/>
        <v>15</v>
      </c>
      <c r="U407">
        <f t="shared" si="127"/>
        <v>75</v>
      </c>
    </row>
    <row r="408" spans="2:21" hidden="1" x14ac:dyDescent="0.25">
      <c r="B408" t="b">
        <f t="shared" si="112"/>
        <v>0</v>
      </c>
      <c r="C408" t="b">
        <f t="shared" si="122"/>
        <v>0</v>
      </c>
      <c r="D408">
        <f t="shared" si="119"/>
        <v>1</v>
      </c>
      <c r="E408" t="str">
        <f t="shared" si="120"/>
        <v>6. Conclusion</v>
      </c>
      <c r="F408" s="8" t="str">
        <f t="shared" si="111"/>
        <v/>
      </c>
      <c r="G408" t="str">
        <f t="shared" si="113"/>
        <v/>
      </c>
      <c r="H408">
        <f t="shared" si="114"/>
        <v>0</v>
      </c>
      <c r="I408">
        <f t="shared" si="121"/>
        <v>0</v>
      </c>
      <c r="J408">
        <f t="shared" si="115"/>
        <v>4588</v>
      </c>
      <c r="K408">
        <f t="shared" si="116"/>
        <v>1</v>
      </c>
      <c r="L408">
        <f t="shared" si="117"/>
        <v>16</v>
      </c>
      <c r="M408">
        <f t="shared" si="118"/>
        <v>28</v>
      </c>
      <c r="N408">
        <f t="shared" si="110"/>
        <v>0</v>
      </c>
      <c r="O408">
        <f t="shared" si="110"/>
        <v>1</v>
      </c>
      <c r="P408">
        <f t="shared" si="110"/>
        <v>15</v>
      </c>
      <c r="Q408">
        <f t="shared" si="123"/>
        <v>75</v>
      </c>
      <c r="R408">
        <f t="shared" si="124"/>
        <v>0</v>
      </c>
      <c r="S408">
        <f t="shared" si="125"/>
        <v>1</v>
      </c>
      <c r="T408">
        <f t="shared" si="126"/>
        <v>15</v>
      </c>
      <c r="U408">
        <f t="shared" si="127"/>
        <v>75</v>
      </c>
    </row>
    <row r="409" spans="2:21" hidden="1" x14ac:dyDescent="0.25">
      <c r="B409" t="b">
        <f t="shared" si="112"/>
        <v>0</v>
      </c>
      <c r="C409" t="b">
        <f t="shared" si="122"/>
        <v>0</v>
      </c>
      <c r="D409">
        <f t="shared" si="119"/>
        <v>1</v>
      </c>
      <c r="E409" t="str">
        <f t="shared" si="120"/>
        <v>6. Conclusion</v>
      </c>
      <c r="F409" s="8" t="str">
        <f t="shared" si="111"/>
        <v/>
      </c>
      <c r="G409" t="str">
        <f t="shared" si="113"/>
        <v/>
      </c>
      <c r="H409">
        <f t="shared" si="114"/>
        <v>0</v>
      </c>
      <c r="I409">
        <f t="shared" si="121"/>
        <v>0</v>
      </c>
      <c r="J409">
        <f t="shared" si="115"/>
        <v>4588</v>
      </c>
      <c r="K409">
        <f t="shared" si="116"/>
        <v>1</v>
      </c>
      <c r="L409">
        <f t="shared" si="117"/>
        <v>16</v>
      </c>
      <c r="M409">
        <f t="shared" si="118"/>
        <v>28</v>
      </c>
      <c r="N409">
        <f t="shared" si="110"/>
        <v>0</v>
      </c>
      <c r="O409">
        <f t="shared" si="110"/>
        <v>1</v>
      </c>
      <c r="P409">
        <f t="shared" si="110"/>
        <v>15</v>
      </c>
      <c r="Q409">
        <f t="shared" si="123"/>
        <v>75</v>
      </c>
      <c r="R409">
        <f t="shared" si="124"/>
        <v>0</v>
      </c>
      <c r="S409">
        <f t="shared" si="125"/>
        <v>1</v>
      </c>
      <c r="T409">
        <f t="shared" si="126"/>
        <v>15</v>
      </c>
      <c r="U409">
        <f t="shared" si="127"/>
        <v>75</v>
      </c>
    </row>
    <row r="410" spans="2:21" hidden="1" x14ac:dyDescent="0.25">
      <c r="B410" t="b">
        <f t="shared" si="112"/>
        <v>0</v>
      </c>
      <c r="C410" t="b">
        <f t="shared" si="122"/>
        <v>0</v>
      </c>
      <c r="D410">
        <f t="shared" si="119"/>
        <v>1</v>
      </c>
      <c r="E410" t="str">
        <f t="shared" si="120"/>
        <v>6. Conclusion</v>
      </c>
      <c r="F410" s="8" t="str">
        <f t="shared" si="111"/>
        <v/>
      </c>
      <c r="G410" t="str">
        <f t="shared" si="113"/>
        <v/>
      </c>
      <c r="H410">
        <f t="shared" si="114"/>
        <v>0</v>
      </c>
      <c r="I410">
        <f t="shared" si="121"/>
        <v>0</v>
      </c>
      <c r="J410">
        <f t="shared" si="115"/>
        <v>4588</v>
      </c>
      <c r="K410">
        <f t="shared" si="116"/>
        <v>1</v>
      </c>
      <c r="L410">
        <f t="shared" si="117"/>
        <v>16</v>
      </c>
      <c r="M410">
        <f t="shared" si="118"/>
        <v>28</v>
      </c>
      <c r="N410">
        <f t="shared" si="110"/>
        <v>0</v>
      </c>
      <c r="O410">
        <f t="shared" si="110"/>
        <v>1</v>
      </c>
      <c r="P410">
        <f t="shared" si="110"/>
        <v>15</v>
      </c>
      <c r="Q410">
        <f t="shared" si="123"/>
        <v>75</v>
      </c>
      <c r="R410">
        <f t="shared" si="124"/>
        <v>0</v>
      </c>
      <c r="S410">
        <f t="shared" si="125"/>
        <v>1</v>
      </c>
      <c r="T410">
        <f t="shared" si="126"/>
        <v>15</v>
      </c>
      <c r="U410">
        <f t="shared" si="127"/>
        <v>75</v>
      </c>
    </row>
    <row r="411" spans="2:21" hidden="1" x14ac:dyDescent="0.25">
      <c r="B411" t="b">
        <f t="shared" si="112"/>
        <v>0</v>
      </c>
      <c r="C411" t="b">
        <f t="shared" si="122"/>
        <v>0</v>
      </c>
      <c r="D411">
        <f t="shared" si="119"/>
        <v>1</v>
      </c>
      <c r="E411" t="str">
        <f t="shared" si="120"/>
        <v>6. Conclusion</v>
      </c>
      <c r="F411" s="8" t="str">
        <f t="shared" si="111"/>
        <v/>
      </c>
      <c r="G411" t="str">
        <f t="shared" si="113"/>
        <v/>
      </c>
      <c r="H411">
        <f t="shared" si="114"/>
        <v>0</v>
      </c>
      <c r="I411">
        <f t="shared" si="121"/>
        <v>0</v>
      </c>
      <c r="J411">
        <f t="shared" si="115"/>
        <v>4588</v>
      </c>
      <c r="K411">
        <f t="shared" si="116"/>
        <v>1</v>
      </c>
      <c r="L411">
        <f t="shared" si="117"/>
        <v>16</v>
      </c>
      <c r="M411">
        <f t="shared" si="118"/>
        <v>28</v>
      </c>
      <c r="N411">
        <f t="shared" ref="N411:P474" si="128">R410</f>
        <v>0</v>
      </c>
      <c r="O411">
        <f t="shared" si="128"/>
        <v>1</v>
      </c>
      <c r="P411">
        <f t="shared" si="128"/>
        <v>15</v>
      </c>
      <c r="Q411">
        <f t="shared" si="123"/>
        <v>75</v>
      </c>
      <c r="R411">
        <f t="shared" si="124"/>
        <v>0</v>
      </c>
      <c r="S411">
        <f t="shared" si="125"/>
        <v>1</v>
      </c>
      <c r="T411">
        <f t="shared" si="126"/>
        <v>15</v>
      </c>
      <c r="U411">
        <f t="shared" si="127"/>
        <v>75</v>
      </c>
    </row>
    <row r="412" spans="2:21" hidden="1" x14ac:dyDescent="0.25">
      <c r="B412" t="b">
        <f t="shared" si="112"/>
        <v>0</v>
      </c>
      <c r="C412" t="b">
        <f t="shared" si="122"/>
        <v>0</v>
      </c>
      <c r="D412">
        <f t="shared" si="119"/>
        <v>1</v>
      </c>
      <c r="E412" t="str">
        <f t="shared" si="120"/>
        <v>6. Conclusion</v>
      </c>
      <c r="F412" s="8" t="str">
        <f t="shared" si="111"/>
        <v/>
      </c>
      <c r="G412" t="str">
        <f t="shared" si="113"/>
        <v/>
      </c>
      <c r="H412">
        <f t="shared" si="114"/>
        <v>0</v>
      </c>
      <c r="I412">
        <f t="shared" si="121"/>
        <v>0</v>
      </c>
      <c r="J412">
        <f t="shared" si="115"/>
        <v>4588</v>
      </c>
      <c r="K412">
        <f t="shared" si="116"/>
        <v>1</v>
      </c>
      <c r="L412">
        <f t="shared" si="117"/>
        <v>16</v>
      </c>
      <c r="M412">
        <f t="shared" si="118"/>
        <v>28</v>
      </c>
      <c r="N412">
        <f t="shared" si="128"/>
        <v>0</v>
      </c>
      <c r="O412">
        <f t="shared" si="128"/>
        <v>1</v>
      </c>
      <c r="P412">
        <f t="shared" si="128"/>
        <v>15</v>
      </c>
      <c r="Q412">
        <f t="shared" si="123"/>
        <v>75</v>
      </c>
      <c r="R412">
        <f t="shared" si="124"/>
        <v>0</v>
      </c>
      <c r="S412">
        <f t="shared" si="125"/>
        <v>1</v>
      </c>
      <c r="T412">
        <f t="shared" si="126"/>
        <v>15</v>
      </c>
      <c r="U412">
        <f t="shared" si="127"/>
        <v>75</v>
      </c>
    </row>
    <row r="413" spans="2:21" hidden="1" x14ac:dyDescent="0.25">
      <c r="B413" t="b">
        <f t="shared" si="112"/>
        <v>0</v>
      </c>
      <c r="C413" t="b">
        <f t="shared" si="122"/>
        <v>0</v>
      </c>
      <c r="D413">
        <f t="shared" si="119"/>
        <v>1</v>
      </c>
      <c r="E413" t="str">
        <f t="shared" si="120"/>
        <v>6. Conclusion</v>
      </c>
      <c r="F413" s="8" t="str">
        <f t="shared" si="111"/>
        <v/>
      </c>
      <c r="G413" t="str">
        <f t="shared" si="113"/>
        <v/>
      </c>
      <c r="H413">
        <f t="shared" si="114"/>
        <v>0</v>
      </c>
      <c r="I413">
        <f t="shared" si="121"/>
        <v>0</v>
      </c>
      <c r="J413">
        <f t="shared" si="115"/>
        <v>4588</v>
      </c>
      <c r="K413">
        <f t="shared" si="116"/>
        <v>1</v>
      </c>
      <c r="L413">
        <f t="shared" si="117"/>
        <v>16</v>
      </c>
      <c r="M413">
        <f t="shared" si="118"/>
        <v>28</v>
      </c>
      <c r="N413">
        <f t="shared" si="128"/>
        <v>0</v>
      </c>
      <c r="O413">
        <f t="shared" si="128"/>
        <v>1</v>
      </c>
      <c r="P413">
        <f t="shared" si="128"/>
        <v>15</v>
      </c>
      <c r="Q413">
        <f t="shared" si="123"/>
        <v>75</v>
      </c>
      <c r="R413">
        <f t="shared" si="124"/>
        <v>0</v>
      </c>
      <c r="S413">
        <f t="shared" si="125"/>
        <v>1</v>
      </c>
      <c r="T413">
        <f t="shared" si="126"/>
        <v>15</v>
      </c>
      <c r="U413">
        <f t="shared" si="127"/>
        <v>75</v>
      </c>
    </row>
    <row r="414" spans="2:21" hidden="1" x14ac:dyDescent="0.25">
      <c r="B414" t="b">
        <f t="shared" si="112"/>
        <v>0</v>
      </c>
      <c r="C414" t="b">
        <f t="shared" si="122"/>
        <v>0</v>
      </c>
      <c r="D414">
        <f t="shared" si="119"/>
        <v>1</v>
      </c>
      <c r="E414" t="str">
        <f t="shared" si="120"/>
        <v>6. Conclusion</v>
      </c>
      <c r="F414" s="8" t="str">
        <f t="shared" si="111"/>
        <v/>
      </c>
      <c r="G414" t="str">
        <f t="shared" si="113"/>
        <v/>
      </c>
      <c r="H414">
        <f t="shared" si="114"/>
        <v>0</v>
      </c>
      <c r="I414">
        <f t="shared" si="121"/>
        <v>0</v>
      </c>
      <c r="J414">
        <f t="shared" si="115"/>
        <v>4588</v>
      </c>
      <c r="K414">
        <f t="shared" si="116"/>
        <v>1</v>
      </c>
      <c r="L414">
        <f t="shared" si="117"/>
        <v>16</v>
      </c>
      <c r="M414">
        <f t="shared" si="118"/>
        <v>28</v>
      </c>
      <c r="N414">
        <f t="shared" si="128"/>
        <v>0</v>
      </c>
      <c r="O414">
        <f t="shared" si="128"/>
        <v>1</v>
      </c>
      <c r="P414">
        <f t="shared" si="128"/>
        <v>15</v>
      </c>
      <c r="Q414">
        <f t="shared" si="123"/>
        <v>75</v>
      </c>
      <c r="R414">
        <f t="shared" si="124"/>
        <v>0</v>
      </c>
      <c r="S414">
        <f t="shared" si="125"/>
        <v>1</v>
      </c>
      <c r="T414">
        <f t="shared" si="126"/>
        <v>15</v>
      </c>
      <c r="U414">
        <f t="shared" si="127"/>
        <v>75</v>
      </c>
    </row>
    <row r="415" spans="2:21" hidden="1" x14ac:dyDescent="0.25">
      <c r="B415" t="b">
        <f t="shared" si="112"/>
        <v>0</v>
      </c>
      <c r="C415" t="b">
        <f t="shared" si="122"/>
        <v>0</v>
      </c>
      <c r="D415">
        <f t="shared" si="119"/>
        <v>1</v>
      </c>
      <c r="E415" t="str">
        <f t="shared" si="120"/>
        <v>6. Conclusion</v>
      </c>
      <c r="F415" s="8" t="str">
        <f t="shared" si="111"/>
        <v/>
      </c>
      <c r="G415" t="str">
        <f t="shared" si="113"/>
        <v/>
      </c>
      <c r="H415">
        <f t="shared" si="114"/>
        <v>0</v>
      </c>
      <c r="I415">
        <f t="shared" si="121"/>
        <v>0</v>
      </c>
      <c r="J415">
        <f t="shared" si="115"/>
        <v>4588</v>
      </c>
      <c r="K415">
        <f t="shared" si="116"/>
        <v>1</v>
      </c>
      <c r="L415">
        <f t="shared" si="117"/>
        <v>16</v>
      </c>
      <c r="M415">
        <f t="shared" si="118"/>
        <v>28</v>
      </c>
      <c r="N415">
        <f t="shared" si="128"/>
        <v>0</v>
      </c>
      <c r="O415">
        <f t="shared" si="128"/>
        <v>1</v>
      </c>
      <c r="P415">
        <f t="shared" si="128"/>
        <v>15</v>
      </c>
      <c r="Q415">
        <f t="shared" si="123"/>
        <v>75</v>
      </c>
      <c r="R415">
        <f t="shared" si="124"/>
        <v>0</v>
      </c>
      <c r="S415">
        <f t="shared" si="125"/>
        <v>1</v>
      </c>
      <c r="T415">
        <f t="shared" si="126"/>
        <v>15</v>
      </c>
      <c r="U415">
        <f t="shared" si="127"/>
        <v>75</v>
      </c>
    </row>
    <row r="416" spans="2:21" hidden="1" x14ac:dyDescent="0.25">
      <c r="B416" t="b">
        <f t="shared" si="112"/>
        <v>0</v>
      </c>
      <c r="C416" t="b">
        <f t="shared" si="122"/>
        <v>0</v>
      </c>
      <c r="D416">
        <f t="shared" si="119"/>
        <v>1</v>
      </c>
      <c r="E416" t="str">
        <f t="shared" si="120"/>
        <v>6. Conclusion</v>
      </c>
      <c r="F416" s="8" t="str">
        <f t="shared" si="111"/>
        <v/>
      </c>
      <c r="G416" t="str">
        <f t="shared" si="113"/>
        <v/>
      </c>
      <c r="H416">
        <f t="shared" si="114"/>
        <v>0</v>
      </c>
      <c r="I416">
        <f t="shared" si="121"/>
        <v>0</v>
      </c>
      <c r="J416">
        <f t="shared" si="115"/>
        <v>4588</v>
      </c>
      <c r="K416">
        <f t="shared" si="116"/>
        <v>1</v>
      </c>
      <c r="L416">
        <f t="shared" si="117"/>
        <v>16</v>
      </c>
      <c r="M416">
        <f t="shared" si="118"/>
        <v>28</v>
      </c>
      <c r="N416">
        <f t="shared" si="128"/>
        <v>0</v>
      </c>
      <c r="O416">
        <f t="shared" si="128"/>
        <v>1</v>
      </c>
      <c r="P416">
        <f t="shared" si="128"/>
        <v>15</v>
      </c>
      <c r="Q416">
        <f t="shared" si="123"/>
        <v>75</v>
      </c>
      <c r="R416">
        <f t="shared" si="124"/>
        <v>0</v>
      </c>
      <c r="S416">
        <f t="shared" si="125"/>
        <v>1</v>
      </c>
      <c r="T416">
        <f t="shared" si="126"/>
        <v>15</v>
      </c>
      <c r="U416">
        <f t="shared" si="127"/>
        <v>75</v>
      </c>
    </row>
    <row r="417" spans="2:21" hidden="1" x14ac:dyDescent="0.25">
      <c r="B417" t="b">
        <f t="shared" si="112"/>
        <v>0</v>
      </c>
      <c r="C417" t="b">
        <f t="shared" si="122"/>
        <v>0</v>
      </c>
      <c r="D417">
        <f t="shared" si="119"/>
        <v>1</v>
      </c>
      <c r="E417" t="str">
        <f t="shared" si="120"/>
        <v>6. Conclusion</v>
      </c>
      <c r="F417" s="8" t="str">
        <f t="shared" si="111"/>
        <v/>
      </c>
      <c r="G417" t="str">
        <f t="shared" si="113"/>
        <v/>
      </c>
      <c r="H417">
        <f t="shared" si="114"/>
        <v>0</v>
      </c>
      <c r="I417">
        <f t="shared" si="121"/>
        <v>0</v>
      </c>
      <c r="J417">
        <f t="shared" si="115"/>
        <v>4588</v>
      </c>
      <c r="K417">
        <f t="shared" si="116"/>
        <v>1</v>
      </c>
      <c r="L417">
        <f t="shared" si="117"/>
        <v>16</v>
      </c>
      <c r="M417">
        <f t="shared" si="118"/>
        <v>28</v>
      </c>
      <c r="N417">
        <f t="shared" si="128"/>
        <v>0</v>
      </c>
      <c r="O417">
        <f t="shared" si="128"/>
        <v>1</v>
      </c>
      <c r="P417">
        <f t="shared" si="128"/>
        <v>15</v>
      </c>
      <c r="Q417">
        <f t="shared" si="123"/>
        <v>75</v>
      </c>
      <c r="R417">
        <f t="shared" si="124"/>
        <v>0</v>
      </c>
      <c r="S417">
        <f t="shared" si="125"/>
        <v>1</v>
      </c>
      <c r="T417">
        <f t="shared" si="126"/>
        <v>15</v>
      </c>
      <c r="U417">
        <f t="shared" si="127"/>
        <v>75</v>
      </c>
    </row>
    <row r="418" spans="2:21" hidden="1" x14ac:dyDescent="0.25">
      <c r="B418" t="b">
        <f t="shared" si="112"/>
        <v>0</v>
      </c>
      <c r="C418" t="b">
        <f t="shared" si="122"/>
        <v>0</v>
      </c>
      <c r="D418">
        <f t="shared" si="119"/>
        <v>1</v>
      </c>
      <c r="E418" t="str">
        <f t="shared" si="120"/>
        <v>6. Conclusion</v>
      </c>
      <c r="F418" s="8" t="str">
        <f t="shared" si="111"/>
        <v/>
      </c>
      <c r="G418" t="str">
        <f t="shared" si="113"/>
        <v/>
      </c>
      <c r="H418">
        <f t="shared" si="114"/>
        <v>0</v>
      </c>
      <c r="I418">
        <f t="shared" si="121"/>
        <v>0</v>
      </c>
      <c r="J418">
        <f t="shared" si="115"/>
        <v>4588</v>
      </c>
      <c r="K418">
        <f t="shared" si="116"/>
        <v>1</v>
      </c>
      <c r="L418">
        <f t="shared" si="117"/>
        <v>16</v>
      </c>
      <c r="M418">
        <f t="shared" si="118"/>
        <v>28</v>
      </c>
      <c r="N418">
        <f t="shared" si="128"/>
        <v>0</v>
      </c>
      <c r="O418">
        <f t="shared" si="128"/>
        <v>1</v>
      </c>
      <c r="P418">
        <f t="shared" si="128"/>
        <v>15</v>
      </c>
      <c r="Q418">
        <f t="shared" si="123"/>
        <v>75</v>
      </c>
      <c r="R418">
        <f t="shared" si="124"/>
        <v>0</v>
      </c>
      <c r="S418">
        <f t="shared" si="125"/>
        <v>1</v>
      </c>
      <c r="T418">
        <f t="shared" si="126"/>
        <v>15</v>
      </c>
      <c r="U418">
        <f t="shared" si="127"/>
        <v>75</v>
      </c>
    </row>
    <row r="419" spans="2:21" hidden="1" x14ac:dyDescent="0.25">
      <c r="B419" t="b">
        <f t="shared" si="112"/>
        <v>0</v>
      </c>
      <c r="C419" t="b">
        <f t="shared" si="122"/>
        <v>0</v>
      </c>
      <c r="D419">
        <f t="shared" si="119"/>
        <v>1</v>
      </c>
      <c r="E419" t="str">
        <f t="shared" si="120"/>
        <v>6. Conclusion</v>
      </c>
      <c r="F419" s="8" t="str">
        <f t="shared" si="111"/>
        <v/>
      </c>
      <c r="G419" t="str">
        <f t="shared" si="113"/>
        <v/>
      </c>
      <c r="H419">
        <f t="shared" si="114"/>
        <v>0</v>
      </c>
      <c r="I419">
        <f t="shared" si="121"/>
        <v>0</v>
      </c>
      <c r="J419">
        <f t="shared" si="115"/>
        <v>4588</v>
      </c>
      <c r="K419">
        <f t="shared" si="116"/>
        <v>1</v>
      </c>
      <c r="L419">
        <f t="shared" si="117"/>
        <v>16</v>
      </c>
      <c r="M419">
        <f t="shared" si="118"/>
        <v>28</v>
      </c>
      <c r="N419">
        <f t="shared" si="128"/>
        <v>0</v>
      </c>
      <c r="O419">
        <f t="shared" si="128"/>
        <v>1</v>
      </c>
      <c r="P419">
        <f t="shared" si="128"/>
        <v>15</v>
      </c>
      <c r="Q419">
        <f t="shared" si="123"/>
        <v>75</v>
      </c>
      <c r="R419">
        <f t="shared" si="124"/>
        <v>0</v>
      </c>
      <c r="S419">
        <f t="shared" si="125"/>
        <v>1</v>
      </c>
      <c r="T419">
        <f t="shared" si="126"/>
        <v>15</v>
      </c>
      <c r="U419">
        <f t="shared" si="127"/>
        <v>75</v>
      </c>
    </row>
    <row r="420" spans="2:21" hidden="1" x14ac:dyDescent="0.25">
      <c r="B420" t="b">
        <f t="shared" si="112"/>
        <v>0</v>
      </c>
      <c r="C420" t="b">
        <f t="shared" si="122"/>
        <v>0</v>
      </c>
      <c r="D420">
        <f t="shared" si="119"/>
        <v>1</v>
      </c>
      <c r="E420" t="str">
        <f t="shared" si="120"/>
        <v>6. Conclusion</v>
      </c>
      <c r="F420" s="8" t="str">
        <f t="shared" si="111"/>
        <v/>
      </c>
      <c r="G420" t="str">
        <f t="shared" si="113"/>
        <v/>
      </c>
      <c r="H420">
        <f t="shared" si="114"/>
        <v>0</v>
      </c>
      <c r="I420">
        <f t="shared" si="121"/>
        <v>0</v>
      </c>
      <c r="J420">
        <f t="shared" si="115"/>
        <v>4588</v>
      </c>
      <c r="K420">
        <f t="shared" si="116"/>
        <v>1</v>
      </c>
      <c r="L420">
        <f t="shared" si="117"/>
        <v>16</v>
      </c>
      <c r="M420">
        <f t="shared" si="118"/>
        <v>28</v>
      </c>
      <c r="N420">
        <f t="shared" si="128"/>
        <v>0</v>
      </c>
      <c r="O420">
        <f t="shared" si="128"/>
        <v>1</v>
      </c>
      <c r="P420">
        <f t="shared" si="128"/>
        <v>15</v>
      </c>
      <c r="Q420">
        <f t="shared" si="123"/>
        <v>75</v>
      </c>
      <c r="R420">
        <f t="shared" si="124"/>
        <v>0</v>
      </c>
      <c r="S420">
        <f t="shared" si="125"/>
        <v>1</v>
      </c>
      <c r="T420">
        <f t="shared" si="126"/>
        <v>15</v>
      </c>
      <c r="U420">
        <f t="shared" si="127"/>
        <v>75</v>
      </c>
    </row>
    <row r="421" spans="2:21" hidden="1" x14ac:dyDescent="0.25">
      <c r="B421" t="b">
        <f t="shared" si="112"/>
        <v>0</v>
      </c>
      <c r="C421" t="b">
        <f t="shared" si="122"/>
        <v>0</v>
      </c>
      <c r="D421">
        <f t="shared" si="119"/>
        <v>1</v>
      </c>
      <c r="E421" t="str">
        <f t="shared" si="120"/>
        <v>6. Conclusion</v>
      </c>
      <c r="F421" s="8" t="str">
        <f t="shared" si="111"/>
        <v/>
      </c>
      <c r="G421" t="str">
        <f t="shared" si="113"/>
        <v/>
      </c>
      <c r="H421">
        <f t="shared" si="114"/>
        <v>0</v>
      </c>
      <c r="I421">
        <f t="shared" si="121"/>
        <v>0</v>
      </c>
      <c r="J421">
        <f t="shared" si="115"/>
        <v>4588</v>
      </c>
      <c r="K421">
        <f t="shared" si="116"/>
        <v>1</v>
      </c>
      <c r="L421">
        <f t="shared" si="117"/>
        <v>16</v>
      </c>
      <c r="M421">
        <f t="shared" si="118"/>
        <v>28</v>
      </c>
      <c r="N421">
        <f t="shared" si="128"/>
        <v>0</v>
      </c>
      <c r="O421">
        <f t="shared" si="128"/>
        <v>1</v>
      </c>
      <c r="P421">
        <f t="shared" si="128"/>
        <v>15</v>
      </c>
      <c r="Q421">
        <f t="shared" si="123"/>
        <v>75</v>
      </c>
      <c r="R421">
        <f t="shared" si="124"/>
        <v>0</v>
      </c>
      <c r="S421">
        <f t="shared" si="125"/>
        <v>1</v>
      </c>
      <c r="T421">
        <f t="shared" si="126"/>
        <v>15</v>
      </c>
      <c r="U421">
        <f t="shared" si="127"/>
        <v>75</v>
      </c>
    </row>
    <row r="422" spans="2:21" hidden="1" x14ac:dyDescent="0.25">
      <c r="B422" t="b">
        <f t="shared" si="112"/>
        <v>0</v>
      </c>
      <c r="C422" t="b">
        <f t="shared" si="122"/>
        <v>0</v>
      </c>
      <c r="D422">
        <f t="shared" si="119"/>
        <v>1</v>
      </c>
      <c r="E422" t="str">
        <f t="shared" si="120"/>
        <v>6. Conclusion</v>
      </c>
      <c r="F422" s="8" t="str">
        <f t="shared" si="111"/>
        <v/>
      </c>
      <c r="G422" t="str">
        <f t="shared" si="113"/>
        <v/>
      </c>
      <c r="H422">
        <f t="shared" si="114"/>
        <v>0</v>
      </c>
      <c r="I422">
        <f t="shared" si="121"/>
        <v>0</v>
      </c>
      <c r="J422">
        <f t="shared" si="115"/>
        <v>4588</v>
      </c>
      <c r="K422">
        <f t="shared" si="116"/>
        <v>1</v>
      </c>
      <c r="L422">
        <f t="shared" si="117"/>
        <v>16</v>
      </c>
      <c r="M422">
        <f t="shared" si="118"/>
        <v>28</v>
      </c>
      <c r="N422">
        <f t="shared" si="128"/>
        <v>0</v>
      </c>
      <c r="O422">
        <f t="shared" si="128"/>
        <v>1</v>
      </c>
      <c r="P422">
        <f t="shared" si="128"/>
        <v>15</v>
      </c>
      <c r="Q422">
        <f t="shared" si="123"/>
        <v>75</v>
      </c>
      <c r="R422">
        <f t="shared" si="124"/>
        <v>0</v>
      </c>
      <c r="S422">
        <f t="shared" si="125"/>
        <v>1</v>
      </c>
      <c r="T422">
        <f t="shared" si="126"/>
        <v>15</v>
      </c>
      <c r="U422">
        <f t="shared" si="127"/>
        <v>75</v>
      </c>
    </row>
    <row r="423" spans="2:21" hidden="1" x14ac:dyDescent="0.25">
      <c r="B423" t="b">
        <f t="shared" si="112"/>
        <v>0</v>
      </c>
      <c r="C423" t="b">
        <f t="shared" si="122"/>
        <v>0</v>
      </c>
      <c r="D423">
        <f t="shared" si="119"/>
        <v>1</v>
      </c>
      <c r="E423" t="str">
        <f t="shared" si="120"/>
        <v>6. Conclusion</v>
      </c>
      <c r="F423" s="8" t="str">
        <f t="shared" si="111"/>
        <v/>
      </c>
      <c r="G423" t="str">
        <f t="shared" si="113"/>
        <v/>
      </c>
      <c r="H423">
        <f t="shared" si="114"/>
        <v>0</v>
      </c>
      <c r="I423">
        <f t="shared" si="121"/>
        <v>0</v>
      </c>
      <c r="J423">
        <f t="shared" si="115"/>
        <v>4588</v>
      </c>
      <c r="K423">
        <f t="shared" si="116"/>
        <v>1</v>
      </c>
      <c r="L423">
        <f t="shared" si="117"/>
        <v>16</v>
      </c>
      <c r="M423">
        <f t="shared" si="118"/>
        <v>28</v>
      </c>
      <c r="N423">
        <f t="shared" si="128"/>
        <v>0</v>
      </c>
      <c r="O423">
        <f t="shared" si="128"/>
        <v>1</v>
      </c>
      <c r="P423">
        <f t="shared" si="128"/>
        <v>15</v>
      </c>
      <c r="Q423">
        <f t="shared" si="123"/>
        <v>75</v>
      </c>
      <c r="R423">
        <f t="shared" si="124"/>
        <v>0</v>
      </c>
      <c r="S423">
        <f t="shared" si="125"/>
        <v>1</v>
      </c>
      <c r="T423">
        <f t="shared" si="126"/>
        <v>15</v>
      </c>
      <c r="U423">
        <f t="shared" si="127"/>
        <v>75</v>
      </c>
    </row>
    <row r="424" spans="2:21" hidden="1" x14ac:dyDescent="0.25">
      <c r="B424" t="b">
        <f t="shared" si="112"/>
        <v>0</v>
      </c>
      <c r="C424" t="b">
        <f t="shared" si="122"/>
        <v>0</v>
      </c>
      <c r="D424">
        <f t="shared" si="119"/>
        <v>1</v>
      </c>
      <c r="E424" t="str">
        <f t="shared" si="120"/>
        <v>6. Conclusion</v>
      </c>
      <c r="F424" s="8" t="str">
        <f t="shared" ref="F424:F487" si="129">SUBSTITUTE(IF(C424,D424&amp;". "&amp;A424,""),":"," -")</f>
        <v/>
      </c>
      <c r="G424" t="str">
        <f t="shared" si="113"/>
        <v/>
      </c>
      <c r="H424">
        <f t="shared" si="114"/>
        <v>0</v>
      </c>
      <c r="I424">
        <f t="shared" si="121"/>
        <v>0</v>
      </c>
      <c r="J424">
        <f t="shared" si="115"/>
        <v>4588</v>
      </c>
      <c r="K424">
        <f t="shared" si="116"/>
        <v>1</v>
      </c>
      <c r="L424">
        <f t="shared" si="117"/>
        <v>16</v>
      </c>
      <c r="M424">
        <f t="shared" si="118"/>
        <v>28</v>
      </c>
      <c r="N424">
        <f t="shared" si="128"/>
        <v>0</v>
      </c>
      <c r="O424">
        <f t="shared" si="128"/>
        <v>1</v>
      </c>
      <c r="P424">
        <f t="shared" si="128"/>
        <v>15</v>
      </c>
      <c r="Q424">
        <f t="shared" si="123"/>
        <v>75</v>
      </c>
      <c r="R424">
        <f t="shared" si="124"/>
        <v>0</v>
      </c>
      <c r="S424">
        <f t="shared" si="125"/>
        <v>1</v>
      </c>
      <c r="T424">
        <f t="shared" si="126"/>
        <v>15</v>
      </c>
      <c r="U424">
        <f t="shared" si="127"/>
        <v>75</v>
      </c>
    </row>
    <row r="425" spans="2:21" hidden="1" x14ac:dyDescent="0.25">
      <c r="B425" t="b">
        <f t="shared" si="112"/>
        <v>0</v>
      </c>
      <c r="C425" t="b">
        <f t="shared" si="122"/>
        <v>0</v>
      </c>
      <c r="D425">
        <f t="shared" si="119"/>
        <v>1</v>
      </c>
      <c r="E425" t="str">
        <f t="shared" si="120"/>
        <v>6. Conclusion</v>
      </c>
      <c r="F425" s="8" t="str">
        <f t="shared" si="129"/>
        <v/>
      </c>
      <c r="G425" t="str">
        <f t="shared" si="113"/>
        <v/>
      </c>
      <c r="H425">
        <f t="shared" si="114"/>
        <v>0</v>
      </c>
      <c r="I425">
        <f t="shared" si="121"/>
        <v>0</v>
      </c>
      <c r="J425">
        <f t="shared" si="115"/>
        <v>4588</v>
      </c>
      <c r="K425">
        <f t="shared" si="116"/>
        <v>1</v>
      </c>
      <c r="L425">
        <f t="shared" si="117"/>
        <v>16</v>
      </c>
      <c r="M425">
        <f t="shared" si="118"/>
        <v>28</v>
      </c>
      <c r="N425">
        <f t="shared" si="128"/>
        <v>0</v>
      </c>
      <c r="O425">
        <f t="shared" si="128"/>
        <v>1</v>
      </c>
      <c r="P425">
        <f t="shared" si="128"/>
        <v>15</v>
      </c>
      <c r="Q425">
        <f t="shared" si="123"/>
        <v>75</v>
      </c>
      <c r="R425">
        <f t="shared" si="124"/>
        <v>0</v>
      </c>
      <c r="S425">
        <f t="shared" si="125"/>
        <v>1</v>
      </c>
      <c r="T425">
        <f t="shared" si="126"/>
        <v>15</v>
      </c>
      <c r="U425">
        <f t="shared" si="127"/>
        <v>75</v>
      </c>
    </row>
    <row r="426" spans="2:21" hidden="1" x14ac:dyDescent="0.25">
      <c r="B426" t="b">
        <f t="shared" si="112"/>
        <v>0</v>
      </c>
      <c r="C426" t="b">
        <f t="shared" si="122"/>
        <v>0</v>
      </c>
      <c r="D426">
        <f t="shared" si="119"/>
        <v>1</v>
      </c>
      <c r="E426" t="str">
        <f t="shared" si="120"/>
        <v>6. Conclusion</v>
      </c>
      <c r="F426" s="8" t="str">
        <f t="shared" si="129"/>
        <v/>
      </c>
      <c r="G426" t="str">
        <f t="shared" si="113"/>
        <v/>
      </c>
      <c r="H426">
        <f t="shared" si="114"/>
        <v>0</v>
      </c>
      <c r="I426">
        <f t="shared" si="121"/>
        <v>0</v>
      </c>
      <c r="J426">
        <f t="shared" si="115"/>
        <v>4588</v>
      </c>
      <c r="K426">
        <f t="shared" si="116"/>
        <v>1</v>
      </c>
      <c r="L426">
        <f t="shared" si="117"/>
        <v>16</v>
      </c>
      <c r="M426">
        <f t="shared" si="118"/>
        <v>28</v>
      </c>
      <c r="N426">
        <f t="shared" si="128"/>
        <v>0</v>
      </c>
      <c r="O426">
        <f t="shared" si="128"/>
        <v>1</v>
      </c>
      <c r="P426">
        <f t="shared" si="128"/>
        <v>15</v>
      </c>
      <c r="Q426">
        <f t="shared" si="123"/>
        <v>75</v>
      </c>
      <c r="R426">
        <f t="shared" si="124"/>
        <v>0</v>
      </c>
      <c r="S426">
        <f t="shared" si="125"/>
        <v>1</v>
      </c>
      <c r="T426">
        <f t="shared" si="126"/>
        <v>15</v>
      </c>
      <c r="U426">
        <f t="shared" si="127"/>
        <v>75</v>
      </c>
    </row>
    <row r="427" spans="2:21" hidden="1" x14ac:dyDescent="0.25">
      <c r="B427" t="b">
        <f t="shared" si="112"/>
        <v>0</v>
      </c>
      <c r="C427" t="b">
        <f t="shared" si="122"/>
        <v>0</v>
      </c>
      <c r="D427">
        <f t="shared" si="119"/>
        <v>1</v>
      </c>
      <c r="E427" t="str">
        <f t="shared" si="120"/>
        <v>6. Conclusion</v>
      </c>
      <c r="F427" s="8" t="str">
        <f t="shared" si="129"/>
        <v/>
      </c>
      <c r="G427" t="str">
        <f t="shared" si="113"/>
        <v/>
      </c>
      <c r="H427">
        <f t="shared" si="114"/>
        <v>0</v>
      </c>
      <c r="I427">
        <f t="shared" si="121"/>
        <v>0</v>
      </c>
      <c r="J427">
        <f t="shared" si="115"/>
        <v>4588</v>
      </c>
      <c r="K427">
        <f t="shared" si="116"/>
        <v>1</v>
      </c>
      <c r="L427">
        <f t="shared" si="117"/>
        <v>16</v>
      </c>
      <c r="M427">
        <f t="shared" si="118"/>
        <v>28</v>
      </c>
      <c r="N427">
        <f t="shared" si="128"/>
        <v>0</v>
      </c>
      <c r="O427">
        <f t="shared" si="128"/>
        <v>1</v>
      </c>
      <c r="P427">
        <f t="shared" si="128"/>
        <v>15</v>
      </c>
      <c r="Q427">
        <f t="shared" si="123"/>
        <v>75</v>
      </c>
      <c r="R427">
        <f t="shared" si="124"/>
        <v>0</v>
      </c>
      <c r="S427">
        <f t="shared" si="125"/>
        <v>1</v>
      </c>
      <c r="T427">
        <f t="shared" si="126"/>
        <v>15</v>
      </c>
      <c r="U427">
        <f t="shared" si="127"/>
        <v>75</v>
      </c>
    </row>
    <row r="428" spans="2:21" hidden="1" x14ac:dyDescent="0.25">
      <c r="B428" t="b">
        <f t="shared" si="112"/>
        <v>0</v>
      </c>
      <c r="C428" t="b">
        <f t="shared" si="122"/>
        <v>0</v>
      </c>
      <c r="D428">
        <f t="shared" si="119"/>
        <v>1</v>
      </c>
      <c r="E428" t="str">
        <f t="shared" si="120"/>
        <v>6. Conclusion</v>
      </c>
      <c r="F428" s="8" t="str">
        <f t="shared" si="129"/>
        <v/>
      </c>
      <c r="G428" t="str">
        <f t="shared" si="113"/>
        <v/>
      </c>
      <c r="H428">
        <f t="shared" si="114"/>
        <v>0</v>
      </c>
      <c r="I428">
        <f t="shared" si="121"/>
        <v>0</v>
      </c>
      <c r="J428">
        <f t="shared" si="115"/>
        <v>4588</v>
      </c>
      <c r="K428">
        <f t="shared" si="116"/>
        <v>1</v>
      </c>
      <c r="L428">
        <f t="shared" si="117"/>
        <v>16</v>
      </c>
      <c r="M428">
        <f t="shared" si="118"/>
        <v>28</v>
      </c>
      <c r="N428">
        <f t="shared" si="128"/>
        <v>0</v>
      </c>
      <c r="O428">
        <f t="shared" si="128"/>
        <v>1</v>
      </c>
      <c r="P428">
        <f t="shared" si="128"/>
        <v>15</v>
      </c>
      <c r="Q428">
        <f t="shared" si="123"/>
        <v>75</v>
      </c>
      <c r="R428">
        <f t="shared" si="124"/>
        <v>0</v>
      </c>
      <c r="S428">
        <f t="shared" si="125"/>
        <v>1</v>
      </c>
      <c r="T428">
        <f t="shared" si="126"/>
        <v>15</v>
      </c>
      <c r="U428">
        <f t="shared" si="127"/>
        <v>75</v>
      </c>
    </row>
    <row r="429" spans="2:21" hidden="1" x14ac:dyDescent="0.25">
      <c r="B429" t="b">
        <f t="shared" si="112"/>
        <v>0</v>
      </c>
      <c r="C429" t="b">
        <f t="shared" si="122"/>
        <v>0</v>
      </c>
      <c r="D429">
        <f t="shared" si="119"/>
        <v>1</v>
      </c>
      <c r="E429" t="str">
        <f t="shared" si="120"/>
        <v>6. Conclusion</v>
      </c>
      <c r="F429" s="8" t="str">
        <f t="shared" si="129"/>
        <v/>
      </c>
      <c r="G429" t="str">
        <f t="shared" si="113"/>
        <v/>
      </c>
      <c r="H429">
        <f t="shared" si="114"/>
        <v>0</v>
      </c>
      <c r="I429">
        <f t="shared" si="121"/>
        <v>0</v>
      </c>
      <c r="J429">
        <f t="shared" si="115"/>
        <v>4588</v>
      </c>
      <c r="K429">
        <f t="shared" si="116"/>
        <v>1</v>
      </c>
      <c r="L429">
        <f t="shared" si="117"/>
        <v>16</v>
      </c>
      <c r="M429">
        <f t="shared" si="118"/>
        <v>28</v>
      </c>
      <c r="N429">
        <f t="shared" si="128"/>
        <v>0</v>
      </c>
      <c r="O429">
        <f t="shared" si="128"/>
        <v>1</v>
      </c>
      <c r="P429">
        <f t="shared" si="128"/>
        <v>15</v>
      </c>
      <c r="Q429">
        <f t="shared" si="123"/>
        <v>75</v>
      </c>
      <c r="R429">
        <f t="shared" si="124"/>
        <v>0</v>
      </c>
      <c r="S429">
        <f t="shared" si="125"/>
        <v>1</v>
      </c>
      <c r="T429">
        <f t="shared" si="126"/>
        <v>15</v>
      </c>
      <c r="U429">
        <f t="shared" si="127"/>
        <v>75</v>
      </c>
    </row>
    <row r="430" spans="2:21" hidden="1" x14ac:dyDescent="0.25">
      <c r="B430" t="b">
        <f t="shared" si="112"/>
        <v>0</v>
      </c>
      <c r="C430" t="b">
        <f t="shared" si="122"/>
        <v>0</v>
      </c>
      <c r="D430">
        <f t="shared" si="119"/>
        <v>1</v>
      </c>
      <c r="E430" t="str">
        <f t="shared" si="120"/>
        <v>6. Conclusion</v>
      </c>
      <c r="F430" s="8" t="str">
        <f t="shared" si="129"/>
        <v/>
      </c>
      <c r="G430" t="str">
        <f t="shared" si="113"/>
        <v/>
      </c>
      <c r="H430">
        <f t="shared" si="114"/>
        <v>0</v>
      </c>
      <c r="I430">
        <f t="shared" si="121"/>
        <v>0</v>
      </c>
      <c r="J430">
        <f t="shared" si="115"/>
        <v>4588</v>
      </c>
      <c r="K430">
        <f t="shared" si="116"/>
        <v>1</v>
      </c>
      <c r="L430">
        <f t="shared" si="117"/>
        <v>16</v>
      </c>
      <c r="M430">
        <f t="shared" si="118"/>
        <v>28</v>
      </c>
      <c r="N430">
        <f t="shared" si="128"/>
        <v>0</v>
      </c>
      <c r="O430">
        <f t="shared" si="128"/>
        <v>1</v>
      </c>
      <c r="P430">
        <f t="shared" si="128"/>
        <v>15</v>
      </c>
      <c r="Q430">
        <f t="shared" si="123"/>
        <v>75</v>
      </c>
      <c r="R430">
        <f t="shared" si="124"/>
        <v>0</v>
      </c>
      <c r="S430">
        <f t="shared" si="125"/>
        <v>1</v>
      </c>
      <c r="T430">
        <f t="shared" si="126"/>
        <v>15</v>
      </c>
      <c r="U430">
        <f t="shared" si="127"/>
        <v>75</v>
      </c>
    </row>
    <row r="431" spans="2:21" hidden="1" x14ac:dyDescent="0.25">
      <c r="B431" t="b">
        <f t="shared" si="112"/>
        <v>0</v>
      </c>
      <c r="C431" t="b">
        <f t="shared" si="122"/>
        <v>0</v>
      </c>
      <c r="D431">
        <f t="shared" si="119"/>
        <v>1</v>
      </c>
      <c r="E431" t="str">
        <f t="shared" si="120"/>
        <v>6. Conclusion</v>
      </c>
      <c r="F431" s="8" t="str">
        <f t="shared" si="129"/>
        <v/>
      </c>
      <c r="G431" t="str">
        <f t="shared" si="113"/>
        <v/>
      </c>
      <c r="H431">
        <f t="shared" si="114"/>
        <v>0</v>
      </c>
      <c r="I431">
        <f t="shared" si="121"/>
        <v>0</v>
      </c>
      <c r="J431">
        <f t="shared" si="115"/>
        <v>4588</v>
      </c>
      <c r="K431">
        <f t="shared" si="116"/>
        <v>1</v>
      </c>
      <c r="L431">
        <f t="shared" si="117"/>
        <v>16</v>
      </c>
      <c r="M431">
        <f t="shared" si="118"/>
        <v>28</v>
      </c>
      <c r="N431">
        <f t="shared" si="128"/>
        <v>0</v>
      </c>
      <c r="O431">
        <f t="shared" si="128"/>
        <v>1</v>
      </c>
      <c r="P431">
        <f t="shared" si="128"/>
        <v>15</v>
      </c>
      <c r="Q431">
        <f t="shared" si="123"/>
        <v>75</v>
      </c>
      <c r="R431">
        <f t="shared" si="124"/>
        <v>0</v>
      </c>
      <c r="S431">
        <f t="shared" si="125"/>
        <v>1</v>
      </c>
      <c r="T431">
        <f t="shared" si="126"/>
        <v>15</v>
      </c>
      <c r="U431">
        <f t="shared" si="127"/>
        <v>75</v>
      </c>
    </row>
    <row r="432" spans="2:21" hidden="1" x14ac:dyDescent="0.25">
      <c r="B432" t="b">
        <f t="shared" si="112"/>
        <v>0</v>
      </c>
      <c r="C432" t="b">
        <f t="shared" si="122"/>
        <v>0</v>
      </c>
      <c r="D432">
        <f t="shared" si="119"/>
        <v>1</v>
      </c>
      <c r="E432" t="str">
        <f t="shared" si="120"/>
        <v>6. Conclusion</v>
      </c>
      <c r="F432" s="8" t="str">
        <f t="shared" si="129"/>
        <v/>
      </c>
      <c r="G432" t="str">
        <f t="shared" si="113"/>
        <v/>
      </c>
      <c r="H432">
        <f t="shared" si="114"/>
        <v>0</v>
      </c>
      <c r="I432">
        <f t="shared" si="121"/>
        <v>0</v>
      </c>
      <c r="J432">
        <f t="shared" si="115"/>
        <v>4588</v>
      </c>
      <c r="K432">
        <f t="shared" si="116"/>
        <v>1</v>
      </c>
      <c r="L432">
        <f t="shared" si="117"/>
        <v>16</v>
      </c>
      <c r="M432">
        <f t="shared" si="118"/>
        <v>28</v>
      </c>
      <c r="N432">
        <f t="shared" si="128"/>
        <v>0</v>
      </c>
      <c r="O432">
        <f t="shared" si="128"/>
        <v>1</v>
      </c>
      <c r="P432">
        <f t="shared" si="128"/>
        <v>15</v>
      </c>
      <c r="Q432">
        <f t="shared" si="123"/>
        <v>75</v>
      </c>
      <c r="R432">
        <f t="shared" si="124"/>
        <v>0</v>
      </c>
      <c r="S432">
        <f t="shared" si="125"/>
        <v>1</v>
      </c>
      <c r="T432">
        <f t="shared" si="126"/>
        <v>15</v>
      </c>
      <c r="U432">
        <f t="shared" si="127"/>
        <v>75</v>
      </c>
    </row>
    <row r="433" spans="2:21" hidden="1" x14ac:dyDescent="0.25">
      <c r="B433" t="b">
        <f t="shared" si="112"/>
        <v>0</v>
      </c>
      <c r="C433" t="b">
        <f t="shared" si="122"/>
        <v>0</v>
      </c>
      <c r="D433">
        <f t="shared" si="119"/>
        <v>1</v>
      </c>
      <c r="E433" t="str">
        <f t="shared" si="120"/>
        <v>6. Conclusion</v>
      </c>
      <c r="F433" s="8" t="str">
        <f t="shared" si="129"/>
        <v/>
      </c>
      <c r="G433" t="str">
        <f t="shared" si="113"/>
        <v/>
      </c>
      <c r="H433">
        <f t="shared" si="114"/>
        <v>0</v>
      </c>
      <c r="I433">
        <f t="shared" si="121"/>
        <v>0</v>
      </c>
      <c r="J433">
        <f t="shared" si="115"/>
        <v>4588</v>
      </c>
      <c r="K433">
        <f t="shared" si="116"/>
        <v>1</v>
      </c>
      <c r="L433">
        <f t="shared" si="117"/>
        <v>16</v>
      </c>
      <c r="M433">
        <f t="shared" si="118"/>
        <v>28</v>
      </c>
      <c r="N433">
        <f t="shared" si="128"/>
        <v>0</v>
      </c>
      <c r="O433">
        <f t="shared" si="128"/>
        <v>1</v>
      </c>
      <c r="P433">
        <f t="shared" si="128"/>
        <v>15</v>
      </c>
      <c r="Q433">
        <f t="shared" si="123"/>
        <v>75</v>
      </c>
      <c r="R433">
        <f t="shared" si="124"/>
        <v>0</v>
      </c>
      <c r="S433">
        <f t="shared" si="125"/>
        <v>1</v>
      </c>
      <c r="T433">
        <f t="shared" si="126"/>
        <v>15</v>
      </c>
      <c r="U433">
        <f t="shared" si="127"/>
        <v>75</v>
      </c>
    </row>
    <row r="434" spans="2:21" hidden="1" x14ac:dyDescent="0.25">
      <c r="B434" t="b">
        <f t="shared" si="112"/>
        <v>0</v>
      </c>
      <c r="C434" t="b">
        <f t="shared" si="122"/>
        <v>0</v>
      </c>
      <c r="D434">
        <f t="shared" si="119"/>
        <v>1</v>
      </c>
      <c r="E434" t="str">
        <f t="shared" si="120"/>
        <v>6. Conclusion</v>
      </c>
      <c r="F434" s="8" t="str">
        <f t="shared" si="129"/>
        <v/>
      </c>
      <c r="G434" t="str">
        <f t="shared" si="113"/>
        <v/>
      </c>
      <c r="H434">
        <f t="shared" si="114"/>
        <v>0</v>
      </c>
      <c r="I434">
        <f t="shared" si="121"/>
        <v>0</v>
      </c>
      <c r="J434">
        <f t="shared" si="115"/>
        <v>4588</v>
      </c>
      <c r="K434">
        <f t="shared" si="116"/>
        <v>1</v>
      </c>
      <c r="L434">
        <f t="shared" si="117"/>
        <v>16</v>
      </c>
      <c r="M434">
        <f t="shared" si="118"/>
        <v>28</v>
      </c>
      <c r="N434">
        <f t="shared" si="128"/>
        <v>0</v>
      </c>
      <c r="O434">
        <f t="shared" si="128"/>
        <v>1</v>
      </c>
      <c r="P434">
        <f t="shared" si="128"/>
        <v>15</v>
      </c>
      <c r="Q434">
        <f t="shared" si="123"/>
        <v>75</v>
      </c>
      <c r="R434">
        <f t="shared" si="124"/>
        <v>0</v>
      </c>
      <c r="S434">
        <f t="shared" si="125"/>
        <v>1</v>
      </c>
      <c r="T434">
        <f t="shared" si="126"/>
        <v>15</v>
      </c>
      <c r="U434">
        <f t="shared" si="127"/>
        <v>75</v>
      </c>
    </row>
    <row r="435" spans="2:21" hidden="1" x14ac:dyDescent="0.25">
      <c r="B435" t="b">
        <f t="shared" si="112"/>
        <v>0</v>
      </c>
      <c r="C435" t="b">
        <f t="shared" si="122"/>
        <v>0</v>
      </c>
      <c r="D435">
        <f t="shared" si="119"/>
        <v>1</v>
      </c>
      <c r="E435" t="str">
        <f t="shared" si="120"/>
        <v>6. Conclusion</v>
      </c>
      <c r="F435" s="8" t="str">
        <f t="shared" si="129"/>
        <v/>
      </c>
      <c r="G435" t="str">
        <f t="shared" si="113"/>
        <v/>
      </c>
      <c r="H435">
        <f t="shared" si="114"/>
        <v>0</v>
      </c>
      <c r="I435">
        <f t="shared" si="121"/>
        <v>0</v>
      </c>
      <c r="J435">
        <f t="shared" si="115"/>
        <v>4588</v>
      </c>
      <c r="K435">
        <f t="shared" si="116"/>
        <v>1</v>
      </c>
      <c r="L435">
        <f t="shared" si="117"/>
        <v>16</v>
      </c>
      <c r="M435">
        <f t="shared" si="118"/>
        <v>28</v>
      </c>
      <c r="N435">
        <f t="shared" si="128"/>
        <v>0</v>
      </c>
      <c r="O435">
        <f t="shared" si="128"/>
        <v>1</v>
      </c>
      <c r="P435">
        <f t="shared" si="128"/>
        <v>15</v>
      </c>
      <c r="Q435">
        <f t="shared" si="123"/>
        <v>75</v>
      </c>
      <c r="R435">
        <f t="shared" si="124"/>
        <v>0</v>
      </c>
      <c r="S435">
        <f t="shared" si="125"/>
        <v>1</v>
      </c>
      <c r="T435">
        <f t="shared" si="126"/>
        <v>15</v>
      </c>
      <c r="U435">
        <f t="shared" si="127"/>
        <v>75</v>
      </c>
    </row>
    <row r="436" spans="2:21" hidden="1" x14ac:dyDescent="0.25">
      <c r="B436" t="b">
        <f t="shared" si="112"/>
        <v>0</v>
      </c>
      <c r="C436" t="b">
        <f t="shared" si="122"/>
        <v>0</v>
      </c>
      <c r="D436">
        <f t="shared" si="119"/>
        <v>1</v>
      </c>
      <c r="E436" t="str">
        <f t="shared" si="120"/>
        <v>6. Conclusion</v>
      </c>
      <c r="F436" s="8" t="str">
        <f t="shared" si="129"/>
        <v/>
      </c>
      <c r="G436" t="str">
        <f t="shared" si="113"/>
        <v/>
      </c>
      <c r="H436">
        <f t="shared" si="114"/>
        <v>0</v>
      </c>
      <c r="I436">
        <f t="shared" si="121"/>
        <v>0</v>
      </c>
      <c r="J436">
        <f t="shared" si="115"/>
        <v>4588</v>
      </c>
      <c r="K436">
        <f t="shared" si="116"/>
        <v>1</v>
      </c>
      <c r="L436">
        <f t="shared" si="117"/>
        <v>16</v>
      </c>
      <c r="M436">
        <f t="shared" si="118"/>
        <v>28</v>
      </c>
      <c r="N436">
        <f t="shared" si="128"/>
        <v>0</v>
      </c>
      <c r="O436">
        <f t="shared" si="128"/>
        <v>1</v>
      </c>
      <c r="P436">
        <f t="shared" si="128"/>
        <v>15</v>
      </c>
      <c r="Q436">
        <f t="shared" si="123"/>
        <v>75</v>
      </c>
      <c r="R436">
        <f t="shared" si="124"/>
        <v>0</v>
      </c>
      <c r="S436">
        <f t="shared" si="125"/>
        <v>1</v>
      </c>
      <c r="T436">
        <f t="shared" si="126"/>
        <v>15</v>
      </c>
      <c r="U436">
        <f t="shared" si="127"/>
        <v>75</v>
      </c>
    </row>
    <row r="437" spans="2:21" hidden="1" x14ac:dyDescent="0.25">
      <c r="B437" t="b">
        <f t="shared" si="112"/>
        <v>0</v>
      </c>
      <c r="C437" t="b">
        <f t="shared" si="122"/>
        <v>0</v>
      </c>
      <c r="D437">
        <f t="shared" si="119"/>
        <v>1</v>
      </c>
      <c r="E437" t="str">
        <f t="shared" si="120"/>
        <v>6. Conclusion</v>
      </c>
      <c r="F437" s="8" t="str">
        <f t="shared" si="129"/>
        <v/>
      </c>
      <c r="G437" t="str">
        <f t="shared" si="113"/>
        <v/>
      </c>
      <c r="H437">
        <f t="shared" si="114"/>
        <v>0</v>
      </c>
      <c r="I437">
        <f t="shared" si="121"/>
        <v>0</v>
      </c>
      <c r="J437">
        <f t="shared" si="115"/>
        <v>4588</v>
      </c>
      <c r="K437">
        <f t="shared" si="116"/>
        <v>1</v>
      </c>
      <c r="L437">
        <f t="shared" si="117"/>
        <v>16</v>
      </c>
      <c r="M437">
        <f t="shared" si="118"/>
        <v>28</v>
      </c>
      <c r="N437">
        <f t="shared" si="128"/>
        <v>0</v>
      </c>
      <c r="O437">
        <f t="shared" si="128"/>
        <v>1</v>
      </c>
      <c r="P437">
        <f t="shared" si="128"/>
        <v>15</v>
      </c>
      <c r="Q437">
        <f t="shared" si="123"/>
        <v>75</v>
      </c>
      <c r="R437">
        <f t="shared" si="124"/>
        <v>0</v>
      </c>
      <c r="S437">
        <f t="shared" si="125"/>
        <v>1</v>
      </c>
      <c r="T437">
        <f t="shared" si="126"/>
        <v>15</v>
      </c>
      <c r="U437">
        <f t="shared" si="127"/>
        <v>75</v>
      </c>
    </row>
    <row r="438" spans="2:21" hidden="1" x14ac:dyDescent="0.25">
      <c r="B438" t="b">
        <f t="shared" si="112"/>
        <v>0</v>
      </c>
      <c r="C438" t="b">
        <f t="shared" si="122"/>
        <v>0</v>
      </c>
      <c r="D438">
        <f t="shared" si="119"/>
        <v>1</v>
      </c>
      <c r="E438" t="str">
        <f t="shared" si="120"/>
        <v>6. Conclusion</v>
      </c>
      <c r="F438" s="8" t="str">
        <f t="shared" si="129"/>
        <v/>
      </c>
      <c r="G438" t="str">
        <f t="shared" si="113"/>
        <v/>
      </c>
      <c r="H438">
        <f t="shared" si="114"/>
        <v>0</v>
      </c>
      <c r="I438">
        <f t="shared" si="121"/>
        <v>0</v>
      </c>
      <c r="J438">
        <f t="shared" si="115"/>
        <v>4588</v>
      </c>
      <c r="K438">
        <f t="shared" si="116"/>
        <v>1</v>
      </c>
      <c r="L438">
        <f t="shared" si="117"/>
        <v>16</v>
      </c>
      <c r="M438">
        <f t="shared" si="118"/>
        <v>28</v>
      </c>
      <c r="N438">
        <f t="shared" si="128"/>
        <v>0</v>
      </c>
      <c r="O438">
        <f t="shared" si="128"/>
        <v>1</v>
      </c>
      <c r="P438">
        <f t="shared" si="128"/>
        <v>15</v>
      </c>
      <c r="Q438">
        <f t="shared" si="123"/>
        <v>75</v>
      </c>
      <c r="R438">
        <f t="shared" si="124"/>
        <v>0</v>
      </c>
      <c r="S438">
        <f t="shared" si="125"/>
        <v>1</v>
      </c>
      <c r="T438">
        <f t="shared" si="126"/>
        <v>15</v>
      </c>
      <c r="U438">
        <f t="shared" si="127"/>
        <v>75</v>
      </c>
    </row>
    <row r="439" spans="2:21" hidden="1" x14ac:dyDescent="0.25">
      <c r="B439" t="b">
        <f t="shared" si="112"/>
        <v>0</v>
      </c>
      <c r="C439" t="b">
        <f t="shared" si="122"/>
        <v>0</v>
      </c>
      <c r="D439">
        <f t="shared" si="119"/>
        <v>1</v>
      </c>
      <c r="E439" t="str">
        <f t="shared" si="120"/>
        <v>6. Conclusion</v>
      </c>
      <c r="F439" s="8" t="str">
        <f t="shared" si="129"/>
        <v/>
      </c>
      <c r="G439" t="str">
        <f t="shared" si="113"/>
        <v/>
      </c>
      <c r="H439">
        <f t="shared" si="114"/>
        <v>0</v>
      </c>
      <c r="I439">
        <f t="shared" si="121"/>
        <v>0</v>
      </c>
      <c r="J439">
        <f t="shared" si="115"/>
        <v>4588</v>
      </c>
      <c r="K439">
        <f t="shared" si="116"/>
        <v>1</v>
      </c>
      <c r="L439">
        <f t="shared" si="117"/>
        <v>16</v>
      </c>
      <c r="M439">
        <f t="shared" si="118"/>
        <v>28</v>
      </c>
      <c r="N439">
        <f t="shared" si="128"/>
        <v>0</v>
      </c>
      <c r="O439">
        <f t="shared" si="128"/>
        <v>1</v>
      </c>
      <c r="P439">
        <f t="shared" si="128"/>
        <v>15</v>
      </c>
      <c r="Q439">
        <f t="shared" si="123"/>
        <v>75</v>
      </c>
      <c r="R439">
        <f t="shared" si="124"/>
        <v>0</v>
      </c>
      <c r="S439">
        <f t="shared" si="125"/>
        <v>1</v>
      </c>
      <c r="T439">
        <f t="shared" si="126"/>
        <v>15</v>
      </c>
      <c r="U439">
        <f t="shared" si="127"/>
        <v>75</v>
      </c>
    </row>
    <row r="440" spans="2:21" hidden="1" x14ac:dyDescent="0.25">
      <c r="B440" t="b">
        <f t="shared" si="112"/>
        <v>0</v>
      </c>
      <c r="C440" t="b">
        <f t="shared" si="122"/>
        <v>0</v>
      </c>
      <c r="D440">
        <f t="shared" si="119"/>
        <v>1</v>
      </c>
      <c r="E440" t="str">
        <f t="shared" si="120"/>
        <v>6. Conclusion</v>
      </c>
      <c r="F440" s="8" t="str">
        <f t="shared" si="129"/>
        <v/>
      </c>
      <c r="G440" t="str">
        <f t="shared" si="113"/>
        <v/>
      </c>
      <c r="H440">
        <f t="shared" si="114"/>
        <v>0</v>
      </c>
      <c r="I440">
        <f t="shared" si="121"/>
        <v>0</v>
      </c>
      <c r="J440">
        <f t="shared" si="115"/>
        <v>4588</v>
      </c>
      <c r="K440">
        <f t="shared" si="116"/>
        <v>1</v>
      </c>
      <c r="L440">
        <f t="shared" si="117"/>
        <v>16</v>
      </c>
      <c r="M440">
        <f t="shared" si="118"/>
        <v>28</v>
      </c>
      <c r="N440">
        <f t="shared" si="128"/>
        <v>0</v>
      </c>
      <c r="O440">
        <f t="shared" si="128"/>
        <v>1</v>
      </c>
      <c r="P440">
        <f t="shared" si="128"/>
        <v>15</v>
      </c>
      <c r="Q440">
        <f t="shared" si="123"/>
        <v>75</v>
      </c>
      <c r="R440">
        <f t="shared" si="124"/>
        <v>0</v>
      </c>
      <c r="S440">
        <f t="shared" si="125"/>
        <v>1</v>
      </c>
      <c r="T440">
        <f t="shared" si="126"/>
        <v>15</v>
      </c>
      <c r="U440">
        <f t="shared" si="127"/>
        <v>75</v>
      </c>
    </row>
    <row r="441" spans="2:21" hidden="1" x14ac:dyDescent="0.25">
      <c r="B441" t="b">
        <f t="shared" si="112"/>
        <v>0</v>
      </c>
      <c r="C441" t="b">
        <f t="shared" si="122"/>
        <v>0</v>
      </c>
      <c r="D441">
        <f t="shared" si="119"/>
        <v>1</v>
      </c>
      <c r="E441" t="str">
        <f t="shared" si="120"/>
        <v>6. Conclusion</v>
      </c>
      <c r="F441" s="8" t="str">
        <f t="shared" si="129"/>
        <v/>
      </c>
      <c r="G441" t="str">
        <f t="shared" si="113"/>
        <v/>
      </c>
      <c r="H441">
        <f t="shared" si="114"/>
        <v>0</v>
      </c>
      <c r="I441">
        <f t="shared" si="121"/>
        <v>0</v>
      </c>
      <c r="J441">
        <f t="shared" si="115"/>
        <v>4588</v>
      </c>
      <c r="K441">
        <f t="shared" si="116"/>
        <v>1</v>
      </c>
      <c r="L441">
        <f t="shared" si="117"/>
        <v>16</v>
      </c>
      <c r="M441">
        <f t="shared" si="118"/>
        <v>28</v>
      </c>
      <c r="N441">
        <f t="shared" si="128"/>
        <v>0</v>
      </c>
      <c r="O441">
        <f t="shared" si="128"/>
        <v>1</v>
      </c>
      <c r="P441">
        <f t="shared" si="128"/>
        <v>15</v>
      </c>
      <c r="Q441">
        <f t="shared" si="123"/>
        <v>75</v>
      </c>
      <c r="R441">
        <f t="shared" si="124"/>
        <v>0</v>
      </c>
      <c r="S441">
        <f t="shared" si="125"/>
        <v>1</v>
      </c>
      <c r="T441">
        <f t="shared" si="126"/>
        <v>15</v>
      </c>
      <c r="U441">
        <f t="shared" si="127"/>
        <v>75</v>
      </c>
    </row>
    <row r="442" spans="2:21" hidden="1" x14ac:dyDescent="0.25">
      <c r="B442" t="b">
        <f t="shared" si="112"/>
        <v>0</v>
      </c>
      <c r="C442" t="b">
        <f t="shared" si="122"/>
        <v>0</v>
      </c>
      <c r="D442">
        <f t="shared" si="119"/>
        <v>1</v>
      </c>
      <c r="E442" t="str">
        <f t="shared" si="120"/>
        <v>6. Conclusion</v>
      </c>
      <c r="F442" s="8" t="str">
        <f t="shared" si="129"/>
        <v/>
      </c>
      <c r="G442" t="str">
        <f t="shared" si="113"/>
        <v/>
      </c>
      <c r="H442">
        <f t="shared" si="114"/>
        <v>0</v>
      </c>
      <c r="I442">
        <f t="shared" si="121"/>
        <v>0</v>
      </c>
      <c r="J442">
        <f t="shared" si="115"/>
        <v>4588</v>
      </c>
      <c r="K442">
        <f t="shared" si="116"/>
        <v>1</v>
      </c>
      <c r="L442">
        <f t="shared" si="117"/>
        <v>16</v>
      </c>
      <c r="M442">
        <f t="shared" si="118"/>
        <v>28</v>
      </c>
      <c r="N442">
        <f t="shared" si="128"/>
        <v>0</v>
      </c>
      <c r="O442">
        <f t="shared" si="128"/>
        <v>1</v>
      </c>
      <c r="P442">
        <f t="shared" si="128"/>
        <v>15</v>
      </c>
      <c r="Q442">
        <f t="shared" si="123"/>
        <v>75</v>
      </c>
      <c r="R442">
        <f t="shared" si="124"/>
        <v>0</v>
      </c>
      <c r="S442">
        <f t="shared" si="125"/>
        <v>1</v>
      </c>
      <c r="T442">
        <f t="shared" si="126"/>
        <v>15</v>
      </c>
      <c r="U442">
        <f t="shared" si="127"/>
        <v>75</v>
      </c>
    </row>
    <row r="443" spans="2:21" hidden="1" x14ac:dyDescent="0.25">
      <c r="B443" t="b">
        <f t="shared" si="112"/>
        <v>0</v>
      </c>
      <c r="C443" t="b">
        <f t="shared" si="122"/>
        <v>0</v>
      </c>
      <c r="D443">
        <f t="shared" si="119"/>
        <v>1</v>
      </c>
      <c r="E443" t="str">
        <f t="shared" si="120"/>
        <v>6. Conclusion</v>
      </c>
      <c r="F443" s="8" t="str">
        <f t="shared" si="129"/>
        <v/>
      </c>
      <c r="G443" t="str">
        <f t="shared" si="113"/>
        <v/>
      </c>
      <c r="H443">
        <f t="shared" si="114"/>
        <v>0</v>
      </c>
      <c r="I443">
        <f t="shared" si="121"/>
        <v>0</v>
      </c>
      <c r="J443">
        <f t="shared" si="115"/>
        <v>4588</v>
      </c>
      <c r="K443">
        <f t="shared" si="116"/>
        <v>1</v>
      </c>
      <c r="L443">
        <f t="shared" si="117"/>
        <v>16</v>
      </c>
      <c r="M443">
        <f t="shared" si="118"/>
        <v>28</v>
      </c>
      <c r="N443">
        <f t="shared" si="128"/>
        <v>0</v>
      </c>
      <c r="O443">
        <f t="shared" si="128"/>
        <v>1</v>
      </c>
      <c r="P443">
        <f t="shared" si="128"/>
        <v>15</v>
      </c>
      <c r="Q443">
        <f t="shared" si="123"/>
        <v>75</v>
      </c>
      <c r="R443">
        <f t="shared" si="124"/>
        <v>0</v>
      </c>
      <c r="S443">
        <f t="shared" si="125"/>
        <v>1</v>
      </c>
      <c r="T443">
        <f t="shared" si="126"/>
        <v>15</v>
      </c>
      <c r="U443">
        <f t="shared" si="127"/>
        <v>75</v>
      </c>
    </row>
    <row r="444" spans="2:21" hidden="1" x14ac:dyDescent="0.25">
      <c r="B444" t="b">
        <f t="shared" si="112"/>
        <v>0</v>
      </c>
      <c r="C444" t="b">
        <f t="shared" si="122"/>
        <v>0</v>
      </c>
      <c r="D444">
        <f t="shared" si="119"/>
        <v>1</v>
      </c>
      <c r="E444" t="str">
        <f t="shared" si="120"/>
        <v>6. Conclusion</v>
      </c>
      <c r="F444" s="8" t="str">
        <f t="shared" si="129"/>
        <v/>
      </c>
      <c r="G444" t="str">
        <f t="shared" si="113"/>
        <v/>
      </c>
      <c r="H444">
        <f t="shared" si="114"/>
        <v>0</v>
      </c>
      <c r="I444">
        <f t="shared" si="121"/>
        <v>0</v>
      </c>
      <c r="J444">
        <f t="shared" si="115"/>
        <v>4588</v>
      </c>
      <c r="K444">
        <f t="shared" si="116"/>
        <v>1</v>
      </c>
      <c r="L444">
        <f t="shared" si="117"/>
        <v>16</v>
      </c>
      <c r="M444">
        <f t="shared" si="118"/>
        <v>28</v>
      </c>
      <c r="N444">
        <f t="shared" si="128"/>
        <v>0</v>
      </c>
      <c r="O444">
        <f t="shared" si="128"/>
        <v>1</v>
      </c>
      <c r="P444">
        <f t="shared" si="128"/>
        <v>15</v>
      </c>
      <c r="Q444">
        <f t="shared" si="123"/>
        <v>75</v>
      </c>
      <c r="R444">
        <f t="shared" si="124"/>
        <v>0</v>
      </c>
      <c r="S444">
        <f t="shared" si="125"/>
        <v>1</v>
      </c>
      <c r="T444">
        <f t="shared" si="126"/>
        <v>15</v>
      </c>
      <c r="U444">
        <f t="shared" si="127"/>
        <v>75</v>
      </c>
    </row>
    <row r="445" spans="2:21" hidden="1" x14ac:dyDescent="0.25">
      <c r="B445" t="b">
        <f t="shared" si="112"/>
        <v>0</v>
      </c>
      <c r="C445" t="b">
        <f t="shared" si="122"/>
        <v>0</v>
      </c>
      <c r="D445">
        <f t="shared" si="119"/>
        <v>1</v>
      </c>
      <c r="E445" t="str">
        <f t="shared" si="120"/>
        <v>6. Conclusion</v>
      </c>
      <c r="F445" s="8" t="str">
        <f t="shared" si="129"/>
        <v/>
      </c>
      <c r="G445" t="str">
        <f t="shared" si="113"/>
        <v/>
      </c>
      <c r="H445">
        <f t="shared" si="114"/>
        <v>0</v>
      </c>
      <c r="I445">
        <f t="shared" si="121"/>
        <v>0</v>
      </c>
      <c r="J445">
        <f t="shared" si="115"/>
        <v>4588</v>
      </c>
      <c r="K445">
        <f t="shared" si="116"/>
        <v>1</v>
      </c>
      <c r="L445">
        <f t="shared" si="117"/>
        <v>16</v>
      </c>
      <c r="M445">
        <f t="shared" si="118"/>
        <v>28</v>
      </c>
      <c r="N445">
        <f t="shared" si="128"/>
        <v>0</v>
      </c>
      <c r="O445">
        <f t="shared" si="128"/>
        <v>1</v>
      </c>
      <c r="P445">
        <f t="shared" si="128"/>
        <v>15</v>
      </c>
      <c r="Q445">
        <f t="shared" si="123"/>
        <v>75</v>
      </c>
      <c r="R445">
        <f t="shared" si="124"/>
        <v>0</v>
      </c>
      <c r="S445">
        <f t="shared" si="125"/>
        <v>1</v>
      </c>
      <c r="T445">
        <f t="shared" si="126"/>
        <v>15</v>
      </c>
      <c r="U445">
        <f t="shared" si="127"/>
        <v>75</v>
      </c>
    </row>
    <row r="446" spans="2:21" hidden="1" x14ac:dyDescent="0.25">
      <c r="B446" t="b">
        <f t="shared" si="112"/>
        <v>0</v>
      </c>
      <c r="C446" t="b">
        <f t="shared" si="122"/>
        <v>0</v>
      </c>
      <c r="D446">
        <f t="shared" si="119"/>
        <v>1</v>
      </c>
      <c r="E446" t="str">
        <f t="shared" si="120"/>
        <v>6. Conclusion</v>
      </c>
      <c r="F446" s="8" t="str">
        <f t="shared" si="129"/>
        <v/>
      </c>
      <c r="G446" t="str">
        <f t="shared" si="113"/>
        <v/>
      </c>
      <c r="H446">
        <f t="shared" si="114"/>
        <v>0</v>
      </c>
      <c r="I446">
        <f t="shared" si="121"/>
        <v>0</v>
      </c>
      <c r="J446">
        <f t="shared" si="115"/>
        <v>4588</v>
      </c>
      <c r="K446">
        <f t="shared" si="116"/>
        <v>1</v>
      </c>
      <c r="L446">
        <f t="shared" si="117"/>
        <v>16</v>
      </c>
      <c r="M446">
        <f t="shared" si="118"/>
        <v>28</v>
      </c>
      <c r="N446">
        <f t="shared" si="128"/>
        <v>0</v>
      </c>
      <c r="O446">
        <f t="shared" si="128"/>
        <v>1</v>
      </c>
      <c r="P446">
        <f t="shared" si="128"/>
        <v>15</v>
      </c>
      <c r="Q446">
        <f t="shared" si="123"/>
        <v>75</v>
      </c>
      <c r="R446">
        <f t="shared" si="124"/>
        <v>0</v>
      </c>
      <c r="S446">
        <f t="shared" si="125"/>
        <v>1</v>
      </c>
      <c r="T446">
        <f t="shared" si="126"/>
        <v>15</v>
      </c>
      <c r="U446">
        <f t="shared" si="127"/>
        <v>75</v>
      </c>
    </row>
    <row r="447" spans="2:21" hidden="1" x14ac:dyDescent="0.25">
      <c r="B447" t="b">
        <f t="shared" si="112"/>
        <v>0</v>
      </c>
      <c r="C447" t="b">
        <f t="shared" si="122"/>
        <v>0</v>
      </c>
      <c r="D447">
        <f t="shared" si="119"/>
        <v>1</v>
      </c>
      <c r="E447" t="str">
        <f t="shared" si="120"/>
        <v>6. Conclusion</v>
      </c>
      <c r="F447" s="8" t="str">
        <f t="shared" si="129"/>
        <v/>
      </c>
      <c r="G447" t="str">
        <f t="shared" si="113"/>
        <v/>
      </c>
      <c r="H447">
        <f t="shared" si="114"/>
        <v>0</v>
      </c>
      <c r="I447">
        <f t="shared" si="121"/>
        <v>0</v>
      </c>
      <c r="J447">
        <f t="shared" si="115"/>
        <v>4588</v>
      </c>
      <c r="K447">
        <f t="shared" si="116"/>
        <v>1</v>
      </c>
      <c r="L447">
        <f t="shared" si="117"/>
        <v>16</v>
      </c>
      <c r="M447">
        <f t="shared" si="118"/>
        <v>28</v>
      </c>
      <c r="N447">
        <f t="shared" si="128"/>
        <v>0</v>
      </c>
      <c r="O447">
        <f t="shared" si="128"/>
        <v>1</v>
      </c>
      <c r="P447">
        <f t="shared" si="128"/>
        <v>15</v>
      </c>
      <c r="Q447">
        <f t="shared" si="123"/>
        <v>75</v>
      </c>
      <c r="R447">
        <f t="shared" si="124"/>
        <v>0</v>
      </c>
      <c r="S447">
        <f t="shared" si="125"/>
        <v>1</v>
      </c>
      <c r="T447">
        <f t="shared" si="126"/>
        <v>15</v>
      </c>
      <c r="U447">
        <f t="shared" si="127"/>
        <v>75</v>
      </c>
    </row>
    <row r="448" spans="2:21" hidden="1" x14ac:dyDescent="0.25">
      <c r="B448" t="b">
        <f t="shared" si="112"/>
        <v>0</v>
      </c>
      <c r="C448" t="b">
        <f t="shared" si="122"/>
        <v>0</v>
      </c>
      <c r="D448">
        <f t="shared" si="119"/>
        <v>1</v>
      </c>
      <c r="E448" t="str">
        <f t="shared" si="120"/>
        <v>6. Conclusion</v>
      </c>
      <c r="F448" s="8" t="str">
        <f t="shared" si="129"/>
        <v/>
      </c>
      <c r="G448" t="str">
        <f t="shared" si="113"/>
        <v/>
      </c>
      <c r="H448">
        <f t="shared" si="114"/>
        <v>0</v>
      </c>
      <c r="I448">
        <f t="shared" si="121"/>
        <v>0</v>
      </c>
      <c r="J448">
        <f t="shared" si="115"/>
        <v>4588</v>
      </c>
      <c r="K448">
        <f t="shared" si="116"/>
        <v>1</v>
      </c>
      <c r="L448">
        <f t="shared" si="117"/>
        <v>16</v>
      </c>
      <c r="M448">
        <f t="shared" si="118"/>
        <v>28</v>
      </c>
      <c r="N448">
        <f t="shared" si="128"/>
        <v>0</v>
      </c>
      <c r="O448">
        <f t="shared" si="128"/>
        <v>1</v>
      </c>
      <c r="P448">
        <f t="shared" si="128"/>
        <v>15</v>
      </c>
      <c r="Q448">
        <f t="shared" si="123"/>
        <v>75</v>
      </c>
      <c r="R448">
        <f t="shared" si="124"/>
        <v>0</v>
      </c>
      <c r="S448">
        <f t="shared" si="125"/>
        <v>1</v>
      </c>
      <c r="T448">
        <f t="shared" si="126"/>
        <v>15</v>
      </c>
      <c r="U448">
        <f t="shared" si="127"/>
        <v>75</v>
      </c>
    </row>
    <row r="449" spans="2:21" hidden="1" x14ac:dyDescent="0.25">
      <c r="B449" t="b">
        <f t="shared" si="112"/>
        <v>0</v>
      </c>
      <c r="C449" t="b">
        <f t="shared" si="122"/>
        <v>0</v>
      </c>
      <c r="D449">
        <f t="shared" si="119"/>
        <v>1</v>
      </c>
      <c r="E449" t="str">
        <f t="shared" si="120"/>
        <v>6. Conclusion</v>
      </c>
      <c r="F449" s="8" t="str">
        <f t="shared" si="129"/>
        <v/>
      </c>
      <c r="G449" t="str">
        <f t="shared" si="113"/>
        <v/>
      </c>
      <c r="H449">
        <f t="shared" si="114"/>
        <v>0</v>
      </c>
      <c r="I449">
        <f t="shared" si="121"/>
        <v>0</v>
      </c>
      <c r="J449">
        <f t="shared" si="115"/>
        <v>4588</v>
      </c>
      <c r="K449">
        <f t="shared" si="116"/>
        <v>1</v>
      </c>
      <c r="L449">
        <f t="shared" si="117"/>
        <v>16</v>
      </c>
      <c r="M449">
        <f t="shared" si="118"/>
        <v>28</v>
      </c>
      <c r="N449">
        <f t="shared" si="128"/>
        <v>0</v>
      </c>
      <c r="O449">
        <f t="shared" si="128"/>
        <v>1</v>
      </c>
      <c r="P449">
        <f t="shared" si="128"/>
        <v>15</v>
      </c>
      <c r="Q449">
        <f t="shared" si="123"/>
        <v>75</v>
      </c>
      <c r="R449">
        <f t="shared" si="124"/>
        <v>0</v>
      </c>
      <c r="S449">
        <f t="shared" si="125"/>
        <v>1</v>
      </c>
      <c r="T449">
        <f t="shared" si="126"/>
        <v>15</v>
      </c>
      <c r="U449">
        <f t="shared" si="127"/>
        <v>75</v>
      </c>
    </row>
    <row r="450" spans="2:21" hidden="1" x14ac:dyDescent="0.25">
      <c r="B450" t="b">
        <f t="shared" si="112"/>
        <v>0</v>
      </c>
      <c r="C450" t="b">
        <f t="shared" si="122"/>
        <v>0</v>
      </c>
      <c r="D450">
        <f t="shared" si="119"/>
        <v>1</v>
      </c>
      <c r="E450" t="str">
        <f t="shared" si="120"/>
        <v>6. Conclusion</v>
      </c>
      <c r="F450" s="8" t="str">
        <f t="shared" si="129"/>
        <v/>
      </c>
      <c r="G450" t="str">
        <f t="shared" si="113"/>
        <v/>
      </c>
      <c r="H450">
        <f t="shared" si="114"/>
        <v>0</v>
      </c>
      <c r="I450">
        <f t="shared" si="121"/>
        <v>0</v>
      </c>
      <c r="J450">
        <f t="shared" si="115"/>
        <v>4588</v>
      </c>
      <c r="K450">
        <f t="shared" si="116"/>
        <v>1</v>
      </c>
      <c r="L450">
        <f t="shared" si="117"/>
        <v>16</v>
      </c>
      <c r="M450">
        <f t="shared" si="118"/>
        <v>28</v>
      </c>
      <c r="N450">
        <f t="shared" si="128"/>
        <v>0</v>
      </c>
      <c r="O450">
        <f t="shared" si="128"/>
        <v>1</v>
      </c>
      <c r="P450">
        <f t="shared" si="128"/>
        <v>15</v>
      </c>
      <c r="Q450">
        <f t="shared" si="123"/>
        <v>75</v>
      </c>
      <c r="R450">
        <f t="shared" si="124"/>
        <v>0</v>
      </c>
      <c r="S450">
        <f t="shared" si="125"/>
        <v>1</v>
      </c>
      <c r="T450">
        <f t="shared" si="126"/>
        <v>15</v>
      </c>
      <c r="U450">
        <f t="shared" si="127"/>
        <v>75</v>
      </c>
    </row>
    <row r="451" spans="2:21" hidden="1" x14ac:dyDescent="0.25">
      <c r="B451" t="b">
        <f t="shared" si="112"/>
        <v>0</v>
      </c>
      <c r="C451" t="b">
        <f t="shared" si="122"/>
        <v>0</v>
      </c>
      <c r="D451">
        <f t="shared" si="119"/>
        <v>1</v>
      </c>
      <c r="E451" t="str">
        <f t="shared" si="120"/>
        <v>6. Conclusion</v>
      </c>
      <c r="F451" s="8" t="str">
        <f t="shared" si="129"/>
        <v/>
      </c>
      <c r="G451" t="str">
        <f t="shared" si="113"/>
        <v/>
      </c>
      <c r="H451">
        <f t="shared" si="114"/>
        <v>0</v>
      </c>
      <c r="I451">
        <f t="shared" si="121"/>
        <v>0</v>
      </c>
      <c r="J451">
        <f t="shared" si="115"/>
        <v>4588</v>
      </c>
      <c r="K451">
        <f t="shared" si="116"/>
        <v>1</v>
      </c>
      <c r="L451">
        <f t="shared" si="117"/>
        <v>16</v>
      </c>
      <c r="M451">
        <f t="shared" si="118"/>
        <v>28</v>
      </c>
      <c r="N451">
        <f t="shared" si="128"/>
        <v>0</v>
      </c>
      <c r="O451">
        <f t="shared" si="128"/>
        <v>1</v>
      </c>
      <c r="P451">
        <f t="shared" si="128"/>
        <v>15</v>
      </c>
      <c r="Q451">
        <f t="shared" si="123"/>
        <v>75</v>
      </c>
      <c r="R451">
        <f t="shared" si="124"/>
        <v>0</v>
      </c>
      <c r="S451">
        <f t="shared" si="125"/>
        <v>1</v>
      </c>
      <c r="T451">
        <f t="shared" si="126"/>
        <v>15</v>
      </c>
      <c r="U451">
        <f t="shared" si="127"/>
        <v>75</v>
      </c>
    </row>
    <row r="452" spans="2:21" hidden="1" x14ac:dyDescent="0.25">
      <c r="B452" t="b">
        <f t="shared" si="112"/>
        <v>0</v>
      </c>
      <c r="C452" t="b">
        <f t="shared" si="122"/>
        <v>0</v>
      </c>
      <c r="D452">
        <f t="shared" si="119"/>
        <v>1</v>
      </c>
      <c r="E452" t="str">
        <f t="shared" si="120"/>
        <v>6. Conclusion</v>
      </c>
      <c r="F452" s="8" t="str">
        <f t="shared" si="129"/>
        <v/>
      </c>
      <c r="G452" t="str">
        <f t="shared" si="113"/>
        <v/>
      </c>
      <c r="H452">
        <f t="shared" si="114"/>
        <v>0</v>
      </c>
      <c r="I452">
        <f t="shared" si="121"/>
        <v>0</v>
      </c>
      <c r="J452">
        <f t="shared" si="115"/>
        <v>4588</v>
      </c>
      <c r="K452">
        <f t="shared" si="116"/>
        <v>1</v>
      </c>
      <c r="L452">
        <f t="shared" si="117"/>
        <v>16</v>
      </c>
      <c r="M452">
        <f t="shared" si="118"/>
        <v>28</v>
      </c>
      <c r="N452">
        <f t="shared" si="128"/>
        <v>0</v>
      </c>
      <c r="O452">
        <f t="shared" si="128"/>
        <v>1</v>
      </c>
      <c r="P452">
        <f t="shared" si="128"/>
        <v>15</v>
      </c>
      <c r="Q452">
        <f t="shared" si="123"/>
        <v>75</v>
      </c>
      <c r="R452">
        <f t="shared" si="124"/>
        <v>0</v>
      </c>
      <c r="S452">
        <f t="shared" si="125"/>
        <v>1</v>
      </c>
      <c r="T452">
        <f t="shared" si="126"/>
        <v>15</v>
      </c>
      <c r="U452">
        <f t="shared" si="127"/>
        <v>75</v>
      </c>
    </row>
    <row r="453" spans="2:21" hidden="1" x14ac:dyDescent="0.25">
      <c r="B453" t="b">
        <f t="shared" si="112"/>
        <v>0</v>
      </c>
      <c r="C453" t="b">
        <f t="shared" si="122"/>
        <v>0</v>
      </c>
      <c r="D453">
        <f t="shared" si="119"/>
        <v>1</v>
      </c>
      <c r="E453" t="str">
        <f t="shared" si="120"/>
        <v>6. Conclusion</v>
      </c>
      <c r="F453" s="8" t="str">
        <f t="shared" si="129"/>
        <v/>
      </c>
      <c r="G453" t="str">
        <f t="shared" si="113"/>
        <v/>
      </c>
      <c r="H453">
        <f t="shared" si="114"/>
        <v>0</v>
      </c>
      <c r="I453">
        <f t="shared" si="121"/>
        <v>0</v>
      </c>
      <c r="J453">
        <f t="shared" si="115"/>
        <v>4588</v>
      </c>
      <c r="K453">
        <f t="shared" si="116"/>
        <v>1</v>
      </c>
      <c r="L453">
        <f t="shared" si="117"/>
        <v>16</v>
      </c>
      <c r="M453">
        <f t="shared" si="118"/>
        <v>28</v>
      </c>
      <c r="N453">
        <f t="shared" si="128"/>
        <v>0</v>
      </c>
      <c r="O453">
        <f t="shared" si="128"/>
        <v>1</v>
      </c>
      <c r="P453">
        <f t="shared" si="128"/>
        <v>15</v>
      </c>
      <c r="Q453">
        <f t="shared" si="123"/>
        <v>75</v>
      </c>
      <c r="R453">
        <f t="shared" si="124"/>
        <v>0</v>
      </c>
      <c r="S453">
        <f t="shared" si="125"/>
        <v>1</v>
      </c>
      <c r="T453">
        <f t="shared" si="126"/>
        <v>15</v>
      </c>
      <c r="U453">
        <f t="shared" si="127"/>
        <v>75</v>
      </c>
    </row>
    <row r="454" spans="2:21" hidden="1" x14ac:dyDescent="0.25">
      <c r="B454" t="b">
        <f t="shared" si="112"/>
        <v>0</v>
      </c>
      <c r="C454" t="b">
        <f t="shared" si="122"/>
        <v>0</v>
      </c>
      <c r="D454">
        <f t="shared" si="119"/>
        <v>1</v>
      </c>
      <c r="E454" t="str">
        <f t="shared" si="120"/>
        <v>6. Conclusion</v>
      </c>
      <c r="F454" s="8" t="str">
        <f t="shared" si="129"/>
        <v/>
      </c>
      <c r="G454" t="str">
        <f t="shared" si="113"/>
        <v/>
      </c>
      <c r="H454">
        <f t="shared" si="114"/>
        <v>0</v>
      </c>
      <c r="I454">
        <f t="shared" si="121"/>
        <v>0</v>
      </c>
      <c r="J454">
        <f t="shared" si="115"/>
        <v>4588</v>
      </c>
      <c r="K454">
        <f t="shared" si="116"/>
        <v>1</v>
      </c>
      <c r="L454">
        <f t="shared" si="117"/>
        <v>16</v>
      </c>
      <c r="M454">
        <f t="shared" si="118"/>
        <v>28</v>
      </c>
      <c r="N454">
        <f t="shared" si="128"/>
        <v>0</v>
      </c>
      <c r="O454">
        <f t="shared" si="128"/>
        <v>1</v>
      </c>
      <c r="P454">
        <f t="shared" si="128"/>
        <v>15</v>
      </c>
      <c r="Q454">
        <f t="shared" si="123"/>
        <v>75</v>
      </c>
      <c r="R454">
        <f t="shared" si="124"/>
        <v>0</v>
      </c>
      <c r="S454">
        <f t="shared" si="125"/>
        <v>1</v>
      </c>
      <c r="T454">
        <f t="shared" si="126"/>
        <v>15</v>
      </c>
      <c r="U454">
        <f t="shared" si="127"/>
        <v>75</v>
      </c>
    </row>
    <row r="455" spans="2:21" hidden="1" x14ac:dyDescent="0.25">
      <c r="B455" t="b">
        <f t="shared" si="112"/>
        <v>0</v>
      </c>
      <c r="C455" t="b">
        <f t="shared" si="122"/>
        <v>0</v>
      </c>
      <c r="D455">
        <f t="shared" si="119"/>
        <v>1</v>
      </c>
      <c r="E455" t="str">
        <f t="shared" si="120"/>
        <v>6. Conclusion</v>
      </c>
      <c r="F455" s="8" t="str">
        <f t="shared" si="129"/>
        <v/>
      </c>
      <c r="G455" t="str">
        <f t="shared" si="113"/>
        <v/>
      </c>
      <c r="H455">
        <f t="shared" si="114"/>
        <v>0</v>
      </c>
      <c r="I455">
        <f t="shared" si="121"/>
        <v>0</v>
      </c>
      <c r="J455">
        <f t="shared" si="115"/>
        <v>4588</v>
      </c>
      <c r="K455">
        <f t="shared" si="116"/>
        <v>1</v>
      </c>
      <c r="L455">
        <f t="shared" si="117"/>
        <v>16</v>
      </c>
      <c r="M455">
        <f t="shared" si="118"/>
        <v>28</v>
      </c>
      <c r="N455">
        <f t="shared" si="128"/>
        <v>0</v>
      </c>
      <c r="O455">
        <f t="shared" si="128"/>
        <v>1</v>
      </c>
      <c r="P455">
        <f t="shared" si="128"/>
        <v>15</v>
      </c>
      <c r="Q455">
        <f t="shared" si="123"/>
        <v>75</v>
      </c>
      <c r="R455">
        <f t="shared" si="124"/>
        <v>0</v>
      </c>
      <c r="S455">
        <f t="shared" si="125"/>
        <v>1</v>
      </c>
      <c r="T455">
        <f t="shared" si="126"/>
        <v>15</v>
      </c>
      <c r="U455">
        <f t="shared" si="127"/>
        <v>75</v>
      </c>
    </row>
    <row r="456" spans="2:21" hidden="1" x14ac:dyDescent="0.25">
      <c r="B456" t="b">
        <f t="shared" si="112"/>
        <v>0</v>
      </c>
      <c r="C456" t="b">
        <f t="shared" si="122"/>
        <v>0</v>
      </c>
      <c r="D456">
        <f t="shared" si="119"/>
        <v>1</v>
      </c>
      <c r="E456" t="str">
        <f t="shared" si="120"/>
        <v>6. Conclusion</v>
      </c>
      <c r="F456" s="8" t="str">
        <f t="shared" si="129"/>
        <v/>
      </c>
      <c r="G456" t="str">
        <f t="shared" si="113"/>
        <v/>
      </c>
      <c r="H456">
        <f t="shared" si="114"/>
        <v>0</v>
      </c>
      <c r="I456">
        <f t="shared" si="121"/>
        <v>0</v>
      </c>
      <c r="J456">
        <f t="shared" si="115"/>
        <v>4588</v>
      </c>
      <c r="K456">
        <f t="shared" si="116"/>
        <v>1</v>
      </c>
      <c r="L456">
        <f t="shared" si="117"/>
        <v>16</v>
      </c>
      <c r="M456">
        <f t="shared" si="118"/>
        <v>28</v>
      </c>
      <c r="N456">
        <f t="shared" si="128"/>
        <v>0</v>
      </c>
      <c r="O456">
        <f t="shared" si="128"/>
        <v>1</v>
      </c>
      <c r="P456">
        <f t="shared" si="128"/>
        <v>15</v>
      </c>
      <c r="Q456">
        <f t="shared" si="123"/>
        <v>75</v>
      </c>
      <c r="R456">
        <f t="shared" si="124"/>
        <v>0</v>
      </c>
      <c r="S456">
        <f t="shared" si="125"/>
        <v>1</v>
      </c>
      <c r="T456">
        <f t="shared" si="126"/>
        <v>15</v>
      </c>
      <c r="U456">
        <f t="shared" si="127"/>
        <v>75</v>
      </c>
    </row>
    <row r="457" spans="2:21" hidden="1" x14ac:dyDescent="0.25">
      <c r="B457" t="b">
        <f t="shared" si="112"/>
        <v>0</v>
      </c>
      <c r="C457" t="b">
        <f t="shared" si="122"/>
        <v>0</v>
      </c>
      <c r="D457">
        <f t="shared" si="119"/>
        <v>1</v>
      </c>
      <c r="E457" t="str">
        <f t="shared" si="120"/>
        <v>6. Conclusion</v>
      </c>
      <c r="F457" s="8" t="str">
        <f t="shared" si="129"/>
        <v/>
      </c>
      <c r="G457" t="str">
        <f t="shared" si="113"/>
        <v/>
      </c>
      <c r="H457">
        <f t="shared" si="114"/>
        <v>0</v>
      </c>
      <c r="I457">
        <f t="shared" si="121"/>
        <v>0</v>
      </c>
      <c r="J457">
        <f t="shared" si="115"/>
        <v>4588</v>
      </c>
      <c r="K457">
        <f t="shared" si="116"/>
        <v>1</v>
      </c>
      <c r="L457">
        <f t="shared" si="117"/>
        <v>16</v>
      </c>
      <c r="M457">
        <f t="shared" si="118"/>
        <v>28</v>
      </c>
      <c r="N457">
        <f t="shared" si="128"/>
        <v>0</v>
      </c>
      <c r="O457">
        <f t="shared" si="128"/>
        <v>1</v>
      </c>
      <c r="P457">
        <f t="shared" si="128"/>
        <v>15</v>
      </c>
      <c r="Q457">
        <f t="shared" si="123"/>
        <v>75</v>
      </c>
      <c r="R457">
        <f t="shared" si="124"/>
        <v>0</v>
      </c>
      <c r="S457">
        <f t="shared" si="125"/>
        <v>1</v>
      </c>
      <c r="T457">
        <f t="shared" si="126"/>
        <v>15</v>
      </c>
      <c r="U457">
        <f t="shared" si="127"/>
        <v>75</v>
      </c>
    </row>
    <row r="458" spans="2:21" hidden="1" x14ac:dyDescent="0.25">
      <c r="B458" t="b">
        <f t="shared" ref="B458:B521" si="130">AND(NOT(ISERROR(FIND(". ",A458))),ISNUMBER(VALUE(LEFT(A458,FIND(". ",A458)-1))))</f>
        <v>0</v>
      </c>
      <c r="C458" t="b">
        <f t="shared" si="122"/>
        <v>0</v>
      </c>
      <c r="D458">
        <f t="shared" si="119"/>
        <v>1</v>
      </c>
      <c r="E458" t="str">
        <f t="shared" si="120"/>
        <v>6. Conclusion</v>
      </c>
      <c r="F458" s="8" t="str">
        <f t="shared" si="129"/>
        <v/>
      </c>
      <c r="G458" t="str">
        <f t="shared" ref="G458:G521" si="131">IF(C458,IF(ISERROR(FIND("s",A459)),LEFT(A459,FIND("m",A459)),LEFT(A459,FIND("s",A459))),"")</f>
        <v/>
      </c>
      <c r="H458">
        <f t="shared" ref="H458:H521" si="132">IF(OR(G458="",ISERROR(FIND("m",G458))),0,VALUE(LEFT(G458,FIND("m",G458)-1)))</f>
        <v>0</v>
      </c>
      <c r="I458">
        <f t="shared" si="121"/>
        <v>0</v>
      </c>
      <c r="J458">
        <f t="shared" ref="J458:J521" si="133">J457+(H458*60+I458)</f>
        <v>4588</v>
      </c>
      <c r="K458">
        <f t="shared" ref="K458:K521" si="134">INT(J458/60/60)</f>
        <v>1</v>
      </c>
      <c r="L458">
        <f t="shared" ref="L458:L521" si="135">INT((J458-(K458*60*60))/60)</f>
        <v>16</v>
      </c>
      <c r="M458">
        <f t="shared" ref="M458:M521" si="136">J458-(((K458*60)+L458)*60)</f>
        <v>28</v>
      </c>
      <c r="N458">
        <f t="shared" si="128"/>
        <v>0</v>
      </c>
      <c r="O458">
        <f t="shared" si="128"/>
        <v>1</v>
      </c>
      <c r="P458">
        <f t="shared" si="128"/>
        <v>15</v>
      </c>
      <c r="Q458">
        <f t="shared" si="123"/>
        <v>75</v>
      </c>
      <c r="R458">
        <f t="shared" si="124"/>
        <v>0</v>
      </c>
      <c r="S458">
        <f t="shared" si="125"/>
        <v>1</v>
      </c>
      <c r="T458">
        <f t="shared" si="126"/>
        <v>15</v>
      </c>
      <c r="U458">
        <f t="shared" si="127"/>
        <v>75</v>
      </c>
    </row>
    <row r="459" spans="2:21" hidden="1" x14ac:dyDescent="0.25">
      <c r="B459" t="b">
        <f t="shared" si="130"/>
        <v>0</v>
      </c>
      <c r="C459" t="b">
        <f t="shared" si="122"/>
        <v>0</v>
      </c>
      <c r="D459">
        <f t="shared" ref="D459:D522" si="137">IF(B459,0,IF(C459,D458+1,D458))</f>
        <v>1</v>
      </c>
      <c r="E459" t="str">
        <f t="shared" ref="E459:E522" si="138">IF(B459,A459,E458)</f>
        <v>6. Conclusion</v>
      </c>
      <c r="F459" s="8" t="str">
        <f t="shared" si="129"/>
        <v/>
      </c>
      <c r="G459" t="str">
        <f t="shared" si="131"/>
        <v/>
      </c>
      <c r="H459">
        <f t="shared" si="132"/>
        <v>0</v>
      </c>
      <c r="I459">
        <f t="shared" ref="I459:I522" si="139">IF(OR(G459="",ISERROR(FIND("s",G459))),0,VALUE(SUBSTITUTE(MID(G459,IF(ISERROR(FIND("m",G459)), 0,FIND("m",G459))+1,LEN(G459)),"s","")))</f>
        <v>0</v>
      </c>
      <c r="J459">
        <f t="shared" si="133"/>
        <v>4588</v>
      </c>
      <c r="K459">
        <f t="shared" si="134"/>
        <v>1</v>
      </c>
      <c r="L459">
        <f t="shared" si="135"/>
        <v>16</v>
      </c>
      <c r="M459">
        <f t="shared" si="136"/>
        <v>28</v>
      </c>
      <c r="N459">
        <f t="shared" si="128"/>
        <v>0</v>
      </c>
      <c r="O459">
        <f t="shared" si="128"/>
        <v>1</v>
      </c>
      <c r="P459">
        <f t="shared" si="128"/>
        <v>15</v>
      </c>
      <c r="Q459">
        <f t="shared" si="123"/>
        <v>75</v>
      </c>
      <c r="R459">
        <f t="shared" si="124"/>
        <v>0</v>
      </c>
      <c r="S459">
        <f t="shared" si="125"/>
        <v>1</v>
      </c>
      <c r="T459">
        <f t="shared" si="126"/>
        <v>15</v>
      </c>
      <c r="U459">
        <f t="shared" si="127"/>
        <v>75</v>
      </c>
    </row>
    <row r="460" spans="2:21" hidden="1" x14ac:dyDescent="0.25">
      <c r="B460" t="b">
        <f t="shared" si="130"/>
        <v>0</v>
      </c>
      <c r="C460" t="b">
        <f t="shared" si="122"/>
        <v>0</v>
      </c>
      <c r="D460">
        <f t="shared" si="137"/>
        <v>1</v>
      </c>
      <c r="E460" t="str">
        <f t="shared" si="138"/>
        <v>6. Conclusion</v>
      </c>
      <c r="F460" s="8" t="str">
        <f t="shared" si="129"/>
        <v/>
      </c>
      <c r="G460" t="str">
        <f t="shared" si="131"/>
        <v/>
      </c>
      <c r="H460">
        <f t="shared" si="132"/>
        <v>0</v>
      </c>
      <c r="I460">
        <f t="shared" si="139"/>
        <v>0</v>
      </c>
      <c r="J460">
        <f t="shared" si="133"/>
        <v>4588</v>
      </c>
      <c r="K460">
        <f t="shared" si="134"/>
        <v>1</v>
      </c>
      <c r="L460">
        <f t="shared" si="135"/>
        <v>16</v>
      </c>
      <c r="M460">
        <f t="shared" si="136"/>
        <v>28</v>
      </c>
      <c r="N460">
        <f t="shared" si="128"/>
        <v>0</v>
      </c>
      <c r="O460">
        <f t="shared" si="128"/>
        <v>1</v>
      </c>
      <c r="P460">
        <f t="shared" si="128"/>
        <v>15</v>
      </c>
      <c r="Q460">
        <f t="shared" si="123"/>
        <v>75</v>
      </c>
      <c r="R460">
        <f t="shared" si="124"/>
        <v>0</v>
      </c>
      <c r="S460">
        <f t="shared" si="125"/>
        <v>1</v>
      </c>
      <c r="T460">
        <f t="shared" si="126"/>
        <v>15</v>
      </c>
      <c r="U460">
        <f t="shared" si="127"/>
        <v>75</v>
      </c>
    </row>
    <row r="461" spans="2:21" hidden="1" x14ac:dyDescent="0.25">
      <c r="B461" t="b">
        <f t="shared" si="130"/>
        <v>0</v>
      </c>
      <c r="C461" t="b">
        <f t="shared" ref="C461:C524" si="140">OR(AND(NOT(ISERROR(FIND("m",A462))),ISNUMBER(VALUE(LEFT(A462,FIND("m",A462)-1)))),AND(NOT(ISERROR(FIND("s",A462))),ISNUMBER(VALUE(LEFT(A462,FIND("s",A462)-1)))))</f>
        <v>0</v>
      </c>
      <c r="D461">
        <f t="shared" si="137"/>
        <v>1</v>
      </c>
      <c r="E461" t="str">
        <f t="shared" si="138"/>
        <v>6. Conclusion</v>
      </c>
      <c r="F461" s="8" t="str">
        <f t="shared" si="129"/>
        <v/>
      </c>
      <c r="G461" t="str">
        <f t="shared" si="131"/>
        <v/>
      </c>
      <c r="H461">
        <f t="shared" si="132"/>
        <v>0</v>
      </c>
      <c r="I461">
        <f t="shared" si="139"/>
        <v>0</v>
      </c>
      <c r="J461">
        <f t="shared" si="133"/>
        <v>4588</v>
      </c>
      <c r="K461">
        <f t="shared" si="134"/>
        <v>1</v>
      </c>
      <c r="L461">
        <f t="shared" si="135"/>
        <v>16</v>
      </c>
      <c r="M461">
        <f t="shared" si="136"/>
        <v>28</v>
      </c>
      <c r="N461">
        <f t="shared" si="128"/>
        <v>0</v>
      </c>
      <c r="O461">
        <f t="shared" si="128"/>
        <v>1</v>
      </c>
      <c r="P461">
        <f t="shared" si="128"/>
        <v>15</v>
      </c>
      <c r="Q461">
        <f t="shared" ref="Q461:Q524" si="141">(((N461*60)+O461)*60)+P461</f>
        <v>75</v>
      </c>
      <c r="R461">
        <f t="shared" ref="R461:R524" si="142">INT(U461/60/60)</f>
        <v>0</v>
      </c>
      <c r="S461">
        <f t="shared" ref="S461:S524" si="143">INT((U461-(R461*60*60))/60)</f>
        <v>1</v>
      </c>
      <c r="T461">
        <f t="shared" ref="T461:T524" si="144">U461-(((R461*60)+S461)*60)</f>
        <v>15</v>
      </c>
      <c r="U461">
        <f t="shared" ref="U461:U524" si="145">((H461*60)+I461)+Q461</f>
        <v>75</v>
      </c>
    </row>
    <row r="462" spans="2:21" hidden="1" x14ac:dyDescent="0.25">
      <c r="B462" t="b">
        <f t="shared" si="130"/>
        <v>0</v>
      </c>
      <c r="C462" t="b">
        <f t="shared" si="140"/>
        <v>0</v>
      </c>
      <c r="D462">
        <f t="shared" si="137"/>
        <v>1</v>
      </c>
      <c r="E462" t="str">
        <f t="shared" si="138"/>
        <v>6. Conclusion</v>
      </c>
      <c r="F462" s="8" t="str">
        <f t="shared" si="129"/>
        <v/>
      </c>
      <c r="G462" t="str">
        <f t="shared" si="131"/>
        <v/>
      </c>
      <c r="H462">
        <f t="shared" si="132"/>
        <v>0</v>
      </c>
      <c r="I462">
        <f t="shared" si="139"/>
        <v>0</v>
      </c>
      <c r="J462">
        <f t="shared" si="133"/>
        <v>4588</v>
      </c>
      <c r="K462">
        <f t="shared" si="134"/>
        <v>1</v>
      </c>
      <c r="L462">
        <f t="shared" si="135"/>
        <v>16</v>
      </c>
      <c r="M462">
        <f t="shared" si="136"/>
        <v>28</v>
      </c>
      <c r="N462">
        <f t="shared" si="128"/>
        <v>0</v>
      </c>
      <c r="O462">
        <f t="shared" si="128"/>
        <v>1</v>
      </c>
      <c r="P462">
        <f t="shared" si="128"/>
        <v>15</v>
      </c>
      <c r="Q462">
        <f t="shared" si="141"/>
        <v>75</v>
      </c>
      <c r="R462">
        <f t="shared" si="142"/>
        <v>0</v>
      </c>
      <c r="S462">
        <f t="shared" si="143"/>
        <v>1</v>
      </c>
      <c r="T462">
        <f t="shared" si="144"/>
        <v>15</v>
      </c>
      <c r="U462">
        <f t="shared" si="145"/>
        <v>75</v>
      </c>
    </row>
    <row r="463" spans="2:21" hidden="1" x14ac:dyDescent="0.25">
      <c r="B463" t="b">
        <f t="shared" si="130"/>
        <v>0</v>
      </c>
      <c r="C463" t="b">
        <f t="shared" si="140"/>
        <v>0</v>
      </c>
      <c r="D463">
        <f t="shared" si="137"/>
        <v>1</v>
      </c>
      <c r="E463" t="str">
        <f t="shared" si="138"/>
        <v>6. Conclusion</v>
      </c>
      <c r="F463" s="8" t="str">
        <f t="shared" si="129"/>
        <v/>
      </c>
      <c r="G463" t="str">
        <f t="shared" si="131"/>
        <v/>
      </c>
      <c r="H463">
        <f t="shared" si="132"/>
        <v>0</v>
      </c>
      <c r="I463">
        <f t="shared" si="139"/>
        <v>0</v>
      </c>
      <c r="J463">
        <f t="shared" si="133"/>
        <v>4588</v>
      </c>
      <c r="K463">
        <f t="shared" si="134"/>
        <v>1</v>
      </c>
      <c r="L463">
        <f t="shared" si="135"/>
        <v>16</v>
      </c>
      <c r="M463">
        <f t="shared" si="136"/>
        <v>28</v>
      </c>
      <c r="N463">
        <f t="shared" si="128"/>
        <v>0</v>
      </c>
      <c r="O463">
        <f t="shared" si="128"/>
        <v>1</v>
      </c>
      <c r="P463">
        <f t="shared" si="128"/>
        <v>15</v>
      </c>
      <c r="Q463">
        <f t="shared" si="141"/>
        <v>75</v>
      </c>
      <c r="R463">
        <f t="shared" si="142"/>
        <v>0</v>
      </c>
      <c r="S463">
        <f t="shared" si="143"/>
        <v>1</v>
      </c>
      <c r="T463">
        <f t="shared" si="144"/>
        <v>15</v>
      </c>
      <c r="U463">
        <f t="shared" si="145"/>
        <v>75</v>
      </c>
    </row>
    <row r="464" spans="2:21" hidden="1" x14ac:dyDescent="0.25">
      <c r="B464" t="b">
        <f t="shared" si="130"/>
        <v>0</v>
      </c>
      <c r="C464" t="b">
        <f t="shared" si="140"/>
        <v>0</v>
      </c>
      <c r="D464">
        <f t="shared" si="137"/>
        <v>1</v>
      </c>
      <c r="E464" t="str">
        <f t="shared" si="138"/>
        <v>6. Conclusion</v>
      </c>
      <c r="F464" s="8" t="str">
        <f t="shared" si="129"/>
        <v/>
      </c>
      <c r="G464" t="str">
        <f t="shared" si="131"/>
        <v/>
      </c>
      <c r="H464">
        <f t="shared" si="132"/>
        <v>0</v>
      </c>
      <c r="I464">
        <f t="shared" si="139"/>
        <v>0</v>
      </c>
      <c r="J464">
        <f t="shared" si="133"/>
        <v>4588</v>
      </c>
      <c r="K464">
        <f t="shared" si="134"/>
        <v>1</v>
      </c>
      <c r="L464">
        <f t="shared" si="135"/>
        <v>16</v>
      </c>
      <c r="M464">
        <f t="shared" si="136"/>
        <v>28</v>
      </c>
      <c r="N464">
        <f t="shared" si="128"/>
        <v>0</v>
      </c>
      <c r="O464">
        <f t="shared" si="128"/>
        <v>1</v>
      </c>
      <c r="P464">
        <f t="shared" si="128"/>
        <v>15</v>
      </c>
      <c r="Q464">
        <f t="shared" si="141"/>
        <v>75</v>
      </c>
      <c r="R464">
        <f t="shared" si="142"/>
        <v>0</v>
      </c>
      <c r="S464">
        <f t="shared" si="143"/>
        <v>1</v>
      </c>
      <c r="T464">
        <f t="shared" si="144"/>
        <v>15</v>
      </c>
      <c r="U464">
        <f t="shared" si="145"/>
        <v>75</v>
      </c>
    </row>
    <row r="465" spans="2:21" hidden="1" x14ac:dyDescent="0.25">
      <c r="B465" t="b">
        <f t="shared" si="130"/>
        <v>0</v>
      </c>
      <c r="C465" t="b">
        <f t="shared" si="140"/>
        <v>0</v>
      </c>
      <c r="D465">
        <f t="shared" si="137"/>
        <v>1</v>
      </c>
      <c r="E465" t="str">
        <f t="shared" si="138"/>
        <v>6. Conclusion</v>
      </c>
      <c r="F465" s="8" t="str">
        <f t="shared" si="129"/>
        <v/>
      </c>
      <c r="G465" t="str">
        <f t="shared" si="131"/>
        <v/>
      </c>
      <c r="H465">
        <f t="shared" si="132"/>
        <v>0</v>
      </c>
      <c r="I465">
        <f t="shared" si="139"/>
        <v>0</v>
      </c>
      <c r="J465">
        <f t="shared" si="133"/>
        <v>4588</v>
      </c>
      <c r="K465">
        <f t="shared" si="134"/>
        <v>1</v>
      </c>
      <c r="L465">
        <f t="shared" si="135"/>
        <v>16</v>
      </c>
      <c r="M465">
        <f t="shared" si="136"/>
        <v>28</v>
      </c>
      <c r="N465">
        <f t="shared" si="128"/>
        <v>0</v>
      </c>
      <c r="O465">
        <f t="shared" si="128"/>
        <v>1</v>
      </c>
      <c r="P465">
        <f t="shared" si="128"/>
        <v>15</v>
      </c>
      <c r="Q465">
        <f t="shared" si="141"/>
        <v>75</v>
      </c>
      <c r="R465">
        <f t="shared" si="142"/>
        <v>0</v>
      </c>
      <c r="S465">
        <f t="shared" si="143"/>
        <v>1</v>
      </c>
      <c r="T465">
        <f t="shared" si="144"/>
        <v>15</v>
      </c>
      <c r="U465">
        <f t="shared" si="145"/>
        <v>75</v>
      </c>
    </row>
    <row r="466" spans="2:21" hidden="1" x14ac:dyDescent="0.25">
      <c r="B466" t="b">
        <f t="shared" si="130"/>
        <v>0</v>
      </c>
      <c r="C466" t="b">
        <f t="shared" si="140"/>
        <v>0</v>
      </c>
      <c r="D466">
        <f t="shared" si="137"/>
        <v>1</v>
      </c>
      <c r="E466" t="str">
        <f t="shared" si="138"/>
        <v>6. Conclusion</v>
      </c>
      <c r="F466" s="8" t="str">
        <f t="shared" si="129"/>
        <v/>
      </c>
      <c r="G466" t="str">
        <f t="shared" si="131"/>
        <v/>
      </c>
      <c r="H466">
        <f t="shared" si="132"/>
        <v>0</v>
      </c>
      <c r="I466">
        <f t="shared" si="139"/>
        <v>0</v>
      </c>
      <c r="J466">
        <f t="shared" si="133"/>
        <v>4588</v>
      </c>
      <c r="K466">
        <f t="shared" si="134"/>
        <v>1</v>
      </c>
      <c r="L466">
        <f t="shared" si="135"/>
        <v>16</v>
      </c>
      <c r="M466">
        <f t="shared" si="136"/>
        <v>28</v>
      </c>
      <c r="N466">
        <f t="shared" si="128"/>
        <v>0</v>
      </c>
      <c r="O466">
        <f t="shared" si="128"/>
        <v>1</v>
      </c>
      <c r="P466">
        <f t="shared" si="128"/>
        <v>15</v>
      </c>
      <c r="Q466">
        <f t="shared" si="141"/>
        <v>75</v>
      </c>
      <c r="R466">
        <f t="shared" si="142"/>
        <v>0</v>
      </c>
      <c r="S466">
        <f t="shared" si="143"/>
        <v>1</v>
      </c>
      <c r="T466">
        <f t="shared" si="144"/>
        <v>15</v>
      </c>
      <c r="U466">
        <f t="shared" si="145"/>
        <v>75</v>
      </c>
    </row>
    <row r="467" spans="2:21" hidden="1" x14ac:dyDescent="0.25">
      <c r="B467" t="b">
        <f t="shared" si="130"/>
        <v>0</v>
      </c>
      <c r="C467" t="b">
        <f t="shared" si="140"/>
        <v>0</v>
      </c>
      <c r="D467">
        <f t="shared" si="137"/>
        <v>1</v>
      </c>
      <c r="E467" t="str">
        <f t="shared" si="138"/>
        <v>6. Conclusion</v>
      </c>
      <c r="F467" s="8" t="str">
        <f t="shared" si="129"/>
        <v/>
      </c>
      <c r="G467" t="str">
        <f t="shared" si="131"/>
        <v/>
      </c>
      <c r="H467">
        <f t="shared" si="132"/>
        <v>0</v>
      </c>
      <c r="I467">
        <f t="shared" si="139"/>
        <v>0</v>
      </c>
      <c r="J467">
        <f t="shared" si="133"/>
        <v>4588</v>
      </c>
      <c r="K467">
        <f t="shared" si="134"/>
        <v>1</v>
      </c>
      <c r="L467">
        <f t="shared" si="135"/>
        <v>16</v>
      </c>
      <c r="M467">
        <f t="shared" si="136"/>
        <v>28</v>
      </c>
      <c r="N467">
        <f t="shared" si="128"/>
        <v>0</v>
      </c>
      <c r="O467">
        <f t="shared" si="128"/>
        <v>1</v>
      </c>
      <c r="P467">
        <f t="shared" si="128"/>
        <v>15</v>
      </c>
      <c r="Q467">
        <f t="shared" si="141"/>
        <v>75</v>
      </c>
      <c r="R467">
        <f t="shared" si="142"/>
        <v>0</v>
      </c>
      <c r="S467">
        <f t="shared" si="143"/>
        <v>1</v>
      </c>
      <c r="T467">
        <f t="shared" si="144"/>
        <v>15</v>
      </c>
      <c r="U467">
        <f t="shared" si="145"/>
        <v>75</v>
      </c>
    </row>
    <row r="468" spans="2:21" hidden="1" x14ac:dyDescent="0.25">
      <c r="B468" t="b">
        <f t="shared" si="130"/>
        <v>0</v>
      </c>
      <c r="C468" t="b">
        <f t="shared" si="140"/>
        <v>0</v>
      </c>
      <c r="D468">
        <f t="shared" si="137"/>
        <v>1</v>
      </c>
      <c r="E468" t="str">
        <f t="shared" si="138"/>
        <v>6. Conclusion</v>
      </c>
      <c r="F468" s="8" t="str">
        <f t="shared" si="129"/>
        <v/>
      </c>
      <c r="G468" t="str">
        <f t="shared" si="131"/>
        <v/>
      </c>
      <c r="H468">
        <f t="shared" si="132"/>
        <v>0</v>
      </c>
      <c r="I468">
        <f t="shared" si="139"/>
        <v>0</v>
      </c>
      <c r="J468">
        <f t="shared" si="133"/>
        <v>4588</v>
      </c>
      <c r="K468">
        <f t="shared" si="134"/>
        <v>1</v>
      </c>
      <c r="L468">
        <f t="shared" si="135"/>
        <v>16</v>
      </c>
      <c r="M468">
        <f t="shared" si="136"/>
        <v>28</v>
      </c>
      <c r="N468">
        <f t="shared" si="128"/>
        <v>0</v>
      </c>
      <c r="O468">
        <f t="shared" si="128"/>
        <v>1</v>
      </c>
      <c r="P468">
        <f t="shared" si="128"/>
        <v>15</v>
      </c>
      <c r="Q468">
        <f t="shared" si="141"/>
        <v>75</v>
      </c>
      <c r="R468">
        <f t="shared" si="142"/>
        <v>0</v>
      </c>
      <c r="S468">
        <f t="shared" si="143"/>
        <v>1</v>
      </c>
      <c r="T468">
        <f t="shared" si="144"/>
        <v>15</v>
      </c>
      <c r="U468">
        <f t="shared" si="145"/>
        <v>75</v>
      </c>
    </row>
    <row r="469" spans="2:21" hidden="1" x14ac:dyDescent="0.25">
      <c r="B469" t="b">
        <f t="shared" si="130"/>
        <v>0</v>
      </c>
      <c r="C469" t="b">
        <f t="shared" si="140"/>
        <v>0</v>
      </c>
      <c r="D469">
        <f t="shared" si="137"/>
        <v>1</v>
      </c>
      <c r="E469" t="str">
        <f t="shared" si="138"/>
        <v>6. Conclusion</v>
      </c>
      <c r="F469" s="8" t="str">
        <f t="shared" si="129"/>
        <v/>
      </c>
      <c r="G469" t="str">
        <f t="shared" si="131"/>
        <v/>
      </c>
      <c r="H469">
        <f t="shared" si="132"/>
        <v>0</v>
      </c>
      <c r="I469">
        <f t="shared" si="139"/>
        <v>0</v>
      </c>
      <c r="J469">
        <f t="shared" si="133"/>
        <v>4588</v>
      </c>
      <c r="K469">
        <f t="shared" si="134"/>
        <v>1</v>
      </c>
      <c r="L469">
        <f t="shared" si="135"/>
        <v>16</v>
      </c>
      <c r="M469">
        <f t="shared" si="136"/>
        <v>28</v>
      </c>
      <c r="N469">
        <f t="shared" si="128"/>
        <v>0</v>
      </c>
      <c r="O469">
        <f t="shared" si="128"/>
        <v>1</v>
      </c>
      <c r="P469">
        <f t="shared" si="128"/>
        <v>15</v>
      </c>
      <c r="Q469">
        <f t="shared" si="141"/>
        <v>75</v>
      </c>
      <c r="R469">
        <f t="shared" si="142"/>
        <v>0</v>
      </c>
      <c r="S469">
        <f t="shared" si="143"/>
        <v>1</v>
      </c>
      <c r="T469">
        <f t="shared" si="144"/>
        <v>15</v>
      </c>
      <c r="U469">
        <f t="shared" si="145"/>
        <v>75</v>
      </c>
    </row>
    <row r="470" spans="2:21" hidden="1" x14ac:dyDescent="0.25">
      <c r="B470" t="b">
        <f t="shared" si="130"/>
        <v>0</v>
      </c>
      <c r="C470" t="b">
        <f t="shared" si="140"/>
        <v>0</v>
      </c>
      <c r="D470">
        <f t="shared" si="137"/>
        <v>1</v>
      </c>
      <c r="E470" t="str">
        <f t="shared" si="138"/>
        <v>6. Conclusion</v>
      </c>
      <c r="F470" s="8" t="str">
        <f t="shared" si="129"/>
        <v/>
      </c>
      <c r="G470" t="str">
        <f t="shared" si="131"/>
        <v/>
      </c>
      <c r="H470">
        <f t="shared" si="132"/>
        <v>0</v>
      </c>
      <c r="I470">
        <f t="shared" si="139"/>
        <v>0</v>
      </c>
      <c r="J470">
        <f t="shared" si="133"/>
        <v>4588</v>
      </c>
      <c r="K470">
        <f t="shared" si="134"/>
        <v>1</v>
      </c>
      <c r="L470">
        <f t="shared" si="135"/>
        <v>16</v>
      </c>
      <c r="M470">
        <f t="shared" si="136"/>
        <v>28</v>
      </c>
      <c r="N470">
        <f t="shared" si="128"/>
        <v>0</v>
      </c>
      <c r="O470">
        <f t="shared" si="128"/>
        <v>1</v>
      </c>
      <c r="P470">
        <f t="shared" si="128"/>
        <v>15</v>
      </c>
      <c r="Q470">
        <f t="shared" si="141"/>
        <v>75</v>
      </c>
      <c r="R470">
        <f t="shared" si="142"/>
        <v>0</v>
      </c>
      <c r="S470">
        <f t="shared" si="143"/>
        <v>1</v>
      </c>
      <c r="T470">
        <f t="shared" si="144"/>
        <v>15</v>
      </c>
      <c r="U470">
        <f t="shared" si="145"/>
        <v>75</v>
      </c>
    </row>
    <row r="471" spans="2:21" hidden="1" x14ac:dyDescent="0.25">
      <c r="B471" t="b">
        <f t="shared" si="130"/>
        <v>0</v>
      </c>
      <c r="C471" t="b">
        <f t="shared" si="140"/>
        <v>0</v>
      </c>
      <c r="D471">
        <f t="shared" si="137"/>
        <v>1</v>
      </c>
      <c r="E471" t="str">
        <f t="shared" si="138"/>
        <v>6. Conclusion</v>
      </c>
      <c r="F471" s="8" t="str">
        <f t="shared" si="129"/>
        <v/>
      </c>
      <c r="G471" t="str">
        <f t="shared" si="131"/>
        <v/>
      </c>
      <c r="H471">
        <f t="shared" si="132"/>
        <v>0</v>
      </c>
      <c r="I471">
        <f t="shared" si="139"/>
        <v>0</v>
      </c>
      <c r="J471">
        <f t="shared" si="133"/>
        <v>4588</v>
      </c>
      <c r="K471">
        <f t="shared" si="134"/>
        <v>1</v>
      </c>
      <c r="L471">
        <f t="shared" si="135"/>
        <v>16</v>
      </c>
      <c r="M471">
        <f t="shared" si="136"/>
        <v>28</v>
      </c>
      <c r="N471">
        <f t="shared" si="128"/>
        <v>0</v>
      </c>
      <c r="O471">
        <f t="shared" si="128"/>
        <v>1</v>
      </c>
      <c r="P471">
        <f t="shared" si="128"/>
        <v>15</v>
      </c>
      <c r="Q471">
        <f t="shared" si="141"/>
        <v>75</v>
      </c>
      <c r="R471">
        <f t="shared" si="142"/>
        <v>0</v>
      </c>
      <c r="S471">
        <f t="shared" si="143"/>
        <v>1</v>
      </c>
      <c r="T471">
        <f t="shared" si="144"/>
        <v>15</v>
      </c>
      <c r="U471">
        <f t="shared" si="145"/>
        <v>75</v>
      </c>
    </row>
    <row r="472" spans="2:21" hidden="1" x14ac:dyDescent="0.25">
      <c r="B472" t="b">
        <f t="shared" si="130"/>
        <v>0</v>
      </c>
      <c r="C472" t="b">
        <f t="shared" si="140"/>
        <v>0</v>
      </c>
      <c r="D472">
        <f t="shared" si="137"/>
        <v>1</v>
      </c>
      <c r="E472" t="str">
        <f t="shared" si="138"/>
        <v>6. Conclusion</v>
      </c>
      <c r="F472" s="8" t="str">
        <f t="shared" si="129"/>
        <v/>
      </c>
      <c r="G472" t="str">
        <f t="shared" si="131"/>
        <v/>
      </c>
      <c r="H472">
        <f t="shared" si="132"/>
        <v>0</v>
      </c>
      <c r="I472">
        <f t="shared" si="139"/>
        <v>0</v>
      </c>
      <c r="J472">
        <f t="shared" si="133"/>
        <v>4588</v>
      </c>
      <c r="K472">
        <f t="shared" si="134"/>
        <v>1</v>
      </c>
      <c r="L472">
        <f t="shared" si="135"/>
        <v>16</v>
      </c>
      <c r="M472">
        <f t="shared" si="136"/>
        <v>28</v>
      </c>
      <c r="N472">
        <f t="shared" si="128"/>
        <v>0</v>
      </c>
      <c r="O472">
        <f t="shared" si="128"/>
        <v>1</v>
      </c>
      <c r="P472">
        <f t="shared" si="128"/>
        <v>15</v>
      </c>
      <c r="Q472">
        <f t="shared" si="141"/>
        <v>75</v>
      </c>
      <c r="R472">
        <f t="shared" si="142"/>
        <v>0</v>
      </c>
      <c r="S472">
        <f t="shared" si="143"/>
        <v>1</v>
      </c>
      <c r="T472">
        <f t="shared" si="144"/>
        <v>15</v>
      </c>
      <c r="U472">
        <f t="shared" si="145"/>
        <v>75</v>
      </c>
    </row>
    <row r="473" spans="2:21" hidden="1" x14ac:dyDescent="0.25">
      <c r="B473" t="b">
        <f t="shared" si="130"/>
        <v>0</v>
      </c>
      <c r="C473" t="b">
        <f t="shared" si="140"/>
        <v>0</v>
      </c>
      <c r="D473">
        <f t="shared" si="137"/>
        <v>1</v>
      </c>
      <c r="E473" t="str">
        <f t="shared" si="138"/>
        <v>6. Conclusion</v>
      </c>
      <c r="F473" s="8" t="str">
        <f t="shared" si="129"/>
        <v/>
      </c>
      <c r="G473" t="str">
        <f t="shared" si="131"/>
        <v/>
      </c>
      <c r="H473">
        <f t="shared" si="132"/>
        <v>0</v>
      </c>
      <c r="I473">
        <f t="shared" si="139"/>
        <v>0</v>
      </c>
      <c r="J473">
        <f t="shared" si="133"/>
        <v>4588</v>
      </c>
      <c r="K473">
        <f t="shared" si="134"/>
        <v>1</v>
      </c>
      <c r="L473">
        <f t="shared" si="135"/>
        <v>16</v>
      </c>
      <c r="M473">
        <f t="shared" si="136"/>
        <v>28</v>
      </c>
      <c r="N473">
        <f t="shared" si="128"/>
        <v>0</v>
      </c>
      <c r="O473">
        <f t="shared" si="128"/>
        <v>1</v>
      </c>
      <c r="P473">
        <f t="shared" si="128"/>
        <v>15</v>
      </c>
      <c r="Q473">
        <f t="shared" si="141"/>
        <v>75</v>
      </c>
      <c r="R473">
        <f t="shared" si="142"/>
        <v>0</v>
      </c>
      <c r="S473">
        <f t="shared" si="143"/>
        <v>1</v>
      </c>
      <c r="T473">
        <f t="shared" si="144"/>
        <v>15</v>
      </c>
      <c r="U473">
        <f t="shared" si="145"/>
        <v>75</v>
      </c>
    </row>
    <row r="474" spans="2:21" hidden="1" x14ac:dyDescent="0.25">
      <c r="B474" t="b">
        <f t="shared" si="130"/>
        <v>0</v>
      </c>
      <c r="C474" t="b">
        <f t="shared" si="140"/>
        <v>0</v>
      </c>
      <c r="D474">
        <f t="shared" si="137"/>
        <v>1</v>
      </c>
      <c r="E474" t="str">
        <f t="shared" si="138"/>
        <v>6. Conclusion</v>
      </c>
      <c r="F474" s="8" t="str">
        <f t="shared" si="129"/>
        <v/>
      </c>
      <c r="G474" t="str">
        <f t="shared" si="131"/>
        <v/>
      </c>
      <c r="H474">
        <f t="shared" si="132"/>
        <v>0</v>
      </c>
      <c r="I474">
        <f t="shared" si="139"/>
        <v>0</v>
      </c>
      <c r="J474">
        <f t="shared" si="133"/>
        <v>4588</v>
      </c>
      <c r="K474">
        <f t="shared" si="134"/>
        <v>1</v>
      </c>
      <c r="L474">
        <f t="shared" si="135"/>
        <v>16</v>
      </c>
      <c r="M474">
        <f t="shared" si="136"/>
        <v>28</v>
      </c>
      <c r="N474">
        <f t="shared" si="128"/>
        <v>0</v>
      </c>
      <c r="O474">
        <f t="shared" si="128"/>
        <v>1</v>
      </c>
      <c r="P474">
        <f t="shared" si="128"/>
        <v>15</v>
      </c>
      <c r="Q474">
        <f t="shared" si="141"/>
        <v>75</v>
      </c>
      <c r="R474">
        <f t="shared" si="142"/>
        <v>0</v>
      </c>
      <c r="S474">
        <f t="shared" si="143"/>
        <v>1</v>
      </c>
      <c r="T474">
        <f t="shared" si="144"/>
        <v>15</v>
      </c>
      <c r="U474">
        <f t="shared" si="145"/>
        <v>75</v>
      </c>
    </row>
    <row r="475" spans="2:21" hidden="1" x14ac:dyDescent="0.25">
      <c r="B475" t="b">
        <f t="shared" si="130"/>
        <v>0</v>
      </c>
      <c r="C475" t="b">
        <f t="shared" si="140"/>
        <v>0</v>
      </c>
      <c r="D475">
        <f t="shared" si="137"/>
        <v>1</v>
      </c>
      <c r="E475" t="str">
        <f t="shared" si="138"/>
        <v>6. Conclusion</v>
      </c>
      <c r="F475" s="8" t="str">
        <f t="shared" si="129"/>
        <v/>
      </c>
      <c r="G475" t="str">
        <f t="shared" si="131"/>
        <v/>
      </c>
      <c r="H475">
        <f t="shared" si="132"/>
        <v>0</v>
      </c>
      <c r="I475">
        <f t="shared" si="139"/>
        <v>0</v>
      </c>
      <c r="J475">
        <f t="shared" si="133"/>
        <v>4588</v>
      </c>
      <c r="K475">
        <f t="shared" si="134"/>
        <v>1</v>
      </c>
      <c r="L475">
        <f t="shared" si="135"/>
        <v>16</v>
      </c>
      <c r="M475">
        <f t="shared" si="136"/>
        <v>28</v>
      </c>
      <c r="N475">
        <f t="shared" ref="N475:P538" si="146">R474</f>
        <v>0</v>
      </c>
      <c r="O475">
        <f t="shared" si="146"/>
        <v>1</v>
      </c>
      <c r="P475">
        <f t="shared" si="146"/>
        <v>15</v>
      </c>
      <c r="Q475">
        <f t="shared" si="141"/>
        <v>75</v>
      </c>
      <c r="R475">
        <f t="shared" si="142"/>
        <v>0</v>
      </c>
      <c r="S475">
        <f t="shared" si="143"/>
        <v>1</v>
      </c>
      <c r="T475">
        <f t="shared" si="144"/>
        <v>15</v>
      </c>
      <c r="U475">
        <f t="shared" si="145"/>
        <v>75</v>
      </c>
    </row>
    <row r="476" spans="2:21" hidden="1" x14ac:dyDescent="0.25">
      <c r="B476" t="b">
        <f t="shared" si="130"/>
        <v>0</v>
      </c>
      <c r="C476" t="b">
        <f t="shared" si="140"/>
        <v>0</v>
      </c>
      <c r="D476">
        <f t="shared" si="137"/>
        <v>1</v>
      </c>
      <c r="E476" t="str">
        <f t="shared" si="138"/>
        <v>6. Conclusion</v>
      </c>
      <c r="F476" s="8" t="str">
        <f t="shared" si="129"/>
        <v/>
      </c>
      <c r="G476" t="str">
        <f t="shared" si="131"/>
        <v/>
      </c>
      <c r="H476">
        <f t="shared" si="132"/>
        <v>0</v>
      </c>
      <c r="I476">
        <f t="shared" si="139"/>
        <v>0</v>
      </c>
      <c r="J476">
        <f t="shared" si="133"/>
        <v>4588</v>
      </c>
      <c r="K476">
        <f t="shared" si="134"/>
        <v>1</v>
      </c>
      <c r="L476">
        <f t="shared" si="135"/>
        <v>16</v>
      </c>
      <c r="M476">
        <f t="shared" si="136"/>
        <v>28</v>
      </c>
      <c r="N476">
        <f t="shared" si="146"/>
        <v>0</v>
      </c>
      <c r="O476">
        <f t="shared" si="146"/>
        <v>1</v>
      </c>
      <c r="P476">
        <f t="shared" si="146"/>
        <v>15</v>
      </c>
      <c r="Q476">
        <f t="shared" si="141"/>
        <v>75</v>
      </c>
      <c r="R476">
        <f t="shared" si="142"/>
        <v>0</v>
      </c>
      <c r="S476">
        <f t="shared" si="143"/>
        <v>1</v>
      </c>
      <c r="T476">
        <f t="shared" si="144"/>
        <v>15</v>
      </c>
      <c r="U476">
        <f t="shared" si="145"/>
        <v>75</v>
      </c>
    </row>
    <row r="477" spans="2:21" hidden="1" x14ac:dyDescent="0.25">
      <c r="B477" t="b">
        <f t="shared" si="130"/>
        <v>0</v>
      </c>
      <c r="C477" t="b">
        <f t="shared" si="140"/>
        <v>0</v>
      </c>
      <c r="D477">
        <f t="shared" si="137"/>
        <v>1</v>
      </c>
      <c r="E477" t="str">
        <f t="shared" si="138"/>
        <v>6. Conclusion</v>
      </c>
      <c r="F477" s="8" t="str">
        <f t="shared" si="129"/>
        <v/>
      </c>
      <c r="G477" t="str">
        <f t="shared" si="131"/>
        <v/>
      </c>
      <c r="H477">
        <f t="shared" si="132"/>
        <v>0</v>
      </c>
      <c r="I477">
        <f t="shared" si="139"/>
        <v>0</v>
      </c>
      <c r="J477">
        <f t="shared" si="133"/>
        <v>4588</v>
      </c>
      <c r="K477">
        <f t="shared" si="134"/>
        <v>1</v>
      </c>
      <c r="L477">
        <f t="shared" si="135"/>
        <v>16</v>
      </c>
      <c r="M477">
        <f t="shared" si="136"/>
        <v>28</v>
      </c>
      <c r="N477">
        <f t="shared" si="146"/>
        <v>0</v>
      </c>
      <c r="O477">
        <f t="shared" si="146"/>
        <v>1</v>
      </c>
      <c r="P477">
        <f t="shared" si="146"/>
        <v>15</v>
      </c>
      <c r="Q477">
        <f t="shared" si="141"/>
        <v>75</v>
      </c>
      <c r="R477">
        <f t="shared" si="142"/>
        <v>0</v>
      </c>
      <c r="S477">
        <f t="shared" si="143"/>
        <v>1</v>
      </c>
      <c r="T477">
        <f t="shared" si="144"/>
        <v>15</v>
      </c>
      <c r="U477">
        <f t="shared" si="145"/>
        <v>75</v>
      </c>
    </row>
    <row r="478" spans="2:21" hidden="1" x14ac:dyDescent="0.25">
      <c r="B478" t="b">
        <f t="shared" si="130"/>
        <v>0</v>
      </c>
      <c r="C478" t="b">
        <f t="shared" si="140"/>
        <v>0</v>
      </c>
      <c r="D478">
        <f t="shared" si="137"/>
        <v>1</v>
      </c>
      <c r="E478" t="str">
        <f t="shared" si="138"/>
        <v>6. Conclusion</v>
      </c>
      <c r="F478" s="8" t="str">
        <f t="shared" si="129"/>
        <v/>
      </c>
      <c r="G478" t="str">
        <f t="shared" si="131"/>
        <v/>
      </c>
      <c r="H478">
        <f t="shared" si="132"/>
        <v>0</v>
      </c>
      <c r="I478">
        <f t="shared" si="139"/>
        <v>0</v>
      </c>
      <c r="J478">
        <f t="shared" si="133"/>
        <v>4588</v>
      </c>
      <c r="K478">
        <f t="shared" si="134"/>
        <v>1</v>
      </c>
      <c r="L478">
        <f t="shared" si="135"/>
        <v>16</v>
      </c>
      <c r="M478">
        <f t="shared" si="136"/>
        <v>28</v>
      </c>
      <c r="N478">
        <f t="shared" si="146"/>
        <v>0</v>
      </c>
      <c r="O478">
        <f t="shared" si="146"/>
        <v>1</v>
      </c>
      <c r="P478">
        <f t="shared" si="146"/>
        <v>15</v>
      </c>
      <c r="Q478">
        <f t="shared" si="141"/>
        <v>75</v>
      </c>
      <c r="R478">
        <f t="shared" si="142"/>
        <v>0</v>
      </c>
      <c r="S478">
        <f t="shared" si="143"/>
        <v>1</v>
      </c>
      <c r="T478">
        <f t="shared" si="144"/>
        <v>15</v>
      </c>
      <c r="U478">
        <f t="shared" si="145"/>
        <v>75</v>
      </c>
    </row>
    <row r="479" spans="2:21" hidden="1" x14ac:dyDescent="0.25">
      <c r="B479" t="b">
        <f t="shared" si="130"/>
        <v>0</v>
      </c>
      <c r="C479" t="b">
        <f t="shared" si="140"/>
        <v>0</v>
      </c>
      <c r="D479">
        <f t="shared" si="137"/>
        <v>1</v>
      </c>
      <c r="E479" t="str">
        <f t="shared" si="138"/>
        <v>6. Conclusion</v>
      </c>
      <c r="F479" s="8" t="str">
        <f t="shared" si="129"/>
        <v/>
      </c>
      <c r="G479" t="str">
        <f t="shared" si="131"/>
        <v/>
      </c>
      <c r="H479">
        <f t="shared" si="132"/>
        <v>0</v>
      </c>
      <c r="I479">
        <f t="shared" si="139"/>
        <v>0</v>
      </c>
      <c r="J479">
        <f t="shared" si="133"/>
        <v>4588</v>
      </c>
      <c r="K479">
        <f t="shared" si="134"/>
        <v>1</v>
      </c>
      <c r="L479">
        <f t="shared" si="135"/>
        <v>16</v>
      </c>
      <c r="M479">
        <f t="shared" si="136"/>
        <v>28</v>
      </c>
      <c r="N479">
        <f t="shared" si="146"/>
        <v>0</v>
      </c>
      <c r="O479">
        <f t="shared" si="146"/>
        <v>1</v>
      </c>
      <c r="P479">
        <f t="shared" si="146"/>
        <v>15</v>
      </c>
      <c r="Q479">
        <f t="shared" si="141"/>
        <v>75</v>
      </c>
      <c r="R479">
        <f t="shared" si="142"/>
        <v>0</v>
      </c>
      <c r="S479">
        <f t="shared" si="143"/>
        <v>1</v>
      </c>
      <c r="T479">
        <f t="shared" si="144"/>
        <v>15</v>
      </c>
      <c r="U479">
        <f t="shared" si="145"/>
        <v>75</v>
      </c>
    </row>
    <row r="480" spans="2:21" hidden="1" x14ac:dyDescent="0.25">
      <c r="B480" t="b">
        <f t="shared" si="130"/>
        <v>0</v>
      </c>
      <c r="C480" t="b">
        <f t="shared" si="140"/>
        <v>0</v>
      </c>
      <c r="D480">
        <f t="shared" si="137"/>
        <v>1</v>
      </c>
      <c r="E480" t="str">
        <f t="shared" si="138"/>
        <v>6. Conclusion</v>
      </c>
      <c r="F480" s="8" t="str">
        <f t="shared" si="129"/>
        <v/>
      </c>
      <c r="G480" t="str">
        <f t="shared" si="131"/>
        <v/>
      </c>
      <c r="H480">
        <f t="shared" si="132"/>
        <v>0</v>
      </c>
      <c r="I480">
        <f t="shared" si="139"/>
        <v>0</v>
      </c>
      <c r="J480">
        <f t="shared" si="133"/>
        <v>4588</v>
      </c>
      <c r="K480">
        <f t="shared" si="134"/>
        <v>1</v>
      </c>
      <c r="L480">
        <f t="shared" si="135"/>
        <v>16</v>
      </c>
      <c r="M480">
        <f t="shared" si="136"/>
        <v>28</v>
      </c>
      <c r="N480">
        <f t="shared" si="146"/>
        <v>0</v>
      </c>
      <c r="O480">
        <f t="shared" si="146"/>
        <v>1</v>
      </c>
      <c r="P480">
        <f t="shared" si="146"/>
        <v>15</v>
      </c>
      <c r="Q480">
        <f t="shared" si="141"/>
        <v>75</v>
      </c>
      <c r="R480">
        <f t="shared" si="142"/>
        <v>0</v>
      </c>
      <c r="S480">
        <f t="shared" si="143"/>
        <v>1</v>
      </c>
      <c r="T480">
        <f t="shared" si="144"/>
        <v>15</v>
      </c>
      <c r="U480">
        <f t="shared" si="145"/>
        <v>75</v>
      </c>
    </row>
    <row r="481" spans="2:21" hidden="1" x14ac:dyDescent="0.25">
      <c r="B481" t="b">
        <f t="shared" si="130"/>
        <v>0</v>
      </c>
      <c r="C481" t="b">
        <f t="shared" si="140"/>
        <v>0</v>
      </c>
      <c r="D481">
        <f t="shared" si="137"/>
        <v>1</v>
      </c>
      <c r="E481" t="str">
        <f t="shared" si="138"/>
        <v>6. Conclusion</v>
      </c>
      <c r="F481" s="8" t="str">
        <f t="shared" si="129"/>
        <v/>
      </c>
      <c r="G481" t="str">
        <f t="shared" si="131"/>
        <v/>
      </c>
      <c r="H481">
        <f t="shared" si="132"/>
        <v>0</v>
      </c>
      <c r="I481">
        <f t="shared" si="139"/>
        <v>0</v>
      </c>
      <c r="J481">
        <f t="shared" si="133"/>
        <v>4588</v>
      </c>
      <c r="K481">
        <f t="shared" si="134"/>
        <v>1</v>
      </c>
      <c r="L481">
        <f t="shared" si="135"/>
        <v>16</v>
      </c>
      <c r="M481">
        <f t="shared" si="136"/>
        <v>28</v>
      </c>
      <c r="N481">
        <f t="shared" si="146"/>
        <v>0</v>
      </c>
      <c r="O481">
        <f t="shared" si="146"/>
        <v>1</v>
      </c>
      <c r="P481">
        <f t="shared" si="146"/>
        <v>15</v>
      </c>
      <c r="Q481">
        <f t="shared" si="141"/>
        <v>75</v>
      </c>
      <c r="R481">
        <f t="shared" si="142"/>
        <v>0</v>
      </c>
      <c r="S481">
        <f t="shared" si="143"/>
        <v>1</v>
      </c>
      <c r="T481">
        <f t="shared" si="144"/>
        <v>15</v>
      </c>
      <c r="U481">
        <f t="shared" si="145"/>
        <v>75</v>
      </c>
    </row>
    <row r="482" spans="2:21" hidden="1" x14ac:dyDescent="0.25">
      <c r="B482" t="b">
        <f t="shared" si="130"/>
        <v>0</v>
      </c>
      <c r="C482" t="b">
        <f t="shared" si="140"/>
        <v>0</v>
      </c>
      <c r="D482">
        <f t="shared" si="137"/>
        <v>1</v>
      </c>
      <c r="E482" t="str">
        <f t="shared" si="138"/>
        <v>6. Conclusion</v>
      </c>
      <c r="F482" s="8" t="str">
        <f t="shared" si="129"/>
        <v/>
      </c>
      <c r="G482" t="str">
        <f t="shared" si="131"/>
        <v/>
      </c>
      <c r="H482">
        <f t="shared" si="132"/>
        <v>0</v>
      </c>
      <c r="I482">
        <f t="shared" si="139"/>
        <v>0</v>
      </c>
      <c r="J482">
        <f t="shared" si="133"/>
        <v>4588</v>
      </c>
      <c r="K482">
        <f t="shared" si="134"/>
        <v>1</v>
      </c>
      <c r="L482">
        <f t="shared" si="135"/>
        <v>16</v>
      </c>
      <c r="M482">
        <f t="shared" si="136"/>
        <v>28</v>
      </c>
      <c r="N482">
        <f t="shared" si="146"/>
        <v>0</v>
      </c>
      <c r="O482">
        <f t="shared" si="146"/>
        <v>1</v>
      </c>
      <c r="P482">
        <f t="shared" si="146"/>
        <v>15</v>
      </c>
      <c r="Q482">
        <f t="shared" si="141"/>
        <v>75</v>
      </c>
      <c r="R482">
        <f t="shared" si="142"/>
        <v>0</v>
      </c>
      <c r="S482">
        <f t="shared" si="143"/>
        <v>1</v>
      </c>
      <c r="T482">
        <f t="shared" si="144"/>
        <v>15</v>
      </c>
      <c r="U482">
        <f t="shared" si="145"/>
        <v>75</v>
      </c>
    </row>
    <row r="483" spans="2:21" hidden="1" x14ac:dyDescent="0.25">
      <c r="B483" t="b">
        <f t="shared" si="130"/>
        <v>0</v>
      </c>
      <c r="C483" t="b">
        <f t="shared" si="140"/>
        <v>0</v>
      </c>
      <c r="D483">
        <f t="shared" si="137"/>
        <v>1</v>
      </c>
      <c r="E483" t="str">
        <f t="shared" si="138"/>
        <v>6. Conclusion</v>
      </c>
      <c r="F483" s="8" t="str">
        <f t="shared" si="129"/>
        <v/>
      </c>
      <c r="G483" t="str">
        <f t="shared" si="131"/>
        <v/>
      </c>
      <c r="H483">
        <f t="shared" si="132"/>
        <v>0</v>
      </c>
      <c r="I483">
        <f t="shared" si="139"/>
        <v>0</v>
      </c>
      <c r="J483">
        <f t="shared" si="133"/>
        <v>4588</v>
      </c>
      <c r="K483">
        <f t="shared" si="134"/>
        <v>1</v>
      </c>
      <c r="L483">
        <f t="shared" si="135"/>
        <v>16</v>
      </c>
      <c r="M483">
        <f t="shared" si="136"/>
        <v>28</v>
      </c>
      <c r="N483">
        <f t="shared" si="146"/>
        <v>0</v>
      </c>
      <c r="O483">
        <f t="shared" si="146"/>
        <v>1</v>
      </c>
      <c r="P483">
        <f t="shared" si="146"/>
        <v>15</v>
      </c>
      <c r="Q483">
        <f t="shared" si="141"/>
        <v>75</v>
      </c>
      <c r="R483">
        <f t="shared" si="142"/>
        <v>0</v>
      </c>
      <c r="S483">
        <f t="shared" si="143"/>
        <v>1</v>
      </c>
      <c r="T483">
        <f t="shared" si="144"/>
        <v>15</v>
      </c>
      <c r="U483">
        <f t="shared" si="145"/>
        <v>75</v>
      </c>
    </row>
    <row r="484" spans="2:21" hidden="1" x14ac:dyDescent="0.25">
      <c r="B484" t="b">
        <f t="shared" si="130"/>
        <v>0</v>
      </c>
      <c r="C484" t="b">
        <f t="shared" si="140"/>
        <v>0</v>
      </c>
      <c r="D484">
        <f t="shared" si="137"/>
        <v>1</v>
      </c>
      <c r="E484" t="str">
        <f t="shared" si="138"/>
        <v>6. Conclusion</v>
      </c>
      <c r="F484" s="8" t="str">
        <f t="shared" si="129"/>
        <v/>
      </c>
      <c r="G484" t="str">
        <f t="shared" si="131"/>
        <v/>
      </c>
      <c r="H484">
        <f t="shared" si="132"/>
        <v>0</v>
      </c>
      <c r="I484">
        <f t="shared" si="139"/>
        <v>0</v>
      </c>
      <c r="J484">
        <f t="shared" si="133"/>
        <v>4588</v>
      </c>
      <c r="K484">
        <f t="shared" si="134"/>
        <v>1</v>
      </c>
      <c r="L484">
        <f t="shared" si="135"/>
        <v>16</v>
      </c>
      <c r="M484">
        <f t="shared" si="136"/>
        <v>28</v>
      </c>
      <c r="N484">
        <f t="shared" si="146"/>
        <v>0</v>
      </c>
      <c r="O484">
        <f t="shared" si="146"/>
        <v>1</v>
      </c>
      <c r="P484">
        <f t="shared" si="146"/>
        <v>15</v>
      </c>
      <c r="Q484">
        <f t="shared" si="141"/>
        <v>75</v>
      </c>
      <c r="R484">
        <f t="shared" si="142"/>
        <v>0</v>
      </c>
      <c r="S484">
        <f t="shared" si="143"/>
        <v>1</v>
      </c>
      <c r="T484">
        <f t="shared" si="144"/>
        <v>15</v>
      </c>
      <c r="U484">
        <f t="shared" si="145"/>
        <v>75</v>
      </c>
    </row>
    <row r="485" spans="2:21" hidden="1" x14ac:dyDescent="0.25">
      <c r="B485" t="b">
        <f t="shared" si="130"/>
        <v>0</v>
      </c>
      <c r="C485" t="b">
        <f t="shared" si="140"/>
        <v>0</v>
      </c>
      <c r="D485">
        <f t="shared" si="137"/>
        <v>1</v>
      </c>
      <c r="E485" t="str">
        <f t="shared" si="138"/>
        <v>6. Conclusion</v>
      </c>
      <c r="F485" s="8" t="str">
        <f t="shared" si="129"/>
        <v/>
      </c>
      <c r="G485" t="str">
        <f t="shared" si="131"/>
        <v/>
      </c>
      <c r="H485">
        <f t="shared" si="132"/>
        <v>0</v>
      </c>
      <c r="I485">
        <f t="shared" si="139"/>
        <v>0</v>
      </c>
      <c r="J485">
        <f t="shared" si="133"/>
        <v>4588</v>
      </c>
      <c r="K485">
        <f t="shared" si="134"/>
        <v>1</v>
      </c>
      <c r="L485">
        <f t="shared" si="135"/>
        <v>16</v>
      </c>
      <c r="M485">
        <f t="shared" si="136"/>
        <v>28</v>
      </c>
      <c r="N485">
        <f t="shared" si="146"/>
        <v>0</v>
      </c>
      <c r="O485">
        <f t="shared" si="146"/>
        <v>1</v>
      </c>
      <c r="P485">
        <f t="shared" si="146"/>
        <v>15</v>
      </c>
      <c r="Q485">
        <f t="shared" si="141"/>
        <v>75</v>
      </c>
      <c r="R485">
        <f t="shared" si="142"/>
        <v>0</v>
      </c>
      <c r="S485">
        <f t="shared" si="143"/>
        <v>1</v>
      </c>
      <c r="T485">
        <f t="shared" si="144"/>
        <v>15</v>
      </c>
      <c r="U485">
        <f t="shared" si="145"/>
        <v>75</v>
      </c>
    </row>
    <row r="486" spans="2:21" hidden="1" x14ac:dyDescent="0.25">
      <c r="B486" t="b">
        <f t="shared" si="130"/>
        <v>0</v>
      </c>
      <c r="C486" t="b">
        <f t="shared" si="140"/>
        <v>0</v>
      </c>
      <c r="D486">
        <f t="shared" si="137"/>
        <v>1</v>
      </c>
      <c r="E486" t="str">
        <f t="shared" si="138"/>
        <v>6. Conclusion</v>
      </c>
      <c r="F486" s="8" t="str">
        <f t="shared" si="129"/>
        <v/>
      </c>
      <c r="G486" t="str">
        <f t="shared" si="131"/>
        <v/>
      </c>
      <c r="H486">
        <f t="shared" si="132"/>
        <v>0</v>
      </c>
      <c r="I486">
        <f t="shared" si="139"/>
        <v>0</v>
      </c>
      <c r="J486">
        <f t="shared" si="133"/>
        <v>4588</v>
      </c>
      <c r="K486">
        <f t="shared" si="134"/>
        <v>1</v>
      </c>
      <c r="L486">
        <f t="shared" si="135"/>
        <v>16</v>
      </c>
      <c r="M486">
        <f t="shared" si="136"/>
        <v>28</v>
      </c>
      <c r="N486">
        <f t="shared" si="146"/>
        <v>0</v>
      </c>
      <c r="O486">
        <f t="shared" si="146"/>
        <v>1</v>
      </c>
      <c r="P486">
        <f t="shared" si="146"/>
        <v>15</v>
      </c>
      <c r="Q486">
        <f t="shared" si="141"/>
        <v>75</v>
      </c>
      <c r="R486">
        <f t="shared" si="142"/>
        <v>0</v>
      </c>
      <c r="S486">
        <f t="shared" si="143"/>
        <v>1</v>
      </c>
      <c r="T486">
        <f t="shared" si="144"/>
        <v>15</v>
      </c>
      <c r="U486">
        <f t="shared" si="145"/>
        <v>75</v>
      </c>
    </row>
    <row r="487" spans="2:21" hidden="1" x14ac:dyDescent="0.25">
      <c r="B487" t="b">
        <f t="shared" si="130"/>
        <v>0</v>
      </c>
      <c r="C487" t="b">
        <f t="shared" si="140"/>
        <v>0</v>
      </c>
      <c r="D487">
        <f t="shared" si="137"/>
        <v>1</v>
      </c>
      <c r="E487" t="str">
        <f t="shared" si="138"/>
        <v>6. Conclusion</v>
      </c>
      <c r="F487" s="8" t="str">
        <f t="shared" si="129"/>
        <v/>
      </c>
      <c r="G487" t="str">
        <f t="shared" si="131"/>
        <v/>
      </c>
      <c r="H487">
        <f t="shared" si="132"/>
        <v>0</v>
      </c>
      <c r="I487">
        <f t="shared" si="139"/>
        <v>0</v>
      </c>
      <c r="J487">
        <f t="shared" si="133"/>
        <v>4588</v>
      </c>
      <c r="K487">
        <f t="shared" si="134"/>
        <v>1</v>
      </c>
      <c r="L487">
        <f t="shared" si="135"/>
        <v>16</v>
      </c>
      <c r="M487">
        <f t="shared" si="136"/>
        <v>28</v>
      </c>
      <c r="N487">
        <f t="shared" si="146"/>
        <v>0</v>
      </c>
      <c r="O487">
        <f t="shared" si="146"/>
        <v>1</v>
      </c>
      <c r="P487">
        <f t="shared" si="146"/>
        <v>15</v>
      </c>
      <c r="Q487">
        <f t="shared" si="141"/>
        <v>75</v>
      </c>
      <c r="R487">
        <f t="shared" si="142"/>
        <v>0</v>
      </c>
      <c r="S487">
        <f t="shared" si="143"/>
        <v>1</v>
      </c>
      <c r="T487">
        <f t="shared" si="144"/>
        <v>15</v>
      </c>
      <c r="U487">
        <f t="shared" si="145"/>
        <v>75</v>
      </c>
    </row>
    <row r="488" spans="2:21" hidden="1" x14ac:dyDescent="0.25">
      <c r="B488" t="b">
        <f t="shared" si="130"/>
        <v>0</v>
      </c>
      <c r="C488" t="b">
        <f t="shared" si="140"/>
        <v>0</v>
      </c>
      <c r="D488">
        <f t="shared" si="137"/>
        <v>1</v>
      </c>
      <c r="E488" t="str">
        <f t="shared" si="138"/>
        <v>6. Conclusion</v>
      </c>
      <c r="F488" s="8" t="str">
        <f t="shared" ref="F488:F551" si="147">SUBSTITUTE(IF(C488,D488&amp;". "&amp;A488,""),":"," -")</f>
        <v/>
      </c>
      <c r="G488" t="str">
        <f t="shared" si="131"/>
        <v/>
      </c>
      <c r="H488">
        <f t="shared" si="132"/>
        <v>0</v>
      </c>
      <c r="I488">
        <f t="shared" si="139"/>
        <v>0</v>
      </c>
      <c r="J488">
        <f t="shared" si="133"/>
        <v>4588</v>
      </c>
      <c r="K488">
        <f t="shared" si="134"/>
        <v>1</v>
      </c>
      <c r="L488">
        <f t="shared" si="135"/>
        <v>16</v>
      </c>
      <c r="M488">
        <f t="shared" si="136"/>
        <v>28</v>
      </c>
      <c r="N488">
        <f t="shared" si="146"/>
        <v>0</v>
      </c>
      <c r="O488">
        <f t="shared" si="146"/>
        <v>1</v>
      </c>
      <c r="P488">
        <f t="shared" si="146"/>
        <v>15</v>
      </c>
      <c r="Q488">
        <f t="shared" si="141"/>
        <v>75</v>
      </c>
      <c r="R488">
        <f t="shared" si="142"/>
        <v>0</v>
      </c>
      <c r="S488">
        <f t="shared" si="143"/>
        <v>1</v>
      </c>
      <c r="T488">
        <f t="shared" si="144"/>
        <v>15</v>
      </c>
      <c r="U488">
        <f t="shared" si="145"/>
        <v>75</v>
      </c>
    </row>
    <row r="489" spans="2:21" hidden="1" x14ac:dyDescent="0.25">
      <c r="B489" t="b">
        <f t="shared" si="130"/>
        <v>0</v>
      </c>
      <c r="C489" t="b">
        <f t="shared" si="140"/>
        <v>0</v>
      </c>
      <c r="D489">
        <f t="shared" si="137"/>
        <v>1</v>
      </c>
      <c r="E489" t="str">
        <f t="shared" si="138"/>
        <v>6. Conclusion</v>
      </c>
      <c r="F489" s="8" t="str">
        <f t="shared" si="147"/>
        <v/>
      </c>
      <c r="G489" t="str">
        <f t="shared" si="131"/>
        <v/>
      </c>
      <c r="H489">
        <f t="shared" si="132"/>
        <v>0</v>
      </c>
      <c r="I489">
        <f t="shared" si="139"/>
        <v>0</v>
      </c>
      <c r="J489">
        <f t="shared" si="133"/>
        <v>4588</v>
      </c>
      <c r="K489">
        <f t="shared" si="134"/>
        <v>1</v>
      </c>
      <c r="L489">
        <f t="shared" si="135"/>
        <v>16</v>
      </c>
      <c r="M489">
        <f t="shared" si="136"/>
        <v>28</v>
      </c>
      <c r="N489">
        <f t="shared" si="146"/>
        <v>0</v>
      </c>
      <c r="O489">
        <f t="shared" si="146"/>
        <v>1</v>
      </c>
      <c r="P489">
        <f t="shared" si="146"/>
        <v>15</v>
      </c>
      <c r="Q489">
        <f t="shared" si="141"/>
        <v>75</v>
      </c>
      <c r="R489">
        <f t="shared" si="142"/>
        <v>0</v>
      </c>
      <c r="S489">
        <f t="shared" si="143"/>
        <v>1</v>
      </c>
      <c r="T489">
        <f t="shared" si="144"/>
        <v>15</v>
      </c>
      <c r="U489">
        <f t="shared" si="145"/>
        <v>75</v>
      </c>
    </row>
    <row r="490" spans="2:21" hidden="1" x14ac:dyDescent="0.25">
      <c r="B490" t="b">
        <f t="shared" si="130"/>
        <v>0</v>
      </c>
      <c r="C490" t="b">
        <f t="shared" si="140"/>
        <v>0</v>
      </c>
      <c r="D490">
        <f t="shared" si="137"/>
        <v>1</v>
      </c>
      <c r="E490" t="str">
        <f t="shared" si="138"/>
        <v>6. Conclusion</v>
      </c>
      <c r="F490" s="8" t="str">
        <f t="shared" si="147"/>
        <v/>
      </c>
      <c r="G490" t="str">
        <f t="shared" si="131"/>
        <v/>
      </c>
      <c r="H490">
        <f t="shared" si="132"/>
        <v>0</v>
      </c>
      <c r="I490">
        <f t="shared" si="139"/>
        <v>0</v>
      </c>
      <c r="J490">
        <f t="shared" si="133"/>
        <v>4588</v>
      </c>
      <c r="K490">
        <f t="shared" si="134"/>
        <v>1</v>
      </c>
      <c r="L490">
        <f t="shared" si="135"/>
        <v>16</v>
      </c>
      <c r="M490">
        <f t="shared" si="136"/>
        <v>28</v>
      </c>
      <c r="N490">
        <f t="shared" si="146"/>
        <v>0</v>
      </c>
      <c r="O490">
        <f t="shared" si="146"/>
        <v>1</v>
      </c>
      <c r="P490">
        <f t="shared" si="146"/>
        <v>15</v>
      </c>
      <c r="Q490">
        <f t="shared" si="141"/>
        <v>75</v>
      </c>
      <c r="R490">
        <f t="shared" si="142"/>
        <v>0</v>
      </c>
      <c r="S490">
        <f t="shared" si="143"/>
        <v>1</v>
      </c>
      <c r="T490">
        <f t="shared" si="144"/>
        <v>15</v>
      </c>
      <c r="U490">
        <f t="shared" si="145"/>
        <v>75</v>
      </c>
    </row>
    <row r="491" spans="2:21" hidden="1" x14ac:dyDescent="0.25">
      <c r="B491" t="b">
        <f t="shared" si="130"/>
        <v>0</v>
      </c>
      <c r="C491" t="b">
        <f t="shared" si="140"/>
        <v>0</v>
      </c>
      <c r="D491">
        <f t="shared" si="137"/>
        <v>1</v>
      </c>
      <c r="E491" t="str">
        <f t="shared" si="138"/>
        <v>6. Conclusion</v>
      </c>
      <c r="F491" s="8" t="str">
        <f t="shared" si="147"/>
        <v/>
      </c>
      <c r="G491" t="str">
        <f t="shared" si="131"/>
        <v/>
      </c>
      <c r="H491">
        <f t="shared" si="132"/>
        <v>0</v>
      </c>
      <c r="I491">
        <f t="shared" si="139"/>
        <v>0</v>
      </c>
      <c r="J491">
        <f t="shared" si="133"/>
        <v>4588</v>
      </c>
      <c r="K491">
        <f t="shared" si="134"/>
        <v>1</v>
      </c>
      <c r="L491">
        <f t="shared" si="135"/>
        <v>16</v>
      </c>
      <c r="M491">
        <f t="shared" si="136"/>
        <v>28</v>
      </c>
      <c r="N491">
        <f t="shared" si="146"/>
        <v>0</v>
      </c>
      <c r="O491">
        <f t="shared" si="146"/>
        <v>1</v>
      </c>
      <c r="P491">
        <f t="shared" si="146"/>
        <v>15</v>
      </c>
      <c r="Q491">
        <f t="shared" si="141"/>
        <v>75</v>
      </c>
      <c r="R491">
        <f t="shared" si="142"/>
        <v>0</v>
      </c>
      <c r="S491">
        <f t="shared" si="143"/>
        <v>1</v>
      </c>
      <c r="T491">
        <f t="shared" si="144"/>
        <v>15</v>
      </c>
      <c r="U491">
        <f t="shared" si="145"/>
        <v>75</v>
      </c>
    </row>
    <row r="492" spans="2:21" hidden="1" x14ac:dyDescent="0.25">
      <c r="B492" t="b">
        <f t="shared" si="130"/>
        <v>0</v>
      </c>
      <c r="C492" t="b">
        <f t="shared" si="140"/>
        <v>0</v>
      </c>
      <c r="D492">
        <f t="shared" si="137"/>
        <v>1</v>
      </c>
      <c r="E492" t="str">
        <f t="shared" si="138"/>
        <v>6. Conclusion</v>
      </c>
      <c r="F492" s="8" t="str">
        <f t="shared" si="147"/>
        <v/>
      </c>
      <c r="G492" t="str">
        <f t="shared" si="131"/>
        <v/>
      </c>
      <c r="H492">
        <f t="shared" si="132"/>
        <v>0</v>
      </c>
      <c r="I492">
        <f t="shared" si="139"/>
        <v>0</v>
      </c>
      <c r="J492">
        <f t="shared" si="133"/>
        <v>4588</v>
      </c>
      <c r="K492">
        <f t="shared" si="134"/>
        <v>1</v>
      </c>
      <c r="L492">
        <f t="shared" si="135"/>
        <v>16</v>
      </c>
      <c r="M492">
        <f t="shared" si="136"/>
        <v>28</v>
      </c>
      <c r="N492">
        <f t="shared" si="146"/>
        <v>0</v>
      </c>
      <c r="O492">
        <f t="shared" si="146"/>
        <v>1</v>
      </c>
      <c r="P492">
        <f t="shared" si="146"/>
        <v>15</v>
      </c>
      <c r="Q492">
        <f t="shared" si="141"/>
        <v>75</v>
      </c>
      <c r="R492">
        <f t="shared" si="142"/>
        <v>0</v>
      </c>
      <c r="S492">
        <f t="shared" si="143"/>
        <v>1</v>
      </c>
      <c r="T492">
        <f t="shared" si="144"/>
        <v>15</v>
      </c>
      <c r="U492">
        <f t="shared" si="145"/>
        <v>75</v>
      </c>
    </row>
    <row r="493" spans="2:21" hidden="1" x14ac:dyDescent="0.25">
      <c r="B493" t="b">
        <f t="shared" si="130"/>
        <v>0</v>
      </c>
      <c r="C493" t="b">
        <f t="shared" si="140"/>
        <v>0</v>
      </c>
      <c r="D493">
        <f t="shared" si="137"/>
        <v>1</v>
      </c>
      <c r="E493" t="str">
        <f t="shared" si="138"/>
        <v>6. Conclusion</v>
      </c>
      <c r="F493" s="8" t="str">
        <f t="shared" si="147"/>
        <v/>
      </c>
      <c r="G493" t="str">
        <f t="shared" si="131"/>
        <v/>
      </c>
      <c r="H493">
        <f t="shared" si="132"/>
        <v>0</v>
      </c>
      <c r="I493">
        <f t="shared" si="139"/>
        <v>0</v>
      </c>
      <c r="J493">
        <f t="shared" si="133"/>
        <v>4588</v>
      </c>
      <c r="K493">
        <f t="shared" si="134"/>
        <v>1</v>
      </c>
      <c r="L493">
        <f t="shared" si="135"/>
        <v>16</v>
      </c>
      <c r="M493">
        <f t="shared" si="136"/>
        <v>28</v>
      </c>
      <c r="N493">
        <f t="shared" si="146"/>
        <v>0</v>
      </c>
      <c r="O493">
        <f t="shared" si="146"/>
        <v>1</v>
      </c>
      <c r="P493">
        <f t="shared" si="146"/>
        <v>15</v>
      </c>
      <c r="Q493">
        <f t="shared" si="141"/>
        <v>75</v>
      </c>
      <c r="R493">
        <f t="shared" si="142"/>
        <v>0</v>
      </c>
      <c r="S493">
        <f t="shared" si="143"/>
        <v>1</v>
      </c>
      <c r="T493">
        <f t="shared" si="144"/>
        <v>15</v>
      </c>
      <c r="U493">
        <f t="shared" si="145"/>
        <v>75</v>
      </c>
    </row>
    <row r="494" spans="2:21" hidden="1" x14ac:dyDescent="0.25">
      <c r="B494" t="b">
        <f t="shared" si="130"/>
        <v>0</v>
      </c>
      <c r="C494" t="b">
        <f t="shared" si="140"/>
        <v>0</v>
      </c>
      <c r="D494">
        <f t="shared" si="137"/>
        <v>1</v>
      </c>
      <c r="E494" t="str">
        <f t="shared" si="138"/>
        <v>6. Conclusion</v>
      </c>
      <c r="F494" s="8" t="str">
        <f t="shared" si="147"/>
        <v/>
      </c>
      <c r="G494" t="str">
        <f t="shared" si="131"/>
        <v/>
      </c>
      <c r="H494">
        <f t="shared" si="132"/>
        <v>0</v>
      </c>
      <c r="I494">
        <f t="shared" si="139"/>
        <v>0</v>
      </c>
      <c r="J494">
        <f t="shared" si="133"/>
        <v>4588</v>
      </c>
      <c r="K494">
        <f t="shared" si="134"/>
        <v>1</v>
      </c>
      <c r="L494">
        <f t="shared" si="135"/>
        <v>16</v>
      </c>
      <c r="M494">
        <f t="shared" si="136"/>
        <v>28</v>
      </c>
      <c r="N494">
        <f t="shared" si="146"/>
        <v>0</v>
      </c>
      <c r="O494">
        <f t="shared" si="146"/>
        <v>1</v>
      </c>
      <c r="P494">
        <f t="shared" si="146"/>
        <v>15</v>
      </c>
      <c r="Q494">
        <f t="shared" si="141"/>
        <v>75</v>
      </c>
      <c r="R494">
        <f t="shared" si="142"/>
        <v>0</v>
      </c>
      <c r="S494">
        <f t="shared" si="143"/>
        <v>1</v>
      </c>
      <c r="T494">
        <f t="shared" si="144"/>
        <v>15</v>
      </c>
      <c r="U494">
        <f t="shared" si="145"/>
        <v>75</v>
      </c>
    </row>
    <row r="495" spans="2:21" hidden="1" x14ac:dyDescent="0.25">
      <c r="B495" t="b">
        <f t="shared" si="130"/>
        <v>0</v>
      </c>
      <c r="C495" t="b">
        <f t="shared" si="140"/>
        <v>0</v>
      </c>
      <c r="D495">
        <f t="shared" si="137"/>
        <v>1</v>
      </c>
      <c r="E495" t="str">
        <f t="shared" si="138"/>
        <v>6. Conclusion</v>
      </c>
      <c r="F495" s="8" t="str">
        <f t="shared" si="147"/>
        <v/>
      </c>
      <c r="G495" t="str">
        <f t="shared" si="131"/>
        <v/>
      </c>
      <c r="H495">
        <f t="shared" si="132"/>
        <v>0</v>
      </c>
      <c r="I495">
        <f t="shared" si="139"/>
        <v>0</v>
      </c>
      <c r="J495">
        <f t="shared" si="133"/>
        <v>4588</v>
      </c>
      <c r="K495">
        <f t="shared" si="134"/>
        <v>1</v>
      </c>
      <c r="L495">
        <f t="shared" si="135"/>
        <v>16</v>
      </c>
      <c r="M495">
        <f t="shared" si="136"/>
        <v>28</v>
      </c>
      <c r="N495">
        <f t="shared" si="146"/>
        <v>0</v>
      </c>
      <c r="O495">
        <f t="shared" si="146"/>
        <v>1</v>
      </c>
      <c r="P495">
        <f t="shared" si="146"/>
        <v>15</v>
      </c>
      <c r="Q495">
        <f t="shared" si="141"/>
        <v>75</v>
      </c>
      <c r="R495">
        <f t="shared" si="142"/>
        <v>0</v>
      </c>
      <c r="S495">
        <f t="shared" si="143"/>
        <v>1</v>
      </c>
      <c r="T495">
        <f t="shared" si="144"/>
        <v>15</v>
      </c>
      <c r="U495">
        <f t="shared" si="145"/>
        <v>75</v>
      </c>
    </row>
    <row r="496" spans="2:21" hidden="1" x14ac:dyDescent="0.25">
      <c r="B496" t="b">
        <f t="shared" si="130"/>
        <v>0</v>
      </c>
      <c r="C496" t="b">
        <f t="shared" si="140"/>
        <v>0</v>
      </c>
      <c r="D496">
        <f t="shared" si="137"/>
        <v>1</v>
      </c>
      <c r="E496" t="str">
        <f t="shared" si="138"/>
        <v>6. Conclusion</v>
      </c>
      <c r="F496" s="8" t="str">
        <f t="shared" si="147"/>
        <v/>
      </c>
      <c r="G496" t="str">
        <f t="shared" si="131"/>
        <v/>
      </c>
      <c r="H496">
        <f t="shared" si="132"/>
        <v>0</v>
      </c>
      <c r="I496">
        <f t="shared" si="139"/>
        <v>0</v>
      </c>
      <c r="J496">
        <f t="shared" si="133"/>
        <v>4588</v>
      </c>
      <c r="K496">
        <f t="shared" si="134"/>
        <v>1</v>
      </c>
      <c r="L496">
        <f t="shared" si="135"/>
        <v>16</v>
      </c>
      <c r="M496">
        <f t="shared" si="136"/>
        <v>28</v>
      </c>
      <c r="N496">
        <f t="shared" si="146"/>
        <v>0</v>
      </c>
      <c r="O496">
        <f t="shared" si="146"/>
        <v>1</v>
      </c>
      <c r="P496">
        <f t="shared" si="146"/>
        <v>15</v>
      </c>
      <c r="Q496">
        <f t="shared" si="141"/>
        <v>75</v>
      </c>
      <c r="R496">
        <f t="shared" si="142"/>
        <v>0</v>
      </c>
      <c r="S496">
        <f t="shared" si="143"/>
        <v>1</v>
      </c>
      <c r="T496">
        <f t="shared" si="144"/>
        <v>15</v>
      </c>
      <c r="U496">
        <f t="shared" si="145"/>
        <v>75</v>
      </c>
    </row>
    <row r="497" spans="2:21" hidden="1" x14ac:dyDescent="0.25">
      <c r="B497" t="b">
        <f t="shared" si="130"/>
        <v>0</v>
      </c>
      <c r="C497" t="b">
        <f t="shared" si="140"/>
        <v>0</v>
      </c>
      <c r="D497">
        <f t="shared" si="137"/>
        <v>1</v>
      </c>
      <c r="E497" t="str">
        <f t="shared" si="138"/>
        <v>6. Conclusion</v>
      </c>
      <c r="F497" s="8" t="str">
        <f t="shared" si="147"/>
        <v/>
      </c>
      <c r="G497" t="str">
        <f t="shared" si="131"/>
        <v/>
      </c>
      <c r="H497">
        <f t="shared" si="132"/>
        <v>0</v>
      </c>
      <c r="I497">
        <f t="shared" si="139"/>
        <v>0</v>
      </c>
      <c r="J497">
        <f t="shared" si="133"/>
        <v>4588</v>
      </c>
      <c r="K497">
        <f t="shared" si="134"/>
        <v>1</v>
      </c>
      <c r="L497">
        <f t="shared" si="135"/>
        <v>16</v>
      </c>
      <c r="M497">
        <f t="shared" si="136"/>
        <v>28</v>
      </c>
      <c r="N497">
        <f t="shared" si="146"/>
        <v>0</v>
      </c>
      <c r="O497">
        <f t="shared" si="146"/>
        <v>1</v>
      </c>
      <c r="P497">
        <f t="shared" si="146"/>
        <v>15</v>
      </c>
      <c r="Q497">
        <f t="shared" si="141"/>
        <v>75</v>
      </c>
      <c r="R497">
        <f t="shared" si="142"/>
        <v>0</v>
      </c>
      <c r="S497">
        <f t="shared" si="143"/>
        <v>1</v>
      </c>
      <c r="T497">
        <f t="shared" si="144"/>
        <v>15</v>
      </c>
      <c r="U497">
        <f t="shared" si="145"/>
        <v>75</v>
      </c>
    </row>
    <row r="498" spans="2:21" hidden="1" x14ac:dyDescent="0.25">
      <c r="B498" t="b">
        <f t="shared" si="130"/>
        <v>0</v>
      </c>
      <c r="C498" t="b">
        <f t="shared" si="140"/>
        <v>0</v>
      </c>
      <c r="D498">
        <f t="shared" si="137"/>
        <v>1</v>
      </c>
      <c r="E498" t="str">
        <f t="shared" si="138"/>
        <v>6. Conclusion</v>
      </c>
      <c r="F498" s="8" t="str">
        <f t="shared" si="147"/>
        <v/>
      </c>
      <c r="G498" t="str">
        <f t="shared" si="131"/>
        <v/>
      </c>
      <c r="H498">
        <f t="shared" si="132"/>
        <v>0</v>
      </c>
      <c r="I498">
        <f t="shared" si="139"/>
        <v>0</v>
      </c>
      <c r="J498">
        <f t="shared" si="133"/>
        <v>4588</v>
      </c>
      <c r="K498">
        <f t="shared" si="134"/>
        <v>1</v>
      </c>
      <c r="L498">
        <f t="shared" si="135"/>
        <v>16</v>
      </c>
      <c r="M498">
        <f t="shared" si="136"/>
        <v>28</v>
      </c>
      <c r="N498">
        <f t="shared" si="146"/>
        <v>0</v>
      </c>
      <c r="O498">
        <f t="shared" si="146"/>
        <v>1</v>
      </c>
      <c r="P498">
        <f t="shared" si="146"/>
        <v>15</v>
      </c>
      <c r="Q498">
        <f t="shared" si="141"/>
        <v>75</v>
      </c>
      <c r="R498">
        <f t="shared" si="142"/>
        <v>0</v>
      </c>
      <c r="S498">
        <f t="shared" si="143"/>
        <v>1</v>
      </c>
      <c r="T498">
        <f t="shared" si="144"/>
        <v>15</v>
      </c>
      <c r="U498">
        <f t="shared" si="145"/>
        <v>75</v>
      </c>
    </row>
    <row r="499" spans="2:21" hidden="1" x14ac:dyDescent="0.25">
      <c r="B499" t="b">
        <f t="shared" si="130"/>
        <v>0</v>
      </c>
      <c r="C499" t="b">
        <f t="shared" si="140"/>
        <v>0</v>
      </c>
      <c r="D499">
        <f t="shared" si="137"/>
        <v>1</v>
      </c>
      <c r="E499" t="str">
        <f t="shared" si="138"/>
        <v>6. Conclusion</v>
      </c>
      <c r="F499" s="8" t="str">
        <f t="shared" si="147"/>
        <v/>
      </c>
      <c r="G499" t="str">
        <f t="shared" si="131"/>
        <v/>
      </c>
      <c r="H499">
        <f t="shared" si="132"/>
        <v>0</v>
      </c>
      <c r="I499">
        <f t="shared" si="139"/>
        <v>0</v>
      </c>
      <c r="J499">
        <f t="shared" si="133"/>
        <v>4588</v>
      </c>
      <c r="K499">
        <f t="shared" si="134"/>
        <v>1</v>
      </c>
      <c r="L499">
        <f t="shared" si="135"/>
        <v>16</v>
      </c>
      <c r="M499">
        <f t="shared" si="136"/>
        <v>28</v>
      </c>
      <c r="N499">
        <f t="shared" si="146"/>
        <v>0</v>
      </c>
      <c r="O499">
        <f t="shared" si="146"/>
        <v>1</v>
      </c>
      <c r="P499">
        <f t="shared" si="146"/>
        <v>15</v>
      </c>
      <c r="Q499">
        <f t="shared" si="141"/>
        <v>75</v>
      </c>
      <c r="R499">
        <f t="shared" si="142"/>
        <v>0</v>
      </c>
      <c r="S499">
        <f t="shared" si="143"/>
        <v>1</v>
      </c>
      <c r="T499">
        <f t="shared" si="144"/>
        <v>15</v>
      </c>
      <c r="U499">
        <f t="shared" si="145"/>
        <v>75</v>
      </c>
    </row>
    <row r="500" spans="2:21" hidden="1" x14ac:dyDescent="0.25">
      <c r="B500" t="b">
        <f t="shared" si="130"/>
        <v>0</v>
      </c>
      <c r="C500" t="b">
        <f t="shared" si="140"/>
        <v>0</v>
      </c>
      <c r="D500">
        <f t="shared" si="137"/>
        <v>1</v>
      </c>
      <c r="E500" t="str">
        <f t="shared" si="138"/>
        <v>6. Conclusion</v>
      </c>
      <c r="F500" s="8" t="str">
        <f t="shared" si="147"/>
        <v/>
      </c>
      <c r="G500" t="str">
        <f t="shared" si="131"/>
        <v/>
      </c>
      <c r="H500">
        <f t="shared" si="132"/>
        <v>0</v>
      </c>
      <c r="I500">
        <f t="shared" si="139"/>
        <v>0</v>
      </c>
      <c r="J500">
        <f t="shared" si="133"/>
        <v>4588</v>
      </c>
      <c r="K500">
        <f t="shared" si="134"/>
        <v>1</v>
      </c>
      <c r="L500">
        <f t="shared" si="135"/>
        <v>16</v>
      </c>
      <c r="M500">
        <f t="shared" si="136"/>
        <v>28</v>
      </c>
      <c r="N500">
        <f t="shared" si="146"/>
        <v>0</v>
      </c>
      <c r="O500">
        <f t="shared" si="146"/>
        <v>1</v>
      </c>
      <c r="P500">
        <f t="shared" si="146"/>
        <v>15</v>
      </c>
      <c r="Q500">
        <f t="shared" si="141"/>
        <v>75</v>
      </c>
      <c r="R500">
        <f t="shared" si="142"/>
        <v>0</v>
      </c>
      <c r="S500">
        <f t="shared" si="143"/>
        <v>1</v>
      </c>
      <c r="T500">
        <f t="shared" si="144"/>
        <v>15</v>
      </c>
      <c r="U500">
        <f t="shared" si="145"/>
        <v>75</v>
      </c>
    </row>
    <row r="501" spans="2:21" hidden="1" x14ac:dyDescent="0.25">
      <c r="B501" t="b">
        <f t="shared" si="130"/>
        <v>0</v>
      </c>
      <c r="C501" t="b">
        <f t="shared" si="140"/>
        <v>0</v>
      </c>
      <c r="D501">
        <f t="shared" si="137"/>
        <v>1</v>
      </c>
      <c r="E501" t="str">
        <f t="shared" si="138"/>
        <v>6. Conclusion</v>
      </c>
      <c r="F501" s="8" t="str">
        <f t="shared" si="147"/>
        <v/>
      </c>
      <c r="G501" t="str">
        <f t="shared" si="131"/>
        <v/>
      </c>
      <c r="H501">
        <f t="shared" si="132"/>
        <v>0</v>
      </c>
      <c r="I501">
        <f t="shared" si="139"/>
        <v>0</v>
      </c>
      <c r="J501">
        <f t="shared" si="133"/>
        <v>4588</v>
      </c>
      <c r="K501">
        <f t="shared" si="134"/>
        <v>1</v>
      </c>
      <c r="L501">
        <f t="shared" si="135"/>
        <v>16</v>
      </c>
      <c r="M501">
        <f t="shared" si="136"/>
        <v>28</v>
      </c>
      <c r="N501">
        <f t="shared" si="146"/>
        <v>0</v>
      </c>
      <c r="O501">
        <f t="shared" si="146"/>
        <v>1</v>
      </c>
      <c r="P501">
        <f t="shared" si="146"/>
        <v>15</v>
      </c>
      <c r="Q501">
        <f t="shared" si="141"/>
        <v>75</v>
      </c>
      <c r="R501">
        <f t="shared" si="142"/>
        <v>0</v>
      </c>
      <c r="S501">
        <f t="shared" si="143"/>
        <v>1</v>
      </c>
      <c r="T501">
        <f t="shared" si="144"/>
        <v>15</v>
      </c>
      <c r="U501">
        <f t="shared" si="145"/>
        <v>75</v>
      </c>
    </row>
    <row r="502" spans="2:21" hidden="1" x14ac:dyDescent="0.25">
      <c r="B502" t="b">
        <f t="shared" si="130"/>
        <v>0</v>
      </c>
      <c r="C502" t="b">
        <f t="shared" si="140"/>
        <v>0</v>
      </c>
      <c r="D502">
        <f t="shared" si="137"/>
        <v>1</v>
      </c>
      <c r="E502" t="str">
        <f t="shared" si="138"/>
        <v>6. Conclusion</v>
      </c>
      <c r="F502" s="8" t="str">
        <f t="shared" si="147"/>
        <v/>
      </c>
      <c r="G502" t="str">
        <f t="shared" si="131"/>
        <v/>
      </c>
      <c r="H502">
        <f t="shared" si="132"/>
        <v>0</v>
      </c>
      <c r="I502">
        <f t="shared" si="139"/>
        <v>0</v>
      </c>
      <c r="J502">
        <f t="shared" si="133"/>
        <v>4588</v>
      </c>
      <c r="K502">
        <f t="shared" si="134"/>
        <v>1</v>
      </c>
      <c r="L502">
        <f t="shared" si="135"/>
        <v>16</v>
      </c>
      <c r="M502">
        <f t="shared" si="136"/>
        <v>28</v>
      </c>
      <c r="N502">
        <f t="shared" si="146"/>
        <v>0</v>
      </c>
      <c r="O502">
        <f t="shared" si="146"/>
        <v>1</v>
      </c>
      <c r="P502">
        <f t="shared" si="146"/>
        <v>15</v>
      </c>
      <c r="Q502">
        <f t="shared" si="141"/>
        <v>75</v>
      </c>
      <c r="R502">
        <f t="shared" si="142"/>
        <v>0</v>
      </c>
      <c r="S502">
        <f t="shared" si="143"/>
        <v>1</v>
      </c>
      <c r="T502">
        <f t="shared" si="144"/>
        <v>15</v>
      </c>
      <c r="U502">
        <f t="shared" si="145"/>
        <v>75</v>
      </c>
    </row>
    <row r="503" spans="2:21" hidden="1" x14ac:dyDescent="0.25">
      <c r="B503" t="b">
        <f t="shared" si="130"/>
        <v>0</v>
      </c>
      <c r="C503" t="b">
        <f t="shared" si="140"/>
        <v>0</v>
      </c>
      <c r="D503">
        <f t="shared" si="137"/>
        <v>1</v>
      </c>
      <c r="E503" t="str">
        <f t="shared" si="138"/>
        <v>6. Conclusion</v>
      </c>
      <c r="F503" s="8" t="str">
        <f t="shared" si="147"/>
        <v/>
      </c>
      <c r="G503" t="str">
        <f t="shared" si="131"/>
        <v/>
      </c>
      <c r="H503">
        <f t="shared" si="132"/>
        <v>0</v>
      </c>
      <c r="I503">
        <f t="shared" si="139"/>
        <v>0</v>
      </c>
      <c r="J503">
        <f t="shared" si="133"/>
        <v>4588</v>
      </c>
      <c r="K503">
        <f t="shared" si="134"/>
        <v>1</v>
      </c>
      <c r="L503">
        <f t="shared" si="135"/>
        <v>16</v>
      </c>
      <c r="M503">
        <f t="shared" si="136"/>
        <v>28</v>
      </c>
      <c r="N503">
        <f t="shared" si="146"/>
        <v>0</v>
      </c>
      <c r="O503">
        <f t="shared" si="146"/>
        <v>1</v>
      </c>
      <c r="P503">
        <f t="shared" si="146"/>
        <v>15</v>
      </c>
      <c r="Q503">
        <f t="shared" si="141"/>
        <v>75</v>
      </c>
      <c r="R503">
        <f t="shared" si="142"/>
        <v>0</v>
      </c>
      <c r="S503">
        <f t="shared" si="143"/>
        <v>1</v>
      </c>
      <c r="T503">
        <f t="shared" si="144"/>
        <v>15</v>
      </c>
      <c r="U503">
        <f t="shared" si="145"/>
        <v>75</v>
      </c>
    </row>
    <row r="504" spans="2:21" hidden="1" x14ac:dyDescent="0.25">
      <c r="B504" t="b">
        <f t="shared" si="130"/>
        <v>0</v>
      </c>
      <c r="C504" t="b">
        <f t="shared" si="140"/>
        <v>0</v>
      </c>
      <c r="D504">
        <f t="shared" si="137"/>
        <v>1</v>
      </c>
      <c r="E504" t="str">
        <f t="shared" si="138"/>
        <v>6. Conclusion</v>
      </c>
      <c r="F504" s="8" t="str">
        <f t="shared" si="147"/>
        <v/>
      </c>
      <c r="G504" t="str">
        <f t="shared" si="131"/>
        <v/>
      </c>
      <c r="H504">
        <f t="shared" si="132"/>
        <v>0</v>
      </c>
      <c r="I504">
        <f t="shared" si="139"/>
        <v>0</v>
      </c>
      <c r="J504">
        <f t="shared" si="133"/>
        <v>4588</v>
      </c>
      <c r="K504">
        <f t="shared" si="134"/>
        <v>1</v>
      </c>
      <c r="L504">
        <f t="shared" si="135"/>
        <v>16</v>
      </c>
      <c r="M504">
        <f t="shared" si="136"/>
        <v>28</v>
      </c>
      <c r="N504">
        <f t="shared" si="146"/>
        <v>0</v>
      </c>
      <c r="O504">
        <f t="shared" si="146"/>
        <v>1</v>
      </c>
      <c r="P504">
        <f t="shared" si="146"/>
        <v>15</v>
      </c>
      <c r="Q504">
        <f t="shared" si="141"/>
        <v>75</v>
      </c>
      <c r="R504">
        <f t="shared" si="142"/>
        <v>0</v>
      </c>
      <c r="S504">
        <f t="shared" si="143"/>
        <v>1</v>
      </c>
      <c r="T504">
        <f t="shared" si="144"/>
        <v>15</v>
      </c>
      <c r="U504">
        <f t="shared" si="145"/>
        <v>75</v>
      </c>
    </row>
    <row r="505" spans="2:21" hidden="1" x14ac:dyDescent="0.25">
      <c r="B505" t="b">
        <f t="shared" si="130"/>
        <v>0</v>
      </c>
      <c r="C505" t="b">
        <f t="shared" si="140"/>
        <v>0</v>
      </c>
      <c r="D505">
        <f t="shared" si="137"/>
        <v>1</v>
      </c>
      <c r="E505" t="str">
        <f t="shared" si="138"/>
        <v>6. Conclusion</v>
      </c>
      <c r="F505" s="8" t="str">
        <f t="shared" si="147"/>
        <v/>
      </c>
      <c r="G505" t="str">
        <f t="shared" si="131"/>
        <v/>
      </c>
      <c r="H505">
        <f t="shared" si="132"/>
        <v>0</v>
      </c>
      <c r="I505">
        <f t="shared" si="139"/>
        <v>0</v>
      </c>
      <c r="J505">
        <f t="shared" si="133"/>
        <v>4588</v>
      </c>
      <c r="K505">
        <f t="shared" si="134"/>
        <v>1</v>
      </c>
      <c r="L505">
        <f t="shared" si="135"/>
        <v>16</v>
      </c>
      <c r="M505">
        <f t="shared" si="136"/>
        <v>28</v>
      </c>
      <c r="N505">
        <f t="shared" si="146"/>
        <v>0</v>
      </c>
      <c r="O505">
        <f t="shared" si="146"/>
        <v>1</v>
      </c>
      <c r="P505">
        <f t="shared" si="146"/>
        <v>15</v>
      </c>
      <c r="Q505">
        <f t="shared" si="141"/>
        <v>75</v>
      </c>
      <c r="R505">
        <f t="shared" si="142"/>
        <v>0</v>
      </c>
      <c r="S505">
        <f t="shared" si="143"/>
        <v>1</v>
      </c>
      <c r="T505">
        <f t="shared" si="144"/>
        <v>15</v>
      </c>
      <c r="U505">
        <f t="shared" si="145"/>
        <v>75</v>
      </c>
    </row>
    <row r="506" spans="2:21" hidden="1" x14ac:dyDescent="0.25">
      <c r="B506" t="b">
        <f t="shared" si="130"/>
        <v>0</v>
      </c>
      <c r="C506" t="b">
        <f t="shared" si="140"/>
        <v>0</v>
      </c>
      <c r="D506">
        <f t="shared" si="137"/>
        <v>1</v>
      </c>
      <c r="E506" t="str">
        <f t="shared" si="138"/>
        <v>6. Conclusion</v>
      </c>
      <c r="F506" s="8" t="str">
        <f t="shared" si="147"/>
        <v/>
      </c>
      <c r="G506" t="str">
        <f t="shared" si="131"/>
        <v/>
      </c>
      <c r="H506">
        <f t="shared" si="132"/>
        <v>0</v>
      </c>
      <c r="I506">
        <f t="shared" si="139"/>
        <v>0</v>
      </c>
      <c r="J506">
        <f t="shared" si="133"/>
        <v>4588</v>
      </c>
      <c r="K506">
        <f t="shared" si="134"/>
        <v>1</v>
      </c>
      <c r="L506">
        <f t="shared" si="135"/>
        <v>16</v>
      </c>
      <c r="M506">
        <f t="shared" si="136"/>
        <v>28</v>
      </c>
      <c r="N506">
        <f t="shared" si="146"/>
        <v>0</v>
      </c>
      <c r="O506">
        <f t="shared" si="146"/>
        <v>1</v>
      </c>
      <c r="P506">
        <f t="shared" si="146"/>
        <v>15</v>
      </c>
      <c r="Q506">
        <f t="shared" si="141"/>
        <v>75</v>
      </c>
      <c r="R506">
        <f t="shared" si="142"/>
        <v>0</v>
      </c>
      <c r="S506">
        <f t="shared" si="143"/>
        <v>1</v>
      </c>
      <c r="T506">
        <f t="shared" si="144"/>
        <v>15</v>
      </c>
      <c r="U506">
        <f t="shared" si="145"/>
        <v>75</v>
      </c>
    </row>
    <row r="507" spans="2:21" hidden="1" x14ac:dyDescent="0.25">
      <c r="B507" t="b">
        <f t="shared" si="130"/>
        <v>0</v>
      </c>
      <c r="C507" t="b">
        <f t="shared" si="140"/>
        <v>0</v>
      </c>
      <c r="D507">
        <f t="shared" si="137"/>
        <v>1</v>
      </c>
      <c r="E507" t="str">
        <f t="shared" si="138"/>
        <v>6. Conclusion</v>
      </c>
      <c r="F507" s="8" t="str">
        <f t="shared" si="147"/>
        <v/>
      </c>
      <c r="G507" t="str">
        <f t="shared" si="131"/>
        <v/>
      </c>
      <c r="H507">
        <f t="shared" si="132"/>
        <v>0</v>
      </c>
      <c r="I507">
        <f t="shared" si="139"/>
        <v>0</v>
      </c>
      <c r="J507">
        <f t="shared" si="133"/>
        <v>4588</v>
      </c>
      <c r="K507">
        <f t="shared" si="134"/>
        <v>1</v>
      </c>
      <c r="L507">
        <f t="shared" si="135"/>
        <v>16</v>
      </c>
      <c r="M507">
        <f t="shared" si="136"/>
        <v>28</v>
      </c>
      <c r="N507">
        <f t="shared" si="146"/>
        <v>0</v>
      </c>
      <c r="O507">
        <f t="shared" si="146"/>
        <v>1</v>
      </c>
      <c r="P507">
        <f t="shared" si="146"/>
        <v>15</v>
      </c>
      <c r="Q507">
        <f t="shared" si="141"/>
        <v>75</v>
      </c>
      <c r="R507">
        <f t="shared" si="142"/>
        <v>0</v>
      </c>
      <c r="S507">
        <f t="shared" si="143"/>
        <v>1</v>
      </c>
      <c r="T507">
        <f t="shared" si="144"/>
        <v>15</v>
      </c>
      <c r="U507">
        <f t="shared" si="145"/>
        <v>75</v>
      </c>
    </row>
    <row r="508" spans="2:21" hidden="1" x14ac:dyDescent="0.25">
      <c r="B508" t="b">
        <f t="shared" si="130"/>
        <v>0</v>
      </c>
      <c r="C508" t="b">
        <f t="shared" si="140"/>
        <v>0</v>
      </c>
      <c r="D508">
        <f t="shared" si="137"/>
        <v>1</v>
      </c>
      <c r="E508" t="str">
        <f t="shared" si="138"/>
        <v>6. Conclusion</v>
      </c>
      <c r="F508" s="8" t="str">
        <f t="shared" si="147"/>
        <v/>
      </c>
      <c r="G508" t="str">
        <f t="shared" si="131"/>
        <v/>
      </c>
      <c r="H508">
        <f t="shared" si="132"/>
        <v>0</v>
      </c>
      <c r="I508">
        <f t="shared" si="139"/>
        <v>0</v>
      </c>
      <c r="J508">
        <f t="shared" si="133"/>
        <v>4588</v>
      </c>
      <c r="K508">
        <f t="shared" si="134"/>
        <v>1</v>
      </c>
      <c r="L508">
        <f t="shared" si="135"/>
        <v>16</v>
      </c>
      <c r="M508">
        <f t="shared" si="136"/>
        <v>28</v>
      </c>
      <c r="N508">
        <f t="shared" si="146"/>
        <v>0</v>
      </c>
      <c r="O508">
        <f t="shared" si="146"/>
        <v>1</v>
      </c>
      <c r="P508">
        <f t="shared" si="146"/>
        <v>15</v>
      </c>
      <c r="Q508">
        <f t="shared" si="141"/>
        <v>75</v>
      </c>
      <c r="R508">
        <f t="shared" si="142"/>
        <v>0</v>
      </c>
      <c r="S508">
        <f t="shared" si="143"/>
        <v>1</v>
      </c>
      <c r="T508">
        <f t="shared" si="144"/>
        <v>15</v>
      </c>
      <c r="U508">
        <f t="shared" si="145"/>
        <v>75</v>
      </c>
    </row>
    <row r="509" spans="2:21" hidden="1" x14ac:dyDescent="0.25">
      <c r="B509" t="b">
        <f t="shared" si="130"/>
        <v>0</v>
      </c>
      <c r="C509" t="b">
        <f t="shared" si="140"/>
        <v>0</v>
      </c>
      <c r="D509">
        <f t="shared" si="137"/>
        <v>1</v>
      </c>
      <c r="E509" t="str">
        <f t="shared" si="138"/>
        <v>6. Conclusion</v>
      </c>
      <c r="F509" s="8" t="str">
        <f t="shared" si="147"/>
        <v/>
      </c>
      <c r="G509" t="str">
        <f t="shared" si="131"/>
        <v/>
      </c>
      <c r="H509">
        <f t="shared" si="132"/>
        <v>0</v>
      </c>
      <c r="I509">
        <f t="shared" si="139"/>
        <v>0</v>
      </c>
      <c r="J509">
        <f t="shared" si="133"/>
        <v>4588</v>
      </c>
      <c r="K509">
        <f t="shared" si="134"/>
        <v>1</v>
      </c>
      <c r="L509">
        <f t="shared" si="135"/>
        <v>16</v>
      </c>
      <c r="M509">
        <f t="shared" si="136"/>
        <v>28</v>
      </c>
      <c r="N509">
        <f t="shared" si="146"/>
        <v>0</v>
      </c>
      <c r="O509">
        <f t="shared" si="146"/>
        <v>1</v>
      </c>
      <c r="P509">
        <f t="shared" si="146"/>
        <v>15</v>
      </c>
      <c r="Q509">
        <f t="shared" si="141"/>
        <v>75</v>
      </c>
      <c r="R509">
        <f t="shared" si="142"/>
        <v>0</v>
      </c>
      <c r="S509">
        <f t="shared" si="143"/>
        <v>1</v>
      </c>
      <c r="T509">
        <f t="shared" si="144"/>
        <v>15</v>
      </c>
      <c r="U509">
        <f t="shared" si="145"/>
        <v>75</v>
      </c>
    </row>
    <row r="510" spans="2:21" hidden="1" x14ac:dyDescent="0.25">
      <c r="B510" t="b">
        <f t="shared" si="130"/>
        <v>0</v>
      </c>
      <c r="C510" t="b">
        <f t="shared" si="140"/>
        <v>0</v>
      </c>
      <c r="D510">
        <f t="shared" si="137"/>
        <v>1</v>
      </c>
      <c r="E510" t="str">
        <f t="shared" si="138"/>
        <v>6. Conclusion</v>
      </c>
      <c r="F510" s="8" t="str">
        <f t="shared" si="147"/>
        <v/>
      </c>
      <c r="G510" t="str">
        <f t="shared" si="131"/>
        <v/>
      </c>
      <c r="H510">
        <f t="shared" si="132"/>
        <v>0</v>
      </c>
      <c r="I510">
        <f t="shared" si="139"/>
        <v>0</v>
      </c>
      <c r="J510">
        <f t="shared" si="133"/>
        <v>4588</v>
      </c>
      <c r="K510">
        <f t="shared" si="134"/>
        <v>1</v>
      </c>
      <c r="L510">
        <f t="shared" si="135"/>
        <v>16</v>
      </c>
      <c r="M510">
        <f t="shared" si="136"/>
        <v>28</v>
      </c>
      <c r="N510">
        <f t="shared" si="146"/>
        <v>0</v>
      </c>
      <c r="O510">
        <f t="shared" si="146"/>
        <v>1</v>
      </c>
      <c r="P510">
        <f t="shared" si="146"/>
        <v>15</v>
      </c>
      <c r="Q510">
        <f t="shared" si="141"/>
        <v>75</v>
      </c>
      <c r="R510">
        <f t="shared" si="142"/>
        <v>0</v>
      </c>
      <c r="S510">
        <f t="shared" si="143"/>
        <v>1</v>
      </c>
      <c r="T510">
        <f t="shared" si="144"/>
        <v>15</v>
      </c>
      <c r="U510">
        <f t="shared" si="145"/>
        <v>75</v>
      </c>
    </row>
    <row r="511" spans="2:21" hidden="1" x14ac:dyDescent="0.25">
      <c r="B511" t="b">
        <f t="shared" si="130"/>
        <v>0</v>
      </c>
      <c r="C511" t="b">
        <f t="shared" si="140"/>
        <v>0</v>
      </c>
      <c r="D511">
        <f t="shared" si="137"/>
        <v>1</v>
      </c>
      <c r="E511" t="str">
        <f t="shared" si="138"/>
        <v>6. Conclusion</v>
      </c>
      <c r="F511" s="8" t="str">
        <f t="shared" si="147"/>
        <v/>
      </c>
      <c r="G511" t="str">
        <f t="shared" si="131"/>
        <v/>
      </c>
      <c r="H511">
        <f t="shared" si="132"/>
        <v>0</v>
      </c>
      <c r="I511">
        <f t="shared" si="139"/>
        <v>0</v>
      </c>
      <c r="J511">
        <f t="shared" si="133"/>
        <v>4588</v>
      </c>
      <c r="K511">
        <f t="shared" si="134"/>
        <v>1</v>
      </c>
      <c r="L511">
        <f t="shared" si="135"/>
        <v>16</v>
      </c>
      <c r="M511">
        <f t="shared" si="136"/>
        <v>28</v>
      </c>
      <c r="N511">
        <f t="shared" si="146"/>
        <v>0</v>
      </c>
      <c r="O511">
        <f t="shared" si="146"/>
        <v>1</v>
      </c>
      <c r="P511">
        <f t="shared" si="146"/>
        <v>15</v>
      </c>
      <c r="Q511">
        <f t="shared" si="141"/>
        <v>75</v>
      </c>
      <c r="R511">
        <f t="shared" si="142"/>
        <v>0</v>
      </c>
      <c r="S511">
        <f t="shared" si="143"/>
        <v>1</v>
      </c>
      <c r="T511">
        <f t="shared" si="144"/>
        <v>15</v>
      </c>
      <c r="U511">
        <f t="shared" si="145"/>
        <v>75</v>
      </c>
    </row>
    <row r="512" spans="2:21" hidden="1" x14ac:dyDescent="0.25">
      <c r="B512" t="b">
        <f t="shared" si="130"/>
        <v>0</v>
      </c>
      <c r="C512" t="b">
        <f t="shared" si="140"/>
        <v>0</v>
      </c>
      <c r="D512">
        <f t="shared" si="137"/>
        <v>1</v>
      </c>
      <c r="E512" t="str">
        <f t="shared" si="138"/>
        <v>6. Conclusion</v>
      </c>
      <c r="F512" s="8" t="str">
        <f t="shared" si="147"/>
        <v/>
      </c>
      <c r="G512" t="str">
        <f t="shared" si="131"/>
        <v/>
      </c>
      <c r="H512">
        <f t="shared" si="132"/>
        <v>0</v>
      </c>
      <c r="I512">
        <f t="shared" si="139"/>
        <v>0</v>
      </c>
      <c r="J512">
        <f t="shared" si="133"/>
        <v>4588</v>
      </c>
      <c r="K512">
        <f t="shared" si="134"/>
        <v>1</v>
      </c>
      <c r="L512">
        <f t="shared" si="135"/>
        <v>16</v>
      </c>
      <c r="M512">
        <f t="shared" si="136"/>
        <v>28</v>
      </c>
      <c r="N512">
        <f t="shared" si="146"/>
        <v>0</v>
      </c>
      <c r="O512">
        <f t="shared" si="146"/>
        <v>1</v>
      </c>
      <c r="P512">
        <f t="shared" si="146"/>
        <v>15</v>
      </c>
      <c r="Q512">
        <f t="shared" si="141"/>
        <v>75</v>
      </c>
      <c r="R512">
        <f t="shared" si="142"/>
        <v>0</v>
      </c>
      <c r="S512">
        <f t="shared" si="143"/>
        <v>1</v>
      </c>
      <c r="T512">
        <f t="shared" si="144"/>
        <v>15</v>
      </c>
      <c r="U512">
        <f t="shared" si="145"/>
        <v>75</v>
      </c>
    </row>
    <row r="513" spans="2:21" hidden="1" x14ac:dyDescent="0.25">
      <c r="B513" t="b">
        <f t="shared" si="130"/>
        <v>0</v>
      </c>
      <c r="C513" t="b">
        <f t="shared" si="140"/>
        <v>0</v>
      </c>
      <c r="D513">
        <f t="shared" si="137"/>
        <v>1</v>
      </c>
      <c r="E513" t="str">
        <f t="shared" si="138"/>
        <v>6. Conclusion</v>
      </c>
      <c r="F513" s="8" t="str">
        <f t="shared" si="147"/>
        <v/>
      </c>
      <c r="G513" t="str">
        <f t="shared" si="131"/>
        <v/>
      </c>
      <c r="H513">
        <f t="shared" si="132"/>
        <v>0</v>
      </c>
      <c r="I513">
        <f t="shared" si="139"/>
        <v>0</v>
      </c>
      <c r="J513">
        <f t="shared" si="133"/>
        <v>4588</v>
      </c>
      <c r="K513">
        <f t="shared" si="134"/>
        <v>1</v>
      </c>
      <c r="L513">
        <f t="shared" si="135"/>
        <v>16</v>
      </c>
      <c r="M513">
        <f t="shared" si="136"/>
        <v>28</v>
      </c>
      <c r="N513">
        <f t="shared" si="146"/>
        <v>0</v>
      </c>
      <c r="O513">
        <f t="shared" si="146"/>
        <v>1</v>
      </c>
      <c r="P513">
        <f t="shared" si="146"/>
        <v>15</v>
      </c>
      <c r="Q513">
        <f t="shared" si="141"/>
        <v>75</v>
      </c>
      <c r="R513">
        <f t="shared" si="142"/>
        <v>0</v>
      </c>
      <c r="S513">
        <f t="shared" si="143"/>
        <v>1</v>
      </c>
      <c r="T513">
        <f t="shared" si="144"/>
        <v>15</v>
      </c>
      <c r="U513">
        <f t="shared" si="145"/>
        <v>75</v>
      </c>
    </row>
    <row r="514" spans="2:21" hidden="1" x14ac:dyDescent="0.25">
      <c r="B514" t="b">
        <f t="shared" si="130"/>
        <v>0</v>
      </c>
      <c r="C514" t="b">
        <f t="shared" si="140"/>
        <v>0</v>
      </c>
      <c r="D514">
        <f t="shared" si="137"/>
        <v>1</v>
      </c>
      <c r="E514" t="str">
        <f t="shared" si="138"/>
        <v>6. Conclusion</v>
      </c>
      <c r="F514" s="8" t="str">
        <f t="shared" si="147"/>
        <v/>
      </c>
      <c r="G514" t="str">
        <f t="shared" si="131"/>
        <v/>
      </c>
      <c r="H514">
        <f t="shared" si="132"/>
        <v>0</v>
      </c>
      <c r="I514">
        <f t="shared" si="139"/>
        <v>0</v>
      </c>
      <c r="J514">
        <f t="shared" si="133"/>
        <v>4588</v>
      </c>
      <c r="K514">
        <f t="shared" si="134"/>
        <v>1</v>
      </c>
      <c r="L514">
        <f t="shared" si="135"/>
        <v>16</v>
      </c>
      <c r="M514">
        <f t="shared" si="136"/>
        <v>28</v>
      </c>
      <c r="N514">
        <f t="shared" si="146"/>
        <v>0</v>
      </c>
      <c r="O514">
        <f t="shared" si="146"/>
        <v>1</v>
      </c>
      <c r="P514">
        <f t="shared" si="146"/>
        <v>15</v>
      </c>
      <c r="Q514">
        <f t="shared" si="141"/>
        <v>75</v>
      </c>
      <c r="R514">
        <f t="shared" si="142"/>
        <v>0</v>
      </c>
      <c r="S514">
        <f t="shared" si="143"/>
        <v>1</v>
      </c>
      <c r="T514">
        <f t="shared" si="144"/>
        <v>15</v>
      </c>
      <c r="U514">
        <f t="shared" si="145"/>
        <v>75</v>
      </c>
    </row>
    <row r="515" spans="2:21" hidden="1" x14ac:dyDescent="0.25">
      <c r="B515" t="b">
        <f t="shared" si="130"/>
        <v>0</v>
      </c>
      <c r="C515" t="b">
        <f t="shared" si="140"/>
        <v>0</v>
      </c>
      <c r="D515">
        <f t="shared" si="137"/>
        <v>1</v>
      </c>
      <c r="E515" t="str">
        <f t="shared" si="138"/>
        <v>6. Conclusion</v>
      </c>
      <c r="F515" s="8" t="str">
        <f t="shared" si="147"/>
        <v/>
      </c>
      <c r="G515" t="str">
        <f t="shared" si="131"/>
        <v/>
      </c>
      <c r="H515">
        <f t="shared" si="132"/>
        <v>0</v>
      </c>
      <c r="I515">
        <f t="shared" si="139"/>
        <v>0</v>
      </c>
      <c r="J515">
        <f t="shared" si="133"/>
        <v>4588</v>
      </c>
      <c r="K515">
        <f t="shared" si="134"/>
        <v>1</v>
      </c>
      <c r="L515">
        <f t="shared" si="135"/>
        <v>16</v>
      </c>
      <c r="M515">
        <f t="shared" si="136"/>
        <v>28</v>
      </c>
      <c r="N515">
        <f t="shared" si="146"/>
        <v>0</v>
      </c>
      <c r="O515">
        <f t="shared" si="146"/>
        <v>1</v>
      </c>
      <c r="P515">
        <f t="shared" si="146"/>
        <v>15</v>
      </c>
      <c r="Q515">
        <f t="shared" si="141"/>
        <v>75</v>
      </c>
      <c r="R515">
        <f t="shared" si="142"/>
        <v>0</v>
      </c>
      <c r="S515">
        <f t="shared" si="143"/>
        <v>1</v>
      </c>
      <c r="T515">
        <f t="shared" si="144"/>
        <v>15</v>
      </c>
      <c r="U515">
        <f t="shared" si="145"/>
        <v>75</v>
      </c>
    </row>
    <row r="516" spans="2:21" hidden="1" x14ac:dyDescent="0.25">
      <c r="B516" t="b">
        <f t="shared" si="130"/>
        <v>0</v>
      </c>
      <c r="C516" t="b">
        <f t="shared" si="140"/>
        <v>0</v>
      </c>
      <c r="D516">
        <f t="shared" si="137"/>
        <v>1</v>
      </c>
      <c r="E516" t="str">
        <f t="shared" si="138"/>
        <v>6. Conclusion</v>
      </c>
      <c r="F516" s="8" t="str">
        <f t="shared" si="147"/>
        <v/>
      </c>
      <c r="G516" t="str">
        <f t="shared" si="131"/>
        <v/>
      </c>
      <c r="H516">
        <f t="shared" si="132"/>
        <v>0</v>
      </c>
      <c r="I516">
        <f t="shared" si="139"/>
        <v>0</v>
      </c>
      <c r="J516">
        <f t="shared" si="133"/>
        <v>4588</v>
      </c>
      <c r="K516">
        <f t="shared" si="134"/>
        <v>1</v>
      </c>
      <c r="L516">
        <f t="shared" si="135"/>
        <v>16</v>
      </c>
      <c r="M516">
        <f t="shared" si="136"/>
        <v>28</v>
      </c>
      <c r="N516">
        <f t="shared" si="146"/>
        <v>0</v>
      </c>
      <c r="O516">
        <f t="shared" si="146"/>
        <v>1</v>
      </c>
      <c r="P516">
        <f t="shared" si="146"/>
        <v>15</v>
      </c>
      <c r="Q516">
        <f t="shared" si="141"/>
        <v>75</v>
      </c>
      <c r="R516">
        <f t="shared" si="142"/>
        <v>0</v>
      </c>
      <c r="S516">
        <f t="shared" si="143"/>
        <v>1</v>
      </c>
      <c r="T516">
        <f t="shared" si="144"/>
        <v>15</v>
      </c>
      <c r="U516">
        <f t="shared" si="145"/>
        <v>75</v>
      </c>
    </row>
    <row r="517" spans="2:21" hidden="1" x14ac:dyDescent="0.25">
      <c r="B517" t="b">
        <f t="shared" si="130"/>
        <v>0</v>
      </c>
      <c r="C517" t="b">
        <f t="shared" si="140"/>
        <v>0</v>
      </c>
      <c r="D517">
        <f t="shared" si="137"/>
        <v>1</v>
      </c>
      <c r="E517" t="str">
        <f t="shared" si="138"/>
        <v>6. Conclusion</v>
      </c>
      <c r="F517" s="8" t="str">
        <f t="shared" si="147"/>
        <v/>
      </c>
      <c r="G517" t="str">
        <f t="shared" si="131"/>
        <v/>
      </c>
      <c r="H517">
        <f t="shared" si="132"/>
        <v>0</v>
      </c>
      <c r="I517">
        <f t="shared" si="139"/>
        <v>0</v>
      </c>
      <c r="J517">
        <f t="shared" si="133"/>
        <v>4588</v>
      </c>
      <c r="K517">
        <f t="shared" si="134"/>
        <v>1</v>
      </c>
      <c r="L517">
        <f t="shared" si="135"/>
        <v>16</v>
      </c>
      <c r="M517">
        <f t="shared" si="136"/>
        <v>28</v>
      </c>
      <c r="N517">
        <f t="shared" si="146"/>
        <v>0</v>
      </c>
      <c r="O517">
        <f t="shared" si="146"/>
        <v>1</v>
      </c>
      <c r="P517">
        <f t="shared" si="146"/>
        <v>15</v>
      </c>
      <c r="Q517">
        <f t="shared" si="141"/>
        <v>75</v>
      </c>
      <c r="R517">
        <f t="shared" si="142"/>
        <v>0</v>
      </c>
      <c r="S517">
        <f t="shared" si="143"/>
        <v>1</v>
      </c>
      <c r="T517">
        <f t="shared" si="144"/>
        <v>15</v>
      </c>
      <c r="U517">
        <f t="shared" si="145"/>
        <v>75</v>
      </c>
    </row>
    <row r="518" spans="2:21" hidden="1" x14ac:dyDescent="0.25">
      <c r="B518" t="b">
        <f t="shared" si="130"/>
        <v>0</v>
      </c>
      <c r="C518" t="b">
        <f t="shared" si="140"/>
        <v>0</v>
      </c>
      <c r="D518">
        <f t="shared" si="137"/>
        <v>1</v>
      </c>
      <c r="E518" t="str">
        <f t="shared" si="138"/>
        <v>6. Conclusion</v>
      </c>
      <c r="F518" s="8" t="str">
        <f t="shared" si="147"/>
        <v/>
      </c>
      <c r="G518" t="str">
        <f t="shared" si="131"/>
        <v/>
      </c>
      <c r="H518">
        <f t="shared" si="132"/>
        <v>0</v>
      </c>
      <c r="I518">
        <f t="shared" si="139"/>
        <v>0</v>
      </c>
      <c r="J518">
        <f t="shared" si="133"/>
        <v>4588</v>
      </c>
      <c r="K518">
        <f t="shared" si="134"/>
        <v>1</v>
      </c>
      <c r="L518">
        <f t="shared" si="135"/>
        <v>16</v>
      </c>
      <c r="M518">
        <f t="shared" si="136"/>
        <v>28</v>
      </c>
      <c r="N518">
        <f t="shared" si="146"/>
        <v>0</v>
      </c>
      <c r="O518">
        <f t="shared" si="146"/>
        <v>1</v>
      </c>
      <c r="P518">
        <f t="shared" si="146"/>
        <v>15</v>
      </c>
      <c r="Q518">
        <f t="shared" si="141"/>
        <v>75</v>
      </c>
      <c r="R518">
        <f t="shared" si="142"/>
        <v>0</v>
      </c>
      <c r="S518">
        <f t="shared" si="143"/>
        <v>1</v>
      </c>
      <c r="T518">
        <f t="shared" si="144"/>
        <v>15</v>
      </c>
      <c r="U518">
        <f t="shared" si="145"/>
        <v>75</v>
      </c>
    </row>
    <row r="519" spans="2:21" hidden="1" x14ac:dyDescent="0.25">
      <c r="B519" t="b">
        <f t="shared" si="130"/>
        <v>0</v>
      </c>
      <c r="C519" t="b">
        <f t="shared" si="140"/>
        <v>0</v>
      </c>
      <c r="D519">
        <f t="shared" si="137"/>
        <v>1</v>
      </c>
      <c r="E519" t="str">
        <f t="shared" si="138"/>
        <v>6. Conclusion</v>
      </c>
      <c r="F519" s="8" t="str">
        <f t="shared" si="147"/>
        <v/>
      </c>
      <c r="G519" t="str">
        <f t="shared" si="131"/>
        <v/>
      </c>
      <c r="H519">
        <f t="shared" si="132"/>
        <v>0</v>
      </c>
      <c r="I519">
        <f t="shared" si="139"/>
        <v>0</v>
      </c>
      <c r="J519">
        <f t="shared" si="133"/>
        <v>4588</v>
      </c>
      <c r="K519">
        <f t="shared" si="134"/>
        <v>1</v>
      </c>
      <c r="L519">
        <f t="shared" si="135"/>
        <v>16</v>
      </c>
      <c r="M519">
        <f t="shared" si="136"/>
        <v>28</v>
      </c>
      <c r="N519">
        <f t="shared" si="146"/>
        <v>0</v>
      </c>
      <c r="O519">
        <f t="shared" si="146"/>
        <v>1</v>
      </c>
      <c r="P519">
        <f t="shared" si="146"/>
        <v>15</v>
      </c>
      <c r="Q519">
        <f t="shared" si="141"/>
        <v>75</v>
      </c>
      <c r="R519">
        <f t="shared" si="142"/>
        <v>0</v>
      </c>
      <c r="S519">
        <f t="shared" si="143"/>
        <v>1</v>
      </c>
      <c r="T519">
        <f t="shared" si="144"/>
        <v>15</v>
      </c>
      <c r="U519">
        <f t="shared" si="145"/>
        <v>75</v>
      </c>
    </row>
    <row r="520" spans="2:21" hidden="1" x14ac:dyDescent="0.25">
      <c r="B520" t="b">
        <f t="shared" si="130"/>
        <v>0</v>
      </c>
      <c r="C520" t="b">
        <f t="shared" si="140"/>
        <v>0</v>
      </c>
      <c r="D520">
        <f t="shared" si="137"/>
        <v>1</v>
      </c>
      <c r="E520" t="str">
        <f t="shared" si="138"/>
        <v>6. Conclusion</v>
      </c>
      <c r="F520" s="8" t="str">
        <f t="shared" si="147"/>
        <v/>
      </c>
      <c r="G520" t="str">
        <f t="shared" si="131"/>
        <v/>
      </c>
      <c r="H520">
        <f t="shared" si="132"/>
        <v>0</v>
      </c>
      <c r="I520">
        <f t="shared" si="139"/>
        <v>0</v>
      </c>
      <c r="J520">
        <f t="shared" si="133"/>
        <v>4588</v>
      </c>
      <c r="K520">
        <f t="shared" si="134"/>
        <v>1</v>
      </c>
      <c r="L520">
        <f t="shared" si="135"/>
        <v>16</v>
      </c>
      <c r="M520">
        <f t="shared" si="136"/>
        <v>28</v>
      </c>
      <c r="N520">
        <f t="shared" si="146"/>
        <v>0</v>
      </c>
      <c r="O520">
        <f t="shared" si="146"/>
        <v>1</v>
      </c>
      <c r="P520">
        <f t="shared" si="146"/>
        <v>15</v>
      </c>
      <c r="Q520">
        <f t="shared" si="141"/>
        <v>75</v>
      </c>
      <c r="R520">
        <f t="shared" si="142"/>
        <v>0</v>
      </c>
      <c r="S520">
        <f t="shared" si="143"/>
        <v>1</v>
      </c>
      <c r="T520">
        <f t="shared" si="144"/>
        <v>15</v>
      </c>
      <c r="U520">
        <f t="shared" si="145"/>
        <v>75</v>
      </c>
    </row>
    <row r="521" spans="2:21" hidden="1" x14ac:dyDescent="0.25">
      <c r="B521" t="b">
        <f t="shared" si="130"/>
        <v>0</v>
      </c>
      <c r="C521" t="b">
        <f t="shared" si="140"/>
        <v>0</v>
      </c>
      <c r="D521">
        <f t="shared" si="137"/>
        <v>1</v>
      </c>
      <c r="E521" t="str">
        <f t="shared" si="138"/>
        <v>6. Conclusion</v>
      </c>
      <c r="F521" s="8" t="str">
        <f t="shared" si="147"/>
        <v/>
      </c>
      <c r="G521" t="str">
        <f t="shared" si="131"/>
        <v/>
      </c>
      <c r="H521">
        <f t="shared" si="132"/>
        <v>0</v>
      </c>
      <c r="I521">
        <f t="shared" si="139"/>
        <v>0</v>
      </c>
      <c r="J521">
        <f t="shared" si="133"/>
        <v>4588</v>
      </c>
      <c r="K521">
        <f t="shared" si="134"/>
        <v>1</v>
      </c>
      <c r="L521">
        <f t="shared" si="135"/>
        <v>16</v>
      </c>
      <c r="M521">
        <f t="shared" si="136"/>
        <v>28</v>
      </c>
      <c r="N521">
        <f t="shared" si="146"/>
        <v>0</v>
      </c>
      <c r="O521">
        <f t="shared" si="146"/>
        <v>1</v>
      </c>
      <c r="P521">
        <f t="shared" si="146"/>
        <v>15</v>
      </c>
      <c r="Q521">
        <f t="shared" si="141"/>
        <v>75</v>
      </c>
      <c r="R521">
        <f t="shared" si="142"/>
        <v>0</v>
      </c>
      <c r="S521">
        <f t="shared" si="143"/>
        <v>1</v>
      </c>
      <c r="T521">
        <f t="shared" si="144"/>
        <v>15</v>
      </c>
      <c r="U521">
        <f t="shared" si="145"/>
        <v>75</v>
      </c>
    </row>
    <row r="522" spans="2:21" hidden="1" x14ac:dyDescent="0.25">
      <c r="B522" t="b">
        <f t="shared" ref="B522:B565" si="148">AND(NOT(ISERROR(FIND(". ",A522))),ISNUMBER(VALUE(LEFT(A522,FIND(". ",A522)-1))))</f>
        <v>0</v>
      </c>
      <c r="C522" t="b">
        <f t="shared" si="140"/>
        <v>0</v>
      </c>
      <c r="D522">
        <f t="shared" si="137"/>
        <v>1</v>
      </c>
      <c r="E522" t="str">
        <f t="shared" si="138"/>
        <v>6. Conclusion</v>
      </c>
      <c r="F522" s="8" t="str">
        <f t="shared" si="147"/>
        <v/>
      </c>
      <c r="G522" t="str">
        <f t="shared" ref="G522:G565" si="149">IF(C522,IF(ISERROR(FIND("s",A523)),LEFT(A523,FIND("m",A523)),LEFT(A523,FIND("s",A523))),"")</f>
        <v/>
      </c>
      <c r="H522">
        <f t="shared" ref="H522:H565" si="150">IF(OR(G522="",ISERROR(FIND("m",G522))),0,VALUE(LEFT(G522,FIND("m",G522)-1)))</f>
        <v>0</v>
      </c>
      <c r="I522">
        <f t="shared" si="139"/>
        <v>0</v>
      </c>
      <c r="J522">
        <f t="shared" ref="J522:J565" si="151">J521+(H522*60+I522)</f>
        <v>4588</v>
      </c>
      <c r="K522">
        <f t="shared" ref="K522:K565" si="152">INT(J522/60/60)</f>
        <v>1</v>
      </c>
      <c r="L522">
        <f t="shared" ref="L522:L565" si="153">INT((J522-(K522*60*60))/60)</f>
        <v>16</v>
      </c>
      <c r="M522">
        <f t="shared" ref="M522:M565" si="154">J522-(((K522*60)+L522)*60)</f>
        <v>28</v>
      </c>
      <c r="N522">
        <f t="shared" si="146"/>
        <v>0</v>
      </c>
      <c r="O522">
        <f t="shared" si="146"/>
        <v>1</v>
      </c>
      <c r="P522">
        <f t="shared" si="146"/>
        <v>15</v>
      </c>
      <c r="Q522">
        <f t="shared" si="141"/>
        <v>75</v>
      </c>
      <c r="R522">
        <f t="shared" si="142"/>
        <v>0</v>
      </c>
      <c r="S522">
        <f t="shared" si="143"/>
        <v>1</v>
      </c>
      <c r="T522">
        <f t="shared" si="144"/>
        <v>15</v>
      </c>
      <c r="U522">
        <f t="shared" si="145"/>
        <v>75</v>
      </c>
    </row>
    <row r="523" spans="2:21" hidden="1" x14ac:dyDescent="0.25">
      <c r="B523" t="b">
        <f t="shared" si="148"/>
        <v>0</v>
      </c>
      <c r="C523" t="b">
        <f t="shared" si="140"/>
        <v>0</v>
      </c>
      <c r="D523">
        <f t="shared" ref="D523:D565" si="155">IF(B523,0,IF(C523,D522+1,D522))</f>
        <v>1</v>
      </c>
      <c r="E523" t="str">
        <f t="shared" ref="E523:E565" si="156">IF(B523,A523,E522)</f>
        <v>6. Conclusion</v>
      </c>
      <c r="F523" s="8" t="str">
        <f t="shared" si="147"/>
        <v/>
      </c>
      <c r="G523" t="str">
        <f t="shared" si="149"/>
        <v/>
      </c>
      <c r="H523">
        <f t="shared" si="150"/>
        <v>0</v>
      </c>
      <c r="I523">
        <f t="shared" ref="I523:I565" si="157">IF(OR(G523="",ISERROR(FIND("s",G523))),0,VALUE(SUBSTITUTE(MID(G523,IF(ISERROR(FIND("m",G523)), 0,FIND("m",G523))+1,LEN(G523)),"s","")))</f>
        <v>0</v>
      </c>
      <c r="J523">
        <f t="shared" si="151"/>
        <v>4588</v>
      </c>
      <c r="K523">
        <f t="shared" si="152"/>
        <v>1</v>
      </c>
      <c r="L523">
        <f t="shared" si="153"/>
        <v>16</v>
      </c>
      <c r="M523">
        <f t="shared" si="154"/>
        <v>28</v>
      </c>
      <c r="N523">
        <f t="shared" si="146"/>
        <v>0</v>
      </c>
      <c r="O523">
        <f t="shared" si="146"/>
        <v>1</v>
      </c>
      <c r="P523">
        <f t="shared" si="146"/>
        <v>15</v>
      </c>
      <c r="Q523">
        <f t="shared" si="141"/>
        <v>75</v>
      </c>
      <c r="R523">
        <f t="shared" si="142"/>
        <v>0</v>
      </c>
      <c r="S523">
        <f t="shared" si="143"/>
        <v>1</v>
      </c>
      <c r="T523">
        <f t="shared" si="144"/>
        <v>15</v>
      </c>
      <c r="U523">
        <f t="shared" si="145"/>
        <v>75</v>
      </c>
    </row>
    <row r="524" spans="2:21" hidden="1" x14ac:dyDescent="0.25">
      <c r="B524" t="b">
        <f t="shared" si="148"/>
        <v>0</v>
      </c>
      <c r="C524" t="b">
        <f t="shared" si="140"/>
        <v>0</v>
      </c>
      <c r="D524">
        <f t="shared" si="155"/>
        <v>1</v>
      </c>
      <c r="E524" t="str">
        <f t="shared" si="156"/>
        <v>6. Conclusion</v>
      </c>
      <c r="F524" s="8" t="str">
        <f t="shared" si="147"/>
        <v/>
      </c>
      <c r="G524" t="str">
        <f t="shared" si="149"/>
        <v/>
      </c>
      <c r="H524">
        <f t="shared" si="150"/>
        <v>0</v>
      </c>
      <c r="I524">
        <f t="shared" si="157"/>
        <v>0</v>
      </c>
      <c r="J524">
        <f t="shared" si="151"/>
        <v>4588</v>
      </c>
      <c r="K524">
        <f t="shared" si="152"/>
        <v>1</v>
      </c>
      <c r="L524">
        <f t="shared" si="153"/>
        <v>16</v>
      </c>
      <c r="M524">
        <f t="shared" si="154"/>
        <v>28</v>
      </c>
      <c r="N524">
        <f t="shared" si="146"/>
        <v>0</v>
      </c>
      <c r="O524">
        <f t="shared" si="146"/>
        <v>1</v>
      </c>
      <c r="P524">
        <f t="shared" si="146"/>
        <v>15</v>
      </c>
      <c r="Q524">
        <f t="shared" si="141"/>
        <v>75</v>
      </c>
      <c r="R524">
        <f t="shared" si="142"/>
        <v>0</v>
      </c>
      <c r="S524">
        <f t="shared" si="143"/>
        <v>1</v>
      </c>
      <c r="T524">
        <f t="shared" si="144"/>
        <v>15</v>
      </c>
      <c r="U524">
        <f t="shared" si="145"/>
        <v>75</v>
      </c>
    </row>
    <row r="525" spans="2:21" hidden="1" x14ac:dyDescent="0.25">
      <c r="B525" t="b">
        <f t="shared" si="148"/>
        <v>0</v>
      </c>
      <c r="C525" t="b">
        <f t="shared" ref="C525:C565" si="158">OR(AND(NOT(ISERROR(FIND("m",A526))),ISNUMBER(VALUE(LEFT(A526,FIND("m",A526)-1)))),AND(NOT(ISERROR(FIND("s",A526))),ISNUMBER(VALUE(LEFT(A526,FIND("s",A526)-1)))))</f>
        <v>0</v>
      </c>
      <c r="D525">
        <f t="shared" si="155"/>
        <v>1</v>
      </c>
      <c r="E525" t="str">
        <f t="shared" si="156"/>
        <v>6. Conclusion</v>
      </c>
      <c r="F525" s="8" t="str">
        <f t="shared" si="147"/>
        <v/>
      </c>
      <c r="G525" t="str">
        <f t="shared" si="149"/>
        <v/>
      </c>
      <c r="H525">
        <f t="shared" si="150"/>
        <v>0</v>
      </c>
      <c r="I525">
        <f t="shared" si="157"/>
        <v>0</v>
      </c>
      <c r="J525">
        <f t="shared" si="151"/>
        <v>4588</v>
      </c>
      <c r="K525">
        <f t="shared" si="152"/>
        <v>1</v>
      </c>
      <c r="L525">
        <f t="shared" si="153"/>
        <v>16</v>
      </c>
      <c r="M525">
        <f t="shared" si="154"/>
        <v>28</v>
      </c>
      <c r="N525">
        <f t="shared" si="146"/>
        <v>0</v>
      </c>
      <c r="O525">
        <f t="shared" si="146"/>
        <v>1</v>
      </c>
      <c r="P525">
        <f t="shared" si="146"/>
        <v>15</v>
      </c>
      <c r="Q525">
        <f t="shared" ref="Q525:Q565" si="159">(((N525*60)+O525)*60)+P525</f>
        <v>75</v>
      </c>
      <c r="R525">
        <f t="shared" ref="R525:R565" si="160">INT(U525/60/60)</f>
        <v>0</v>
      </c>
      <c r="S525">
        <f t="shared" ref="S525:S565" si="161">INT((U525-(R525*60*60))/60)</f>
        <v>1</v>
      </c>
      <c r="T525">
        <f t="shared" ref="T525:T565" si="162">U525-(((R525*60)+S525)*60)</f>
        <v>15</v>
      </c>
      <c r="U525">
        <f t="shared" ref="U525:U565" si="163">((H525*60)+I525)+Q525</f>
        <v>75</v>
      </c>
    </row>
    <row r="526" spans="2:21" hidden="1" x14ac:dyDescent="0.25">
      <c r="B526" t="b">
        <f t="shared" si="148"/>
        <v>0</v>
      </c>
      <c r="C526" t="b">
        <f t="shared" si="158"/>
        <v>0</v>
      </c>
      <c r="D526">
        <f t="shared" si="155"/>
        <v>1</v>
      </c>
      <c r="E526" t="str">
        <f t="shared" si="156"/>
        <v>6. Conclusion</v>
      </c>
      <c r="F526" s="8" t="str">
        <f t="shared" si="147"/>
        <v/>
      </c>
      <c r="G526" t="str">
        <f t="shared" si="149"/>
        <v/>
      </c>
      <c r="H526">
        <f t="shared" si="150"/>
        <v>0</v>
      </c>
      <c r="I526">
        <f t="shared" si="157"/>
        <v>0</v>
      </c>
      <c r="J526">
        <f t="shared" si="151"/>
        <v>4588</v>
      </c>
      <c r="K526">
        <f t="shared" si="152"/>
        <v>1</v>
      </c>
      <c r="L526">
        <f t="shared" si="153"/>
        <v>16</v>
      </c>
      <c r="M526">
        <f t="shared" si="154"/>
        <v>28</v>
      </c>
      <c r="N526">
        <f t="shared" si="146"/>
        <v>0</v>
      </c>
      <c r="O526">
        <f t="shared" si="146"/>
        <v>1</v>
      </c>
      <c r="P526">
        <f t="shared" si="146"/>
        <v>15</v>
      </c>
      <c r="Q526">
        <f t="shared" si="159"/>
        <v>75</v>
      </c>
      <c r="R526">
        <f t="shared" si="160"/>
        <v>0</v>
      </c>
      <c r="S526">
        <f t="shared" si="161"/>
        <v>1</v>
      </c>
      <c r="T526">
        <f t="shared" si="162"/>
        <v>15</v>
      </c>
      <c r="U526">
        <f t="shared" si="163"/>
        <v>75</v>
      </c>
    </row>
    <row r="527" spans="2:21" hidden="1" x14ac:dyDescent="0.25">
      <c r="B527" t="b">
        <f t="shared" si="148"/>
        <v>0</v>
      </c>
      <c r="C527" t="b">
        <f t="shared" si="158"/>
        <v>0</v>
      </c>
      <c r="D527">
        <f t="shared" si="155"/>
        <v>1</v>
      </c>
      <c r="E527" t="str">
        <f t="shared" si="156"/>
        <v>6. Conclusion</v>
      </c>
      <c r="F527" s="8" t="str">
        <f t="shared" si="147"/>
        <v/>
      </c>
      <c r="G527" t="str">
        <f t="shared" si="149"/>
        <v/>
      </c>
      <c r="H527">
        <f t="shared" si="150"/>
        <v>0</v>
      </c>
      <c r="I527">
        <f t="shared" si="157"/>
        <v>0</v>
      </c>
      <c r="J527">
        <f t="shared" si="151"/>
        <v>4588</v>
      </c>
      <c r="K527">
        <f t="shared" si="152"/>
        <v>1</v>
      </c>
      <c r="L527">
        <f t="shared" si="153"/>
        <v>16</v>
      </c>
      <c r="M527">
        <f t="shared" si="154"/>
        <v>28</v>
      </c>
      <c r="N527">
        <f t="shared" si="146"/>
        <v>0</v>
      </c>
      <c r="O527">
        <f t="shared" si="146"/>
        <v>1</v>
      </c>
      <c r="P527">
        <f t="shared" si="146"/>
        <v>15</v>
      </c>
      <c r="Q527">
        <f t="shared" si="159"/>
        <v>75</v>
      </c>
      <c r="R527">
        <f t="shared" si="160"/>
        <v>0</v>
      </c>
      <c r="S527">
        <f t="shared" si="161"/>
        <v>1</v>
      </c>
      <c r="T527">
        <f t="shared" si="162"/>
        <v>15</v>
      </c>
      <c r="U527">
        <f t="shared" si="163"/>
        <v>75</v>
      </c>
    </row>
    <row r="528" spans="2:21" hidden="1" x14ac:dyDescent="0.25">
      <c r="B528" t="b">
        <f t="shared" si="148"/>
        <v>0</v>
      </c>
      <c r="C528" t="b">
        <f t="shared" si="158"/>
        <v>0</v>
      </c>
      <c r="D528">
        <f t="shared" si="155"/>
        <v>1</v>
      </c>
      <c r="E528" t="str">
        <f t="shared" si="156"/>
        <v>6. Conclusion</v>
      </c>
      <c r="F528" s="8" t="str">
        <f t="shared" si="147"/>
        <v/>
      </c>
      <c r="G528" t="str">
        <f t="shared" si="149"/>
        <v/>
      </c>
      <c r="H528">
        <f t="shared" si="150"/>
        <v>0</v>
      </c>
      <c r="I528">
        <f t="shared" si="157"/>
        <v>0</v>
      </c>
      <c r="J528">
        <f t="shared" si="151"/>
        <v>4588</v>
      </c>
      <c r="K528">
        <f t="shared" si="152"/>
        <v>1</v>
      </c>
      <c r="L528">
        <f t="shared" si="153"/>
        <v>16</v>
      </c>
      <c r="M528">
        <f t="shared" si="154"/>
        <v>28</v>
      </c>
      <c r="N528">
        <f t="shared" si="146"/>
        <v>0</v>
      </c>
      <c r="O528">
        <f t="shared" si="146"/>
        <v>1</v>
      </c>
      <c r="P528">
        <f t="shared" si="146"/>
        <v>15</v>
      </c>
      <c r="Q528">
        <f t="shared" si="159"/>
        <v>75</v>
      </c>
      <c r="R528">
        <f t="shared" si="160"/>
        <v>0</v>
      </c>
      <c r="S528">
        <f t="shared" si="161"/>
        <v>1</v>
      </c>
      <c r="T528">
        <f t="shared" si="162"/>
        <v>15</v>
      </c>
      <c r="U528">
        <f t="shared" si="163"/>
        <v>75</v>
      </c>
    </row>
    <row r="529" spans="2:21" hidden="1" x14ac:dyDescent="0.25">
      <c r="B529" t="b">
        <f t="shared" si="148"/>
        <v>0</v>
      </c>
      <c r="C529" t="b">
        <f t="shared" si="158"/>
        <v>0</v>
      </c>
      <c r="D529">
        <f t="shared" si="155"/>
        <v>1</v>
      </c>
      <c r="E529" t="str">
        <f t="shared" si="156"/>
        <v>6. Conclusion</v>
      </c>
      <c r="F529" s="8" t="str">
        <f t="shared" si="147"/>
        <v/>
      </c>
      <c r="G529" t="str">
        <f t="shared" si="149"/>
        <v/>
      </c>
      <c r="H529">
        <f t="shared" si="150"/>
        <v>0</v>
      </c>
      <c r="I529">
        <f t="shared" si="157"/>
        <v>0</v>
      </c>
      <c r="J529">
        <f t="shared" si="151"/>
        <v>4588</v>
      </c>
      <c r="K529">
        <f t="shared" si="152"/>
        <v>1</v>
      </c>
      <c r="L529">
        <f t="shared" si="153"/>
        <v>16</v>
      </c>
      <c r="M529">
        <f t="shared" si="154"/>
        <v>28</v>
      </c>
      <c r="N529">
        <f t="shared" si="146"/>
        <v>0</v>
      </c>
      <c r="O529">
        <f t="shared" si="146"/>
        <v>1</v>
      </c>
      <c r="P529">
        <f t="shared" si="146"/>
        <v>15</v>
      </c>
      <c r="Q529">
        <f t="shared" si="159"/>
        <v>75</v>
      </c>
      <c r="R529">
        <f t="shared" si="160"/>
        <v>0</v>
      </c>
      <c r="S529">
        <f t="shared" si="161"/>
        <v>1</v>
      </c>
      <c r="T529">
        <f t="shared" si="162"/>
        <v>15</v>
      </c>
      <c r="U529">
        <f t="shared" si="163"/>
        <v>75</v>
      </c>
    </row>
    <row r="530" spans="2:21" hidden="1" x14ac:dyDescent="0.25">
      <c r="B530" t="b">
        <f t="shared" si="148"/>
        <v>0</v>
      </c>
      <c r="C530" t="b">
        <f t="shared" si="158"/>
        <v>0</v>
      </c>
      <c r="D530">
        <f t="shared" si="155"/>
        <v>1</v>
      </c>
      <c r="E530" t="str">
        <f t="shared" si="156"/>
        <v>6. Conclusion</v>
      </c>
      <c r="F530" s="8" t="str">
        <f t="shared" si="147"/>
        <v/>
      </c>
      <c r="G530" t="str">
        <f t="shared" si="149"/>
        <v/>
      </c>
      <c r="H530">
        <f t="shared" si="150"/>
        <v>0</v>
      </c>
      <c r="I530">
        <f t="shared" si="157"/>
        <v>0</v>
      </c>
      <c r="J530">
        <f t="shared" si="151"/>
        <v>4588</v>
      </c>
      <c r="K530">
        <f t="shared" si="152"/>
        <v>1</v>
      </c>
      <c r="L530">
        <f t="shared" si="153"/>
        <v>16</v>
      </c>
      <c r="M530">
        <f t="shared" si="154"/>
        <v>28</v>
      </c>
      <c r="N530">
        <f t="shared" si="146"/>
        <v>0</v>
      </c>
      <c r="O530">
        <f t="shared" si="146"/>
        <v>1</v>
      </c>
      <c r="P530">
        <f t="shared" si="146"/>
        <v>15</v>
      </c>
      <c r="Q530">
        <f t="shared" si="159"/>
        <v>75</v>
      </c>
      <c r="R530">
        <f t="shared" si="160"/>
        <v>0</v>
      </c>
      <c r="S530">
        <f t="shared" si="161"/>
        <v>1</v>
      </c>
      <c r="T530">
        <f t="shared" si="162"/>
        <v>15</v>
      </c>
      <c r="U530">
        <f t="shared" si="163"/>
        <v>75</v>
      </c>
    </row>
    <row r="531" spans="2:21" hidden="1" x14ac:dyDescent="0.25">
      <c r="B531" t="b">
        <f t="shared" si="148"/>
        <v>0</v>
      </c>
      <c r="C531" t="b">
        <f t="shared" si="158"/>
        <v>0</v>
      </c>
      <c r="D531">
        <f t="shared" si="155"/>
        <v>1</v>
      </c>
      <c r="E531" t="str">
        <f t="shared" si="156"/>
        <v>6. Conclusion</v>
      </c>
      <c r="F531" s="8" t="str">
        <f t="shared" si="147"/>
        <v/>
      </c>
      <c r="G531" t="str">
        <f t="shared" si="149"/>
        <v/>
      </c>
      <c r="H531">
        <f t="shared" si="150"/>
        <v>0</v>
      </c>
      <c r="I531">
        <f t="shared" si="157"/>
        <v>0</v>
      </c>
      <c r="J531">
        <f t="shared" si="151"/>
        <v>4588</v>
      </c>
      <c r="K531">
        <f t="shared" si="152"/>
        <v>1</v>
      </c>
      <c r="L531">
        <f t="shared" si="153"/>
        <v>16</v>
      </c>
      <c r="M531">
        <f t="shared" si="154"/>
        <v>28</v>
      </c>
      <c r="N531">
        <f t="shared" si="146"/>
        <v>0</v>
      </c>
      <c r="O531">
        <f t="shared" si="146"/>
        <v>1</v>
      </c>
      <c r="P531">
        <f t="shared" si="146"/>
        <v>15</v>
      </c>
      <c r="Q531">
        <f t="shared" si="159"/>
        <v>75</v>
      </c>
      <c r="R531">
        <f t="shared" si="160"/>
        <v>0</v>
      </c>
      <c r="S531">
        <f t="shared" si="161"/>
        <v>1</v>
      </c>
      <c r="T531">
        <f t="shared" si="162"/>
        <v>15</v>
      </c>
      <c r="U531">
        <f t="shared" si="163"/>
        <v>75</v>
      </c>
    </row>
    <row r="532" spans="2:21" hidden="1" x14ac:dyDescent="0.25">
      <c r="B532" t="b">
        <f t="shared" si="148"/>
        <v>0</v>
      </c>
      <c r="C532" t="b">
        <f t="shared" si="158"/>
        <v>0</v>
      </c>
      <c r="D532">
        <f t="shared" si="155"/>
        <v>1</v>
      </c>
      <c r="E532" t="str">
        <f t="shared" si="156"/>
        <v>6. Conclusion</v>
      </c>
      <c r="F532" s="8" t="str">
        <f t="shared" si="147"/>
        <v/>
      </c>
      <c r="G532" t="str">
        <f t="shared" si="149"/>
        <v/>
      </c>
      <c r="H532">
        <f t="shared" si="150"/>
        <v>0</v>
      </c>
      <c r="I532">
        <f t="shared" si="157"/>
        <v>0</v>
      </c>
      <c r="J532">
        <f t="shared" si="151"/>
        <v>4588</v>
      </c>
      <c r="K532">
        <f t="shared" si="152"/>
        <v>1</v>
      </c>
      <c r="L532">
        <f t="shared" si="153"/>
        <v>16</v>
      </c>
      <c r="M532">
        <f t="shared" si="154"/>
        <v>28</v>
      </c>
      <c r="N532">
        <f t="shared" si="146"/>
        <v>0</v>
      </c>
      <c r="O532">
        <f t="shared" si="146"/>
        <v>1</v>
      </c>
      <c r="P532">
        <f t="shared" si="146"/>
        <v>15</v>
      </c>
      <c r="Q532">
        <f t="shared" si="159"/>
        <v>75</v>
      </c>
      <c r="R532">
        <f t="shared" si="160"/>
        <v>0</v>
      </c>
      <c r="S532">
        <f t="shared" si="161"/>
        <v>1</v>
      </c>
      <c r="T532">
        <f t="shared" si="162"/>
        <v>15</v>
      </c>
      <c r="U532">
        <f t="shared" si="163"/>
        <v>75</v>
      </c>
    </row>
    <row r="533" spans="2:21" hidden="1" x14ac:dyDescent="0.25">
      <c r="B533" t="b">
        <f t="shared" si="148"/>
        <v>0</v>
      </c>
      <c r="C533" t="b">
        <f t="shared" si="158"/>
        <v>0</v>
      </c>
      <c r="D533">
        <f t="shared" si="155"/>
        <v>1</v>
      </c>
      <c r="E533" t="str">
        <f t="shared" si="156"/>
        <v>6. Conclusion</v>
      </c>
      <c r="F533" s="8" t="str">
        <f t="shared" si="147"/>
        <v/>
      </c>
      <c r="G533" t="str">
        <f t="shared" si="149"/>
        <v/>
      </c>
      <c r="H533">
        <f t="shared" si="150"/>
        <v>0</v>
      </c>
      <c r="I533">
        <f t="shared" si="157"/>
        <v>0</v>
      </c>
      <c r="J533">
        <f t="shared" si="151"/>
        <v>4588</v>
      </c>
      <c r="K533">
        <f t="shared" si="152"/>
        <v>1</v>
      </c>
      <c r="L533">
        <f t="shared" si="153"/>
        <v>16</v>
      </c>
      <c r="M533">
        <f t="shared" si="154"/>
        <v>28</v>
      </c>
      <c r="N533">
        <f t="shared" si="146"/>
        <v>0</v>
      </c>
      <c r="O533">
        <f t="shared" si="146"/>
        <v>1</v>
      </c>
      <c r="P533">
        <f t="shared" si="146"/>
        <v>15</v>
      </c>
      <c r="Q533">
        <f t="shared" si="159"/>
        <v>75</v>
      </c>
      <c r="R533">
        <f t="shared" si="160"/>
        <v>0</v>
      </c>
      <c r="S533">
        <f t="shared" si="161"/>
        <v>1</v>
      </c>
      <c r="T533">
        <f t="shared" si="162"/>
        <v>15</v>
      </c>
      <c r="U533">
        <f t="shared" si="163"/>
        <v>75</v>
      </c>
    </row>
    <row r="534" spans="2:21" hidden="1" x14ac:dyDescent="0.25">
      <c r="B534" t="b">
        <f t="shared" si="148"/>
        <v>0</v>
      </c>
      <c r="C534" t="b">
        <f t="shared" si="158"/>
        <v>0</v>
      </c>
      <c r="D534">
        <f t="shared" si="155"/>
        <v>1</v>
      </c>
      <c r="E534" t="str">
        <f t="shared" si="156"/>
        <v>6. Conclusion</v>
      </c>
      <c r="F534" s="8" t="str">
        <f t="shared" si="147"/>
        <v/>
      </c>
      <c r="G534" t="str">
        <f t="shared" si="149"/>
        <v/>
      </c>
      <c r="H534">
        <f t="shared" si="150"/>
        <v>0</v>
      </c>
      <c r="I534">
        <f t="shared" si="157"/>
        <v>0</v>
      </c>
      <c r="J534">
        <f t="shared" si="151"/>
        <v>4588</v>
      </c>
      <c r="K534">
        <f t="shared" si="152"/>
        <v>1</v>
      </c>
      <c r="L534">
        <f t="shared" si="153"/>
        <v>16</v>
      </c>
      <c r="M534">
        <f t="shared" si="154"/>
        <v>28</v>
      </c>
      <c r="N534">
        <f t="shared" si="146"/>
        <v>0</v>
      </c>
      <c r="O534">
        <f t="shared" si="146"/>
        <v>1</v>
      </c>
      <c r="P534">
        <f t="shared" si="146"/>
        <v>15</v>
      </c>
      <c r="Q534">
        <f t="shared" si="159"/>
        <v>75</v>
      </c>
      <c r="R534">
        <f t="shared" si="160"/>
        <v>0</v>
      </c>
      <c r="S534">
        <f t="shared" si="161"/>
        <v>1</v>
      </c>
      <c r="T534">
        <f t="shared" si="162"/>
        <v>15</v>
      </c>
      <c r="U534">
        <f t="shared" si="163"/>
        <v>75</v>
      </c>
    </row>
    <row r="535" spans="2:21" hidden="1" x14ac:dyDescent="0.25">
      <c r="B535" t="b">
        <f t="shared" si="148"/>
        <v>0</v>
      </c>
      <c r="C535" t="b">
        <f t="shared" si="158"/>
        <v>0</v>
      </c>
      <c r="D535">
        <f t="shared" si="155"/>
        <v>1</v>
      </c>
      <c r="E535" t="str">
        <f t="shared" si="156"/>
        <v>6. Conclusion</v>
      </c>
      <c r="F535" s="8" t="str">
        <f t="shared" si="147"/>
        <v/>
      </c>
      <c r="G535" t="str">
        <f t="shared" si="149"/>
        <v/>
      </c>
      <c r="H535">
        <f t="shared" si="150"/>
        <v>0</v>
      </c>
      <c r="I535">
        <f t="shared" si="157"/>
        <v>0</v>
      </c>
      <c r="J535">
        <f t="shared" si="151"/>
        <v>4588</v>
      </c>
      <c r="K535">
        <f t="shared" si="152"/>
        <v>1</v>
      </c>
      <c r="L535">
        <f t="shared" si="153"/>
        <v>16</v>
      </c>
      <c r="M535">
        <f t="shared" si="154"/>
        <v>28</v>
      </c>
      <c r="N535">
        <f t="shared" si="146"/>
        <v>0</v>
      </c>
      <c r="O535">
        <f t="shared" si="146"/>
        <v>1</v>
      </c>
      <c r="P535">
        <f t="shared" si="146"/>
        <v>15</v>
      </c>
      <c r="Q535">
        <f t="shared" si="159"/>
        <v>75</v>
      </c>
      <c r="R535">
        <f t="shared" si="160"/>
        <v>0</v>
      </c>
      <c r="S535">
        <f t="shared" si="161"/>
        <v>1</v>
      </c>
      <c r="T535">
        <f t="shared" si="162"/>
        <v>15</v>
      </c>
      <c r="U535">
        <f t="shared" si="163"/>
        <v>75</v>
      </c>
    </row>
    <row r="536" spans="2:21" hidden="1" x14ac:dyDescent="0.25">
      <c r="B536" t="b">
        <f t="shared" si="148"/>
        <v>0</v>
      </c>
      <c r="C536" t="b">
        <f t="shared" si="158"/>
        <v>0</v>
      </c>
      <c r="D536">
        <f t="shared" si="155"/>
        <v>1</v>
      </c>
      <c r="E536" t="str">
        <f t="shared" si="156"/>
        <v>6. Conclusion</v>
      </c>
      <c r="F536" s="8" t="str">
        <f t="shared" si="147"/>
        <v/>
      </c>
      <c r="G536" t="str">
        <f t="shared" si="149"/>
        <v/>
      </c>
      <c r="H536">
        <f t="shared" si="150"/>
        <v>0</v>
      </c>
      <c r="I536">
        <f t="shared" si="157"/>
        <v>0</v>
      </c>
      <c r="J536">
        <f t="shared" si="151"/>
        <v>4588</v>
      </c>
      <c r="K536">
        <f t="shared" si="152"/>
        <v>1</v>
      </c>
      <c r="L536">
        <f t="shared" si="153"/>
        <v>16</v>
      </c>
      <c r="M536">
        <f t="shared" si="154"/>
        <v>28</v>
      </c>
      <c r="N536">
        <f t="shared" si="146"/>
        <v>0</v>
      </c>
      <c r="O536">
        <f t="shared" si="146"/>
        <v>1</v>
      </c>
      <c r="P536">
        <f t="shared" si="146"/>
        <v>15</v>
      </c>
      <c r="Q536">
        <f t="shared" si="159"/>
        <v>75</v>
      </c>
      <c r="R536">
        <f t="shared" si="160"/>
        <v>0</v>
      </c>
      <c r="S536">
        <f t="shared" si="161"/>
        <v>1</v>
      </c>
      <c r="T536">
        <f t="shared" si="162"/>
        <v>15</v>
      </c>
      <c r="U536">
        <f t="shared" si="163"/>
        <v>75</v>
      </c>
    </row>
    <row r="537" spans="2:21" hidden="1" x14ac:dyDescent="0.25">
      <c r="B537" t="b">
        <f t="shared" si="148"/>
        <v>0</v>
      </c>
      <c r="C537" t="b">
        <f t="shared" si="158"/>
        <v>0</v>
      </c>
      <c r="D537">
        <f t="shared" si="155"/>
        <v>1</v>
      </c>
      <c r="E537" t="str">
        <f t="shared" si="156"/>
        <v>6. Conclusion</v>
      </c>
      <c r="F537" s="8" t="str">
        <f t="shared" si="147"/>
        <v/>
      </c>
      <c r="G537" t="str">
        <f t="shared" si="149"/>
        <v/>
      </c>
      <c r="H537">
        <f t="shared" si="150"/>
        <v>0</v>
      </c>
      <c r="I537">
        <f t="shared" si="157"/>
        <v>0</v>
      </c>
      <c r="J537">
        <f t="shared" si="151"/>
        <v>4588</v>
      </c>
      <c r="K537">
        <f t="shared" si="152"/>
        <v>1</v>
      </c>
      <c r="L537">
        <f t="shared" si="153"/>
        <v>16</v>
      </c>
      <c r="M537">
        <f t="shared" si="154"/>
        <v>28</v>
      </c>
      <c r="N537">
        <f t="shared" si="146"/>
        <v>0</v>
      </c>
      <c r="O537">
        <f t="shared" si="146"/>
        <v>1</v>
      </c>
      <c r="P537">
        <f t="shared" si="146"/>
        <v>15</v>
      </c>
      <c r="Q537">
        <f t="shared" si="159"/>
        <v>75</v>
      </c>
      <c r="R537">
        <f t="shared" si="160"/>
        <v>0</v>
      </c>
      <c r="S537">
        <f t="shared" si="161"/>
        <v>1</v>
      </c>
      <c r="T537">
        <f t="shared" si="162"/>
        <v>15</v>
      </c>
      <c r="U537">
        <f t="shared" si="163"/>
        <v>75</v>
      </c>
    </row>
    <row r="538" spans="2:21" hidden="1" x14ac:dyDescent="0.25">
      <c r="B538" t="b">
        <f t="shared" si="148"/>
        <v>0</v>
      </c>
      <c r="C538" t="b">
        <f t="shared" si="158"/>
        <v>0</v>
      </c>
      <c r="D538">
        <f t="shared" si="155"/>
        <v>1</v>
      </c>
      <c r="E538" t="str">
        <f t="shared" si="156"/>
        <v>6. Conclusion</v>
      </c>
      <c r="F538" s="8" t="str">
        <f t="shared" si="147"/>
        <v/>
      </c>
      <c r="G538" t="str">
        <f t="shared" si="149"/>
        <v/>
      </c>
      <c r="H538">
        <f t="shared" si="150"/>
        <v>0</v>
      </c>
      <c r="I538">
        <f t="shared" si="157"/>
        <v>0</v>
      </c>
      <c r="J538">
        <f t="shared" si="151"/>
        <v>4588</v>
      </c>
      <c r="K538">
        <f t="shared" si="152"/>
        <v>1</v>
      </c>
      <c r="L538">
        <f t="shared" si="153"/>
        <v>16</v>
      </c>
      <c r="M538">
        <f t="shared" si="154"/>
        <v>28</v>
      </c>
      <c r="N538">
        <f t="shared" si="146"/>
        <v>0</v>
      </c>
      <c r="O538">
        <f t="shared" si="146"/>
        <v>1</v>
      </c>
      <c r="P538">
        <f t="shared" si="146"/>
        <v>15</v>
      </c>
      <c r="Q538">
        <f t="shared" si="159"/>
        <v>75</v>
      </c>
      <c r="R538">
        <f t="shared" si="160"/>
        <v>0</v>
      </c>
      <c r="S538">
        <f t="shared" si="161"/>
        <v>1</v>
      </c>
      <c r="T538">
        <f t="shared" si="162"/>
        <v>15</v>
      </c>
      <c r="U538">
        <f t="shared" si="163"/>
        <v>75</v>
      </c>
    </row>
    <row r="539" spans="2:21" hidden="1" x14ac:dyDescent="0.25">
      <c r="B539" t="b">
        <f t="shared" si="148"/>
        <v>0</v>
      </c>
      <c r="C539" t="b">
        <f t="shared" si="158"/>
        <v>0</v>
      </c>
      <c r="D539">
        <f t="shared" si="155"/>
        <v>1</v>
      </c>
      <c r="E539" t="str">
        <f t="shared" si="156"/>
        <v>6. Conclusion</v>
      </c>
      <c r="F539" s="8" t="str">
        <f t="shared" si="147"/>
        <v/>
      </c>
      <c r="G539" t="str">
        <f t="shared" si="149"/>
        <v/>
      </c>
      <c r="H539">
        <f t="shared" si="150"/>
        <v>0</v>
      </c>
      <c r="I539">
        <f t="shared" si="157"/>
        <v>0</v>
      </c>
      <c r="J539">
        <f t="shared" si="151"/>
        <v>4588</v>
      </c>
      <c r="K539">
        <f t="shared" si="152"/>
        <v>1</v>
      </c>
      <c r="L539">
        <f t="shared" si="153"/>
        <v>16</v>
      </c>
      <c r="M539">
        <f t="shared" si="154"/>
        <v>28</v>
      </c>
      <c r="N539">
        <f t="shared" ref="N539:P565" si="164">R538</f>
        <v>0</v>
      </c>
      <c r="O539">
        <f t="shared" si="164"/>
        <v>1</v>
      </c>
      <c r="P539">
        <f t="shared" si="164"/>
        <v>15</v>
      </c>
      <c r="Q539">
        <f t="shared" si="159"/>
        <v>75</v>
      </c>
      <c r="R539">
        <f t="shared" si="160"/>
        <v>0</v>
      </c>
      <c r="S539">
        <f t="shared" si="161"/>
        <v>1</v>
      </c>
      <c r="T539">
        <f t="shared" si="162"/>
        <v>15</v>
      </c>
      <c r="U539">
        <f t="shared" si="163"/>
        <v>75</v>
      </c>
    </row>
    <row r="540" spans="2:21" hidden="1" x14ac:dyDescent="0.25">
      <c r="B540" t="b">
        <f t="shared" si="148"/>
        <v>0</v>
      </c>
      <c r="C540" t="b">
        <f t="shared" si="158"/>
        <v>0</v>
      </c>
      <c r="D540">
        <f t="shared" si="155"/>
        <v>1</v>
      </c>
      <c r="E540" t="str">
        <f t="shared" si="156"/>
        <v>6. Conclusion</v>
      </c>
      <c r="F540" s="8" t="str">
        <f t="shared" si="147"/>
        <v/>
      </c>
      <c r="G540" t="str">
        <f t="shared" si="149"/>
        <v/>
      </c>
      <c r="H540">
        <f t="shared" si="150"/>
        <v>0</v>
      </c>
      <c r="I540">
        <f t="shared" si="157"/>
        <v>0</v>
      </c>
      <c r="J540">
        <f t="shared" si="151"/>
        <v>4588</v>
      </c>
      <c r="K540">
        <f t="shared" si="152"/>
        <v>1</v>
      </c>
      <c r="L540">
        <f t="shared" si="153"/>
        <v>16</v>
      </c>
      <c r="M540">
        <f t="shared" si="154"/>
        <v>28</v>
      </c>
      <c r="N540">
        <f t="shared" si="164"/>
        <v>0</v>
      </c>
      <c r="O540">
        <f t="shared" si="164"/>
        <v>1</v>
      </c>
      <c r="P540">
        <f t="shared" si="164"/>
        <v>15</v>
      </c>
      <c r="Q540">
        <f t="shared" si="159"/>
        <v>75</v>
      </c>
      <c r="R540">
        <f t="shared" si="160"/>
        <v>0</v>
      </c>
      <c r="S540">
        <f t="shared" si="161"/>
        <v>1</v>
      </c>
      <c r="T540">
        <f t="shared" si="162"/>
        <v>15</v>
      </c>
      <c r="U540">
        <f t="shared" si="163"/>
        <v>75</v>
      </c>
    </row>
    <row r="541" spans="2:21" hidden="1" x14ac:dyDescent="0.25">
      <c r="B541" t="b">
        <f t="shared" si="148"/>
        <v>0</v>
      </c>
      <c r="C541" t="b">
        <f t="shared" si="158"/>
        <v>0</v>
      </c>
      <c r="D541">
        <f t="shared" si="155"/>
        <v>1</v>
      </c>
      <c r="E541" t="str">
        <f t="shared" si="156"/>
        <v>6. Conclusion</v>
      </c>
      <c r="F541" s="8" t="str">
        <f t="shared" si="147"/>
        <v/>
      </c>
      <c r="G541" t="str">
        <f t="shared" si="149"/>
        <v/>
      </c>
      <c r="H541">
        <f t="shared" si="150"/>
        <v>0</v>
      </c>
      <c r="I541">
        <f t="shared" si="157"/>
        <v>0</v>
      </c>
      <c r="J541">
        <f t="shared" si="151"/>
        <v>4588</v>
      </c>
      <c r="K541">
        <f t="shared" si="152"/>
        <v>1</v>
      </c>
      <c r="L541">
        <f t="shared" si="153"/>
        <v>16</v>
      </c>
      <c r="M541">
        <f t="shared" si="154"/>
        <v>28</v>
      </c>
      <c r="N541">
        <f t="shared" si="164"/>
        <v>0</v>
      </c>
      <c r="O541">
        <f t="shared" si="164"/>
        <v>1</v>
      </c>
      <c r="P541">
        <f t="shared" si="164"/>
        <v>15</v>
      </c>
      <c r="Q541">
        <f t="shared" si="159"/>
        <v>75</v>
      </c>
      <c r="R541">
        <f t="shared" si="160"/>
        <v>0</v>
      </c>
      <c r="S541">
        <f t="shared" si="161"/>
        <v>1</v>
      </c>
      <c r="T541">
        <f t="shared" si="162"/>
        <v>15</v>
      </c>
      <c r="U541">
        <f t="shared" si="163"/>
        <v>75</v>
      </c>
    </row>
    <row r="542" spans="2:21" hidden="1" x14ac:dyDescent="0.25">
      <c r="B542" t="b">
        <f t="shared" si="148"/>
        <v>0</v>
      </c>
      <c r="C542" t="b">
        <f t="shared" si="158"/>
        <v>0</v>
      </c>
      <c r="D542">
        <f t="shared" si="155"/>
        <v>1</v>
      </c>
      <c r="E542" t="str">
        <f t="shared" si="156"/>
        <v>6. Conclusion</v>
      </c>
      <c r="F542" s="8" t="str">
        <f t="shared" si="147"/>
        <v/>
      </c>
      <c r="G542" t="str">
        <f t="shared" si="149"/>
        <v/>
      </c>
      <c r="H542">
        <f t="shared" si="150"/>
        <v>0</v>
      </c>
      <c r="I542">
        <f t="shared" si="157"/>
        <v>0</v>
      </c>
      <c r="J542">
        <f t="shared" si="151"/>
        <v>4588</v>
      </c>
      <c r="K542">
        <f t="shared" si="152"/>
        <v>1</v>
      </c>
      <c r="L542">
        <f t="shared" si="153"/>
        <v>16</v>
      </c>
      <c r="M542">
        <f t="shared" si="154"/>
        <v>28</v>
      </c>
      <c r="N542">
        <f t="shared" si="164"/>
        <v>0</v>
      </c>
      <c r="O542">
        <f t="shared" si="164"/>
        <v>1</v>
      </c>
      <c r="P542">
        <f t="shared" si="164"/>
        <v>15</v>
      </c>
      <c r="Q542">
        <f t="shared" si="159"/>
        <v>75</v>
      </c>
      <c r="R542">
        <f t="shared" si="160"/>
        <v>0</v>
      </c>
      <c r="S542">
        <f t="shared" si="161"/>
        <v>1</v>
      </c>
      <c r="T542">
        <f t="shared" si="162"/>
        <v>15</v>
      </c>
      <c r="U542">
        <f t="shared" si="163"/>
        <v>75</v>
      </c>
    </row>
    <row r="543" spans="2:21" hidden="1" x14ac:dyDescent="0.25">
      <c r="B543" t="b">
        <f t="shared" si="148"/>
        <v>0</v>
      </c>
      <c r="C543" t="b">
        <f t="shared" si="158"/>
        <v>0</v>
      </c>
      <c r="D543">
        <f t="shared" si="155"/>
        <v>1</v>
      </c>
      <c r="E543" t="str">
        <f t="shared" si="156"/>
        <v>6. Conclusion</v>
      </c>
      <c r="F543" s="8" t="str">
        <f t="shared" si="147"/>
        <v/>
      </c>
      <c r="G543" t="str">
        <f t="shared" si="149"/>
        <v/>
      </c>
      <c r="H543">
        <f t="shared" si="150"/>
        <v>0</v>
      </c>
      <c r="I543">
        <f t="shared" si="157"/>
        <v>0</v>
      </c>
      <c r="J543">
        <f t="shared" si="151"/>
        <v>4588</v>
      </c>
      <c r="K543">
        <f t="shared" si="152"/>
        <v>1</v>
      </c>
      <c r="L543">
        <f t="shared" si="153"/>
        <v>16</v>
      </c>
      <c r="M543">
        <f t="shared" si="154"/>
        <v>28</v>
      </c>
      <c r="N543">
        <f t="shared" si="164"/>
        <v>0</v>
      </c>
      <c r="O543">
        <f t="shared" si="164"/>
        <v>1</v>
      </c>
      <c r="P543">
        <f t="shared" si="164"/>
        <v>15</v>
      </c>
      <c r="Q543">
        <f t="shared" si="159"/>
        <v>75</v>
      </c>
      <c r="R543">
        <f t="shared" si="160"/>
        <v>0</v>
      </c>
      <c r="S543">
        <f t="shared" si="161"/>
        <v>1</v>
      </c>
      <c r="T543">
        <f t="shared" si="162"/>
        <v>15</v>
      </c>
      <c r="U543">
        <f t="shared" si="163"/>
        <v>75</v>
      </c>
    </row>
    <row r="544" spans="2:21" hidden="1" x14ac:dyDescent="0.25">
      <c r="B544" t="b">
        <f t="shared" si="148"/>
        <v>0</v>
      </c>
      <c r="C544" t="b">
        <f t="shared" si="158"/>
        <v>0</v>
      </c>
      <c r="D544">
        <f t="shared" si="155"/>
        <v>1</v>
      </c>
      <c r="E544" t="str">
        <f t="shared" si="156"/>
        <v>6. Conclusion</v>
      </c>
      <c r="F544" s="8" t="str">
        <f t="shared" si="147"/>
        <v/>
      </c>
      <c r="G544" t="str">
        <f t="shared" si="149"/>
        <v/>
      </c>
      <c r="H544">
        <f t="shared" si="150"/>
        <v>0</v>
      </c>
      <c r="I544">
        <f t="shared" si="157"/>
        <v>0</v>
      </c>
      <c r="J544">
        <f t="shared" si="151"/>
        <v>4588</v>
      </c>
      <c r="K544">
        <f t="shared" si="152"/>
        <v>1</v>
      </c>
      <c r="L544">
        <f t="shared" si="153"/>
        <v>16</v>
      </c>
      <c r="M544">
        <f t="shared" si="154"/>
        <v>28</v>
      </c>
      <c r="N544">
        <f t="shared" si="164"/>
        <v>0</v>
      </c>
      <c r="O544">
        <f t="shared" si="164"/>
        <v>1</v>
      </c>
      <c r="P544">
        <f t="shared" si="164"/>
        <v>15</v>
      </c>
      <c r="Q544">
        <f t="shared" si="159"/>
        <v>75</v>
      </c>
      <c r="R544">
        <f t="shared" si="160"/>
        <v>0</v>
      </c>
      <c r="S544">
        <f t="shared" si="161"/>
        <v>1</v>
      </c>
      <c r="T544">
        <f t="shared" si="162"/>
        <v>15</v>
      </c>
      <c r="U544">
        <f t="shared" si="163"/>
        <v>75</v>
      </c>
    </row>
    <row r="545" spans="2:21" hidden="1" x14ac:dyDescent="0.25">
      <c r="B545" t="b">
        <f t="shared" si="148"/>
        <v>0</v>
      </c>
      <c r="C545" t="b">
        <f t="shared" si="158"/>
        <v>0</v>
      </c>
      <c r="D545">
        <f t="shared" si="155"/>
        <v>1</v>
      </c>
      <c r="E545" t="str">
        <f t="shared" si="156"/>
        <v>6. Conclusion</v>
      </c>
      <c r="F545" s="8" t="str">
        <f t="shared" si="147"/>
        <v/>
      </c>
      <c r="G545" t="str">
        <f t="shared" si="149"/>
        <v/>
      </c>
      <c r="H545">
        <f t="shared" si="150"/>
        <v>0</v>
      </c>
      <c r="I545">
        <f t="shared" si="157"/>
        <v>0</v>
      </c>
      <c r="J545">
        <f t="shared" si="151"/>
        <v>4588</v>
      </c>
      <c r="K545">
        <f t="shared" si="152"/>
        <v>1</v>
      </c>
      <c r="L545">
        <f t="shared" si="153"/>
        <v>16</v>
      </c>
      <c r="M545">
        <f t="shared" si="154"/>
        <v>28</v>
      </c>
      <c r="N545">
        <f t="shared" si="164"/>
        <v>0</v>
      </c>
      <c r="O545">
        <f t="shared" si="164"/>
        <v>1</v>
      </c>
      <c r="P545">
        <f t="shared" si="164"/>
        <v>15</v>
      </c>
      <c r="Q545">
        <f t="shared" si="159"/>
        <v>75</v>
      </c>
      <c r="R545">
        <f t="shared" si="160"/>
        <v>0</v>
      </c>
      <c r="S545">
        <f t="shared" si="161"/>
        <v>1</v>
      </c>
      <c r="T545">
        <f t="shared" si="162"/>
        <v>15</v>
      </c>
      <c r="U545">
        <f t="shared" si="163"/>
        <v>75</v>
      </c>
    </row>
    <row r="546" spans="2:21" hidden="1" x14ac:dyDescent="0.25">
      <c r="B546" t="b">
        <f t="shared" si="148"/>
        <v>0</v>
      </c>
      <c r="C546" t="b">
        <f t="shared" si="158"/>
        <v>0</v>
      </c>
      <c r="D546">
        <f t="shared" si="155"/>
        <v>1</v>
      </c>
      <c r="E546" t="str">
        <f t="shared" si="156"/>
        <v>6. Conclusion</v>
      </c>
      <c r="F546" s="8" t="str">
        <f t="shared" si="147"/>
        <v/>
      </c>
      <c r="G546" t="str">
        <f t="shared" si="149"/>
        <v/>
      </c>
      <c r="H546">
        <f t="shared" si="150"/>
        <v>0</v>
      </c>
      <c r="I546">
        <f t="shared" si="157"/>
        <v>0</v>
      </c>
      <c r="J546">
        <f t="shared" si="151"/>
        <v>4588</v>
      </c>
      <c r="K546">
        <f t="shared" si="152"/>
        <v>1</v>
      </c>
      <c r="L546">
        <f t="shared" si="153"/>
        <v>16</v>
      </c>
      <c r="M546">
        <f t="shared" si="154"/>
        <v>28</v>
      </c>
      <c r="N546">
        <f t="shared" si="164"/>
        <v>0</v>
      </c>
      <c r="O546">
        <f t="shared" si="164"/>
        <v>1</v>
      </c>
      <c r="P546">
        <f t="shared" si="164"/>
        <v>15</v>
      </c>
      <c r="Q546">
        <f t="shared" si="159"/>
        <v>75</v>
      </c>
      <c r="R546">
        <f t="shared" si="160"/>
        <v>0</v>
      </c>
      <c r="S546">
        <f t="shared" si="161"/>
        <v>1</v>
      </c>
      <c r="T546">
        <f t="shared" si="162"/>
        <v>15</v>
      </c>
      <c r="U546">
        <f t="shared" si="163"/>
        <v>75</v>
      </c>
    </row>
    <row r="547" spans="2:21" hidden="1" x14ac:dyDescent="0.25">
      <c r="B547" t="b">
        <f t="shared" si="148"/>
        <v>0</v>
      </c>
      <c r="C547" t="b">
        <f t="shared" si="158"/>
        <v>0</v>
      </c>
      <c r="D547">
        <f t="shared" si="155"/>
        <v>1</v>
      </c>
      <c r="E547" t="str">
        <f t="shared" si="156"/>
        <v>6. Conclusion</v>
      </c>
      <c r="F547" s="8" t="str">
        <f t="shared" si="147"/>
        <v/>
      </c>
      <c r="G547" t="str">
        <f t="shared" si="149"/>
        <v/>
      </c>
      <c r="H547">
        <f t="shared" si="150"/>
        <v>0</v>
      </c>
      <c r="I547">
        <f t="shared" si="157"/>
        <v>0</v>
      </c>
      <c r="J547">
        <f t="shared" si="151"/>
        <v>4588</v>
      </c>
      <c r="K547">
        <f t="shared" si="152"/>
        <v>1</v>
      </c>
      <c r="L547">
        <f t="shared" si="153"/>
        <v>16</v>
      </c>
      <c r="M547">
        <f t="shared" si="154"/>
        <v>28</v>
      </c>
      <c r="N547">
        <f t="shared" si="164"/>
        <v>0</v>
      </c>
      <c r="O547">
        <f t="shared" si="164"/>
        <v>1</v>
      </c>
      <c r="P547">
        <f t="shared" si="164"/>
        <v>15</v>
      </c>
      <c r="Q547">
        <f t="shared" si="159"/>
        <v>75</v>
      </c>
      <c r="R547">
        <f t="shared" si="160"/>
        <v>0</v>
      </c>
      <c r="S547">
        <f t="shared" si="161"/>
        <v>1</v>
      </c>
      <c r="T547">
        <f t="shared" si="162"/>
        <v>15</v>
      </c>
      <c r="U547">
        <f t="shared" si="163"/>
        <v>75</v>
      </c>
    </row>
    <row r="548" spans="2:21" hidden="1" x14ac:dyDescent="0.25">
      <c r="B548" t="b">
        <f t="shared" si="148"/>
        <v>0</v>
      </c>
      <c r="C548" t="b">
        <f t="shared" si="158"/>
        <v>0</v>
      </c>
      <c r="D548">
        <f t="shared" si="155"/>
        <v>1</v>
      </c>
      <c r="E548" t="str">
        <f t="shared" si="156"/>
        <v>6. Conclusion</v>
      </c>
      <c r="F548" s="8" t="str">
        <f t="shared" si="147"/>
        <v/>
      </c>
      <c r="G548" t="str">
        <f t="shared" si="149"/>
        <v/>
      </c>
      <c r="H548">
        <f t="shared" si="150"/>
        <v>0</v>
      </c>
      <c r="I548">
        <f t="shared" si="157"/>
        <v>0</v>
      </c>
      <c r="J548">
        <f t="shared" si="151"/>
        <v>4588</v>
      </c>
      <c r="K548">
        <f t="shared" si="152"/>
        <v>1</v>
      </c>
      <c r="L548">
        <f t="shared" si="153"/>
        <v>16</v>
      </c>
      <c r="M548">
        <f t="shared" si="154"/>
        <v>28</v>
      </c>
      <c r="N548">
        <f t="shared" si="164"/>
        <v>0</v>
      </c>
      <c r="O548">
        <f t="shared" si="164"/>
        <v>1</v>
      </c>
      <c r="P548">
        <f t="shared" si="164"/>
        <v>15</v>
      </c>
      <c r="Q548">
        <f t="shared" si="159"/>
        <v>75</v>
      </c>
      <c r="R548">
        <f t="shared" si="160"/>
        <v>0</v>
      </c>
      <c r="S548">
        <f t="shared" si="161"/>
        <v>1</v>
      </c>
      <c r="T548">
        <f t="shared" si="162"/>
        <v>15</v>
      </c>
      <c r="U548">
        <f t="shared" si="163"/>
        <v>75</v>
      </c>
    </row>
    <row r="549" spans="2:21" hidden="1" x14ac:dyDescent="0.25">
      <c r="B549" t="b">
        <f t="shared" si="148"/>
        <v>0</v>
      </c>
      <c r="C549" t="b">
        <f t="shared" si="158"/>
        <v>0</v>
      </c>
      <c r="D549">
        <f t="shared" si="155"/>
        <v>1</v>
      </c>
      <c r="E549" t="str">
        <f t="shared" si="156"/>
        <v>6. Conclusion</v>
      </c>
      <c r="F549" s="8" t="str">
        <f t="shared" si="147"/>
        <v/>
      </c>
      <c r="G549" t="str">
        <f t="shared" si="149"/>
        <v/>
      </c>
      <c r="H549">
        <f t="shared" si="150"/>
        <v>0</v>
      </c>
      <c r="I549">
        <f t="shared" si="157"/>
        <v>0</v>
      </c>
      <c r="J549">
        <f t="shared" si="151"/>
        <v>4588</v>
      </c>
      <c r="K549">
        <f t="shared" si="152"/>
        <v>1</v>
      </c>
      <c r="L549">
        <f t="shared" si="153"/>
        <v>16</v>
      </c>
      <c r="M549">
        <f t="shared" si="154"/>
        <v>28</v>
      </c>
      <c r="N549">
        <f t="shared" si="164"/>
        <v>0</v>
      </c>
      <c r="O549">
        <f t="shared" si="164"/>
        <v>1</v>
      </c>
      <c r="P549">
        <f t="shared" si="164"/>
        <v>15</v>
      </c>
      <c r="Q549">
        <f t="shared" si="159"/>
        <v>75</v>
      </c>
      <c r="R549">
        <f t="shared" si="160"/>
        <v>0</v>
      </c>
      <c r="S549">
        <f t="shared" si="161"/>
        <v>1</v>
      </c>
      <c r="T549">
        <f t="shared" si="162"/>
        <v>15</v>
      </c>
      <c r="U549">
        <f t="shared" si="163"/>
        <v>75</v>
      </c>
    </row>
    <row r="550" spans="2:21" hidden="1" x14ac:dyDescent="0.25">
      <c r="B550" t="b">
        <f t="shared" si="148"/>
        <v>0</v>
      </c>
      <c r="C550" t="b">
        <f t="shared" si="158"/>
        <v>0</v>
      </c>
      <c r="D550">
        <f t="shared" si="155"/>
        <v>1</v>
      </c>
      <c r="E550" t="str">
        <f t="shared" si="156"/>
        <v>6. Conclusion</v>
      </c>
      <c r="F550" s="8" t="str">
        <f t="shared" si="147"/>
        <v/>
      </c>
      <c r="G550" t="str">
        <f t="shared" si="149"/>
        <v/>
      </c>
      <c r="H550">
        <f t="shared" si="150"/>
        <v>0</v>
      </c>
      <c r="I550">
        <f t="shared" si="157"/>
        <v>0</v>
      </c>
      <c r="J550">
        <f t="shared" si="151"/>
        <v>4588</v>
      </c>
      <c r="K550">
        <f t="shared" si="152"/>
        <v>1</v>
      </c>
      <c r="L550">
        <f t="shared" si="153"/>
        <v>16</v>
      </c>
      <c r="M550">
        <f t="shared" si="154"/>
        <v>28</v>
      </c>
      <c r="N550">
        <f t="shared" si="164"/>
        <v>0</v>
      </c>
      <c r="O550">
        <f t="shared" si="164"/>
        <v>1</v>
      </c>
      <c r="P550">
        <f t="shared" si="164"/>
        <v>15</v>
      </c>
      <c r="Q550">
        <f t="shared" si="159"/>
        <v>75</v>
      </c>
      <c r="R550">
        <f t="shared" si="160"/>
        <v>0</v>
      </c>
      <c r="S550">
        <f t="shared" si="161"/>
        <v>1</v>
      </c>
      <c r="T550">
        <f t="shared" si="162"/>
        <v>15</v>
      </c>
      <c r="U550">
        <f t="shared" si="163"/>
        <v>75</v>
      </c>
    </row>
    <row r="551" spans="2:21" hidden="1" x14ac:dyDescent="0.25">
      <c r="B551" t="b">
        <f t="shared" si="148"/>
        <v>0</v>
      </c>
      <c r="C551" t="b">
        <f t="shared" si="158"/>
        <v>0</v>
      </c>
      <c r="D551">
        <f t="shared" si="155"/>
        <v>1</v>
      </c>
      <c r="E551" t="str">
        <f t="shared" si="156"/>
        <v>6. Conclusion</v>
      </c>
      <c r="F551" s="8" t="str">
        <f t="shared" si="147"/>
        <v/>
      </c>
      <c r="G551" t="str">
        <f t="shared" si="149"/>
        <v/>
      </c>
      <c r="H551">
        <f t="shared" si="150"/>
        <v>0</v>
      </c>
      <c r="I551">
        <f t="shared" si="157"/>
        <v>0</v>
      </c>
      <c r="J551">
        <f t="shared" si="151"/>
        <v>4588</v>
      </c>
      <c r="K551">
        <f t="shared" si="152"/>
        <v>1</v>
      </c>
      <c r="L551">
        <f t="shared" si="153"/>
        <v>16</v>
      </c>
      <c r="M551">
        <f t="shared" si="154"/>
        <v>28</v>
      </c>
      <c r="N551">
        <f t="shared" si="164"/>
        <v>0</v>
      </c>
      <c r="O551">
        <f t="shared" si="164"/>
        <v>1</v>
      </c>
      <c r="P551">
        <f t="shared" si="164"/>
        <v>15</v>
      </c>
      <c r="Q551">
        <f t="shared" si="159"/>
        <v>75</v>
      </c>
      <c r="R551">
        <f t="shared" si="160"/>
        <v>0</v>
      </c>
      <c r="S551">
        <f t="shared" si="161"/>
        <v>1</v>
      </c>
      <c r="T551">
        <f t="shared" si="162"/>
        <v>15</v>
      </c>
      <c r="U551">
        <f t="shared" si="163"/>
        <v>75</v>
      </c>
    </row>
    <row r="552" spans="2:21" hidden="1" x14ac:dyDescent="0.25">
      <c r="B552" t="b">
        <f t="shared" si="148"/>
        <v>0</v>
      </c>
      <c r="C552" t="b">
        <f t="shared" si="158"/>
        <v>0</v>
      </c>
      <c r="D552">
        <f t="shared" si="155"/>
        <v>1</v>
      </c>
      <c r="E552" t="str">
        <f t="shared" si="156"/>
        <v>6. Conclusion</v>
      </c>
      <c r="F552" s="8" t="str">
        <f t="shared" ref="F552:F565" si="165">SUBSTITUTE(IF(C552,D552&amp;". "&amp;A552,""),":"," -")</f>
        <v/>
      </c>
      <c r="G552" t="str">
        <f t="shared" si="149"/>
        <v/>
      </c>
      <c r="H552">
        <f t="shared" si="150"/>
        <v>0</v>
      </c>
      <c r="I552">
        <f t="shared" si="157"/>
        <v>0</v>
      </c>
      <c r="J552">
        <f t="shared" si="151"/>
        <v>4588</v>
      </c>
      <c r="K552">
        <f t="shared" si="152"/>
        <v>1</v>
      </c>
      <c r="L552">
        <f t="shared" si="153"/>
        <v>16</v>
      </c>
      <c r="M552">
        <f t="shared" si="154"/>
        <v>28</v>
      </c>
      <c r="N552">
        <f t="shared" si="164"/>
        <v>0</v>
      </c>
      <c r="O552">
        <f t="shared" si="164"/>
        <v>1</v>
      </c>
      <c r="P552">
        <f t="shared" si="164"/>
        <v>15</v>
      </c>
      <c r="Q552">
        <f t="shared" si="159"/>
        <v>75</v>
      </c>
      <c r="R552">
        <f t="shared" si="160"/>
        <v>0</v>
      </c>
      <c r="S552">
        <f t="shared" si="161"/>
        <v>1</v>
      </c>
      <c r="T552">
        <f t="shared" si="162"/>
        <v>15</v>
      </c>
      <c r="U552">
        <f t="shared" si="163"/>
        <v>75</v>
      </c>
    </row>
    <row r="553" spans="2:21" hidden="1" x14ac:dyDescent="0.25">
      <c r="B553" t="b">
        <f t="shared" si="148"/>
        <v>0</v>
      </c>
      <c r="C553" t="b">
        <f t="shared" si="158"/>
        <v>0</v>
      </c>
      <c r="D553">
        <f t="shared" si="155"/>
        <v>1</v>
      </c>
      <c r="E553" t="str">
        <f t="shared" si="156"/>
        <v>6. Conclusion</v>
      </c>
      <c r="F553" s="8" t="str">
        <f t="shared" si="165"/>
        <v/>
      </c>
      <c r="G553" t="str">
        <f t="shared" si="149"/>
        <v/>
      </c>
      <c r="H553">
        <f t="shared" si="150"/>
        <v>0</v>
      </c>
      <c r="I553">
        <f t="shared" si="157"/>
        <v>0</v>
      </c>
      <c r="J553">
        <f t="shared" si="151"/>
        <v>4588</v>
      </c>
      <c r="K553">
        <f t="shared" si="152"/>
        <v>1</v>
      </c>
      <c r="L553">
        <f t="shared" si="153"/>
        <v>16</v>
      </c>
      <c r="M553">
        <f t="shared" si="154"/>
        <v>28</v>
      </c>
      <c r="N553">
        <f t="shared" si="164"/>
        <v>0</v>
      </c>
      <c r="O553">
        <f t="shared" si="164"/>
        <v>1</v>
      </c>
      <c r="P553">
        <f t="shared" si="164"/>
        <v>15</v>
      </c>
      <c r="Q553">
        <f t="shared" si="159"/>
        <v>75</v>
      </c>
      <c r="R553">
        <f t="shared" si="160"/>
        <v>0</v>
      </c>
      <c r="S553">
        <f t="shared" si="161"/>
        <v>1</v>
      </c>
      <c r="T553">
        <f t="shared" si="162"/>
        <v>15</v>
      </c>
      <c r="U553">
        <f t="shared" si="163"/>
        <v>75</v>
      </c>
    </row>
    <row r="554" spans="2:21" hidden="1" x14ac:dyDescent="0.25">
      <c r="B554" t="b">
        <f t="shared" si="148"/>
        <v>0</v>
      </c>
      <c r="C554" t="b">
        <f t="shared" si="158"/>
        <v>0</v>
      </c>
      <c r="D554">
        <f t="shared" si="155"/>
        <v>1</v>
      </c>
      <c r="E554" t="str">
        <f t="shared" si="156"/>
        <v>6. Conclusion</v>
      </c>
      <c r="F554" s="8" t="str">
        <f t="shared" si="165"/>
        <v/>
      </c>
      <c r="G554" t="str">
        <f t="shared" si="149"/>
        <v/>
      </c>
      <c r="H554">
        <f t="shared" si="150"/>
        <v>0</v>
      </c>
      <c r="I554">
        <f t="shared" si="157"/>
        <v>0</v>
      </c>
      <c r="J554">
        <f t="shared" si="151"/>
        <v>4588</v>
      </c>
      <c r="K554">
        <f t="shared" si="152"/>
        <v>1</v>
      </c>
      <c r="L554">
        <f t="shared" si="153"/>
        <v>16</v>
      </c>
      <c r="M554">
        <f t="shared" si="154"/>
        <v>28</v>
      </c>
      <c r="N554">
        <f t="shared" si="164"/>
        <v>0</v>
      </c>
      <c r="O554">
        <f t="shared" si="164"/>
        <v>1</v>
      </c>
      <c r="P554">
        <f t="shared" si="164"/>
        <v>15</v>
      </c>
      <c r="Q554">
        <f t="shared" si="159"/>
        <v>75</v>
      </c>
      <c r="R554">
        <f t="shared" si="160"/>
        <v>0</v>
      </c>
      <c r="S554">
        <f t="shared" si="161"/>
        <v>1</v>
      </c>
      <c r="T554">
        <f t="shared" si="162"/>
        <v>15</v>
      </c>
      <c r="U554">
        <f t="shared" si="163"/>
        <v>75</v>
      </c>
    </row>
    <row r="555" spans="2:21" hidden="1" x14ac:dyDescent="0.25">
      <c r="B555" t="b">
        <f t="shared" si="148"/>
        <v>0</v>
      </c>
      <c r="C555" t="b">
        <f t="shared" si="158"/>
        <v>0</v>
      </c>
      <c r="D555">
        <f t="shared" si="155"/>
        <v>1</v>
      </c>
      <c r="E555" t="str">
        <f t="shared" si="156"/>
        <v>6. Conclusion</v>
      </c>
      <c r="F555" s="8" t="str">
        <f t="shared" si="165"/>
        <v/>
      </c>
      <c r="G555" t="str">
        <f t="shared" si="149"/>
        <v/>
      </c>
      <c r="H555">
        <f t="shared" si="150"/>
        <v>0</v>
      </c>
      <c r="I555">
        <f t="shared" si="157"/>
        <v>0</v>
      </c>
      <c r="J555">
        <f t="shared" si="151"/>
        <v>4588</v>
      </c>
      <c r="K555">
        <f t="shared" si="152"/>
        <v>1</v>
      </c>
      <c r="L555">
        <f t="shared" si="153"/>
        <v>16</v>
      </c>
      <c r="M555">
        <f t="shared" si="154"/>
        <v>28</v>
      </c>
      <c r="N555">
        <f t="shared" si="164"/>
        <v>0</v>
      </c>
      <c r="O555">
        <f t="shared" si="164"/>
        <v>1</v>
      </c>
      <c r="P555">
        <f t="shared" si="164"/>
        <v>15</v>
      </c>
      <c r="Q555">
        <f t="shared" si="159"/>
        <v>75</v>
      </c>
      <c r="R555">
        <f t="shared" si="160"/>
        <v>0</v>
      </c>
      <c r="S555">
        <f t="shared" si="161"/>
        <v>1</v>
      </c>
      <c r="T555">
        <f t="shared" si="162"/>
        <v>15</v>
      </c>
      <c r="U555">
        <f t="shared" si="163"/>
        <v>75</v>
      </c>
    </row>
    <row r="556" spans="2:21" hidden="1" x14ac:dyDescent="0.25">
      <c r="B556" t="b">
        <f t="shared" si="148"/>
        <v>0</v>
      </c>
      <c r="C556" t="b">
        <f t="shared" si="158"/>
        <v>0</v>
      </c>
      <c r="D556">
        <f t="shared" si="155"/>
        <v>1</v>
      </c>
      <c r="E556" t="str">
        <f t="shared" si="156"/>
        <v>6. Conclusion</v>
      </c>
      <c r="F556" s="8" t="str">
        <f t="shared" si="165"/>
        <v/>
      </c>
      <c r="G556" t="str">
        <f t="shared" si="149"/>
        <v/>
      </c>
      <c r="H556">
        <f t="shared" si="150"/>
        <v>0</v>
      </c>
      <c r="I556">
        <f t="shared" si="157"/>
        <v>0</v>
      </c>
      <c r="J556">
        <f t="shared" si="151"/>
        <v>4588</v>
      </c>
      <c r="K556">
        <f t="shared" si="152"/>
        <v>1</v>
      </c>
      <c r="L556">
        <f t="shared" si="153"/>
        <v>16</v>
      </c>
      <c r="M556">
        <f t="shared" si="154"/>
        <v>28</v>
      </c>
      <c r="N556">
        <f t="shared" si="164"/>
        <v>0</v>
      </c>
      <c r="O556">
        <f t="shared" si="164"/>
        <v>1</v>
      </c>
      <c r="P556">
        <f t="shared" si="164"/>
        <v>15</v>
      </c>
      <c r="Q556">
        <f t="shared" si="159"/>
        <v>75</v>
      </c>
      <c r="R556">
        <f t="shared" si="160"/>
        <v>0</v>
      </c>
      <c r="S556">
        <f t="shared" si="161"/>
        <v>1</v>
      </c>
      <c r="T556">
        <f t="shared" si="162"/>
        <v>15</v>
      </c>
      <c r="U556">
        <f t="shared" si="163"/>
        <v>75</v>
      </c>
    </row>
    <row r="557" spans="2:21" hidden="1" x14ac:dyDescent="0.25">
      <c r="B557" t="b">
        <f t="shared" si="148"/>
        <v>0</v>
      </c>
      <c r="C557" t="b">
        <f t="shared" si="158"/>
        <v>0</v>
      </c>
      <c r="D557">
        <f t="shared" si="155"/>
        <v>1</v>
      </c>
      <c r="E557" t="str">
        <f t="shared" si="156"/>
        <v>6. Conclusion</v>
      </c>
      <c r="F557" s="8" t="str">
        <f t="shared" si="165"/>
        <v/>
      </c>
      <c r="G557" t="str">
        <f t="shared" si="149"/>
        <v/>
      </c>
      <c r="H557">
        <f t="shared" si="150"/>
        <v>0</v>
      </c>
      <c r="I557">
        <f t="shared" si="157"/>
        <v>0</v>
      </c>
      <c r="J557">
        <f t="shared" si="151"/>
        <v>4588</v>
      </c>
      <c r="K557">
        <f t="shared" si="152"/>
        <v>1</v>
      </c>
      <c r="L557">
        <f t="shared" si="153"/>
        <v>16</v>
      </c>
      <c r="M557">
        <f t="shared" si="154"/>
        <v>28</v>
      </c>
      <c r="N557">
        <f t="shared" si="164"/>
        <v>0</v>
      </c>
      <c r="O557">
        <f t="shared" si="164"/>
        <v>1</v>
      </c>
      <c r="P557">
        <f t="shared" si="164"/>
        <v>15</v>
      </c>
      <c r="Q557">
        <f t="shared" si="159"/>
        <v>75</v>
      </c>
      <c r="R557">
        <f t="shared" si="160"/>
        <v>0</v>
      </c>
      <c r="S557">
        <f t="shared" si="161"/>
        <v>1</v>
      </c>
      <c r="T557">
        <f t="shared" si="162"/>
        <v>15</v>
      </c>
      <c r="U557">
        <f t="shared" si="163"/>
        <v>75</v>
      </c>
    </row>
    <row r="558" spans="2:21" hidden="1" x14ac:dyDescent="0.25">
      <c r="B558" t="b">
        <f t="shared" si="148"/>
        <v>0</v>
      </c>
      <c r="C558" t="b">
        <f t="shared" si="158"/>
        <v>0</v>
      </c>
      <c r="D558">
        <f t="shared" si="155"/>
        <v>1</v>
      </c>
      <c r="E558" t="str">
        <f t="shared" si="156"/>
        <v>6. Conclusion</v>
      </c>
      <c r="F558" s="8" t="str">
        <f t="shared" si="165"/>
        <v/>
      </c>
      <c r="G558" t="str">
        <f t="shared" si="149"/>
        <v/>
      </c>
      <c r="H558">
        <f t="shared" si="150"/>
        <v>0</v>
      </c>
      <c r="I558">
        <f t="shared" si="157"/>
        <v>0</v>
      </c>
      <c r="J558">
        <f t="shared" si="151"/>
        <v>4588</v>
      </c>
      <c r="K558">
        <f t="shared" si="152"/>
        <v>1</v>
      </c>
      <c r="L558">
        <f t="shared" si="153"/>
        <v>16</v>
      </c>
      <c r="M558">
        <f t="shared" si="154"/>
        <v>28</v>
      </c>
      <c r="N558">
        <f t="shared" si="164"/>
        <v>0</v>
      </c>
      <c r="O558">
        <f t="shared" si="164"/>
        <v>1</v>
      </c>
      <c r="P558">
        <f t="shared" si="164"/>
        <v>15</v>
      </c>
      <c r="Q558">
        <f t="shared" si="159"/>
        <v>75</v>
      </c>
      <c r="R558">
        <f t="shared" si="160"/>
        <v>0</v>
      </c>
      <c r="S558">
        <f t="shared" si="161"/>
        <v>1</v>
      </c>
      <c r="T558">
        <f t="shared" si="162"/>
        <v>15</v>
      </c>
      <c r="U558">
        <f t="shared" si="163"/>
        <v>75</v>
      </c>
    </row>
    <row r="559" spans="2:21" hidden="1" x14ac:dyDescent="0.25">
      <c r="B559" t="b">
        <f t="shared" si="148"/>
        <v>0</v>
      </c>
      <c r="C559" t="b">
        <f t="shared" si="158"/>
        <v>0</v>
      </c>
      <c r="D559">
        <f t="shared" si="155"/>
        <v>1</v>
      </c>
      <c r="E559" t="str">
        <f t="shared" si="156"/>
        <v>6. Conclusion</v>
      </c>
      <c r="F559" s="8" t="str">
        <f t="shared" si="165"/>
        <v/>
      </c>
      <c r="G559" t="str">
        <f t="shared" si="149"/>
        <v/>
      </c>
      <c r="H559">
        <f t="shared" si="150"/>
        <v>0</v>
      </c>
      <c r="I559">
        <f t="shared" si="157"/>
        <v>0</v>
      </c>
      <c r="J559">
        <f t="shared" si="151"/>
        <v>4588</v>
      </c>
      <c r="K559">
        <f t="shared" si="152"/>
        <v>1</v>
      </c>
      <c r="L559">
        <f t="shared" si="153"/>
        <v>16</v>
      </c>
      <c r="M559">
        <f t="shared" si="154"/>
        <v>28</v>
      </c>
      <c r="N559">
        <f t="shared" si="164"/>
        <v>0</v>
      </c>
      <c r="O559">
        <f t="shared" si="164"/>
        <v>1</v>
      </c>
      <c r="P559">
        <f t="shared" si="164"/>
        <v>15</v>
      </c>
      <c r="Q559">
        <f t="shared" si="159"/>
        <v>75</v>
      </c>
      <c r="R559">
        <f t="shared" si="160"/>
        <v>0</v>
      </c>
      <c r="S559">
        <f t="shared" si="161"/>
        <v>1</v>
      </c>
      <c r="T559">
        <f t="shared" si="162"/>
        <v>15</v>
      </c>
      <c r="U559">
        <f t="shared" si="163"/>
        <v>75</v>
      </c>
    </row>
    <row r="560" spans="2:21" hidden="1" x14ac:dyDescent="0.25">
      <c r="B560" t="b">
        <f t="shared" si="148"/>
        <v>0</v>
      </c>
      <c r="C560" t="b">
        <f t="shared" si="158"/>
        <v>0</v>
      </c>
      <c r="D560">
        <f t="shared" si="155"/>
        <v>1</v>
      </c>
      <c r="E560" t="str">
        <f t="shared" si="156"/>
        <v>6. Conclusion</v>
      </c>
      <c r="F560" s="8" t="str">
        <f t="shared" si="165"/>
        <v/>
      </c>
      <c r="G560" t="str">
        <f t="shared" si="149"/>
        <v/>
      </c>
      <c r="H560">
        <f t="shared" si="150"/>
        <v>0</v>
      </c>
      <c r="I560">
        <f t="shared" si="157"/>
        <v>0</v>
      </c>
      <c r="J560">
        <f t="shared" si="151"/>
        <v>4588</v>
      </c>
      <c r="K560">
        <f t="shared" si="152"/>
        <v>1</v>
      </c>
      <c r="L560">
        <f t="shared" si="153"/>
        <v>16</v>
      </c>
      <c r="M560">
        <f t="shared" si="154"/>
        <v>28</v>
      </c>
      <c r="N560">
        <f t="shared" si="164"/>
        <v>0</v>
      </c>
      <c r="O560">
        <f t="shared" si="164"/>
        <v>1</v>
      </c>
      <c r="P560">
        <f t="shared" si="164"/>
        <v>15</v>
      </c>
      <c r="Q560">
        <f t="shared" si="159"/>
        <v>75</v>
      </c>
      <c r="R560">
        <f t="shared" si="160"/>
        <v>0</v>
      </c>
      <c r="S560">
        <f t="shared" si="161"/>
        <v>1</v>
      </c>
      <c r="T560">
        <f t="shared" si="162"/>
        <v>15</v>
      </c>
      <c r="U560">
        <f t="shared" si="163"/>
        <v>75</v>
      </c>
    </row>
    <row r="561" spans="2:21" hidden="1" x14ac:dyDescent="0.25">
      <c r="B561" t="b">
        <f t="shared" si="148"/>
        <v>0</v>
      </c>
      <c r="C561" t="b">
        <f t="shared" si="158"/>
        <v>0</v>
      </c>
      <c r="D561">
        <f t="shared" si="155"/>
        <v>1</v>
      </c>
      <c r="E561" t="str">
        <f t="shared" si="156"/>
        <v>6. Conclusion</v>
      </c>
      <c r="F561" s="8" t="str">
        <f t="shared" si="165"/>
        <v/>
      </c>
      <c r="G561" t="str">
        <f t="shared" si="149"/>
        <v/>
      </c>
      <c r="H561">
        <f t="shared" si="150"/>
        <v>0</v>
      </c>
      <c r="I561">
        <f t="shared" si="157"/>
        <v>0</v>
      </c>
      <c r="J561">
        <f t="shared" si="151"/>
        <v>4588</v>
      </c>
      <c r="K561">
        <f t="shared" si="152"/>
        <v>1</v>
      </c>
      <c r="L561">
        <f t="shared" si="153"/>
        <v>16</v>
      </c>
      <c r="M561">
        <f t="shared" si="154"/>
        <v>28</v>
      </c>
      <c r="N561">
        <f t="shared" si="164"/>
        <v>0</v>
      </c>
      <c r="O561">
        <f t="shared" si="164"/>
        <v>1</v>
      </c>
      <c r="P561">
        <f t="shared" si="164"/>
        <v>15</v>
      </c>
      <c r="Q561">
        <f t="shared" si="159"/>
        <v>75</v>
      </c>
      <c r="R561">
        <f t="shared" si="160"/>
        <v>0</v>
      </c>
      <c r="S561">
        <f t="shared" si="161"/>
        <v>1</v>
      </c>
      <c r="T561">
        <f t="shared" si="162"/>
        <v>15</v>
      </c>
      <c r="U561">
        <f t="shared" si="163"/>
        <v>75</v>
      </c>
    </row>
    <row r="562" spans="2:21" hidden="1" x14ac:dyDescent="0.25">
      <c r="B562" t="b">
        <f t="shared" si="148"/>
        <v>0</v>
      </c>
      <c r="C562" t="b">
        <f t="shared" si="158"/>
        <v>0</v>
      </c>
      <c r="D562">
        <f t="shared" si="155"/>
        <v>1</v>
      </c>
      <c r="E562" t="str">
        <f t="shared" si="156"/>
        <v>6. Conclusion</v>
      </c>
      <c r="F562" s="8" t="str">
        <f t="shared" si="165"/>
        <v/>
      </c>
      <c r="G562" t="str">
        <f t="shared" si="149"/>
        <v/>
      </c>
      <c r="H562">
        <f t="shared" si="150"/>
        <v>0</v>
      </c>
      <c r="I562">
        <f t="shared" si="157"/>
        <v>0</v>
      </c>
      <c r="J562">
        <f t="shared" si="151"/>
        <v>4588</v>
      </c>
      <c r="K562">
        <f t="shared" si="152"/>
        <v>1</v>
      </c>
      <c r="L562">
        <f t="shared" si="153"/>
        <v>16</v>
      </c>
      <c r="M562">
        <f t="shared" si="154"/>
        <v>28</v>
      </c>
      <c r="N562">
        <f t="shared" si="164"/>
        <v>0</v>
      </c>
      <c r="O562">
        <f t="shared" si="164"/>
        <v>1</v>
      </c>
      <c r="P562">
        <f t="shared" si="164"/>
        <v>15</v>
      </c>
      <c r="Q562">
        <f t="shared" si="159"/>
        <v>75</v>
      </c>
      <c r="R562">
        <f t="shared" si="160"/>
        <v>0</v>
      </c>
      <c r="S562">
        <f t="shared" si="161"/>
        <v>1</v>
      </c>
      <c r="T562">
        <f t="shared" si="162"/>
        <v>15</v>
      </c>
      <c r="U562">
        <f t="shared" si="163"/>
        <v>75</v>
      </c>
    </row>
    <row r="563" spans="2:21" hidden="1" x14ac:dyDescent="0.25">
      <c r="B563" t="b">
        <f t="shared" si="148"/>
        <v>0</v>
      </c>
      <c r="C563" t="b">
        <f t="shared" si="158"/>
        <v>0</v>
      </c>
      <c r="D563">
        <f t="shared" si="155"/>
        <v>1</v>
      </c>
      <c r="E563" t="str">
        <f t="shared" si="156"/>
        <v>6. Conclusion</v>
      </c>
      <c r="F563" s="8" t="str">
        <f t="shared" si="165"/>
        <v/>
      </c>
      <c r="G563" t="str">
        <f t="shared" si="149"/>
        <v/>
      </c>
      <c r="H563">
        <f t="shared" si="150"/>
        <v>0</v>
      </c>
      <c r="I563">
        <f t="shared" si="157"/>
        <v>0</v>
      </c>
      <c r="J563">
        <f t="shared" si="151"/>
        <v>4588</v>
      </c>
      <c r="K563">
        <f t="shared" si="152"/>
        <v>1</v>
      </c>
      <c r="L563">
        <f t="shared" si="153"/>
        <v>16</v>
      </c>
      <c r="M563">
        <f t="shared" si="154"/>
        <v>28</v>
      </c>
      <c r="N563">
        <f t="shared" si="164"/>
        <v>0</v>
      </c>
      <c r="O563">
        <f t="shared" si="164"/>
        <v>1</v>
      </c>
      <c r="P563">
        <f t="shared" si="164"/>
        <v>15</v>
      </c>
      <c r="Q563">
        <f t="shared" si="159"/>
        <v>75</v>
      </c>
      <c r="R563">
        <f t="shared" si="160"/>
        <v>0</v>
      </c>
      <c r="S563">
        <f t="shared" si="161"/>
        <v>1</v>
      </c>
      <c r="T563">
        <f t="shared" si="162"/>
        <v>15</v>
      </c>
      <c r="U563">
        <f t="shared" si="163"/>
        <v>75</v>
      </c>
    </row>
    <row r="564" spans="2:21" hidden="1" x14ac:dyDescent="0.25">
      <c r="B564" t="b">
        <f t="shared" si="148"/>
        <v>0</v>
      </c>
      <c r="C564" t="b">
        <f t="shared" si="158"/>
        <v>0</v>
      </c>
      <c r="D564">
        <f t="shared" si="155"/>
        <v>1</v>
      </c>
      <c r="E564" t="str">
        <f t="shared" si="156"/>
        <v>6. Conclusion</v>
      </c>
      <c r="F564" s="8" t="str">
        <f t="shared" si="165"/>
        <v/>
      </c>
      <c r="G564" t="str">
        <f t="shared" si="149"/>
        <v/>
      </c>
      <c r="H564">
        <f t="shared" si="150"/>
        <v>0</v>
      </c>
      <c r="I564">
        <f t="shared" si="157"/>
        <v>0</v>
      </c>
      <c r="J564">
        <f t="shared" si="151"/>
        <v>4588</v>
      </c>
      <c r="K564">
        <f t="shared" si="152"/>
        <v>1</v>
      </c>
      <c r="L564">
        <f t="shared" si="153"/>
        <v>16</v>
      </c>
      <c r="M564">
        <f t="shared" si="154"/>
        <v>28</v>
      </c>
      <c r="N564">
        <f t="shared" si="164"/>
        <v>0</v>
      </c>
      <c r="O564">
        <f t="shared" si="164"/>
        <v>1</v>
      </c>
      <c r="P564">
        <f t="shared" si="164"/>
        <v>15</v>
      </c>
      <c r="Q564">
        <f t="shared" si="159"/>
        <v>75</v>
      </c>
      <c r="R564">
        <f t="shared" si="160"/>
        <v>0</v>
      </c>
      <c r="S564">
        <f t="shared" si="161"/>
        <v>1</v>
      </c>
      <c r="T564">
        <f t="shared" si="162"/>
        <v>15</v>
      </c>
      <c r="U564">
        <f t="shared" si="163"/>
        <v>75</v>
      </c>
    </row>
    <row r="565" spans="2:21" hidden="1" x14ac:dyDescent="0.25">
      <c r="B565" t="b">
        <f t="shared" si="148"/>
        <v>0</v>
      </c>
      <c r="C565" t="b">
        <f t="shared" si="158"/>
        <v>0</v>
      </c>
      <c r="D565">
        <f t="shared" si="155"/>
        <v>1</v>
      </c>
      <c r="E565" t="str">
        <f t="shared" si="156"/>
        <v>6. Conclusion</v>
      </c>
      <c r="F565" s="8" t="str">
        <f t="shared" si="165"/>
        <v/>
      </c>
      <c r="G565" t="str">
        <f t="shared" si="149"/>
        <v/>
      </c>
      <c r="H565">
        <f t="shared" si="150"/>
        <v>0</v>
      </c>
      <c r="I565">
        <f t="shared" si="157"/>
        <v>0</v>
      </c>
      <c r="J565">
        <f t="shared" si="151"/>
        <v>4588</v>
      </c>
      <c r="K565">
        <f t="shared" si="152"/>
        <v>1</v>
      </c>
      <c r="L565">
        <f t="shared" si="153"/>
        <v>16</v>
      </c>
      <c r="M565">
        <f t="shared" si="154"/>
        <v>28</v>
      </c>
      <c r="N565">
        <f t="shared" si="164"/>
        <v>0</v>
      </c>
      <c r="O565">
        <f t="shared" si="164"/>
        <v>1</v>
      </c>
      <c r="P565">
        <f t="shared" si="164"/>
        <v>15</v>
      </c>
      <c r="Q565">
        <f t="shared" si="159"/>
        <v>75</v>
      </c>
      <c r="R565">
        <f t="shared" si="160"/>
        <v>0</v>
      </c>
      <c r="S565">
        <f t="shared" si="161"/>
        <v>1</v>
      </c>
      <c r="T565">
        <f t="shared" si="162"/>
        <v>15</v>
      </c>
      <c r="U565">
        <f t="shared" si="163"/>
        <v>75</v>
      </c>
    </row>
  </sheetData>
  <autoFilter ref="A10:V565" xr:uid="{C95E2FD8-BEDD-4C0F-8D0E-46541653D907}">
    <filterColumn colId="5">
      <customFilters>
        <customFilter operator="notEqual" val=" "/>
      </customFilters>
    </filterColumn>
  </autoFilter>
  <mergeCells count="11">
    <mergeCell ref="N7:Q7"/>
    <mergeCell ref="R7:U7"/>
    <mergeCell ref="A1:M1"/>
    <mergeCell ref="A7:A8"/>
    <mergeCell ref="B7:B8"/>
    <mergeCell ref="C7:C8"/>
    <mergeCell ref="D7:D8"/>
    <mergeCell ref="E7:E8"/>
    <mergeCell ref="F7:F8"/>
    <mergeCell ref="G7:I7"/>
    <mergeCell ref="J7:M7"/>
  </mergeCells>
  <conditionalFormatting sqref="A10:E565 G10:U565">
    <cfRule type="expression" dxfId="2" priority="3">
      <formula>$F10&lt;&gt;""</formula>
    </cfRule>
  </conditionalFormatting>
  <conditionalFormatting sqref="E3:E5 G2:G5">
    <cfRule type="cellIs" dxfId="1" priority="2" operator="equal">
      <formula>"No"</formula>
    </cfRule>
  </conditionalFormatting>
  <conditionalFormatting sqref="F10:F565">
    <cfRule type="expression" dxfId="0" priority="1">
      <formula>$F10&lt;&gt;""</formula>
    </cfRule>
  </conditionalFormatting>
  <dataValidations disablePrompts="1" count="1">
    <dataValidation type="list" allowBlank="1" showInputMessage="1" showErrorMessage="1" sqref="E3:E5 G2:G5" xr:uid="{2A172360-FD2B-466F-9F63-64BD5C4ACF90}">
      <formula1>"Yes, No, N/A"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LearningSpringWithSpringBoot</vt:lpstr>
      <vt:lpstr>Creating Your First Spring Boot</vt:lpstr>
      <vt:lpstr>Spring  Spring 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</dc:creator>
  <cp:lastModifiedBy>Zachary</cp:lastModifiedBy>
  <dcterms:created xsi:type="dcterms:W3CDTF">2023-06-30T17:15:57Z</dcterms:created>
  <dcterms:modified xsi:type="dcterms:W3CDTF">2023-07-11T16:47:25Z</dcterms:modified>
</cp:coreProperties>
</file>