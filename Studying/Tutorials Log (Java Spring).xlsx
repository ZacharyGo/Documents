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utorials\Programming\Java Spring\"/>
    </mc:Choice>
  </mc:AlternateContent>
  <xr:revisionPtr revIDLastSave="0" documentId="13_ncr:1_{27F75D15-C7FE-45B3-8A10-75308BD60296}" xr6:coauthVersionLast="47" xr6:coauthVersionMax="47" xr10:uidLastSave="{00000000-0000-0000-0000-000000000000}"/>
  <bookViews>
    <workbookView xWindow="-120" yWindow="-120" windowWidth="29040" windowHeight="17790" tabRatio="905" activeTab="4" xr2:uid="{4C87B234-F134-4E2E-93E2-A2F390832F36}"/>
  </bookViews>
  <sheets>
    <sheet name="LearningSpringWithSpringBoot" sheetId="3" r:id="rId1"/>
    <sheet name="Spring Boot Tricks" sheetId="4" r:id="rId2"/>
    <sheet name="Getting Started with Java, Mave" sheetId="5" r:id="rId3"/>
    <sheet name="Sheet2" sheetId="6" r:id="rId4"/>
    <sheet name="Complete guide from development" sheetId="7" r:id="rId5"/>
    <sheet name="Spring Framework And Dependency" sheetId="8" r:id="rId6"/>
    <sheet name="Framework in Depth" sheetId="9" r:id="rId7"/>
  </sheets>
  <definedNames>
    <definedName name="_xlnm._FilterDatabase" localSheetId="6" hidden="1">'Framework in Depth'!$A$11:$Z$566</definedName>
    <definedName name="_xlnm._FilterDatabase" localSheetId="5" hidden="1">'Spring Framework And Dependency'!$A$10:$W$565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9" l="1"/>
  <c r="F71" i="9"/>
  <c r="V71" i="9" s="1"/>
  <c r="F66" i="9"/>
  <c r="F63" i="9"/>
  <c r="F60" i="9"/>
  <c r="V60" i="9" s="1"/>
  <c r="F57" i="9"/>
  <c r="F52" i="9"/>
  <c r="V52" i="9" s="1"/>
  <c r="F49" i="9"/>
  <c r="F46" i="9"/>
  <c r="F43" i="9"/>
  <c r="V43" i="9" s="1"/>
  <c r="F40" i="9"/>
  <c r="F37" i="9"/>
  <c r="F34" i="9"/>
  <c r="V34" i="9" s="1"/>
  <c r="F31" i="9"/>
  <c r="F25" i="9"/>
  <c r="V25" i="9" s="1"/>
  <c r="F22" i="9"/>
  <c r="F16" i="9"/>
  <c r="F13" i="9"/>
  <c r="F132" i="9"/>
  <c r="F127" i="9"/>
  <c r="F124" i="9"/>
  <c r="V124" i="9" s="1"/>
  <c r="F121" i="9"/>
  <c r="F118" i="9"/>
  <c r="F115" i="9"/>
  <c r="F112" i="9"/>
  <c r="V112" i="9" s="1"/>
  <c r="F109" i="9"/>
  <c r="V109" i="9" s="1"/>
  <c r="F106" i="9"/>
  <c r="V106" i="9" s="1"/>
  <c r="F101" i="9"/>
  <c r="F98" i="9"/>
  <c r="F95" i="9"/>
  <c r="F92" i="9"/>
  <c r="F89" i="9"/>
  <c r="F86" i="9"/>
  <c r="V86" i="9" s="1"/>
  <c r="F83" i="9"/>
  <c r="V83" i="9" s="1"/>
  <c r="F80" i="9"/>
  <c r="V80" i="9" s="1"/>
  <c r="F77" i="9"/>
  <c r="V77" i="9" s="1"/>
  <c r="V132" i="9"/>
  <c r="V127" i="9"/>
  <c r="V121" i="9"/>
  <c r="V118" i="9"/>
  <c r="V115" i="9"/>
  <c r="V101" i="9"/>
  <c r="V98" i="9"/>
  <c r="V95" i="9"/>
  <c r="V92" i="9"/>
  <c r="V89" i="9"/>
  <c r="V74" i="9"/>
  <c r="V66" i="9"/>
  <c r="V63" i="9"/>
  <c r="V57" i="9"/>
  <c r="V49" i="9"/>
  <c r="V46" i="9"/>
  <c r="V40" i="9"/>
  <c r="V37" i="9"/>
  <c r="V31" i="9"/>
  <c r="V22" i="9"/>
  <c r="V16" i="9"/>
  <c r="F76" i="9"/>
  <c r="F84" i="9"/>
  <c r="F99" i="9"/>
  <c r="F107" i="9"/>
  <c r="F123" i="9"/>
  <c r="F131" i="9"/>
  <c r="F139" i="9"/>
  <c r="F147" i="9"/>
  <c r="F148" i="9"/>
  <c r="F155" i="9"/>
  <c r="F156" i="9"/>
  <c r="F163" i="9"/>
  <c r="F164" i="9"/>
  <c r="F171" i="9"/>
  <c r="F172" i="9"/>
  <c r="F179" i="9"/>
  <c r="F180" i="9"/>
  <c r="F187" i="9"/>
  <c r="F195" i="9"/>
  <c r="F196" i="9"/>
  <c r="F203" i="9"/>
  <c r="F204" i="9"/>
  <c r="F212" i="9"/>
  <c r="F220" i="9"/>
  <c r="F228" i="9"/>
  <c r="F236" i="9"/>
  <c r="F244" i="9"/>
  <c r="F252" i="9"/>
  <c r="F260" i="9"/>
  <c r="F267" i="9"/>
  <c r="F268" i="9"/>
  <c r="F276" i="9"/>
  <c r="F284" i="9"/>
  <c r="F292" i="9"/>
  <c r="F299" i="9"/>
  <c r="F300" i="9"/>
  <c r="F307" i="9"/>
  <c r="F308" i="9"/>
  <c r="F315" i="9"/>
  <c r="F316" i="9"/>
  <c r="F323" i="9"/>
  <c r="F324" i="9"/>
  <c r="F331" i="9"/>
  <c r="F332" i="9"/>
  <c r="F339" i="9"/>
  <c r="F340" i="9"/>
  <c r="F347" i="9"/>
  <c r="F348" i="9"/>
  <c r="F355" i="9"/>
  <c r="F356" i="9"/>
  <c r="F363" i="9"/>
  <c r="F364" i="9"/>
  <c r="F371" i="9"/>
  <c r="F379" i="9"/>
  <c r="F380" i="9"/>
  <c r="F387" i="9"/>
  <c r="F388" i="9"/>
  <c r="F395" i="9"/>
  <c r="F396" i="9"/>
  <c r="F404" i="9"/>
  <c r="F412" i="9"/>
  <c r="F420" i="9"/>
  <c r="F428" i="9"/>
  <c r="F436" i="9"/>
  <c r="F444" i="9"/>
  <c r="F452" i="9"/>
  <c r="F459" i="9"/>
  <c r="F460" i="9"/>
  <c r="F467" i="9"/>
  <c r="F468" i="9"/>
  <c r="F475" i="9"/>
  <c r="F476" i="9"/>
  <c r="F483" i="9"/>
  <c r="F484" i="9"/>
  <c r="F491" i="9"/>
  <c r="F492" i="9"/>
  <c r="F499" i="9"/>
  <c r="F500" i="9"/>
  <c r="F507" i="9"/>
  <c r="F508" i="9"/>
  <c r="F515" i="9"/>
  <c r="F516" i="9"/>
  <c r="F523" i="9"/>
  <c r="F524" i="9"/>
  <c r="F531" i="9"/>
  <c r="F532" i="9"/>
  <c r="F539" i="9"/>
  <c r="F540" i="9"/>
  <c r="F547" i="9"/>
  <c r="F548" i="9"/>
  <c r="F555" i="9"/>
  <c r="F556" i="9"/>
  <c r="F563" i="9"/>
  <c r="F564" i="9"/>
  <c r="F566" i="9"/>
  <c r="F39" i="9"/>
  <c r="C566" i="9"/>
  <c r="G566" i="9" s="1"/>
  <c r="B566" i="9"/>
  <c r="C565" i="9"/>
  <c r="B565" i="9"/>
  <c r="C564" i="9"/>
  <c r="G564" i="9" s="1"/>
  <c r="B564" i="9"/>
  <c r="C563" i="9"/>
  <c r="B563" i="9"/>
  <c r="C562" i="9"/>
  <c r="F562" i="9" s="1"/>
  <c r="B562" i="9"/>
  <c r="C561" i="9"/>
  <c r="F561" i="9" s="1"/>
  <c r="B561" i="9"/>
  <c r="C560" i="9"/>
  <c r="G560" i="9" s="1"/>
  <c r="B560" i="9"/>
  <c r="C559" i="9"/>
  <c r="F559" i="9" s="1"/>
  <c r="B559" i="9"/>
  <c r="C558" i="9"/>
  <c r="F558" i="9" s="1"/>
  <c r="B558" i="9"/>
  <c r="C557" i="9"/>
  <c r="F557" i="9" s="1"/>
  <c r="B557" i="9"/>
  <c r="C556" i="9"/>
  <c r="G556" i="9" s="1"/>
  <c r="B556" i="9"/>
  <c r="C555" i="9"/>
  <c r="B555" i="9"/>
  <c r="C554" i="9"/>
  <c r="F554" i="9" s="1"/>
  <c r="B554" i="9"/>
  <c r="C553" i="9"/>
  <c r="F553" i="9" s="1"/>
  <c r="B553" i="9"/>
  <c r="C552" i="9"/>
  <c r="G552" i="9" s="1"/>
  <c r="B552" i="9"/>
  <c r="C551" i="9"/>
  <c r="F551" i="9" s="1"/>
  <c r="B551" i="9"/>
  <c r="C550" i="9"/>
  <c r="F550" i="9" s="1"/>
  <c r="B550" i="9"/>
  <c r="C549" i="9"/>
  <c r="F549" i="9" s="1"/>
  <c r="B549" i="9"/>
  <c r="C548" i="9"/>
  <c r="G548" i="9" s="1"/>
  <c r="B548" i="9"/>
  <c r="C547" i="9"/>
  <c r="G547" i="9" s="1"/>
  <c r="B547" i="9"/>
  <c r="C546" i="9"/>
  <c r="G546" i="9" s="1"/>
  <c r="B546" i="9"/>
  <c r="C545" i="9"/>
  <c r="F545" i="9" s="1"/>
  <c r="B545" i="9"/>
  <c r="C544" i="9"/>
  <c r="G544" i="9" s="1"/>
  <c r="B544" i="9"/>
  <c r="C543" i="9"/>
  <c r="G543" i="9" s="1"/>
  <c r="B543" i="9"/>
  <c r="C542" i="9"/>
  <c r="F542" i="9" s="1"/>
  <c r="B542" i="9"/>
  <c r="C541" i="9"/>
  <c r="F541" i="9" s="1"/>
  <c r="B541" i="9"/>
  <c r="C540" i="9"/>
  <c r="B540" i="9"/>
  <c r="C539" i="9"/>
  <c r="G539" i="9" s="1"/>
  <c r="H539" i="9" s="1"/>
  <c r="B539" i="9"/>
  <c r="C538" i="9"/>
  <c r="G538" i="9" s="1"/>
  <c r="B538" i="9"/>
  <c r="C537" i="9"/>
  <c r="F537" i="9" s="1"/>
  <c r="B537" i="9"/>
  <c r="C536" i="9"/>
  <c r="G536" i="9" s="1"/>
  <c r="B536" i="9"/>
  <c r="C535" i="9"/>
  <c r="F535" i="9" s="1"/>
  <c r="B535" i="9"/>
  <c r="C534" i="9"/>
  <c r="G534" i="9" s="1"/>
  <c r="B534" i="9"/>
  <c r="C533" i="9"/>
  <c r="F533" i="9" s="1"/>
  <c r="B533" i="9"/>
  <c r="C532" i="9"/>
  <c r="G532" i="9" s="1"/>
  <c r="B532" i="9"/>
  <c r="C531" i="9"/>
  <c r="G531" i="9" s="1"/>
  <c r="B531" i="9"/>
  <c r="C530" i="9"/>
  <c r="F530" i="9" s="1"/>
  <c r="B530" i="9"/>
  <c r="C529" i="9"/>
  <c r="B529" i="9"/>
  <c r="C528" i="9"/>
  <c r="F528" i="9" s="1"/>
  <c r="B528" i="9"/>
  <c r="C527" i="9"/>
  <c r="G527" i="9" s="1"/>
  <c r="I527" i="9" s="1"/>
  <c r="B527" i="9"/>
  <c r="C526" i="9"/>
  <c r="G526" i="9" s="1"/>
  <c r="B526" i="9"/>
  <c r="C525" i="9"/>
  <c r="F525" i="9" s="1"/>
  <c r="B525" i="9"/>
  <c r="C524" i="9"/>
  <c r="G524" i="9" s="1"/>
  <c r="B524" i="9"/>
  <c r="C523" i="9"/>
  <c r="G523" i="9" s="1"/>
  <c r="B523" i="9"/>
  <c r="C522" i="9"/>
  <c r="F522" i="9" s="1"/>
  <c r="B522" i="9"/>
  <c r="C521" i="9"/>
  <c r="B521" i="9"/>
  <c r="C520" i="9"/>
  <c r="F520" i="9" s="1"/>
  <c r="B520" i="9"/>
  <c r="C519" i="9"/>
  <c r="G519" i="9" s="1"/>
  <c r="B519" i="9"/>
  <c r="C518" i="9"/>
  <c r="G518" i="9" s="1"/>
  <c r="B518" i="9"/>
  <c r="C517" i="9"/>
  <c r="F517" i="9" s="1"/>
  <c r="B517" i="9"/>
  <c r="C516" i="9"/>
  <c r="G516" i="9" s="1"/>
  <c r="B516" i="9"/>
  <c r="C515" i="9"/>
  <c r="G515" i="9" s="1"/>
  <c r="B515" i="9"/>
  <c r="C514" i="9"/>
  <c r="G514" i="9" s="1"/>
  <c r="B514" i="9"/>
  <c r="C513" i="9"/>
  <c r="F513" i="9" s="1"/>
  <c r="B513" i="9"/>
  <c r="C512" i="9"/>
  <c r="G512" i="9" s="1"/>
  <c r="B512" i="9"/>
  <c r="C511" i="9"/>
  <c r="F511" i="9" s="1"/>
  <c r="B511" i="9"/>
  <c r="G510" i="9"/>
  <c r="C510" i="9"/>
  <c r="F510" i="9" s="1"/>
  <c r="B510" i="9"/>
  <c r="C509" i="9"/>
  <c r="F509" i="9" s="1"/>
  <c r="B509" i="9"/>
  <c r="C508" i="9"/>
  <c r="B508" i="9"/>
  <c r="C507" i="9"/>
  <c r="B507" i="9"/>
  <c r="C506" i="9"/>
  <c r="G506" i="9" s="1"/>
  <c r="B506" i="9"/>
  <c r="C505" i="9"/>
  <c r="F505" i="9" s="1"/>
  <c r="B505" i="9"/>
  <c r="C504" i="9"/>
  <c r="F504" i="9" s="1"/>
  <c r="B504" i="9"/>
  <c r="C503" i="9"/>
  <c r="F503" i="9" s="1"/>
  <c r="B503" i="9"/>
  <c r="C502" i="9"/>
  <c r="F502" i="9" s="1"/>
  <c r="B502" i="9"/>
  <c r="C501" i="9"/>
  <c r="B501" i="9"/>
  <c r="C500" i="9"/>
  <c r="G500" i="9" s="1"/>
  <c r="B500" i="9"/>
  <c r="C499" i="9"/>
  <c r="G499" i="9" s="1"/>
  <c r="B499" i="9"/>
  <c r="C498" i="9"/>
  <c r="G498" i="9" s="1"/>
  <c r="B498" i="9"/>
  <c r="C497" i="9"/>
  <c r="B497" i="9"/>
  <c r="C496" i="9"/>
  <c r="G496" i="9" s="1"/>
  <c r="B496" i="9"/>
  <c r="C495" i="9"/>
  <c r="G495" i="9" s="1"/>
  <c r="B495" i="9"/>
  <c r="C494" i="9"/>
  <c r="G494" i="9" s="1"/>
  <c r="B494" i="9"/>
  <c r="C493" i="9"/>
  <c r="B493" i="9"/>
  <c r="C492" i="9"/>
  <c r="G492" i="9" s="1"/>
  <c r="B492" i="9"/>
  <c r="C491" i="9"/>
  <c r="G491" i="9" s="1"/>
  <c r="B491" i="9"/>
  <c r="C490" i="9"/>
  <c r="F490" i="9" s="1"/>
  <c r="B490" i="9"/>
  <c r="C489" i="9"/>
  <c r="B489" i="9"/>
  <c r="C488" i="9"/>
  <c r="G488" i="9" s="1"/>
  <c r="B488" i="9"/>
  <c r="C487" i="9"/>
  <c r="G487" i="9" s="1"/>
  <c r="B487" i="9"/>
  <c r="C486" i="9"/>
  <c r="G486" i="9" s="1"/>
  <c r="B486" i="9"/>
  <c r="C485" i="9"/>
  <c r="B485" i="9"/>
  <c r="C484" i="9"/>
  <c r="G484" i="9" s="1"/>
  <c r="B484" i="9"/>
  <c r="C483" i="9"/>
  <c r="G483" i="9" s="1"/>
  <c r="I483" i="9" s="1"/>
  <c r="B483" i="9"/>
  <c r="C482" i="9"/>
  <c r="G482" i="9" s="1"/>
  <c r="B482" i="9"/>
  <c r="C481" i="9"/>
  <c r="B481" i="9"/>
  <c r="C480" i="9"/>
  <c r="G480" i="9" s="1"/>
  <c r="B480" i="9"/>
  <c r="C479" i="9"/>
  <c r="G479" i="9" s="1"/>
  <c r="B479" i="9"/>
  <c r="C478" i="9"/>
  <c r="G478" i="9" s="1"/>
  <c r="B478" i="9"/>
  <c r="C477" i="9"/>
  <c r="B477" i="9"/>
  <c r="C476" i="9"/>
  <c r="G476" i="9" s="1"/>
  <c r="B476" i="9"/>
  <c r="C475" i="9"/>
  <c r="G475" i="9" s="1"/>
  <c r="B475" i="9"/>
  <c r="C474" i="9"/>
  <c r="G474" i="9" s="1"/>
  <c r="B474" i="9"/>
  <c r="C473" i="9"/>
  <c r="B473" i="9"/>
  <c r="C472" i="9"/>
  <c r="G472" i="9" s="1"/>
  <c r="I472" i="9" s="1"/>
  <c r="B472" i="9"/>
  <c r="C471" i="9"/>
  <c r="G471" i="9" s="1"/>
  <c r="B471" i="9"/>
  <c r="C470" i="9"/>
  <c r="F470" i="9" s="1"/>
  <c r="B470" i="9"/>
  <c r="C469" i="9"/>
  <c r="B469" i="9"/>
  <c r="C468" i="9"/>
  <c r="G468" i="9" s="1"/>
  <c r="B468" i="9"/>
  <c r="C467" i="9"/>
  <c r="B467" i="9"/>
  <c r="C466" i="9"/>
  <c r="B466" i="9"/>
  <c r="C465" i="9"/>
  <c r="F465" i="9" s="1"/>
  <c r="B465" i="9"/>
  <c r="C464" i="9"/>
  <c r="G464" i="9" s="1"/>
  <c r="B464" i="9"/>
  <c r="G463" i="9"/>
  <c r="C463" i="9"/>
  <c r="F463" i="9" s="1"/>
  <c r="B463" i="9"/>
  <c r="C462" i="9"/>
  <c r="F462" i="9" s="1"/>
  <c r="B462" i="9"/>
  <c r="C461" i="9"/>
  <c r="G461" i="9" s="1"/>
  <c r="B461" i="9"/>
  <c r="C460" i="9"/>
  <c r="B460" i="9"/>
  <c r="C459" i="9"/>
  <c r="B459" i="9"/>
  <c r="C458" i="9"/>
  <c r="F458" i="9" s="1"/>
  <c r="B458" i="9"/>
  <c r="C457" i="9"/>
  <c r="G457" i="9" s="1"/>
  <c r="B457" i="9"/>
  <c r="C456" i="9"/>
  <c r="G456" i="9" s="1"/>
  <c r="B456" i="9"/>
  <c r="C455" i="9"/>
  <c r="G455" i="9" s="1"/>
  <c r="B455" i="9"/>
  <c r="C454" i="9"/>
  <c r="B454" i="9"/>
  <c r="C453" i="9"/>
  <c r="F453" i="9" s="1"/>
  <c r="B453" i="9"/>
  <c r="G452" i="9"/>
  <c r="H452" i="9" s="1"/>
  <c r="C452" i="9"/>
  <c r="B452" i="9"/>
  <c r="C451" i="9"/>
  <c r="G451" i="9" s="1"/>
  <c r="B451" i="9"/>
  <c r="C450" i="9"/>
  <c r="F450" i="9" s="1"/>
  <c r="B450" i="9"/>
  <c r="C449" i="9"/>
  <c r="G449" i="9" s="1"/>
  <c r="B449" i="9"/>
  <c r="C448" i="9"/>
  <c r="F448" i="9" s="1"/>
  <c r="B448" i="9"/>
  <c r="C447" i="9"/>
  <c r="F447" i="9" s="1"/>
  <c r="B447" i="9"/>
  <c r="C446" i="9"/>
  <c r="G446" i="9" s="1"/>
  <c r="B446" i="9"/>
  <c r="C445" i="9"/>
  <c r="F445" i="9" s="1"/>
  <c r="B445" i="9"/>
  <c r="C444" i="9"/>
  <c r="G444" i="9" s="1"/>
  <c r="B444" i="9"/>
  <c r="C443" i="9"/>
  <c r="G443" i="9" s="1"/>
  <c r="B443" i="9"/>
  <c r="C442" i="9"/>
  <c r="F442" i="9" s="1"/>
  <c r="B442" i="9"/>
  <c r="C441" i="9"/>
  <c r="G441" i="9" s="1"/>
  <c r="B441" i="9"/>
  <c r="C440" i="9"/>
  <c r="F440" i="9" s="1"/>
  <c r="B440" i="9"/>
  <c r="C439" i="9"/>
  <c r="B439" i="9"/>
  <c r="C438" i="9"/>
  <c r="F438" i="9" s="1"/>
  <c r="B438" i="9"/>
  <c r="C437" i="9"/>
  <c r="F437" i="9" s="1"/>
  <c r="B437" i="9"/>
  <c r="C436" i="9"/>
  <c r="B436" i="9"/>
  <c r="C435" i="9"/>
  <c r="G435" i="9" s="1"/>
  <c r="B435" i="9"/>
  <c r="C434" i="9"/>
  <c r="F434" i="9" s="1"/>
  <c r="B434" i="9"/>
  <c r="C433" i="9"/>
  <c r="G433" i="9" s="1"/>
  <c r="B433" i="9"/>
  <c r="C432" i="9"/>
  <c r="F432" i="9" s="1"/>
  <c r="B432" i="9"/>
  <c r="C431" i="9"/>
  <c r="B431" i="9"/>
  <c r="C430" i="9"/>
  <c r="F430" i="9" s="1"/>
  <c r="B430" i="9"/>
  <c r="C429" i="9"/>
  <c r="G429" i="9" s="1"/>
  <c r="B429" i="9"/>
  <c r="C428" i="9"/>
  <c r="G428" i="9" s="1"/>
  <c r="B428" i="9"/>
  <c r="C427" i="9"/>
  <c r="F427" i="9" s="1"/>
  <c r="B427" i="9"/>
  <c r="C426" i="9"/>
  <c r="F426" i="9" s="1"/>
  <c r="B426" i="9"/>
  <c r="C425" i="9"/>
  <c r="F425" i="9" s="1"/>
  <c r="B425" i="9"/>
  <c r="C424" i="9"/>
  <c r="F424" i="9" s="1"/>
  <c r="B424" i="9"/>
  <c r="C423" i="9"/>
  <c r="F423" i="9" s="1"/>
  <c r="B423" i="9"/>
  <c r="C422" i="9"/>
  <c r="F422" i="9" s="1"/>
  <c r="B422" i="9"/>
  <c r="C421" i="9"/>
  <c r="F421" i="9" s="1"/>
  <c r="B421" i="9"/>
  <c r="C420" i="9"/>
  <c r="B420" i="9"/>
  <c r="C419" i="9"/>
  <c r="F419" i="9" s="1"/>
  <c r="B419" i="9"/>
  <c r="C418" i="9"/>
  <c r="F418" i="9" s="1"/>
  <c r="B418" i="9"/>
  <c r="C417" i="9"/>
  <c r="F417" i="9" s="1"/>
  <c r="B417" i="9"/>
  <c r="C416" i="9"/>
  <c r="F416" i="9" s="1"/>
  <c r="B416" i="9"/>
  <c r="C415" i="9"/>
  <c r="F415" i="9" s="1"/>
  <c r="B415" i="9"/>
  <c r="C414" i="9"/>
  <c r="F414" i="9" s="1"/>
  <c r="B414" i="9"/>
  <c r="C413" i="9"/>
  <c r="F413" i="9" s="1"/>
  <c r="B413" i="9"/>
  <c r="C412" i="9"/>
  <c r="B412" i="9"/>
  <c r="C411" i="9"/>
  <c r="F411" i="9" s="1"/>
  <c r="B411" i="9"/>
  <c r="G410" i="9"/>
  <c r="C410" i="9"/>
  <c r="F410" i="9" s="1"/>
  <c r="B410" i="9"/>
  <c r="C409" i="9"/>
  <c r="G409" i="9" s="1"/>
  <c r="B409" i="9"/>
  <c r="C408" i="9"/>
  <c r="F408" i="9" s="1"/>
  <c r="B408" i="9"/>
  <c r="C407" i="9"/>
  <c r="B407" i="9"/>
  <c r="C406" i="9"/>
  <c r="F406" i="9" s="1"/>
  <c r="B406" i="9"/>
  <c r="C405" i="9"/>
  <c r="F405" i="9" s="1"/>
  <c r="B405" i="9"/>
  <c r="C404" i="9"/>
  <c r="G404" i="9" s="1"/>
  <c r="B404" i="9"/>
  <c r="C403" i="9"/>
  <c r="G403" i="9" s="1"/>
  <c r="B403" i="9"/>
  <c r="C402" i="9"/>
  <c r="G402" i="9" s="1"/>
  <c r="B402" i="9"/>
  <c r="C401" i="9"/>
  <c r="G401" i="9" s="1"/>
  <c r="B401" i="9"/>
  <c r="C400" i="9"/>
  <c r="G400" i="9" s="1"/>
  <c r="B400" i="9"/>
  <c r="C399" i="9"/>
  <c r="B399" i="9"/>
  <c r="C398" i="9"/>
  <c r="F398" i="9" s="1"/>
  <c r="B398" i="9"/>
  <c r="C397" i="9"/>
  <c r="F397" i="9" s="1"/>
  <c r="B397" i="9"/>
  <c r="C396" i="9"/>
  <c r="G396" i="9" s="1"/>
  <c r="B396" i="9"/>
  <c r="C395" i="9"/>
  <c r="B395" i="9"/>
  <c r="C394" i="9"/>
  <c r="F394" i="9" s="1"/>
  <c r="B394" i="9"/>
  <c r="C393" i="9"/>
  <c r="G393" i="9" s="1"/>
  <c r="B393" i="9"/>
  <c r="C392" i="9"/>
  <c r="G392" i="9" s="1"/>
  <c r="B392" i="9"/>
  <c r="C391" i="9"/>
  <c r="B391" i="9"/>
  <c r="C390" i="9"/>
  <c r="F390" i="9" s="1"/>
  <c r="B390" i="9"/>
  <c r="C389" i="9"/>
  <c r="F389" i="9" s="1"/>
  <c r="B389" i="9"/>
  <c r="C388" i="9"/>
  <c r="G388" i="9" s="1"/>
  <c r="B388" i="9"/>
  <c r="C387" i="9"/>
  <c r="G387" i="9" s="1"/>
  <c r="B387" i="9"/>
  <c r="C386" i="9"/>
  <c r="G386" i="9" s="1"/>
  <c r="B386" i="9"/>
  <c r="C385" i="9"/>
  <c r="G385" i="9" s="1"/>
  <c r="B385" i="9"/>
  <c r="C384" i="9"/>
  <c r="G384" i="9" s="1"/>
  <c r="B384" i="9"/>
  <c r="C383" i="9"/>
  <c r="B383" i="9"/>
  <c r="C382" i="9"/>
  <c r="F382" i="9" s="1"/>
  <c r="B382" i="9"/>
  <c r="C381" i="9"/>
  <c r="F381" i="9" s="1"/>
  <c r="B381" i="9"/>
  <c r="C380" i="9"/>
  <c r="G380" i="9" s="1"/>
  <c r="H380" i="9" s="1"/>
  <c r="B380" i="9"/>
  <c r="G379" i="9"/>
  <c r="C379" i="9"/>
  <c r="B379" i="9"/>
  <c r="C378" i="9"/>
  <c r="F378" i="9" s="1"/>
  <c r="B378" i="9"/>
  <c r="C377" i="9"/>
  <c r="G377" i="9" s="1"/>
  <c r="H377" i="9" s="1"/>
  <c r="B377" i="9"/>
  <c r="C376" i="9"/>
  <c r="B376" i="9"/>
  <c r="C375" i="9"/>
  <c r="G375" i="9" s="1"/>
  <c r="B375" i="9"/>
  <c r="C374" i="9"/>
  <c r="F374" i="9" s="1"/>
  <c r="B374" i="9"/>
  <c r="C373" i="9"/>
  <c r="F373" i="9" s="1"/>
  <c r="B373" i="9"/>
  <c r="I372" i="9"/>
  <c r="C372" i="9"/>
  <c r="G372" i="9" s="1"/>
  <c r="H372" i="9" s="1"/>
  <c r="B372" i="9"/>
  <c r="C371" i="9"/>
  <c r="B371" i="9"/>
  <c r="C370" i="9"/>
  <c r="G370" i="9" s="1"/>
  <c r="B370" i="9"/>
  <c r="C369" i="9"/>
  <c r="F369" i="9" s="1"/>
  <c r="B369" i="9"/>
  <c r="C368" i="9"/>
  <c r="B368" i="9"/>
  <c r="C367" i="9"/>
  <c r="F367" i="9" s="1"/>
  <c r="B367" i="9"/>
  <c r="C366" i="9"/>
  <c r="G366" i="9" s="1"/>
  <c r="B366" i="9"/>
  <c r="C365" i="9"/>
  <c r="F365" i="9" s="1"/>
  <c r="B365" i="9"/>
  <c r="G364" i="9"/>
  <c r="H364" i="9" s="1"/>
  <c r="C364" i="9"/>
  <c r="B364" i="9"/>
  <c r="C363" i="9"/>
  <c r="B363" i="9"/>
  <c r="C362" i="9"/>
  <c r="F362" i="9" s="1"/>
  <c r="B362" i="9"/>
  <c r="C361" i="9"/>
  <c r="F361" i="9" s="1"/>
  <c r="B361" i="9"/>
  <c r="C360" i="9"/>
  <c r="F360" i="9" s="1"/>
  <c r="B360" i="9"/>
  <c r="C359" i="9"/>
  <c r="F359" i="9" s="1"/>
  <c r="B359" i="9"/>
  <c r="C358" i="9"/>
  <c r="G358" i="9" s="1"/>
  <c r="B358" i="9"/>
  <c r="C357" i="9"/>
  <c r="F357" i="9" s="1"/>
  <c r="B357" i="9"/>
  <c r="C356" i="9"/>
  <c r="B356" i="9"/>
  <c r="C355" i="9"/>
  <c r="G355" i="9" s="1"/>
  <c r="H355" i="9" s="1"/>
  <c r="B355" i="9"/>
  <c r="C354" i="9"/>
  <c r="G354" i="9" s="1"/>
  <c r="I354" i="9" s="1"/>
  <c r="B354" i="9"/>
  <c r="C353" i="9"/>
  <c r="F353" i="9" s="1"/>
  <c r="B353" i="9"/>
  <c r="C352" i="9"/>
  <c r="G352" i="9" s="1"/>
  <c r="B352" i="9"/>
  <c r="C351" i="9"/>
  <c r="F351" i="9" s="1"/>
  <c r="B351" i="9"/>
  <c r="C350" i="9"/>
  <c r="G350" i="9" s="1"/>
  <c r="B350" i="9"/>
  <c r="C349" i="9"/>
  <c r="B349" i="9"/>
  <c r="C348" i="9"/>
  <c r="B348" i="9"/>
  <c r="C347" i="9"/>
  <c r="G347" i="9" s="1"/>
  <c r="H347" i="9" s="1"/>
  <c r="B347" i="9"/>
  <c r="C346" i="9"/>
  <c r="F346" i="9" s="1"/>
  <c r="B346" i="9"/>
  <c r="G345" i="9"/>
  <c r="I345" i="9" s="1"/>
  <c r="C345" i="9"/>
  <c r="F345" i="9" s="1"/>
  <c r="B345" i="9"/>
  <c r="C344" i="9"/>
  <c r="F344" i="9" s="1"/>
  <c r="B344" i="9"/>
  <c r="C343" i="9"/>
  <c r="F343" i="9" s="1"/>
  <c r="B343" i="9"/>
  <c r="C342" i="9"/>
  <c r="F342" i="9" s="1"/>
  <c r="B342" i="9"/>
  <c r="C341" i="9"/>
  <c r="F341" i="9" s="1"/>
  <c r="B341" i="9"/>
  <c r="C340" i="9"/>
  <c r="B340" i="9"/>
  <c r="C339" i="9"/>
  <c r="G339" i="9" s="1"/>
  <c r="B339" i="9"/>
  <c r="C338" i="9"/>
  <c r="F338" i="9" s="1"/>
  <c r="B338" i="9"/>
  <c r="C337" i="9"/>
  <c r="F337" i="9" s="1"/>
  <c r="B337" i="9"/>
  <c r="C336" i="9"/>
  <c r="F336" i="9" s="1"/>
  <c r="B336" i="9"/>
  <c r="C335" i="9"/>
  <c r="G335" i="9" s="1"/>
  <c r="B335" i="9"/>
  <c r="C334" i="9"/>
  <c r="B334" i="9"/>
  <c r="C333" i="9"/>
  <c r="F333" i="9" s="1"/>
  <c r="B333" i="9"/>
  <c r="C332" i="9"/>
  <c r="B332" i="9"/>
  <c r="C331" i="9"/>
  <c r="G331" i="9" s="1"/>
  <c r="B331" i="9"/>
  <c r="C330" i="9"/>
  <c r="F330" i="9" s="1"/>
  <c r="B330" i="9"/>
  <c r="C329" i="9"/>
  <c r="F329" i="9" s="1"/>
  <c r="B329" i="9"/>
  <c r="C328" i="9"/>
  <c r="F328" i="9" s="1"/>
  <c r="B328" i="9"/>
  <c r="C327" i="9"/>
  <c r="G327" i="9" s="1"/>
  <c r="B327" i="9"/>
  <c r="C326" i="9"/>
  <c r="B326" i="9"/>
  <c r="C325" i="9"/>
  <c r="F325" i="9" s="1"/>
  <c r="B325" i="9"/>
  <c r="C324" i="9"/>
  <c r="B324" i="9"/>
  <c r="G323" i="9"/>
  <c r="C323" i="9"/>
  <c r="B323" i="9"/>
  <c r="C322" i="9"/>
  <c r="F322" i="9" s="1"/>
  <c r="B322" i="9"/>
  <c r="C321" i="9"/>
  <c r="F321" i="9" s="1"/>
  <c r="B321" i="9"/>
  <c r="C320" i="9"/>
  <c r="F320" i="9" s="1"/>
  <c r="B320" i="9"/>
  <c r="C319" i="9"/>
  <c r="G319" i="9" s="1"/>
  <c r="B319" i="9"/>
  <c r="C318" i="9"/>
  <c r="B318" i="9"/>
  <c r="C317" i="9"/>
  <c r="F317" i="9" s="1"/>
  <c r="B317" i="9"/>
  <c r="C316" i="9"/>
  <c r="B316" i="9"/>
  <c r="C315" i="9"/>
  <c r="G315" i="9" s="1"/>
  <c r="B315" i="9"/>
  <c r="C314" i="9"/>
  <c r="F314" i="9" s="1"/>
  <c r="B314" i="9"/>
  <c r="C313" i="9"/>
  <c r="G313" i="9" s="1"/>
  <c r="B313" i="9"/>
  <c r="C312" i="9"/>
  <c r="F312" i="9" s="1"/>
  <c r="B312" i="9"/>
  <c r="C311" i="9"/>
  <c r="F311" i="9" s="1"/>
  <c r="B311" i="9"/>
  <c r="C310" i="9"/>
  <c r="B310" i="9"/>
  <c r="C309" i="9"/>
  <c r="G309" i="9" s="1"/>
  <c r="B309" i="9"/>
  <c r="C308" i="9"/>
  <c r="G308" i="9" s="1"/>
  <c r="B308" i="9"/>
  <c r="C307" i="9"/>
  <c r="G307" i="9" s="1"/>
  <c r="B307" i="9"/>
  <c r="C306" i="9"/>
  <c r="B306" i="9"/>
  <c r="C305" i="9"/>
  <c r="F305" i="9" s="1"/>
  <c r="B305" i="9"/>
  <c r="C304" i="9"/>
  <c r="G304" i="9" s="1"/>
  <c r="B304" i="9"/>
  <c r="C303" i="9"/>
  <c r="F303" i="9" s="1"/>
  <c r="B303" i="9"/>
  <c r="C302" i="9"/>
  <c r="B302" i="9"/>
  <c r="C301" i="9"/>
  <c r="G301" i="9" s="1"/>
  <c r="B301" i="9"/>
  <c r="C300" i="9"/>
  <c r="B300" i="9"/>
  <c r="C299" i="9"/>
  <c r="B299" i="9"/>
  <c r="C298" i="9"/>
  <c r="B298" i="9"/>
  <c r="C297" i="9"/>
  <c r="G297" i="9" s="1"/>
  <c r="B297" i="9"/>
  <c r="C296" i="9"/>
  <c r="G296" i="9" s="1"/>
  <c r="B296" i="9"/>
  <c r="C295" i="9"/>
  <c r="G295" i="9" s="1"/>
  <c r="B295" i="9"/>
  <c r="C294" i="9"/>
  <c r="B294" i="9"/>
  <c r="C293" i="9"/>
  <c r="G293" i="9" s="1"/>
  <c r="B293" i="9"/>
  <c r="C292" i="9"/>
  <c r="G292" i="9" s="1"/>
  <c r="B292" i="9"/>
  <c r="C291" i="9"/>
  <c r="G291" i="9" s="1"/>
  <c r="I291" i="9" s="1"/>
  <c r="B291" i="9"/>
  <c r="C290" i="9"/>
  <c r="F290" i="9" s="1"/>
  <c r="B290" i="9"/>
  <c r="C289" i="9"/>
  <c r="G289" i="9" s="1"/>
  <c r="I289" i="9" s="1"/>
  <c r="B289" i="9"/>
  <c r="C288" i="9"/>
  <c r="G288" i="9" s="1"/>
  <c r="B288" i="9"/>
  <c r="C287" i="9"/>
  <c r="B287" i="9"/>
  <c r="C286" i="9"/>
  <c r="G286" i="9" s="1"/>
  <c r="B286" i="9"/>
  <c r="C285" i="9"/>
  <c r="G285" i="9" s="1"/>
  <c r="B285" i="9"/>
  <c r="C284" i="9"/>
  <c r="G284" i="9" s="1"/>
  <c r="B284" i="9"/>
  <c r="C283" i="9"/>
  <c r="F283" i="9" s="1"/>
  <c r="B283" i="9"/>
  <c r="C282" i="9"/>
  <c r="G282" i="9" s="1"/>
  <c r="B282" i="9"/>
  <c r="C281" i="9"/>
  <c r="G281" i="9" s="1"/>
  <c r="B281" i="9"/>
  <c r="C280" i="9"/>
  <c r="G280" i="9" s="1"/>
  <c r="B280" i="9"/>
  <c r="C279" i="9"/>
  <c r="B279" i="9"/>
  <c r="C278" i="9"/>
  <c r="G278" i="9" s="1"/>
  <c r="B278" i="9"/>
  <c r="C277" i="9"/>
  <c r="G277" i="9" s="1"/>
  <c r="B277" i="9"/>
  <c r="C276" i="9"/>
  <c r="G276" i="9" s="1"/>
  <c r="I276" i="9" s="1"/>
  <c r="B276" i="9"/>
  <c r="C275" i="9"/>
  <c r="G275" i="9" s="1"/>
  <c r="B275" i="9"/>
  <c r="C274" i="9"/>
  <c r="G274" i="9" s="1"/>
  <c r="I274" i="9" s="1"/>
  <c r="B274" i="9"/>
  <c r="C273" i="9"/>
  <c r="F273" i="9" s="1"/>
  <c r="B273" i="9"/>
  <c r="C272" i="9"/>
  <c r="G272" i="9" s="1"/>
  <c r="B272" i="9"/>
  <c r="C271" i="9"/>
  <c r="B271" i="9"/>
  <c r="C270" i="9"/>
  <c r="G270" i="9" s="1"/>
  <c r="B270" i="9"/>
  <c r="C269" i="9"/>
  <c r="G269" i="9" s="1"/>
  <c r="B269" i="9"/>
  <c r="C268" i="9"/>
  <c r="G268" i="9" s="1"/>
  <c r="B268" i="9"/>
  <c r="C267" i="9"/>
  <c r="G267" i="9" s="1"/>
  <c r="B267" i="9"/>
  <c r="C266" i="9"/>
  <c r="G266" i="9" s="1"/>
  <c r="B266" i="9"/>
  <c r="C265" i="9"/>
  <c r="G265" i="9" s="1"/>
  <c r="B265" i="9"/>
  <c r="C264" i="9"/>
  <c r="G264" i="9" s="1"/>
  <c r="B264" i="9"/>
  <c r="C263" i="9"/>
  <c r="B263" i="9"/>
  <c r="C262" i="9"/>
  <c r="F262" i="9" s="1"/>
  <c r="B262" i="9"/>
  <c r="C261" i="9"/>
  <c r="G261" i="9" s="1"/>
  <c r="B261" i="9"/>
  <c r="C260" i="9"/>
  <c r="G260" i="9" s="1"/>
  <c r="B260" i="9"/>
  <c r="C259" i="9"/>
  <c r="B259" i="9"/>
  <c r="C258" i="9"/>
  <c r="F258" i="9" s="1"/>
  <c r="B258" i="9"/>
  <c r="C257" i="9"/>
  <c r="G257" i="9" s="1"/>
  <c r="B257" i="9"/>
  <c r="C256" i="9"/>
  <c r="G256" i="9" s="1"/>
  <c r="B256" i="9"/>
  <c r="C255" i="9"/>
  <c r="B255" i="9"/>
  <c r="C254" i="9"/>
  <c r="G254" i="9" s="1"/>
  <c r="B254" i="9"/>
  <c r="C253" i="9"/>
  <c r="G253" i="9" s="1"/>
  <c r="B253" i="9"/>
  <c r="C252" i="9"/>
  <c r="G252" i="9" s="1"/>
  <c r="B252" i="9"/>
  <c r="C251" i="9"/>
  <c r="F251" i="9" s="1"/>
  <c r="B251" i="9"/>
  <c r="C250" i="9"/>
  <c r="F250" i="9" s="1"/>
  <c r="B250" i="9"/>
  <c r="C249" i="9"/>
  <c r="G249" i="9" s="1"/>
  <c r="B249" i="9"/>
  <c r="C248" i="9"/>
  <c r="G248" i="9" s="1"/>
  <c r="B248" i="9"/>
  <c r="C247" i="9"/>
  <c r="B247" i="9"/>
  <c r="C246" i="9"/>
  <c r="F246" i="9" s="1"/>
  <c r="B246" i="9"/>
  <c r="C245" i="9"/>
  <c r="G245" i="9" s="1"/>
  <c r="B245" i="9"/>
  <c r="C244" i="9"/>
  <c r="B244" i="9"/>
  <c r="C243" i="9"/>
  <c r="B243" i="9"/>
  <c r="C242" i="9"/>
  <c r="G242" i="9" s="1"/>
  <c r="I242" i="9" s="1"/>
  <c r="B242" i="9"/>
  <c r="C241" i="9"/>
  <c r="G241" i="9" s="1"/>
  <c r="B241" i="9"/>
  <c r="C240" i="9"/>
  <c r="G240" i="9" s="1"/>
  <c r="B240" i="9"/>
  <c r="C239" i="9"/>
  <c r="F239" i="9" s="1"/>
  <c r="B239" i="9"/>
  <c r="C238" i="9"/>
  <c r="F238" i="9" s="1"/>
  <c r="B238" i="9"/>
  <c r="C237" i="9"/>
  <c r="F237" i="9" s="1"/>
  <c r="B237" i="9"/>
  <c r="C236" i="9"/>
  <c r="G236" i="9" s="1"/>
  <c r="B236" i="9"/>
  <c r="C235" i="9"/>
  <c r="B235" i="9"/>
  <c r="C234" i="9"/>
  <c r="G234" i="9" s="1"/>
  <c r="B234" i="9"/>
  <c r="C233" i="9"/>
  <c r="G233" i="9" s="1"/>
  <c r="B233" i="9"/>
  <c r="C232" i="9"/>
  <c r="G232" i="9" s="1"/>
  <c r="B232" i="9"/>
  <c r="C231" i="9"/>
  <c r="B231" i="9"/>
  <c r="C230" i="9"/>
  <c r="G230" i="9" s="1"/>
  <c r="B230" i="9"/>
  <c r="C229" i="9"/>
  <c r="G229" i="9" s="1"/>
  <c r="B229" i="9"/>
  <c r="C228" i="9"/>
  <c r="G228" i="9" s="1"/>
  <c r="B228" i="9"/>
  <c r="C227" i="9"/>
  <c r="B227" i="9"/>
  <c r="C226" i="9"/>
  <c r="G226" i="9" s="1"/>
  <c r="B226" i="9"/>
  <c r="C225" i="9"/>
  <c r="G225" i="9" s="1"/>
  <c r="B225" i="9"/>
  <c r="C224" i="9"/>
  <c r="G224" i="9" s="1"/>
  <c r="B224" i="9"/>
  <c r="C223" i="9"/>
  <c r="B223" i="9"/>
  <c r="C222" i="9"/>
  <c r="G222" i="9" s="1"/>
  <c r="I222" i="9" s="1"/>
  <c r="B222" i="9"/>
  <c r="C221" i="9"/>
  <c r="G221" i="9" s="1"/>
  <c r="B221" i="9"/>
  <c r="C220" i="9"/>
  <c r="B220" i="9"/>
  <c r="C219" i="9"/>
  <c r="F219" i="9" s="1"/>
  <c r="B219" i="9"/>
  <c r="C218" i="9"/>
  <c r="G218" i="9" s="1"/>
  <c r="B218" i="9"/>
  <c r="C217" i="9"/>
  <c r="G217" i="9" s="1"/>
  <c r="I217" i="9" s="1"/>
  <c r="B217" i="9"/>
  <c r="C216" i="9"/>
  <c r="G216" i="9" s="1"/>
  <c r="B216" i="9"/>
  <c r="C215" i="9"/>
  <c r="F215" i="9" s="1"/>
  <c r="B215" i="9"/>
  <c r="C214" i="9"/>
  <c r="G214" i="9" s="1"/>
  <c r="B214" i="9"/>
  <c r="C213" i="9"/>
  <c r="B213" i="9"/>
  <c r="C212" i="9"/>
  <c r="G212" i="9" s="1"/>
  <c r="B212" i="9"/>
  <c r="C211" i="9"/>
  <c r="F211" i="9" s="1"/>
  <c r="B211" i="9"/>
  <c r="C210" i="9"/>
  <c r="G210" i="9" s="1"/>
  <c r="B210" i="9"/>
  <c r="C209" i="9"/>
  <c r="B209" i="9"/>
  <c r="C208" i="9"/>
  <c r="G208" i="9" s="1"/>
  <c r="B208" i="9"/>
  <c r="G207" i="9"/>
  <c r="I207" i="9" s="1"/>
  <c r="C207" i="9"/>
  <c r="F207" i="9" s="1"/>
  <c r="B207" i="9"/>
  <c r="C206" i="9"/>
  <c r="G206" i="9" s="1"/>
  <c r="B206" i="9"/>
  <c r="C205" i="9"/>
  <c r="G205" i="9" s="1"/>
  <c r="I205" i="9" s="1"/>
  <c r="B205" i="9"/>
  <c r="C204" i="9"/>
  <c r="G204" i="9" s="1"/>
  <c r="B204" i="9"/>
  <c r="C203" i="9"/>
  <c r="B203" i="9"/>
  <c r="C202" i="9"/>
  <c r="G202" i="9" s="1"/>
  <c r="B202" i="9"/>
  <c r="C201" i="9"/>
  <c r="G201" i="9" s="1"/>
  <c r="I201" i="9" s="1"/>
  <c r="B201" i="9"/>
  <c r="C200" i="9"/>
  <c r="B200" i="9"/>
  <c r="C199" i="9"/>
  <c r="F199" i="9" s="1"/>
  <c r="B199" i="9"/>
  <c r="C198" i="9"/>
  <c r="G198" i="9" s="1"/>
  <c r="B198" i="9"/>
  <c r="C197" i="9"/>
  <c r="F197" i="9" s="1"/>
  <c r="B197" i="9"/>
  <c r="C196" i="9"/>
  <c r="G196" i="9" s="1"/>
  <c r="B196" i="9"/>
  <c r="C195" i="9"/>
  <c r="B195" i="9"/>
  <c r="C194" i="9"/>
  <c r="G194" i="9" s="1"/>
  <c r="B194" i="9"/>
  <c r="C193" i="9"/>
  <c r="G193" i="9" s="1"/>
  <c r="I193" i="9" s="1"/>
  <c r="B193" i="9"/>
  <c r="C192" i="9"/>
  <c r="B192" i="9"/>
  <c r="G191" i="9"/>
  <c r="I191" i="9" s="1"/>
  <c r="C191" i="9"/>
  <c r="F191" i="9" s="1"/>
  <c r="B191" i="9"/>
  <c r="C190" i="9"/>
  <c r="B190" i="9"/>
  <c r="C189" i="9"/>
  <c r="F189" i="9" s="1"/>
  <c r="B189" i="9"/>
  <c r="C188" i="9"/>
  <c r="G188" i="9" s="1"/>
  <c r="B188" i="9"/>
  <c r="C187" i="9"/>
  <c r="G187" i="9" s="1"/>
  <c r="B187" i="9"/>
  <c r="C186" i="9"/>
  <c r="F186" i="9" s="1"/>
  <c r="B186" i="9"/>
  <c r="C185" i="9"/>
  <c r="G185" i="9" s="1"/>
  <c r="B185" i="9"/>
  <c r="G184" i="9"/>
  <c r="I184" i="9" s="1"/>
  <c r="C184" i="9"/>
  <c r="F184" i="9" s="1"/>
  <c r="B184" i="9"/>
  <c r="C183" i="9"/>
  <c r="G183" i="9" s="1"/>
  <c r="B183" i="9"/>
  <c r="C182" i="9"/>
  <c r="F182" i="9" s="1"/>
  <c r="B182" i="9"/>
  <c r="C181" i="9"/>
  <c r="B181" i="9"/>
  <c r="C180" i="9"/>
  <c r="B180" i="9"/>
  <c r="C179" i="9"/>
  <c r="G179" i="9" s="1"/>
  <c r="B179" i="9"/>
  <c r="C178" i="9"/>
  <c r="F178" i="9" s="1"/>
  <c r="B178" i="9"/>
  <c r="C177" i="9"/>
  <c r="F177" i="9" s="1"/>
  <c r="B177" i="9"/>
  <c r="C176" i="9"/>
  <c r="F176" i="9" s="1"/>
  <c r="B176" i="9"/>
  <c r="C175" i="9"/>
  <c r="F175" i="9" s="1"/>
  <c r="B175" i="9"/>
  <c r="C174" i="9"/>
  <c r="F174" i="9" s="1"/>
  <c r="B174" i="9"/>
  <c r="C173" i="9"/>
  <c r="F173" i="9" s="1"/>
  <c r="B173" i="9"/>
  <c r="C172" i="9"/>
  <c r="B172" i="9"/>
  <c r="C171" i="9"/>
  <c r="B171" i="9"/>
  <c r="C170" i="9"/>
  <c r="F170" i="9" s="1"/>
  <c r="B170" i="9"/>
  <c r="C169" i="9"/>
  <c r="F169" i="9" s="1"/>
  <c r="B169" i="9"/>
  <c r="C168" i="9"/>
  <c r="F168" i="9" s="1"/>
  <c r="B168" i="9"/>
  <c r="C167" i="9"/>
  <c r="F167" i="9" s="1"/>
  <c r="B167" i="9"/>
  <c r="C166" i="9"/>
  <c r="F166" i="9" s="1"/>
  <c r="B166" i="9"/>
  <c r="C165" i="9"/>
  <c r="F165" i="9" s="1"/>
  <c r="B165" i="9"/>
  <c r="C164" i="9"/>
  <c r="B164" i="9"/>
  <c r="C163" i="9"/>
  <c r="B163" i="9"/>
  <c r="C162" i="9"/>
  <c r="F162" i="9" s="1"/>
  <c r="B162" i="9"/>
  <c r="C161" i="9"/>
  <c r="F161" i="9" s="1"/>
  <c r="B161" i="9"/>
  <c r="C160" i="9"/>
  <c r="F160" i="9" s="1"/>
  <c r="B160" i="9"/>
  <c r="C159" i="9"/>
  <c r="F159" i="9" s="1"/>
  <c r="B159" i="9"/>
  <c r="C158" i="9"/>
  <c r="F158" i="9" s="1"/>
  <c r="B158" i="9"/>
  <c r="C157" i="9"/>
  <c r="F157" i="9" s="1"/>
  <c r="B157" i="9"/>
  <c r="C156" i="9"/>
  <c r="B156" i="9"/>
  <c r="C155" i="9"/>
  <c r="G155" i="9" s="1"/>
  <c r="B155" i="9"/>
  <c r="G154" i="9"/>
  <c r="H154" i="9" s="1"/>
  <c r="C154" i="9"/>
  <c r="F154" i="9" s="1"/>
  <c r="B154" i="9"/>
  <c r="C153" i="9"/>
  <c r="F153" i="9" s="1"/>
  <c r="B153" i="9"/>
  <c r="C152" i="9"/>
  <c r="G152" i="9" s="1"/>
  <c r="H152" i="9" s="1"/>
  <c r="B152" i="9"/>
  <c r="C151" i="9"/>
  <c r="G151" i="9" s="1"/>
  <c r="B151" i="9"/>
  <c r="C150" i="9"/>
  <c r="B150" i="9"/>
  <c r="C149" i="9"/>
  <c r="G149" i="9" s="1"/>
  <c r="B149" i="9"/>
  <c r="C148" i="9"/>
  <c r="G148" i="9" s="1"/>
  <c r="B148" i="9"/>
  <c r="C147" i="9"/>
  <c r="G147" i="9" s="1"/>
  <c r="B147" i="9"/>
  <c r="C146" i="9"/>
  <c r="B146" i="9"/>
  <c r="C145" i="9"/>
  <c r="G145" i="9" s="1"/>
  <c r="B145" i="9"/>
  <c r="C144" i="9"/>
  <c r="B144" i="9"/>
  <c r="C143" i="9"/>
  <c r="G143" i="9" s="1"/>
  <c r="B143" i="9"/>
  <c r="C142" i="9"/>
  <c r="B142" i="9"/>
  <c r="C141" i="9"/>
  <c r="F141" i="9" s="1"/>
  <c r="B141" i="9"/>
  <c r="C140" i="9"/>
  <c r="G140" i="9" s="1"/>
  <c r="B140" i="9"/>
  <c r="C139" i="9"/>
  <c r="G139" i="9" s="1"/>
  <c r="B139" i="9"/>
  <c r="C138" i="9"/>
  <c r="B138" i="9"/>
  <c r="C137" i="9"/>
  <c r="G137" i="9" s="1"/>
  <c r="H137" i="9" s="1"/>
  <c r="B137" i="9"/>
  <c r="C136" i="9"/>
  <c r="B136" i="9"/>
  <c r="C135" i="9"/>
  <c r="G135" i="9" s="1"/>
  <c r="H135" i="9" s="1"/>
  <c r="B135" i="9"/>
  <c r="C134" i="9"/>
  <c r="B134" i="9"/>
  <c r="C133" i="9"/>
  <c r="F133" i="9" s="1"/>
  <c r="B133" i="9"/>
  <c r="C132" i="9"/>
  <c r="G132" i="9" s="1"/>
  <c r="B132" i="9"/>
  <c r="C131" i="9"/>
  <c r="G131" i="9" s="1"/>
  <c r="B131" i="9"/>
  <c r="C130" i="9"/>
  <c r="B130" i="9"/>
  <c r="C129" i="9"/>
  <c r="G129" i="9" s="1"/>
  <c r="H129" i="9" s="1"/>
  <c r="B129" i="9"/>
  <c r="C128" i="9"/>
  <c r="B128" i="9"/>
  <c r="C127" i="9"/>
  <c r="G127" i="9" s="1"/>
  <c r="H127" i="9" s="1"/>
  <c r="B127" i="9"/>
  <c r="C126" i="9"/>
  <c r="B126" i="9"/>
  <c r="C125" i="9"/>
  <c r="F125" i="9" s="1"/>
  <c r="B125" i="9"/>
  <c r="C124" i="9"/>
  <c r="G124" i="9" s="1"/>
  <c r="B124" i="9"/>
  <c r="C123" i="9"/>
  <c r="G123" i="9" s="1"/>
  <c r="B123" i="9"/>
  <c r="C122" i="9"/>
  <c r="B122" i="9"/>
  <c r="C121" i="9"/>
  <c r="G121" i="9" s="1"/>
  <c r="H121" i="9" s="1"/>
  <c r="B121" i="9"/>
  <c r="C120" i="9"/>
  <c r="B120" i="9"/>
  <c r="C119" i="9"/>
  <c r="F119" i="9" s="1"/>
  <c r="B119" i="9"/>
  <c r="C118" i="9"/>
  <c r="B118" i="9"/>
  <c r="C117" i="9"/>
  <c r="F117" i="9" s="1"/>
  <c r="B117" i="9"/>
  <c r="C116" i="9"/>
  <c r="G116" i="9" s="1"/>
  <c r="B116" i="9"/>
  <c r="C115" i="9"/>
  <c r="G115" i="9" s="1"/>
  <c r="B115" i="9"/>
  <c r="C114" i="9"/>
  <c r="B114" i="9"/>
  <c r="C113" i="9"/>
  <c r="G113" i="9" s="1"/>
  <c r="H113" i="9" s="1"/>
  <c r="B113" i="9"/>
  <c r="C112" i="9"/>
  <c r="B112" i="9"/>
  <c r="C111" i="9"/>
  <c r="G111" i="9" s="1"/>
  <c r="H111" i="9" s="1"/>
  <c r="B111" i="9"/>
  <c r="C110" i="9"/>
  <c r="B110" i="9"/>
  <c r="C109" i="9"/>
  <c r="B109" i="9"/>
  <c r="C108" i="9"/>
  <c r="G108" i="9" s="1"/>
  <c r="B108" i="9"/>
  <c r="C107" i="9"/>
  <c r="G107" i="9" s="1"/>
  <c r="B107" i="9"/>
  <c r="C106" i="9"/>
  <c r="B106" i="9"/>
  <c r="C105" i="9"/>
  <c r="G105" i="9" s="1"/>
  <c r="H105" i="9" s="1"/>
  <c r="B105" i="9"/>
  <c r="C104" i="9"/>
  <c r="B104" i="9"/>
  <c r="C103" i="9"/>
  <c r="G103" i="9" s="1"/>
  <c r="H103" i="9" s="1"/>
  <c r="B103" i="9"/>
  <c r="C102" i="9"/>
  <c r="B102" i="9"/>
  <c r="C101" i="9"/>
  <c r="B101" i="9"/>
  <c r="C100" i="9"/>
  <c r="G100" i="9" s="1"/>
  <c r="B100" i="9"/>
  <c r="C99" i="9"/>
  <c r="G99" i="9" s="1"/>
  <c r="B99" i="9"/>
  <c r="C98" i="9"/>
  <c r="B98" i="9"/>
  <c r="C97" i="9"/>
  <c r="G97" i="9" s="1"/>
  <c r="H97" i="9" s="1"/>
  <c r="B97" i="9"/>
  <c r="C96" i="9"/>
  <c r="B96" i="9"/>
  <c r="C95" i="9"/>
  <c r="G95" i="9" s="1"/>
  <c r="H95" i="9" s="1"/>
  <c r="B95" i="9"/>
  <c r="G94" i="9"/>
  <c r="H94" i="9" s="1"/>
  <c r="C94" i="9"/>
  <c r="F94" i="9" s="1"/>
  <c r="B94" i="9"/>
  <c r="C93" i="9"/>
  <c r="F93" i="9" s="1"/>
  <c r="B93" i="9"/>
  <c r="C92" i="9"/>
  <c r="G92" i="9" s="1"/>
  <c r="B92" i="9"/>
  <c r="C91" i="9"/>
  <c r="B91" i="9"/>
  <c r="G90" i="9"/>
  <c r="H90" i="9" s="1"/>
  <c r="C90" i="9"/>
  <c r="F90" i="9" s="1"/>
  <c r="B90" i="9"/>
  <c r="C89" i="9"/>
  <c r="B89" i="9"/>
  <c r="C88" i="9"/>
  <c r="G88" i="9" s="1"/>
  <c r="B88" i="9"/>
  <c r="C87" i="9"/>
  <c r="B87" i="9"/>
  <c r="C86" i="9"/>
  <c r="G86" i="9" s="1"/>
  <c r="H86" i="9" s="1"/>
  <c r="B86" i="9"/>
  <c r="C85" i="9"/>
  <c r="F85" i="9" s="1"/>
  <c r="B85" i="9"/>
  <c r="C84" i="9"/>
  <c r="B84" i="9"/>
  <c r="C83" i="9"/>
  <c r="B83" i="9"/>
  <c r="C82" i="9"/>
  <c r="G82" i="9" s="1"/>
  <c r="H82" i="9" s="1"/>
  <c r="B82" i="9"/>
  <c r="C81" i="9"/>
  <c r="B81" i="9"/>
  <c r="C80" i="9"/>
  <c r="G80" i="9" s="1"/>
  <c r="B80" i="9"/>
  <c r="C79" i="9"/>
  <c r="F79" i="9" s="1"/>
  <c r="B79" i="9"/>
  <c r="C78" i="9"/>
  <c r="G78" i="9" s="1"/>
  <c r="B78" i="9"/>
  <c r="C77" i="9"/>
  <c r="B77" i="9"/>
  <c r="C76" i="9"/>
  <c r="G76" i="9" s="1"/>
  <c r="B76" i="9"/>
  <c r="C75" i="9"/>
  <c r="F75" i="9" s="1"/>
  <c r="B75" i="9"/>
  <c r="C74" i="9"/>
  <c r="G74" i="9" s="1"/>
  <c r="B74" i="9"/>
  <c r="G73" i="9"/>
  <c r="H73" i="9" s="1"/>
  <c r="C73" i="9"/>
  <c r="F73" i="9" s="1"/>
  <c r="B73" i="9"/>
  <c r="C72" i="9"/>
  <c r="B72" i="9"/>
  <c r="C71" i="9"/>
  <c r="B71" i="9"/>
  <c r="C70" i="9"/>
  <c r="G70" i="9" s="1"/>
  <c r="B70" i="9"/>
  <c r="C69" i="9"/>
  <c r="F69" i="9" s="1"/>
  <c r="B69" i="9"/>
  <c r="C68" i="9"/>
  <c r="G68" i="9" s="1"/>
  <c r="B68" i="9"/>
  <c r="C67" i="9"/>
  <c r="F67" i="9" s="1"/>
  <c r="B67" i="9"/>
  <c r="C66" i="9"/>
  <c r="G66" i="9" s="1"/>
  <c r="B66" i="9"/>
  <c r="C65" i="9"/>
  <c r="F65" i="9" s="1"/>
  <c r="B65" i="9"/>
  <c r="C64" i="9"/>
  <c r="B64" i="9"/>
  <c r="C63" i="9"/>
  <c r="B63" i="9"/>
  <c r="C62" i="9"/>
  <c r="G62" i="9" s="1"/>
  <c r="B62" i="9"/>
  <c r="C61" i="9"/>
  <c r="F61" i="9" s="1"/>
  <c r="B61" i="9"/>
  <c r="C60" i="9"/>
  <c r="G60" i="9" s="1"/>
  <c r="B60" i="9"/>
  <c r="C59" i="9"/>
  <c r="F59" i="9" s="1"/>
  <c r="B59" i="9"/>
  <c r="C58" i="9"/>
  <c r="G58" i="9" s="1"/>
  <c r="B58" i="9"/>
  <c r="C57" i="9"/>
  <c r="B57" i="9"/>
  <c r="C56" i="9"/>
  <c r="B56" i="9"/>
  <c r="C55" i="9"/>
  <c r="F55" i="9" s="1"/>
  <c r="B55" i="9"/>
  <c r="C54" i="9"/>
  <c r="G54" i="9" s="1"/>
  <c r="B54" i="9"/>
  <c r="C53" i="9"/>
  <c r="F53" i="9" s="1"/>
  <c r="B53" i="9"/>
  <c r="C52" i="9"/>
  <c r="B52" i="9"/>
  <c r="C51" i="9"/>
  <c r="F51" i="9" s="1"/>
  <c r="B51" i="9"/>
  <c r="C50" i="9"/>
  <c r="F50" i="9" s="1"/>
  <c r="B50" i="9"/>
  <c r="C49" i="9"/>
  <c r="B49" i="9"/>
  <c r="C48" i="9"/>
  <c r="B48" i="9"/>
  <c r="C47" i="9"/>
  <c r="F47" i="9" s="1"/>
  <c r="B47" i="9"/>
  <c r="C46" i="9"/>
  <c r="G46" i="9" s="1"/>
  <c r="B46" i="9"/>
  <c r="C45" i="9"/>
  <c r="F45" i="9" s="1"/>
  <c r="B45" i="9"/>
  <c r="K44" i="9"/>
  <c r="L44" i="9" s="1"/>
  <c r="C44" i="9"/>
  <c r="B44" i="9"/>
  <c r="C43" i="9"/>
  <c r="G43" i="9" s="1"/>
  <c r="B43" i="9"/>
  <c r="C42" i="9"/>
  <c r="B42" i="9"/>
  <c r="C41" i="9"/>
  <c r="G41" i="9" s="1"/>
  <c r="B41" i="9"/>
  <c r="C40" i="9"/>
  <c r="B40" i="9"/>
  <c r="C39" i="9"/>
  <c r="B39" i="9"/>
  <c r="C38" i="9"/>
  <c r="G38" i="9" s="1"/>
  <c r="B38" i="9"/>
  <c r="C37" i="9"/>
  <c r="G37" i="9" s="1"/>
  <c r="B37" i="9"/>
  <c r="C36" i="9"/>
  <c r="B36" i="9"/>
  <c r="C35" i="9"/>
  <c r="G35" i="9" s="1"/>
  <c r="B35" i="9"/>
  <c r="C34" i="9"/>
  <c r="B34" i="9"/>
  <c r="C33" i="9"/>
  <c r="B33" i="9"/>
  <c r="C32" i="9"/>
  <c r="B32" i="9"/>
  <c r="C31" i="9"/>
  <c r="G31" i="9" s="1"/>
  <c r="B31" i="9"/>
  <c r="C30" i="9"/>
  <c r="G30" i="9" s="1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F23" i="9" s="1"/>
  <c r="B23" i="9"/>
  <c r="C22" i="9"/>
  <c r="G22" i="9" s="1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G15" i="9" s="1"/>
  <c r="B15" i="9"/>
  <c r="C14" i="9"/>
  <c r="G14" i="9" s="1"/>
  <c r="B14" i="9"/>
  <c r="C13" i="9"/>
  <c r="B13" i="9"/>
  <c r="C12" i="9"/>
  <c r="B12" i="9"/>
  <c r="Q11" i="9"/>
  <c r="C11" i="9"/>
  <c r="B11" i="9"/>
  <c r="E11" i="9" s="1"/>
  <c r="G42" i="9" l="1"/>
  <c r="F42" i="9"/>
  <c r="G77" i="9"/>
  <c r="H77" i="9" s="1"/>
  <c r="G81" i="9"/>
  <c r="H81" i="9" s="1"/>
  <c r="F81" i="9"/>
  <c r="G120" i="9"/>
  <c r="F120" i="9"/>
  <c r="G128" i="9"/>
  <c r="F128" i="9"/>
  <c r="G306" i="9"/>
  <c r="H306" i="9" s="1"/>
  <c r="F306" i="9"/>
  <c r="G334" i="9"/>
  <c r="I334" i="9" s="1"/>
  <c r="F334" i="9"/>
  <c r="G19" i="9"/>
  <c r="I19" i="9" s="1"/>
  <c r="F19" i="9"/>
  <c r="G227" i="9"/>
  <c r="F227" i="9"/>
  <c r="G255" i="9"/>
  <c r="F255" i="9"/>
  <c r="G259" i="9"/>
  <c r="I259" i="9" s="1"/>
  <c r="F259" i="9"/>
  <c r="G263" i="9"/>
  <c r="H263" i="9" s="1"/>
  <c r="F263" i="9"/>
  <c r="G271" i="9"/>
  <c r="F271" i="9"/>
  <c r="G279" i="9"/>
  <c r="F279" i="9"/>
  <c r="G287" i="9"/>
  <c r="I287" i="9" s="1"/>
  <c r="F287" i="9"/>
  <c r="F14" i="9"/>
  <c r="F451" i="9"/>
  <c r="F291" i="9"/>
  <c r="G181" i="9"/>
  <c r="F181" i="9"/>
  <c r="G192" i="9"/>
  <c r="F192" i="9"/>
  <c r="G200" i="9"/>
  <c r="I200" i="9" s="1"/>
  <c r="F200" i="9"/>
  <c r="F15" i="9"/>
  <c r="F38" i="9"/>
  <c r="F100" i="9"/>
  <c r="G27" i="9"/>
  <c r="F27" i="9"/>
  <c r="G243" i="9"/>
  <c r="F243" i="9"/>
  <c r="G12" i="9"/>
  <c r="I12" i="9" s="1"/>
  <c r="F12" i="9"/>
  <c r="G16" i="9"/>
  <c r="G20" i="9"/>
  <c r="F20" i="9"/>
  <c r="G24" i="9"/>
  <c r="F24" i="9"/>
  <c r="G28" i="9"/>
  <c r="I28" i="9" s="1"/>
  <c r="F28" i="9"/>
  <c r="G32" i="9"/>
  <c r="F32" i="9"/>
  <c r="G36" i="9"/>
  <c r="F36" i="9"/>
  <c r="G40" i="9"/>
  <c r="G44" i="9"/>
  <c r="I44" i="9" s="1"/>
  <c r="F44" i="9"/>
  <c r="G83" i="9"/>
  <c r="G87" i="9"/>
  <c r="H87" i="9" s="1"/>
  <c r="F87" i="9"/>
  <c r="G98" i="9"/>
  <c r="H98" i="9" s="1"/>
  <c r="G102" i="9"/>
  <c r="H102" i="9" s="1"/>
  <c r="F102" i="9"/>
  <c r="G106" i="9"/>
  <c r="H106" i="9" s="1"/>
  <c r="G110" i="9"/>
  <c r="H110" i="9" s="1"/>
  <c r="F110" i="9"/>
  <c r="G114" i="9"/>
  <c r="H114" i="9" s="1"/>
  <c r="F114" i="9"/>
  <c r="G118" i="9"/>
  <c r="H118" i="9" s="1"/>
  <c r="G122" i="9"/>
  <c r="H122" i="9" s="1"/>
  <c r="F122" i="9"/>
  <c r="G126" i="9"/>
  <c r="H126" i="9" s="1"/>
  <c r="F126" i="9"/>
  <c r="G130" i="9"/>
  <c r="H130" i="9" s="1"/>
  <c r="F130" i="9"/>
  <c r="G134" i="9"/>
  <c r="H134" i="9" s="1"/>
  <c r="F134" i="9"/>
  <c r="G138" i="9"/>
  <c r="H138" i="9" s="1"/>
  <c r="F138" i="9"/>
  <c r="G142" i="9"/>
  <c r="H142" i="9" s="1"/>
  <c r="F142" i="9"/>
  <c r="G146" i="9"/>
  <c r="F146" i="9"/>
  <c r="G150" i="9"/>
  <c r="H150" i="9" s="1"/>
  <c r="F150" i="9"/>
  <c r="F443" i="9"/>
  <c r="F188" i="9"/>
  <c r="G18" i="9"/>
  <c r="F18" i="9"/>
  <c r="G89" i="9"/>
  <c r="H89" i="9" s="1"/>
  <c r="G302" i="9"/>
  <c r="F302" i="9"/>
  <c r="G310" i="9"/>
  <c r="F310" i="9"/>
  <c r="G349" i="9"/>
  <c r="F349" i="9"/>
  <c r="G431" i="9"/>
  <c r="I431" i="9" s="1"/>
  <c r="F431" i="9"/>
  <c r="G439" i="9"/>
  <c r="F439" i="9"/>
  <c r="G11" i="9"/>
  <c r="F11" i="9"/>
  <c r="G223" i="9"/>
  <c r="I223" i="9" s="1"/>
  <c r="F223" i="9"/>
  <c r="G235" i="9"/>
  <c r="F235" i="9"/>
  <c r="G247" i="9"/>
  <c r="F247" i="9"/>
  <c r="G48" i="9"/>
  <c r="F48" i="9"/>
  <c r="G52" i="9"/>
  <c r="I52" i="9" s="1"/>
  <c r="G56" i="9"/>
  <c r="F56" i="9"/>
  <c r="G64" i="9"/>
  <c r="F64" i="9"/>
  <c r="G72" i="9"/>
  <c r="F72" i="9"/>
  <c r="G91" i="9"/>
  <c r="I91" i="9" s="1"/>
  <c r="F91" i="9"/>
  <c r="F372" i="9"/>
  <c r="G469" i="9"/>
  <c r="F469" i="9"/>
  <c r="G473" i="9"/>
  <c r="I473" i="9" s="1"/>
  <c r="F473" i="9"/>
  <c r="G477" i="9"/>
  <c r="H477" i="9" s="1"/>
  <c r="F477" i="9"/>
  <c r="G481" i="9"/>
  <c r="F481" i="9"/>
  <c r="G485" i="9"/>
  <c r="F485" i="9"/>
  <c r="G489" i="9"/>
  <c r="I489" i="9" s="1"/>
  <c r="F489" i="9"/>
  <c r="G493" i="9"/>
  <c r="I493" i="9" s="1"/>
  <c r="F493" i="9"/>
  <c r="G497" i="9"/>
  <c r="F497" i="9"/>
  <c r="G501" i="9"/>
  <c r="F501" i="9"/>
  <c r="F30" i="9"/>
  <c r="F435" i="9"/>
  <c r="F403" i="9"/>
  <c r="F275" i="9"/>
  <c r="F116" i="9"/>
  <c r="F68" i="9"/>
  <c r="G26" i="9"/>
  <c r="F26" i="9"/>
  <c r="G34" i="9"/>
  <c r="I34" i="9" s="1"/>
  <c r="G96" i="9"/>
  <c r="H96" i="9" s="1"/>
  <c r="F96" i="9"/>
  <c r="G104" i="9"/>
  <c r="F104" i="9"/>
  <c r="G112" i="9"/>
  <c r="G136" i="9"/>
  <c r="I136" i="9" s="1"/>
  <c r="F136" i="9"/>
  <c r="G144" i="9"/>
  <c r="H144" i="9" s="1"/>
  <c r="F144" i="9"/>
  <c r="G294" i="9"/>
  <c r="F294" i="9"/>
  <c r="G298" i="9"/>
  <c r="F298" i="9"/>
  <c r="G318" i="9"/>
  <c r="H318" i="9" s="1"/>
  <c r="F318" i="9"/>
  <c r="G376" i="9"/>
  <c r="H376" i="9" s="1"/>
  <c r="F376" i="9"/>
  <c r="F466" i="9"/>
  <c r="G466" i="9"/>
  <c r="F140" i="9"/>
  <c r="G326" i="9"/>
  <c r="F326" i="9"/>
  <c r="G231" i="9"/>
  <c r="F231" i="9"/>
  <c r="G63" i="9"/>
  <c r="H63" i="9" s="1"/>
  <c r="G13" i="9"/>
  <c r="G17" i="9"/>
  <c r="F17" i="9"/>
  <c r="G21" i="9"/>
  <c r="F21" i="9"/>
  <c r="G25" i="9"/>
  <c r="I25" i="9" s="1"/>
  <c r="G29" i="9"/>
  <c r="F29" i="9"/>
  <c r="F33" i="9"/>
  <c r="G33" i="9"/>
  <c r="I33" i="9" s="1"/>
  <c r="G190" i="9"/>
  <c r="F190" i="9"/>
  <c r="G209" i="9"/>
  <c r="I209" i="9" s="1"/>
  <c r="F209" i="9"/>
  <c r="F213" i="9"/>
  <c r="G213" i="9"/>
  <c r="I213" i="9" s="1"/>
  <c r="G368" i="9"/>
  <c r="I368" i="9" s="1"/>
  <c r="F368" i="9"/>
  <c r="G383" i="9"/>
  <c r="H383" i="9" s="1"/>
  <c r="F383" i="9"/>
  <c r="G391" i="9"/>
  <c r="F391" i="9"/>
  <c r="G399" i="9"/>
  <c r="F399" i="9"/>
  <c r="G407" i="9"/>
  <c r="F407" i="9"/>
  <c r="G454" i="9"/>
  <c r="H454" i="9" s="1"/>
  <c r="F454" i="9"/>
  <c r="G521" i="9"/>
  <c r="F521" i="9"/>
  <c r="G529" i="9"/>
  <c r="F529" i="9"/>
  <c r="G565" i="9"/>
  <c r="F565" i="9"/>
  <c r="F108" i="9"/>
  <c r="F546" i="9"/>
  <c r="F538" i="9"/>
  <c r="F514" i="9"/>
  <c r="F506" i="9"/>
  <c r="F498" i="9"/>
  <c r="F482" i="9"/>
  <c r="F474" i="9"/>
  <c r="F402" i="9"/>
  <c r="F386" i="9"/>
  <c r="F370" i="9"/>
  <c r="F354" i="9"/>
  <c r="F282" i="9"/>
  <c r="F274" i="9"/>
  <c r="F266" i="9"/>
  <c r="F242" i="9"/>
  <c r="F234" i="9"/>
  <c r="F226" i="9"/>
  <c r="F218" i="9"/>
  <c r="F210" i="9"/>
  <c r="F202" i="9"/>
  <c r="F194" i="9"/>
  <c r="F82" i="9"/>
  <c r="F58" i="9"/>
  <c r="F41" i="9"/>
  <c r="F457" i="9"/>
  <c r="F449" i="9"/>
  <c r="F441" i="9"/>
  <c r="F433" i="9"/>
  <c r="F409" i="9"/>
  <c r="F401" i="9"/>
  <c r="F393" i="9"/>
  <c r="F385" i="9"/>
  <c r="F377" i="9"/>
  <c r="F313" i="9"/>
  <c r="F297" i="9"/>
  <c r="F289" i="9"/>
  <c r="F281" i="9"/>
  <c r="F265" i="9"/>
  <c r="F257" i="9"/>
  <c r="F249" i="9"/>
  <c r="F241" i="9"/>
  <c r="F233" i="9"/>
  <c r="F225" i="9"/>
  <c r="F217" i="9"/>
  <c r="F201" i="9"/>
  <c r="F193" i="9"/>
  <c r="F185" i="9"/>
  <c r="F145" i="9"/>
  <c r="F137" i="9"/>
  <c r="F129" i="9"/>
  <c r="F113" i="9"/>
  <c r="F105" i="9"/>
  <c r="F97" i="9"/>
  <c r="F560" i="9"/>
  <c r="F552" i="9"/>
  <c r="F544" i="9"/>
  <c r="F536" i="9"/>
  <c r="F512" i="9"/>
  <c r="F496" i="9"/>
  <c r="F488" i="9"/>
  <c r="F480" i="9"/>
  <c r="F472" i="9"/>
  <c r="F464" i="9"/>
  <c r="F456" i="9"/>
  <c r="F400" i="9"/>
  <c r="F392" i="9"/>
  <c r="F384" i="9"/>
  <c r="F352" i="9"/>
  <c r="F304" i="9"/>
  <c r="F296" i="9"/>
  <c r="F288" i="9"/>
  <c r="F280" i="9"/>
  <c r="F272" i="9"/>
  <c r="F264" i="9"/>
  <c r="F256" i="9"/>
  <c r="F248" i="9"/>
  <c r="F240" i="9"/>
  <c r="F232" i="9"/>
  <c r="F224" i="9"/>
  <c r="F216" i="9"/>
  <c r="F208" i="9"/>
  <c r="F152" i="9"/>
  <c r="F88" i="9"/>
  <c r="F35" i="9"/>
  <c r="F543" i="9"/>
  <c r="F527" i="9"/>
  <c r="F519" i="9"/>
  <c r="F495" i="9"/>
  <c r="F487" i="9"/>
  <c r="F479" i="9"/>
  <c r="F471" i="9"/>
  <c r="F455" i="9"/>
  <c r="F375" i="9"/>
  <c r="F335" i="9"/>
  <c r="F327" i="9"/>
  <c r="F319" i="9"/>
  <c r="F295" i="9"/>
  <c r="F183" i="9"/>
  <c r="F151" i="9"/>
  <c r="F143" i="9"/>
  <c r="F135" i="9"/>
  <c r="F111" i="9"/>
  <c r="F103" i="9"/>
  <c r="F534" i="9"/>
  <c r="F526" i="9"/>
  <c r="F518" i="9"/>
  <c r="F494" i="9"/>
  <c r="F486" i="9"/>
  <c r="F478" i="9"/>
  <c r="F446" i="9"/>
  <c r="F366" i="9"/>
  <c r="F358" i="9"/>
  <c r="F350" i="9"/>
  <c r="F286" i="9"/>
  <c r="F278" i="9"/>
  <c r="F270" i="9"/>
  <c r="F254" i="9"/>
  <c r="F230" i="9"/>
  <c r="F222" i="9"/>
  <c r="F214" i="9"/>
  <c r="F206" i="9"/>
  <c r="F198" i="9"/>
  <c r="F78" i="9"/>
  <c r="F70" i="9"/>
  <c r="F62" i="9"/>
  <c r="F54" i="9"/>
  <c r="F461" i="9"/>
  <c r="F429" i="9"/>
  <c r="F309" i="9"/>
  <c r="F301" i="9"/>
  <c r="F293" i="9"/>
  <c r="F285" i="9"/>
  <c r="F277" i="9"/>
  <c r="F269" i="9"/>
  <c r="F261" i="9"/>
  <c r="F253" i="9"/>
  <c r="F245" i="9"/>
  <c r="F229" i="9"/>
  <c r="F221" i="9"/>
  <c r="F205" i="9"/>
  <c r="F149" i="9"/>
  <c r="G156" i="9"/>
  <c r="G237" i="9"/>
  <c r="G176" i="9"/>
  <c r="I176" i="9" s="1"/>
  <c r="G197" i="9"/>
  <c r="I197" i="9" s="1"/>
  <c r="G311" i="9"/>
  <c r="I311" i="9" s="1"/>
  <c r="G325" i="9"/>
  <c r="I325" i="9" s="1"/>
  <c r="G450" i="9"/>
  <c r="H450" i="9" s="1"/>
  <c r="G453" i="9"/>
  <c r="H453" i="9" s="1"/>
  <c r="G426" i="9"/>
  <c r="H426" i="9" s="1"/>
  <c r="G490" i="9"/>
  <c r="G180" i="9"/>
  <c r="I180" i="9" s="1"/>
  <c r="G219" i="9"/>
  <c r="I219" i="9" s="1"/>
  <c r="G332" i="9"/>
  <c r="I380" i="9"/>
  <c r="G394" i="9"/>
  <c r="H394" i="9" s="1"/>
  <c r="G470" i="9"/>
  <c r="I470" i="9" s="1"/>
  <c r="G203" i="9"/>
  <c r="I203" i="9" s="1"/>
  <c r="G550" i="9"/>
  <c r="I550" i="9" s="1"/>
  <c r="G215" i="9"/>
  <c r="I215" i="9" s="1"/>
  <c r="G195" i="9"/>
  <c r="I195" i="9" s="1"/>
  <c r="G330" i="9"/>
  <c r="G378" i="9"/>
  <c r="H378" i="9" s="1"/>
  <c r="G458" i="9"/>
  <c r="I458" i="9" s="1"/>
  <c r="G558" i="9"/>
  <c r="H558" i="9" s="1"/>
  <c r="G211" i="9"/>
  <c r="I211" i="9" s="1"/>
  <c r="G220" i="9"/>
  <c r="G283" i="9"/>
  <c r="I283" i="9" s="1"/>
  <c r="G333" i="9"/>
  <c r="I333" i="9" s="1"/>
  <c r="G395" i="9"/>
  <c r="H395" i="9" s="1"/>
  <c r="G413" i="9"/>
  <c r="H413" i="9" s="1"/>
  <c r="G562" i="9"/>
  <c r="I562" i="9" s="1"/>
  <c r="I105" i="9"/>
  <c r="G189" i="9"/>
  <c r="I189" i="9" s="1"/>
  <c r="G199" i="9"/>
  <c r="I199" i="9" s="1"/>
  <c r="G273" i="9"/>
  <c r="G324" i="9"/>
  <c r="I324" i="9" s="1"/>
  <c r="H543" i="9"/>
  <c r="I543" i="9"/>
  <c r="I224" i="9"/>
  <c r="H224" i="9"/>
  <c r="I277" i="9"/>
  <c r="H277" i="9"/>
  <c r="H386" i="9"/>
  <c r="I386" i="9"/>
  <c r="H476" i="9"/>
  <c r="I476" i="9"/>
  <c r="I487" i="9"/>
  <c r="H487" i="9"/>
  <c r="I497" i="9"/>
  <c r="H497" i="9"/>
  <c r="H241" i="9"/>
  <c r="I241" i="9"/>
  <c r="H387" i="9"/>
  <c r="I387" i="9"/>
  <c r="I366" i="9"/>
  <c r="H366" i="9"/>
  <c r="I370" i="9"/>
  <c r="H370" i="9"/>
  <c r="H401" i="9"/>
  <c r="I401" i="9"/>
  <c r="H443" i="9"/>
  <c r="I443" i="9"/>
  <c r="I234" i="9"/>
  <c r="H234" i="9"/>
  <c r="I228" i="9"/>
  <c r="H228" i="9"/>
  <c r="I232" i="9"/>
  <c r="H232" i="9"/>
  <c r="H261" i="9"/>
  <c r="I261" i="9"/>
  <c r="H474" i="9"/>
  <c r="I474" i="9"/>
  <c r="I478" i="9"/>
  <c r="H478" i="9"/>
  <c r="I495" i="9"/>
  <c r="H495" i="9"/>
  <c r="I226" i="9"/>
  <c r="H226" i="9"/>
  <c r="I309" i="9"/>
  <c r="H309" i="9"/>
  <c r="H402" i="9"/>
  <c r="I402" i="9"/>
  <c r="H444" i="9"/>
  <c r="I444" i="9"/>
  <c r="I499" i="9"/>
  <c r="H499" i="9"/>
  <c r="I236" i="9"/>
  <c r="H236" i="9"/>
  <c r="H385" i="9"/>
  <c r="I385" i="9"/>
  <c r="I479" i="9"/>
  <c r="H479" i="9"/>
  <c r="H307" i="9"/>
  <c r="I307" i="9"/>
  <c r="I230" i="9"/>
  <c r="H230" i="9"/>
  <c r="H393" i="9"/>
  <c r="I393" i="9"/>
  <c r="H403" i="9"/>
  <c r="I403" i="9"/>
  <c r="I518" i="9"/>
  <c r="H518" i="9"/>
  <c r="I526" i="9"/>
  <c r="H526" i="9"/>
  <c r="G174" i="9"/>
  <c r="G251" i="9"/>
  <c r="H251" i="9" s="1"/>
  <c r="G262" i="9"/>
  <c r="I262" i="9" s="1"/>
  <c r="H291" i="9"/>
  <c r="G300" i="9"/>
  <c r="I300" i="9" s="1"/>
  <c r="G316" i="9"/>
  <c r="H316" i="9" s="1"/>
  <c r="H333" i="9"/>
  <c r="G342" i="9"/>
  <c r="H345" i="9"/>
  <c r="I378" i="9"/>
  <c r="G414" i="9"/>
  <c r="I414" i="9" s="1"/>
  <c r="G420" i="9"/>
  <c r="I420" i="9" s="1"/>
  <c r="I452" i="9"/>
  <c r="G553" i="9"/>
  <c r="G561" i="9"/>
  <c r="H561" i="9" s="1"/>
  <c r="G412" i="9"/>
  <c r="I412" i="9" s="1"/>
  <c r="G462" i="9"/>
  <c r="H462" i="9" s="1"/>
  <c r="G503" i="9"/>
  <c r="G520" i="9"/>
  <c r="G528" i="9"/>
  <c r="G537" i="9"/>
  <c r="I537" i="9" s="1"/>
  <c r="G45" i="9"/>
  <c r="H45" i="9" s="1"/>
  <c r="I121" i="9"/>
  <c r="I137" i="9"/>
  <c r="G178" i="9"/>
  <c r="I178" i="9" s="1"/>
  <c r="G238" i="9"/>
  <c r="I238" i="9" s="1"/>
  <c r="G424" i="9"/>
  <c r="I424" i="9" s="1"/>
  <c r="G445" i="9"/>
  <c r="H445" i="9" s="1"/>
  <c r="G459" i="9"/>
  <c r="G39" i="9"/>
  <c r="I39" i="9" s="1"/>
  <c r="G246" i="9"/>
  <c r="G258" i="9"/>
  <c r="I258" i="9" s="1"/>
  <c r="G290" i="9"/>
  <c r="H290" i="9" s="1"/>
  <c r="G415" i="9"/>
  <c r="H415" i="9" s="1"/>
  <c r="G418" i="9"/>
  <c r="H418" i="9" s="1"/>
  <c r="G427" i="9"/>
  <c r="I427" i="9" s="1"/>
  <c r="G554" i="9"/>
  <c r="I554" i="9" s="1"/>
  <c r="G65" i="9"/>
  <c r="H65" i="9" s="1"/>
  <c r="G182" i="9"/>
  <c r="I182" i="9" s="1"/>
  <c r="H274" i="9"/>
  <c r="G549" i="9"/>
  <c r="H549" i="9" s="1"/>
  <c r="G557" i="9"/>
  <c r="I557" i="9" s="1"/>
  <c r="G23" i="9"/>
  <c r="I23" i="9" s="1"/>
  <c r="G119" i="9"/>
  <c r="H119" i="9" s="1"/>
  <c r="G250" i="9"/>
  <c r="G299" i="9"/>
  <c r="I299" i="9" s="1"/>
  <c r="G338" i="9"/>
  <c r="I347" i="9"/>
  <c r="I364" i="9"/>
  <c r="G408" i="9"/>
  <c r="H408" i="9" s="1"/>
  <c r="G411" i="9"/>
  <c r="G422" i="9"/>
  <c r="G525" i="9"/>
  <c r="I154" i="9"/>
  <c r="G186" i="9"/>
  <c r="G244" i="9"/>
  <c r="I244" i="9" s="1"/>
  <c r="G322" i="9"/>
  <c r="I322" i="9" s="1"/>
  <c r="G353" i="9"/>
  <c r="G416" i="9"/>
  <c r="G533" i="9"/>
  <c r="I539" i="9"/>
  <c r="G563" i="9"/>
  <c r="I41" i="9"/>
  <c r="H41" i="9"/>
  <c r="I63" i="9"/>
  <c r="I35" i="9"/>
  <c r="H35" i="9"/>
  <c r="I15" i="9"/>
  <c r="H15" i="9"/>
  <c r="H29" i="9"/>
  <c r="I29" i="9"/>
  <c r="H31" i="9"/>
  <c r="I31" i="9"/>
  <c r="I43" i="9"/>
  <c r="H43" i="9"/>
  <c r="I21" i="9"/>
  <c r="H21" i="9"/>
  <c r="I13" i="9"/>
  <c r="H13" i="9"/>
  <c r="H17" i="9"/>
  <c r="I17" i="9"/>
  <c r="I27" i="9"/>
  <c r="H27" i="9"/>
  <c r="I37" i="9"/>
  <c r="H37" i="9"/>
  <c r="H80" i="9"/>
  <c r="I80" i="9"/>
  <c r="G55" i="9"/>
  <c r="H55" i="9" s="1"/>
  <c r="G75" i="9"/>
  <c r="I77" i="9"/>
  <c r="G71" i="9"/>
  <c r="I73" i="9"/>
  <c r="G50" i="9"/>
  <c r="I50" i="9" s="1"/>
  <c r="G53" i="9"/>
  <c r="H53" i="9" s="1"/>
  <c r="G61" i="9"/>
  <c r="H61" i="9" s="1"/>
  <c r="G69" i="9"/>
  <c r="G59" i="9"/>
  <c r="G67" i="9"/>
  <c r="G57" i="9"/>
  <c r="G79" i="9"/>
  <c r="E12" i="9"/>
  <c r="E13" i="9" s="1"/>
  <c r="D11" i="9"/>
  <c r="D12" i="9" s="1"/>
  <c r="I48" i="9"/>
  <c r="H48" i="9"/>
  <c r="G158" i="9"/>
  <c r="I16" i="9"/>
  <c r="H16" i="9"/>
  <c r="H34" i="9"/>
  <c r="M44" i="9"/>
  <c r="I58" i="9"/>
  <c r="H58" i="9"/>
  <c r="I72" i="9"/>
  <c r="H72" i="9"/>
  <c r="H88" i="9"/>
  <c r="I88" i="9"/>
  <c r="G101" i="9"/>
  <c r="H104" i="9"/>
  <c r="I104" i="9"/>
  <c r="G117" i="9"/>
  <c r="H120" i="9"/>
  <c r="I120" i="9"/>
  <c r="G133" i="9"/>
  <c r="H136" i="9"/>
  <c r="G153" i="9"/>
  <c r="I155" i="9"/>
  <c r="H155" i="9"/>
  <c r="D13" i="9"/>
  <c r="D14" i="9" s="1"/>
  <c r="D15" i="9" s="1"/>
  <c r="D16" i="9" s="1"/>
  <c r="I32" i="9"/>
  <c r="H32" i="9"/>
  <c r="G49" i="9"/>
  <c r="I55" i="9"/>
  <c r="I60" i="9"/>
  <c r="H60" i="9"/>
  <c r="G84" i="9"/>
  <c r="H92" i="9"/>
  <c r="I92" i="9"/>
  <c r="I97" i="9"/>
  <c r="H108" i="9"/>
  <c r="I108" i="9"/>
  <c r="I113" i="9"/>
  <c r="H124" i="9"/>
  <c r="I124" i="9"/>
  <c r="I129" i="9"/>
  <c r="H140" i="9"/>
  <c r="I140" i="9"/>
  <c r="G162" i="9"/>
  <c r="I36" i="9"/>
  <c r="H36" i="9"/>
  <c r="I18" i="9"/>
  <c r="H18" i="9"/>
  <c r="I30" i="9"/>
  <c r="H30" i="9"/>
  <c r="I62" i="9"/>
  <c r="H62" i="9"/>
  <c r="I70" i="9"/>
  <c r="H70" i="9"/>
  <c r="I78" i="9"/>
  <c r="H78" i="9"/>
  <c r="H99" i="9"/>
  <c r="I99" i="9"/>
  <c r="H115" i="9"/>
  <c r="I115" i="9"/>
  <c r="H131" i="9"/>
  <c r="I131" i="9"/>
  <c r="H146" i="9"/>
  <c r="I146" i="9"/>
  <c r="H148" i="9"/>
  <c r="I148" i="9"/>
  <c r="I46" i="9"/>
  <c r="H46" i="9"/>
  <c r="I64" i="9"/>
  <c r="H64" i="9"/>
  <c r="H156" i="9"/>
  <c r="I156" i="9"/>
  <c r="G166" i="9"/>
  <c r="I20" i="9"/>
  <c r="H20" i="9"/>
  <c r="I26" i="9"/>
  <c r="H26" i="9"/>
  <c r="I42" i="9"/>
  <c r="H42" i="9"/>
  <c r="G47" i="9"/>
  <c r="I66" i="9"/>
  <c r="H66" i="9"/>
  <c r="I68" i="9"/>
  <c r="H68" i="9"/>
  <c r="I76" i="9"/>
  <c r="H76" i="9"/>
  <c r="G93" i="9"/>
  <c r="G109" i="9"/>
  <c r="H112" i="9"/>
  <c r="I112" i="9"/>
  <c r="G125" i="9"/>
  <c r="H128" i="9"/>
  <c r="I128" i="9"/>
  <c r="G141" i="9"/>
  <c r="I56" i="9"/>
  <c r="H56" i="9"/>
  <c r="I11" i="9"/>
  <c r="H11" i="9"/>
  <c r="I24" i="9"/>
  <c r="H24" i="9"/>
  <c r="I40" i="9"/>
  <c r="H40" i="9"/>
  <c r="H83" i="9"/>
  <c r="I83" i="9"/>
  <c r="G85" i="9"/>
  <c r="H100" i="9"/>
  <c r="I100" i="9"/>
  <c r="H116" i="9"/>
  <c r="I116" i="9"/>
  <c r="H132" i="9"/>
  <c r="I132" i="9"/>
  <c r="H143" i="9"/>
  <c r="I143" i="9"/>
  <c r="I149" i="9"/>
  <c r="H149" i="9"/>
  <c r="G157" i="9"/>
  <c r="G170" i="9"/>
  <c r="I147" i="9"/>
  <c r="H147" i="9"/>
  <c r="I14" i="9"/>
  <c r="H14" i="9"/>
  <c r="I22" i="9"/>
  <c r="H22" i="9"/>
  <c r="I38" i="9"/>
  <c r="H38" i="9"/>
  <c r="G51" i="9"/>
  <c r="I54" i="9"/>
  <c r="H54" i="9"/>
  <c r="I74" i="9"/>
  <c r="H74" i="9"/>
  <c r="H91" i="9"/>
  <c r="H107" i="9"/>
  <c r="I107" i="9"/>
  <c r="H123" i="9"/>
  <c r="I123" i="9"/>
  <c r="H139" i="9"/>
  <c r="I139" i="9"/>
  <c r="I145" i="9"/>
  <c r="H145" i="9"/>
  <c r="I82" i="9"/>
  <c r="I90" i="9"/>
  <c r="I98" i="9"/>
  <c r="I106" i="9"/>
  <c r="I114" i="9"/>
  <c r="I122" i="9"/>
  <c r="I130" i="9"/>
  <c r="I138" i="9"/>
  <c r="I152" i="9"/>
  <c r="G159" i="9"/>
  <c r="G163" i="9"/>
  <c r="G167" i="9"/>
  <c r="G171" i="9"/>
  <c r="I192" i="9"/>
  <c r="H192" i="9"/>
  <c r="I208" i="9"/>
  <c r="H208" i="9"/>
  <c r="I216" i="9"/>
  <c r="H216" i="9"/>
  <c r="I174" i="9"/>
  <c r="H174" i="9"/>
  <c r="H176" i="9"/>
  <c r="I181" i="9"/>
  <c r="H181" i="9"/>
  <c r="I187" i="9"/>
  <c r="H187" i="9"/>
  <c r="I190" i="9"/>
  <c r="H190" i="9"/>
  <c r="I198" i="9"/>
  <c r="H198" i="9"/>
  <c r="I206" i="9"/>
  <c r="H206" i="9"/>
  <c r="I214" i="9"/>
  <c r="H214" i="9"/>
  <c r="I87" i="9"/>
  <c r="I95" i="9"/>
  <c r="I103" i="9"/>
  <c r="I111" i="9"/>
  <c r="I127" i="9"/>
  <c r="I135" i="9"/>
  <c r="I151" i="9"/>
  <c r="H151" i="9"/>
  <c r="I86" i="9"/>
  <c r="I94" i="9"/>
  <c r="I110" i="9"/>
  <c r="I126" i="9"/>
  <c r="I142" i="9"/>
  <c r="G161" i="9"/>
  <c r="G165" i="9"/>
  <c r="G169" i="9"/>
  <c r="G173" i="9"/>
  <c r="I185" i="9"/>
  <c r="H185" i="9"/>
  <c r="I188" i="9"/>
  <c r="H188" i="9"/>
  <c r="I196" i="9"/>
  <c r="H196" i="9"/>
  <c r="I204" i="9"/>
  <c r="H204" i="9"/>
  <c r="I212" i="9"/>
  <c r="H212" i="9"/>
  <c r="G175" i="9"/>
  <c r="G177" i="9"/>
  <c r="I179" i="9"/>
  <c r="H179" i="9"/>
  <c r="G160" i="9"/>
  <c r="G164" i="9"/>
  <c r="G168" i="9"/>
  <c r="G172" i="9"/>
  <c r="I194" i="9"/>
  <c r="H194" i="9"/>
  <c r="I202" i="9"/>
  <c r="H202" i="9"/>
  <c r="I210" i="9"/>
  <c r="H210" i="9"/>
  <c r="I218" i="9"/>
  <c r="H218" i="9"/>
  <c r="I183" i="9"/>
  <c r="H183" i="9"/>
  <c r="H195" i="9"/>
  <c r="H203" i="9"/>
  <c r="H211" i="9"/>
  <c r="H219" i="9"/>
  <c r="I227" i="9"/>
  <c r="H227" i="9"/>
  <c r="I248" i="9"/>
  <c r="H248" i="9"/>
  <c r="H257" i="9"/>
  <c r="I257" i="9"/>
  <c r="I260" i="9"/>
  <c r="H260" i="9"/>
  <c r="H245" i="9"/>
  <c r="I245" i="9"/>
  <c r="H180" i="9"/>
  <c r="H182" i="9"/>
  <c r="H184" i="9"/>
  <c r="H193" i="9"/>
  <c r="H201" i="9"/>
  <c r="H217" i="9"/>
  <c r="H222" i="9"/>
  <c r="I229" i="9"/>
  <c r="H229" i="9"/>
  <c r="H249" i="9"/>
  <c r="I249" i="9"/>
  <c r="I233" i="9"/>
  <c r="H233" i="9"/>
  <c r="H243" i="9"/>
  <c r="I243" i="9"/>
  <c r="I252" i="9"/>
  <c r="H252" i="9"/>
  <c r="H191" i="9"/>
  <c r="H199" i="9"/>
  <c r="H207" i="9"/>
  <c r="H215" i="9"/>
  <c r="I221" i="9"/>
  <c r="H221" i="9"/>
  <c r="I237" i="9"/>
  <c r="H237" i="9"/>
  <c r="G239" i="9"/>
  <c r="H255" i="9"/>
  <c r="I255" i="9"/>
  <c r="H253" i="9"/>
  <c r="I253" i="9"/>
  <c r="H189" i="9"/>
  <c r="H197" i="9"/>
  <c r="H205" i="9"/>
  <c r="H213" i="9"/>
  <c r="I225" i="9"/>
  <c r="H225" i="9"/>
  <c r="H247" i="9"/>
  <c r="I247" i="9"/>
  <c r="I256" i="9"/>
  <c r="H256" i="9"/>
  <c r="H259" i="9"/>
  <c r="I231" i="9"/>
  <c r="H231" i="9"/>
  <c r="I235" i="9"/>
  <c r="H235" i="9"/>
  <c r="I240" i="9"/>
  <c r="H240" i="9"/>
  <c r="I251" i="9"/>
  <c r="I264" i="9"/>
  <c r="H264" i="9"/>
  <c r="I272" i="9"/>
  <c r="H272" i="9"/>
  <c r="I294" i="9"/>
  <c r="H294" i="9"/>
  <c r="I246" i="9"/>
  <c r="H246" i="9"/>
  <c r="H262" i="9"/>
  <c r="I266" i="9"/>
  <c r="H266" i="9"/>
  <c r="I268" i="9"/>
  <c r="H268" i="9"/>
  <c r="I281" i="9"/>
  <c r="H281" i="9"/>
  <c r="I286" i="9"/>
  <c r="H286" i="9"/>
  <c r="I278" i="9"/>
  <c r="H278" i="9"/>
  <c r="I295" i="9"/>
  <c r="H295" i="9"/>
  <c r="I250" i="9"/>
  <c r="H250" i="9"/>
  <c r="H287" i="9"/>
  <c r="I292" i="9"/>
  <c r="H292" i="9"/>
  <c r="I301" i="9"/>
  <c r="H301" i="9"/>
  <c r="H244" i="9"/>
  <c r="I271" i="9"/>
  <c r="H271" i="9"/>
  <c r="I275" i="9"/>
  <c r="H275" i="9"/>
  <c r="I279" i="9"/>
  <c r="H279" i="9"/>
  <c r="I254" i="9"/>
  <c r="H254" i="9"/>
  <c r="I263" i="9"/>
  <c r="I273" i="9"/>
  <c r="H273" i="9"/>
  <c r="I288" i="9"/>
  <c r="H288" i="9"/>
  <c r="I296" i="9"/>
  <c r="H296" i="9"/>
  <c r="H242" i="9"/>
  <c r="I280" i="9"/>
  <c r="H280" i="9"/>
  <c r="I285" i="9"/>
  <c r="H285" i="9"/>
  <c r="I293" i="9"/>
  <c r="H293" i="9"/>
  <c r="I302" i="9"/>
  <c r="H302" i="9"/>
  <c r="H258" i="9"/>
  <c r="I265" i="9"/>
  <c r="H265" i="9"/>
  <c r="I267" i="9"/>
  <c r="H267" i="9"/>
  <c r="I269" i="9"/>
  <c r="H269" i="9"/>
  <c r="I270" i="9"/>
  <c r="H270" i="9"/>
  <c r="I297" i="9"/>
  <c r="H297" i="9"/>
  <c r="H283" i="9"/>
  <c r="I326" i="9"/>
  <c r="H326" i="9"/>
  <c r="I332" i="9"/>
  <c r="H332" i="9"/>
  <c r="H313" i="9"/>
  <c r="I313" i="9"/>
  <c r="G321" i="9"/>
  <c r="G329" i="9"/>
  <c r="H334" i="9"/>
  <c r="G336" i="9"/>
  <c r="G374" i="9"/>
  <c r="I282" i="9"/>
  <c r="H282" i="9"/>
  <c r="H289" i="9"/>
  <c r="I298" i="9"/>
  <c r="H298" i="9"/>
  <c r="H308" i="9"/>
  <c r="I308" i="9"/>
  <c r="I323" i="9"/>
  <c r="H323" i="9"/>
  <c r="I284" i="9"/>
  <c r="H284" i="9"/>
  <c r="G303" i="9"/>
  <c r="I315" i="9"/>
  <c r="H315" i="9"/>
  <c r="G317" i="9"/>
  <c r="I319" i="9"/>
  <c r="H319" i="9"/>
  <c r="I327" i="9"/>
  <c r="H327" i="9"/>
  <c r="I331" i="9"/>
  <c r="H331" i="9"/>
  <c r="G343" i="9"/>
  <c r="H276" i="9"/>
  <c r="H310" i="9"/>
  <c r="I310" i="9"/>
  <c r="G337" i="9"/>
  <c r="G341" i="9"/>
  <c r="G312" i="9"/>
  <c r="I335" i="9"/>
  <c r="H335" i="9"/>
  <c r="I290" i="9"/>
  <c r="I304" i="9"/>
  <c r="H304" i="9"/>
  <c r="I318" i="9"/>
  <c r="G320" i="9"/>
  <c r="H324" i="9"/>
  <c r="G328" i="9"/>
  <c r="I339" i="9"/>
  <c r="H339" i="9"/>
  <c r="G305" i="9"/>
  <c r="G314" i="9"/>
  <c r="I342" i="9"/>
  <c r="H342" i="9"/>
  <c r="I350" i="9"/>
  <c r="H350" i="9"/>
  <c r="G356" i="9"/>
  <c r="G346" i="9"/>
  <c r="I358" i="9"/>
  <c r="H358" i="9"/>
  <c r="I330" i="9"/>
  <c r="H330" i="9"/>
  <c r="I338" i="9"/>
  <c r="H338" i="9"/>
  <c r="G360" i="9"/>
  <c r="G381" i="9"/>
  <c r="H311" i="9"/>
  <c r="G348" i="9"/>
  <c r="H349" i="9"/>
  <c r="I349" i="9"/>
  <c r="I352" i="9"/>
  <c r="H352" i="9"/>
  <c r="G362" i="9"/>
  <c r="I306" i="9"/>
  <c r="G344" i="9"/>
  <c r="H354" i="9"/>
  <c r="G357" i="9"/>
  <c r="H368" i="9"/>
  <c r="G340" i="9"/>
  <c r="G351" i="9"/>
  <c r="G359" i="9"/>
  <c r="G361" i="9"/>
  <c r="G371" i="9"/>
  <c r="H375" i="9"/>
  <c r="I375" i="9"/>
  <c r="H388" i="9"/>
  <c r="I388" i="9"/>
  <c r="G390" i="9"/>
  <c r="H396" i="9"/>
  <c r="I396" i="9"/>
  <c r="G398" i="9"/>
  <c r="H404" i="9"/>
  <c r="I404" i="9"/>
  <c r="G406" i="9"/>
  <c r="H409" i="9"/>
  <c r="I409" i="9"/>
  <c r="G363" i="9"/>
  <c r="G369" i="9"/>
  <c r="G373" i="9"/>
  <c r="H414" i="9"/>
  <c r="I355" i="9"/>
  <c r="I435" i="9"/>
  <c r="H435" i="9"/>
  <c r="H446" i="9"/>
  <c r="I446" i="9"/>
  <c r="G365" i="9"/>
  <c r="G389" i="9"/>
  <c r="G397" i="9"/>
  <c r="G405" i="9"/>
  <c r="I377" i="9"/>
  <c r="H379" i="9"/>
  <c r="I379" i="9"/>
  <c r="H384" i="9"/>
  <c r="I384" i="9"/>
  <c r="H391" i="9"/>
  <c r="I391" i="9"/>
  <c r="H392" i="9"/>
  <c r="I392" i="9"/>
  <c r="H399" i="9"/>
  <c r="I399" i="9"/>
  <c r="H400" i="9"/>
  <c r="I400" i="9"/>
  <c r="H407" i="9"/>
  <c r="I407" i="9"/>
  <c r="G367" i="9"/>
  <c r="G382" i="9"/>
  <c r="I415" i="9"/>
  <c r="G437" i="9"/>
  <c r="I416" i="9"/>
  <c r="H416" i="9"/>
  <c r="I418" i="9"/>
  <c r="I422" i="9"/>
  <c r="H422" i="9"/>
  <c r="H424" i="9"/>
  <c r="I428" i="9"/>
  <c r="H428" i="9"/>
  <c r="G432" i="9"/>
  <c r="I439" i="9"/>
  <c r="H439" i="9"/>
  <c r="G417" i="9"/>
  <c r="G419" i="9"/>
  <c r="G421" i="9"/>
  <c r="G423" i="9"/>
  <c r="G425" i="9"/>
  <c r="G440" i="9"/>
  <c r="I429" i="9"/>
  <c r="H429" i="9"/>
  <c r="I433" i="9"/>
  <c r="H433" i="9"/>
  <c r="G465" i="9"/>
  <c r="I410" i="9"/>
  <c r="H410" i="9"/>
  <c r="I441" i="9"/>
  <c r="H441" i="9"/>
  <c r="G430" i="9"/>
  <c r="G438" i="9"/>
  <c r="H449" i="9"/>
  <c r="I449" i="9"/>
  <c r="I456" i="9"/>
  <c r="H456" i="9"/>
  <c r="I454" i="9"/>
  <c r="I461" i="9"/>
  <c r="H461" i="9"/>
  <c r="I485" i="9"/>
  <c r="H485" i="9"/>
  <c r="G442" i="9"/>
  <c r="G448" i="9"/>
  <c r="I463" i="9"/>
  <c r="H463" i="9"/>
  <c r="G434" i="9"/>
  <c r="H451" i="9"/>
  <c r="I451" i="9"/>
  <c r="H455" i="9"/>
  <c r="I455" i="9"/>
  <c r="I457" i="9"/>
  <c r="H457" i="9"/>
  <c r="I459" i="9"/>
  <c r="H459" i="9"/>
  <c r="I490" i="9"/>
  <c r="H490" i="9"/>
  <c r="G436" i="9"/>
  <c r="G447" i="9"/>
  <c r="G460" i="9"/>
  <c r="G467" i="9"/>
  <c r="I469" i="9"/>
  <c r="H469" i="9"/>
  <c r="I481" i="9"/>
  <c r="H481" i="9"/>
  <c r="I492" i="9"/>
  <c r="H492" i="9"/>
  <c r="I471" i="9"/>
  <c r="H471" i="9"/>
  <c r="I477" i="9"/>
  <c r="G504" i="9"/>
  <c r="I464" i="9"/>
  <c r="H464" i="9"/>
  <c r="I466" i="9"/>
  <c r="H466" i="9"/>
  <c r="I468" i="9"/>
  <c r="H468" i="9"/>
  <c r="H473" i="9"/>
  <c r="I480" i="9"/>
  <c r="H480" i="9"/>
  <c r="I491" i="9"/>
  <c r="H491" i="9"/>
  <c r="I484" i="9"/>
  <c r="H484" i="9"/>
  <c r="I486" i="9"/>
  <c r="H486" i="9"/>
  <c r="H458" i="9"/>
  <c r="I462" i="9"/>
  <c r="I475" i="9"/>
  <c r="H475" i="9"/>
  <c r="I488" i="9"/>
  <c r="H488" i="9"/>
  <c r="I496" i="9"/>
  <c r="H496" i="9"/>
  <c r="I498" i="9"/>
  <c r="H498" i="9"/>
  <c r="I501" i="9"/>
  <c r="H501" i="9"/>
  <c r="G505" i="9"/>
  <c r="H483" i="9"/>
  <c r="H489" i="9"/>
  <c r="I523" i="9"/>
  <c r="H523" i="9"/>
  <c r="I482" i="9"/>
  <c r="H482" i="9"/>
  <c r="I494" i="9"/>
  <c r="H494" i="9"/>
  <c r="G508" i="9"/>
  <c r="H472" i="9"/>
  <c r="I506" i="9"/>
  <c r="H506" i="9"/>
  <c r="I514" i="9"/>
  <c r="H514" i="9"/>
  <c r="I531" i="9"/>
  <c r="H531" i="9"/>
  <c r="H500" i="9"/>
  <c r="I500" i="9"/>
  <c r="G502" i="9"/>
  <c r="G509" i="9"/>
  <c r="I521" i="9"/>
  <c r="H521" i="9"/>
  <c r="G551" i="9"/>
  <c r="H533" i="9"/>
  <c r="I533" i="9"/>
  <c r="I529" i="9"/>
  <c r="H529" i="9"/>
  <c r="I512" i="9"/>
  <c r="H512" i="9"/>
  <c r="G513" i="9"/>
  <c r="I516" i="9"/>
  <c r="H516" i="9"/>
  <c r="G517" i="9"/>
  <c r="I519" i="9"/>
  <c r="H519" i="9"/>
  <c r="G522" i="9"/>
  <c r="I525" i="9"/>
  <c r="H525" i="9"/>
  <c r="I532" i="9"/>
  <c r="H532" i="9"/>
  <c r="I534" i="9"/>
  <c r="H534" i="9"/>
  <c r="G507" i="9"/>
  <c r="I524" i="9"/>
  <c r="H524" i="9"/>
  <c r="G530" i="9"/>
  <c r="I510" i="9"/>
  <c r="H510" i="9"/>
  <c r="G511" i="9"/>
  <c r="I515" i="9"/>
  <c r="H515" i="9"/>
  <c r="H527" i="9"/>
  <c r="G535" i="9"/>
  <c r="G541" i="9"/>
  <c r="I546" i="9"/>
  <c r="H546" i="9"/>
  <c r="G555" i="9"/>
  <c r="G545" i="9"/>
  <c r="I549" i="9"/>
  <c r="I536" i="9"/>
  <c r="H536" i="9"/>
  <c r="I544" i="9"/>
  <c r="H544" i="9"/>
  <c r="H537" i="9"/>
  <c r="I538" i="9"/>
  <c r="H538" i="9"/>
  <c r="G542" i="9"/>
  <c r="H547" i="9"/>
  <c r="I547" i="9"/>
  <c r="I548" i="9"/>
  <c r="H548" i="9"/>
  <c r="H554" i="9"/>
  <c r="G540" i="9"/>
  <c r="H550" i="9"/>
  <c r="G559" i="9"/>
  <c r="I563" i="9"/>
  <c r="H563" i="9"/>
  <c r="I565" i="9"/>
  <c r="H565" i="9"/>
  <c r="I552" i="9"/>
  <c r="H552" i="9"/>
  <c r="I556" i="9"/>
  <c r="H556" i="9"/>
  <c r="I560" i="9"/>
  <c r="H560" i="9"/>
  <c r="I564" i="9"/>
  <c r="H564" i="9"/>
  <c r="I566" i="9"/>
  <c r="H566" i="9"/>
  <c r="I553" i="9"/>
  <c r="H553" i="9"/>
  <c r="H557" i="9"/>
  <c r="I561" i="9"/>
  <c r="E14" i="9" l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E502" i="9" s="1"/>
  <c r="E503" i="9" s="1"/>
  <c r="E504" i="9" s="1"/>
  <c r="E505" i="9" s="1"/>
  <c r="E506" i="9" s="1"/>
  <c r="E507" i="9" s="1"/>
  <c r="E508" i="9" s="1"/>
  <c r="E509" i="9" s="1"/>
  <c r="E510" i="9" s="1"/>
  <c r="E511" i="9" s="1"/>
  <c r="E512" i="9" s="1"/>
  <c r="E513" i="9" s="1"/>
  <c r="E514" i="9" s="1"/>
  <c r="E515" i="9" s="1"/>
  <c r="E516" i="9" s="1"/>
  <c r="E517" i="9" s="1"/>
  <c r="E518" i="9" s="1"/>
  <c r="E519" i="9" s="1"/>
  <c r="E520" i="9" s="1"/>
  <c r="E521" i="9" s="1"/>
  <c r="E522" i="9" s="1"/>
  <c r="E523" i="9" s="1"/>
  <c r="E524" i="9" s="1"/>
  <c r="E525" i="9" s="1"/>
  <c r="E526" i="9" s="1"/>
  <c r="E527" i="9" s="1"/>
  <c r="E528" i="9" s="1"/>
  <c r="E529" i="9" s="1"/>
  <c r="E530" i="9" s="1"/>
  <c r="E531" i="9" s="1"/>
  <c r="E532" i="9" s="1"/>
  <c r="E533" i="9" s="1"/>
  <c r="E534" i="9" s="1"/>
  <c r="E535" i="9" s="1"/>
  <c r="E536" i="9" s="1"/>
  <c r="E537" i="9" s="1"/>
  <c r="E538" i="9" s="1"/>
  <c r="E539" i="9" s="1"/>
  <c r="E540" i="9" s="1"/>
  <c r="E541" i="9" s="1"/>
  <c r="E542" i="9" s="1"/>
  <c r="E543" i="9" s="1"/>
  <c r="E544" i="9" s="1"/>
  <c r="E545" i="9" s="1"/>
  <c r="E546" i="9" s="1"/>
  <c r="E547" i="9" s="1"/>
  <c r="E548" i="9" s="1"/>
  <c r="E549" i="9" s="1"/>
  <c r="E550" i="9" s="1"/>
  <c r="E551" i="9" s="1"/>
  <c r="E552" i="9" s="1"/>
  <c r="E553" i="9" s="1"/>
  <c r="E554" i="9" s="1"/>
  <c r="E555" i="9" s="1"/>
  <c r="E556" i="9" s="1"/>
  <c r="E557" i="9" s="1"/>
  <c r="E558" i="9" s="1"/>
  <c r="E559" i="9" s="1"/>
  <c r="E560" i="9" s="1"/>
  <c r="E561" i="9" s="1"/>
  <c r="E562" i="9" s="1"/>
  <c r="E563" i="9" s="1"/>
  <c r="E564" i="9" s="1"/>
  <c r="E565" i="9" s="1"/>
  <c r="E566" i="9" s="1"/>
  <c r="V13" i="9"/>
  <c r="H44" i="9"/>
  <c r="I558" i="9"/>
  <c r="H470" i="9"/>
  <c r="I445" i="9"/>
  <c r="I383" i="9"/>
  <c r="H322" i="9"/>
  <c r="I81" i="9"/>
  <c r="H25" i="9"/>
  <c r="I395" i="9"/>
  <c r="I394" i="9"/>
  <c r="I450" i="9"/>
  <c r="H420" i="9"/>
  <c r="I134" i="9"/>
  <c r="I144" i="9"/>
  <c r="H28" i="9"/>
  <c r="H431" i="9"/>
  <c r="I376" i="9"/>
  <c r="H300" i="9"/>
  <c r="H209" i="9"/>
  <c r="H223" i="9"/>
  <c r="I150" i="9"/>
  <c r="I45" i="9"/>
  <c r="J45" i="9" s="1"/>
  <c r="I89" i="9"/>
  <c r="I408" i="9"/>
  <c r="I118" i="9"/>
  <c r="H52" i="9"/>
  <c r="H33" i="9"/>
  <c r="H19" i="9"/>
  <c r="H493" i="9"/>
  <c r="H427" i="9"/>
  <c r="I119" i="9"/>
  <c r="H200" i="9"/>
  <c r="I96" i="9"/>
  <c r="H12" i="9"/>
  <c r="I453" i="9"/>
  <c r="I102" i="9"/>
  <c r="I413" i="9"/>
  <c r="H325" i="9"/>
  <c r="I61" i="9"/>
  <c r="I53" i="9"/>
  <c r="H39" i="9"/>
  <c r="H562" i="9"/>
  <c r="I220" i="9"/>
  <c r="H220" i="9"/>
  <c r="I65" i="9"/>
  <c r="H23" i="9"/>
  <c r="I426" i="9"/>
  <c r="H353" i="9"/>
  <c r="I353" i="9"/>
  <c r="H299" i="9"/>
  <c r="I520" i="9"/>
  <c r="H520" i="9"/>
  <c r="I528" i="9"/>
  <c r="H528" i="9"/>
  <c r="H178" i="9"/>
  <c r="H50" i="9"/>
  <c r="H503" i="9"/>
  <c r="I503" i="9"/>
  <c r="H412" i="9"/>
  <c r="H186" i="9"/>
  <c r="I186" i="9"/>
  <c r="I316" i="9"/>
  <c r="H238" i="9"/>
  <c r="H411" i="9"/>
  <c r="I411" i="9"/>
  <c r="D17" i="9"/>
  <c r="D18" i="9" s="1"/>
  <c r="D19" i="9" s="1"/>
  <c r="D20" i="9" s="1"/>
  <c r="D21" i="9" s="1"/>
  <c r="D22" i="9" s="1"/>
  <c r="H75" i="9"/>
  <c r="I75" i="9"/>
  <c r="H71" i="9"/>
  <c r="I71" i="9"/>
  <c r="H67" i="9"/>
  <c r="I67" i="9"/>
  <c r="H69" i="9"/>
  <c r="I69" i="9"/>
  <c r="H79" i="9"/>
  <c r="I79" i="9"/>
  <c r="H57" i="9"/>
  <c r="I57" i="9"/>
  <c r="H59" i="9"/>
  <c r="I59" i="9"/>
  <c r="H535" i="9"/>
  <c r="I535" i="9"/>
  <c r="I175" i="9"/>
  <c r="H175" i="9"/>
  <c r="I159" i="9"/>
  <c r="H159" i="9"/>
  <c r="H507" i="9"/>
  <c r="I507" i="9"/>
  <c r="I442" i="9"/>
  <c r="H442" i="9"/>
  <c r="H101" i="9"/>
  <c r="I101" i="9"/>
  <c r="H367" i="9"/>
  <c r="I367" i="9"/>
  <c r="H312" i="9"/>
  <c r="I312" i="9"/>
  <c r="H109" i="9"/>
  <c r="I109" i="9"/>
  <c r="J46" i="9"/>
  <c r="K45" i="9"/>
  <c r="L45" i="9" s="1"/>
  <c r="H545" i="9"/>
  <c r="I545" i="9"/>
  <c r="I360" i="9"/>
  <c r="H360" i="9"/>
  <c r="I157" i="9"/>
  <c r="H157" i="9"/>
  <c r="I166" i="9"/>
  <c r="H166" i="9"/>
  <c r="I509" i="9"/>
  <c r="H509" i="9"/>
  <c r="I169" i="9"/>
  <c r="H169" i="9"/>
  <c r="I303" i="9"/>
  <c r="H303" i="9"/>
  <c r="I172" i="9"/>
  <c r="H172" i="9"/>
  <c r="H84" i="9"/>
  <c r="I84" i="9"/>
  <c r="I513" i="9"/>
  <c r="H513" i="9"/>
  <c r="H314" i="9"/>
  <c r="I314" i="9"/>
  <c r="I421" i="9"/>
  <c r="H421" i="9"/>
  <c r="H397" i="9"/>
  <c r="I397" i="9"/>
  <c r="I346" i="9"/>
  <c r="H346" i="9"/>
  <c r="I328" i="9"/>
  <c r="H328" i="9"/>
  <c r="I153" i="9"/>
  <c r="H153" i="9"/>
  <c r="I559" i="9"/>
  <c r="H559" i="9"/>
  <c r="I542" i="9"/>
  <c r="H542" i="9"/>
  <c r="I530" i="9"/>
  <c r="H530" i="9"/>
  <c r="I467" i="9"/>
  <c r="H467" i="9"/>
  <c r="I438" i="9"/>
  <c r="H438" i="9"/>
  <c r="I419" i="9"/>
  <c r="H419" i="9"/>
  <c r="H389" i="9"/>
  <c r="I389" i="9"/>
  <c r="H373" i="9"/>
  <c r="I373" i="9"/>
  <c r="H361" i="9"/>
  <c r="I361" i="9"/>
  <c r="I305" i="9"/>
  <c r="H305" i="9"/>
  <c r="I329" i="9"/>
  <c r="H329" i="9"/>
  <c r="I505" i="9"/>
  <c r="H505" i="9"/>
  <c r="I432" i="9"/>
  <c r="H432" i="9"/>
  <c r="I437" i="9"/>
  <c r="H437" i="9"/>
  <c r="H406" i="9"/>
  <c r="I406" i="9"/>
  <c r="H390" i="9"/>
  <c r="I390" i="9"/>
  <c r="H351" i="9"/>
  <c r="I351" i="9"/>
  <c r="H357" i="9"/>
  <c r="I357" i="9"/>
  <c r="I341" i="9"/>
  <c r="H341" i="9"/>
  <c r="I168" i="9"/>
  <c r="H168" i="9"/>
  <c r="I165" i="9"/>
  <c r="H165" i="9"/>
  <c r="I171" i="9"/>
  <c r="H171" i="9"/>
  <c r="H125" i="9"/>
  <c r="I125" i="9"/>
  <c r="H117" i="9"/>
  <c r="I117" i="9"/>
  <c r="I158" i="9"/>
  <c r="H158" i="9"/>
  <c r="I555" i="9"/>
  <c r="H555" i="9"/>
  <c r="I522" i="9"/>
  <c r="H522" i="9"/>
  <c r="I460" i="9"/>
  <c r="H460" i="9"/>
  <c r="I465" i="9"/>
  <c r="H465" i="9"/>
  <c r="I425" i="9"/>
  <c r="H425" i="9"/>
  <c r="I417" i="9"/>
  <c r="H417" i="9"/>
  <c r="H369" i="9"/>
  <c r="I369" i="9"/>
  <c r="H371" i="9"/>
  <c r="I371" i="9"/>
  <c r="H359" i="9"/>
  <c r="I359" i="9"/>
  <c r="I320" i="9"/>
  <c r="H320" i="9"/>
  <c r="I343" i="9"/>
  <c r="H343" i="9"/>
  <c r="I317" i="9"/>
  <c r="H317" i="9"/>
  <c r="H374" i="9"/>
  <c r="I374" i="9"/>
  <c r="I321" i="9"/>
  <c r="H321" i="9"/>
  <c r="H511" i="9"/>
  <c r="I511" i="9"/>
  <c r="I551" i="9"/>
  <c r="H551" i="9"/>
  <c r="H448" i="9"/>
  <c r="I448" i="9"/>
  <c r="H382" i="9"/>
  <c r="I382" i="9"/>
  <c r="I340" i="9"/>
  <c r="H340" i="9"/>
  <c r="I362" i="9"/>
  <c r="H362" i="9"/>
  <c r="H381" i="9"/>
  <c r="I381" i="9"/>
  <c r="I356" i="9"/>
  <c r="H356" i="9"/>
  <c r="I337" i="9"/>
  <c r="H337" i="9"/>
  <c r="I239" i="9"/>
  <c r="H239" i="9"/>
  <c r="I164" i="9"/>
  <c r="H164" i="9"/>
  <c r="I161" i="9"/>
  <c r="H161" i="9"/>
  <c r="I167" i="9"/>
  <c r="H167" i="9"/>
  <c r="H141" i="9"/>
  <c r="I141" i="9"/>
  <c r="H47" i="9"/>
  <c r="I47" i="9"/>
  <c r="H49" i="9"/>
  <c r="I49" i="9"/>
  <c r="H133" i="9"/>
  <c r="I133" i="9"/>
  <c r="I540" i="9"/>
  <c r="H540" i="9"/>
  <c r="I508" i="9"/>
  <c r="H508" i="9"/>
  <c r="I504" i="9"/>
  <c r="H504" i="9"/>
  <c r="I423" i="9"/>
  <c r="H423" i="9"/>
  <c r="H405" i="9"/>
  <c r="I405" i="9"/>
  <c r="H365" i="9"/>
  <c r="I365" i="9"/>
  <c r="H363" i="9"/>
  <c r="I363" i="9"/>
  <c r="I336" i="9"/>
  <c r="H336" i="9"/>
  <c r="H51" i="9"/>
  <c r="I51" i="9"/>
  <c r="U11" i="9"/>
  <c r="J11" i="9"/>
  <c r="H541" i="9"/>
  <c r="I541" i="9"/>
  <c r="I517" i="9"/>
  <c r="H517" i="9"/>
  <c r="H502" i="9"/>
  <c r="I502" i="9"/>
  <c r="H447" i="9"/>
  <c r="I447" i="9"/>
  <c r="H436" i="9"/>
  <c r="I436" i="9"/>
  <c r="I434" i="9"/>
  <c r="H434" i="9"/>
  <c r="I430" i="9"/>
  <c r="H430" i="9"/>
  <c r="I440" i="9"/>
  <c r="H440" i="9"/>
  <c r="H398" i="9"/>
  <c r="I398" i="9"/>
  <c r="I344" i="9"/>
  <c r="H344" i="9"/>
  <c r="I348" i="9"/>
  <c r="H348" i="9"/>
  <c r="I160" i="9"/>
  <c r="H160" i="9"/>
  <c r="I177" i="9"/>
  <c r="H177" i="9"/>
  <c r="I173" i="9"/>
  <c r="H173" i="9"/>
  <c r="I163" i="9"/>
  <c r="H163" i="9"/>
  <c r="I170" i="9"/>
  <c r="H170" i="9"/>
  <c r="H85" i="9"/>
  <c r="I85" i="9"/>
  <c r="H93" i="9"/>
  <c r="I93" i="9"/>
  <c r="I162" i="9"/>
  <c r="H162" i="9"/>
  <c r="M45" i="9" l="1"/>
  <c r="D23" i="9"/>
  <c r="D24" i="9" s="1"/>
  <c r="D25" i="9" s="1"/>
  <c r="K11" i="9"/>
  <c r="J12" i="9"/>
  <c r="R11" i="9"/>
  <c r="N12" i="9" s="1"/>
  <c r="J47" i="9"/>
  <c r="K46" i="9"/>
  <c r="L46" i="9" s="1"/>
  <c r="D26" i="9" l="1"/>
  <c r="D27" i="9" s="1"/>
  <c r="D28" i="9" s="1"/>
  <c r="D29" i="9" s="1"/>
  <c r="D30" i="9" s="1"/>
  <c r="D31" i="9" s="1"/>
  <c r="J13" i="9"/>
  <c r="K12" i="9"/>
  <c r="M46" i="9"/>
  <c r="L11" i="9"/>
  <c r="M11" i="9" s="1"/>
  <c r="J48" i="9"/>
  <c r="K47" i="9"/>
  <c r="S11" i="9"/>
  <c r="O12" i="9" s="1"/>
  <c r="D32" i="9" l="1"/>
  <c r="D33" i="9" s="1"/>
  <c r="D34" i="9" s="1"/>
  <c r="L12" i="9"/>
  <c r="M12" i="9" s="1"/>
  <c r="L47" i="9"/>
  <c r="M47" i="9" s="1"/>
  <c r="T11" i="9"/>
  <c r="P12" i="9" s="1"/>
  <c r="Q12" i="9" s="1"/>
  <c r="U12" i="9" s="1"/>
  <c r="K13" i="9"/>
  <c r="L13" i="9" s="1"/>
  <c r="J14" i="9"/>
  <c r="J49" i="9"/>
  <c r="K48" i="9"/>
  <c r="L48" i="9" s="1"/>
  <c r="D35" i="9" l="1"/>
  <c r="D36" i="9" s="1"/>
  <c r="D37" i="9" s="1"/>
  <c r="M13" i="9"/>
  <c r="M48" i="9"/>
  <c r="K14" i="9"/>
  <c r="J15" i="9"/>
  <c r="J50" i="9"/>
  <c r="K49" i="9"/>
  <c r="L49" i="9" s="1"/>
  <c r="M49" i="9" s="1"/>
  <c r="R12" i="9"/>
  <c r="N13" i="9" s="1"/>
  <c r="D38" i="9" l="1"/>
  <c r="D39" i="9" s="1"/>
  <c r="D40" i="9" s="1"/>
  <c r="K15" i="9"/>
  <c r="J16" i="9"/>
  <c r="L14" i="9"/>
  <c r="M14" i="9" s="1"/>
  <c r="S12" i="9"/>
  <c r="O13" i="9" s="1"/>
  <c r="K50" i="9"/>
  <c r="L50" i="9" s="1"/>
  <c r="J51" i="9"/>
  <c r="D41" i="9" l="1"/>
  <c r="D42" i="9" s="1"/>
  <c r="D43" i="9" s="1"/>
  <c r="K16" i="9"/>
  <c r="L16" i="9" s="1"/>
  <c r="M16" i="9" s="1"/>
  <c r="J17" i="9"/>
  <c r="J52" i="9"/>
  <c r="K51" i="9"/>
  <c r="L51" i="9" s="1"/>
  <c r="M51" i="9" s="1"/>
  <c r="M50" i="9"/>
  <c r="L15" i="9"/>
  <c r="M15" i="9" s="1"/>
  <c r="T12" i="9"/>
  <c r="P13" i="9" s="1"/>
  <c r="Q13" i="9" s="1"/>
  <c r="U13" i="9" s="1"/>
  <c r="D44" i="9" l="1"/>
  <c r="D45" i="9" s="1"/>
  <c r="D46" i="9" s="1"/>
  <c r="R13" i="9"/>
  <c r="N14" i="9" s="1"/>
  <c r="J53" i="9"/>
  <c r="K52" i="9"/>
  <c r="L52" i="9" s="1"/>
  <c r="K17" i="9"/>
  <c r="L17" i="9" s="1"/>
  <c r="M17" i="9" s="1"/>
  <c r="J18" i="9"/>
  <c r="D47" i="9" l="1"/>
  <c r="D48" i="9" s="1"/>
  <c r="D49" i="9" s="1"/>
  <c r="M52" i="9"/>
  <c r="J19" i="9"/>
  <c r="K18" i="9"/>
  <c r="L18" i="9" s="1"/>
  <c r="M18" i="9" s="1"/>
  <c r="J54" i="9"/>
  <c r="K53" i="9"/>
  <c r="L53" i="9" s="1"/>
  <c r="M53" i="9" s="1"/>
  <c r="S13" i="9"/>
  <c r="O14" i="9" s="1"/>
  <c r="D50" i="9" l="1"/>
  <c r="D51" i="9" s="1"/>
  <c r="D52" i="9" s="1"/>
  <c r="D53" i="9" s="1"/>
  <c r="D54" i="9" s="1"/>
  <c r="D55" i="9" s="1"/>
  <c r="D56" i="9" s="1"/>
  <c r="D57" i="9" s="1"/>
  <c r="J55" i="9"/>
  <c r="K54" i="9"/>
  <c r="L54" i="9" s="1"/>
  <c r="T13" i="9"/>
  <c r="P14" i="9" s="1"/>
  <c r="Q14" i="9" s="1"/>
  <c r="U14" i="9" s="1"/>
  <c r="K19" i="9"/>
  <c r="L19" i="9" s="1"/>
  <c r="M19" i="9" s="1"/>
  <c r="J20" i="9"/>
  <c r="D58" i="9" l="1"/>
  <c r="D59" i="9" s="1"/>
  <c r="D60" i="9" s="1"/>
  <c r="R14" i="9"/>
  <c r="N15" i="9" s="1"/>
  <c r="M54" i="9"/>
  <c r="J56" i="9"/>
  <c r="K55" i="9"/>
  <c r="J21" i="9"/>
  <c r="K20" i="9"/>
  <c r="D61" i="9" l="1"/>
  <c r="D62" i="9" s="1"/>
  <c r="D63" i="9" s="1"/>
  <c r="S14" i="9"/>
  <c r="O15" i="9" s="1"/>
  <c r="L55" i="9"/>
  <c r="M55" i="9" s="1"/>
  <c r="L20" i="9"/>
  <c r="M20" i="9" s="1"/>
  <c r="K21" i="9"/>
  <c r="L21" i="9" s="1"/>
  <c r="J22" i="9"/>
  <c r="J57" i="9"/>
  <c r="K56" i="9"/>
  <c r="L56" i="9" s="1"/>
  <c r="T14" i="9" l="1"/>
  <c r="P15" i="9" s="1"/>
  <c r="Q15" i="9" s="1"/>
  <c r="U15" i="9" s="1"/>
  <c r="D64" i="9"/>
  <c r="D65" i="9" s="1"/>
  <c r="D66" i="9" s="1"/>
  <c r="D67" i="9" s="1"/>
  <c r="D68" i="9" s="1"/>
  <c r="D69" i="9" s="1"/>
  <c r="D70" i="9" s="1"/>
  <c r="D71" i="9" s="1"/>
  <c r="K22" i="9"/>
  <c r="L22" i="9" s="1"/>
  <c r="J23" i="9"/>
  <c r="M56" i="9"/>
  <c r="R15" i="9"/>
  <c r="N16" i="9" s="1"/>
  <c r="M21" i="9"/>
  <c r="J58" i="9"/>
  <c r="K57" i="9"/>
  <c r="L57" i="9" s="1"/>
  <c r="M22" i="9" l="1"/>
  <c r="D72" i="9"/>
  <c r="D73" i="9" s="1"/>
  <c r="D74" i="9" s="1"/>
  <c r="S15" i="9"/>
  <c r="O16" i="9" s="1"/>
  <c r="K23" i="9"/>
  <c r="J24" i="9"/>
  <c r="M57" i="9"/>
  <c r="J59" i="9"/>
  <c r="K58" i="9"/>
  <c r="D75" i="9" l="1"/>
  <c r="D76" i="9" s="1"/>
  <c r="D77" i="9" s="1"/>
  <c r="K24" i="9"/>
  <c r="L24" i="9" s="1"/>
  <c r="M24" i="9" s="1"/>
  <c r="J25" i="9"/>
  <c r="L58" i="9"/>
  <c r="M58" i="9" s="1"/>
  <c r="L23" i="9"/>
  <c r="M23" i="9" s="1"/>
  <c r="J60" i="9"/>
  <c r="K59" i="9"/>
  <c r="L59" i="9" s="1"/>
  <c r="T15" i="9"/>
  <c r="P16" i="9" s="1"/>
  <c r="Q16" i="9" s="1"/>
  <c r="U16" i="9" s="1"/>
  <c r="D78" i="9" l="1"/>
  <c r="D79" i="9" s="1"/>
  <c r="D80" i="9" s="1"/>
  <c r="M59" i="9"/>
  <c r="R16" i="9"/>
  <c r="N17" i="9" s="1"/>
  <c r="K25" i="9"/>
  <c r="L25" i="9" s="1"/>
  <c r="J26" i="9"/>
  <c r="J61" i="9"/>
  <c r="K60" i="9"/>
  <c r="L60" i="9" s="1"/>
  <c r="M25" i="9" l="1"/>
  <c r="M60" i="9"/>
  <c r="D81" i="9"/>
  <c r="D82" i="9" s="1"/>
  <c r="D83" i="9" s="1"/>
  <c r="K26" i="9"/>
  <c r="J27" i="9"/>
  <c r="L26" i="9"/>
  <c r="M26" i="9" s="1"/>
  <c r="S16" i="9"/>
  <c r="O17" i="9" s="1"/>
  <c r="J62" i="9"/>
  <c r="K61" i="9"/>
  <c r="D84" i="9" l="1"/>
  <c r="D85" i="9" s="1"/>
  <c r="D86" i="9" s="1"/>
  <c r="L61" i="9"/>
  <c r="M61" i="9" s="1"/>
  <c r="T16" i="9"/>
  <c r="P17" i="9" s="1"/>
  <c r="Q17" i="9" s="1"/>
  <c r="U17" i="9" s="1"/>
  <c r="K27" i="9"/>
  <c r="J28" i="9"/>
  <c r="J63" i="9"/>
  <c r="K62" i="9"/>
  <c r="L62" i="9" s="1"/>
  <c r="M62" i="9" l="1"/>
  <c r="D87" i="9"/>
  <c r="D88" i="9" s="1"/>
  <c r="D89" i="9" s="1"/>
  <c r="R17" i="9"/>
  <c r="N18" i="9" s="1"/>
  <c r="K28" i="9"/>
  <c r="L28" i="9" s="1"/>
  <c r="M28" i="9" s="1"/>
  <c r="J29" i="9"/>
  <c r="L27" i="9"/>
  <c r="M27" i="9" s="1"/>
  <c r="J64" i="9"/>
  <c r="K63" i="9"/>
  <c r="L63" i="9" s="1"/>
  <c r="M63" i="9" s="1"/>
  <c r="D90" i="9" l="1"/>
  <c r="D91" i="9" s="1"/>
  <c r="D92" i="9" s="1"/>
  <c r="K29" i="9"/>
  <c r="J30" i="9"/>
  <c r="S17" i="9"/>
  <c r="O18" i="9" s="1"/>
  <c r="K64" i="9"/>
  <c r="J65" i="9"/>
  <c r="D93" i="9" l="1"/>
  <c r="D94" i="9" s="1"/>
  <c r="D95" i="9" s="1"/>
  <c r="L64" i="9"/>
  <c r="M64" i="9" s="1"/>
  <c r="L29" i="9"/>
  <c r="M29" i="9" s="1"/>
  <c r="K30" i="9"/>
  <c r="J31" i="9"/>
  <c r="T17" i="9"/>
  <c r="P18" i="9" s="1"/>
  <c r="Q18" i="9" s="1"/>
  <c r="U18" i="9" s="1"/>
  <c r="J66" i="9"/>
  <c r="K65" i="9"/>
  <c r="L65" i="9" s="1"/>
  <c r="L30" i="9" l="1"/>
  <c r="M30" i="9" s="1"/>
  <c r="M65" i="9"/>
  <c r="D96" i="9"/>
  <c r="D97" i="9" s="1"/>
  <c r="D98" i="9" s="1"/>
  <c r="R18" i="9"/>
  <c r="N19" i="9" s="1"/>
  <c r="J67" i="9"/>
  <c r="K66" i="9"/>
  <c r="K31" i="9"/>
  <c r="L31" i="9" s="1"/>
  <c r="M31" i="9" s="1"/>
  <c r="J32" i="9"/>
  <c r="D99" i="9" l="1"/>
  <c r="D100" i="9" s="1"/>
  <c r="D101" i="9" s="1"/>
  <c r="D102" i="9" s="1"/>
  <c r="D103" i="9" s="1"/>
  <c r="D104" i="9" s="1"/>
  <c r="D105" i="9" s="1"/>
  <c r="D106" i="9" s="1"/>
  <c r="L66" i="9"/>
  <c r="M66" i="9" s="1"/>
  <c r="J68" i="9"/>
  <c r="K67" i="9"/>
  <c r="K32" i="9"/>
  <c r="L32" i="9" s="1"/>
  <c r="J33" i="9"/>
  <c r="S18" i="9"/>
  <c r="O19" i="9" s="1"/>
  <c r="M32" i="9" l="1"/>
  <c r="D107" i="9"/>
  <c r="D108" i="9" s="1"/>
  <c r="D109" i="9" s="1"/>
  <c r="T18" i="9"/>
  <c r="P19" i="9" s="1"/>
  <c r="Q19" i="9" s="1"/>
  <c r="U19" i="9" s="1"/>
  <c r="L67" i="9"/>
  <c r="M67" i="9" s="1"/>
  <c r="K68" i="9"/>
  <c r="J69" i="9"/>
  <c r="K33" i="9"/>
  <c r="J34" i="9"/>
  <c r="D110" i="9" l="1"/>
  <c r="D111" i="9" s="1"/>
  <c r="D112" i="9" s="1"/>
  <c r="R19" i="9"/>
  <c r="N20" i="9" s="1"/>
  <c r="J70" i="9"/>
  <c r="K69" i="9"/>
  <c r="L69" i="9" s="1"/>
  <c r="M69" i="9" s="1"/>
  <c r="L68" i="9"/>
  <c r="M68" i="9" s="1"/>
  <c r="K34" i="9"/>
  <c r="L34" i="9" s="1"/>
  <c r="M34" i="9" s="1"/>
  <c r="J35" i="9"/>
  <c r="L33" i="9"/>
  <c r="M33" i="9" s="1"/>
  <c r="D113" i="9" l="1"/>
  <c r="D114" i="9" s="1"/>
  <c r="D115" i="9" s="1"/>
  <c r="K70" i="9"/>
  <c r="L70" i="9" s="1"/>
  <c r="M70" i="9" s="1"/>
  <c r="J71" i="9"/>
  <c r="K35" i="9"/>
  <c r="L35" i="9" s="1"/>
  <c r="J36" i="9"/>
  <c r="S19" i="9"/>
  <c r="O20" i="9" s="1"/>
  <c r="D116" i="9" l="1"/>
  <c r="D117" i="9" s="1"/>
  <c r="D118" i="9" s="1"/>
  <c r="K36" i="9"/>
  <c r="L36" i="9" s="1"/>
  <c r="M36" i="9" s="1"/>
  <c r="J37" i="9"/>
  <c r="J72" i="9"/>
  <c r="K71" i="9"/>
  <c r="L71" i="9" s="1"/>
  <c r="M71" i="9" s="1"/>
  <c r="M35" i="9"/>
  <c r="T19" i="9"/>
  <c r="P20" i="9" s="1"/>
  <c r="Q20" i="9" s="1"/>
  <c r="U20" i="9" s="1"/>
  <c r="D119" i="9" l="1"/>
  <c r="D120" i="9" s="1"/>
  <c r="D121" i="9" s="1"/>
  <c r="R20" i="9"/>
  <c r="N21" i="9" s="1"/>
  <c r="K72" i="9"/>
  <c r="L72" i="9" s="1"/>
  <c r="M72" i="9" s="1"/>
  <c r="J73" i="9"/>
  <c r="K37" i="9"/>
  <c r="L37" i="9" s="1"/>
  <c r="M37" i="9" s="1"/>
  <c r="J38" i="9"/>
  <c r="D122" i="9" l="1"/>
  <c r="D123" i="9" s="1"/>
  <c r="D124" i="9" s="1"/>
  <c r="J74" i="9"/>
  <c r="K73" i="9"/>
  <c r="L73" i="9" s="1"/>
  <c r="K38" i="9"/>
  <c r="L38" i="9" s="1"/>
  <c r="M38" i="9" s="1"/>
  <c r="J39" i="9"/>
  <c r="S20" i="9"/>
  <c r="D125" i="9" l="1"/>
  <c r="D126" i="9" s="1"/>
  <c r="D127" i="9" s="1"/>
  <c r="D128" i="9" s="1"/>
  <c r="D129" i="9" s="1"/>
  <c r="D130" i="9" s="1"/>
  <c r="D131" i="9" s="1"/>
  <c r="D132" i="9" s="1"/>
  <c r="K39" i="9"/>
  <c r="J40" i="9"/>
  <c r="O21" i="9"/>
  <c r="T20" i="9"/>
  <c r="P21" i="9" s="1"/>
  <c r="M73" i="9"/>
  <c r="K74" i="9"/>
  <c r="L74" i="9" s="1"/>
  <c r="J75" i="9"/>
  <c r="D133" i="9" l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201" i="9" s="1"/>
  <c r="D202" i="9" s="1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D213" i="9" s="1"/>
  <c r="D214" i="9" s="1"/>
  <c r="D215" i="9" s="1"/>
  <c r="D216" i="9" s="1"/>
  <c r="D217" i="9" s="1"/>
  <c r="D218" i="9" s="1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 s="1"/>
  <c r="D231" i="9" s="1"/>
  <c r="D232" i="9" s="1"/>
  <c r="D233" i="9" s="1"/>
  <c r="D234" i="9" s="1"/>
  <c r="D235" i="9" s="1"/>
  <c r="D236" i="9" s="1"/>
  <c r="D237" i="9" s="1"/>
  <c r="D238" i="9" s="1"/>
  <c r="D239" i="9" s="1"/>
  <c r="D240" i="9" s="1"/>
  <c r="D241" i="9" s="1"/>
  <c r="D242" i="9" s="1"/>
  <c r="D243" i="9" s="1"/>
  <c r="D244" i="9" s="1"/>
  <c r="D245" i="9" s="1"/>
  <c r="D246" i="9" s="1"/>
  <c r="D247" i="9" s="1"/>
  <c r="D248" i="9" s="1"/>
  <c r="D249" i="9" s="1"/>
  <c r="D250" i="9" s="1"/>
  <c r="D251" i="9" s="1"/>
  <c r="D252" i="9" s="1"/>
  <c r="D253" i="9" s="1"/>
  <c r="D254" i="9" s="1"/>
  <c r="D255" i="9" s="1"/>
  <c r="D256" i="9" s="1"/>
  <c r="D257" i="9" s="1"/>
  <c r="D258" i="9" s="1"/>
  <c r="D259" i="9" s="1"/>
  <c r="D260" i="9" s="1"/>
  <c r="D261" i="9" s="1"/>
  <c r="D262" i="9" s="1"/>
  <c r="D263" i="9" s="1"/>
  <c r="D264" i="9" s="1"/>
  <c r="D265" i="9" s="1"/>
  <c r="D266" i="9" s="1"/>
  <c r="D267" i="9" s="1"/>
  <c r="D268" i="9" s="1"/>
  <c r="D269" i="9" s="1"/>
  <c r="D270" i="9" s="1"/>
  <c r="D271" i="9" s="1"/>
  <c r="D272" i="9" s="1"/>
  <c r="D273" i="9" s="1"/>
  <c r="D274" i="9" s="1"/>
  <c r="D275" i="9" s="1"/>
  <c r="D276" i="9" s="1"/>
  <c r="D277" i="9" s="1"/>
  <c r="D278" i="9" s="1"/>
  <c r="D279" i="9" s="1"/>
  <c r="D280" i="9" s="1"/>
  <c r="D281" i="9" s="1"/>
  <c r="D282" i="9" s="1"/>
  <c r="D283" i="9" s="1"/>
  <c r="D284" i="9" s="1"/>
  <c r="D285" i="9" s="1"/>
  <c r="D286" i="9" s="1"/>
  <c r="D287" i="9" s="1"/>
  <c r="D288" i="9" s="1"/>
  <c r="D289" i="9" s="1"/>
  <c r="D290" i="9" s="1"/>
  <c r="D291" i="9" s="1"/>
  <c r="D292" i="9" s="1"/>
  <c r="D293" i="9" s="1"/>
  <c r="D294" i="9" s="1"/>
  <c r="D295" i="9" s="1"/>
  <c r="D296" i="9" s="1"/>
  <c r="D297" i="9" s="1"/>
  <c r="D298" i="9" s="1"/>
  <c r="D299" i="9" s="1"/>
  <c r="D300" i="9" s="1"/>
  <c r="D301" i="9" s="1"/>
  <c r="D302" i="9" s="1"/>
  <c r="D303" i="9" s="1"/>
  <c r="D304" i="9" s="1"/>
  <c r="D305" i="9" s="1"/>
  <c r="D306" i="9" s="1"/>
  <c r="D307" i="9" s="1"/>
  <c r="D308" i="9" s="1"/>
  <c r="D309" i="9" s="1"/>
  <c r="D310" i="9" s="1"/>
  <c r="D311" i="9" s="1"/>
  <c r="D312" i="9" s="1"/>
  <c r="D313" i="9" s="1"/>
  <c r="D314" i="9" s="1"/>
  <c r="D315" i="9" s="1"/>
  <c r="D316" i="9" s="1"/>
  <c r="D317" i="9" s="1"/>
  <c r="D318" i="9" s="1"/>
  <c r="D319" i="9" s="1"/>
  <c r="D320" i="9" s="1"/>
  <c r="D321" i="9" s="1"/>
  <c r="D322" i="9" s="1"/>
  <c r="D323" i="9" s="1"/>
  <c r="D324" i="9" s="1"/>
  <c r="D325" i="9" s="1"/>
  <c r="D326" i="9" s="1"/>
  <c r="D327" i="9" s="1"/>
  <c r="D328" i="9" s="1"/>
  <c r="D329" i="9" s="1"/>
  <c r="D330" i="9" s="1"/>
  <c r="D331" i="9" s="1"/>
  <c r="D332" i="9" s="1"/>
  <c r="D333" i="9" s="1"/>
  <c r="D334" i="9" s="1"/>
  <c r="D335" i="9" s="1"/>
  <c r="D336" i="9" s="1"/>
  <c r="D337" i="9" s="1"/>
  <c r="D338" i="9" s="1"/>
  <c r="D339" i="9" s="1"/>
  <c r="D340" i="9" s="1"/>
  <c r="D341" i="9" s="1"/>
  <c r="D342" i="9" s="1"/>
  <c r="D343" i="9" s="1"/>
  <c r="D344" i="9" s="1"/>
  <c r="D345" i="9" s="1"/>
  <c r="D346" i="9" s="1"/>
  <c r="D347" i="9" s="1"/>
  <c r="D348" i="9" s="1"/>
  <c r="D349" i="9" s="1"/>
  <c r="D350" i="9" s="1"/>
  <c r="D351" i="9" s="1"/>
  <c r="D352" i="9" s="1"/>
  <c r="D353" i="9" s="1"/>
  <c r="D354" i="9" s="1"/>
  <c r="D355" i="9" s="1"/>
  <c r="D356" i="9" s="1"/>
  <c r="D357" i="9" s="1"/>
  <c r="D358" i="9" s="1"/>
  <c r="D359" i="9" s="1"/>
  <c r="D360" i="9" s="1"/>
  <c r="D361" i="9" s="1"/>
  <c r="D362" i="9" s="1"/>
  <c r="D363" i="9" s="1"/>
  <c r="D364" i="9" s="1"/>
  <c r="D365" i="9" s="1"/>
  <c r="D366" i="9" s="1"/>
  <c r="D367" i="9" s="1"/>
  <c r="D368" i="9" s="1"/>
  <c r="D369" i="9" s="1"/>
  <c r="D370" i="9" s="1"/>
  <c r="D371" i="9" s="1"/>
  <c r="D372" i="9" s="1"/>
  <c r="D373" i="9" s="1"/>
  <c r="D374" i="9" s="1"/>
  <c r="D375" i="9" s="1"/>
  <c r="D376" i="9" s="1"/>
  <c r="D377" i="9" s="1"/>
  <c r="D378" i="9" s="1"/>
  <c r="D379" i="9" s="1"/>
  <c r="D380" i="9" s="1"/>
  <c r="D381" i="9" s="1"/>
  <c r="D382" i="9" s="1"/>
  <c r="D383" i="9" s="1"/>
  <c r="D384" i="9" s="1"/>
  <c r="D385" i="9" s="1"/>
  <c r="D386" i="9" s="1"/>
  <c r="D387" i="9" s="1"/>
  <c r="D388" i="9" s="1"/>
  <c r="D389" i="9" s="1"/>
  <c r="D390" i="9" s="1"/>
  <c r="D391" i="9" s="1"/>
  <c r="D392" i="9" s="1"/>
  <c r="D393" i="9" s="1"/>
  <c r="D394" i="9" s="1"/>
  <c r="D395" i="9" s="1"/>
  <c r="D396" i="9" s="1"/>
  <c r="D397" i="9" s="1"/>
  <c r="D398" i="9" s="1"/>
  <c r="D399" i="9" s="1"/>
  <c r="D400" i="9" s="1"/>
  <c r="D401" i="9" s="1"/>
  <c r="D402" i="9" s="1"/>
  <c r="D403" i="9" s="1"/>
  <c r="D404" i="9" s="1"/>
  <c r="D405" i="9" s="1"/>
  <c r="D406" i="9" s="1"/>
  <c r="D407" i="9" s="1"/>
  <c r="D408" i="9" s="1"/>
  <c r="D409" i="9" s="1"/>
  <c r="D410" i="9" s="1"/>
  <c r="D411" i="9" s="1"/>
  <c r="D412" i="9" s="1"/>
  <c r="D413" i="9" s="1"/>
  <c r="D414" i="9" s="1"/>
  <c r="D415" i="9" s="1"/>
  <c r="D416" i="9" s="1"/>
  <c r="D417" i="9" s="1"/>
  <c r="D418" i="9" s="1"/>
  <c r="D419" i="9" s="1"/>
  <c r="D420" i="9" s="1"/>
  <c r="D421" i="9" s="1"/>
  <c r="D422" i="9" s="1"/>
  <c r="D423" i="9" s="1"/>
  <c r="D424" i="9" s="1"/>
  <c r="D425" i="9" s="1"/>
  <c r="D426" i="9" s="1"/>
  <c r="D427" i="9" s="1"/>
  <c r="D428" i="9" s="1"/>
  <c r="D429" i="9" s="1"/>
  <c r="D430" i="9" s="1"/>
  <c r="D431" i="9" s="1"/>
  <c r="D432" i="9" s="1"/>
  <c r="D433" i="9" s="1"/>
  <c r="D434" i="9" s="1"/>
  <c r="D435" i="9" s="1"/>
  <c r="D436" i="9" s="1"/>
  <c r="D437" i="9" s="1"/>
  <c r="D438" i="9" s="1"/>
  <c r="D439" i="9" s="1"/>
  <c r="D440" i="9" s="1"/>
  <c r="D441" i="9" s="1"/>
  <c r="D442" i="9" s="1"/>
  <c r="D443" i="9" s="1"/>
  <c r="D444" i="9" s="1"/>
  <c r="D445" i="9" s="1"/>
  <c r="D446" i="9" s="1"/>
  <c r="D447" i="9" s="1"/>
  <c r="D448" i="9" s="1"/>
  <c r="D449" i="9" s="1"/>
  <c r="D450" i="9" s="1"/>
  <c r="D451" i="9" s="1"/>
  <c r="D452" i="9" s="1"/>
  <c r="D453" i="9" s="1"/>
  <c r="D454" i="9" s="1"/>
  <c r="D455" i="9" s="1"/>
  <c r="D456" i="9" s="1"/>
  <c r="D457" i="9" s="1"/>
  <c r="D458" i="9" s="1"/>
  <c r="D459" i="9" s="1"/>
  <c r="D460" i="9" s="1"/>
  <c r="D461" i="9" s="1"/>
  <c r="D462" i="9" s="1"/>
  <c r="D463" i="9" s="1"/>
  <c r="D464" i="9" s="1"/>
  <c r="D465" i="9" s="1"/>
  <c r="D466" i="9" s="1"/>
  <c r="D467" i="9" s="1"/>
  <c r="D468" i="9" s="1"/>
  <c r="D469" i="9" s="1"/>
  <c r="D470" i="9" s="1"/>
  <c r="D471" i="9" s="1"/>
  <c r="D472" i="9" s="1"/>
  <c r="D473" i="9" s="1"/>
  <c r="D474" i="9" s="1"/>
  <c r="D475" i="9" s="1"/>
  <c r="D476" i="9" s="1"/>
  <c r="D477" i="9" s="1"/>
  <c r="D478" i="9" s="1"/>
  <c r="D479" i="9" s="1"/>
  <c r="D480" i="9" s="1"/>
  <c r="D481" i="9" s="1"/>
  <c r="D482" i="9" s="1"/>
  <c r="D483" i="9" s="1"/>
  <c r="D484" i="9" s="1"/>
  <c r="D485" i="9" s="1"/>
  <c r="D486" i="9" s="1"/>
  <c r="D487" i="9" s="1"/>
  <c r="D488" i="9" s="1"/>
  <c r="D489" i="9" s="1"/>
  <c r="D490" i="9" s="1"/>
  <c r="D491" i="9" s="1"/>
  <c r="D492" i="9" s="1"/>
  <c r="D493" i="9" s="1"/>
  <c r="D494" i="9" s="1"/>
  <c r="D495" i="9" s="1"/>
  <c r="D496" i="9" s="1"/>
  <c r="D497" i="9" s="1"/>
  <c r="D498" i="9" s="1"/>
  <c r="D499" i="9" s="1"/>
  <c r="D500" i="9" s="1"/>
  <c r="D501" i="9" s="1"/>
  <c r="D502" i="9" s="1"/>
  <c r="D503" i="9" s="1"/>
  <c r="D504" i="9" s="1"/>
  <c r="D505" i="9" s="1"/>
  <c r="D506" i="9" s="1"/>
  <c r="D507" i="9" s="1"/>
  <c r="D508" i="9" s="1"/>
  <c r="D509" i="9" s="1"/>
  <c r="D510" i="9" s="1"/>
  <c r="D511" i="9" s="1"/>
  <c r="D512" i="9" s="1"/>
  <c r="D513" i="9" s="1"/>
  <c r="D514" i="9" s="1"/>
  <c r="D515" i="9" s="1"/>
  <c r="D516" i="9" s="1"/>
  <c r="D517" i="9" s="1"/>
  <c r="D518" i="9" s="1"/>
  <c r="D519" i="9" s="1"/>
  <c r="D520" i="9" s="1"/>
  <c r="D521" i="9" s="1"/>
  <c r="D522" i="9" s="1"/>
  <c r="D523" i="9" s="1"/>
  <c r="D524" i="9" s="1"/>
  <c r="D525" i="9" s="1"/>
  <c r="D526" i="9" s="1"/>
  <c r="D527" i="9" s="1"/>
  <c r="D528" i="9" s="1"/>
  <c r="D529" i="9" s="1"/>
  <c r="D530" i="9" s="1"/>
  <c r="D531" i="9" s="1"/>
  <c r="D532" i="9" s="1"/>
  <c r="D533" i="9" s="1"/>
  <c r="D534" i="9" s="1"/>
  <c r="D535" i="9" s="1"/>
  <c r="D536" i="9" s="1"/>
  <c r="D537" i="9" s="1"/>
  <c r="D538" i="9" s="1"/>
  <c r="D539" i="9" s="1"/>
  <c r="D540" i="9" s="1"/>
  <c r="D541" i="9" s="1"/>
  <c r="D542" i="9" s="1"/>
  <c r="D543" i="9" s="1"/>
  <c r="D544" i="9" s="1"/>
  <c r="D545" i="9" s="1"/>
  <c r="D546" i="9" s="1"/>
  <c r="D547" i="9" s="1"/>
  <c r="D548" i="9" s="1"/>
  <c r="D549" i="9" s="1"/>
  <c r="D550" i="9" s="1"/>
  <c r="D551" i="9" s="1"/>
  <c r="D552" i="9" s="1"/>
  <c r="D553" i="9" s="1"/>
  <c r="D554" i="9" s="1"/>
  <c r="D555" i="9" s="1"/>
  <c r="D556" i="9" s="1"/>
  <c r="D557" i="9" s="1"/>
  <c r="D558" i="9" s="1"/>
  <c r="D559" i="9" s="1"/>
  <c r="D560" i="9" s="1"/>
  <c r="D561" i="9" s="1"/>
  <c r="D562" i="9" s="1"/>
  <c r="D563" i="9" s="1"/>
  <c r="D564" i="9" s="1"/>
  <c r="D565" i="9" s="1"/>
  <c r="D566" i="9" s="1"/>
  <c r="Q21" i="9"/>
  <c r="U21" i="9" s="1"/>
  <c r="K40" i="9"/>
  <c r="L40" i="9" s="1"/>
  <c r="M40" i="9" s="1"/>
  <c r="J41" i="9"/>
  <c r="J76" i="9"/>
  <c r="K75" i="9"/>
  <c r="L75" i="9" s="1"/>
  <c r="M75" i="9" s="1"/>
  <c r="L39" i="9"/>
  <c r="M39" i="9" s="1"/>
  <c r="M74" i="9"/>
  <c r="K41" i="9" l="1"/>
  <c r="J42" i="9"/>
  <c r="K76" i="9"/>
  <c r="L76" i="9" s="1"/>
  <c r="J77" i="9"/>
  <c r="R21" i="9"/>
  <c r="N22" i="9" s="1"/>
  <c r="M76" i="9" l="1"/>
  <c r="J78" i="9"/>
  <c r="K77" i="9"/>
  <c r="K42" i="9"/>
  <c r="J43" i="9"/>
  <c r="L41" i="9"/>
  <c r="M41" i="9" s="1"/>
  <c r="S21" i="9"/>
  <c r="O22" i="9" s="1"/>
  <c r="L77" i="9" l="1"/>
  <c r="M77" i="9" s="1"/>
  <c r="K43" i="9"/>
  <c r="T21" i="9"/>
  <c r="P22" i="9" s="1"/>
  <c r="Q22" i="9" s="1"/>
  <c r="U22" i="9" s="1"/>
  <c r="K78" i="9"/>
  <c r="L78" i="9" s="1"/>
  <c r="M78" i="9" s="1"/>
  <c r="J79" i="9"/>
  <c r="L42" i="9"/>
  <c r="M42" i="9" s="1"/>
  <c r="R22" i="9" l="1"/>
  <c r="N23" i="9" s="1"/>
  <c r="J80" i="9"/>
  <c r="K79" i="9"/>
  <c r="L43" i="9"/>
  <c r="M43" i="9" s="1"/>
  <c r="K80" i="9" l="1"/>
  <c r="J81" i="9"/>
  <c r="L79" i="9"/>
  <c r="M79" i="9" s="1"/>
  <c r="S22" i="9"/>
  <c r="O23" i="9" s="1"/>
  <c r="T22" i="9" l="1"/>
  <c r="P23" i="9" s="1"/>
  <c r="Q23" i="9" s="1"/>
  <c r="U23" i="9" s="1"/>
  <c r="R23" i="9" s="1"/>
  <c r="N24" i="9" s="1"/>
  <c r="L80" i="9"/>
  <c r="M80" i="9" s="1"/>
  <c r="K81" i="9"/>
  <c r="L81" i="9" s="1"/>
  <c r="J82" i="9"/>
  <c r="S23" i="9" l="1"/>
  <c r="O24" i="9" s="1"/>
  <c r="M81" i="9"/>
  <c r="J83" i="9"/>
  <c r="K82" i="9"/>
  <c r="T23" i="9" l="1"/>
  <c r="P24" i="9" s="1"/>
  <c r="Q24" i="9" s="1"/>
  <c r="U24" i="9" s="1"/>
  <c r="R24" i="9" s="1"/>
  <c r="N25" i="9" s="1"/>
  <c r="L82" i="9"/>
  <c r="M82" i="9" s="1"/>
  <c r="J84" i="9"/>
  <c r="K83" i="9"/>
  <c r="J85" i="9" l="1"/>
  <c r="K84" i="9"/>
  <c r="L84" i="9" s="1"/>
  <c r="M84" i="9" s="1"/>
  <c r="L83" i="9"/>
  <c r="M83" i="9" s="1"/>
  <c r="S24" i="9"/>
  <c r="O25" i="9" s="1"/>
  <c r="T24" i="9" l="1"/>
  <c r="P25" i="9" s="1"/>
  <c r="Q25" i="9" s="1"/>
  <c r="U25" i="9" s="1"/>
  <c r="R25" i="9" s="1"/>
  <c r="N26" i="9" s="1"/>
  <c r="K85" i="9"/>
  <c r="L85" i="9" s="1"/>
  <c r="M85" i="9" s="1"/>
  <c r="J86" i="9"/>
  <c r="K86" i="9" l="1"/>
  <c r="L86" i="9" s="1"/>
  <c r="J87" i="9"/>
  <c r="S25" i="9"/>
  <c r="O26" i="9" s="1"/>
  <c r="T25" i="9" l="1"/>
  <c r="P26" i="9" s="1"/>
  <c r="Q26" i="9" s="1"/>
  <c r="U26" i="9" s="1"/>
  <c r="R26" i="9" s="1"/>
  <c r="N27" i="9" s="1"/>
  <c r="K87" i="9"/>
  <c r="L87" i="9" s="1"/>
  <c r="J88" i="9"/>
  <c r="M86" i="9"/>
  <c r="K88" i="9" l="1"/>
  <c r="L88" i="9" s="1"/>
  <c r="J89" i="9"/>
  <c r="M87" i="9"/>
  <c r="S26" i="9"/>
  <c r="O27" i="9" s="1"/>
  <c r="T26" i="9" l="1"/>
  <c r="P27" i="9" s="1"/>
  <c r="Q27" i="9" s="1"/>
  <c r="U27" i="9" s="1"/>
  <c r="K89" i="9"/>
  <c r="L89" i="9" s="1"/>
  <c r="J90" i="9"/>
  <c r="M88" i="9"/>
  <c r="R27" i="9" l="1"/>
  <c r="N28" i="9" s="1"/>
  <c r="K90" i="9"/>
  <c r="L90" i="9" s="1"/>
  <c r="J91" i="9"/>
  <c r="M89" i="9"/>
  <c r="J92" i="9" l="1"/>
  <c r="K91" i="9"/>
  <c r="L91" i="9" s="1"/>
  <c r="M90" i="9"/>
  <c r="S27" i="9"/>
  <c r="O28" i="9" s="1"/>
  <c r="T27" i="9" l="1"/>
  <c r="P28" i="9" s="1"/>
  <c r="Q28" i="9" s="1"/>
  <c r="U28" i="9" s="1"/>
  <c r="R28" i="9" s="1"/>
  <c r="N29" i="9" s="1"/>
  <c r="J93" i="9"/>
  <c r="K92" i="9"/>
  <c r="L92" i="9" s="1"/>
  <c r="M92" i="9" s="1"/>
  <c r="M91" i="9"/>
  <c r="K93" i="9" l="1"/>
  <c r="L93" i="9" s="1"/>
  <c r="M93" i="9" s="1"/>
  <c r="J94" i="9"/>
  <c r="S28" i="9"/>
  <c r="O29" i="9" s="1"/>
  <c r="T28" i="9" l="1"/>
  <c r="P29" i="9" s="1"/>
  <c r="Q29" i="9" s="1"/>
  <c r="U29" i="9" s="1"/>
  <c r="K94" i="9"/>
  <c r="J95" i="9"/>
  <c r="R29" i="9" l="1"/>
  <c r="N30" i="9" s="1"/>
  <c r="K95" i="9"/>
  <c r="L95" i="9" s="1"/>
  <c r="M95" i="9" s="1"/>
  <c r="J96" i="9"/>
  <c r="L94" i="9"/>
  <c r="M94" i="9" s="1"/>
  <c r="K96" i="9" l="1"/>
  <c r="L96" i="9" s="1"/>
  <c r="J97" i="9"/>
  <c r="S29" i="9"/>
  <c r="O30" i="9" s="1"/>
  <c r="T29" i="9" l="1"/>
  <c r="P30" i="9" s="1"/>
  <c r="Q30" i="9" s="1"/>
  <c r="U30" i="9" s="1"/>
  <c r="R30" i="9" s="1"/>
  <c r="N31" i="9" s="1"/>
  <c r="K97" i="9"/>
  <c r="L97" i="9" s="1"/>
  <c r="J98" i="9"/>
  <c r="M96" i="9"/>
  <c r="K98" i="9" l="1"/>
  <c r="L98" i="9" s="1"/>
  <c r="J99" i="9"/>
  <c r="M97" i="9"/>
  <c r="S30" i="9"/>
  <c r="O31" i="9" s="1"/>
  <c r="J100" i="9" l="1"/>
  <c r="K99" i="9"/>
  <c r="L99" i="9" s="1"/>
  <c r="T30" i="9"/>
  <c r="Q31" i="9" s="1"/>
  <c r="U31" i="9" s="1"/>
  <c r="M98" i="9"/>
  <c r="R31" i="9" l="1"/>
  <c r="N32" i="9" s="1"/>
  <c r="J101" i="9"/>
  <c r="K100" i="9"/>
  <c r="L100" i="9" s="1"/>
  <c r="M99" i="9"/>
  <c r="K101" i="9" l="1"/>
  <c r="L101" i="9" s="1"/>
  <c r="M101" i="9" s="1"/>
  <c r="J102" i="9"/>
  <c r="M100" i="9"/>
  <c r="S31" i="9"/>
  <c r="O32" i="9" s="1"/>
  <c r="T31" i="9" l="1"/>
  <c r="P32" i="9" s="1"/>
  <c r="Q32" i="9" s="1"/>
  <c r="U32" i="9" s="1"/>
  <c r="K102" i="9"/>
  <c r="L102" i="9" s="1"/>
  <c r="J103" i="9"/>
  <c r="R32" i="9" l="1"/>
  <c r="N33" i="9" s="1"/>
  <c r="K103" i="9"/>
  <c r="L103" i="9" s="1"/>
  <c r="J104" i="9"/>
  <c r="M102" i="9"/>
  <c r="K104" i="9" l="1"/>
  <c r="L104" i="9" s="1"/>
  <c r="J105" i="9"/>
  <c r="M103" i="9"/>
  <c r="S32" i="9"/>
  <c r="O33" i="9" s="1"/>
  <c r="K105" i="9" l="1"/>
  <c r="J106" i="9"/>
  <c r="M104" i="9"/>
  <c r="T32" i="9"/>
  <c r="P33" i="9" s="1"/>
  <c r="Q33" i="9" s="1"/>
  <c r="U33" i="9" s="1"/>
  <c r="R33" i="9" l="1"/>
  <c r="N34" i="9" s="1"/>
  <c r="L105" i="9"/>
  <c r="M105" i="9" s="1"/>
  <c r="K106" i="9"/>
  <c r="L106" i="9" s="1"/>
  <c r="J107" i="9"/>
  <c r="M106" i="9" l="1"/>
  <c r="S33" i="9"/>
  <c r="O34" i="9" s="1"/>
  <c r="J108" i="9"/>
  <c r="K107" i="9"/>
  <c r="L107" i="9" s="1"/>
  <c r="M107" i="9" l="1"/>
  <c r="J109" i="9"/>
  <c r="K108" i="9"/>
  <c r="L108" i="9" s="1"/>
  <c r="M108" i="9" s="1"/>
  <c r="T33" i="9"/>
  <c r="P34" i="9" s="1"/>
  <c r="Q34" i="9" s="1"/>
  <c r="U34" i="9" s="1"/>
  <c r="R34" i="9" l="1"/>
  <c r="N35" i="9" s="1"/>
  <c r="K109" i="9"/>
  <c r="L109" i="9" s="1"/>
  <c r="M109" i="9" s="1"/>
  <c r="J110" i="9"/>
  <c r="S34" i="9" l="1"/>
  <c r="O35" i="9" s="1"/>
  <c r="K110" i="9"/>
  <c r="J111" i="9"/>
  <c r="T34" i="9" l="1"/>
  <c r="P35" i="9" s="1"/>
  <c r="Q35" i="9" s="1"/>
  <c r="U35" i="9" s="1"/>
  <c r="R35" i="9" s="1"/>
  <c r="N36" i="9" s="1"/>
  <c r="L110" i="9"/>
  <c r="M110" i="9" s="1"/>
  <c r="K111" i="9"/>
  <c r="L111" i="9" s="1"/>
  <c r="J112" i="9"/>
  <c r="K112" i="9" l="1"/>
  <c r="J113" i="9"/>
  <c r="M111" i="9"/>
  <c r="S35" i="9"/>
  <c r="L112" i="9" l="1"/>
  <c r="M112" i="9" s="1"/>
  <c r="K113" i="9"/>
  <c r="J114" i="9"/>
  <c r="O36" i="9"/>
  <c r="T35" i="9"/>
  <c r="P36" i="9" s="1"/>
  <c r="Q36" i="9" l="1"/>
  <c r="U36" i="9" s="1"/>
  <c r="R36" i="9" s="1"/>
  <c r="N37" i="9" s="1"/>
  <c r="L113" i="9"/>
  <c r="M113" i="9" s="1"/>
  <c r="K114" i="9"/>
  <c r="L114" i="9" s="1"/>
  <c r="J115" i="9"/>
  <c r="M114" i="9" l="1"/>
  <c r="J116" i="9"/>
  <c r="K115" i="9"/>
  <c r="L115" i="9" s="1"/>
  <c r="S36" i="9"/>
  <c r="M115" i="9" l="1"/>
  <c r="T36" i="9"/>
  <c r="J117" i="9"/>
  <c r="K116" i="9"/>
  <c r="L116" i="9" s="1"/>
  <c r="M116" i="9" s="1"/>
  <c r="K117" i="9" l="1"/>
  <c r="L117" i="9" s="1"/>
  <c r="J118" i="9"/>
  <c r="Q37" i="9"/>
  <c r="U37" i="9" s="1"/>
  <c r="M117" i="9" l="1"/>
  <c r="R37" i="9"/>
  <c r="N38" i="9" s="1"/>
  <c r="K118" i="9"/>
  <c r="L118" i="9" s="1"/>
  <c r="J119" i="9"/>
  <c r="M118" i="9" l="1"/>
  <c r="K119" i="9"/>
  <c r="J120" i="9"/>
  <c r="S37" i="9"/>
  <c r="O38" i="9" s="1"/>
  <c r="T37" i="9" l="1"/>
  <c r="P38" i="9" s="1"/>
  <c r="Q38" i="9" s="1"/>
  <c r="U38" i="9" s="1"/>
  <c r="L119" i="9"/>
  <c r="M119" i="9" s="1"/>
  <c r="K120" i="9"/>
  <c r="L120" i="9" s="1"/>
  <c r="J121" i="9"/>
  <c r="R38" i="9" l="1"/>
  <c r="N39" i="9" s="1"/>
  <c r="M120" i="9"/>
  <c r="K121" i="9"/>
  <c r="L121" i="9" s="1"/>
  <c r="J122" i="9"/>
  <c r="M121" i="9" l="1"/>
  <c r="K122" i="9"/>
  <c r="J123" i="9"/>
  <c r="S38" i="9"/>
  <c r="O39" i="9" s="1"/>
  <c r="J124" i="9" l="1"/>
  <c r="K123" i="9"/>
  <c r="L123" i="9" s="1"/>
  <c r="L122" i="9"/>
  <c r="M122" i="9" s="1"/>
  <c r="T38" i="9"/>
  <c r="P39" i="9" s="1"/>
  <c r="Q39" i="9" s="1"/>
  <c r="U39" i="9" s="1"/>
  <c r="R39" i="9" l="1"/>
  <c r="N40" i="9" s="1"/>
  <c r="M123" i="9"/>
  <c r="J125" i="9"/>
  <c r="K124" i="9"/>
  <c r="L124" i="9" s="1"/>
  <c r="M124" i="9" l="1"/>
  <c r="K125" i="9"/>
  <c r="L125" i="9" s="1"/>
  <c r="M125" i="9" s="1"/>
  <c r="J126" i="9"/>
  <c r="S39" i="9"/>
  <c r="O40" i="9" s="1"/>
  <c r="T39" i="9" l="1"/>
  <c r="P40" i="9" s="1"/>
  <c r="Q40" i="9"/>
  <c r="U40" i="9" s="1"/>
  <c r="R40" i="9" s="1"/>
  <c r="N41" i="9" s="1"/>
  <c r="K126" i="9"/>
  <c r="L126" i="9" s="1"/>
  <c r="J127" i="9"/>
  <c r="K127" i="9" l="1"/>
  <c r="L127" i="9" s="1"/>
  <c r="J128" i="9"/>
  <c r="M126" i="9"/>
  <c r="S40" i="9"/>
  <c r="O41" i="9" s="1"/>
  <c r="T40" i="9" l="1"/>
  <c r="P41" i="9" s="1"/>
  <c r="Q41" i="9" s="1"/>
  <c r="U41" i="9" s="1"/>
  <c r="K128" i="9"/>
  <c r="L128" i="9" s="1"/>
  <c r="J129" i="9"/>
  <c r="M127" i="9"/>
  <c r="R41" i="9" l="1"/>
  <c r="N42" i="9" s="1"/>
  <c r="K129" i="9"/>
  <c r="L129" i="9" s="1"/>
  <c r="J130" i="9"/>
  <c r="M128" i="9"/>
  <c r="K130" i="9" l="1"/>
  <c r="L130" i="9" s="1"/>
  <c r="J131" i="9"/>
  <c r="M129" i="9"/>
  <c r="S41" i="9"/>
  <c r="O42" i="9" s="1"/>
  <c r="T41" i="9" l="1"/>
  <c r="P42" i="9" s="1"/>
  <c r="Q42" i="9" s="1"/>
  <c r="U42" i="9" s="1"/>
  <c r="R42" i="9" s="1"/>
  <c r="N43" i="9" s="1"/>
  <c r="J132" i="9"/>
  <c r="K131" i="9"/>
  <c r="L131" i="9" s="1"/>
  <c r="M130" i="9"/>
  <c r="M131" i="9" l="1"/>
  <c r="J133" i="9"/>
  <c r="K132" i="9"/>
  <c r="S42" i="9"/>
  <c r="O43" i="9" s="1"/>
  <c r="K133" i="9" l="1"/>
  <c r="L133" i="9" s="1"/>
  <c r="M133" i="9" s="1"/>
  <c r="J134" i="9"/>
  <c r="L132" i="9"/>
  <c r="M132" i="9" s="1"/>
  <c r="T42" i="9"/>
  <c r="P43" i="9" s="1"/>
  <c r="Q43" i="9" s="1"/>
  <c r="U43" i="9" s="1"/>
  <c r="R43" i="9" l="1"/>
  <c r="N44" i="9" s="1"/>
  <c r="K134" i="9"/>
  <c r="L134" i="9" s="1"/>
  <c r="J135" i="9"/>
  <c r="K135" i="9" l="1"/>
  <c r="L135" i="9" s="1"/>
  <c r="J136" i="9"/>
  <c r="M134" i="9"/>
  <c r="S43" i="9"/>
  <c r="O44" i="9" s="1"/>
  <c r="T43" i="9" l="1"/>
  <c r="P44" i="9" s="1"/>
  <c r="Q44" i="9" s="1"/>
  <c r="U44" i="9" s="1"/>
  <c r="K136" i="9"/>
  <c r="L136" i="9" s="1"/>
  <c r="J137" i="9"/>
  <c r="M135" i="9"/>
  <c r="M136" i="9" l="1"/>
  <c r="K137" i="9"/>
  <c r="L137" i="9" s="1"/>
  <c r="J138" i="9"/>
  <c r="R44" i="9"/>
  <c r="N45" i="9" s="1"/>
  <c r="S44" i="9" l="1"/>
  <c r="O45" i="9" s="1"/>
  <c r="K138" i="9"/>
  <c r="L138" i="9" s="1"/>
  <c r="J139" i="9"/>
  <c r="M137" i="9"/>
  <c r="J140" i="9" l="1"/>
  <c r="K139" i="9"/>
  <c r="L139" i="9" s="1"/>
  <c r="M138" i="9"/>
  <c r="T44" i="9"/>
  <c r="P45" i="9" s="1"/>
  <c r="Q45" i="9" s="1"/>
  <c r="U45" i="9" s="1"/>
  <c r="R45" i="9" l="1"/>
  <c r="N46" i="9" s="1"/>
  <c r="M139" i="9"/>
  <c r="J141" i="9"/>
  <c r="K140" i="9"/>
  <c r="L140" i="9" s="1"/>
  <c r="M140" i="9" s="1"/>
  <c r="K141" i="9" l="1"/>
  <c r="L141" i="9" s="1"/>
  <c r="J142" i="9"/>
  <c r="S45" i="9"/>
  <c r="O46" i="9" s="1"/>
  <c r="T45" i="9" l="1"/>
  <c r="Q46" i="9" s="1"/>
  <c r="U46" i="9" s="1"/>
  <c r="K142" i="9"/>
  <c r="J143" i="9"/>
  <c r="M141" i="9"/>
  <c r="R46" i="9" l="1"/>
  <c r="N47" i="9" s="1"/>
  <c r="L142" i="9"/>
  <c r="M142" i="9" s="1"/>
  <c r="K143" i="9"/>
  <c r="L143" i="9" s="1"/>
  <c r="J144" i="9"/>
  <c r="S46" i="9" l="1"/>
  <c r="K144" i="9"/>
  <c r="L144" i="9" s="1"/>
  <c r="J145" i="9"/>
  <c r="M143" i="9"/>
  <c r="O47" i="9" l="1"/>
  <c r="T46" i="9"/>
  <c r="P47" i="9" s="1"/>
  <c r="J146" i="9"/>
  <c r="K145" i="9"/>
  <c r="L145" i="9" s="1"/>
  <c r="M144" i="9"/>
  <c r="Q47" i="9" l="1"/>
  <c r="U47" i="9" s="1"/>
  <c r="M145" i="9"/>
  <c r="K146" i="9"/>
  <c r="L146" i="9" s="1"/>
  <c r="J147" i="9"/>
  <c r="R47" i="9" l="1"/>
  <c r="S47" i="9" s="1"/>
  <c r="O48" i="9" s="1"/>
  <c r="J148" i="9"/>
  <c r="K147" i="9"/>
  <c r="L147" i="9" s="1"/>
  <c r="M146" i="9"/>
  <c r="N48" i="9" l="1"/>
  <c r="T47" i="9"/>
  <c r="P48" i="9" s="1"/>
  <c r="Q48" i="9" s="1"/>
  <c r="U48" i="9" s="1"/>
  <c r="R48" i="9" s="1"/>
  <c r="N49" i="9" s="1"/>
  <c r="J149" i="9"/>
  <c r="K148" i="9"/>
  <c r="M147" i="9"/>
  <c r="S48" i="9" l="1"/>
  <c r="O49" i="9" s="1"/>
  <c r="K149" i="9"/>
  <c r="L149" i="9" s="1"/>
  <c r="J150" i="9"/>
  <c r="L148" i="9"/>
  <c r="M148" i="9" s="1"/>
  <c r="T48" i="9" l="1"/>
  <c r="Q49" i="9" s="1"/>
  <c r="U49" i="9" s="1"/>
  <c r="R49" i="9" s="1"/>
  <c r="N50" i="9" s="1"/>
  <c r="J151" i="9"/>
  <c r="K150" i="9"/>
  <c r="M149" i="9"/>
  <c r="K151" i="9" l="1"/>
  <c r="J152" i="9"/>
  <c r="L150" i="9"/>
  <c r="M150" i="9" s="1"/>
  <c r="S49" i="9"/>
  <c r="O50" i="9" s="1"/>
  <c r="J153" i="9" l="1"/>
  <c r="K152" i="9"/>
  <c r="L151" i="9"/>
  <c r="M151" i="9" s="1"/>
  <c r="T49" i="9"/>
  <c r="P50" i="9" s="1"/>
  <c r="Q50" i="9" s="1"/>
  <c r="U50" i="9" s="1"/>
  <c r="R50" i="9" l="1"/>
  <c r="N51" i="9" s="1"/>
  <c r="L152" i="9"/>
  <c r="M152" i="9" s="1"/>
  <c r="K153" i="9"/>
  <c r="L153" i="9" s="1"/>
  <c r="J154" i="9"/>
  <c r="S50" i="9" l="1"/>
  <c r="O51" i="9" s="1"/>
  <c r="M153" i="9"/>
  <c r="J155" i="9"/>
  <c r="K154" i="9"/>
  <c r="T50" i="9" l="1"/>
  <c r="P51" i="9" s="1"/>
  <c r="Q51" i="9" s="1"/>
  <c r="U51" i="9" s="1"/>
  <c r="R51" i="9" s="1"/>
  <c r="N52" i="9" s="1"/>
  <c r="L154" i="9"/>
  <c r="M154" i="9" s="1"/>
  <c r="J156" i="9"/>
  <c r="K155" i="9"/>
  <c r="J157" i="9" l="1"/>
  <c r="K156" i="9"/>
  <c r="L155" i="9"/>
  <c r="M155" i="9" s="1"/>
  <c r="S51" i="9"/>
  <c r="T51" i="9" l="1"/>
  <c r="Q52" i="9" s="1"/>
  <c r="U52" i="9" s="1"/>
  <c r="R52" i="9" s="1"/>
  <c r="N53" i="9" s="1"/>
  <c r="L156" i="9"/>
  <c r="M156" i="9" s="1"/>
  <c r="J158" i="9"/>
  <c r="K157" i="9"/>
  <c r="L157" i="9" l="1"/>
  <c r="M157" i="9" s="1"/>
  <c r="J159" i="9"/>
  <c r="K158" i="9"/>
  <c r="S52" i="9"/>
  <c r="O53" i="9" s="1"/>
  <c r="T52" i="9" l="1"/>
  <c r="P53" i="9" s="1"/>
  <c r="Q53" i="9" s="1"/>
  <c r="U53" i="9" s="1"/>
  <c r="R53" i="9" s="1"/>
  <c r="N54" i="9" s="1"/>
  <c r="J160" i="9"/>
  <c r="K159" i="9"/>
  <c r="L158" i="9"/>
  <c r="M158" i="9" s="1"/>
  <c r="L159" i="9" l="1"/>
  <c r="M159" i="9" s="1"/>
  <c r="S53" i="9"/>
  <c r="O54" i="9" s="1"/>
  <c r="J161" i="9"/>
  <c r="K160" i="9"/>
  <c r="L160" i="9" s="1"/>
  <c r="J162" i="9" l="1"/>
  <c r="K161" i="9"/>
  <c r="M160" i="9"/>
  <c r="T53" i="9"/>
  <c r="P54" i="9" s="1"/>
  <c r="Q54" i="9" s="1"/>
  <c r="U54" i="9" s="1"/>
  <c r="R54" i="9" l="1"/>
  <c r="N55" i="9" s="1"/>
  <c r="J163" i="9"/>
  <c r="K162" i="9"/>
  <c r="L161" i="9"/>
  <c r="M161" i="9" s="1"/>
  <c r="S54" i="9" l="1"/>
  <c r="O55" i="9" s="1"/>
  <c r="J164" i="9"/>
  <c r="K163" i="9"/>
  <c r="L162" i="9"/>
  <c r="M162" i="9" s="1"/>
  <c r="T54" i="9" l="1"/>
  <c r="P55" i="9" s="1"/>
  <c r="Q55" i="9" s="1"/>
  <c r="U55" i="9" s="1"/>
  <c r="R55" i="9" s="1"/>
  <c r="N56" i="9" s="1"/>
  <c r="J165" i="9"/>
  <c r="K164" i="9"/>
  <c r="L163" i="9"/>
  <c r="M163" i="9" s="1"/>
  <c r="L164" i="9" l="1"/>
  <c r="M164" i="9" s="1"/>
  <c r="S55" i="9"/>
  <c r="O56" i="9" s="1"/>
  <c r="J166" i="9"/>
  <c r="K165" i="9"/>
  <c r="L165" i="9" s="1"/>
  <c r="M165" i="9" s="1"/>
  <c r="J167" i="9" l="1"/>
  <c r="K166" i="9"/>
  <c r="L166" i="9" s="1"/>
  <c r="T55" i="9"/>
  <c r="P56" i="9" s="1"/>
  <c r="Q56" i="9" s="1"/>
  <c r="U56" i="9" s="1"/>
  <c r="R56" i="9" l="1"/>
  <c r="N57" i="9" s="1"/>
  <c r="M166" i="9"/>
  <c r="J168" i="9"/>
  <c r="K167" i="9"/>
  <c r="L167" i="9" s="1"/>
  <c r="M167" i="9" s="1"/>
  <c r="S56" i="9" l="1"/>
  <c r="O57" i="9" s="1"/>
  <c r="J169" i="9"/>
  <c r="K168" i="9"/>
  <c r="L168" i="9" s="1"/>
  <c r="T56" i="9" l="1"/>
  <c r="P57" i="9" s="1"/>
  <c r="Q57" i="9" s="1"/>
  <c r="U57" i="9" s="1"/>
  <c r="R57" i="9" s="1"/>
  <c r="N58" i="9" s="1"/>
  <c r="M168" i="9"/>
  <c r="J170" i="9"/>
  <c r="K169" i="9"/>
  <c r="J171" i="9" l="1"/>
  <c r="K170" i="9"/>
  <c r="L169" i="9"/>
  <c r="M169" i="9" s="1"/>
  <c r="S57" i="9"/>
  <c r="O58" i="9" s="1"/>
  <c r="T57" i="9" l="1"/>
  <c r="P58" i="9" s="1"/>
  <c r="Q58" i="9" s="1"/>
  <c r="U58" i="9" s="1"/>
  <c r="R58" i="9" s="1"/>
  <c r="J172" i="9"/>
  <c r="K171" i="9"/>
  <c r="L170" i="9"/>
  <c r="M170" i="9" s="1"/>
  <c r="N59" i="9" l="1"/>
  <c r="S58" i="9"/>
  <c r="O59" i="9" s="1"/>
  <c r="L171" i="9"/>
  <c r="M171" i="9" s="1"/>
  <c r="J173" i="9"/>
  <c r="K172" i="9"/>
  <c r="T58" i="9" l="1"/>
  <c r="P59" i="9" s="1"/>
  <c r="Q59" i="9" s="1"/>
  <c r="U59" i="9" s="1"/>
  <c r="R59" i="9" s="1"/>
  <c r="N60" i="9" s="1"/>
  <c r="L172" i="9"/>
  <c r="M172" i="9" s="1"/>
  <c r="J174" i="9"/>
  <c r="K173" i="9"/>
  <c r="L173" i="9" s="1"/>
  <c r="M173" i="9" s="1"/>
  <c r="K174" i="9" l="1"/>
  <c r="J175" i="9"/>
  <c r="S59" i="9"/>
  <c r="T59" i="9" l="1"/>
  <c r="Q60" i="9" s="1"/>
  <c r="U60" i="9" s="1"/>
  <c r="J176" i="9"/>
  <c r="K175" i="9"/>
  <c r="L174" i="9"/>
  <c r="M174" i="9" s="1"/>
  <c r="R60" i="9" l="1"/>
  <c r="N61" i="9" s="1"/>
  <c r="K176" i="9"/>
  <c r="L176" i="9" s="1"/>
  <c r="J177" i="9"/>
  <c r="L175" i="9"/>
  <c r="M175" i="9" s="1"/>
  <c r="M176" i="9" l="1"/>
  <c r="J178" i="9"/>
  <c r="K177" i="9"/>
  <c r="S60" i="9"/>
  <c r="O61" i="9" s="1"/>
  <c r="T60" i="9" l="1"/>
  <c r="P61" i="9" s="1"/>
  <c r="Q61" i="9" s="1"/>
  <c r="U61" i="9" s="1"/>
  <c r="K178" i="9"/>
  <c r="J179" i="9"/>
  <c r="L177" i="9"/>
  <c r="M177" i="9" s="1"/>
  <c r="R61" i="9" l="1"/>
  <c r="N62" i="9" s="1"/>
  <c r="J180" i="9"/>
  <c r="K179" i="9"/>
  <c r="L178" i="9"/>
  <c r="M178" i="9" s="1"/>
  <c r="L179" i="9" l="1"/>
  <c r="M179" i="9" s="1"/>
  <c r="S61" i="9"/>
  <c r="O62" i="9" s="1"/>
  <c r="K180" i="9"/>
  <c r="J181" i="9"/>
  <c r="T61" i="9" l="1"/>
  <c r="P62" i="9" s="1"/>
  <c r="Q62" i="9" s="1"/>
  <c r="U62" i="9" s="1"/>
  <c r="J182" i="9"/>
  <c r="K181" i="9"/>
  <c r="L180" i="9"/>
  <c r="M180" i="9" s="1"/>
  <c r="R62" i="9" l="1"/>
  <c r="N63" i="9" s="1"/>
  <c r="L181" i="9"/>
  <c r="M181" i="9" s="1"/>
  <c r="K182" i="9"/>
  <c r="J183" i="9"/>
  <c r="L182" i="9" l="1"/>
  <c r="M182" i="9" s="1"/>
  <c r="S62" i="9"/>
  <c r="O63" i="9" s="1"/>
  <c r="J184" i="9"/>
  <c r="K183" i="9"/>
  <c r="L183" i="9" s="1"/>
  <c r="M183" i="9" s="1"/>
  <c r="K184" i="9" l="1"/>
  <c r="L184" i="9" s="1"/>
  <c r="J185" i="9"/>
  <c r="T62" i="9"/>
  <c r="P63" i="9" s="1"/>
  <c r="Q63" i="9" s="1"/>
  <c r="U63" i="9" s="1"/>
  <c r="R63" i="9" l="1"/>
  <c r="N64" i="9" s="1"/>
  <c r="J186" i="9"/>
  <c r="K185" i="9"/>
  <c r="L185" i="9" s="1"/>
  <c r="M184" i="9"/>
  <c r="M185" i="9" l="1"/>
  <c r="K186" i="9"/>
  <c r="L186" i="9" s="1"/>
  <c r="J187" i="9"/>
  <c r="S63" i="9"/>
  <c r="O64" i="9" s="1"/>
  <c r="T63" i="9" l="1"/>
  <c r="P64" i="9" s="1"/>
  <c r="Q64" i="9" s="1"/>
  <c r="U64" i="9" s="1"/>
  <c r="K187" i="9"/>
  <c r="J188" i="9"/>
  <c r="M186" i="9"/>
  <c r="R64" i="9" l="1"/>
  <c r="N65" i="9" s="1"/>
  <c r="J189" i="9"/>
  <c r="K188" i="9"/>
  <c r="L187" i="9"/>
  <c r="M187" i="9" s="1"/>
  <c r="S64" i="9" l="1"/>
  <c r="O65" i="9" s="1"/>
  <c r="L188" i="9"/>
  <c r="M188" i="9" s="1"/>
  <c r="J190" i="9"/>
  <c r="K189" i="9"/>
  <c r="L189" i="9" s="1"/>
  <c r="T64" i="9" l="1"/>
  <c r="P65" i="9" s="1"/>
  <c r="Q65" i="9" s="1"/>
  <c r="U65" i="9" s="1"/>
  <c r="R65" i="9" s="1"/>
  <c r="N66" i="9" s="1"/>
  <c r="M189" i="9"/>
  <c r="K190" i="9"/>
  <c r="J191" i="9"/>
  <c r="L190" i="9" l="1"/>
  <c r="M190" i="9" s="1"/>
  <c r="K191" i="9"/>
  <c r="L191" i="9" s="1"/>
  <c r="J192" i="9"/>
  <c r="S65" i="9"/>
  <c r="O66" i="9" s="1"/>
  <c r="T65" i="9" l="1"/>
  <c r="P66" i="9" s="1"/>
  <c r="Q66" i="9" s="1"/>
  <c r="U66" i="9" s="1"/>
  <c r="R66" i="9" s="1"/>
  <c r="N67" i="9" s="1"/>
  <c r="M191" i="9"/>
  <c r="K192" i="9"/>
  <c r="J193" i="9"/>
  <c r="L192" i="9" l="1"/>
  <c r="M192" i="9" s="1"/>
  <c r="K193" i="9"/>
  <c r="J194" i="9"/>
  <c r="S66" i="9"/>
  <c r="O67" i="9" s="1"/>
  <c r="L193" i="9" l="1"/>
  <c r="M193" i="9" s="1"/>
  <c r="K194" i="9"/>
  <c r="L194" i="9" s="1"/>
  <c r="J195" i="9"/>
  <c r="T66" i="9"/>
  <c r="P67" i="9" s="1"/>
  <c r="Q67" i="9" s="1"/>
  <c r="U67" i="9" s="1"/>
  <c r="R67" i="9" l="1"/>
  <c r="N68" i="9" s="1"/>
  <c r="K195" i="9"/>
  <c r="J196" i="9"/>
  <c r="M194" i="9"/>
  <c r="L195" i="9" l="1"/>
  <c r="M195" i="9" s="1"/>
  <c r="J197" i="9"/>
  <c r="K196" i="9"/>
  <c r="L196" i="9" s="1"/>
  <c r="S67" i="9"/>
  <c r="O68" i="9" s="1"/>
  <c r="J198" i="9" l="1"/>
  <c r="K197" i="9"/>
  <c r="M196" i="9"/>
  <c r="T67" i="9"/>
  <c r="P68" i="9" s="1"/>
  <c r="Q68" i="9" s="1"/>
  <c r="U68" i="9" s="1"/>
  <c r="R68" i="9" l="1"/>
  <c r="N69" i="9" s="1"/>
  <c r="L197" i="9"/>
  <c r="M197" i="9" s="1"/>
  <c r="K198" i="9"/>
  <c r="L198" i="9" s="1"/>
  <c r="J199" i="9"/>
  <c r="K199" i="9" l="1"/>
  <c r="J200" i="9"/>
  <c r="M198" i="9"/>
  <c r="S68" i="9"/>
  <c r="O69" i="9" l="1"/>
  <c r="T68" i="9"/>
  <c r="P69" i="9" s="1"/>
  <c r="K200" i="9"/>
  <c r="J201" i="9"/>
  <c r="L199" i="9"/>
  <c r="M199" i="9" s="1"/>
  <c r="K201" i="9" l="1"/>
  <c r="J202" i="9"/>
  <c r="L200" i="9"/>
  <c r="M200" i="9" s="1"/>
  <c r="Q69" i="9"/>
  <c r="U69" i="9" s="1"/>
  <c r="R69" i="9" l="1"/>
  <c r="N70" i="9" s="1"/>
  <c r="K202" i="9"/>
  <c r="L202" i="9" s="1"/>
  <c r="J203" i="9"/>
  <c r="L201" i="9"/>
  <c r="M201" i="9" s="1"/>
  <c r="M202" i="9" l="1"/>
  <c r="K203" i="9"/>
  <c r="J204" i="9"/>
  <c r="S69" i="9"/>
  <c r="O70" i="9" s="1"/>
  <c r="T69" i="9" l="1"/>
  <c r="P70" i="9" s="1"/>
  <c r="Q70" i="9"/>
  <c r="U70" i="9" s="1"/>
  <c r="R70" i="9" s="1"/>
  <c r="N71" i="9" s="1"/>
  <c r="J205" i="9"/>
  <c r="K204" i="9"/>
  <c r="L204" i="9" s="1"/>
  <c r="L203" i="9"/>
  <c r="M203" i="9" s="1"/>
  <c r="M204" i="9" l="1"/>
  <c r="J206" i="9"/>
  <c r="K205" i="9"/>
  <c r="S70" i="9"/>
  <c r="T70" i="9" l="1"/>
  <c r="L205" i="9"/>
  <c r="M205" i="9" s="1"/>
  <c r="K206" i="9"/>
  <c r="J207" i="9"/>
  <c r="L206" i="9" l="1"/>
  <c r="M206" i="9" s="1"/>
  <c r="K207" i="9"/>
  <c r="J208" i="9"/>
  <c r="Q71" i="9"/>
  <c r="U71" i="9" s="1"/>
  <c r="K208" i="9" l="1"/>
  <c r="J209" i="9"/>
  <c r="L207" i="9"/>
  <c r="M207" i="9" s="1"/>
  <c r="R71" i="9"/>
  <c r="N72" i="9" s="1"/>
  <c r="S71" i="9" l="1"/>
  <c r="O72" i="9" s="1"/>
  <c r="K209" i="9"/>
  <c r="L209" i="9" s="1"/>
  <c r="J210" i="9"/>
  <c r="L208" i="9"/>
  <c r="M208" i="9" s="1"/>
  <c r="T71" i="9" l="1"/>
  <c r="P72" i="9" s="1"/>
  <c r="Q72" i="9" s="1"/>
  <c r="U72" i="9" s="1"/>
  <c r="R72" i="9" s="1"/>
  <c r="N73" i="9" s="1"/>
  <c r="K210" i="9"/>
  <c r="J211" i="9"/>
  <c r="M209" i="9"/>
  <c r="K211" i="9" l="1"/>
  <c r="J212" i="9"/>
  <c r="L210" i="9"/>
  <c r="M210" i="9" s="1"/>
  <c r="S72" i="9"/>
  <c r="O73" i="9" s="1"/>
  <c r="T72" i="9" l="1"/>
  <c r="P73" i="9" s="1"/>
  <c r="Q73" i="9" s="1"/>
  <c r="U73" i="9" s="1"/>
  <c r="R73" i="9" s="1"/>
  <c r="N74" i="9" s="1"/>
  <c r="L211" i="9"/>
  <c r="M211" i="9" s="1"/>
  <c r="J213" i="9"/>
  <c r="K212" i="9"/>
  <c r="L212" i="9" s="1"/>
  <c r="M212" i="9" s="1"/>
  <c r="J214" i="9" l="1"/>
  <c r="K213" i="9"/>
  <c r="S73" i="9"/>
  <c r="O74" i="9" s="1"/>
  <c r="L213" i="9" l="1"/>
  <c r="M213" i="9" s="1"/>
  <c r="T73" i="9"/>
  <c r="Q74" i="9" s="1"/>
  <c r="U74" i="9" s="1"/>
  <c r="K214" i="9"/>
  <c r="J215" i="9"/>
  <c r="L214" i="9" l="1"/>
  <c r="M214" i="9" s="1"/>
  <c r="R74" i="9"/>
  <c r="N75" i="9" s="1"/>
  <c r="K215" i="9"/>
  <c r="J216" i="9"/>
  <c r="K216" i="9" l="1"/>
  <c r="J217" i="9"/>
  <c r="L215" i="9"/>
  <c r="M215" i="9" s="1"/>
  <c r="S74" i="9"/>
  <c r="O75" i="9" s="1"/>
  <c r="T74" i="9" l="1"/>
  <c r="P75" i="9" s="1"/>
  <c r="Q75" i="9" s="1"/>
  <c r="U75" i="9" s="1"/>
  <c r="R75" i="9" s="1"/>
  <c r="N76" i="9" s="1"/>
  <c r="L216" i="9"/>
  <c r="M216" i="9" s="1"/>
  <c r="K217" i="9"/>
  <c r="L217" i="9" s="1"/>
  <c r="J218" i="9"/>
  <c r="M217" i="9" l="1"/>
  <c r="S75" i="9"/>
  <c r="O76" i="9" s="1"/>
  <c r="K218" i="9"/>
  <c r="J219" i="9"/>
  <c r="T75" i="9" l="1"/>
  <c r="P76" i="9" s="1"/>
  <c r="Q76" i="9"/>
  <c r="U76" i="9" s="1"/>
  <c r="R76" i="9" s="1"/>
  <c r="N77" i="9" s="1"/>
  <c r="L218" i="9"/>
  <c r="M218" i="9" s="1"/>
  <c r="J220" i="9"/>
  <c r="K219" i="9"/>
  <c r="L219" i="9" s="1"/>
  <c r="M219" i="9" s="1"/>
  <c r="S76" i="9" l="1"/>
  <c r="O77" i="9" s="1"/>
  <c r="K220" i="9"/>
  <c r="J221" i="9"/>
  <c r="T76" i="9" l="1"/>
  <c r="Q77" i="9"/>
  <c r="U77" i="9" s="1"/>
  <c r="R77" i="9" s="1"/>
  <c r="N78" i="9" s="1"/>
  <c r="J222" i="9"/>
  <c r="K221" i="9"/>
  <c r="L220" i="9"/>
  <c r="M220" i="9" s="1"/>
  <c r="L221" i="9" l="1"/>
  <c r="M221" i="9" s="1"/>
  <c r="K222" i="9"/>
  <c r="L222" i="9" s="1"/>
  <c r="J223" i="9"/>
  <c r="S77" i="9"/>
  <c r="O78" i="9" s="1"/>
  <c r="M222" i="9" l="1"/>
  <c r="K223" i="9"/>
  <c r="L223" i="9" s="1"/>
  <c r="J224" i="9"/>
  <c r="T77" i="9"/>
  <c r="P78" i="9" s="1"/>
  <c r="Q78" i="9" s="1"/>
  <c r="U78" i="9" s="1"/>
  <c r="R78" i="9" l="1"/>
  <c r="N79" i="9" s="1"/>
  <c r="K224" i="9"/>
  <c r="J225" i="9"/>
  <c r="M223" i="9"/>
  <c r="S78" i="9" l="1"/>
  <c r="O79" i="9" s="1"/>
  <c r="K225" i="9"/>
  <c r="L225" i="9" s="1"/>
  <c r="M225" i="9" s="1"/>
  <c r="J226" i="9"/>
  <c r="L224" i="9"/>
  <c r="M224" i="9" s="1"/>
  <c r="T78" i="9" l="1"/>
  <c r="P79" i="9" s="1"/>
  <c r="Q79" i="9" s="1"/>
  <c r="U79" i="9" s="1"/>
  <c r="R79" i="9" s="1"/>
  <c r="N80" i="9" s="1"/>
  <c r="K226" i="9"/>
  <c r="J227" i="9"/>
  <c r="K227" i="9" l="1"/>
  <c r="J228" i="9"/>
  <c r="L227" i="9"/>
  <c r="L226" i="9"/>
  <c r="M226" i="9" s="1"/>
  <c r="S79" i="9"/>
  <c r="O80" i="9" s="1"/>
  <c r="M227" i="9" l="1"/>
  <c r="J229" i="9"/>
  <c r="K228" i="9"/>
  <c r="T79" i="9"/>
  <c r="P80" i="9" s="1"/>
  <c r="Q80" i="9" s="1"/>
  <c r="U80" i="9" s="1"/>
  <c r="R80" i="9" l="1"/>
  <c r="N81" i="9" s="1"/>
  <c r="L228" i="9"/>
  <c r="M228" i="9" s="1"/>
  <c r="K229" i="9"/>
  <c r="L229" i="9" s="1"/>
  <c r="M229" i="9" s="1"/>
  <c r="J230" i="9"/>
  <c r="J231" i="9" l="1"/>
  <c r="K230" i="9"/>
  <c r="L230" i="9" s="1"/>
  <c r="S80" i="9"/>
  <c r="O81" i="9" s="1"/>
  <c r="T80" i="9" l="1"/>
  <c r="P81" i="9" s="1"/>
  <c r="Q81" i="9" s="1"/>
  <c r="U81" i="9" s="1"/>
  <c r="R81" i="9" s="1"/>
  <c r="N82" i="9" s="1"/>
  <c r="M230" i="9"/>
  <c r="K231" i="9"/>
  <c r="L231" i="9" s="1"/>
  <c r="M231" i="9" s="1"/>
  <c r="J232" i="9"/>
  <c r="J233" i="9" l="1"/>
  <c r="K232" i="9"/>
  <c r="S81" i="9"/>
  <c r="O82" i="9" s="1"/>
  <c r="L232" i="9" l="1"/>
  <c r="M232" i="9" s="1"/>
  <c r="T81" i="9"/>
  <c r="P82" i="9" s="1"/>
  <c r="Q82" i="9" s="1"/>
  <c r="U82" i="9" s="1"/>
  <c r="K233" i="9"/>
  <c r="L233" i="9" s="1"/>
  <c r="J234" i="9"/>
  <c r="R82" i="9" l="1"/>
  <c r="N83" i="9" s="1"/>
  <c r="M233" i="9"/>
  <c r="J235" i="9"/>
  <c r="K234" i="9"/>
  <c r="L234" i="9" l="1"/>
  <c r="M234" i="9" s="1"/>
  <c r="K235" i="9"/>
  <c r="J236" i="9"/>
  <c r="S82" i="9"/>
  <c r="O83" i="9" s="1"/>
  <c r="L235" i="9" l="1"/>
  <c r="M235" i="9" s="1"/>
  <c r="J237" i="9"/>
  <c r="K236" i="9"/>
  <c r="T82" i="9"/>
  <c r="P83" i="9" s="1"/>
  <c r="Q83" i="9" s="1"/>
  <c r="U83" i="9" s="1"/>
  <c r="R83" i="9" l="1"/>
  <c r="N84" i="9" s="1"/>
  <c r="L236" i="9"/>
  <c r="M236" i="9" s="1"/>
  <c r="J238" i="9"/>
  <c r="K237" i="9"/>
  <c r="L237" i="9" s="1"/>
  <c r="M237" i="9" s="1"/>
  <c r="J239" i="9" l="1"/>
  <c r="K238" i="9"/>
  <c r="S83" i="9"/>
  <c r="O84" i="9" s="1"/>
  <c r="L238" i="9" l="1"/>
  <c r="M238" i="9" s="1"/>
  <c r="T83" i="9"/>
  <c r="P84" i="9" s="1"/>
  <c r="Q84" i="9" s="1"/>
  <c r="U84" i="9" s="1"/>
  <c r="J240" i="9"/>
  <c r="K239" i="9"/>
  <c r="R84" i="9" l="1"/>
  <c r="N85" i="9" s="1"/>
  <c r="L239" i="9"/>
  <c r="M239" i="9" s="1"/>
  <c r="K240" i="9"/>
  <c r="L240" i="9" s="1"/>
  <c r="J241" i="9"/>
  <c r="J242" i="9" l="1"/>
  <c r="K241" i="9"/>
  <c r="M240" i="9"/>
  <c r="S84" i="9"/>
  <c r="O85" i="9" s="1"/>
  <c r="T84" i="9" l="1"/>
  <c r="P85" i="9" s="1"/>
  <c r="Q85" i="9" s="1"/>
  <c r="U85" i="9" s="1"/>
  <c r="L241" i="9"/>
  <c r="M241" i="9" s="1"/>
  <c r="J243" i="9"/>
  <c r="K242" i="9"/>
  <c r="L242" i="9" s="1"/>
  <c r="R85" i="9" l="1"/>
  <c r="N86" i="9" s="1"/>
  <c r="M242" i="9"/>
  <c r="K243" i="9"/>
  <c r="L243" i="9" s="1"/>
  <c r="M243" i="9" s="1"/>
  <c r="J244" i="9"/>
  <c r="K244" i="9" l="1"/>
  <c r="L244" i="9" s="1"/>
  <c r="J245" i="9"/>
  <c r="S85" i="9"/>
  <c r="O86" i="9" s="1"/>
  <c r="T85" i="9" l="1"/>
  <c r="P86" i="9" s="1"/>
  <c r="Q86" i="9" s="1"/>
  <c r="U86" i="9" s="1"/>
  <c r="K245" i="9"/>
  <c r="L245" i="9" s="1"/>
  <c r="J246" i="9"/>
  <c r="M244" i="9"/>
  <c r="R86" i="9" l="1"/>
  <c r="N87" i="9" s="1"/>
  <c r="J247" i="9"/>
  <c r="K246" i="9"/>
  <c r="M245" i="9"/>
  <c r="J248" i="9" l="1"/>
  <c r="K247" i="9"/>
  <c r="L246" i="9"/>
  <c r="M246" i="9" s="1"/>
  <c r="S86" i="9"/>
  <c r="O87" i="9" s="1"/>
  <c r="K248" i="9" l="1"/>
  <c r="L248" i="9" s="1"/>
  <c r="J249" i="9"/>
  <c r="L247" i="9"/>
  <c r="M247" i="9" s="1"/>
  <c r="T86" i="9"/>
  <c r="P87" i="9" s="1"/>
  <c r="Q87" i="9" s="1"/>
  <c r="U87" i="9" s="1"/>
  <c r="R87" i="9" l="1"/>
  <c r="N88" i="9" s="1"/>
  <c r="J250" i="9"/>
  <c r="K249" i="9"/>
  <c r="M248" i="9"/>
  <c r="K250" i="9" l="1"/>
  <c r="J251" i="9"/>
  <c r="L249" i="9"/>
  <c r="M249" i="9" s="1"/>
  <c r="S87" i="9"/>
  <c r="O88" i="9" s="1"/>
  <c r="J252" i="9" l="1"/>
  <c r="K251" i="9"/>
  <c r="L251" i="9" s="1"/>
  <c r="L250" i="9"/>
  <c r="M250" i="9" s="1"/>
  <c r="T87" i="9"/>
  <c r="P88" i="9" s="1"/>
  <c r="Q88" i="9" s="1"/>
  <c r="U88" i="9" s="1"/>
  <c r="R88" i="9" l="1"/>
  <c r="N89" i="9" s="1"/>
  <c r="M251" i="9"/>
  <c r="K252" i="9"/>
  <c r="L252" i="9" s="1"/>
  <c r="J253" i="9"/>
  <c r="M252" i="9" l="1"/>
  <c r="J254" i="9"/>
  <c r="K253" i="9"/>
  <c r="L253" i="9" s="1"/>
  <c r="S88" i="9"/>
  <c r="T88" i="9" l="1"/>
  <c r="Q89" i="9" s="1"/>
  <c r="U89" i="9" s="1"/>
  <c r="K254" i="9"/>
  <c r="L254" i="9" s="1"/>
  <c r="M254" i="9" s="1"/>
  <c r="J255" i="9"/>
  <c r="M253" i="9"/>
  <c r="R89" i="9" l="1"/>
  <c r="N90" i="9" s="1"/>
  <c r="J256" i="9"/>
  <c r="K255" i="9"/>
  <c r="L255" i="9" s="1"/>
  <c r="S89" i="9" l="1"/>
  <c r="O90" i="9" s="1"/>
  <c r="M255" i="9"/>
  <c r="J257" i="9"/>
  <c r="K256" i="9"/>
  <c r="L256" i="9" s="1"/>
  <c r="T89" i="9" l="1"/>
  <c r="P90" i="9" s="1"/>
  <c r="Q90" i="9" s="1"/>
  <c r="U90" i="9" s="1"/>
  <c r="R90" i="9" s="1"/>
  <c r="N91" i="9" s="1"/>
  <c r="K257" i="9"/>
  <c r="J258" i="9"/>
  <c r="M256" i="9"/>
  <c r="S90" i="9" l="1"/>
  <c r="O91" i="9" s="1"/>
  <c r="J259" i="9"/>
  <c r="K258" i="9"/>
  <c r="L258" i="9" s="1"/>
  <c r="L257" i="9"/>
  <c r="M257" i="9" s="1"/>
  <c r="T90" i="9" l="1"/>
  <c r="P91" i="9" s="1"/>
  <c r="Q91" i="9" s="1"/>
  <c r="U91" i="9" s="1"/>
  <c r="R91" i="9" s="1"/>
  <c r="N92" i="9" s="1"/>
  <c r="M258" i="9"/>
  <c r="K259" i="9"/>
  <c r="J260" i="9"/>
  <c r="J261" i="9" l="1"/>
  <c r="K260" i="9"/>
  <c r="L260" i="9" s="1"/>
  <c r="L259" i="9"/>
  <c r="M259" i="9" s="1"/>
  <c r="S91" i="9"/>
  <c r="O92" i="9" s="1"/>
  <c r="K261" i="9" l="1"/>
  <c r="J262" i="9"/>
  <c r="M260" i="9"/>
  <c r="T91" i="9"/>
  <c r="Q92" i="9" s="1"/>
  <c r="U92" i="9" s="1"/>
  <c r="R92" i="9" l="1"/>
  <c r="N93" i="9" s="1"/>
  <c r="J263" i="9"/>
  <c r="K262" i="9"/>
  <c r="L262" i="9" s="1"/>
  <c r="L261" i="9"/>
  <c r="M261" i="9" s="1"/>
  <c r="S92" i="9" l="1"/>
  <c r="O93" i="9" s="1"/>
  <c r="M262" i="9"/>
  <c r="K263" i="9"/>
  <c r="J264" i="9"/>
  <c r="T92" i="9" l="1"/>
  <c r="P93" i="9" s="1"/>
  <c r="Q93" i="9" s="1"/>
  <c r="U93" i="9" s="1"/>
  <c r="R93" i="9" s="1"/>
  <c r="N94" i="9" s="1"/>
  <c r="K264" i="9"/>
  <c r="J265" i="9"/>
  <c r="L263" i="9"/>
  <c r="M263" i="9" s="1"/>
  <c r="L264" i="9" l="1"/>
  <c r="M264" i="9" s="1"/>
  <c r="S93" i="9"/>
  <c r="O94" i="9" s="1"/>
  <c r="J266" i="9"/>
  <c r="K265" i="9"/>
  <c r="T93" i="9" l="1"/>
  <c r="P94" i="9" s="1"/>
  <c r="Q94" i="9" s="1"/>
  <c r="U94" i="9" s="1"/>
  <c r="R94" i="9" s="1"/>
  <c r="N95" i="9" s="1"/>
  <c r="K266" i="9"/>
  <c r="J267" i="9"/>
  <c r="L265" i="9"/>
  <c r="M265" i="9" s="1"/>
  <c r="J268" i="9" l="1"/>
  <c r="K267" i="9"/>
  <c r="L267" i="9" s="1"/>
  <c r="L266" i="9"/>
  <c r="M266" i="9" s="1"/>
  <c r="S94" i="9"/>
  <c r="O95" i="9" s="1"/>
  <c r="M267" i="9" l="1"/>
  <c r="J269" i="9"/>
  <c r="K268" i="9"/>
  <c r="T94" i="9"/>
  <c r="Q95" i="9" s="1"/>
  <c r="U95" i="9" s="1"/>
  <c r="R95" i="9" l="1"/>
  <c r="N96" i="9" s="1"/>
  <c r="L268" i="9"/>
  <c r="M268" i="9" s="1"/>
  <c r="K269" i="9"/>
  <c r="J270" i="9"/>
  <c r="L269" i="9" l="1"/>
  <c r="M269" i="9" s="1"/>
  <c r="S95" i="9"/>
  <c r="O96" i="9" s="1"/>
  <c r="J271" i="9"/>
  <c r="K270" i="9"/>
  <c r="L270" i="9" l="1"/>
  <c r="M270" i="9" s="1"/>
  <c r="K271" i="9"/>
  <c r="J272" i="9"/>
  <c r="T95" i="9"/>
  <c r="P96" i="9" s="1"/>
  <c r="Q96" i="9" s="1"/>
  <c r="U96" i="9" s="1"/>
  <c r="R96" i="9" l="1"/>
  <c r="N97" i="9" s="1"/>
  <c r="L271" i="9"/>
  <c r="M271" i="9" s="1"/>
  <c r="K272" i="9"/>
  <c r="J273" i="9"/>
  <c r="S96" i="9" l="1"/>
  <c r="O97" i="9" s="1"/>
  <c r="L272" i="9"/>
  <c r="M272" i="9" s="1"/>
  <c r="K273" i="9"/>
  <c r="J274" i="9"/>
  <c r="L273" i="9" l="1"/>
  <c r="M273" i="9" s="1"/>
  <c r="K274" i="9"/>
  <c r="L274" i="9" s="1"/>
  <c r="J275" i="9"/>
  <c r="T96" i="9"/>
  <c r="P97" i="9" s="1"/>
  <c r="Q97" i="9" s="1"/>
  <c r="U97" i="9" s="1"/>
  <c r="R97" i="9" l="1"/>
  <c r="N98" i="9" s="1"/>
  <c r="J276" i="9"/>
  <c r="K275" i="9"/>
  <c r="M274" i="9"/>
  <c r="L275" i="9" l="1"/>
  <c r="M275" i="9" s="1"/>
  <c r="J277" i="9"/>
  <c r="K276" i="9"/>
  <c r="S97" i="9"/>
  <c r="O98" i="9" s="1"/>
  <c r="L276" i="9" l="1"/>
  <c r="M276" i="9" s="1"/>
  <c r="K277" i="9"/>
  <c r="J278" i="9"/>
  <c r="T97" i="9"/>
  <c r="Q98" i="9" s="1"/>
  <c r="U98" i="9" s="1"/>
  <c r="K278" i="9" l="1"/>
  <c r="J279" i="9"/>
  <c r="R98" i="9"/>
  <c r="N99" i="9" s="1"/>
  <c r="L277" i="9"/>
  <c r="M277" i="9" s="1"/>
  <c r="L278" i="9" l="1"/>
  <c r="M278" i="9" s="1"/>
  <c r="S98" i="9"/>
  <c r="O99" i="9" s="1"/>
  <c r="K279" i="9"/>
  <c r="L279" i="9" s="1"/>
  <c r="M279" i="9" s="1"/>
  <c r="J280" i="9"/>
  <c r="T98" i="9" l="1"/>
  <c r="P99" i="9" s="1"/>
  <c r="Q99" i="9" s="1"/>
  <c r="U99" i="9" s="1"/>
  <c r="K280" i="9"/>
  <c r="J281" i="9"/>
  <c r="R99" i="9" l="1"/>
  <c r="N100" i="9" s="1"/>
  <c r="J282" i="9"/>
  <c r="K281" i="9"/>
  <c r="L280" i="9"/>
  <c r="M280" i="9" s="1"/>
  <c r="K282" i="9" l="1"/>
  <c r="L282" i="9" s="1"/>
  <c r="J283" i="9"/>
  <c r="L281" i="9"/>
  <c r="M281" i="9" s="1"/>
  <c r="S99" i="9"/>
  <c r="O100" i="9" s="1"/>
  <c r="J284" i="9" l="1"/>
  <c r="K283" i="9"/>
  <c r="L283" i="9" s="1"/>
  <c r="M282" i="9"/>
  <c r="T99" i="9"/>
  <c r="P100" i="9" s="1"/>
  <c r="Q100" i="9" s="1"/>
  <c r="U100" i="9" s="1"/>
  <c r="R100" i="9" l="1"/>
  <c r="N101" i="9" s="1"/>
  <c r="K284" i="9"/>
  <c r="J285" i="9"/>
  <c r="M283" i="9"/>
  <c r="J286" i="9" l="1"/>
  <c r="K285" i="9"/>
  <c r="L284" i="9"/>
  <c r="M284" i="9" s="1"/>
  <c r="S100" i="9"/>
  <c r="O101" i="9" s="1"/>
  <c r="K286" i="9" l="1"/>
  <c r="J287" i="9"/>
  <c r="L285" i="9"/>
  <c r="M285" i="9" s="1"/>
  <c r="T100" i="9"/>
  <c r="P101" i="9" s="1"/>
  <c r="Q101" i="9" s="1"/>
  <c r="U101" i="9" s="1"/>
  <c r="R101" i="9" l="1"/>
  <c r="N102" i="9" s="1"/>
  <c r="L286" i="9"/>
  <c r="M286" i="9" s="1"/>
  <c r="J288" i="9"/>
  <c r="K287" i="9"/>
  <c r="L287" i="9" s="1"/>
  <c r="M287" i="9" s="1"/>
  <c r="J289" i="9" l="1"/>
  <c r="K288" i="9"/>
  <c r="S101" i="9"/>
  <c r="O102" i="9" s="1"/>
  <c r="T101" i="9" l="1"/>
  <c r="P102" i="9" s="1"/>
  <c r="Q102" i="9" s="1"/>
  <c r="U102" i="9" s="1"/>
  <c r="R102" i="9" s="1"/>
  <c r="N103" i="9" s="1"/>
  <c r="L288" i="9"/>
  <c r="M288" i="9" s="1"/>
  <c r="K289" i="9"/>
  <c r="J290" i="9"/>
  <c r="S102" i="9" l="1"/>
  <c r="O103" i="9" s="1"/>
  <c r="L289" i="9"/>
  <c r="M289" i="9" s="1"/>
  <c r="J291" i="9"/>
  <c r="K290" i="9"/>
  <c r="L290" i="9" s="1"/>
  <c r="M290" i="9" s="1"/>
  <c r="K291" i="9" l="1"/>
  <c r="L291" i="9" s="1"/>
  <c r="J292" i="9"/>
  <c r="T102" i="9"/>
  <c r="P103" i="9" s="1"/>
  <c r="Q103" i="9" s="1"/>
  <c r="U103" i="9" s="1"/>
  <c r="R103" i="9" l="1"/>
  <c r="N104" i="9" s="1"/>
  <c r="J293" i="9"/>
  <c r="K292" i="9"/>
  <c r="L292" i="9" s="1"/>
  <c r="M291" i="9"/>
  <c r="M292" i="9" l="1"/>
  <c r="K293" i="9"/>
  <c r="J294" i="9"/>
  <c r="S103" i="9"/>
  <c r="O104" i="9" s="1"/>
  <c r="T103" i="9" l="1"/>
  <c r="P104" i="9" s="1"/>
  <c r="Q104" i="9" s="1"/>
  <c r="U104" i="9" s="1"/>
  <c r="R104" i="9" s="1"/>
  <c r="N105" i="9" s="1"/>
  <c r="J295" i="9"/>
  <c r="K294" i="9"/>
  <c r="L293" i="9"/>
  <c r="M293" i="9" s="1"/>
  <c r="S104" i="9" l="1"/>
  <c r="O105" i="9" s="1"/>
  <c r="J296" i="9"/>
  <c r="K295" i="9"/>
  <c r="L294" i="9"/>
  <c r="M294" i="9" s="1"/>
  <c r="T104" i="9" l="1"/>
  <c r="P105" i="9" s="1"/>
  <c r="Q105" i="9" s="1"/>
  <c r="U105" i="9" s="1"/>
  <c r="R105" i="9" s="1"/>
  <c r="K296" i="9"/>
  <c r="L296" i="9" s="1"/>
  <c r="J297" i="9"/>
  <c r="L295" i="9"/>
  <c r="M295" i="9" s="1"/>
  <c r="N106" i="9" l="1"/>
  <c r="S105" i="9"/>
  <c r="M296" i="9"/>
  <c r="J298" i="9"/>
  <c r="K297" i="9"/>
  <c r="L297" i="9" s="1"/>
  <c r="T105" i="9" l="1"/>
  <c r="Q106" i="9" s="1"/>
  <c r="U106" i="9" s="1"/>
  <c r="R106" i="9" s="1"/>
  <c r="N107" i="9" s="1"/>
  <c r="K298" i="9"/>
  <c r="J299" i="9"/>
  <c r="M297" i="9"/>
  <c r="S106" i="9" l="1"/>
  <c r="O107" i="9" s="1"/>
  <c r="J300" i="9"/>
  <c r="K299" i="9"/>
  <c r="L298" i="9"/>
  <c r="M298" i="9" s="1"/>
  <c r="T106" i="9" l="1"/>
  <c r="P107" i="9" s="1"/>
  <c r="Q107" i="9" s="1"/>
  <c r="U107" i="9" s="1"/>
  <c r="R107" i="9" s="1"/>
  <c r="N108" i="9" s="1"/>
  <c r="K300" i="9"/>
  <c r="J301" i="9"/>
  <c r="L299" i="9"/>
  <c r="M299" i="9" s="1"/>
  <c r="J302" i="9" l="1"/>
  <c r="K301" i="9"/>
  <c r="S107" i="9"/>
  <c r="O108" i="9" s="1"/>
  <c r="L300" i="9"/>
  <c r="M300" i="9" s="1"/>
  <c r="L301" i="9" l="1"/>
  <c r="M301" i="9" s="1"/>
  <c r="J303" i="9"/>
  <c r="K302" i="9"/>
  <c r="L302" i="9" s="1"/>
  <c r="T107" i="9"/>
  <c r="P108" i="9" s="1"/>
  <c r="Q108" i="9" s="1"/>
  <c r="U108" i="9" s="1"/>
  <c r="R108" i="9" l="1"/>
  <c r="N109" i="9" s="1"/>
  <c r="J304" i="9"/>
  <c r="K303" i="9"/>
  <c r="L303" i="9" s="1"/>
  <c r="M302" i="9"/>
  <c r="M303" i="9" l="1"/>
  <c r="K304" i="9"/>
  <c r="L304" i="9" s="1"/>
  <c r="J305" i="9"/>
  <c r="S108" i="9"/>
  <c r="O109" i="9" s="1"/>
  <c r="M304" i="9" l="1"/>
  <c r="T108" i="9"/>
  <c r="P109" i="9" s="1"/>
  <c r="Q109" i="9" s="1"/>
  <c r="U109" i="9" s="1"/>
  <c r="J306" i="9"/>
  <c r="K305" i="9"/>
  <c r="R109" i="9" l="1"/>
  <c r="N110" i="9" s="1"/>
  <c r="K306" i="9"/>
  <c r="L306" i="9" s="1"/>
  <c r="J307" i="9"/>
  <c r="L305" i="9"/>
  <c r="M305" i="9" s="1"/>
  <c r="K307" i="9" l="1"/>
  <c r="L307" i="9" s="1"/>
  <c r="J308" i="9"/>
  <c r="M306" i="9"/>
  <c r="S109" i="9"/>
  <c r="O110" i="9" s="1"/>
  <c r="T109" i="9" l="1"/>
  <c r="P110" i="9" s="1"/>
  <c r="Q110" i="9" s="1"/>
  <c r="U110" i="9" s="1"/>
  <c r="J309" i="9"/>
  <c r="K308" i="9"/>
  <c r="M307" i="9"/>
  <c r="R110" i="9" l="1"/>
  <c r="N111" i="9" s="1"/>
  <c r="L308" i="9"/>
  <c r="M308" i="9" s="1"/>
  <c r="J310" i="9"/>
  <c r="K309" i="9"/>
  <c r="L309" i="9" s="1"/>
  <c r="M309" i="9" s="1"/>
  <c r="S110" i="9" l="1"/>
  <c r="O111" i="9" s="1"/>
  <c r="J311" i="9"/>
  <c r="K310" i="9"/>
  <c r="T110" i="9" l="1"/>
  <c r="P111" i="9" s="1"/>
  <c r="Q111" i="9" s="1"/>
  <c r="U111" i="9" s="1"/>
  <c r="R111" i="9" s="1"/>
  <c r="N112" i="9" s="1"/>
  <c r="L310" i="9"/>
  <c r="M310" i="9" s="1"/>
  <c r="J312" i="9"/>
  <c r="K311" i="9"/>
  <c r="K312" i="9" l="1"/>
  <c r="L312" i="9" s="1"/>
  <c r="J313" i="9"/>
  <c r="L311" i="9"/>
  <c r="M311" i="9" s="1"/>
  <c r="S111" i="9"/>
  <c r="M312" i="9" l="1"/>
  <c r="J314" i="9"/>
  <c r="K313" i="9"/>
  <c r="L313" i="9" s="1"/>
  <c r="T111" i="9"/>
  <c r="Q112" i="9" s="1"/>
  <c r="U112" i="9" s="1"/>
  <c r="R112" i="9" l="1"/>
  <c r="N113" i="9" s="1"/>
  <c r="J315" i="9"/>
  <c r="K314" i="9"/>
  <c r="M313" i="9"/>
  <c r="L314" i="9" l="1"/>
  <c r="M314" i="9" s="1"/>
  <c r="J316" i="9"/>
  <c r="K315" i="9"/>
  <c r="L315" i="9" s="1"/>
  <c r="S112" i="9"/>
  <c r="O113" i="9" s="1"/>
  <c r="J317" i="9" l="1"/>
  <c r="K316" i="9"/>
  <c r="L316" i="9" s="1"/>
  <c r="M315" i="9"/>
  <c r="T112" i="9"/>
  <c r="P113" i="9" s="1"/>
  <c r="Q113" i="9" s="1"/>
  <c r="U113" i="9" s="1"/>
  <c r="R113" i="9" l="1"/>
  <c r="N114" i="9" s="1"/>
  <c r="M316" i="9"/>
  <c r="J318" i="9"/>
  <c r="K317" i="9"/>
  <c r="L317" i="9" s="1"/>
  <c r="M317" i="9" s="1"/>
  <c r="J319" i="9" l="1"/>
  <c r="K318" i="9"/>
  <c r="S113" i="9"/>
  <c r="O114" i="9" s="1"/>
  <c r="T113" i="9" l="1"/>
  <c r="P114" i="9" s="1"/>
  <c r="Q114" i="9" s="1"/>
  <c r="U114" i="9" s="1"/>
  <c r="J320" i="9"/>
  <c r="K319" i="9"/>
  <c r="L319" i="9" s="1"/>
  <c r="L318" i="9"/>
  <c r="M318" i="9" s="1"/>
  <c r="R114" i="9" l="1"/>
  <c r="N115" i="9" s="1"/>
  <c r="M319" i="9"/>
  <c r="K320" i="9"/>
  <c r="L320" i="9" s="1"/>
  <c r="M320" i="9" s="1"/>
  <c r="J321" i="9"/>
  <c r="K321" i="9" l="1"/>
  <c r="J322" i="9"/>
  <c r="S114" i="9"/>
  <c r="O115" i="9" s="1"/>
  <c r="T114" i="9" l="1"/>
  <c r="P115" i="9" s="1"/>
  <c r="Q115" i="9" s="1"/>
  <c r="U115" i="9" s="1"/>
  <c r="R115" i="9" s="1"/>
  <c r="N116" i="9" s="1"/>
  <c r="L321" i="9"/>
  <c r="M321" i="9" s="1"/>
  <c r="K322" i="9"/>
  <c r="J323" i="9"/>
  <c r="K323" i="9" l="1"/>
  <c r="J324" i="9"/>
  <c r="L322" i="9"/>
  <c r="M322" i="9" s="1"/>
  <c r="S115" i="9"/>
  <c r="O116" i="9" s="1"/>
  <c r="K324" i="9" l="1"/>
  <c r="J325" i="9"/>
  <c r="L323" i="9"/>
  <c r="M323" i="9" s="1"/>
  <c r="T115" i="9"/>
  <c r="P116" i="9" s="1"/>
  <c r="Q116" i="9" s="1"/>
  <c r="U116" i="9" s="1"/>
  <c r="R116" i="9" l="1"/>
  <c r="N117" i="9" s="1"/>
  <c r="K325" i="9"/>
  <c r="J326" i="9"/>
  <c r="L324" i="9"/>
  <c r="M324" i="9" s="1"/>
  <c r="J327" i="9" l="1"/>
  <c r="K326" i="9"/>
  <c r="L325" i="9"/>
  <c r="M325" i="9" s="1"/>
  <c r="S116" i="9"/>
  <c r="O117" i="9" s="1"/>
  <c r="J328" i="9" l="1"/>
  <c r="K327" i="9"/>
  <c r="L326" i="9"/>
  <c r="M326" i="9" s="1"/>
  <c r="T116" i="9"/>
  <c r="P117" i="9" s="1"/>
  <c r="Q117" i="9" s="1"/>
  <c r="U117" i="9" s="1"/>
  <c r="K328" i="9" l="1"/>
  <c r="L328" i="9" s="1"/>
  <c r="M328" i="9" s="1"/>
  <c r="J329" i="9"/>
  <c r="L327" i="9"/>
  <c r="M327" i="9" s="1"/>
  <c r="R117" i="9"/>
  <c r="N118" i="9" s="1"/>
  <c r="S117" i="9" l="1"/>
  <c r="O118" i="9" s="1"/>
  <c r="K329" i="9"/>
  <c r="J330" i="9"/>
  <c r="T117" i="9" l="1"/>
  <c r="P118" i="9" s="1"/>
  <c r="Q118" i="9" s="1"/>
  <c r="U118" i="9" s="1"/>
  <c r="R118" i="9" s="1"/>
  <c r="N119" i="9" s="1"/>
  <c r="K330" i="9"/>
  <c r="L330" i="9" s="1"/>
  <c r="J331" i="9"/>
  <c r="L329" i="9"/>
  <c r="M329" i="9" s="1"/>
  <c r="K331" i="9" l="1"/>
  <c r="J332" i="9"/>
  <c r="M330" i="9"/>
  <c r="S118" i="9"/>
  <c r="O119" i="9" s="1"/>
  <c r="T118" i="9" l="1"/>
  <c r="P119" i="9" s="1"/>
  <c r="Q119" i="9" s="1"/>
  <c r="U119" i="9" s="1"/>
  <c r="K332" i="9"/>
  <c r="J333" i="9"/>
  <c r="L331" i="9"/>
  <c r="M331" i="9" s="1"/>
  <c r="R119" i="9" l="1"/>
  <c r="N120" i="9" s="1"/>
  <c r="K333" i="9"/>
  <c r="L333" i="9" s="1"/>
  <c r="J334" i="9"/>
  <c r="L332" i="9"/>
  <c r="M332" i="9" s="1"/>
  <c r="M333" i="9" l="1"/>
  <c r="S119" i="9"/>
  <c r="O120" i="9" s="1"/>
  <c r="J335" i="9"/>
  <c r="K334" i="9"/>
  <c r="L334" i="9" l="1"/>
  <c r="M334" i="9" s="1"/>
  <c r="J336" i="9"/>
  <c r="K335" i="9"/>
  <c r="T119" i="9"/>
  <c r="P120" i="9" s="1"/>
  <c r="Q120" i="9" s="1"/>
  <c r="U120" i="9" s="1"/>
  <c r="R120" i="9" l="1"/>
  <c r="N121" i="9" s="1"/>
  <c r="K336" i="9"/>
  <c r="L336" i="9" s="1"/>
  <c r="M336" i="9" s="1"/>
  <c r="J337" i="9"/>
  <c r="L335" i="9"/>
  <c r="M335" i="9" s="1"/>
  <c r="S120" i="9" l="1"/>
  <c r="O121" i="9" s="1"/>
  <c r="K337" i="9"/>
  <c r="J338" i="9"/>
  <c r="T120" i="9" l="1"/>
  <c r="P121" i="9" s="1"/>
  <c r="Q121" i="9" s="1"/>
  <c r="U121" i="9" s="1"/>
  <c r="R121" i="9" s="1"/>
  <c r="N122" i="9" s="1"/>
  <c r="L337" i="9"/>
  <c r="M337" i="9" s="1"/>
  <c r="J339" i="9"/>
  <c r="K338" i="9"/>
  <c r="L338" i="9" s="1"/>
  <c r="M338" i="9" s="1"/>
  <c r="J340" i="9" l="1"/>
  <c r="K339" i="9"/>
  <c r="L339" i="9" s="1"/>
  <c r="S121" i="9"/>
  <c r="O122" i="9" s="1"/>
  <c r="M339" i="9" l="1"/>
  <c r="J341" i="9"/>
  <c r="K340" i="9"/>
  <c r="T121" i="9"/>
  <c r="P122" i="9" s="1"/>
  <c r="Q122" i="9" s="1"/>
  <c r="U122" i="9" s="1"/>
  <c r="R122" i="9" l="1"/>
  <c r="N123" i="9" s="1"/>
  <c r="L340" i="9"/>
  <c r="M340" i="9" s="1"/>
  <c r="K341" i="9"/>
  <c r="J342" i="9"/>
  <c r="S122" i="9" l="1"/>
  <c r="O123" i="9" s="1"/>
  <c r="L341" i="9"/>
  <c r="M341" i="9" s="1"/>
  <c r="J343" i="9"/>
  <c r="K342" i="9"/>
  <c r="L342" i="9" s="1"/>
  <c r="M342" i="9" l="1"/>
  <c r="J344" i="9"/>
  <c r="K343" i="9"/>
  <c r="L343" i="9" s="1"/>
  <c r="T122" i="9"/>
  <c r="P123" i="9" s="1"/>
  <c r="Q123" i="9" s="1"/>
  <c r="U123" i="9" s="1"/>
  <c r="J345" i="9" l="1"/>
  <c r="K344" i="9"/>
  <c r="M343" i="9"/>
  <c r="R123" i="9"/>
  <c r="N124" i="9" s="1"/>
  <c r="S123" i="9" l="1"/>
  <c r="O124" i="9" s="1"/>
  <c r="L344" i="9"/>
  <c r="M344" i="9" s="1"/>
  <c r="J346" i="9"/>
  <c r="K345" i="9"/>
  <c r="L345" i="9" s="1"/>
  <c r="M345" i="9" s="1"/>
  <c r="J347" i="9" l="1"/>
  <c r="K346" i="9"/>
  <c r="L346" i="9" s="1"/>
  <c r="T123" i="9"/>
  <c r="P124" i="9" s="1"/>
  <c r="Q124" i="9" s="1"/>
  <c r="U124" i="9" s="1"/>
  <c r="R124" i="9" l="1"/>
  <c r="N125" i="9" s="1"/>
  <c r="J348" i="9"/>
  <c r="K347" i="9"/>
  <c r="M346" i="9"/>
  <c r="L347" i="9" l="1"/>
  <c r="M347" i="9" s="1"/>
  <c r="J349" i="9"/>
  <c r="K348" i="9"/>
  <c r="S124" i="9"/>
  <c r="O125" i="9" s="1"/>
  <c r="L348" i="9" l="1"/>
  <c r="M348" i="9" s="1"/>
  <c r="J350" i="9"/>
  <c r="K349" i="9"/>
  <c r="T124" i="9"/>
  <c r="P125" i="9" s="1"/>
  <c r="Q125" i="9" s="1"/>
  <c r="U125" i="9" s="1"/>
  <c r="R125" i="9" l="1"/>
  <c r="N126" i="9" s="1"/>
  <c r="L349" i="9"/>
  <c r="M349" i="9" s="1"/>
  <c r="J351" i="9"/>
  <c r="K350" i="9"/>
  <c r="L350" i="9" s="1"/>
  <c r="M350" i="9" s="1"/>
  <c r="S125" i="9" l="1"/>
  <c r="O126" i="9" s="1"/>
  <c r="K351" i="9"/>
  <c r="J352" i="9"/>
  <c r="L351" i="9"/>
  <c r="M351" i="9" s="1"/>
  <c r="T125" i="9" l="1"/>
  <c r="P126" i="9" s="1"/>
  <c r="Q126" i="9" s="1"/>
  <c r="U126" i="9" s="1"/>
  <c r="R126" i="9" s="1"/>
  <c r="N127" i="9" s="1"/>
  <c r="K352" i="9"/>
  <c r="L352" i="9" s="1"/>
  <c r="J353" i="9"/>
  <c r="J354" i="9" l="1"/>
  <c r="K353" i="9"/>
  <c r="M352" i="9"/>
  <c r="S126" i="9"/>
  <c r="O127" i="9" s="1"/>
  <c r="T126" i="9" l="1"/>
  <c r="P127" i="9" s="1"/>
  <c r="Q127" i="9" s="1"/>
  <c r="U127" i="9" s="1"/>
  <c r="R127" i="9" s="1"/>
  <c r="N128" i="9" s="1"/>
  <c r="J355" i="9"/>
  <c r="K354" i="9"/>
  <c r="L353" i="9"/>
  <c r="M353" i="9" s="1"/>
  <c r="L354" i="9" l="1"/>
  <c r="M354" i="9" s="1"/>
  <c r="J356" i="9"/>
  <c r="K355" i="9"/>
  <c r="S127" i="9"/>
  <c r="O128" i="9" s="1"/>
  <c r="L355" i="9" l="1"/>
  <c r="M355" i="9" s="1"/>
  <c r="J357" i="9"/>
  <c r="K356" i="9"/>
  <c r="L356" i="9" s="1"/>
  <c r="T127" i="9"/>
  <c r="P128" i="9" s="1"/>
  <c r="Q128" i="9" s="1"/>
  <c r="U128" i="9" s="1"/>
  <c r="R128" i="9" l="1"/>
  <c r="N129" i="9" s="1"/>
  <c r="M356" i="9"/>
  <c r="J358" i="9"/>
  <c r="K357" i="9"/>
  <c r="L357" i="9" l="1"/>
  <c r="M357" i="9" s="1"/>
  <c r="J359" i="9"/>
  <c r="K358" i="9"/>
  <c r="L358" i="9" s="1"/>
  <c r="S128" i="9"/>
  <c r="O129" i="9" s="1"/>
  <c r="M358" i="9" l="1"/>
  <c r="J360" i="9"/>
  <c r="K359" i="9"/>
  <c r="L359" i="9" s="1"/>
  <c r="T128" i="9"/>
  <c r="P129" i="9" s="1"/>
  <c r="Q129" i="9" s="1"/>
  <c r="U129" i="9" s="1"/>
  <c r="R129" i="9" l="1"/>
  <c r="N130" i="9" s="1"/>
  <c r="M359" i="9"/>
  <c r="K360" i="9"/>
  <c r="L360" i="9" s="1"/>
  <c r="M360" i="9" s="1"/>
  <c r="J361" i="9"/>
  <c r="J362" i="9" l="1"/>
  <c r="K361" i="9"/>
  <c r="L361" i="9" s="1"/>
  <c r="M361" i="9" s="1"/>
  <c r="S129" i="9"/>
  <c r="O130" i="9" s="1"/>
  <c r="T129" i="9" l="1"/>
  <c r="P130" i="9" s="1"/>
  <c r="Q130" i="9" s="1"/>
  <c r="U130" i="9" s="1"/>
  <c r="K362" i="9"/>
  <c r="L362" i="9" s="1"/>
  <c r="J363" i="9"/>
  <c r="R130" i="9" l="1"/>
  <c r="N131" i="9" s="1"/>
  <c r="J364" i="9"/>
  <c r="K363" i="9"/>
  <c r="L363" i="9" s="1"/>
  <c r="M362" i="9"/>
  <c r="S130" i="9" l="1"/>
  <c r="O131" i="9" s="1"/>
  <c r="M363" i="9"/>
  <c r="K364" i="9"/>
  <c r="L364" i="9" s="1"/>
  <c r="J365" i="9"/>
  <c r="T130" i="9" l="1"/>
  <c r="P131" i="9" s="1"/>
  <c r="Q131" i="9" s="1"/>
  <c r="U131" i="9" s="1"/>
  <c r="R131" i="9" s="1"/>
  <c r="N132" i="9" s="1"/>
  <c r="J366" i="9"/>
  <c r="K365" i="9"/>
  <c r="M364" i="9"/>
  <c r="K366" i="9" l="1"/>
  <c r="L366" i="9" s="1"/>
  <c r="M366" i="9" s="1"/>
  <c r="J367" i="9"/>
  <c r="L365" i="9"/>
  <c r="M365" i="9" s="1"/>
  <c r="S131" i="9"/>
  <c r="J368" i="9" l="1"/>
  <c r="K367" i="9"/>
  <c r="T131" i="9"/>
  <c r="P132" i="9" s="1"/>
  <c r="Q132" i="9" s="1"/>
  <c r="U132" i="9" s="1"/>
  <c r="R132" i="9" l="1"/>
  <c r="N133" i="9" s="1"/>
  <c r="K368" i="9"/>
  <c r="L368" i="9" s="1"/>
  <c r="M368" i="9" s="1"/>
  <c r="J369" i="9"/>
  <c r="L367" i="9"/>
  <c r="M367" i="9" s="1"/>
  <c r="J370" i="9" l="1"/>
  <c r="K369" i="9"/>
  <c r="L369" i="9" s="1"/>
  <c r="S132" i="9"/>
  <c r="O133" i="9" s="1"/>
  <c r="T132" i="9" l="1"/>
  <c r="P133" i="9" s="1"/>
  <c r="Q133" i="9" s="1"/>
  <c r="U133" i="9" s="1"/>
  <c r="R133" i="9" s="1"/>
  <c r="N134" i="9" s="1"/>
  <c r="M369" i="9"/>
  <c r="K370" i="9"/>
  <c r="L370" i="9" s="1"/>
  <c r="M370" i="9" s="1"/>
  <c r="J371" i="9"/>
  <c r="J372" i="9" l="1"/>
  <c r="K371" i="9"/>
  <c r="L371" i="9" s="1"/>
  <c r="S133" i="9"/>
  <c r="O134" i="9" s="1"/>
  <c r="T133" i="9" l="1"/>
  <c r="P134" i="9" s="1"/>
  <c r="Q134" i="9" s="1"/>
  <c r="U134" i="9" s="1"/>
  <c r="M371" i="9"/>
  <c r="K372" i="9"/>
  <c r="L372" i="9" s="1"/>
  <c r="J373" i="9"/>
  <c r="R134" i="9" l="1"/>
  <c r="N135" i="9" s="1"/>
  <c r="J374" i="9"/>
  <c r="K373" i="9"/>
  <c r="L373" i="9" s="1"/>
  <c r="M372" i="9"/>
  <c r="M373" i="9" l="1"/>
  <c r="S134" i="9"/>
  <c r="O135" i="9" s="1"/>
  <c r="J375" i="9"/>
  <c r="K374" i="9"/>
  <c r="L374" i="9" s="1"/>
  <c r="T134" i="9" l="1"/>
  <c r="P135" i="9" s="1"/>
  <c r="Q135" i="9" s="1"/>
  <c r="U135" i="9" s="1"/>
  <c r="R135" i="9" s="1"/>
  <c r="N136" i="9" s="1"/>
  <c r="M374" i="9"/>
  <c r="K375" i="9"/>
  <c r="J376" i="9"/>
  <c r="K376" i="9" l="1"/>
  <c r="J377" i="9"/>
  <c r="L375" i="9"/>
  <c r="M375" i="9" s="1"/>
  <c r="S135" i="9"/>
  <c r="O136" i="9" s="1"/>
  <c r="K377" i="9" l="1"/>
  <c r="L377" i="9" s="1"/>
  <c r="J378" i="9"/>
  <c r="L376" i="9"/>
  <c r="M376" i="9" s="1"/>
  <c r="T135" i="9"/>
  <c r="P136" i="9" s="1"/>
  <c r="Q136" i="9" s="1"/>
  <c r="U136" i="9" s="1"/>
  <c r="R136" i="9" l="1"/>
  <c r="N137" i="9" s="1"/>
  <c r="K378" i="9"/>
  <c r="L378" i="9" s="1"/>
  <c r="J379" i="9"/>
  <c r="M377" i="9"/>
  <c r="J380" i="9" l="1"/>
  <c r="K379" i="9"/>
  <c r="L379" i="9" s="1"/>
  <c r="M378" i="9"/>
  <c r="S136" i="9"/>
  <c r="O137" i="9" s="1"/>
  <c r="T136" i="9" l="1"/>
  <c r="P137" i="9" s="1"/>
  <c r="Q137" i="9" s="1"/>
  <c r="U137" i="9" s="1"/>
  <c r="M379" i="9"/>
  <c r="K380" i="9"/>
  <c r="L380" i="9" s="1"/>
  <c r="J381" i="9"/>
  <c r="R137" i="9" l="1"/>
  <c r="N138" i="9" s="1"/>
  <c r="J382" i="9"/>
  <c r="K381" i="9"/>
  <c r="L381" i="9" s="1"/>
  <c r="M381" i="9" s="1"/>
  <c r="M380" i="9"/>
  <c r="S137" i="9" l="1"/>
  <c r="O138" i="9" s="1"/>
  <c r="J383" i="9"/>
  <c r="K382" i="9"/>
  <c r="L382" i="9" s="1"/>
  <c r="T137" i="9" l="1"/>
  <c r="P138" i="9" s="1"/>
  <c r="Q138" i="9" s="1"/>
  <c r="U138" i="9" s="1"/>
  <c r="R138" i="9" s="1"/>
  <c r="N139" i="9" s="1"/>
  <c r="M382" i="9"/>
  <c r="K383" i="9"/>
  <c r="L383" i="9" s="1"/>
  <c r="J384" i="9"/>
  <c r="K384" i="9" l="1"/>
  <c r="L384" i="9" s="1"/>
  <c r="J385" i="9"/>
  <c r="M383" i="9"/>
  <c r="S138" i="9"/>
  <c r="O139" i="9" s="1"/>
  <c r="K385" i="9" l="1"/>
  <c r="L385" i="9" s="1"/>
  <c r="J386" i="9"/>
  <c r="M384" i="9"/>
  <c r="T138" i="9"/>
  <c r="P139" i="9" s="1"/>
  <c r="Q139" i="9" s="1"/>
  <c r="U139" i="9" s="1"/>
  <c r="R139" i="9" l="1"/>
  <c r="N140" i="9" s="1"/>
  <c r="K386" i="9"/>
  <c r="L386" i="9" s="1"/>
  <c r="J387" i="9"/>
  <c r="M385" i="9"/>
  <c r="J388" i="9" l="1"/>
  <c r="K387" i="9"/>
  <c r="L387" i="9" s="1"/>
  <c r="M386" i="9"/>
  <c r="S139" i="9"/>
  <c r="O140" i="9" s="1"/>
  <c r="T139" i="9" l="1"/>
  <c r="P140" i="9" s="1"/>
  <c r="Q140" i="9" s="1"/>
  <c r="U140" i="9" s="1"/>
  <c r="M387" i="9"/>
  <c r="J389" i="9"/>
  <c r="K388" i="9"/>
  <c r="L388" i="9" s="1"/>
  <c r="R140" i="9" l="1"/>
  <c r="N141" i="9" s="1"/>
  <c r="M388" i="9"/>
  <c r="J390" i="9"/>
  <c r="K389" i="9"/>
  <c r="L389" i="9" s="1"/>
  <c r="M389" i="9" l="1"/>
  <c r="K390" i="9"/>
  <c r="L390" i="9" s="1"/>
  <c r="M390" i="9" s="1"/>
  <c r="J391" i="9"/>
  <c r="S140" i="9"/>
  <c r="O141" i="9" s="1"/>
  <c r="K391" i="9" l="1"/>
  <c r="L391" i="9" s="1"/>
  <c r="J392" i="9"/>
  <c r="T140" i="9"/>
  <c r="P141" i="9" s="1"/>
  <c r="Q141" i="9" s="1"/>
  <c r="U141" i="9" s="1"/>
  <c r="R141" i="9" l="1"/>
  <c r="N142" i="9" s="1"/>
  <c r="K392" i="9"/>
  <c r="L392" i="9" s="1"/>
  <c r="J393" i="9"/>
  <c r="M391" i="9"/>
  <c r="M392" i="9" l="1"/>
  <c r="K393" i="9"/>
  <c r="J394" i="9"/>
  <c r="S141" i="9"/>
  <c r="O142" i="9" s="1"/>
  <c r="T141" i="9" l="1"/>
  <c r="P142" i="9" s="1"/>
  <c r="Q142" i="9" s="1"/>
  <c r="U142" i="9" s="1"/>
  <c r="K394" i="9"/>
  <c r="L394" i="9" s="1"/>
  <c r="J395" i="9"/>
  <c r="L393" i="9"/>
  <c r="M393" i="9" s="1"/>
  <c r="R142" i="9" l="1"/>
  <c r="N143" i="9" s="1"/>
  <c r="J396" i="9"/>
  <c r="K395" i="9"/>
  <c r="L395" i="9" s="1"/>
  <c r="M394" i="9"/>
  <c r="M395" i="9" l="1"/>
  <c r="J397" i="9"/>
  <c r="K396" i="9"/>
  <c r="S142" i="9"/>
  <c r="O143" i="9" s="1"/>
  <c r="T142" i="9" l="1"/>
  <c r="P143" i="9" s="1"/>
  <c r="Q143" i="9" s="1"/>
  <c r="U143" i="9" s="1"/>
  <c r="R143" i="9" s="1"/>
  <c r="N144" i="9" s="1"/>
  <c r="L396" i="9"/>
  <c r="M396" i="9" s="1"/>
  <c r="J398" i="9"/>
  <c r="K397" i="9"/>
  <c r="K398" i="9" l="1"/>
  <c r="L398" i="9" s="1"/>
  <c r="M398" i="9" s="1"/>
  <c r="J399" i="9"/>
  <c r="L397" i="9"/>
  <c r="M397" i="9" s="1"/>
  <c r="S143" i="9"/>
  <c r="O144" i="9" s="1"/>
  <c r="K399" i="9" l="1"/>
  <c r="L399" i="9" s="1"/>
  <c r="J400" i="9"/>
  <c r="T143" i="9"/>
  <c r="P144" i="9" s="1"/>
  <c r="Q144" i="9" s="1"/>
  <c r="U144" i="9" s="1"/>
  <c r="R144" i="9" l="1"/>
  <c r="N145" i="9" s="1"/>
  <c r="K400" i="9"/>
  <c r="J401" i="9"/>
  <c r="M399" i="9"/>
  <c r="L400" i="9" l="1"/>
  <c r="M400" i="9" s="1"/>
  <c r="K401" i="9"/>
  <c r="L401" i="9" s="1"/>
  <c r="J402" i="9"/>
  <c r="S144" i="9"/>
  <c r="O145" i="9" s="1"/>
  <c r="K402" i="9" l="1"/>
  <c r="J403" i="9"/>
  <c r="M401" i="9"/>
  <c r="T144" i="9"/>
  <c r="P145" i="9" s="1"/>
  <c r="Q145" i="9" s="1"/>
  <c r="U145" i="9" s="1"/>
  <c r="R145" i="9" l="1"/>
  <c r="N146" i="9" s="1"/>
  <c r="L402" i="9"/>
  <c r="M402" i="9" s="1"/>
  <c r="J404" i="9"/>
  <c r="K403" i="9"/>
  <c r="L403" i="9" s="1"/>
  <c r="M403" i="9" s="1"/>
  <c r="J405" i="9" l="1"/>
  <c r="K404" i="9"/>
  <c r="L404" i="9" s="1"/>
  <c r="S145" i="9"/>
  <c r="O146" i="9" s="1"/>
  <c r="M404" i="9" l="1"/>
  <c r="T145" i="9"/>
  <c r="P146" i="9" s="1"/>
  <c r="Q146" i="9" s="1"/>
  <c r="U146" i="9" s="1"/>
  <c r="J406" i="9"/>
  <c r="K405" i="9"/>
  <c r="L405" i="9" s="1"/>
  <c r="M405" i="9" s="1"/>
  <c r="R146" i="9" l="1"/>
  <c r="N147" i="9" s="1"/>
  <c r="K406" i="9"/>
  <c r="L406" i="9" s="1"/>
  <c r="M406" i="9" s="1"/>
  <c r="J407" i="9"/>
  <c r="K407" i="9" l="1"/>
  <c r="L407" i="9" s="1"/>
  <c r="J408" i="9"/>
  <c r="S146" i="9"/>
  <c r="O147" i="9" s="1"/>
  <c r="J409" i="9" l="1"/>
  <c r="K408" i="9"/>
  <c r="L408" i="9" s="1"/>
  <c r="M407" i="9"/>
  <c r="T146" i="9"/>
  <c r="P147" i="9" s="1"/>
  <c r="Q147" i="9" s="1"/>
  <c r="U147" i="9" s="1"/>
  <c r="R147" i="9" l="1"/>
  <c r="N148" i="9" s="1"/>
  <c r="M408" i="9"/>
  <c r="J410" i="9"/>
  <c r="K409" i="9"/>
  <c r="L409" i="9" s="1"/>
  <c r="M409" i="9" l="1"/>
  <c r="J411" i="9"/>
  <c r="K410" i="9"/>
  <c r="S147" i="9"/>
  <c r="O148" i="9" s="1"/>
  <c r="T147" i="9" l="1"/>
  <c r="P148" i="9" s="1"/>
  <c r="Q148" i="9" s="1"/>
  <c r="U148" i="9" s="1"/>
  <c r="L410" i="9"/>
  <c r="M410" i="9" s="1"/>
  <c r="J412" i="9"/>
  <c r="K411" i="9"/>
  <c r="R148" i="9" l="1"/>
  <c r="N149" i="9" s="1"/>
  <c r="J413" i="9"/>
  <c r="K412" i="9"/>
  <c r="L411" i="9"/>
  <c r="M411" i="9" s="1"/>
  <c r="L412" i="9" l="1"/>
  <c r="M412" i="9" s="1"/>
  <c r="J414" i="9"/>
  <c r="K413" i="9"/>
  <c r="S148" i="9"/>
  <c r="O149" i="9" s="1"/>
  <c r="J415" i="9" l="1"/>
  <c r="K414" i="9"/>
  <c r="L414" i="9" s="1"/>
  <c r="L413" i="9"/>
  <c r="M413" i="9" s="1"/>
  <c r="T148" i="9"/>
  <c r="P149" i="9" s="1"/>
  <c r="Q149" i="9" s="1"/>
  <c r="U149" i="9" s="1"/>
  <c r="R149" i="9" l="1"/>
  <c r="N150" i="9" s="1"/>
  <c r="J416" i="9"/>
  <c r="K415" i="9"/>
  <c r="M414" i="9"/>
  <c r="L415" i="9" l="1"/>
  <c r="M415" i="9" s="1"/>
  <c r="K416" i="9"/>
  <c r="J417" i="9"/>
  <c r="S149" i="9"/>
  <c r="O150" i="9" s="1"/>
  <c r="J418" i="9" l="1"/>
  <c r="K417" i="9"/>
  <c r="L417" i="9" s="1"/>
  <c r="L416" i="9"/>
  <c r="M416" i="9" s="1"/>
  <c r="T149" i="9"/>
  <c r="P150" i="9" s="1"/>
  <c r="Q150" i="9" s="1"/>
  <c r="U150" i="9" s="1"/>
  <c r="R150" i="9" l="1"/>
  <c r="N151" i="9" s="1"/>
  <c r="M417" i="9"/>
  <c r="K418" i="9"/>
  <c r="L418" i="9" s="1"/>
  <c r="J419" i="9"/>
  <c r="M418" i="9" l="1"/>
  <c r="S150" i="9"/>
  <c r="O151" i="9" s="1"/>
  <c r="J420" i="9"/>
  <c r="K419" i="9"/>
  <c r="L419" i="9" s="1"/>
  <c r="T150" i="9" l="1"/>
  <c r="P151" i="9" s="1"/>
  <c r="Q151" i="9" s="1"/>
  <c r="U151" i="9" s="1"/>
  <c r="R151" i="9" s="1"/>
  <c r="N152" i="9" s="1"/>
  <c r="M419" i="9"/>
  <c r="K420" i="9"/>
  <c r="J421" i="9"/>
  <c r="L420" i="9" l="1"/>
  <c r="M420" i="9" s="1"/>
  <c r="S151" i="9"/>
  <c r="O152" i="9" s="1"/>
  <c r="J422" i="9"/>
  <c r="K421" i="9"/>
  <c r="L421" i="9" l="1"/>
  <c r="M421" i="9" s="1"/>
  <c r="K422" i="9"/>
  <c r="J423" i="9"/>
  <c r="T151" i="9"/>
  <c r="P152" i="9" s="1"/>
  <c r="Q152" i="9" s="1"/>
  <c r="U152" i="9" s="1"/>
  <c r="R152" i="9" l="1"/>
  <c r="N153" i="9" s="1"/>
  <c r="J424" i="9"/>
  <c r="K423" i="9"/>
  <c r="L423" i="9" s="1"/>
  <c r="L422" i="9"/>
  <c r="M422" i="9" s="1"/>
  <c r="M423" i="9" l="1"/>
  <c r="K424" i="9"/>
  <c r="J425" i="9"/>
  <c r="S152" i="9"/>
  <c r="O153" i="9" s="1"/>
  <c r="J426" i="9" l="1"/>
  <c r="K425" i="9"/>
  <c r="L424" i="9"/>
  <c r="M424" i="9" s="1"/>
  <c r="T152" i="9"/>
  <c r="P153" i="9" s="1"/>
  <c r="Q153" i="9" s="1"/>
  <c r="U153" i="9" s="1"/>
  <c r="R153" i="9" l="1"/>
  <c r="N154" i="9" s="1"/>
  <c r="L425" i="9"/>
  <c r="M425" i="9" s="1"/>
  <c r="J427" i="9"/>
  <c r="K426" i="9"/>
  <c r="L426" i="9" s="1"/>
  <c r="M426" i="9" s="1"/>
  <c r="S153" i="9" l="1"/>
  <c r="O154" i="9" s="1"/>
  <c r="J428" i="9"/>
  <c r="K427" i="9"/>
  <c r="T153" i="9" l="1"/>
  <c r="P154" i="9" s="1"/>
  <c r="Q154" i="9" s="1"/>
  <c r="U154" i="9" s="1"/>
  <c r="R154" i="9" s="1"/>
  <c r="N155" i="9" s="1"/>
  <c r="L427" i="9"/>
  <c r="M427" i="9" s="1"/>
  <c r="J429" i="9"/>
  <c r="K428" i="9"/>
  <c r="L428" i="9" s="1"/>
  <c r="M428" i="9" s="1"/>
  <c r="K429" i="9" l="1"/>
  <c r="L429" i="9" s="1"/>
  <c r="M429" i="9" s="1"/>
  <c r="J430" i="9"/>
  <c r="S154" i="9"/>
  <c r="O155" i="9" s="1"/>
  <c r="T154" i="9" l="1"/>
  <c r="P155" i="9" s="1"/>
  <c r="Q155" i="9" s="1"/>
  <c r="U155" i="9" s="1"/>
  <c r="R155" i="9" s="1"/>
  <c r="N156" i="9" s="1"/>
  <c r="J431" i="9"/>
  <c r="K430" i="9"/>
  <c r="J432" i="9" l="1"/>
  <c r="K431" i="9"/>
  <c r="L431" i="9" s="1"/>
  <c r="L430" i="9"/>
  <c r="M430" i="9" s="1"/>
  <c r="S155" i="9"/>
  <c r="O156" i="9" s="1"/>
  <c r="M431" i="9" l="1"/>
  <c r="J433" i="9"/>
  <c r="K432" i="9"/>
  <c r="L432" i="9" s="1"/>
  <c r="T155" i="9"/>
  <c r="P156" i="9" s="1"/>
  <c r="Q156" i="9" s="1"/>
  <c r="U156" i="9" s="1"/>
  <c r="R156" i="9" l="1"/>
  <c r="N157" i="9" s="1"/>
  <c r="M432" i="9"/>
  <c r="J434" i="9"/>
  <c r="K433" i="9"/>
  <c r="L433" i="9" l="1"/>
  <c r="M433" i="9" s="1"/>
  <c r="J435" i="9"/>
  <c r="K434" i="9"/>
  <c r="S156" i="9"/>
  <c r="O157" i="9" s="1"/>
  <c r="L434" i="9" l="1"/>
  <c r="M434" i="9" s="1"/>
  <c r="K435" i="9"/>
  <c r="J436" i="9"/>
  <c r="T156" i="9"/>
  <c r="P157" i="9" s="1"/>
  <c r="Q157" i="9" s="1"/>
  <c r="U157" i="9" s="1"/>
  <c r="R157" i="9" l="1"/>
  <c r="N158" i="9" s="1"/>
  <c r="L435" i="9"/>
  <c r="M435" i="9" s="1"/>
  <c r="J437" i="9"/>
  <c r="K436" i="9"/>
  <c r="L436" i="9" s="1"/>
  <c r="M436" i="9" s="1"/>
  <c r="K437" i="9" l="1"/>
  <c r="L437" i="9" s="1"/>
  <c r="M437" i="9" s="1"/>
  <c r="J438" i="9"/>
  <c r="S157" i="9"/>
  <c r="O158" i="9" s="1"/>
  <c r="T157" i="9" l="1"/>
  <c r="P158" i="9" s="1"/>
  <c r="Q158" i="9" s="1"/>
  <c r="U158" i="9" s="1"/>
  <c r="J439" i="9"/>
  <c r="K438" i="9"/>
  <c r="R158" i="9" l="1"/>
  <c r="N159" i="9" s="1"/>
  <c r="L438" i="9"/>
  <c r="M438" i="9" s="1"/>
  <c r="J440" i="9"/>
  <c r="K439" i="9"/>
  <c r="L439" i="9" s="1"/>
  <c r="M439" i="9" s="1"/>
  <c r="J441" i="9" l="1"/>
  <c r="K440" i="9"/>
  <c r="S158" i="9"/>
  <c r="O159" i="9" s="1"/>
  <c r="T158" i="9" l="1"/>
  <c r="P159" i="9" s="1"/>
  <c r="Q159" i="9" s="1"/>
  <c r="U159" i="9" s="1"/>
  <c r="R159" i="9" s="1"/>
  <c r="L440" i="9"/>
  <c r="M440" i="9" s="1"/>
  <c r="J442" i="9"/>
  <c r="K441" i="9"/>
  <c r="L441" i="9" s="1"/>
  <c r="M441" i="9" s="1"/>
  <c r="N160" i="9" l="1"/>
  <c r="S159" i="9"/>
  <c r="O160" i="9" s="1"/>
  <c r="K442" i="9"/>
  <c r="L442" i="9" s="1"/>
  <c r="M442" i="9" s="1"/>
  <c r="J443" i="9"/>
  <c r="T159" i="9" l="1"/>
  <c r="P160" i="9" s="1"/>
  <c r="Q160" i="9" s="1"/>
  <c r="U160" i="9" s="1"/>
  <c r="R160" i="9" s="1"/>
  <c r="N161" i="9" s="1"/>
  <c r="J444" i="9"/>
  <c r="K443" i="9"/>
  <c r="K444" i="9" l="1"/>
  <c r="J445" i="9"/>
  <c r="L443" i="9"/>
  <c r="M443" i="9" s="1"/>
  <c r="S160" i="9"/>
  <c r="O161" i="9" s="1"/>
  <c r="L444" i="9" l="1"/>
  <c r="M444" i="9" s="1"/>
  <c r="J446" i="9"/>
  <c r="K445" i="9"/>
  <c r="L445" i="9" s="1"/>
  <c r="T160" i="9"/>
  <c r="P161" i="9" s="1"/>
  <c r="Q161" i="9" s="1"/>
  <c r="U161" i="9" s="1"/>
  <c r="R161" i="9" l="1"/>
  <c r="N162" i="9" s="1"/>
  <c r="J447" i="9"/>
  <c r="K446" i="9"/>
  <c r="L446" i="9" s="1"/>
  <c r="M445" i="9"/>
  <c r="M446" i="9" l="1"/>
  <c r="J448" i="9"/>
  <c r="K447" i="9"/>
  <c r="L447" i="9" s="1"/>
  <c r="S161" i="9"/>
  <c r="O162" i="9" s="1"/>
  <c r="T161" i="9" l="1"/>
  <c r="P162" i="9" s="1"/>
  <c r="Q162" i="9" s="1"/>
  <c r="U162" i="9" s="1"/>
  <c r="R162" i="9" s="1"/>
  <c r="M447" i="9"/>
  <c r="K448" i="9"/>
  <c r="J449" i="9"/>
  <c r="N163" i="9" l="1"/>
  <c r="S162" i="9"/>
  <c r="O163" i="9" s="1"/>
  <c r="K449" i="9"/>
  <c r="J450" i="9"/>
  <c r="L448" i="9"/>
  <c r="M448" i="9" s="1"/>
  <c r="T162" i="9" l="1"/>
  <c r="P163" i="9" s="1"/>
  <c r="Q163" i="9" s="1"/>
  <c r="U163" i="9" s="1"/>
  <c r="R163" i="9" s="1"/>
  <c r="N164" i="9" s="1"/>
  <c r="K450" i="9"/>
  <c r="L450" i="9" s="1"/>
  <c r="J451" i="9"/>
  <c r="L449" i="9"/>
  <c r="M449" i="9" s="1"/>
  <c r="S163" i="9" l="1"/>
  <c r="O164" i="9" s="1"/>
  <c r="M450" i="9"/>
  <c r="K451" i="9"/>
  <c r="L451" i="9" s="1"/>
  <c r="J452" i="9"/>
  <c r="T163" i="9" l="1"/>
  <c r="P164" i="9" s="1"/>
  <c r="Q164" i="9" s="1"/>
  <c r="U164" i="9" s="1"/>
  <c r="R164" i="9" s="1"/>
  <c r="N165" i="9" s="1"/>
  <c r="K452" i="9"/>
  <c r="L452" i="9" s="1"/>
  <c r="J453" i="9"/>
  <c r="M451" i="9"/>
  <c r="K453" i="9" l="1"/>
  <c r="L453" i="9" s="1"/>
  <c r="J454" i="9"/>
  <c r="M452" i="9"/>
  <c r="S164" i="9"/>
  <c r="O165" i="9" s="1"/>
  <c r="J455" i="9" l="1"/>
  <c r="K454" i="9"/>
  <c r="L454" i="9" s="1"/>
  <c r="M453" i="9"/>
  <c r="T164" i="9"/>
  <c r="P165" i="9" s="1"/>
  <c r="Q165" i="9" s="1"/>
  <c r="U165" i="9" s="1"/>
  <c r="R165" i="9" l="1"/>
  <c r="N166" i="9" s="1"/>
  <c r="M454" i="9"/>
  <c r="J456" i="9"/>
  <c r="K455" i="9"/>
  <c r="L455" i="9" s="1"/>
  <c r="M455" i="9" s="1"/>
  <c r="S165" i="9" l="1"/>
  <c r="O166" i="9" s="1"/>
  <c r="J457" i="9"/>
  <c r="K456" i="9"/>
  <c r="T165" i="9" l="1"/>
  <c r="P166" i="9" s="1"/>
  <c r="Q166" i="9" s="1"/>
  <c r="U166" i="9" s="1"/>
  <c r="R166" i="9" s="1"/>
  <c r="N167" i="9" s="1"/>
  <c r="K457" i="9"/>
  <c r="J458" i="9"/>
  <c r="L456" i="9"/>
  <c r="M456" i="9" s="1"/>
  <c r="S166" i="9" l="1"/>
  <c r="O167" i="9" s="1"/>
  <c r="L457" i="9"/>
  <c r="M457" i="9" s="1"/>
  <c r="J459" i="9"/>
  <c r="K458" i="9"/>
  <c r="T166" i="9" l="1"/>
  <c r="P167" i="9" s="1"/>
  <c r="Q167" i="9" s="1"/>
  <c r="U167" i="9" s="1"/>
  <c r="R167" i="9" s="1"/>
  <c r="N168" i="9" s="1"/>
  <c r="L458" i="9"/>
  <c r="M458" i="9" s="1"/>
  <c r="J460" i="9"/>
  <c r="K459" i="9"/>
  <c r="L459" i="9" s="1"/>
  <c r="S167" i="9" l="1"/>
  <c r="O168" i="9" s="1"/>
  <c r="M459" i="9"/>
  <c r="J461" i="9"/>
  <c r="K460" i="9"/>
  <c r="T167" i="9" l="1"/>
  <c r="P168" i="9" s="1"/>
  <c r="Q168" i="9" s="1"/>
  <c r="U168" i="9" s="1"/>
  <c r="R168" i="9" s="1"/>
  <c r="N169" i="9" s="1"/>
  <c r="L460" i="9"/>
  <c r="M460" i="9" s="1"/>
  <c r="K461" i="9"/>
  <c r="J462" i="9"/>
  <c r="S168" i="9" l="1"/>
  <c r="O169" i="9" s="1"/>
  <c r="L461" i="9"/>
  <c r="M461" i="9" s="1"/>
  <c r="J463" i="9"/>
  <c r="K462" i="9"/>
  <c r="T168" i="9" l="1"/>
  <c r="P169" i="9" s="1"/>
  <c r="Q169" i="9" s="1"/>
  <c r="U169" i="9" s="1"/>
  <c r="R169" i="9" s="1"/>
  <c r="N170" i="9" s="1"/>
  <c r="J464" i="9"/>
  <c r="K463" i="9"/>
  <c r="L463" i="9" s="1"/>
  <c r="L462" i="9"/>
  <c r="M462" i="9" s="1"/>
  <c r="K464" i="9" l="1"/>
  <c r="L464" i="9" s="1"/>
  <c r="J465" i="9"/>
  <c r="M463" i="9"/>
  <c r="S169" i="9"/>
  <c r="O170" i="9" s="1"/>
  <c r="M464" i="9" l="1"/>
  <c r="T169" i="9"/>
  <c r="P170" i="9" s="1"/>
  <c r="Q170" i="9" s="1"/>
  <c r="U170" i="9" s="1"/>
  <c r="J466" i="9"/>
  <c r="K465" i="9"/>
  <c r="R170" i="9" l="1"/>
  <c r="N171" i="9" s="1"/>
  <c r="K466" i="9"/>
  <c r="J467" i="9"/>
  <c r="L465" i="9"/>
  <c r="M465" i="9" s="1"/>
  <c r="J468" i="9" l="1"/>
  <c r="K467" i="9"/>
  <c r="L467" i="9" s="1"/>
  <c r="L466" i="9"/>
  <c r="M466" i="9" s="1"/>
  <c r="S170" i="9"/>
  <c r="O171" i="9" s="1"/>
  <c r="J469" i="9" l="1"/>
  <c r="K468" i="9"/>
  <c r="M467" i="9"/>
  <c r="T170" i="9"/>
  <c r="P171" i="9" s="1"/>
  <c r="Q171" i="9" s="1"/>
  <c r="U171" i="9" s="1"/>
  <c r="R171" i="9" l="1"/>
  <c r="N172" i="9" s="1"/>
  <c r="L468" i="9"/>
  <c r="M468" i="9" s="1"/>
  <c r="K469" i="9"/>
  <c r="L469" i="9" s="1"/>
  <c r="J470" i="9"/>
  <c r="S171" i="9" l="1"/>
  <c r="O172" i="9" s="1"/>
  <c r="M469" i="9"/>
  <c r="J471" i="9"/>
  <c r="K470" i="9"/>
  <c r="T171" i="9" l="1"/>
  <c r="P172" i="9" s="1"/>
  <c r="Q172" i="9" s="1"/>
  <c r="U172" i="9" s="1"/>
  <c r="R172" i="9" s="1"/>
  <c r="N173" i="9" s="1"/>
  <c r="L470" i="9"/>
  <c r="M470" i="9" s="1"/>
  <c r="K471" i="9"/>
  <c r="J472" i="9"/>
  <c r="S172" i="9" l="1"/>
  <c r="O173" i="9" s="1"/>
  <c r="L471" i="9"/>
  <c r="M471" i="9" s="1"/>
  <c r="J473" i="9"/>
  <c r="K472" i="9"/>
  <c r="L472" i="9" s="1"/>
  <c r="T172" i="9" l="1"/>
  <c r="P173" i="9" s="1"/>
  <c r="Q173" i="9" s="1"/>
  <c r="U173" i="9" s="1"/>
  <c r="R173" i="9" s="1"/>
  <c r="N174" i="9" s="1"/>
  <c r="M472" i="9"/>
  <c r="K473" i="9"/>
  <c r="J474" i="9"/>
  <c r="J475" i="9" l="1"/>
  <c r="K474" i="9"/>
  <c r="L473" i="9"/>
  <c r="M473" i="9" s="1"/>
  <c r="S173" i="9"/>
  <c r="O174" i="9" s="1"/>
  <c r="K475" i="9" l="1"/>
  <c r="J476" i="9"/>
  <c r="L474" i="9"/>
  <c r="M474" i="9" s="1"/>
  <c r="T173" i="9"/>
  <c r="P174" i="9" s="1"/>
  <c r="Q174" i="9" s="1"/>
  <c r="U174" i="9" s="1"/>
  <c r="R174" i="9" l="1"/>
  <c r="N175" i="9" s="1"/>
  <c r="J477" i="9"/>
  <c r="K476" i="9"/>
  <c r="L476" i="9" s="1"/>
  <c r="L475" i="9"/>
  <c r="M475" i="9" s="1"/>
  <c r="M476" i="9" l="1"/>
  <c r="S174" i="9"/>
  <c r="O175" i="9" s="1"/>
  <c r="K477" i="9"/>
  <c r="J478" i="9"/>
  <c r="T174" i="9" l="1"/>
  <c r="P175" i="9" s="1"/>
  <c r="Q175" i="9" s="1"/>
  <c r="U175" i="9" s="1"/>
  <c r="R175" i="9" s="1"/>
  <c r="N176" i="9" s="1"/>
  <c r="J479" i="9"/>
  <c r="K478" i="9"/>
  <c r="L477" i="9"/>
  <c r="M477" i="9" s="1"/>
  <c r="S175" i="9" l="1"/>
  <c r="O176" i="9" s="1"/>
  <c r="K479" i="9"/>
  <c r="J480" i="9"/>
  <c r="L478" i="9"/>
  <c r="M478" i="9" s="1"/>
  <c r="T175" i="9" l="1"/>
  <c r="P176" i="9" s="1"/>
  <c r="Q176" i="9" s="1"/>
  <c r="U176" i="9" s="1"/>
  <c r="R176" i="9" s="1"/>
  <c r="N177" i="9" s="1"/>
  <c r="K480" i="9"/>
  <c r="L480" i="9" s="1"/>
  <c r="J481" i="9"/>
  <c r="L479" i="9"/>
  <c r="M479" i="9" s="1"/>
  <c r="J482" i="9" l="1"/>
  <c r="K481" i="9"/>
  <c r="M480" i="9"/>
  <c r="S176" i="9"/>
  <c r="O177" i="9" s="1"/>
  <c r="T176" i="9" l="1"/>
  <c r="P177" i="9" s="1"/>
  <c r="Q177" i="9" s="1"/>
  <c r="U177" i="9" s="1"/>
  <c r="R177" i="9" s="1"/>
  <c r="N178" i="9" s="1"/>
  <c r="L481" i="9"/>
  <c r="M481" i="9" s="1"/>
  <c r="K482" i="9"/>
  <c r="L482" i="9" s="1"/>
  <c r="M482" i="9" s="1"/>
  <c r="J483" i="9"/>
  <c r="K483" i="9" l="1"/>
  <c r="J484" i="9"/>
  <c r="S177" i="9"/>
  <c r="O178" i="9" s="1"/>
  <c r="T177" i="9" l="1"/>
  <c r="P178" i="9" s="1"/>
  <c r="Q178" i="9" s="1"/>
  <c r="U178" i="9" s="1"/>
  <c r="K484" i="9"/>
  <c r="L484" i="9" s="1"/>
  <c r="J485" i="9"/>
  <c r="L483" i="9"/>
  <c r="M483" i="9" s="1"/>
  <c r="R178" i="9" l="1"/>
  <c r="N179" i="9" s="1"/>
  <c r="M484" i="9"/>
  <c r="K485" i="9"/>
  <c r="J486" i="9"/>
  <c r="K486" i="9" l="1"/>
  <c r="L486" i="9" s="1"/>
  <c r="J487" i="9"/>
  <c r="L485" i="9"/>
  <c r="M485" i="9" s="1"/>
  <c r="S178" i="9"/>
  <c r="O179" i="9" s="1"/>
  <c r="K487" i="9" l="1"/>
  <c r="L487" i="9" s="1"/>
  <c r="J488" i="9"/>
  <c r="M486" i="9"/>
  <c r="T178" i="9"/>
  <c r="P179" i="9" s="1"/>
  <c r="Q179" i="9" s="1"/>
  <c r="U179" i="9" s="1"/>
  <c r="R179" i="9" l="1"/>
  <c r="N180" i="9" s="1"/>
  <c r="J489" i="9"/>
  <c r="K488" i="9"/>
  <c r="M487" i="9"/>
  <c r="L488" i="9" l="1"/>
  <c r="M488" i="9" s="1"/>
  <c r="K489" i="9"/>
  <c r="J490" i="9"/>
  <c r="S179" i="9"/>
  <c r="O180" i="9" s="1"/>
  <c r="L489" i="9" l="1"/>
  <c r="M489" i="9" s="1"/>
  <c r="J491" i="9"/>
  <c r="K490" i="9"/>
  <c r="T179" i="9"/>
  <c r="P180" i="9" s="1"/>
  <c r="Q180" i="9" s="1"/>
  <c r="U180" i="9" s="1"/>
  <c r="R180" i="9" l="1"/>
  <c r="N181" i="9" s="1"/>
  <c r="L490" i="9"/>
  <c r="M490" i="9" s="1"/>
  <c r="K491" i="9"/>
  <c r="J492" i="9"/>
  <c r="L491" i="9" l="1"/>
  <c r="M491" i="9" s="1"/>
  <c r="S180" i="9"/>
  <c r="O181" i="9" s="1"/>
  <c r="J493" i="9"/>
  <c r="K492" i="9"/>
  <c r="K493" i="9" l="1"/>
  <c r="J494" i="9"/>
  <c r="L492" i="9"/>
  <c r="M492" i="9" s="1"/>
  <c r="T180" i="9"/>
  <c r="P181" i="9" s="1"/>
  <c r="Q181" i="9" s="1"/>
  <c r="U181" i="9" s="1"/>
  <c r="R181" i="9" l="1"/>
  <c r="N182" i="9" s="1"/>
  <c r="J495" i="9"/>
  <c r="K494" i="9"/>
  <c r="L493" i="9"/>
  <c r="M493" i="9" s="1"/>
  <c r="J496" i="9" l="1"/>
  <c r="K495" i="9"/>
  <c r="S181" i="9"/>
  <c r="O182" i="9" s="1"/>
  <c r="L494" i="9"/>
  <c r="M494" i="9" s="1"/>
  <c r="L495" i="9" l="1"/>
  <c r="M495" i="9" s="1"/>
  <c r="J497" i="9"/>
  <c r="K496" i="9"/>
  <c r="T181" i="9"/>
  <c r="P182" i="9" s="1"/>
  <c r="Q182" i="9" s="1"/>
  <c r="U182" i="9" s="1"/>
  <c r="R182" i="9" l="1"/>
  <c r="N183" i="9" s="1"/>
  <c r="L496" i="9"/>
  <c r="M496" i="9" s="1"/>
  <c r="J498" i="9"/>
  <c r="K497" i="9"/>
  <c r="L497" i="9" s="1"/>
  <c r="M497" i="9" s="1"/>
  <c r="K498" i="9" l="1"/>
  <c r="L498" i="9" s="1"/>
  <c r="J499" i="9"/>
  <c r="S182" i="9"/>
  <c r="O183" i="9" s="1"/>
  <c r="T182" i="9" l="1"/>
  <c r="P183" i="9" s="1"/>
  <c r="Q183" i="9" s="1"/>
  <c r="U183" i="9" s="1"/>
  <c r="R183" i="9" s="1"/>
  <c r="N184" i="9" s="1"/>
  <c r="J500" i="9"/>
  <c r="K499" i="9"/>
  <c r="L499" i="9" s="1"/>
  <c r="M498" i="9"/>
  <c r="M499" i="9" l="1"/>
  <c r="J501" i="9"/>
  <c r="K500" i="9"/>
  <c r="L500" i="9" s="1"/>
  <c r="S183" i="9"/>
  <c r="O184" i="9" s="1"/>
  <c r="T183" i="9" l="1"/>
  <c r="P184" i="9" s="1"/>
  <c r="Q184" i="9" s="1"/>
  <c r="U184" i="9" s="1"/>
  <c r="J502" i="9"/>
  <c r="K501" i="9"/>
  <c r="L501" i="9" s="1"/>
  <c r="M500" i="9"/>
  <c r="R184" i="9" l="1"/>
  <c r="N185" i="9" s="1"/>
  <c r="M501" i="9"/>
  <c r="J503" i="9"/>
  <c r="K502" i="9"/>
  <c r="L502" i="9" l="1"/>
  <c r="M502" i="9" s="1"/>
  <c r="J504" i="9"/>
  <c r="K503" i="9"/>
  <c r="S184" i="9"/>
  <c r="O185" i="9" s="1"/>
  <c r="K504" i="9" l="1"/>
  <c r="J505" i="9"/>
  <c r="L504" i="9"/>
  <c r="M504" i="9" s="1"/>
  <c r="L503" i="9"/>
  <c r="M503" i="9" s="1"/>
  <c r="T184" i="9"/>
  <c r="P185" i="9" s="1"/>
  <c r="Q185" i="9" s="1"/>
  <c r="U185" i="9" s="1"/>
  <c r="R185" i="9" l="1"/>
  <c r="N186" i="9" s="1"/>
  <c r="J506" i="9"/>
  <c r="K505" i="9"/>
  <c r="L505" i="9" l="1"/>
  <c r="M505" i="9" s="1"/>
  <c r="K506" i="9"/>
  <c r="J507" i="9"/>
  <c r="S185" i="9"/>
  <c r="O186" i="9" s="1"/>
  <c r="J508" i="9" l="1"/>
  <c r="K507" i="9"/>
  <c r="L506" i="9"/>
  <c r="M506" i="9" s="1"/>
  <c r="T185" i="9"/>
  <c r="P186" i="9" s="1"/>
  <c r="Q186" i="9" s="1"/>
  <c r="U186" i="9" s="1"/>
  <c r="L507" i="9" l="1"/>
  <c r="M507" i="9" s="1"/>
  <c r="R186" i="9"/>
  <c r="N187" i="9" s="1"/>
  <c r="K508" i="9"/>
  <c r="J509" i="9"/>
  <c r="J510" i="9" l="1"/>
  <c r="K509" i="9"/>
  <c r="L509" i="9" s="1"/>
  <c r="L508" i="9"/>
  <c r="M508" i="9" s="1"/>
  <c r="S186" i="9"/>
  <c r="O187" i="9" s="1"/>
  <c r="M509" i="9" l="1"/>
  <c r="K510" i="9"/>
  <c r="L510" i="9" s="1"/>
  <c r="M510" i="9" s="1"/>
  <c r="J511" i="9"/>
  <c r="T186" i="9"/>
  <c r="P187" i="9" s="1"/>
  <c r="Q187" i="9" s="1"/>
  <c r="U187" i="9" s="1"/>
  <c r="J512" i="9" l="1"/>
  <c r="K511" i="9"/>
  <c r="R187" i="9"/>
  <c r="N188" i="9" s="1"/>
  <c r="L511" i="9" l="1"/>
  <c r="M511" i="9" s="1"/>
  <c r="S187" i="9"/>
  <c r="O188" i="9" s="1"/>
  <c r="K512" i="9"/>
  <c r="L512" i="9" s="1"/>
  <c r="J513" i="9"/>
  <c r="M512" i="9" l="1"/>
  <c r="J514" i="9"/>
  <c r="K513" i="9"/>
  <c r="T187" i="9"/>
  <c r="P188" i="9" s="1"/>
  <c r="Q188" i="9" s="1"/>
  <c r="U188" i="9" s="1"/>
  <c r="R188" i="9" l="1"/>
  <c r="N189" i="9" s="1"/>
  <c r="L513" i="9"/>
  <c r="M513" i="9" s="1"/>
  <c r="J515" i="9"/>
  <c r="K514" i="9"/>
  <c r="L514" i="9" s="1"/>
  <c r="M514" i="9" l="1"/>
  <c r="J516" i="9"/>
  <c r="K515" i="9"/>
  <c r="L515" i="9" s="1"/>
  <c r="S188" i="9"/>
  <c r="O189" i="9" s="1"/>
  <c r="T188" i="9" l="1"/>
  <c r="P189" i="9" s="1"/>
  <c r="Q189" i="9" s="1"/>
  <c r="U189" i="9" s="1"/>
  <c r="K516" i="9"/>
  <c r="J517" i="9"/>
  <c r="M515" i="9"/>
  <c r="R189" i="9" l="1"/>
  <c r="N190" i="9" s="1"/>
  <c r="L516" i="9"/>
  <c r="M516" i="9" s="1"/>
  <c r="K517" i="9"/>
  <c r="J518" i="9"/>
  <c r="L517" i="9" l="1"/>
  <c r="M517" i="9" s="1"/>
  <c r="S189" i="9"/>
  <c r="O190" i="9" s="1"/>
  <c r="K518" i="9"/>
  <c r="L518" i="9" s="1"/>
  <c r="J519" i="9"/>
  <c r="T189" i="9" l="1"/>
  <c r="P190" i="9" s="1"/>
  <c r="Q190" i="9" s="1"/>
  <c r="U190" i="9" s="1"/>
  <c r="R190" i="9" s="1"/>
  <c r="N191" i="9" s="1"/>
  <c r="M518" i="9"/>
  <c r="K519" i="9"/>
  <c r="J520" i="9"/>
  <c r="L519" i="9" l="1"/>
  <c r="M519" i="9" s="1"/>
  <c r="S190" i="9"/>
  <c r="O191" i="9" s="1"/>
  <c r="K520" i="9"/>
  <c r="J521" i="9"/>
  <c r="J522" i="9" l="1"/>
  <c r="K521" i="9"/>
  <c r="L520" i="9"/>
  <c r="M520" i="9" s="1"/>
  <c r="T190" i="9"/>
  <c r="P191" i="9" s="1"/>
  <c r="Q191" i="9" s="1"/>
  <c r="U191" i="9" s="1"/>
  <c r="R191" i="9" l="1"/>
  <c r="N192" i="9" s="1"/>
  <c r="L521" i="9"/>
  <c r="M521" i="9" s="1"/>
  <c r="J523" i="9"/>
  <c r="K522" i="9"/>
  <c r="L522" i="9" s="1"/>
  <c r="M522" i="9" s="1"/>
  <c r="K523" i="9" l="1"/>
  <c r="J524" i="9"/>
  <c r="L523" i="9"/>
  <c r="S191" i="9"/>
  <c r="O192" i="9" s="1"/>
  <c r="M523" i="9" l="1"/>
  <c r="T191" i="9"/>
  <c r="P192" i="9" s="1"/>
  <c r="Q192" i="9" s="1"/>
  <c r="U192" i="9" s="1"/>
  <c r="K524" i="9"/>
  <c r="J525" i="9"/>
  <c r="R192" i="9" l="1"/>
  <c r="N193" i="9" s="1"/>
  <c r="K525" i="9"/>
  <c r="L525" i="9" s="1"/>
  <c r="J526" i="9"/>
  <c r="L524" i="9"/>
  <c r="M524" i="9" s="1"/>
  <c r="K526" i="9" l="1"/>
  <c r="J527" i="9"/>
  <c r="M525" i="9"/>
  <c r="S192" i="9"/>
  <c r="K527" i="9" l="1"/>
  <c r="L527" i="9" s="1"/>
  <c r="J528" i="9"/>
  <c r="L526" i="9"/>
  <c r="M526" i="9" s="1"/>
  <c r="O193" i="9"/>
  <c r="T192" i="9"/>
  <c r="P193" i="9" s="1"/>
  <c r="Q193" i="9" l="1"/>
  <c r="U193" i="9" s="1"/>
  <c r="J529" i="9"/>
  <c r="K528" i="9"/>
  <c r="M527" i="9"/>
  <c r="L528" i="9" l="1"/>
  <c r="M528" i="9" s="1"/>
  <c r="J530" i="9"/>
  <c r="K529" i="9"/>
  <c r="L529" i="9" s="1"/>
  <c r="R193" i="9"/>
  <c r="N194" i="9" s="1"/>
  <c r="S193" i="9" l="1"/>
  <c r="O194" i="9" s="1"/>
  <c r="K530" i="9"/>
  <c r="J531" i="9"/>
  <c r="M529" i="9"/>
  <c r="L530" i="9" l="1"/>
  <c r="M530" i="9" s="1"/>
  <c r="T193" i="9"/>
  <c r="P194" i="9" s="1"/>
  <c r="Q194" i="9" s="1"/>
  <c r="U194" i="9" s="1"/>
  <c r="R194" i="9" s="1"/>
  <c r="N195" i="9" s="1"/>
  <c r="K531" i="9"/>
  <c r="J532" i="9"/>
  <c r="J533" i="9" l="1"/>
  <c r="K532" i="9"/>
  <c r="L531" i="9"/>
  <c r="M531" i="9" s="1"/>
  <c r="S194" i="9"/>
  <c r="O195" i="9" s="1"/>
  <c r="J534" i="9" l="1"/>
  <c r="K533" i="9"/>
  <c r="L532" i="9"/>
  <c r="M532" i="9" s="1"/>
  <c r="T194" i="9"/>
  <c r="P195" i="9" s="1"/>
  <c r="Q195" i="9" s="1"/>
  <c r="U195" i="9" s="1"/>
  <c r="R195" i="9" l="1"/>
  <c r="N196" i="9" s="1"/>
  <c r="L533" i="9"/>
  <c r="M533" i="9" s="1"/>
  <c r="K534" i="9"/>
  <c r="J535" i="9"/>
  <c r="S195" i="9" l="1"/>
  <c r="O196" i="9" s="1"/>
  <c r="L534" i="9"/>
  <c r="M534" i="9" s="1"/>
  <c r="K535" i="9"/>
  <c r="J536" i="9"/>
  <c r="T195" i="9" l="1"/>
  <c r="P196" i="9" s="1"/>
  <c r="Q196" i="9" s="1"/>
  <c r="U196" i="9" s="1"/>
  <c r="R196" i="9" s="1"/>
  <c r="N197" i="9" s="1"/>
  <c r="L535" i="9"/>
  <c r="M535" i="9" s="1"/>
  <c r="J537" i="9"/>
  <c r="K536" i="9"/>
  <c r="L536" i="9" s="1"/>
  <c r="M536" i="9" l="1"/>
  <c r="J538" i="9"/>
  <c r="K537" i="9"/>
  <c r="L537" i="9" s="1"/>
  <c r="S196" i="9"/>
  <c r="O197" i="9" s="1"/>
  <c r="T196" i="9" l="1"/>
  <c r="P197" i="9" s="1"/>
  <c r="Q197" i="9" s="1"/>
  <c r="U197" i="9" s="1"/>
  <c r="J539" i="9"/>
  <c r="K538" i="9"/>
  <c r="L538" i="9" s="1"/>
  <c r="M537" i="9"/>
  <c r="R197" i="9" l="1"/>
  <c r="N198" i="9" s="1"/>
  <c r="M538" i="9"/>
  <c r="K539" i="9"/>
  <c r="J540" i="9"/>
  <c r="J541" i="9" l="1"/>
  <c r="K540" i="9"/>
  <c r="L539" i="9"/>
  <c r="M539" i="9" s="1"/>
  <c r="S197" i="9"/>
  <c r="O198" i="9" s="1"/>
  <c r="K541" i="9" l="1"/>
  <c r="J542" i="9"/>
  <c r="L540" i="9"/>
  <c r="M540" i="9" s="1"/>
  <c r="T197" i="9"/>
  <c r="P198" i="9" s="1"/>
  <c r="Q198" i="9" s="1"/>
  <c r="U198" i="9" s="1"/>
  <c r="R198" i="9" l="1"/>
  <c r="N199" i="9" s="1"/>
  <c r="K542" i="9"/>
  <c r="L542" i="9" s="1"/>
  <c r="J543" i="9"/>
  <c r="L541" i="9"/>
  <c r="M541" i="9" s="1"/>
  <c r="S198" i="9" l="1"/>
  <c r="O199" i="9" s="1"/>
  <c r="J544" i="9"/>
  <c r="K543" i="9"/>
  <c r="M542" i="9"/>
  <c r="T198" i="9" l="1"/>
  <c r="P199" i="9" s="1"/>
  <c r="Q199" i="9" s="1"/>
  <c r="U199" i="9" s="1"/>
  <c r="R199" i="9" s="1"/>
  <c r="N200" i="9" s="1"/>
  <c r="L543" i="9"/>
  <c r="M543" i="9" s="1"/>
  <c r="J545" i="9"/>
  <c r="K544" i="9"/>
  <c r="L544" i="9" s="1"/>
  <c r="M544" i="9" s="1"/>
  <c r="S199" i="9" l="1"/>
  <c r="O200" i="9" s="1"/>
  <c r="K545" i="9"/>
  <c r="J546" i="9"/>
  <c r="T199" i="9" l="1"/>
  <c r="P200" i="9" s="1"/>
  <c r="Q200" i="9" s="1"/>
  <c r="U200" i="9" s="1"/>
  <c r="R200" i="9" s="1"/>
  <c r="N201" i="9" s="1"/>
  <c r="K546" i="9"/>
  <c r="L546" i="9" s="1"/>
  <c r="M546" i="9" s="1"/>
  <c r="J547" i="9"/>
  <c r="L545" i="9"/>
  <c r="M545" i="9" s="1"/>
  <c r="S200" i="9" l="1"/>
  <c r="O201" i="9" s="1"/>
  <c r="J548" i="9"/>
  <c r="K547" i="9"/>
  <c r="T200" i="9" l="1"/>
  <c r="P201" i="9" s="1"/>
  <c r="Q201" i="9" s="1"/>
  <c r="U201" i="9" s="1"/>
  <c r="R201" i="9" s="1"/>
  <c r="N202" i="9" s="1"/>
  <c r="L547" i="9"/>
  <c r="M547" i="9" s="1"/>
  <c r="J549" i="9"/>
  <c r="K548" i="9"/>
  <c r="L548" i="9" s="1"/>
  <c r="M548" i="9" s="1"/>
  <c r="J550" i="9" l="1"/>
  <c r="K549" i="9"/>
  <c r="S201" i="9"/>
  <c r="O202" i="9" s="1"/>
  <c r="T201" i="9" l="1"/>
  <c r="P202" i="9" s="1"/>
  <c r="Q202" i="9" s="1"/>
  <c r="U202" i="9" s="1"/>
  <c r="L549" i="9"/>
  <c r="M549" i="9" s="1"/>
  <c r="J551" i="9"/>
  <c r="K550" i="9"/>
  <c r="L550" i="9" s="1"/>
  <c r="R202" i="9" l="1"/>
  <c r="N203" i="9" s="1"/>
  <c r="J552" i="9"/>
  <c r="K551" i="9"/>
  <c r="M550" i="9"/>
  <c r="J553" i="9" l="1"/>
  <c r="K552" i="9"/>
  <c r="L552" i="9" s="1"/>
  <c r="L551" i="9"/>
  <c r="M551" i="9" s="1"/>
  <c r="S202" i="9"/>
  <c r="O203" i="9" s="1"/>
  <c r="M552" i="9" l="1"/>
  <c r="J554" i="9"/>
  <c r="K553" i="9"/>
  <c r="T202" i="9"/>
  <c r="P203" i="9" s="1"/>
  <c r="Q203" i="9" s="1"/>
  <c r="U203" i="9" s="1"/>
  <c r="R203" i="9" l="1"/>
  <c r="N204" i="9" s="1"/>
  <c r="J555" i="9"/>
  <c r="K554" i="9"/>
  <c r="L553" i="9"/>
  <c r="M553" i="9" s="1"/>
  <c r="S203" i="9" l="1"/>
  <c r="O204" i="9" s="1"/>
  <c r="J556" i="9"/>
  <c r="K555" i="9"/>
  <c r="L555" i="9" s="1"/>
  <c r="L554" i="9"/>
  <c r="M554" i="9" s="1"/>
  <c r="T203" i="9" l="1"/>
  <c r="P204" i="9" s="1"/>
  <c r="Q204" i="9" s="1"/>
  <c r="U204" i="9" s="1"/>
  <c r="R204" i="9" s="1"/>
  <c r="N205" i="9" s="1"/>
  <c r="J557" i="9"/>
  <c r="K556" i="9"/>
  <c r="M555" i="9"/>
  <c r="J558" i="9" l="1"/>
  <c r="K557" i="9"/>
  <c r="L556" i="9"/>
  <c r="M556" i="9" s="1"/>
  <c r="S204" i="9"/>
  <c r="O205" i="9" s="1"/>
  <c r="T204" i="9" l="1"/>
  <c r="P205" i="9" s="1"/>
  <c r="Q205" i="9" s="1"/>
  <c r="U205" i="9" s="1"/>
  <c r="R205" i="9" s="1"/>
  <c r="N206" i="9" s="1"/>
  <c r="J559" i="9"/>
  <c r="K558" i="9"/>
  <c r="L557" i="9"/>
  <c r="M557" i="9" s="1"/>
  <c r="J560" i="9" l="1"/>
  <c r="K559" i="9"/>
  <c r="L558" i="9"/>
  <c r="M558" i="9" s="1"/>
  <c r="S205" i="9"/>
  <c r="O206" i="9" s="1"/>
  <c r="J561" i="9" l="1"/>
  <c r="K560" i="9"/>
  <c r="L559" i="9"/>
  <c r="M559" i="9" s="1"/>
  <c r="T205" i="9"/>
  <c r="P206" i="9" s="1"/>
  <c r="Q206" i="9" s="1"/>
  <c r="U206" i="9" s="1"/>
  <c r="R206" i="9" l="1"/>
  <c r="N207" i="9" s="1"/>
  <c r="J562" i="9"/>
  <c r="K561" i="9"/>
  <c r="L560" i="9"/>
  <c r="M560" i="9" s="1"/>
  <c r="K562" i="9" l="1"/>
  <c r="J563" i="9"/>
  <c r="L561" i="9"/>
  <c r="M561" i="9" s="1"/>
  <c r="S206" i="9"/>
  <c r="O207" i="9" s="1"/>
  <c r="J564" i="9" l="1"/>
  <c r="K563" i="9"/>
  <c r="L562" i="9"/>
  <c r="M562" i="9" s="1"/>
  <c r="T206" i="9"/>
  <c r="P207" i="9" s="1"/>
  <c r="Q207" i="9" s="1"/>
  <c r="U207" i="9" s="1"/>
  <c r="R207" i="9" l="1"/>
  <c r="N208" i="9" s="1"/>
  <c r="L563" i="9"/>
  <c r="M563" i="9" s="1"/>
  <c r="K564" i="9"/>
  <c r="J565" i="9"/>
  <c r="L564" i="9" l="1"/>
  <c r="M564" i="9" s="1"/>
  <c r="S207" i="9"/>
  <c r="O208" i="9" s="1"/>
  <c r="J566" i="9"/>
  <c r="K565" i="9"/>
  <c r="K566" i="9" l="1"/>
  <c r="L565" i="9"/>
  <c r="M565" i="9" s="1"/>
  <c r="T207" i="9"/>
  <c r="P208" i="9" s="1"/>
  <c r="Q208" i="9" s="1"/>
  <c r="U208" i="9" s="1"/>
  <c r="R208" i="9" l="1"/>
  <c r="N209" i="9" s="1"/>
  <c r="L566" i="9"/>
  <c r="M566" i="9" s="1"/>
  <c r="S208" i="9" l="1"/>
  <c r="O209" i="9" s="1"/>
  <c r="T208" i="9" l="1"/>
  <c r="P209" i="9" s="1"/>
  <c r="Q209" i="9" s="1"/>
  <c r="U209" i="9" s="1"/>
  <c r="R209" i="9" l="1"/>
  <c r="N210" i="9" s="1"/>
  <c r="S209" i="9" l="1"/>
  <c r="O210" i="9" s="1"/>
  <c r="T209" i="9" l="1"/>
  <c r="P210" i="9" s="1"/>
  <c r="Q210" i="9" s="1"/>
  <c r="U210" i="9" s="1"/>
  <c r="R210" i="9" s="1"/>
  <c r="N211" i="9" s="1"/>
  <c r="S210" i="9" l="1"/>
  <c r="O211" i="9" s="1"/>
  <c r="T210" i="9" l="1"/>
  <c r="P211" i="9" s="1"/>
  <c r="Q211" i="9" s="1"/>
  <c r="U211" i="9" s="1"/>
  <c r="R211" i="9" s="1"/>
  <c r="N212" i="9" l="1"/>
  <c r="S211" i="9"/>
  <c r="O212" i="9" s="1"/>
  <c r="T211" i="9" l="1"/>
  <c r="P212" i="9" s="1"/>
  <c r="Q212" i="9" s="1"/>
  <c r="U212" i="9" s="1"/>
  <c r="R212" i="9" s="1"/>
  <c r="N213" i="9" s="1"/>
  <c r="S212" i="9" l="1"/>
  <c r="O213" i="9" s="1"/>
  <c r="T212" i="9" l="1"/>
  <c r="P213" i="9" s="1"/>
  <c r="Q213" i="9" s="1"/>
  <c r="U213" i="9" s="1"/>
  <c r="R213" i="9" l="1"/>
  <c r="N214" i="9" s="1"/>
  <c r="S213" i="9" l="1"/>
  <c r="O214" i="9" s="1"/>
  <c r="T213" i="9" l="1"/>
  <c r="P214" i="9" s="1"/>
  <c r="Q214" i="9" s="1"/>
  <c r="U214" i="9" s="1"/>
  <c r="R214" i="9" s="1"/>
  <c r="N215" i="9" s="1"/>
  <c r="S214" i="9" l="1"/>
  <c r="O215" i="9" s="1"/>
  <c r="T214" i="9" l="1"/>
  <c r="P215" i="9" s="1"/>
  <c r="Q215" i="9" s="1"/>
  <c r="U215" i="9" s="1"/>
  <c r="R215" i="9" s="1"/>
  <c r="N216" i="9" s="1"/>
  <c r="S215" i="9" l="1"/>
  <c r="O216" i="9" s="1"/>
  <c r="T215" i="9" l="1"/>
  <c r="P216" i="9" s="1"/>
  <c r="Q216" i="9" s="1"/>
  <c r="U216" i="9" s="1"/>
  <c r="R216" i="9" l="1"/>
  <c r="N217" i="9" s="1"/>
  <c r="S216" i="9" l="1"/>
  <c r="O217" i="9" s="1"/>
  <c r="T216" i="9" l="1"/>
  <c r="P217" i="9" s="1"/>
  <c r="Q217" i="9"/>
  <c r="U217" i="9" s="1"/>
  <c r="R217" i="9" s="1"/>
  <c r="N218" i="9" s="1"/>
  <c r="S217" i="9" l="1"/>
  <c r="O218" i="9" s="1"/>
  <c r="T217" i="9" l="1"/>
  <c r="P218" i="9" s="1"/>
  <c r="Q218" i="9" s="1"/>
  <c r="U218" i="9" s="1"/>
  <c r="R218" i="9" l="1"/>
  <c r="N219" i="9" s="1"/>
  <c r="S218" i="9" l="1"/>
  <c r="O219" i="9" s="1"/>
  <c r="T218" i="9" l="1"/>
  <c r="P219" i="9" s="1"/>
  <c r="Q219" i="9" s="1"/>
  <c r="U219" i="9" s="1"/>
  <c r="R219" i="9" l="1"/>
  <c r="N220" i="9" s="1"/>
  <c r="S219" i="9" l="1"/>
  <c r="O220" i="9" s="1"/>
  <c r="T219" i="9" l="1"/>
  <c r="P220" i="9" s="1"/>
  <c r="Q220" i="9" s="1"/>
  <c r="U220" i="9" s="1"/>
  <c r="R220" i="9" l="1"/>
  <c r="N221" i="9" s="1"/>
  <c r="S220" i="9" l="1"/>
  <c r="O221" i="9" s="1"/>
  <c r="T220" i="9" l="1"/>
  <c r="P221" i="9" s="1"/>
  <c r="Q221" i="9" s="1"/>
  <c r="U221" i="9" s="1"/>
  <c r="R221" i="9" s="1"/>
  <c r="N222" i="9" s="1"/>
  <c r="S221" i="9" l="1"/>
  <c r="O222" i="9" s="1"/>
  <c r="T221" i="9" l="1"/>
  <c r="P222" i="9" s="1"/>
  <c r="Q222" i="9" s="1"/>
  <c r="U222" i="9" s="1"/>
  <c r="R222" i="9" s="1"/>
  <c r="N223" i="9" s="1"/>
  <c r="S222" i="9" l="1"/>
  <c r="O223" i="9" s="1"/>
  <c r="T222" i="9" l="1"/>
  <c r="P223" i="9" s="1"/>
  <c r="Q223" i="9" s="1"/>
  <c r="U223" i="9" s="1"/>
  <c r="R223" i="9" l="1"/>
  <c r="N224" i="9" s="1"/>
  <c r="S223" i="9" l="1"/>
  <c r="O224" i="9" s="1"/>
  <c r="T223" i="9" l="1"/>
  <c r="P224" i="9" s="1"/>
  <c r="Q224" i="9" s="1"/>
  <c r="U224" i="9" s="1"/>
  <c r="R224" i="9" l="1"/>
  <c r="N225" i="9" s="1"/>
  <c r="S224" i="9" l="1"/>
  <c r="O225" i="9" s="1"/>
  <c r="T224" i="9" l="1"/>
  <c r="P225" i="9" s="1"/>
  <c r="Q225" i="9" s="1"/>
  <c r="U225" i="9" s="1"/>
  <c r="R225" i="9" s="1"/>
  <c r="N226" i="9" s="1"/>
  <c r="S225" i="9" l="1"/>
  <c r="O226" i="9" s="1"/>
  <c r="T225" i="9" l="1"/>
  <c r="P226" i="9" s="1"/>
  <c r="Q226" i="9" s="1"/>
  <c r="U226" i="9" s="1"/>
  <c r="R226" i="9" l="1"/>
  <c r="N227" i="9" s="1"/>
  <c r="S226" i="9" l="1"/>
  <c r="O227" i="9" s="1"/>
  <c r="T226" i="9" l="1"/>
  <c r="P227" i="9" s="1"/>
  <c r="Q227" i="9" s="1"/>
  <c r="U227" i="9" s="1"/>
  <c r="R227" i="9" l="1"/>
  <c r="N228" i="9" s="1"/>
  <c r="S227" i="9" l="1"/>
  <c r="O228" i="9" s="1"/>
  <c r="T227" i="9" l="1"/>
  <c r="P228" i="9" s="1"/>
  <c r="Q228" i="9" s="1"/>
  <c r="U228" i="9" s="1"/>
  <c r="R228" i="9" l="1"/>
  <c r="N229" i="9" s="1"/>
  <c r="S228" i="9" l="1"/>
  <c r="O229" i="9" s="1"/>
  <c r="T228" i="9" l="1"/>
  <c r="P229" i="9" s="1"/>
  <c r="Q229" i="9" s="1"/>
  <c r="U229" i="9" s="1"/>
  <c r="R229" i="9" s="1"/>
  <c r="N230" i="9" s="1"/>
  <c r="S229" i="9" l="1"/>
  <c r="O230" i="9" l="1"/>
  <c r="T229" i="9"/>
  <c r="P230" i="9" s="1"/>
  <c r="Q230" i="9" l="1"/>
  <c r="U230" i="9" s="1"/>
  <c r="R230" i="9" l="1"/>
  <c r="N231" i="9" s="1"/>
  <c r="S230" i="9" l="1"/>
  <c r="O231" i="9" s="1"/>
  <c r="T230" i="9" l="1"/>
  <c r="P231" i="9" s="1"/>
  <c r="Q231" i="9" s="1"/>
  <c r="U231" i="9" s="1"/>
  <c r="R231" i="9" l="1"/>
  <c r="N232" i="9" s="1"/>
  <c r="S231" i="9" l="1"/>
  <c r="O232" i="9" s="1"/>
  <c r="T231" i="9" l="1"/>
  <c r="P232" i="9" s="1"/>
  <c r="Q232" i="9" s="1"/>
  <c r="U232" i="9" s="1"/>
  <c r="R232" i="9" l="1"/>
  <c r="N233" i="9" s="1"/>
  <c r="S232" i="9" l="1"/>
  <c r="O233" i="9" s="1"/>
  <c r="T232" i="9" l="1"/>
  <c r="P233" i="9" s="1"/>
  <c r="Q233" i="9" s="1"/>
  <c r="U233" i="9" s="1"/>
  <c r="R233" i="9" l="1"/>
  <c r="N234" i="9" s="1"/>
  <c r="S233" i="9" l="1"/>
  <c r="O234" i="9" s="1"/>
  <c r="T233" i="9" l="1"/>
  <c r="P234" i="9" s="1"/>
  <c r="Q234" i="9" s="1"/>
  <c r="U234" i="9" s="1"/>
  <c r="R234" i="9" l="1"/>
  <c r="N235" i="9" s="1"/>
  <c r="S234" i="9" l="1"/>
  <c r="O235" i="9" s="1"/>
  <c r="T234" i="9" l="1"/>
  <c r="P235" i="9" s="1"/>
  <c r="Q235" i="9" s="1"/>
  <c r="U235" i="9" s="1"/>
  <c r="R235" i="9" s="1"/>
  <c r="N236" i="9" s="1"/>
  <c r="S235" i="9" l="1"/>
  <c r="O236" i="9" s="1"/>
  <c r="T235" i="9" l="1"/>
  <c r="P236" i="9" s="1"/>
  <c r="Q236" i="9" s="1"/>
  <c r="U236" i="9" s="1"/>
  <c r="R236" i="9" l="1"/>
  <c r="N237" i="9" s="1"/>
  <c r="S236" i="9" l="1"/>
  <c r="O237" i="9" s="1"/>
  <c r="T236" i="9" l="1"/>
  <c r="P237" i="9" s="1"/>
  <c r="Q237" i="9" s="1"/>
  <c r="U237" i="9" s="1"/>
  <c r="R237" i="9" s="1"/>
  <c r="N238" i="9" s="1"/>
  <c r="S237" i="9" l="1"/>
  <c r="O238" i="9" s="1"/>
  <c r="T237" i="9" l="1"/>
  <c r="P238" i="9" s="1"/>
  <c r="Q238" i="9" s="1"/>
  <c r="U238" i="9" s="1"/>
  <c r="R238" i="9" s="1"/>
  <c r="N239" i="9" s="1"/>
  <c r="S238" i="9" l="1"/>
  <c r="O239" i="9" s="1"/>
  <c r="T238" i="9" l="1"/>
  <c r="P239" i="9" s="1"/>
  <c r="Q239" i="9" s="1"/>
  <c r="U239" i="9" s="1"/>
  <c r="R239" i="9" l="1"/>
  <c r="N240" i="9" s="1"/>
  <c r="S239" i="9" l="1"/>
  <c r="O240" i="9" s="1"/>
  <c r="T239" i="9" l="1"/>
  <c r="P240" i="9" s="1"/>
  <c r="Q240" i="9" s="1"/>
  <c r="U240" i="9" s="1"/>
  <c r="R240" i="9" s="1"/>
  <c r="N241" i="9" s="1"/>
  <c r="S240" i="9" l="1"/>
  <c r="O241" i="9" s="1"/>
  <c r="T240" i="9" l="1"/>
  <c r="P241" i="9" s="1"/>
  <c r="Q241" i="9" s="1"/>
  <c r="U241" i="9" s="1"/>
  <c r="R241" i="9" l="1"/>
  <c r="N242" i="9" s="1"/>
  <c r="S241" i="9" l="1"/>
  <c r="O242" i="9" s="1"/>
  <c r="T241" i="9" l="1"/>
  <c r="P242" i="9" s="1"/>
  <c r="Q242" i="9" s="1"/>
  <c r="U242" i="9" s="1"/>
  <c r="R242" i="9" l="1"/>
  <c r="N243" i="9" s="1"/>
  <c r="S242" i="9" l="1"/>
  <c r="O243" i="9" s="1"/>
  <c r="T242" i="9" l="1"/>
  <c r="P243" i="9" s="1"/>
  <c r="Q243" i="9" s="1"/>
  <c r="U243" i="9" s="1"/>
  <c r="R243" i="9" l="1"/>
  <c r="N244" i="9" s="1"/>
  <c r="S243" i="9" l="1"/>
  <c r="O244" i="9" s="1"/>
  <c r="T243" i="9" l="1"/>
  <c r="P244" i="9" s="1"/>
  <c r="Q244" i="9" s="1"/>
  <c r="U244" i="9" s="1"/>
  <c r="R244" i="9" s="1"/>
  <c r="N245" i="9" s="1"/>
  <c r="S244" i="9" l="1"/>
  <c r="O245" i="9" s="1"/>
  <c r="T244" i="9" l="1"/>
  <c r="P245" i="9" s="1"/>
  <c r="Q245" i="9" s="1"/>
  <c r="U245" i="9" s="1"/>
  <c r="R245" i="9" s="1"/>
  <c r="N246" i="9" s="1"/>
  <c r="S245" i="9" l="1"/>
  <c r="O246" i="9" s="1"/>
  <c r="T245" i="9" l="1"/>
  <c r="P246" i="9" s="1"/>
  <c r="Q246" i="9" s="1"/>
  <c r="U246" i="9" s="1"/>
  <c r="R246" i="9" s="1"/>
  <c r="N247" i="9" l="1"/>
  <c r="S246" i="9"/>
  <c r="O247" i="9" s="1"/>
  <c r="T246" i="9" l="1"/>
  <c r="P247" i="9" s="1"/>
  <c r="Q247" i="9" s="1"/>
  <c r="U247" i="9" s="1"/>
  <c r="R247" i="9" s="1"/>
  <c r="N248" i="9" s="1"/>
  <c r="S247" i="9" l="1"/>
  <c r="O248" i="9" s="1"/>
  <c r="T247" i="9" l="1"/>
  <c r="P248" i="9" s="1"/>
  <c r="Q248" i="9" s="1"/>
  <c r="U248" i="9" s="1"/>
  <c r="R248" i="9" l="1"/>
  <c r="N249" i="9" s="1"/>
  <c r="S248" i="9" l="1"/>
  <c r="O249" i="9" s="1"/>
  <c r="T248" i="9" l="1"/>
  <c r="P249" i="9" s="1"/>
  <c r="Q249" i="9" s="1"/>
  <c r="U249" i="9" s="1"/>
  <c r="R249" i="9" l="1"/>
  <c r="N250" i="9" s="1"/>
  <c r="S249" i="9" l="1"/>
  <c r="O250" i="9" s="1"/>
  <c r="T249" i="9" l="1"/>
  <c r="P250" i="9" s="1"/>
  <c r="Q250" i="9" s="1"/>
  <c r="U250" i="9" s="1"/>
  <c r="R250" i="9" s="1"/>
  <c r="N251" i="9" s="1"/>
  <c r="S250" i="9" l="1"/>
  <c r="O251" i="9" s="1"/>
  <c r="T250" i="9" l="1"/>
  <c r="P251" i="9" s="1"/>
  <c r="Q251" i="9" s="1"/>
  <c r="U251" i="9" s="1"/>
  <c r="R251" i="9" s="1"/>
  <c r="N252" i="9" s="1"/>
  <c r="S251" i="9" l="1"/>
  <c r="O252" i="9" s="1"/>
  <c r="T251" i="9" l="1"/>
  <c r="P252" i="9" s="1"/>
  <c r="Q252" i="9" s="1"/>
  <c r="U252" i="9" s="1"/>
  <c r="R252" i="9" s="1"/>
  <c r="N253" i="9" s="1"/>
  <c r="S252" i="9" l="1"/>
  <c r="O253" i="9" s="1"/>
  <c r="T252" i="9" l="1"/>
  <c r="P253" i="9" s="1"/>
  <c r="Q253" i="9" s="1"/>
  <c r="U253" i="9" s="1"/>
  <c r="R253" i="9" s="1"/>
  <c r="N254" i="9" l="1"/>
  <c r="S253" i="9"/>
  <c r="O254" i="9" s="1"/>
  <c r="T253" i="9" l="1"/>
  <c r="P254" i="9" s="1"/>
  <c r="Q254" i="9" s="1"/>
  <c r="U254" i="9" s="1"/>
  <c r="R254" i="9" s="1"/>
  <c r="N255" i="9" s="1"/>
  <c r="S254" i="9" l="1"/>
  <c r="O255" i="9" s="1"/>
  <c r="T254" i="9" l="1"/>
  <c r="P255" i="9" s="1"/>
  <c r="Q255" i="9" s="1"/>
  <c r="U255" i="9" s="1"/>
  <c r="R255" i="9" l="1"/>
  <c r="N256" i="9" s="1"/>
  <c r="S255" i="9" l="1"/>
  <c r="O256" i="9" s="1"/>
  <c r="T255" i="9" l="1"/>
  <c r="P256" i="9" s="1"/>
  <c r="Q256" i="9" s="1"/>
  <c r="U256" i="9" s="1"/>
  <c r="R256" i="9" l="1"/>
  <c r="N257" i="9" s="1"/>
  <c r="S256" i="9" l="1"/>
  <c r="O257" i="9" l="1"/>
  <c r="T256" i="9"/>
  <c r="P257" i="9" s="1"/>
  <c r="Q257" i="9" l="1"/>
  <c r="U257" i="9" s="1"/>
  <c r="R257" i="9" l="1"/>
  <c r="N258" i="9" s="1"/>
  <c r="S257" i="9" l="1"/>
  <c r="O258" i="9" s="1"/>
  <c r="T257" i="9" l="1"/>
  <c r="P258" i="9" s="1"/>
  <c r="Q258" i="9" s="1"/>
  <c r="U258" i="9" s="1"/>
  <c r="R258" i="9" l="1"/>
  <c r="N259" i="9" s="1"/>
  <c r="S258" i="9" l="1"/>
  <c r="O259" i="9" s="1"/>
  <c r="T258" i="9" l="1"/>
  <c r="P259" i="9" s="1"/>
  <c r="Q259" i="9" s="1"/>
  <c r="U259" i="9" s="1"/>
  <c r="R259" i="9" l="1"/>
  <c r="N260" i="9" s="1"/>
  <c r="S259" i="9" l="1"/>
  <c r="O260" i="9" s="1"/>
  <c r="T259" i="9" l="1"/>
  <c r="P260" i="9" s="1"/>
  <c r="Q260" i="9" s="1"/>
  <c r="U260" i="9" s="1"/>
  <c r="R260" i="9" s="1"/>
  <c r="N261" i="9" s="1"/>
  <c r="S260" i="9" l="1"/>
  <c r="O261" i="9" s="1"/>
  <c r="T260" i="9" l="1"/>
  <c r="P261" i="9" s="1"/>
  <c r="Q261" i="9" s="1"/>
  <c r="U261" i="9" s="1"/>
  <c r="R261" i="9" l="1"/>
  <c r="N262" i="9" s="1"/>
  <c r="S261" i="9" l="1"/>
  <c r="O262" i="9" s="1"/>
  <c r="T261" i="9" l="1"/>
  <c r="P262" i="9" s="1"/>
  <c r="Q262" i="9" s="1"/>
  <c r="U262" i="9" s="1"/>
  <c r="R262" i="9" l="1"/>
  <c r="N263" i="9" s="1"/>
  <c r="S262" i="9" l="1"/>
  <c r="O263" i="9" s="1"/>
  <c r="T262" i="9" l="1"/>
  <c r="P263" i="9" s="1"/>
  <c r="Q263" i="9" s="1"/>
  <c r="U263" i="9" s="1"/>
  <c r="R263" i="9" s="1"/>
  <c r="N264" i="9" s="1"/>
  <c r="S263" i="9" l="1"/>
  <c r="O264" i="9" s="1"/>
  <c r="T263" i="9" l="1"/>
  <c r="P264" i="9" s="1"/>
  <c r="Q264" i="9" s="1"/>
  <c r="U264" i="9" s="1"/>
  <c r="R264" i="9" s="1"/>
  <c r="N265" i="9" s="1"/>
  <c r="S264" i="9" l="1"/>
  <c r="O265" i="9" s="1"/>
  <c r="T264" i="9" l="1"/>
  <c r="P265" i="9" s="1"/>
  <c r="Q265" i="9" s="1"/>
  <c r="U265" i="9" s="1"/>
  <c r="R265" i="9" l="1"/>
  <c r="N266" i="9" s="1"/>
  <c r="S265" i="9" l="1"/>
  <c r="O266" i="9" s="1"/>
  <c r="T265" i="9" l="1"/>
  <c r="P266" i="9" s="1"/>
  <c r="Q266" i="9" s="1"/>
  <c r="U266" i="9" s="1"/>
  <c r="R266" i="9" s="1"/>
  <c r="N267" i="9" s="1"/>
  <c r="S266" i="9" l="1"/>
  <c r="O267" i="9" s="1"/>
  <c r="T266" i="9" l="1"/>
  <c r="P267" i="9" s="1"/>
  <c r="Q267" i="9" s="1"/>
  <c r="U267" i="9" s="1"/>
  <c r="R267" i="9" s="1"/>
  <c r="N268" i="9" s="1"/>
  <c r="S267" i="9" l="1"/>
  <c r="O268" i="9" s="1"/>
  <c r="T267" i="9" l="1"/>
  <c r="P268" i="9" s="1"/>
  <c r="Q268" i="9" s="1"/>
  <c r="U268" i="9" s="1"/>
  <c r="R268" i="9" s="1"/>
  <c r="N269" i="9" s="1"/>
  <c r="S268" i="9" l="1"/>
  <c r="O269" i="9" s="1"/>
  <c r="T268" i="9" l="1"/>
  <c r="P269" i="9" s="1"/>
  <c r="Q269" i="9" s="1"/>
  <c r="U269" i="9" s="1"/>
  <c r="R269" i="9" s="1"/>
  <c r="N270" i="9" s="1"/>
  <c r="S269" i="9" l="1"/>
  <c r="O270" i="9" s="1"/>
  <c r="T269" i="9" l="1"/>
  <c r="P270" i="9" s="1"/>
  <c r="Q270" i="9" s="1"/>
  <c r="U270" i="9" s="1"/>
  <c r="R270" i="9" l="1"/>
  <c r="N271" i="9" s="1"/>
  <c r="S270" i="9" l="1"/>
  <c r="O271" i="9" s="1"/>
  <c r="T270" i="9" l="1"/>
  <c r="P271" i="9" s="1"/>
  <c r="Q271" i="9" s="1"/>
  <c r="U271" i="9" s="1"/>
  <c r="R271" i="9" s="1"/>
  <c r="N272" i="9" s="1"/>
  <c r="S271" i="9" l="1"/>
  <c r="O272" i="9" s="1"/>
  <c r="T271" i="9" l="1"/>
  <c r="P272" i="9" s="1"/>
  <c r="Q272" i="9" s="1"/>
  <c r="U272" i="9" s="1"/>
  <c r="R272" i="9" s="1"/>
  <c r="N273" i="9" s="1"/>
  <c r="S272" i="9" l="1"/>
  <c r="O273" i="9" s="1"/>
  <c r="T272" i="9" l="1"/>
  <c r="P273" i="9" s="1"/>
  <c r="Q273" i="9" s="1"/>
  <c r="U273" i="9" s="1"/>
  <c r="R273" i="9" s="1"/>
  <c r="N274" i="9" s="1"/>
  <c r="S273" i="9" l="1"/>
  <c r="O274" i="9" s="1"/>
  <c r="T273" i="9" l="1"/>
  <c r="P274" i="9" s="1"/>
  <c r="Q274" i="9" s="1"/>
  <c r="U274" i="9" s="1"/>
  <c r="R274" i="9" s="1"/>
  <c r="N275" i="9" s="1"/>
  <c r="S274" i="9" l="1"/>
  <c r="O275" i="9" s="1"/>
  <c r="T274" i="9" l="1"/>
  <c r="P275" i="9" s="1"/>
  <c r="Q275" i="9" s="1"/>
  <c r="U275" i="9" s="1"/>
  <c r="R275" i="9" s="1"/>
  <c r="N276" i="9" s="1"/>
  <c r="S275" i="9" l="1"/>
  <c r="O276" i="9" s="1"/>
  <c r="T275" i="9" l="1"/>
  <c r="P276" i="9" s="1"/>
  <c r="Q276" i="9" s="1"/>
  <c r="U276" i="9" s="1"/>
  <c r="R276" i="9" l="1"/>
  <c r="N277" i="9" s="1"/>
  <c r="S276" i="9" l="1"/>
  <c r="O277" i="9" s="1"/>
  <c r="T276" i="9" l="1"/>
  <c r="P277" i="9" s="1"/>
  <c r="Q277" i="9" s="1"/>
  <c r="U277" i="9" s="1"/>
  <c r="R277" i="9" l="1"/>
  <c r="N278" i="9" s="1"/>
  <c r="S277" i="9" l="1"/>
  <c r="O278" i="9" s="1"/>
  <c r="T277" i="9" l="1"/>
  <c r="P278" i="9" s="1"/>
  <c r="Q278" i="9" s="1"/>
  <c r="U278" i="9" s="1"/>
  <c r="R278" i="9" s="1"/>
  <c r="N279" i="9" s="1"/>
  <c r="S278" i="9" l="1"/>
  <c r="O279" i="9" s="1"/>
  <c r="T278" i="9" l="1"/>
  <c r="P279" i="9" s="1"/>
  <c r="Q279" i="9" s="1"/>
  <c r="U279" i="9" s="1"/>
  <c r="R279" i="9" s="1"/>
  <c r="N280" i="9" s="1"/>
  <c r="S279" i="9" l="1"/>
  <c r="O280" i="9" s="1"/>
  <c r="T279" i="9" l="1"/>
  <c r="P280" i="9" s="1"/>
  <c r="Q280" i="9" s="1"/>
  <c r="U280" i="9" s="1"/>
  <c r="R280" i="9" l="1"/>
  <c r="N281" i="9" s="1"/>
  <c r="S280" i="9" l="1"/>
  <c r="O281" i="9" s="1"/>
  <c r="T280" i="9" l="1"/>
  <c r="P281" i="9" s="1"/>
  <c r="Q281" i="9" s="1"/>
  <c r="U281" i="9" s="1"/>
  <c r="R281" i="9" s="1"/>
  <c r="N282" i="9" s="1"/>
  <c r="S281" i="9" l="1"/>
  <c r="O282" i="9" s="1"/>
  <c r="T281" i="9" l="1"/>
  <c r="P282" i="9" s="1"/>
  <c r="Q282" i="9" s="1"/>
  <c r="U282" i="9" s="1"/>
  <c r="R282" i="9" l="1"/>
  <c r="N283" i="9" s="1"/>
  <c r="S282" i="9" l="1"/>
  <c r="O283" i="9" s="1"/>
  <c r="T282" i="9" l="1"/>
  <c r="P283" i="9" s="1"/>
  <c r="Q283" i="9" s="1"/>
  <c r="U283" i="9" s="1"/>
  <c r="R283" i="9" s="1"/>
  <c r="N284" i="9" s="1"/>
  <c r="S283" i="9" l="1"/>
  <c r="O284" i="9" s="1"/>
  <c r="T283" i="9" l="1"/>
  <c r="P284" i="9" s="1"/>
  <c r="Q284" i="9" s="1"/>
  <c r="U284" i="9" s="1"/>
  <c r="R284" i="9" l="1"/>
  <c r="N285" i="9" s="1"/>
  <c r="S284" i="9" l="1"/>
  <c r="O285" i="9" s="1"/>
  <c r="T284" i="9" l="1"/>
  <c r="P285" i="9" s="1"/>
  <c r="Q285" i="9" s="1"/>
  <c r="U285" i="9" s="1"/>
  <c r="R285" i="9" s="1"/>
  <c r="N286" i="9" s="1"/>
  <c r="S285" i="9" l="1"/>
  <c r="O286" i="9" s="1"/>
  <c r="T285" i="9" l="1"/>
  <c r="P286" i="9" s="1"/>
  <c r="Q286" i="9" s="1"/>
  <c r="U286" i="9" s="1"/>
  <c r="R286" i="9" l="1"/>
  <c r="N287" i="9" s="1"/>
  <c r="S286" i="9" l="1"/>
  <c r="O287" i="9" s="1"/>
  <c r="T286" i="9" l="1"/>
  <c r="P287" i="9" s="1"/>
  <c r="Q287" i="9" s="1"/>
  <c r="U287" i="9" s="1"/>
  <c r="R287" i="9" l="1"/>
  <c r="N288" i="9" s="1"/>
  <c r="S287" i="9" l="1"/>
  <c r="O288" i="9" s="1"/>
  <c r="T287" i="9" l="1"/>
  <c r="P288" i="9" s="1"/>
  <c r="Q288" i="9" s="1"/>
  <c r="U288" i="9" s="1"/>
  <c r="R288" i="9" l="1"/>
  <c r="N289" i="9" s="1"/>
  <c r="S288" i="9" l="1"/>
  <c r="O289" i="9" s="1"/>
  <c r="T288" i="9" l="1"/>
  <c r="P289" i="9" s="1"/>
  <c r="Q289" i="9" s="1"/>
  <c r="U289" i="9" s="1"/>
  <c r="R289" i="9" s="1"/>
  <c r="N290" i="9" s="1"/>
  <c r="S289" i="9" l="1"/>
  <c r="O290" i="9" s="1"/>
  <c r="T289" i="9" l="1"/>
  <c r="P290" i="9" s="1"/>
  <c r="Q290" i="9" s="1"/>
  <c r="U290" i="9" s="1"/>
  <c r="R290" i="9" l="1"/>
  <c r="N291" i="9" s="1"/>
  <c r="S290" i="9" l="1"/>
  <c r="O291" i="9" s="1"/>
  <c r="T290" i="9" l="1"/>
  <c r="P291" i="9" s="1"/>
  <c r="Q291" i="9" s="1"/>
  <c r="U291" i="9" s="1"/>
  <c r="R291" i="9" s="1"/>
  <c r="N292" i="9" s="1"/>
  <c r="S291" i="9" l="1"/>
  <c r="O292" i="9" s="1"/>
  <c r="T291" i="9" l="1"/>
  <c r="P292" i="9" s="1"/>
  <c r="Q292" i="9" s="1"/>
  <c r="U292" i="9" s="1"/>
  <c r="R292" i="9" s="1"/>
  <c r="N293" i="9" s="1"/>
  <c r="S292" i="9" l="1"/>
  <c r="O293" i="9" s="1"/>
  <c r="T292" i="9" l="1"/>
  <c r="P293" i="9" s="1"/>
  <c r="Q293" i="9" s="1"/>
  <c r="U293" i="9" s="1"/>
  <c r="R293" i="9" l="1"/>
  <c r="N294" i="9" s="1"/>
  <c r="S293" i="9" l="1"/>
  <c r="O294" i="9" s="1"/>
  <c r="T293" i="9" l="1"/>
  <c r="P294" i="9" s="1"/>
  <c r="Q294" i="9" s="1"/>
  <c r="U294" i="9" s="1"/>
  <c r="R294" i="9" s="1"/>
  <c r="N295" i="9" l="1"/>
  <c r="S294" i="9"/>
  <c r="O295" i="9" s="1"/>
  <c r="T294" i="9" l="1"/>
  <c r="P295" i="9" s="1"/>
  <c r="Q295" i="9" s="1"/>
  <c r="U295" i="9" s="1"/>
  <c r="R295" i="9" s="1"/>
  <c r="N296" i="9" s="1"/>
  <c r="S295" i="9" l="1"/>
  <c r="O296" i="9" s="1"/>
  <c r="T295" i="9" l="1"/>
  <c r="P296" i="9" s="1"/>
  <c r="Q296" i="9" s="1"/>
  <c r="U296" i="9" s="1"/>
  <c r="R296" i="9" l="1"/>
  <c r="N297" i="9" s="1"/>
  <c r="S296" i="9" l="1"/>
  <c r="O297" i="9" s="1"/>
  <c r="T296" i="9" l="1"/>
  <c r="P297" i="9" s="1"/>
  <c r="Q297" i="9" s="1"/>
  <c r="U297" i="9" s="1"/>
  <c r="R297" i="9" l="1"/>
  <c r="N298" i="9" s="1"/>
  <c r="S297" i="9" l="1"/>
  <c r="O298" i="9" s="1"/>
  <c r="T297" i="9" l="1"/>
  <c r="P298" i="9" s="1"/>
  <c r="Q298" i="9" s="1"/>
  <c r="U298" i="9" s="1"/>
  <c r="R298" i="9" s="1"/>
  <c r="N299" i="9" s="1"/>
  <c r="S298" i="9" l="1"/>
  <c r="O299" i="9" s="1"/>
  <c r="T298" i="9" l="1"/>
  <c r="P299" i="9" s="1"/>
  <c r="Q299" i="9" s="1"/>
  <c r="U299" i="9" s="1"/>
  <c r="R299" i="9" l="1"/>
  <c r="N300" i="9" s="1"/>
  <c r="S299" i="9" l="1"/>
  <c r="O300" i="9" s="1"/>
  <c r="T299" i="9" l="1"/>
  <c r="P300" i="9" s="1"/>
  <c r="Q300" i="9" s="1"/>
  <c r="U300" i="9" s="1"/>
  <c r="R300" i="9" s="1"/>
  <c r="N301" i="9" s="1"/>
  <c r="S300" i="9" l="1"/>
  <c r="O301" i="9" s="1"/>
  <c r="T300" i="9" l="1"/>
  <c r="P301" i="9" s="1"/>
  <c r="Q301" i="9" s="1"/>
  <c r="U301" i="9" s="1"/>
  <c r="R301" i="9" s="1"/>
  <c r="N302" i="9" s="1"/>
  <c r="S301" i="9" l="1"/>
  <c r="O302" i="9" s="1"/>
  <c r="T301" i="9" l="1"/>
  <c r="P302" i="9" s="1"/>
  <c r="Q302" i="9" s="1"/>
  <c r="U302" i="9" s="1"/>
  <c r="R302" i="9" l="1"/>
  <c r="N303" i="9" s="1"/>
  <c r="S302" i="9" l="1"/>
  <c r="O303" i="9" s="1"/>
  <c r="T302" i="9" l="1"/>
  <c r="P303" i="9" s="1"/>
  <c r="Q303" i="9" s="1"/>
  <c r="U303" i="9" s="1"/>
  <c r="R303" i="9" s="1"/>
  <c r="N304" i="9" s="1"/>
  <c r="S303" i="9" l="1"/>
  <c r="O304" i="9" s="1"/>
  <c r="T303" i="9" l="1"/>
  <c r="P304" i="9" s="1"/>
  <c r="Q304" i="9" s="1"/>
  <c r="U304" i="9" s="1"/>
  <c r="R304" i="9" s="1"/>
  <c r="N305" i="9" s="1"/>
  <c r="S304" i="9" l="1"/>
  <c r="O305" i="9" s="1"/>
  <c r="T304" i="9" l="1"/>
  <c r="P305" i="9" s="1"/>
  <c r="Q305" i="9" s="1"/>
  <c r="U305" i="9" s="1"/>
  <c r="R305" i="9" s="1"/>
  <c r="N306" i="9" s="1"/>
  <c r="S305" i="9" l="1"/>
  <c r="O306" i="9" s="1"/>
  <c r="T305" i="9" l="1"/>
  <c r="P306" i="9" s="1"/>
  <c r="Q306" i="9" s="1"/>
  <c r="U306" i="9" s="1"/>
  <c r="R306" i="9" l="1"/>
  <c r="N307" i="9" s="1"/>
  <c r="S306" i="9" l="1"/>
  <c r="O307" i="9" s="1"/>
  <c r="T306" i="9" l="1"/>
  <c r="P307" i="9" s="1"/>
  <c r="Q307" i="9" s="1"/>
  <c r="U307" i="9" s="1"/>
  <c r="R307" i="9" s="1"/>
  <c r="N308" i="9" s="1"/>
  <c r="S307" i="9" l="1"/>
  <c r="O308" i="9" s="1"/>
  <c r="T307" i="9" l="1"/>
  <c r="P308" i="9" s="1"/>
  <c r="Q308" i="9" s="1"/>
  <c r="U308" i="9" s="1"/>
  <c r="R308" i="9" l="1"/>
  <c r="N309" i="9" s="1"/>
  <c r="S308" i="9" l="1"/>
  <c r="O309" i="9" s="1"/>
  <c r="T308" i="9" l="1"/>
  <c r="P309" i="9" s="1"/>
  <c r="Q309" i="9" s="1"/>
  <c r="U309" i="9" s="1"/>
  <c r="R309" i="9" s="1"/>
  <c r="N310" i="9" s="1"/>
  <c r="S309" i="9" l="1"/>
  <c r="O310" i="9" s="1"/>
  <c r="T309" i="9" l="1"/>
  <c r="P310" i="9" s="1"/>
  <c r="Q310" i="9" s="1"/>
  <c r="U310" i="9" s="1"/>
  <c r="R310" i="9" s="1"/>
  <c r="N311" i="9" s="1"/>
  <c r="S310" i="9" l="1"/>
  <c r="O311" i="9" s="1"/>
  <c r="T310" i="9" l="1"/>
  <c r="P311" i="9" s="1"/>
  <c r="Q311" i="9" s="1"/>
  <c r="U311" i="9" s="1"/>
  <c r="R311" i="9" s="1"/>
  <c r="N312" i="9" s="1"/>
  <c r="S311" i="9" l="1"/>
  <c r="O312" i="9" s="1"/>
  <c r="T311" i="9" l="1"/>
  <c r="P312" i="9" s="1"/>
  <c r="Q312" i="9" s="1"/>
  <c r="U312" i="9" s="1"/>
  <c r="R312" i="9" s="1"/>
  <c r="N313" i="9" s="1"/>
  <c r="S312" i="9" l="1"/>
  <c r="O313" i="9" s="1"/>
  <c r="T312" i="9" l="1"/>
  <c r="P313" i="9" s="1"/>
  <c r="Q313" i="9" s="1"/>
  <c r="U313" i="9" s="1"/>
  <c r="R313" i="9" l="1"/>
  <c r="N314" i="9" s="1"/>
  <c r="S313" i="9" l="1"/>
  <c r="O314" i="9" s="1"/>
  <c r="T313" i="9" l="1"/>
  <c r="P314" i="9" s="1"/>
  <c r="Q314" i="9" s="1"/>
  <c r="U314" i="9" s="1"/>
  <c r="R314" i="9" l="1"/>
  <c r="N315" i="9" s="1"/>
  <c r="S314" i="9" l="1"/>
  <c r="O315" i="9" s="1"/>
  <c r="T314" i="9" l="1"/>
  <c r="P315" i="9" s="1"/>
  <c r="Q315" i="9" s="1"/>
  <c r="U315" i="9" s="1"/>
  <c r="R315" i="9" s="1"/>
  <c r="N316" i="9" s="1"/>
  <c r="S315" i="9" l="1"/>
  <c r="O316" i="9" s="1"/>
  <c r="T315" i="9" l="1"/>
  <c r="P316" i="9" s="1"/>
  <c r="Q316" i="9" s="1"/>
  <c r="U316" i="9" s="1"/>
  <c r="R316" i="9" s="1"/>
  <c r="N317" i="9" s="1"/>
  <c r="S316" i="9" l="1"/>
  <c r="O317" i="9" s="1"/>
  <c r="T316" i="9" l="1"/>
  <c r="P317" i="9" s="1"/>
  <c r="Q317" i="9" s="1"/>
  <c r="U317" i="9" s="1"/>
  <c r="R317" i="9" s="1"/>
  <c r="N318" i="9" s="1"/>
  <c r="S317" i="9" l="1"/>
  <c r="O318" i="9" s="1"/>
  <c r="T317" i="9" l="1"/>
  <c r="P318" i="9" s="1"/>
  <c r="Q318" i="9" s="1"/>
  <c r="U318" i="9" s="1"/>
  <c r="R318" i="9" s="1"/>
  <c r="N319" i="9" s="1"/>
  <c r="S318" i="9" l="1"/>
  <c r="O319" i="9" s="1"/>
  <c r="T318" i="9" l="1"/>
  <c r="P319" i="9" s="1"/>
  <c r="Q319" i="9" s="1"/>
  <c r="U319" i="9" s="1"/>
  <c r="R319" i="9" l="1"/>
  <c r="N320" i="9" s="1"/>
  <c r="S319" i="9" l="1"/>
  <c r="O320" i="9" s="1"/>
  <c r="T319" i="9" l="1"/>
  <c r="P320" i="9" s="1"/>
  <c r="Q320" i="9" s="1"/>
  <c r="U320" i="9" s="1"/>
  <c r="R320" i="9" s="1"/>
  <c r="N321" i="9" s="1"/>
  <c r="S320" i="9" l="1"/>
  <c r="O321" i="9" s="1"/>
  <c r="T320" i="9" l="1"/>
  <c r="P321" i="9" s="1"/>
  <c r="Q321" i="9" s="1"/>
  <c r="U321" i="9" s="1"/>
  <c r="R321" i="9" l="1"/>
  <c r="N322" i="9" s="1"/>
  <c r="S321" i="9" l="1"/>
  <c r="O322" i="9" s="1"/>
  <c r="T321" i="9" l="1"/>
  <c r="P322" i="9" s="1"/>
  <c r="Q322" i="9" s="1"/>
  <c r="U322" i="9" s="1"/>
  <c r="R322" i="9" l="1"/>
  <c r="N323" i="9" s="1"/>
  <c r="S322" i="9" l="1"/>
  <c r="O323" i="9" s="1"/>
  <c r="T322" i="9" l="1"/>
  <c r="P323" i="9" s="1"/>
  <c r="Q323" i="9" s="1"/>
  <c r="U323" i="9" s="1"/>
  <c r="R323" i="9" l="1"/>
  <c r="N324" i="9" s="1"/>
  <c r="S323" i="9" l="1"/>
  <c r="O324" i="9" s="1"/>
  <c r="T323" i="9" l="1"/>
  <c r="P324" i="9" s="1"/>
  <c r="Q324" i="9" s="1"/>
  <c r="U324" i="9" s="1"/>
  <c r="R324" i="9" l="1"/>
  <c r="N325" i="9" s="1"/>
  <c r="S324" i="9" l="1"/>
  <c r="O325" i="9" s="1"/>
  <c r="T324" i="9" l="1"/>
  <c r="P325" i="9" s="1"/>
  <c r="Q325" i="9" s="1"/>
  <c r="U325" i="9" s="1"/>
  <c r="R325" i="9" s="1"/>
  <c r="N326" i="9" s="1"/>
  <c r="S325" i="9" l="1"/>
  <c r="O326" i="9" s="1"/>
  <c r="T325" i="9" l="1"/>
  <c r="P326" i="9" s="1"/>
  <c r="Q326" i="9" s="1"/>
  <c r="U326" i="9" s="1"/>
  <c r="R326" i="9" s="1"/>
  <c r="N327" i="9" s="1"/>
  <c r="S326" i="9" l="1"/>
  <c r="O327" i="9" s="1"/>
  <c r="T326" i="9" l="1"/>
  <c r="P327" i="9" s="1"/>
  <c r="Q327" i="9" s="1"/>
  <c r="U327" i="9" s="1"/>
  <c r="R327" i="9" l="1"/>
  <c r="N328" i="9" s="1"/>
  <c r="S327" i="9" l="1"/>
  <c r="O328" i="9" s="1"/>
  <c r="T327" i="9" l="1"/>
  <c r="P328" i="9" s="1"/>
  <c r="Q328" i="9" s="1"/>
  <c r="U328" i="9" s="1"/>
  <c r="R328" i="9" l="1"/>
  <c r="N329" i="9" s="1"/>
  <c r="S328" i="9" l="1"/>
  <c r="O329" i="9" s="1"/>
  <c r="T328" i="9" l="1"/>
  <c r="P329" i="9" s="1"/>
  <c r="Q329" i="9" s="1"/>
  <c r="U329" i="9" s="1"/>
  <c r="R329" i="9" s="1"/>
  <c r="N330" i="9" s="1"/>
  <c r="S329" i="9" l="1"/>
  <c r="O330" i="9" s="1"/>
  <c r="T329" i="9" l="1"/>
  <c r="P330" i="9" s="1"/>
  <c r="Q330" i="9" s="1"/>
  <c r="U330" i="9" s="1"/>
  <c r="R330" i="9" l="1"/>
  <c r="N331" i="9" s="1"/>
  <c r="S330" i="9" l="1"/>
  <c r="O331" i="9" s="1"/>
  <c r="T330" i="9" l="1"/>
  <c r="P331" i="9" s="1"/>
  <c r="Q331" i="9" s="1"/>
  <c r="U331" i="9" s="1"/>
  <c r="R331" i="9" s="1"/>
  <c r="N332" i="9" s="1"/>
  <c r="S331" i="9" l="1"/>
  <c r="O332" i="9" s="1"/>
  <c r="T331" i="9" l="1"/>
  <c r="P332" i="9" s="1"/>
  <c r="Q332" i="9" s="1"/>
  <c r="U332" i="9" s="1"/>
  <c r="R332" i="9" l="1"/>
  <c r="N333" i="9" s="1"/>
  <c r="S332" i="9" l="1"/>
  <c r="O333" i="9" s="1"/>
  <c r="T332" i="9" l="1"/>
  <c r="P333" i="9" s="1"/>
  <c r="Q333" i="9" s="1"/>
  <c r="U333" i="9" s="1"/>
  <c r="R333" i="9" s="1"/>
  <c r="N334" i="9" s="1"/>
  <c r="S333" i="9" l="1"/>
  <c r="O334" i="9" s="1"/>
  <c r="T333" i="9" l="1"/>
  <c r="P334" i="9" s="1"/>
  <c r="Q334" i="9" s="1"/>
  <c r="U334" i="9" s="1"/>
  <c r="R334" i="9" s="1"/>
  <c r="N335" i="9" s="1"/>
  <c r="S334" i="9" l="1"/>
  <c r="O335" i="9" s="1"/>
  <c r="T334" i="9" l="1"/>
  <c r="P335" i="9" s="1"/>
  <c r="Q335" i="9" s="1"/>
  <c r="U335" i="9" s="1"/>
  <c r="R335" i="9" l="1"/>
  <c r="N336" i="9" s="1"/>
  <c r="S335" i="9" l="1"/>
  <c r="O336" i="9" s="1"/>
  <c r="T335" i="9" l="1"/>
  <c r="P336" i="9" s="1"/>
  <c r="Q336" i="9" s="1"/>
  <c r="U336" i="9" s="1"/>
  <c r="R336" i="9" l="1"/>
  <c r="N337" i="9" s="1"/>
  <c r="S336" i="9" l="1"/>
  <c r="O337" i="9" s="1"/>
  <c r="T336" i="9" l="1"/>
  <c r="P337" i="9" s="1"/>
  <c r="Q337" i="9" s="1"/>
  <c r="U337" i="9" s="1"/>
  <c r="R337" i="9" s="1"/>
  <c r="N338" i="9" s="1"/>
  <c r="S337" i="9" l="1"/>
  <c r="O338" i="9" s="1"/>
  <c r="T337" i="9" l="1"/>
  <c r="P338" i="9" s="1"/>
  <c r="Q338" i="9" s="1"/>
  <c r="U338" i="9" s="1"/>
  <c r="R338" i="9" l="1"/>
  <c r="N339" i="9" s="1"/>
  <c r="S338" i="9" l="1"/>
  <c r="O339" i="9" s="1"/>
  <c r="T338" i="9" l="1"/>
  <c r="P339" i="9" s="1"/>
  <c r="Q339" i="9" s="1"/>
  <c r="U339" i="9" s="1"/>
  <c r="R339" i="9" l="1"/>
  <c r="N340" i="9" s="1"/>
  <c r="S339" i="9" l="1"/>
  <c r="O340" i="9" s="1"/>
  <c r="T339" i="9" l="1"/>
  <c r="P340" i="9" s="1"/>
  <c r="Q340" i="9" s="1"/>
  <c r="U340" i="9" s="1"/>
  <c r="R340" i="9" s="1"/>
  <c r="N341" i="9" s="1"/>
  <c r="S340" i="9" l="1"/>
  <c r="O341" i="9" s="1"/>
  <c r="T340" i="9" l="1"/>
  <c r="P341" i="9" s="1"/>
  <c r="Q341" i="9" s="1"/>
  <c r="U341" i="9" s="1"/>
  <c r="R341" i="9" l="1"/>
  <c r="N342" i="9" s="1"/>
  <c r="S341" i="9" l="1"/>
  <c r="O342" i="9" s="1"/>
  <c r="T341" i="9" l="1"/>
  <c r="P342" i="9" s="1"/>
  <c r="Q342" i="9" s="1"/>
  <c r="U342" i="9" s="1"/>
  <c r="R342" i="9" s="1"/>
  <c r="N343" i="9" s="1"/>
  <c r="S342" i="9" l="1"/>
  <c r="O343" i="9" s="1"/>
  <c r="T342" i="9" l="1"/>
  <c r="P343" i="9" s="1"/>
  <c r="Q343" i="9" s="1"/>
  <c r="U343" i="9" s="1"/>
  <c r="R343" i="9" l="1"/>
  <c r="N344" i="9" s="1"/>
  <c r="S343" i="9" l="1"/>
  <c r="O344" i="9" s="1"/>
  <c r="T343" i="9" l="1"/>
  <c r="P344" i="9" s="1"/>
  <c r="Q344" i="9" s="1"/>
  <c r="U344" i="9" s="1"/>
  <c r="R344" i="9" s="1"/>
  <c r="N345" i="9" s="1"/>
  <c r="S344" i="9" l="1"/>
  <c r="O345" i="9" s="1"/>
  <c r="T344" i="9" l="1"/>
  <c r="P345" i="9" s="1"/>
  <c r="Q345" i="9" s="1"/>
  <c r="U345" i="9" s="1"/>
  <c r="R345" i="9" l="1"/>
  <c r="N346" i="9" s="1"/>
  <c r="S345" i="9" l="1"/>
  <c r="O346" i="9" s="1"/>
  <c r="T345" i="9" l="1"/>
  <c r="P346" i="9" s="1"/>
  <c r="Q346" i="9" s="1"/>
  <c r="U346" i="9" s="1"/>
  <c r="R346" i="9" s="1"/>
  <c r="N347" i="9" s="1"/>
  <c r="S346" i="9" l="1"/>
  <c r="O347" i="9" s="1"/>
  <c r="T346" i="9" l="1"/>
  <c r="P347" i="9" s="1"/>
  <c r="Q347" i="9" s="1"/>
  <c r="U347" i="9" s="1"/>
  <c r="R347" i="9" s="1"/>
  <c r="N348" i="9" s="1"/>
  <c r="S347" i="9" l="1"/>
  <c r="O348" i="9" s="1"/>
  <c r="T347" i="9" l="1"/>
  <c r="P348" i="9" s="1"/>
  <c r="Q348" i="9" s="1"/>
  <c r="U348" i="9" s="1"/>
  <c r="R348" i="9" l="1"/>
  <c r="N349" i="9" s="1"/>
  <c r="S348" i="9" l="1"/>
  <c r="O349" i="9" s="1"/>
  <c r="T348" i="9" l="1"/>
  <c r="P349" i="9" s="1"/>
  <c r="Q349" i="9" s="1"/>
  <c r="U349" i="9" s="1"/>
  <c r="R349" i="9" l="1"/>
  <c r="N350" i="9" s="1"/>
  <c r="S349" i="9" l="1"/>
  <c r="O350" i="9" s="1"/>
  <c r="T349" i="9" l="1"/>
  <c r="P350" i="9" s="1"/>
  <c r="Q350" i="9" s="1"/>
  <c r="U350" i="9" s="1"/>
  <c r="R350" i="9" s="1"/>
  <c r="N351" i="9" s="1"/>
  <c r="S350" i="9" l="1"/>
  <c r="O351" i="9" s="1"/>
  <c r="T350" i="9" l="1"/>
  <c r="P351" i="9" s="1"/>
  <c r="Q351" i="9" s="1"/>
  <c r="U351" i="9" s="1"/>
  <c r="R351" i="9" l="1"/>
  <c r="N352" i="9" s="1"/>
  <c r="S351" i="9" l="1"/>
  <c r="O352" i="9" s="1"/>
  <c r="T351" i="9" l="1"/>
  <c r="P352" i="9" s="1"/>
  <c r="Q352" i="9" s="1"/>
  <c r="U352" i="9" s="1"/>
  <c r="R352" i="9" s="1"/>
  <c r="N353" i="9" s="1"/>
  <c r="S352" i="9" l="1"/>
  <c r="O353" i="9" s="1"/>
  <c r="T352" i="9" l="1"/>
  <c r="P353" i="9" s="1"/>
  <c r="Q353" i="9" s="1"/>
  <c r="U353" i="9" s="1"/>
  <c r="R353" i="9" l="1"/>
  <c r="N354" i="9" s="1"/>
  <c r="S353" i="9" l="1"/>
  <c r="O354" i="9" s="1"/>
  <c r="T353" i="9" l="1"/>
  <c r="P354" i="9" s="1"/>
  <c r="Q354" i="9" s="1"/>
  <c r="U354" i="9" s="1"/>
  <c r="R354" i="9" s="1"/>
  <c r="N355" i="9" s="1"/>
  <c r="S354" i="9" l="1"/>
  <c r="O355" i="9" s="1"/>
  <c r="T354" i="9" l="1"/>
  <c r="P355" i="9" s="1"/>
  <c r="Q355" i="9" s="1"/>
  <c r="U355" i="9" s="1"/>
  <c r="R355" i="9" l="1"/>
  <c r="N356" i="9" s="1"/>
  <c r="S355" i="9" l="1"/>
  <c r="O356" i="9" s="1"/>
  <c r="T355" i="9" l="1"/>
  <c r="P356" i="9" s="1"/>
  <c r="Q356" i="9" s="1"/>
  <c r="U356" i="9" s="1"/>
  <c r="R356" i="9" l="1"/>
  <c r="N357" i="9" s="1"/>
  <c r="S356" i="9" l="1"/>
  <c r="O357" i="9" s="1"/>
  <c r="T356" i="9" l="1"/>
  <c r="P357" i="9" s="1"/>
  <c r="Q357" i="9"/>
  <c r="U357" i="9" s="1"/>
  <c r="R357" i="9" s="1"/>
  <c r="N358" i="9" s="1"/>
  <c r="S357" i="9" l="1"/>
  <c r="O358" i="9" s="1"/>
  <c r="T357" i="9" l="1"/>
  <c r="P358" i="9" s="1"/>
  <c r="Q358" i="9" s="1"/>
  <c r="U358" i="9" s="1"/>
  <c r="R358" i="9" l="1"/>
  <c r="N359" i="9" s="1"/>
  <c r="S358" i="9" l="1"/>
  <c r="O359" i="9" s="1"/>
  <c r="T358" i="9" l="1"/>
  <c r="P359" i="9" s="1"/>
  <c r="Q359" i="9" s="1"/>
  <c r="U359" i="9" s="1"/>
  <c r="R359" i="9" s="1"/>
  <c r="N360" i="9" s="1"/>
  <c r="S359" i="9" l="1"/>
  <c r="O360" i="9" s="1"/>
  <c r="T359" i="9" l="1"/>
  <c r="P360" i="9" s="1"/>
  <c r="Q360" i="9" s="1"/>
  <c r="U360" i="9" s="1"/>
  <c r="R360" i="9" l="1"/>
  <c r="N361" i="9" s="1"/>
  <c r="S360" i="9" l="1"/>
  <c r="O361" i="9" s="1"/>
  <c r="T360" i="9" l="1"/>
  <c r="P361" i="9" s="1"/>
  <c r="Q361" i="9" s="1"/>
  <c r="U361" i="9" s="1"/>
  <c r="R361" i="9" s="1"/>
  <c r="N362" i="9" s="1"/>
  <c r="S361" i="9" l="1"/>
  <c r="O362" i="9" s="1"/>
  <c r="T361" i="9" l="1"/>
  <c r="P362" i="9" s="1"/>
  <c r="Q362" i="9" s="1"/>
  <c r="U362" i="9" s="1"/>
  <c r="R362" i="9" s="1"/>
  <c r="N363" i="9" s="1"/>
  <c r="S362" i="9" l="1"/>
  <c r="O363" i="9" s="1"/>
  <c r="T362" i="9" l="1"/>
  <c r="P363" i="9" s="1"/>
  <c r="Q363" i="9" s="1"/>
  <c r="U363" i="9" s="1"/>
  <c r="R363" i="9" l="1"/>
  <c r="N364" i="9" s="1"/>
  <c r="S363" i="9" l="1"/>
  <c r="O364" i="9" s="1"/>
  <c r="T363" i="9" l="1"/>
  <c r="P364" i="9" s="1"/>
  <c r="Q364" i="9" s="1"/>
  <c r="U364" i="9" s="1"/>
  <c r="R364" i="9" s="1"/>
  <c r="N365" i="9" s="1"/>
  <c r="S364" i="9" l="1"/>
  <c r="O365" i="9" s="1"/>
  <c r="T364" i="9" l="1"/>
  <c r="P365" i="9" s="1"/>
  <c r="Q365" i="9" s="1"/>
  <c r="U365" i="9" s="1"/>
  <c r="R365" i="9" s="1"/>
  <c r="N366" i="9" s="1"/>
  <c r="S365" i="9" l="1"/>
  <c r="O366" i="9" s="1"/>
  <c r="T365" i="9" l="1"/>
  <c r="P366" i="9" s="1"/>
  <c r="Q366" i="9" s="1"/>
  <c r="U366" i="9" s="1"/>
  <c r="R366" i="9" l="1"/>
  <c r="N367" i="9" s="1"/>
  <c r="S366" i="9" l="1"/>
  <c r="O367" i="9" s="1"/>
  <c r="T366" i="9" l="1"/>
  <c r="P367" i="9" s="1"/>
  <c r="Q367" i="9" s="1"/>
  <c r="U367" i="9" s="1"/>
  <c r="R367" i="9" l="1"/>
  <c r="N368" i="9" s="1"/>
  <c r="S367" i="9" l="1"/>
  <c r="O368" i="9" s="1"/>
  <c r="T367" i="9" l="1"/>
  <c r="P368" i="9" s="1"/>
  <c r="Q368" i="9" s="1"/>
  <c r="U368" i="9" s="1"/>
  <c r="R368" i="9" l="1"/>
  <c r="N369" i="9" s="1"/>
  <c r="S368" i="9" l="1"/>
  <c r="O369" i="9" s="1"/>
  <c r="T368" i="9" l="1"/>
  <c r="P369" i="9" s="1"/>
  <c r="Q369" i="9" s="1"/>
  <c r="U369" i="9" s="1"/>
  <c r="R369" i="9" l="1"/>
  <c r="N370" i="9" s="1"/>
  <c r="S369" i="9" l="1"/>
  <c r="O370" i="9" s="1"/>
  <c r="T369" i="9" l="1"/>
  <c r="P370" i="9" s="1"/>
  <c r="Q370" i="9" s="1"/>
  <c r="U370" i="9" s="1"/>
  <c r="R370" i="9" l="1"/>
  <c r="N371" i="9" s="1"/>
  <c r="S370" i="9" l="1"/>
  <c r="O371" i="9" s="1"/>
  <c r="T370" i="9" l="1"/>
  <c r="P371" i="9" s="1"/>
  <c r="Q371" i="9" s="1"/>
  <c r="U371" i="9" s="1"/>
  <c r="R371" i="9" s="1"/>
  <c r="N372" i="9" s="1"/>
  <c r="S371" i="9" l="1"/>
  <c r="O372" i="9" s="1"/>
  <c r="T371" i="9" l="1"/>
  <c r="P372" i="9" s="1"/>
  <c r="Q372" i="9" s="1"/>
  <c r="U372" i="9" s="1"/>
  <c r="R372" i="9" l="1"/>
  <c r="N373" i="9" s="1"/>
  <c r="S372" i="9" l="1"/>
  <c r="O373" i="9" s="1"/>
  <c r="T372" i="9" l="1"/>
  <c r="P373" i="9" s="1"/>
  <c r="Q373" i="9" s="1"/>
  <c r="U373" i="9" s="1"/>
  <c r="R373" i="9" s="1"/>
  <c r="N374" i="9" s="1"/>
  <c r="S373" i="9" l="1"/>
  <c r="O374" i="9" s="1"/>
  <c r="T373" i="9" l="1"/>
  <c r="P374" i="9" s="1"/>
  <c r="Q374" i="9" s="1"/>
  <c r="U374" i="9" s="1"/>
  <c r="R374" i="9" s="1"/>
  <c r="N375" i="9" s="1"/>
  <c r="S374" i="9" l="1"/>
  <c r="O375" i="9" s="1"/>
  <c r="T374" i="9" l="1"/>
  <c r="P375" i="9" s="1"/>
  <c r="Q375" i="9"/>
  <c r="U375" i="9" s="1"/>
  <c r="R375" i="9" s="1"/>
  <c r="N376" i="9" s="1"/>
  <c r="S375" i="9" l="1"/>
  <c r="O376" i="9" s="1"/>
  <c r="T375" i="9" l="1"/>
  <c r="P376" i="9" s="1"/>
  <c r="Q376" i="9" s="1"/>
  <c r="U376" i="9" s="1"/>
  <c r="R376" i="9" s="1"/>
  <c r="N377" i="9" s="1"/>
  <c r="S376" i="9" l="1"/>
  <c r="O377" i="9" s="1"/>
  <c r="T376" i="9" l="1"/>
  <c r="P377" i="9" s="1"/>
  <c r="Q377" i="9" s="1"/>
  <c r="U377" i="9" s="1"/>
  <c r="R377" i="9" l="1"/>
  <c r="N378" i="9" s="1"/>
  <c r="S377" i="9" l="1"/>
  <c r="O378" i="9" s="1"/>
  <c r="T377" i="9" l="1"/>
  <c r="P378" i="9" s="1"/>
  <c r="Q378" i="9" s="1"/>
  <c r="U378" i="9" s="1"/>
  <c r="R378" i="9" s="1"/>
  <c r="N379" i="9" s="1"/>
  <c r="S378" i="9" l="1"/>
  <c r="O379" i="9" s="1"/>
  <c r="T378" i="9" l="1"/>
  <c r="P379" i="9" s="1"/>
  <c r="Q379" i="9" s="1"/>
  <c r="U379" i="9" s="1"/>
  <c r="R379" i="9" s="1"/>
  <c r="N380" i="9" s="1"/>
  <c r="S379" i="9" l="1"/>
  <c r="O380" i="9" s="1"/>
  <c r="T379" i="9" l="1"/>
  <c r="P380" i="9" s="1"/>
  <c r="Q380" i="9"/>
  <c r="U380" i="9" s="1"/>
  <c r="R380" i="9" s="1"/>
  <c r="N381" i="9" s="1"/>
  <c r="S380" i="9" l="1"/>
  <c r="O381" i="9" s="1"/>
  <c r="T380" i="9" l="1"/>
  <c r="P381" i="9" s="1"/>
  <c r="Q381" i="9" s="1"/>
  <c r="U381" i="9" s="1"/>
  <c r="R381" i="9" s="1"/>
  <c r="N382" i="9" s="1"/>
  <c r="S381" i="9" l="1"/>
  <c r="O382" i="9" s="1"/>
  <c r="T381" i="9" l="1"/>
  <c r="P382" i="9" s="1"/>
  <c r="Q382" i="9" s="1"/>
  <c r="U382" i="9" s="1"/>
  <c r="R382" i="9" s="1"/>
  <c r="N383" i="9" s="1"/>
  <c r="S382" i="9" l="1"/>
  <c r="O383" i="9" s="1"/>
  <c r="T382" i="9" l="1"/>
  <c r="P383" i="9" s="1"/>
  <c r="Q383" i="9" s="1"/>
  <c r="U383" i="9" s="1"/>
  <c r="R383" i="9" s="1"/>
  <c r="N384" i="9" s="1"/>
  <c r="S383" i="9" l="1"/>
  <c r="O384" i="9" s="1"/>
  <c r="T383" i="9" l="1"/>
  <c r="P384" i="9" s="1"/>
  <c r="Q384" i="9" s="1"/>
  <c r="U384" i="9" s="1"/>
  <c r="R384" i="9" s="1"/>
  <c r="N385" i="9" s="1"/>
  <c r="S384" i="9" l="1"/>
  <c r="O385" i="9" s="1"/>
  <c r="T384" i="9" l="1"/>
  <c r="P385" i="9" s="1"/>
  <c r="Q385" i="9" s="1"/>
  <c r="U385" i="9" s="1"/>
  <c r="R385" i="9" s="1"/>
  <c r="N386" i="9" s="1"/>
  <c r="S385" i="9" l="1"/>
  <c r="O386" i="9" s="1"/>
  <c r="T385" i="9" l="1"/>
  <c r="P386" i="9" s="1"/>
  <c r="Q386" i="9" s="1"/>
  <c r="U386" i="9" s="1"/>
  <c r="R386" i="9" s="1"/>
  <c r="N387" i="9" s="1"/>
  <c r="S386" i="9" l="1"/>
  <c r="O387" i="9" s="1"/>
  <c r="T386" i="9" l="1"/>
  <c r="P387" i="9" s="1"/>
  <c r="Q387" i="9" s="1"/>
  <c r="U387" i="9" s="1"/>
  <c r="R387" i="9" s="1"/>
  <c r="N388" i="9" l="1"/>
  <c r="S387" i="9"/>
  <c r="O388" i="9" s="1"/>
  <c r="T387" i="9" l="1"/>
  <c r="P388" i="9" s="1"/>
  <c r="Q388" i="9" s="1"/>
  <c r="U388" i="9" s="1"/>
  <c r="R388" i="9" s="1"/>
  <c r="N389" i="9" s="1"/>
  <c r="S388" i="9" l="1"/>
  <c r="O389" i="9" s="1"/>
  <c r="T388" i="9" l="1"/>
  <c r="P389" i="9" s="1"/>
  <c r="Q389" i="9" s="1"/>
  <c r="U389" i="9" s="1"/>
  <c r="R389" i="9" s="1"/>
  <c r="N390" i="9" s="1"/>
  <c r="S389" i="9" l="1"/>
  <c r="O390" i="9" s="1"/>
  <c r="T389" i="9" l="1"/>
  <c r="P390" i="9" s="1"/>
  <c r="Q390" i="9" s="1"/>
  <c r="U390" i="9" s="1"/>
  <c r="R390" i="9" l="1"/>
  <c r="N391" i="9" s="1"/>
  <c r="S390" i="9" l="1"/>
  <c r="O391" i="9" s="1"/>
  <c r="T390" i="9" l="1"/>
  <c r="P391" i="9" s="1"/>
  <c r="Q391" i="9" s="1"/>
  <c r="U391" i="9" s="1"/>
  <c r="R391" i="9" l="1"/>
  <c r="N392" i="9" s="1"/>
  <c r="S391" i="9" l="1"/>
  <c r="O392" i="9" s="1"/>
  <c r="T391" i="9" l="1"/>
  <c r="P392" i="9" s="1"/>
  <c r="Q392" i="9" s="1"/>
  <c r="U392" i="9" s="1"/>
  <c r="R392" i="9" l="1"/>
  <c r="N393" i="9" s="1"/>
  <c r="S392" i="9" l="1"/>
  <c r="O393" i="9" s="1"/>
  <c r="T392" i="9" l="1"/>
  <c r="P393" i="9" s="1"/>
  <c r="Q393" i="9" s="1"/>
  <c r="U393" i="9" s="1"/>
  <c r="R393" i="9" l="1"/>
  <c r="N394" i="9" s="1"/>
  <c r="S393" i="9" l="1"/>
  <c r="O394" i="9" s="1"/>
  <c r="T393" i="9" l="1"/>
  <c r="P394" i="9" s="1"/>
  <c r="Q394" i="9" s="1"/>
  <c r="U394" i="9" s="1"/>
  <c r="R394" i="9" l="1"/>
  <c r="N395" i="9" s="1"/>
  <c r="S394" i="9" l="1"/>
  <c r="O395" i="9" s="1"/>
  <c r="T394" i="9" l="1"/>
  <c r="P395" i="9" s="1"/>
  <c r="Q395" i="9" s="1"/>
  <c r="U395" i="9" s="1"/>
  <c r="R395" i="9" s="1"/>
  <c r="N396" i="9" s="1"/>
  <c r="S395" i="9" l="1"/>
  <c r="O396" i="9" s="1"/>
  <c r="T395" i="9" l="1"/>
  <c r="P396" i="9" s="1"/>
  <c r="Q396" i="9"/>
  <c r="U396" i="9" s="1"/>
  <c r="R396" i="9" s="1"/>
  <c r="N397" i="9" s="1"/>
  <c r="S396" i="9" l="1"/>
  <c r="O397" i="9" s="1"/>
  <c r="T396" i="9" l="1"/>
  <c r="P397" i="9" s="1"/>
  <c r="Q397" i="9" s="1"/>
  <c r="U397" i="9" s="1"/>
  <c r="R397" i="9" l="1"/>
  <c r="N398" i="9" s="1"/>
  <c r="S397" i="9" l="1"/>
  <c r="O398" i="9" s="1"/>
  <c r="T397" i="9" l="1"/>
  <c r="P398" i="9" s="1"/>
  <c r="Q398" i="9" s="1"/>
  <c r="U398" i="9" s="1"/>
  <c r="R398" i="9" l="1"/>
  <c r="N399" i="9" s="1"/>
  <c r="S398" i="9" l="1"/>
  <c r="O399" i="9" s="1"/>
  <c r="T398" i="9" l="1"/>
  <c r="P399" i="9" s="1"/>
  <c r="Q399" i="9" s="1"/>
  <c r="U399" i="9" s="1"/>
  <c r="R399" i="9" l="1"/>
  <c r="N400" i="9" s="1"/>
  <c r="S399" i="9" l="1"/>
  <c r="O400" i="9" s="1"/>
  <c r="T399" i="9" l="1"/>
  <c r="P400" i="9" s="1"/>
  <c r="Q400" i="9" s="1"/>
  <c r="U400" i="9" s="1"/>
  <c r="R400" i="9" l="1"/>
  <c r="N401" i="9" s="1"/>
  <c r="S400" i="9" l="1"/>
  <c r="O401" i="9" s="1"/>
  <c r="T400" i="9" l="1"/>
  <c r="P401" i="9" s="1"/>
  <c r="Q401" i="9" s="1"/>
  <c r="U401" i="9" s="1"/>
  <c r="R401" i="9" s="1"/>
  <c r="N402" i="9" s="1"/>
  <c r="S401" i="9" l="1"/>
  <c r="O402" i="9" s="1"/>
  <c r="T401" i="9" l="1"/>
  <c r="P402" i="9" s="1"/>
  <c r="Q402" i="9" s="1"/>
  <c r="U402" i="9" s="1"/>
  <c r="R402" i="9" l="1"/>
  <c r="N403" i="9" s="1"/>
  <c r="S402" i="9" l="1"/>
  <c r="O403" i="9" s="1"/>
  <c r="T402" i="9" l="1"/>
  <c r="P403" i="9" s="1"/>
  <c r="Q403" i="9"/>
  <c r="U403" i="9" s="1"/>
  <c r="R403" i="9" s="1"/>
  <c r="N404" i="9" s="1"/>
  <c r="S403" i="9" l="1"/>
  <c r="O404" i="9" s="1"/>
  <c r="T403" i="9" l="1"/>
  <c r="P404" i="9" s="1"/>
  <c r="Q404" i="9" s="1"/>
  <c r="U404" i="9" s="1"/>
  <c r="R404" i="9" l="1"/>
  <c r="N405" i="9" s="1"/>
  <c r="S404" i="9" l="1"/>
  <c r="O405" i="9" s="1"/>
  <c r="T404" i="9" l="1"/>
  <c r="P405" i="9" s="1"/>
  <c r="Q405" i="9" s="1"/>
  <c r="U405" i="9" s="1"/>
  <c r="R405" i="9" l="1"/>
  <c r="N406" i="9" s="1"/>
  <c r="S405" i="9" l="1"/>
  <c r="O406" i="9" s="1"/>
  <c r="T405" i="9" l="1"/>
  <c r="P406" i="9" s="1"/>
  <c r="Q406" i="9" s="1"/>
  <c r="U406" i="9" s="1"/>
  <c r="R406" i="9" l="1"/>
  <c r="N407" i="9" s="1"/>
  <c r="S406" i="9" l="1"/>
  <c r="O407" i="9" s="1"/>
  <c r="T406" i="9" l="1"/>
  <c r="P407" i="9" s="1"/>
  <c r="Q407" i="9" s="1"/>
  <c r="U407" i="9" s="1"/>
  <c r="R407" i="9" l="1"/>
  <c r="N408" i="9" s="1"/>
  <c r="S407" i="9" l="1"/>
  <c r="O408" i="9" s="1"/>
  <c r="T407" i="9" l="1"/>
  <c r="P408" i="9" s="1"/>
  <c r="Q408" i="9" s="1"/>
  <c r="U408" i="9" s="1"/>
  <c r="R408" i="9" l="1"/>
  <c r="N409" i="9" s="1"/>
  <c r="S408" i="9" l="1"/>
  <c r="O409" i="9" s="1"/>
  <c r="T408" i="9" l="1"/>
  <c r="P409" i="9" s="1"/>
  <c r="Q409" i="9" s="1"/>
  <c r="U409" i="9" s="1"/>
  <c r="R409" i="9" l="1"/>
  <c r="N410" i="9" s="1"/>
  <c r="S409" i="9" l="1"/>
  <c r="O410" i="9" s="1"/>
  <c r="T409" i="9" l="1"/>
  <c r="P410" i="9" s="1"/>
  <c r="Q410" i="9" s="1"/>
  <c r="U410" i="9" s="1"/>
  <c r="R410" i="9" s="1"/>
  <c r="N411" i="9" s="1"/>
  <c r="S410" i="9" l="1"/>
  <c r="O411" i="9" s="1"/>
  <c r="T410" i="9" l="1"/>
  <c r="P411" i="9" s="1"/>
  <c r="Q411" i="9" s="1"/>
  <c r="U411" i="9" s="1"/>
  <c r="R411" i="9" s="1"/>
  <c r="N412" i="9" s="1"/>
  <c r="S411" i="9" l="1"/>
  <c r="O412" i="9" s="1"/>
  <c r="T411" i="9" l="1"/>
  <c r="P412" i="9" s="1"/>
  <c r="Q412" i="9" s="1"/>
  <c r="U412" i="9" s="1"/>
  <c r="R412" i="9" s="1"/>
  <c r="N413" i="9" l="1"/>
  <c r="S412" i="9"/>
  <c r="O413" i="9" s="1"/>
  <c r="T412" i="9" l="1"/>
  <c r="P413" i="9" s="1"/>
  <c r="Q413" i="9" s="1"/>
  <c r="U413" i="9" s="1"/>
  <c r="R413" i="9" s="1"/>
  <c r="N414" i="9" s="1"/>
  <c r="S413" i="9" l="1"/>
  <c r="O414" i="9" s="1"/>
  <c r="T413" i="9" l="1"/>
  <c r="P414" i="9" s="1"/>
  <c r="Q414" i="9" s="1"/>
  <c r="U414" i="9" s="1"/>
  <c r="R414" i="9" s="1"/>
  <c r="N415" i="9" s="1"/>
  <c r="S414" i="9" l="1"/>
  <c r="O415" i="9" s="1"/>
  <c r="T414" i="9" l="1"/>
  <c r="P415" i="9" s="1"/>
  <c r="Q415" i="9" s="1"/>
  <c r="U415" i="9" s="1"/>
  <c r="R415" i="9" l="1"/>
  <c r="N416" i="9" s="1"/>
  <c r="S415" i="9" l="1"/>
  <c r="O416" i="9" s="1"/>
  <c r="T415" i="9" l="1"/>
  <c r="P416" i="9" s="1"/>
  <c r="Q416" i="9" s="1"/>
  <c r="U416" i="9" s="1"/>
  <c r="R416" i="9" s="1"/>
  <c r="N417" i="9" s="1"/>
  <c r="S416" i="9" l="1"/>
  <c r="O417" i="9" s="1"/>
  <c r="T416" i="9" l="1"/>
  <c r="P417" i="9" s="1"/>
  <c r="Q417" i="9" s="1"/>
  <c r="U417" i="9" s="1"/>
  <c r="R417" i="9" s="1"/>
  <c r="N418" i="9" s="1"/>
  <c r="S417" i="9" l="1"/>
  <c r="O418" i="9" s="1"/>
  <c r="T417" i="9" l="1"/>
  <c r="P418" i="9" s="1"/>
  <c r="Q418" i="9" s="1"/>
  <c r="U418" i="9" s="1"/>
  <c r="R418" i="9" s="1"/>
  <c r="N419" i="9" s="1"/>
  <c r="S418" i="9" l="1"/>
  <c r="O419" i="9" s="1"/>
  <c r="T418" i="9" l="1"/>
  <c r="P419" i="9" s="1"/>
  <c r="Q419" i="9" s="1"/>
  <c r="U419" i="9" s="1"/>
  <c r="R419" i="9" l="1"/>
  <c r="N420" i="9" s="1"/>
  <c r="S419" i="9" l="1"/>
  <c r="O420" i="9" s="1"/>
  <c r="T419" i="9" l="1"/>
  <c r="P420" i="9" s="1"/>
  <c r="Q420" i="9" s="1"/>
  <c r="U420" i="9" s="1"/>
  <c r="R420" i="9" l="1"/>
  <c r="N421" i="9" s="1"/>
  <c r="S420" i="9" l="1"/>
  <c r="O421" i="9" s="1"/>
  <c r="T420" i="9" l="1"/>
  <c r="P421" i="9" s="1"/>
  <c r="Q421" i="9" s="1"/>
  <c r="U421" i="9" s="1"/>
  <c r="R421" i="9" s="1"/>
  <c r="N422" i="9" l="1"/>
  <c r="S421" i="9"/>
  <c r="O422" i="9" s="1"/>
  <c r="T421" i="9" l="1"/>
  <c r="P422" i="9" s="1"/>
  <c r="Q422" i="9" s="1"/>
  <c r="U422" i="9" s="1"/>
  <c r="R422" i="9" s="1"/>
  <c r="N423" i="9" s="1"/>
  <c r="S422" i="9" l="1"/>
  <c r="O423" i="9" s="1"/>
  <c r="T422" i="9" l="1"/>
  <c r="P423" i="9" s="1"/>
  <c r="Q423" i="9" s="1"/>
  <c r="U423" i="9" s="1"/>
  <c r="R423" i="9" s="1"/>
  <c r="N424" i="9" s="1"/>
  <c r="S423" i="9" l="1"/>
  <c r="O424" i="9" s="1"/>
  <c r="T423" i="9" l="1"/>
  <c r="P424" i="9" s="1"/>
  <c r="Q424" i="9" s="1"/>
  <c r="U424" i="9" s="1"/>
  <c r="R424" i="9" s="1"/>
  <c r="N425" i="9" s="1"/>
  <c r="S424" i="9" l="1"/>
  <c r="O425" i="9" s="1"/>
  <c r="T424" i="9" l="1"/>
  <c r="P425" i="9" s="1"/>
  <c r="Q425" i="9" s="1"/>
  <c r="U425" i="9" s="1"/>
  <c r="R425" i="9" l="1"/>
  <c r="N426" i="9" s="1"/>
  <c r="S425" i="9" l="1"/>
  <c r="O426" i="9" s="1"/>
  <c r="T425" i="9" l="1"/>
  <c r="P426" i="9" s="1"/>
  <c r="Q426" i="9" s="1"/>
  <c r="U426" i="9" s="1"/>
  <c r="R426" i="9" l="1"/>
  <c r="N427" i="9" s="1"/>
  <c r="S426" i="9" l="1"/>
  <c r="O427" i="9" s="1"/>
  <c r="T426" i="9" l="1"/>
  <c r="P427" i="9" s="1"/>
  <c r="Q427" i="9" s="1"/>
  <c r="U427" i="9" s="1"/>
  <c r="R427" i="9" l="1"/>
  <c r="N428" i="9" s="1"/>
  <c r="S427" i="9" l="1"/>
  <c r="O428" i="9" s="1"/>
  <c r="T427" i="9" l="1"/>
  <c r="P428" i="9" s="1"/>
  <c r="Q428" i="9" s="1"/>
  <c r="U428" i="9" s="1"/>
  <c r="R428" i="9" l="1"/>
  <c r="N429" i="9" s="1"/>
  <c r="S428" i="9" l="1"/>
  <c r="O429" i="9" s="1"/>
  <c r="T428" i="9" l="1"/>
  <c r="P429" i="9" s="1"/>
  <c r="Q429" i="9" s="1"/>
  <c r="U429" i="9" s="1"/>
  <c r="R429" i="9" l="1"/>
  <c r="N430" i="9" s="1"/>
  <c r="S429" i="9" l="1"/>
  <c r="O430" i="9" s="1"/>
  <c r="T429" i="9" l="1"/>
  <c r="P430" i="9" s="1"/>
  <c r="Q430" i="9" s="1"/>
  <c r="U430" i="9" s="1"/>
  <c r="R430" i="9" s="1"/>
  <c r="N431" i="9" s="1"/>
  <c r="S430" i="9" l="1"/>
  <c r="O431" i="9" s="1"/>
  <c r="T430" i="9" l="1"/>
  <c r="P431" i="9" s="1"/>
  <c r="Q431" i="9" s="1"/>
  <c r="U431" i="9" s="1"/>
  <c r="R431" i="9" l="1"/>
  <c r="N432" i="9" s="1"/>
  <c r="S431" i="9" l="1"/>
  <c r="O432" i="9" s="1"/>
  <c r="T431" i="9" l="1"/>
  <c r="P432" i="9" s="1"/>
  <c r="Q432" i="9" s="1"/>
  <c r="U432" i="9" s="1"/>
  <c r="R432" i="9" l="1"/>
  <c r="N433" i="9" s="1"/>
  <c r="S432" i="9" l="1"/>
  <c r="O433" i="9" s="1"/>
  <c r="T432" i="9" l="1"/>
  <c r="P433" i="9" s="1"/>
  <c r="Q433" i="9" s="1"/>
  <c r="U433" i="9" s="1"/>
  <c r="R433" i="9" l="1"/>
  <c r="N434" i="9" s="1"/>
  <c r="S433" i="9" l="1"/>
  <c r="O434" i="9" l="1"/>
  <c r="T433" i="9"/>
  <c r="P434" i="9" s="1"/>
  <c r="Q434" i="9" l="1"/>
  <c r="U434" i="9" s="1"/>
  <c r="R434" i="9" l="1"/>
  <c r="N435" i="9" s="1"/>
  <c r="S434" i="9" l="1"/>
  <c r="O435" i="9" s="1"/>
  <c r="T434" i="9" l="1"/>
  <c r="P435" i="9" s="1"/>
  <c r="Q435" i="9" s="1"/>
  <c r="U435" i="9" s="1"/>
  <c r="R435" i="9" l="1"/>
  <c r="N436" i="9" s="1"/>
  <c r="S435" i="9" l="1"/>
  <c r="O436" i="9" s="1"/>
  <c r="T435" i="9" l="1"/>
  <c r="P436" i="9" s="1"/>
  <c r="Q436" i="9" s="1"/>
  <c r="U436" i="9" s="1"/>
  <c r="R436" i="9" s="1"/>
  <c r="N437" i="9" s="1"/>
  <c r="S436" i="9" l="1"/>
  <c r="O437" i="9" s="1"/>
  <c r="T436" i="9" l="1"/>
  <c r="P437" i="9" s="1"/>
  <c r="Q437" i="9" s="1"/>
  <c r="U437" i="9" s="1"/>
  <c r="R437" i="9" s="1"/>
  <c r="N438" i="9" s="1"/>
  <c r="S437" i="9" l="1"/>
  <c r="O438" i="9" s="1"/>
  <c r="T437" i="9" l="1"/>
  <c r="P438" i="9" s="1"/>
  <c r="Q438" i="9" s="1"/>
  <c r="U438" i="9" s="1"/>
  <c r="R438" i="9" s="1"/>
  <c r="N439" i="9" s="1"/>
  <c r="S438" i="9" l="1"/>
  <c r="O439" i="9" s="1"/>
  <c r="T438" i="9" l="1"/>
  <c r="P439" i="9" s="1"/>
  <c r="Q439" i="9" s="1"/>
  <c r="U439" i="9" s="1"/>
  <c r="R439" i="9" s="1"/>
  <c r="N440" i="9" s="1"/>
  <c r="S439" i="9" l="1"/>
  <c r="O440" i="9" s="1"/>
  <c r="T439" i="9" l="1"/>
  <c r="P440" i="9" s="1"/>
  <c r="Q440" i="9" s="1"/>
  <c r="U440" i="9" s="1"/>
  <c r="R440" i="9" s="1"/>
  <c r="N441" i="9" s="1"/>
  <c r="S440" i="9" l="1"/>
  <c r="O441" i="9" s="1"/>
  <c r="T440" i="9" l="1"/>
  <c r="P441" i="9" s="1"/>
  <c r="Q441" i="9" s="1"/>
  <c r="U441" i="9" s="1"/>
  <c r="R441" i="9" l="1"/>
  <c r="N442" i="9" s="1"/>
  <c r="S441" i="9" l="1"/>
  <c r="O442" i="9" s="1"/>
  <c r="T441" i="9" l="1"/>
  <c r="P442" i="9" s="1"/>
  <c r="Q442" i="9" s="1"/>
  <c r="U442" i="9" s="1"/>
  <c r="R442" i="9" s="1"/>
  <c r="N443" i="9" s="1"/>
  <c r="S442" i="9" l="1"/>
  <c r="O443" i="9" s="1"/>
  <c r="T442" i="9" l="1"/>
  <c r="P443" i="9" s="1"/>
  <c r="Q443" i="9" s="1"/>
  <c r="U443" i="9" s="1"/>
  <c r="R443" i="9" l="1"/>
  <c r="N444" i="9" s="1"/>
  <c r="S443" i="9" l="1"/>
  <c r="O444" i="9" s="1"/>
  <c r="T443" i="9" l="1"/>
  <c r="P444" i="9" s="1"/>
  <c r="Q444" i="9" s="1"/>
  <c r="U444" i="9" s="1"/>
  <c r="R444" i="9" s="1"/>
  <c r="N445" i="9" l="1"/>
  <c r="S444" i="9"/>
  <c r="O445" i="9" s="1"/>
  <c r="T444" i="9" l="1"/>
  <c r="P445" i="9" s="1"/>
  <c r="Q445" i="9" s="1"/>
  <c r="U445" i="9" s="1"/>
  <c r="R445" i="9" s="1"/>
  <c r="N446" i="9" s="1"/>
  <c r="S445" i="9" l="1"/>
  <c r="O446" i="9" s="1"/>
  <c r="T445" i="9" l="1"/>
  <c r="P446" i="9" s="1"/>
  <c r="Q446" i="9" s="1"/>
  <c r="U446" i="9" s="1"/>
  <c r="R446" i="9" l="1"/>
  <c r="N447" i="9" s="1"/>
  <c r="S446" i="9" l="1"/>
  <c r="O447" i="9" s="1"/>
  <c r="T446" i="9" l="1"/>
  <c r="P447" i="9" s="1"/>
  <c r="Q447" i="9" s="1"/>
  <c r="U447" i="9" s="1"/>
  <c r="R447" i="9" s="1"/>
  <c r="N448" i="9" s="1"/>
  <c r="S447" i="9" l="1"/>
  <c r="O448" i="9" s="1"/>
  <c r="T447" i="9" l="1"/>
  <c r="P448" i="9" s="1"/>
  <c r="Q448" i="9" s="1"/>
  <c r="U448" i="9" s="1"/>
  <c r="R448" i="9" l="1"/>
  <c r="N449" i="9" s="1"/>
  <c r="S448" i="9" l="1"/>
  <c r="O449" i="9" s="1"/>
  <c r="T448" i="9" l="1"/>
  <c r="P449" i="9" s="1"/>
  <c r="Q449" i="9" s="1"/>
  <c r="U449" i="9" s="1"/>
  <c r="R449" i="9" s="1"/>
  <c r="N450" i="9" s="1"/>
  <c r="S449" i="9" l="1"/>
  <c r="O450" i="9" s="1"/>
  <c r="T449" i="9" l="1"/>
  <c r="P450" i="9" s="1"/>
  <c r="Q450" i="9" s="1"/>
  <c r="U450" i="9" s="1"/>
  <c r="R450" i="9" s="1"/>
  <c r="N451" i="9" s="1"/>
  <c r="S450" i="9" l="1"/>
  <c r="O451" i="9" s="1"/>
  <c r="T450" i="9" l="1"/>
  <c r="P451" i="9" s="1"/>
  <c r="Q451" i="9" s="1"/>
  <c r="U451" i="9" s="1"/>
  <c r="R451" i="9" l="1"/>
  <c r="N452" i="9" s="1"/>
  <c r="S451" i="9" l="1"/>
  <c r="O452" i="9" s="1"/>
  <c r="T451" i="9" l="1"/>
  <c r="P452" i="9" s="1"/>
  <c r="Q452" i="9" s="1"/>
  <c r="U452" i="9" s="1"/>
  <c r="R452" i="9" l="1"/>
  <c r="N453" i="9" s="1"/>
  <c r="S452" i="9" l="1"/>
  <c r="O453" i="9" s="1"/>
  <c r="T452" i="9" l="1"/>
  <c r="P453" i="9" s="1"/>
  <c r="Q453" i="9" s="1"/>
  <c r="U453" i="9" s="1"/>
  <c r="R453" i="9" l="1"/>
  <c r="N454" i="9" s="1"/>
  <c r="S453" i="9" l="1"/>
  <c r="O454" i="9" s="1"/>
  <c r="T453" i="9" l="1"/>
  <c r="P454" i="9" s="1"/>
  <c r="Q454" i="9" s="1"/>
  <c r="U454" i="9" s="1"/>
  <c r="R454" i="9" s="1"/>
  <c r="N455" i="9" s="1"/>
  <c r="S454" i="9" l="1"/>
  <c r="O455" i="9" s="1"/>
  <c r="T454" i="9" l="1"/>
  <c r="P455" i="9" s="1"/>
  <c r="Q455" i="9" s="1"/>
  <c r="U455" i="9" s="1"/>
  <c r="R455" i="9" s="1"/>
  <c r="N456" i="9" s="1"/>
  <c r="S455" i="9" l="1"/>
  <c r="O456" i="9" s="1"/>
  <c r="T455" i="9" l="1"/>
  <c r="P456" i="9" s="1"/>
  <c r="Q456" i="9" s="1"/>
  <c r="U456" i="9" s="1"/>
  <c r="R456" i="9" l="1"/>
  <c r="N457" i="9" s="1"/>
  <c r="S456" i="9" l="1"/>
  <c r="O457" i="9" s="1"/>
  <c r="T456" i="9" l="1"/>
  <c r="P457" i="9" s="1"/>
  <c r="Q457" i="9" s="1"/>
  <c r="U457" i="9" s="1"/>
  <c r="R457" i="9" l="1"/>
  <c r="N458" i="9" s="1"/>
  <c r="S457" i="9" l="1"/>
  <c r="O458" i="9" s="1"/>
  <c r="T457" i="9" l="1"/>
  <c r="P458" i="9" s="1"/>
  <c r="Q458" i="9" s="1"/>
  <c r="U458" i="9" s="1"/>
  <c r="R458" i="9" l="1"/>
  <c r="N459" i="9" s="1"/>
  <c r="S458" i="9" l="1"/>
  <c r="O459" i="9" s="1"/>
  <c r="T458" i="9" l="1"/>
  <c r="P459" i="9" s="1"/>
  <c r="Q459" i="9" s="1"/>
  <c r="U459" i="9" s="1"/>
  <c r="R459" i="9" l="1"/>
  <c r="N460" i="9" s="1"/>
  <c r="S459" i="9" l="1"/>
  <c r="O460" i="9" s="1"/>
  <c r="T459" i="9" l="1"/>
  <c r="P460" i="9" s="1"/>
  <c r="Q460" i="9" s="1"/>
  <c r="U460" i="9" s="1"/>
  <c r="R460" i="9" l="1"/>
  <c r="N461" i="9" s="1"/>
  <c r="S460" i="9" l="1"/>
  <c r="O461" i="9" s="1"/>
  <c r="T460" i="9" l="1"/>
  <c r="P461" i="9" s="1"/>
  <c r="Q461" i="9" s="1"/>
  <c r="U461" i="9" s="1"/>
  <c r="R461" i="9" l="1"/>
  <c r="N462" i="9" s="1"/>
  <c r="S461" i="9" l="1"/>
  <c r="O462" i="9" s="1"/>
  <c r="T461" i="9" l="1"/>
  <c r="P462" i="9" s="1"/>
  <c r="Q462" i="9" s="1"/>
  <c r="U462" i="9" s="1"/>
  <c r="R462" i="9" l="1"/>
  <c r="N463" i="9" s="1"/>
  <c r="S462" i="9" l="1"/>
  <c r="O463" i="9" s="1"/>
  <c r="T462" i="9" l="1"/>
  <c r="P463" i="9" s="1"/>
  <c r="Q463" i="9" s="1"/>
  <c r="U463" i="9" s="1"/>
  <c r="R463" i="9" s="1"/>
  <c r="N464" i="9" s="1"/>
  <c r="S463" i="9" l="1"/>
  <c r="O464" i="9" s="1"/>
  <c r="T463" i="9" l="1"/>
  <c r="P464" i="9" s="1"/>
  <c r="Q464" i="9" s="1"/>
  <c r="U464" i="9" s="1"/>
  <c r="R464" i="9" l="1"/>
  <c r="N465" i="9" s="1"/>
  <c r="S464" i="9" l="1"/>
  <c r="O465" i="9" s="1"/>
  <c r="T464" i="9" l="1"/>
  <c r="P465" i="9" s="1"/>
  <c r="Q465" i="9" s="1"/>
  <c r="U465" i="9" s="1"/>
  <c r="R465" i="9" l="1"/>
  <c r="N466" i="9" s="1"/>
  <c r="S465" i="9" l="1"/>
  <c r="O466" i="9" s="1"/>
  <c r="T465" i="9" l="1"/>
  <c r="P466" i="9" s="1"/>
  <c r="Q466" i="9" s="1"/>
  <c r="U466" i="9" s="1"/>
  <c r="R466" i="9" l="1"/>
  <c r="N467" i="9" s="1"/>
  <c r="S466" i="9" l="1"/>
  <c r="O467" i="9" s="1"/>
  <c r="T466" i="9" l="1"/>
  <c r="P467" i="9" s="1"/>
  <c r="Q467" i="9" s="1"/>
  <c r="U467" i="9" s="1"/>
  <c r="R467" i="9" l="1"/>
  <c r="N468" i="9" s="1"/>
  <c r="S467" i="9" l="1"/>
  <c r="O468" i="9" s="1"/>
  <c r="T467" i="9" l="1"/>
  <c r="P468" i="9" s="1"/>
  <c r="Q468" i="9" s="1"/>
  <c r="U468" i="9" s="1"/>
  <c r="R468" i="9" l="1"/>
  <c r="N469" i="9" s="1"/>
  <c r="S468" i="9" l="1"/>
  <c r="O469" i="9" s="1"/>
  <c r="T468" i="9" l="1"/>
  <c r="P469" i="9" s="1"/>
  <c r="Q469" i="9" s="1"/>
  <c r="U469" i="9" s="1"/>
  <c r="R469" i="9" l="1"/>
  <c r="N470" i="9" s="1"/>
  <c r="S469" i="9" l="1"/>
  <c r="O470" i="9" s="1"/>
  <c r="T469" i="9" l="1"/>
  <c r="P470" i="9" s="1"/>
  <c r="Q470" i="9" s="1"/>
  <c r="U470" i="9" s="1"/>
  <c r="R470" i="9" l="1"/>
  <c r="N471" i="9" s="1"/>
  <c r="S470" i="9" l="1"/>
  <c r="O471" i="9" s="1"/>
  <c r="T470" i="9" l="1"/>
  <c r="P471" i="9" s="1"/>
  <c r="Q471" i="9" s="1"/>
  <c r="U471" i="9" s="1"/>
  <c r="R471" i="9" l="1"/>
  <c r="N472" i="9" s="1"/>
  <c r="S471" i="9" l="1"/>
  <c r="O472" i="9" s="1"/>
  <c r="T471" i="9" l="1"/>
  <c r="P472" i="9" s="1"/>
  <c r="Q472" i="9" s="1"/>
  <c r="U472" i="9" s="1"/>
  <c r="R472" i="9" l="1"/>
  <c r="N473" i="9" s="1"/>
  <c r="S472" i="9" l="1"/>
  <c r="O473" i="9" s="1"/>
  <c r="T472" i="9" l="1"/>
  <c r="P473" i="9" s="1"/>
  <c r="Q473" i="9" s="1"/>
  <c r="U473" i="9" s="1"/>
  <c r="R473" i="9" l="1"/>
  <c r="N474" i="9" s="1"/>
  <c r="S473" i="9" l="1"/>
  <c r="O474" i="9" s="1"/>
  <c r="T473" i="9" l="1"/>
  <c r="P474" i="9" s="1"/>
  <c r="Q474" i="9" s="1"/>
  <c r="U474" i="9" s="1"/>
  <c r="R474" i="9" l="1"/>
  <c r="N475" i="9" s="1"/>
  <c r="S474" i="9" l="1"/>
  <c r="O475" i="9" s="1"/>
  <c r="T474" i="9" l="1"/>
  <c r="P475" i="9" s="1"/>
  <c r="Q475" i="9" s="1"/>
  <c r="U475" i="9" s="1"/>
  <c r="R475" i="9" s="1"/>
  <c r="N476" i="9" s="1"/>
  <c r="S475" i="9" l="1"/>
  <c r="O476" i="9" s="1"/>
  <c r="T475" i="9" l="1"/>
  <c r="P476" i="9" s="1"/>
  <c r="Q476" i="9" s="1"/>
  <c r="U476" i="9" s="1"/>
  <c r="R476" i="9" l="1"/>
  <c r="N477" i="9" s="1"/>
  <c r="S476" i="9" l="1"/>
  <c r="O477" i="9" s="1"/>
  <c r="T476" i="9" l="1"/>
  <c r="P477" i="9" s="1"/>
  <c r="Q477" i="9" s="1"/>
  <c r="U477" i="9" s="1"/>
  <c r="R477" i="9" l="1"/>
  <c r="N478" i="9" s="1"/>
  <c r="S477" i="9" l="1"/>
  <c r="O478" i="9" s="1"/>
  <c r="T477" i="9" l="1"/>
  <c r="P478" i="9" s="1"/>
  <c r="Q478" i="9" s="1"/>
  <c r="U478" i="9" s="1"/>
  <c r="R478" i="9" l="1"/>
  <c r="N479" i="9" s="1"/>
  <c r="S478" i="9" l="1"/>
  <c r="O479" i="9" s="1"/>
  <c r="T478" i="9" l="1"/>
  <c r="P479" i="9" s="1"/>
  <c r="Q479" i="9" s="1"/>
  <c r="U479" i="9" s="1"/>
  <c r="R479" i="9" l="1"/>
  <c r="N480" i="9" s="1"/>
  <c r="S479" i="9" l="1"/>
  <c r="O480" i="9" s="1"/>
  <c r="T479" i="9" l="1"/>
  <c r="P480" i="9" s="1"/>
  <c r="Q480" i="9" s="1"/>
  <c r="U480" i="9" s="1"/>
  <c r="R480" i="9" l="1"/>
  <c r="N481" i="9" s="1"/>
  <c r="S480" i="9" l="1"/>
  <c r="O481" i="9" s="1"/>
  <c r="T480" i="9" l="1"/>
  <c r="P481" i="9" s="1"/>
  <c r="Q481" i="9" s="1"/>
  <c r="U481" i="9" s="1"/>
  <c r="R481" i="9" l="1"/>
  <c r="N482" i="9" s="1"/>
  <c r="S481" i="9" l="1"/>
  <c r="O482" i="9" s="1"/>
  <c r="T481" i="9" l="1"/>
  <c r="P482" i="9" s="1"/>
  <c r="Q482" i="9" s="1"/>
  <c r="U482" i="9" s="1"/>
  <c r="R482" i="9" l="1"/>
  <c r="N483" i="9" s="1"/>
  <c r="S482" i="9" l="1"/>
  <c r="O483" i="9" s="1"/>
  <c r="T482" i="9" l="1"/>
  <c r="P483" i="9" s="1"/>
  <c r="Q483" i="9" s="1"/>
  <c r="U483" i="9" s="1"/>
  <c r="R483" i="9" l="1"/>
  <c r="N484" i="9" s="1"/>
  <c r="S483" i="9" l="1"/>
  <c r="O484" i="9" s="1"/>
  <c r="T483" i="9" l="1"/>
  <c r="P484" i="9" s="1"/>
  <c r="Q484" i="9" s="1"/>
  <c r="U484" i="9" s="1"/>
  <c r="R484" i="9" l="1"/>
  <c r="N485" i="9" s="1"/>
  <c r="S484" i="9" l="1"/>
  <c r="O485" i="9" s="1"/>
  <c r="T484" i="9" l="1"/>
  <c r="P485" i="9" s="1"/>
  <c r="Q485" i="9" s="1"/>
  <c r="U485" i="9" s="1"/>
  <c r="R485" i="9" l="1"/>
  <c r="N486" i="9" s="1"/>
  <c r="S485" i="9" l="1"/>
  <c r="O486" i="9" s="1"/>
  <c r="T485" i="9" l="1"/>
  <c r="P486" i="9" s="1"/>
  <c r="Q486" i="9" s="1"/>
  <c r="U486" i="9" s="1"/>
  <c r="R486" i="9" l="1"/>
  <c r="N487" i="9" s="1"/>
  <c r="S486" i="9" l="1"/>
  <c r="O487" i="9" s="1"/>
  <c r="T486" i="9" l="1"/>
  <c r="P487" i="9" s="1"/>
  <c r="Q487" i="9" s="1"/>
  <c r="U487" i="9" s="1"/>
  <c r="R487" i="9" s="1"/>
  <c r="N488" i="9" s="1"/>
  <c r="S487" i="9" l="1"/>
  <c r="O488" i="9" s="1"/>
  <c r="T487" i="9" l="1"/>
  <c r="P488" i="9" s="1"/>
  <c r="Q488" i="9" s="1"/>
  <c r="U488" i="9" s="1"/>
  <c r="R488" i="9" s="1"/>
  <c r="N489" i="9" s="1"/>
  <c r="S488" i="9" l="1"/>
  <c r="O489" i="9" s="1"/>
  <c r="T488" i="9" l="1"/>
  <c r="P489" i="9" s="1"/>
  <c r="Q489" i="9" s="1"/>
  <c r="U489" i="9" s="1"/>
  <c r="R489" i="9" l="1"/>
  <c r="N490" i="9" s="1"/>
  <c r="S489" i="9" l="1"/>
  <c r="O490" i="9" s="1"/>
  <c r="T489" i="9" l="1"/>
  <c r="P490" i="9" s="1"/>
  <c r="Q490" i="9" s="1"/>
  <c r="U490" i="9" s="1"/>
  <c r="R490" i="9" l="1"/>
  <c r="N491" i="9" s="1"/>
  <c r="S490" i="9" l="1"/>
  <c r="O491" i="9" s="1"/>
  <c r="T490" i="9" l="1"/>
  <c r="P491" i="9" s="1"/>
  <c r="Q491" i="9" s="1"/>
  <c r="U491" i="9" s="1"/>
  <c r="R491" i="9" l="1"/>
  <c r="N492" i="9" s="1"/>
  <c r="S491" i="9" l="1"/>
  <c r="O492" i="9" s="1"/>
  <c r="T491" i="9" l="1"/>
  <c r="P492" i="9" s="1"/>
  <c r="Q492" i="9" s="1"/>
  <c r="U492" i="9" s="1"/>
  <c r="R492" i="9" l="1"/>
  <c r="N493" i="9" s="1"/>
  <c r="S492" i="9" l="1"/>
  <c r="O493" i="9" s="1"/>
  <c r="T492" i="9" l="1"/>
  <c r="P493" i="9" s="1"/>
  <c r="Q493" i="9" s="1"/>
  <c r="U493" i="9" s="1"/>
  <c r="R493" i="9" s="1"/>
  <c r="N494" i="9" s="1"/>
  <c r="S493" i="9" l="1"/>
  <c r="O494" i="9" s="1"/>
  <c r="T493" i="9" l="1"/>
  <c r="P494" i="9" s="1"/>
  <c r="Q494" i="9" s="1"/>
  <c r="U494" i="9" s="1"/>
  <c r="R494" i="9" l="1"/>
  <c r="N495" i="9" s="1"/>
  <c r="S494" i="9" l="1"/>
  <c r="O495" i="9" s="1"/>
  <c r="T494" i="9" l="1"/>
  <c r="P495" i="9" s="1"/>
  <c r="Q495" i="9" s="1"/>
  <c r="U495" i="9" s="1"/>
  <c r="R495" i="9" l="1"/>
  <c r="N496" i="9" s="1"/>
  <c r="S495" i="9" l="1"/>
  <c r="O496" i="9" s="1"/>
  <c r="T495" i="9" l="1"/>
  <c r="P496" i="9" s="1"/>
  <c r="Q496" i="9" s="1"/>
  <c r="U496" i="9" s="1"/>
  <c r="R496" i="9" l="1"/>
  <c r="N497" i="9" s="1"/>
  <c r="S496" i="9" l="1"/>
  <c r="O497" i="9" s="1"/>
  <c r="T496" i="9" l="1"/>
  <c r="P497" i="9" s="1"/>
  <c r="Q497" i="9" s="1"/>
  <c r="U497" i="9" s="1"/>
  <c r="R497" i="9" s="1"/>
  <c r="N498" i="9" s="1"/>
  <c r="S497" i="9" l="1"/>
  <c r="O498" i="9" s="1"/>
  <c r="T497" i="9" l="1"/>
  <c r="P498" i="9" s="1"/>
  <c r="Q498" i="9" s="1"/>
  <c r="U498" i="9" s="1"/>
  <c r="R498" i="9" s="1"/>
  <c r="N499" i="9" s="1"/>
  <c r="S498" i="9" l="1"/>
  <c r="O499" i="9" s="1"/>
  <c r="T498" i="9" l="1"/>
  <c r="P499" i="9" s="1"/>
  <c r="Q499" i="9" s="1"/>
  <c r="U499" i="9" s="1"/>
  <c r="R499" i="9" l="1"/>
  <c r="N500" i="9" s="1"/>
  <c r="S499" i="9" l="1"/>
  <c r="O500" i="9" s="1"/>
  <c r="T499" i="9" l="1"/>
  <c r="P500" i="9" s="1"/>
  <c r="Q500" i="9" s="1"/>
  <c r="U500" i="9" s="1"/>
  <c r="R500" i="9" l="1"/>
  <c r="N501" i="9" s="1"/>
  <c r="S500" i="9" l="1"/>
  <c r="O501" i="9" s="1"/>
  <c r="T500" i="9" l="1"/>
  <c r="P501" i="9" s="1"/>
  <c r="Q501" i="9" s="1"/>
  <c r="U501" i="9" s="1"/>
  <c r="R501" i="9" l="1"/>
  <c r="N502" i="9" s="1"/>
  <c r="S501" i="9" l="1"/>
  <c r="O502" i="9" s="1"/>
  <c r="T501" i="9" l="1"/>
  <c r="P502" i="9" s="1"/>
  <c r="Q502" i="9" s="1"/>
  <c r="U502" i="9" s="1"/>
  <c r="R502" i="9" l="1"/>
  <c r="N503" i="9" s="1"/>
  <c r="S502" i="9" l="1"/>
  <c r="O503" i="9" s="1"/>
  <c r="T502" i="9" l="1"/>
  <c r="P503" i="9" s="1"/>
  <c r="Q503" i="9" s="1"/>
  <c r="U503" i="9" s="1"/>
  <c r="R503" i="9" l="1"/>
  <c r="N504" i="9" s="1"/>
  <c r="S503" i="9" l="1"/>
  <c r="O504" i="9" s="1"/>
  <c r="T503" i="9" l="1"/>
  <c r="P504" i="9" s="1"/>
  <c r="Q504" i="9" s="1"/>
  <c r="U504" i="9" s="1"/>
  <c r="R504" i="9" l="1"/>
  <c r="N505" i="9" s="1"/>
  <c r="S504" i="9" l="1"/>
  <c r="O505" i="9" s="1"/>
  <c r="T504" i="9" l="1"/>
  <c r="P505" i="9" s="1"/>
  <c r="Q505" i="9" s="1"/>
  <c r="U505" i="9" s="1"/>
  <c r="R505" i="9" l="1"/>
  <c r="N506" i="9" s="1"/>
  <c r="S505" i="9" l="1"/>
  <c r="O506" i="9" s="1"/>
  <c r="T505" i="9" l="1"/>
  <c r="P506" i="9" s="1"/>
  <c r="Q506" i="9" s="1"/>
  <c r="U506" i="9" s="1"/>
  <c r="R506" i="9" l="1"/>
  <c r="N507" i="9" s="1"/>
  <c r="S506" i="9" l="1"/>
  <c r="O507" i="9" s="1"/>
  <c r="T506" i="9" l="1"/>
  <c r="P507" i="9" s="1"/>
  <c r="Q507" i="9" s="1"/>
  <c r="U507" i="9" s="1"/>
  <c r="R507" i="9" s="1"/>
  <c r="N508" i="9" s="1"/>
  <c r="S507" i="9" l="1"/>
  <c r="O508" i="9" s="1"/>
  <c r="T507" i="9" l="1"/>
  <c r="P508" i="9" s="1"/>
  <c r="Q508" i="9" s="1"/>
  <c r="U508" i="9" s="1"/>
  <c r="R508" i="9" l="1"/>
  <c r="N509" i="9" s="1"/>
  <c r="S508" i="9" l="1"/>
  <c r="O509" i="9" s="1"/>
  <c r="T508" i="9" l="1"/>
  <c r="P509" i="9" s="1"/>
  <c r="Q509" i="9" s="1"/>
  <c r="U509" i="9" s="1"/>
  <c r="R509" i="9" s="1"/>
  <c r="N510" i="9" s="1"/>
  <c r="S509" i="9" l="1"/>
  <c r="O510" i="9" s="1"/>
  <c r="T509" i="9" l="1"/>
  <c r="P510" i="9" s="1"/>
  <c r="Q510" i="9" s="1"/>
  <c r="U510" i="9" s="1"/>
  <c r="R510" i="9" s="1"/>
  <c r="N511" i="9" s="1"/>
  <c r="S510" i="9" l="1"/>
  <c r="O511" i="9" s="1"/>
  <c r="T510" i="9" l="1"/>
  <c r="P511" i="9" s="1"/>
  <c r="Q511" i="9" s="1"/>
  <c r="U511" i="9" s="1"/>
  <c r="R511" i="9" l="1"/>
  <c r="N512" i="9" s="1"/>
  <c r="S511" i="9" l="1"/>
  <c r="O512" i="9" s="1"/>
  <c r="T511" i="9" l="1"/>
  <c r="P512" i="9" s="1"/>
  <c r="Q512" i="9" s="1"/>
  <c r="U512" i="9" s="1"/>
  <c r="R512" i="9" l="1"/>
  <c r="N513" i="9" s="1"/>
  <c r="S512" i="9" l="1"/>
  <c r="O513" i="9" s="1"/>
  <c r="T512" i="9" l="1"/>
  <c r="P513" i="9" s="1"/>
  <c r="Q513" i="9" s="1"/>
  <c r="U513" i="9" s="1"/>
  <c r="R513" i="9" l="1"/>
  <c r="N514" i="9" s="1"/>
  <c r="S513" i="9" l="1"/>
  <c r="O514" i="9" s="1"/>
  <c r="T513" i="9" l="1"/>
  <c r="P514" i="9" s="1"/>
  <c r="Q514" i="9" s="1"/>
  <c r="U514" i="9" s="1"/>
  <c r="R514" i="9" s="1"/>
  <c r="N515" i="9" s="1"/>
  <c r="S514" i="9" l="1"/>
  <c r="O515" i="9" s="1"/>
  <c r="T514" i="9" l="1"/>
  <c r="P515" i="9" s="1"/>
  <c r="Q515" i="9" s="1"/>
  <c r="U515" i="9" s="1"/>
  <c r="R515" i="9" l="1"/>
  <c r="N516" i="9" s="1"/>
  <c r="S515" i="9" l="1"/>
  <c r="O516" i="9" s="1"/>
  <c r="T515" i="9" l="1"/>
  <c r="P516" i="9" s="1"/>
  <c r="Q516" i="9" s="1"/>
  <c r="U516" i="9" s="1"/>
  <c r="R516" i="9" l="1"/>
  <c r="N517" i="9" s="1"/>
  <c r="S516" i="9" l="1"/>
  <c r="O517" i="9" s="1"/>
  <c r="T516" i="9" l="1"/>
  <c r="P517" i="9" s="1"/>
  <c r="Q517" i="9" s="1"/>
  <c r="U517" i="9" s="1"/>
  <c r="R517" i="9" l="1"/>
  <c r="N518" i="9" s="1"/>
  <c r="S517" i="9" l="1"/>
  <c r="O518" i="9" s="1"/>
  <c r="T517" i="9" l="1"/>
  <c r="P518" i="9" s="1"/>
  <c r="Q518" i="9" s="1"/>
  <c r="U518" i="9" s="1"/>
  <c r="R518" i="9" l="1"/>
  <c r="N519" i="9" s="1"/>
  <c r="S518" i="9" l="1"/>
  <c r="O519" i="9" s="1"/>
  <c r="T518" i="9" l="1"/>
  <c r="P519" i="9" s="1"/>
  <c r="Q519" i="9" s="1"/>
  <c r="U519" i="9" s="1"/>
  <c r="R519" i="9" s="1"/>
  <c r="N520" i="9" s="1"/>
  <c r="S519" i="9" l="1"/>
  <c r="O520" i="9" s="1"/>
  <c r="T519" i="9" l="1"/>
  <c r="P520" i="9" s="1"/>
  <c r="Q520" i="9" s="1"/>
  <c r="U520" i="9" s="1"/>
  <c r="R520" i="9" l="1"/>
  <c r="N521" i="9" s="1"/>
  <c r="S520" i="9" l="1"/>
  <c r="O521" i="9" s="1"/>
  <c r="T520" i="9" l="1"/>
  <c r="P521" i="9" s="1"/>
  <c r="Q521" i="9" s="1"/>
  <c r="U521" i="9" s="1"/>
  <c r="R521" i="9" s="1"/>
  <c r="N522" i="9" s="1"/>
  <c r="S521" i="9" l="1"/>
  <c r="O522" i="9" s="1"/>
  <c r="T521" i="9" l="1"/>
  <c r="P522" i="9" s="1"/>
  <c r="Q522" i="9" s="1"/>
  <c r="U522" i="9" s="1"/>
  <c r="R522" i="9" l="1"/>
  <c r="N523" i="9" s="1"/>
  <c r="S522" i="9" l="1"/>
  <c r="O523" i="9" s="1"/>
  <c r="T522" i="9" l="1"/>
  <c r="P523" i="9" s="1"/>
  <c r="Q523" i="9" s="1"/>
  <c r="U523" i="9" s="1"/>
  <c r="R523" i="9" s="1"/>
  <c r="N524" i="9" s="1"/>
  <c r="S523" i="9" l="1"/>
  <c r="O524" i="9" s="1"/>
  <c r="T523" i="9" l="1"/>
  <c r="P524" i="9" s="1"/>
  <c r="Q524" i="9" s="1"/>
  <c r="U524" i="9" s="1"/>
  <c r="R524" i="9" l="1"/>
  <c r="N525" i="9" s="1"/>
  <c r="S524" i="9" l="1"/>
  <c r="O525" i="9" s="1"/>
  <c r="T524" i="9" l="1"/>
  <c r="P525" i="9" s="1"/>
  <c r="Q525" i="9" s="1"/>
  <c r="U525" i="9" s="1"/>
  <c r="R525" i="9" l="1"/>
  <c r="N526" i="9" s="1"/>
  <c r="S525" i="9" l="1"/>
  <c r="O526" i="9" s="1"/>
  <c r="T525" i="9" l="1"/>
  <c r="P526" i="9" s="1"/>
  <c r="Q526" i="9" s="1"/>
  <c r="U526" i="9" s="1"/>
  <c r="R526" i="9" l="1"/>
  <c r="N527" i="9" s="1"/>
  <c r="S526" i="9" l="1"/>
  <c r="O527" i="9" s="1"/>
  <c r="T526" i="9" l="1"/>
  <c r="P527" i="9" s="1"/>
  <c r="Q527" i="9" s="1"/>
  <c r="U527" i="9" s="1"/>
  <c r="R527" i="9" s="1"/>
  <c r="N528" i="9" s="1"/>
  <c r="S527" i="9" l="1"/>
  <c r="O528" i="9" l="1"/>
  <c r="T527" i="9"/>
  <c r="P528" i="9" s="1"/>
  <c r="Q528" i="9" l="1"/>
  <c r="U528" i="9" s="1"/>
  <c r="R528" i="9" l="1"/>
  <c r="N529" i="9" s="1"/>
  <c r="S528" i="9" l="1"/>
  <c r="O529" i="9" s="1"/>
  <c r="T528" i="9" l="1"/>
  <c r="P529" i="9" s="1"/>
  <c r="Q529" i="9" s="1"/>
  <c r="U529" i="9" s="1"/>
  <c r="R529" i="9" l="1"/>
  <c r="N530" i="9" s="1"/>
  <c r="S529" i="9" l="1"/>
  <c r="O530" i="9" s="1"/>
  <c r="T529" i="9" l="1"/>
  <c r="P530" i="9" s="1"/>
  <c r="Q530" i="9" s="1"/>
  <c r="U530" i="9" s="1"/>
  <c r="R530" i="9" l="1"/>
  <c r="N531" i="9" s="1"/>
  <c r="S530" i="9" l="1"/>
  <c r="O531" i="9" s="1"/>
  <c r="T530" i="9" l="1"/>
  <c r="P531" i="9" s="1"/>
  <c r="Q531" i="9" s="1"/>
  <c r="U531" i="9" s="1"/>
  <c r="R531" i="9" l="1"/>
  <c r="N532" i="9" s="1"/>
  <c r="S531" i="9" l="1"/>
  <c r="O532" i="9" s="1"/>
  <c r="T531" i="9" l="1"/>
  <c r="P532" i="9" s="1"/>
  <c r="Q532" i="9" s="1"/>
  <c r="U532" i="9" s="1"/>
  <c r="R532" i="9" l="1"/>
  <c r="N533" i="9" s="1"/>
  <c r="S532" i="9" l="1"/>
  <c r="O533" i="9" s="1"/>
  <c r="T532" i="9" l="1"/>
  <c r="P533" i="9" s="1"/>
  <c r="Q533" i="9" s="1"/>
  <c r="U533" i="9" s="1"/>
  <c r="R533" i="9" l="1"/>
  <c r="N534" i="9" s="1"/>
  <c r="S533" i="9" l="1"/>
  <c r="O534" i="9" s="1"/>
  <c r="T533" i="9" l="1"/>
  <c r="P534" i="9" s="1"/>
  <c r="Q534" i="9" s="1"/>
  <c r="U534" i="9" s="1"/>
  <c r="R534" i="9" l="1"/>
  <c r="N535" i="9" s="1"/>
  <c r="S534" i="9" l="1"/>
  <c r="O535" i="9" s="1"/>
  <c r="T534" i="9" l="1"/>
  <c r="P535" i="9" s="1"/>
  <c r="Q535" i="9" s="1"/>
  <c r="U535" i="9" s="1"/>
  <c r="R535" i="9" s="1"/>
  <c r="N536" i="9" s="1"/>
  <c r="S535" i="9" l="1"/>
  <c r="O536" i="9" s="1"/>
  <c r="T535" i="9" l="1"/>
  <c r="P536" i="9" s="1"/>
  <c r="Q536" i="9" s="1"/>
  <c r="U536" i="9" s="1"/>
  <c r="R536" i="9" l="1"/>
  <c r="N537" i="9" s="1"/>
  <c r="S536" i="9" l="1"/>
  <c r="O537" i="9" s="1"/>
  <c r="T536" i="9" l="1"/>
  <c r="P537" i="9" s="1"/>
  <c r="Q537" i="9" s="1"/>
  <c r="U537" i="9" s="1"/>
  <c r="R537" i="9" s="1"/>
  <c r="N538" i="9" s="1"/>
  <c r="S537" i="9" l="1"/>
  <c r="O538" i="9" l="1"/>
  <c r="T537" i="9"/>
  <c r="P538" i="9" s="1"/>
  <c r="Q538" i="9" l="1"/>
  <c r="U538" i="9" s="1"/>
  <c r="R538" i="9" s="1"/>
  <c r="N539" i="9" s="1"/>
  <c r="S538" i="9" l="1"/>
  <c r="O539" i="9" s="1"/>
  <c r="T538" i="9" l="1"/>
  <c r="P539" i="9" s="1"/>
  <c r="Q539" i="9" s="1"/>
  <c r="U539" i="9" s="1"/>
  <c r="R539" i="9" l="1"/>
  <c r="N540" i="9" s="1"/>
  <c r="S539" i="9" l="1"/>
  <c r="O540" i="9" s="1"/>
  <c r="T539" i="9" l="1"/>
  <c r="P540" i="9" s="1"/>
  <c r="Q540" i="9" s="1"/>
  <c r="U540" i="9" s="1"/>
  <c r="R540" i="9" l="1"/>
  <c r="N541" i="9" s="1"/>
  <c r="S540" i="9" l="1"/>
  <c r="O541" i="9" l="1"/>
  <c r="T540" i="9"/>
  <c r="P541" i="9" s="1"/>
  <c r="Q541" i="9" l="1"/>
  <c r="U541" i="9" s="1"/>
  <c r="R541" i="9" s="1"/>
  <c r="N542" i="9" s="1"/>
  <c r="S541" i="9" l="1"/>
  <c r="O542" i="9" s="1"/>
  <c r="T541" i="9" l="1"/>
  <c r="P542" i="9" s="1"/>
  <c r="Q542" i="9" s="1"/>
  <c r="U542" i="9" s="1"/>
  <c r="R542" i="9" s="1"/>
  <c r="N543" i="9" s="1"/>
  <c r="S542" i="9" l="1"/>
  <c r="O543" i="9" s="1"/>
  <c r="T542" i="9" l="1"/>
  <c r="P543" i="9" s="1"/>
  <c r="Q543" i="9" s="1"/>
  <c r="U543" i="9" s="1"/>
  <c r="R543" i="9" l="1"/>
  <c r="N544" i="9" s="1"/>
  <c r="S543" i="9" l="1"/>
  <c r="O544" i="9" l="1"/>
  <c r="T543" i="9"/>
  <c r="P544" i="9" s="1"/>
  <c r="Q544" i="9" l="1"/>
  <c r="U544" i="9" s="1"/>
  <c r="R544" i="9" s="1"/>
  <c r="N545" i="9" s="1"/>
  <c r="S544" i="9" l="1"/>
  <c r="O545" i="9" s="1"/>
  <c r="T544" i="9" l="1"/>
  <c r="P545" i="9" s="1"/>
  <c r="Q545" i="9" s="1"/>
  <c r="U545" i="9" s="1"/>
  <c r="R545" i="9" s="1"/>
  <c r="N546" i="9" s="1"/>
  <c r="S545" i="9" l="1"/>
  <c r="O546" i="9" s="1"/>
  <c r="T545" i="9" l="1"/>
  <c r="P546" i="9" s="1"/>
  <c r="Q546" i="9" s="1"/>
  <c r="U546" i="9" s="1"/>
  <c r="R546" i="9" l="1"/>
  <c r="N547" i="9" s="1"/>
  <c r="S546" i="9" l="1"/>
  <c r="O547" i="9" s="1"/>
  <c r="T546" i="9" l="1"/>
  <c r="P547" i="9" s="1"/>
  <c r="Q547" i="9" s="1"/>
  <c r="U547" i="9" s="1"/>
  <c r="R547" i="9" l="1"/>
  <c r="N548" i="9" s="1"/>
  <c r="S547" i="9" l="1"/>
  <c r="O548" i="9" s="1"/>
  <c r="T547" i="9" l="1"/>
  <c r="P548" i="9" s="1"/>
  <c r="Q548" i="9" s="1"/>
  <c r="U548" i="9" s="1"/>
  <c r="R548" i="9" l="1"/>
  <c r="N549" i="9" s="1"/>
  <c r="S548" i="9" l="1"/>
  <c r="O549" i="9" s="1"/>
  <c r="T548" i="9" l="1"/>
  <c r="P549" i="9" s="1"/>
  <c r="Q549" i="9" s="1"/>
  <c r="U549" i="9" s="1"/>
  <c r="R549" i="9" l="1"/>
  <c r="N550" i="9" s="1"/>
  <c r="S549" i="9" l="1"/>
  <c r="O550" i="9" s="1"/>
  <c r="T549" i="9" l="1"/>
  <c r="P550" i="9" s="1"/>
  <c r="Q550" i="9" s="1"/>
  <c r="U550" i="9" s="1"/>
  <c r="R550" i="9" l="1"/>
  <c r="N551" i="9" s="1"/>
  <c r="S550" i="9" l="1"/>
  <c r="O551" i="9" l="1"/>
  <c r="T550" i="9"/>
  <c r="P551" i="9" s="1"/>
  <c r="Q551" i="9" l="1"/>
  <c r="U551" i="9" s="1"/>
  <c r="R551" i="9" l="1"/>
  <c r="N552" i="9" s="1"/>
  <c r="S551" i="9" l="1"/>
  <c r="O552" i="9" s="1"/>
  <c r="T551" i="9" l="1"/>
  <c r="P552" i="9" s="1"/>
  <c r="Q552" i="9" s="1"/>
  <c r="U552" i="9" s="1"/>
  <c r="R552" i="9" s="1"/>
  <c r="N553" i="9" s="1"/>
  <c r="S552" i="9" l="1"/>
  <c r="O553" i="9" s="1"/>
  <c r="T552" i="9" l="1"/>
  <c r="P553" i="9" s="1"/>
  <c r="Q553" i="9" s="1"/>
  <c r="U553" i="9" s="1"/>
  <c r="R553" i="9" l="1"/>
  <c r="N554" i="9" s="1"/>
  <c r="S553" i="9" l="1"/>
  <c r="O554" i="9" s="1"/>
  <c r="T553" i="9" l="1"/>
  <c r="P554" i="9" s="1"/>
  <c r="Q554" i="9" s="1"/>
  <c r="U554" i="9" s="1"/>
  <c r="R554" i="9" l="1"/>
  <c r="N555" i="9" s="1"/>
  <c r="S554" i="9" l="1"/>
  <c r="O555" i="9" s="1"/>
  <c r="T554" i="9" l="1"/>
  <c r="P555" i="9" s="1"/>
  <c r="Q555" i="9" s="1"/>
  <c r="U555" i="9" s="1"/>
  <c r="R555" i="9" l="1"/>
  <c r="N556" i="9" s="1"/>
  <c r="S555" i="9" l="1"/>
  <c r="O556" i="9" s="1"/>
  <c r="T555" i="9" l="1"/>
  <c r="P556" i="9" s="1"/>
  <c r="Q556" i="9" s="1"/>
  <c r="U556" i="9" s="1"/>
  <c r="R556" i="9" s="1"/>
  <c r="N557" i="9" s="1"/>
  <c r="S556" i="9" l="1"/>
  <c r="O557" i="9" s="1"/>
  <c r="T556" i="9" l="1"/>
  <c r="P557" i="9" s="1"/>
  <c r="Q557" i="9" s="1"/>
  <c r="U557" i="9" s="1"/>
  <c r="R557" i="9" l="1"/>
  <c r="N558" i="9" s="1"/>
  <c r="S557" i="9" l="1"/>
  <c r="O558" i="9" s="1"/>
  <c r="T557" i="9" l="1"/>
  <c r="P558" i="9" s="1"/>
  <c r="Q558" i="9" s="1"/>
  <c r="U558" i="9" s="1"/>
  <c r="R558" i="9" l="1"/>
  <c r="N559" i="9" s="1"/>
  <c r="S558" i="9" l="1"/>
  <c r="O559" i="9" s="1"/>
  <c r="T558" i="9" l="1"/>
  <c r="P559" i="9" s="1"/>
  <c r="Q559" i="9" s="1"/>
  <c r="U559" i="9" s="1"/>
  <c r="R559" i="9" l="1"/>
  <c r="N560" i="9" s="1"/>
  <c r="S559" i="9" l="1"/>
  <c r="O560" i="9" s="1"/>
  <c r="T559" i="9" l="1"/>
  <c r="P560" i="9" s="1"/>
  <c r="Q560" i="9" s="1"/>
  <c r="U560" i="9" s="1"/>
  <c r="R560" i="9" s="1"/>
  <c r="N561" i="9" s="1"/>
  <c r="S560" i="9" l="1"/>
  <c r="O561" i="9" s="1"/>
  <c r="T560" i="9" l="1"/>
  <c r="P561" i="9" s="1"/>
  <c r="Q561" i="9" s="1"/>
  <c r="U561" i="9" s="1"/>
  <c r="R561" i="9" l="1"/>
  <c r="N562" i="9" s="1"/>
  <c r="S561" i="9" l="1"/>
  <c r="O562" i="9" s="1"/>
  <c r="T561" i="9" l="1"/>
  <c r="P562" i="9" s="1"/>
  <c r="Q562" i="9" s="1"/>
  <c r="U562" i="9" s="1"/>
  <c r="R562" i="9" l="1"/>
  <c r="N563" i="9" s="1"/>
  <c r="S562" i="9" l="1"/>
  <c r="O563" i="9" s="1"/>
  <c r="T562" i="9" l="1"/>
  <c r="P563" i="9" s="1"/>
  <c r="Q563" i="9" s="1"/>
  <c r="U563" i="9" s="1"/>
  <c r="R563" i="9" s="1"/>
  <c r="N564" i="9" s="1"/>
  <c r="S563" i="9" l="1"/>
  <c r="O564" i="9" s="1"/>
  <c r="T563" i="9" l="1"/>
  <c r="P564" i="9" s="1"/>
  <c r="Q564" i="9" s="1"/>
  <c r="U564" i="9" s="1"/>
  <c r="R564" i="9" l="1"/>
  <c r="N565" i="9" s="1"/>
  <c r="S564" i="9" l="1"/>
  <c r="O565" i="9" s="1"/>
  <c r="T564" i="9" l="1"/>
  <c r="P565" i="9" s="1"/>
  <c r="Q565" i="9" s="1"/>
  <c r="U565" i="9" s="1"/>
  <c r="R565" i="9" l="1"/>
  <c r="N566" i="9" s="1"/>
  <c r="S565" i="9" l="1"/>
  <c r="O566" i="9" s="1"/>
  <c r="T565" i="9" l="1"/>
  <c r="P566" i="9" s="1"/>
  <c r="Q566" i="9" s="1"/>
  <c r="U566" i="9" s="1"/>
  <c r="R566" i="9" l="1"/>
  <c r="S566" i="9" l="1"/>
  <c r="T566" i="9" s="1"/>
  <c r="S56" i="8" l="1"/>
  <c r="S52" i="8"/>
  <c r="S49" i="8"/>
  <c r="S46" i="8"/>
  <c r="S43" i="8"/>
  <c r="S40" i="8"/>
  <c r="S36" i="8"/>
  <c r="S33" i="8"/>
  <c r="S30" i="8"/>
  <c r="S27" i="8"/>
  <c r="S24" i="8"/>
  <c r="S20" i="8"/>
  <c r="S17" i="8"/>
  <c r="S13" i="8"/>
  <c r="C565" i="8"/>
  <c r="G565" i="8" s="1"/>
  <c r="B565" i="8"/>
  <c r="C564" i="8"/>
  <c r="G564" i="8" s="1"/>
  <c r="B564" i="8"/>
  <c r="C563" i="8"/>
  <c r="G563" i="8" s="1"/>
  <c r="B563" i="8"/>
  <c r="G562" i="8"/>
  <c r="C562" i="8"/>
  <c r="F562" i="8" s="1"/>
  <c r="B562" i="8"/>
  <c r="G561" i="8"/>
  <c r="I561" i="8" s="1"/>
  <c r="C561" i="8"/>
  <c r="F561" i="8" s="1"/>
  <c r="B561" i="8"/>
  <c r="C560" i="8"/>
  <c r="G560" i="8" s="1"/>
  <c r="H560" i="8" s="1"/>
  <c r="B560" i="8"/>
  <c r="F559" i="8"/>
  <c r="C559" i="8"/>
  <c r="G559" i="8" s="1"/>
  <c r="B559" i="8"/>
  <c r="C558" i="8"/>
  <c r="F558" i="8" s="1"/>
  <c r="B558" i="8"/>
  <c r="C557" i="8"/>
  <c r="G557" i="8" s="1"/>
  <c r="I557" i="8" s="1"/>
  <c r="B557" i="8"/>
  <c r="I556" i="8"/>
  <c r="C556" i="8"/>
  <c r="G556" i="8" s="1"/>
  <c r="H556" i="8" s="1"/>
  <c r="B556" i="8"/>
  <c r="F555" i="8"/>
  <c r="C555" i="8"/>
  <c r="G555" i="8" s="1"/>
  <c r="I555" i="8" s="1"/>
  <c r="B555" i="8"/>
  <c r="C554" i="8"/>
  <c r="F554" i="8" s="1"/>
  <c r="B554" i="8"/>
  <c r="F553" i="8"/>
  <c r="C553" i="8"/>
  <c r="G553" i="8" s="1"/>
  <c r="B553" i="8"/>
  <c r="G552" i="8"/>
  <c r="H552" i="8" s="1"/>
  <c r="C552" i="8"/>
  <c r="F552" i="8" s="1"/>
  <c r="B552" i="8"/>
  <c r="C551" i="8"/>
  <c r="G551" i="8" s="1"/>
  <c r="B551" i="8"/>
  <c r="G550" i="8"/>
  <c r="C550" i="8"/>
  <c r="F550" i="8" s="1"/>
  <c r="B550" i="8"/>
  <c r="C549" i="8"/>
  <c r="G549" i="8" s="1"/>
  <c r="I549" i="8" s="1"/>
  <c r="B549" i="8"/>
  <c r="C548" i="8"/>
  <c r="G548" i="8" s="1"/>
  <c r="H548" i="8" s="1"/>
  <c r="B548" i="8"/>
  <c r="G547" i="8"/>
  <c r="I547" i="8" s="1"/>
  <c r="C547" i="8"/>
  <c r="F547" i="8" s="1"/>
  <c r="B547" i="8"/>
  <c r="G546" i="8"/>
  <c r="C546" i="8"/>
  <c r="F546" i="8" s="1"/>
  <c r="B546" i="8"/>
  <c r="G545" i="8"/>
  <c r="I545" i="8" s="1"/>
  <c r="C545" i="8"/>
  <c r="F545" i="8" s="1"/>
  <c r="B545" i="8"/>
  <c r="C544" i="8"/>
  <c r="F544" i="8" s="1"/>
  <c r="B544" i="8"/>
  <c r="F543" i="8"/>
  <c r="C543" i="8"/>
  <c r="G543" i="8" s="1"/>
  <c r="B543" i="8"/>
  <c r="C542" i="8"/>
  <c r="F542" i="8" s="1"/>
  <c r="B542" i="8"/>
  <c r="C541" i="8"/>
  <c r="G541" i="8" s="1"/>
  <c r="I541" i="8" s="1"/>
  <c r="B541" i="8"/>
  <c r="I540" i="8"/>
  <c r="C540" i="8"/>
  <c r="G540" i="8" s="1"/>
  <c r="H540" i="8" s="1"/>
  <c r="B540" i="8"/>
  <c r="G539" i="8"/>
  <c r="I539" i="8" s="1"/>
  <c r="F539" i="8"/>
  <c r="C539" i="8"/>
  <c r="B539" i="8"/>
  <c r="C538" i="8"/>
  <c r="F538" i="8" s="1"/>
  <c r="B538" i="8"/>
  <c r="F537" i="8"/>
  <c r="C537" i="8"/>
  <c r="G537" i="8" s="1"/>
  <c r="I537" i="8" s="1"/>
  <c r="B537" i="8"/>
  <c r="G536" i="8"/>
  <c r="H536" i="8" s="1"/>
  <c r="C536" i="8"/>
  <c r="F536" i="8" s="1"/>
  <c r="B536" i="8"/>
  <c r="C535" i="8"/>
  <c r="G535" i="8" s="1"/>
  <c r="B535" i="8"/>
  <c r="G534" i="8"/>
  <c r="C534" i="8"/>
  <c r="F534" i="8" s="1"/>
  <c r="B534" i="8"/>
  <c r="C533" i="8"/>
  <c r="G533" i="8" s="1"/>
  <c r="I533" i="8" s="1"/>
  <c r="B533" i="8"/>
  <c r="C532" i="8"/>
  <c r="G532" i="8" s="1"/>
  <c r="B532" i="8"/>
  <c r="F531" i="8"/>
  <c r="C531" i="8"/>
  <c r="G531" i="8" s="1"/>
  <c r="B531" i="8"/>
  <c r="C530" i="8"/>
  <c r="F530" i="8" s="1"/>
  <c r="B530" i="8"/>
  <c r="F529" i="8"/>
  <c r="C529" i="8"/>
  <c r="G529" i="8" s="1"/>
  <c r="I529" i="8" s="1"/>
  <c r="B529" i="8"/>
  <c r="C528" i="8"/>
  <c r="F528" i="8" s="1"/>
  <c r="B528" i="8"/>
  <c r="F527" i="8"/>
  <c r="C527" i="8"/>
  <c r="G527" i="8" s="1"/>
  <c r="I527" i="8" s="1"/>
  <c r="B527" i="8"/>
  <c r="G526" i="8"/>
  <c r="H526" i="8" s="1"/>
  <c r="C526" i="8"/>
  <c r="F526" i="8" s="1"/>
  <c r="B526" i="8"/>
  <c r="C525" i="8"/>
  <c r="F525" i="8" s="1"/>
  <c r="B525" i="8"/>
  <c r="C524" i="8"/>
  <c r="G524" i="8" s="1"/>
  <c r="I524" i="8" s="1"/>
  <c r="B524" i="8"/>
  <c r="F523" i="8"/>
  <c r="C523" i="8"/>
  <c r="G523" i="8" s="1"/>
  <c r="B523" i="8"/>
  <c r="C522" i="8"/>
  <c r="G522" i="8" s="1"/>
  <c r="B522" i="8"/>
  <c r="C521" i="8"/>
  <c r="G521" i="8" s="1"/>
  <c r="I521" i="8" s="1"/>
  <c r="B521" i="8"/>
  <c r="C520" i="8"/>
  <c r="G520" i="8" s="1"/>
  <c r="H520" i="8" s="1"/>
  <c r="B520" i="8"/>
  <c r="C519" i="8"/>
  <c r="G519" i="8" s="1"/>
  <c r="B519" i="8"/>
  <c r="C518" i="8"/>
  <c r="B518" i="8"/>
  <c r="C517" i="8"/>
  <c r="G517" i="8" s="1"/>
  <c r="B517" i="8"/>
  <c r="C516" i="8"/>
  <c r="F516" i="8" s="1"/>
  <c r="B516" i="8"/>
  <c r="I515" i="8"/>
  <c r="G515" i="8"/>
  <c r="H515" i="8" s="1"/>
  <c r="C515" i="8"/>
  <c r="F515" i="8" s="1"/>
  <c r="B515" i="8"/>
  <c r="G514" i="8"/>
  <c r="C514" i="8"/>
  <c r="F514" i="8" s="1"/>
  <c r="B514" i="8"/>
  <c r="C513" i="8"/>
  <c r="B513" i="8"/>
  <c r="C512" i="8"/>
  <c r="G512" i="8" s="1"/>
  <c r="I512" i="8" s="1"/>
  <c r="B512" i="8"/>
  <c r="I511" i="8"/>
  <c r="C511" i="8"/>
  <c r="G511" i="8" s="1"/>
  <c r="H511" i="8" s="1"/>
  <c r="B511" i="8"/>
  <c r="C510" i="8"/>
  <c r="G510" i="8" s="1"/>
  <c r="B510" i="8"/>
  <c r="F509" i="8"/>
  <c r="C509" i="8"/>
  <c r="G509" i="8" s="1"/>
  <c r="B509" i="8"/>
  <c r="G508" i="8"/>
  <c r="I508" i="8" s="1"/>
  <c r="C508" i="8"/>
  <c r="F508" i="8" s="1"/>
  <c r="B508" i="8"/>
  <c r="C507" i="8"/>
  <c r="F507" i="8" s="1"/>
  <c r="B507" i="8"/>
  <c r="F506" i="8"/>
  <c r="C506" i="8"/>
  <c r="G506" i="8" s="1"/>
  <c r="H506" i="8" s="1"/>
  <c r="B506" i="8"/>
  <c r="C505" i="8"/>
  <c r="B505" i="8"/>
  <c r="G504" i="8"/>
  <c r="I504" i="8" s="1"/>
  <c r="C504" i="8"/>
  <c r="F504" i="8" s="1"/>
  <c r="B504" i="8"/>
  <c r="I503" i="8"/>
  <c r="G503" i="8"/>
  <c r="H503" i="8" s="1"/>
  <c r="C503" i="8"/>
  <c r="F503" i="8" s="1"/>
  <c r="B503" i="8"/>
  <c r="H502" i="8"/>
  <c r="C502" i="8"/>
  <c r="G502" i="8" s="1"/>
  <c r="I502" i="8" s="1"/>
  <c r="B502" i="8"/>
  <c r="F501" i="8"/>
  <c r="C501" i="8"/>
  <c r="G501" i="8" s="1"/>
  <c r="B501" i="8"/>
  <c r="C500" i="8"/>
  <c r="F500" i="8" s="1"/>
  <c r="B500" i="8"/>
  <c r="I499" i="8"/>
  <c r="H499" i="8"/>
  <c r="C499" i="8"/>
  <c r="G499" i="8" s="1"/>
  <c r="B499" i="8"/>
  <c r="F498" i="8"/>
  <c r="C498" i="8"/>
  <c r="G498" i="8" s="1"/>
  <c r="B498" i="8"/>
  <c r="C497" i="8"/>
  <c r="B497" i="8"/>
  <c r="C496" i="8"/>
  <c r="G496" i="8" s="1"/>
  <c r="H496" i="8" s="1"/>
  <c r="B496" i="8"/>
  <c r="C495" i="8"/>
  <c r="F495" i="8" s="1"/>
  <c r="B495" i="8"/>
  <c r="C494" i="8"/>
  <c r="G494" i="8" s="1"/>
  <c r="I494" i="8" s="1"/>
  <c r="B494" i="8"/>
  <c r="F493" i="8"/>
  <c r="C493" i="8"/>
  <c r="G493" i="8" s="1"/>
  <c r="B493" i="8"/>
  <c r="G492" i="8"/>
  <c r="F492" i="8"/>
  <c r="C492" i="8"/>
  <c r="B492" i="8"/>
  <c r="C491" i="8"/>
  <c r="G491" i="8" s="1"/>
  <c r="B491" i="8"/>
  <c r="C490" i="8"/>
  <c r="F490" i="8" s="1"/>
  <c r="B490" i="8"/>
  <c r="C489" i="8"/>
  <c r="G489" i="8" s="1"/>
  <c r="B489" i="8"/>
  <c r="C488" i="8"/>
  <c r="G488" i="8" s="1"/>
  <c r="H488" i="8" s="1"/>
  <c r="B488" i="8"/>
  <c r="G487" i="8"/>
  <c r="C487" i="8"/>
  <c r="F487" i="8" s="1"/>
  <c r="B487" i="8"/>
  <c r="C486" i="8"/>
  <c r="F486" i="8" s="1"/>
  <c r="B486" i="8"/>
  <c r="C485" i="8"/>
  <c r="G485" i="8" s="1"/>
  <c r="I485" i="8" s="1"/>
  <c r="B485" i="8"/>
  <c r="C484" i="8"/>
  <c r="G484" i="8" s="1"/>
  <c r="H484" i="8" s="1"/>
  <c r="B484" i="8"/>
  <c r="C483" i="8"/>
  <c r="G483" i="8" s="1"/>
  <c r="B483" i="8"/>
  <c r="C482" i="8"/>
  <c r="F482" i="8" s="1"/>
  <c r="B482" i="8"/>
  <c r="F481" i="8"/>
  <c r="C481" i="8"/>
  <c r="G481" i="8" s="1"/>
  <c r="I481" i="8" s="1"/>
  <c r="B481" i="8"/>
  <c r="C480" i="8"/>
  <c r="G480" i="8" s="1"/>
  <c r="H480" i="8" s="1"/>
  <c r="B480" i="8"/>
  <c r="C479" i="8"/>
  <c r="F479" i="8" s="1"/>
  <c r="B479" i="8"/>
  <c r="G478" i="8"/>
  <c r="I478" i="8" s="1"/>
  <c r="C478" i="8"/>
  <c r="F478" i="8" s="1"/>
  <c r="B478" i="8"/>
  <c r="I477" i="8"/>
  <c r="F477" i="8"/>
  <c r="C477" i="8"/>
  <c r="G477" i="8" s="1"/>
  <c r="H477" i="8" s="1"/>
  <c r="B477" i="8"/>
  <c r="F476" i="8"/>
  <c r="C476" i="8"/>
  <c r="G476" i="8" s="1"/>
  <c r="H476" i="8" s="1"/>
  <c r="B476" i="8"/>
  <c r="G475" i="8"/>
  <c r="I475" i="8" s="1"/>
  <c r="F475" i="8"/>
  <c r="C475" i="8"/>
  <c r="B475" i="8"/>
  <c r="C474" i="8"/>
  <c r="F474" i="8" s="1"/>
  <c r="B474" i="8"/>
  <c r="F473" i="8"/>
  <c r="C473" i="8"/>
  <c r="G473" i="8" s="1"/>
  <c r="H473" i="8" s="1"/>
  <c r="B473" i="8"/>
  <c r="G472" i="8"/>
  <c r="H472" i="8" s="1"/>
  <c r="C472" i="8"/>
  <c r="F472" i="8" s="1"/>
  <c r="B472" i="8"/>
  <c r="C471" i="8"/>
  <c r="G471" i="8" s="1"/>
  <c r="B471" i="8"/>
  <c r="C470" i="8"/>
  <c r="F470" i="8" s="1"/>
  <c r="B470" i="8"/>
  <c r="H469" i="8"/>
  <c r="C469" i="8"/>
  <c r="G469" i="8" s="1"/>
  <c r="I469" i="8" s="1"/>
  <c r="B469" i="8"/>
  <c r="C468" i="8"/>
  <c r="G468" i="8" s="1"/>
  <c r="H468" i="8" s="1"/>
  <c r="B468" i="8"/>
  <c r="C467" i="8"/>
  <c r="G467" i="8" s="1"/>
  <c r="B467" i="8"/>
  <c r="G466" i="8"/>
  <c r="I466" i="8" s="1"/>
  <c r="C466" i="8"/>
  <c r="F466" i="8" s="1"/>
  <c r="B466" i="8"/>
  <c r="F465" i="8"/>
  <c r="C465" i="8"/>
  <c r="G465" i="8" s="1"/>
  <c r="I465" i="8" s="1"/>
  <c r="B465" i="8"/>
  <c r="C464" i="8"/>
  <c r="G464" i="8" s="1"/>
  <c r="B464" i="8"/>
  <c r="C463" i="8"/>
  <c r="G463" i="8" s="1"/>
  <c r="I463" i="8" s="1"/>
  <c r="B463" i="8"/>
  <c r="H462" i="8"/>
  <c r="C462" i="8"/>
  <c r="G462" i="8" s="1"/>
  <c r="I462" i="8" s="1"/>
  <c r="B462" i="8"/>
  <c r="C461" i="8"/>
  <c r="G461" i="8" s="1"/>
  <c r="H461" i="8" s="1"/>
  <c r="B461" i="8"/>
  <c r="G460" i="8"/>
  <c r="C460" i="8"/>
  <c r="F460" i="8" s="1"/>
  <c r="B460" i="8"/>
  <c r="C459" i="8"/>
  <c r="B459" i="8"/>
  <c r="G458" i="8"/>
  <c r="H458" i="8" s="1"/>
  <c r="C458" i="8"/>
  <c r="F458" i="8" s="1"/>
  <c r="B458" i="8"/>
  <c r="G457" i="8"/>
  <c r="I457" i="8" s="1"/>
  <c r="F457" i="8"/>
  <c r="C457" i="8"/>
  <c r="B457" i="8"/>
  <c r="C456" i="8"/>
  <c r="F456" i="8" s="1"/>
  <c r="B456" i="8"/>
  <c r="C455" i="8"/>
  <c r="F455" i="8" s="1"/>
  <c r="B455" i="8"/>
  <c r="H454" i="8"/>
  <c r="C454" i="8"/>
  <c r="G454" i="8" s="1"/>
  <c r="I454" i="8" s="1"/>
  <c r="B454" i="8"/>
  <c r="F453" i="8"/>
  <c r="C453" i="8"/>
  <c r="G453" i="8" s="1"/>
  <c r="H453" i="8" s="1"/>
  <c r="B453" i="8"/>
  <c r="C452" i="8"/>
  <c r="F452" i="8" s="1"/>
  <c r="B452" i="8"/>
  <c r="C451" i="8"/>
  <c r="B451" i="8"/>
  <c r="F450" i="8"/>
  <c r="C450" i="8"/>
  <c r="G450" i="8" s="1"/>
  <c r="B450" i="8"/>
  <c r="F449" i="8"/>
  <c r="C449" i="8"/>
  <c r="G449" i="8" s="1"/>
  <c r="B449" i="8"/>
  <c r="C448" i="8"/>
  <c r="G448" i="8" s="1"/>
  <c r="B448" i="8"/>
  <c r="C447" i="8"/>
  <c r="F447" i="8" s="1"/>
  <c r="B447" i="8"/>
  <c r="C446" i="8"/>
  <c r="G446" i="8" s="1"/>
  <c r="I446" i="8" s="1"/>
  <c r="B446" i="8"/>
  <c r="C445" i="8"/>
  <c r="G445" i="8" s="1"/>
  <c r="H445" i="8" s="1"/>
  <c r="B445" i="8"/>
  <c r="G444" i="8"/>
  <c r="C444" i="8"/>
  <c r="F444" i="8" s="1"/>
  <c r="B444" i="8"/>
  <c r="F443" i="8"/>
  <c r="C443" i="8"/>
  <c r="G443" i="8" s="1"/>
  <c r="I443" i="8" s="1"/>
  <c r="B443" i="8"/>
  <c r="C442" i="8"/>
  <c r="G442" i="8" s="1"/>
  <c r="I442" i="8" s="1"/>
  <c r="B442" i="8"/>
  <c r="F441" i="8"/>
  <c r="C441" i="8"/>
  <c r="G441" i="8" s="1"/>
  <c r="I441" i="8" s="1"/>
  <c r="B441" i="8"/>
  <c r="C440" i="8"/>
  <c r="F440" i="8" s="1"/>
  <c r="B440" i="8"/>
  <c r="F439" i="8"/>
  <c r="C439" i="8"/>
  <c r="G439" i="8" s="1"/>
  <c r="I439" i="8" s="1"/>
  <c r="B439" i="8"/>
  <c r="F438" i="8"/>
  <c r="C438" i="8"/>
  <c r="G438" i="8" s="1"/>
  <c r="B438" i="8"/>
  <c r="C437" i="8"/>
  <c r="F437" i="8" s="1"/>
  <c r="B437" i="8"/>
  <c r="C436" i="8"/>
  <c r="B436" i="8"/>
  <c r="C435" i="8"/>
  <c r="G435" i="8" s="1"/>
  <c r="H435" i="8" s="1"/>
  <c r="B435" i="8"/>
  <c r="F434" i="8"/>
  <c r="C434" i="8"/>
  <c r="G434" i="8" s="1"/>
  <c r="B434" i="8"/>
  <c r="C433" i="8"/>
  <c r="F433" i="8" s="1"/>
  <c r="B433" i="8"/>
  <c r="C432" i="8"/>
  <c r="F432" i="8" s="1"/>
  <c r="B432" i="8"/>
  <c r="C431" i="8"/>
  <c r="G431" i="8" s="1"/>
  <c r="H431" i="8" s="1"/>
  <c r="B431" i="8"/>
  <c r="C430" i="8"/>
  <c r="G430" i="8" s="1"/>
  <c r="B430" i="8"/>
  <c r="C429" i="8"/>
  <c r="G429" i="8" s="1"/>
  <c r="B429" i="8"/>
  <c r="C428" i="8"/>
  <c r="F428" i="8" s="1"/>
  <c r="B428" i="8"/>
  <c r="C427" i="8"/>
  <c r="G427" i="8" s="1"/>
  <c r="H427" i="8" s="1"/>
  <c r="B427" i="8"/>
  <c r="I426" i="8"/>
  <c r="F426" i="8"/>
  <c r="C426" i="8"/>
  <c r="G426" i="8" s="1"/>
  <c r="H426" i="8" s="1"/>
  <c r="B426" i="8"/>
  <c r="C425" i="8"/>
  <c r="F425" i="8" s="1"/>
  <c r="B425" i="8"/>
  <c r="C424" i="8"/>
  <c r="F424" i="8" s="1"/>
  <c r="B424" i="8"/>
  <c r="F423" i="8"/>
  <c r="C423" i="8"/>
  <c r="G423" i="8" s="1"/>
  <c r="I423" i="8" s="1"/>
  <c r="B423" i="8"/>
  <c r="G422" i="8"/>
  <c r="H422" i="8" s="1"/>
  <c r="C422" i="8"/>
  <c r="F422" i="8" s="1"/>
  <c r="B422" i="8"/>
  <c r="C421" i="8"/>
  <c r="G421" i="8" s="1"/>
  <c r="B421" i="8"/>
  <c r="C420" i="8"/>
  <c r="F420" i="8" s="1"/>
  <c r="B420" i="8"/>
  <c r="I419" i="8"/>
  <c r="C419" i="8"/>
  <c r="G419" i="8" s="1"/>
  <c r="H419" i="8" s="1"/>
  <c r="B419" i="8"/>
  <c r="F418" i="8"/>
  <c r="C418" i="8"/>
  <c r="G418" i="8" s="1"/>
  <c r="H418" i="8" s="1"/>
  <c r="B418" i="8"/>
  <c r="G417" i="8"/>
  <c r="F417" i="8"/>
  <c r="C417" i="8"/>
  <c r="B417" i="8"/>
  <c r="C416" i="8"/>
  <c r="F416" i="8" s="1"/>
  <c r="B416" i="8"/>
  <c r="F415" i="8"/>
  <c r="C415" i="8"/>
  <c r="G415" i="8" s="1"/>
  <c r="I415" i="8" s="1"/>
  <c r="B415" i="8"/>
  <c r="F414" i="8"/>
  <c r="C414" i="8"/>
  <c r="G414" i="8" s="1"/>
  <c r="B414" i="8"/>
  <c r="C413" i="8"/>
  <c r="G413" i="8" s="1"/>
  <c r="B413" i="8"/>
  <c r="C412" i="8"/>
  <c r="F412" i="8" s="1"/>
  <c r="B412" i="8"/>
  <c r="C411" i="8"/>
  <c r="G411" i="8" s="1"/>
  <c r="I411" i="8" s="1"/>
  <c r="B411" i="8"/>
  <c r="I410" i="8"/>
  <c r="C410" i="8"/>
  <c r="G410" i="8" s="1"/>
  <c r="H410" i="8" s="1"/>
  <c r="B410" i="8"/>
  <c r="C409" i="8"/>
  <c r="B409" i="8"/>
  <c r="F408" i="8"/>
  <c r="C408" i="8"/>
  <c r="G408" i="8" s="1"/>
  <c r="B408" i="8"/>
  <c r="G407" i="8"/>
  <c r="H407" i="8" s="1"/>
  <c r="F407" i="8"/>
  <c r="C407" i="8"/>
  <c r="B407" i="8"/>
  <c r="F406" i="8"/>
  <c r="C406" i="8"/>
  <c r="G406" i="8" s="1"/>
  <c r="I406" i="8" s="1"/>
  <c r="B406" i="8"/>
  <c r="I405" i="8"/>
  <c r="G405" i="8"/>
  <c r="H405" i="8" s="1"/>
  <c r="F405" i="8"/>
  <c r="C405" i="8"/>
  <c r="B405" i="8"/>
  <c r="C404" i="8"/>
  <c r="B404" i="8"/>
  <c r="C403" i="8"/>
  <c r="B403" i="8"/>
  <c r="C402" i="8"/>
  <c r="G402" i="8" s="1"/>
  <c r="B402" i="8"/>
  <c r="C401" i="8"/>
  <c r="G401" i="8" s="1"/>
  <c r="B401" i="8"/>
  <c r="C400" i="8"/>
  <c r="F400" i="8" s="1"/>
  <c r="B400" i="8"/>
  <c r="F399" i="8"/>
  <c r="C399" i="8"/>
  <c r="G399" i="8" s="1"/>
  <c r="I399" i="8" s="1"/>
  <c r="B399" i="8"/>
  <c r="C398" i="8"/>
  <c r="G398" i="8" s="1"/>
  <c r="I398" i="8" s="1"/>
  <c r="B398" i="8"/>
  <c r="F397" i="8"/>
  <c r="C397" i="8"/>
  <c r="G397" i="8" s="1"/>
  <c r="H397" i="8" s="1"/>
  <c r="B397" i="8"/>
  <c r="C396" i="8"/>
  <c r="F396" i="8" s="1"/>
  <c r="B396" i="8"/>
  <c r="C395" i="8"/>
  <c r="B395" i="8"/>
  <c r="I394" i="8"/>
  <c r="C394" i="8"/>
  <c r="G394" i="8" s="1"/>
  <c r="H394" i="8" s="1"/>
  <c r="B394" i="8"/>
  <c r="C393" i="8"/>
  <c r="G393" i="8" s="1"/>
  <c r="B393" i="8"/>
  <c r="G392" i="8"/>
  <c r="C392" i="8"/>
  <c r="F392" i="8" s="1"/>
  <c r="B392" i="8"/>
  <c r="G391" i="8"/>
  <c r="I391" i="8" s="1"/>
  <c r="F391" i="8"/>
  <c r="C391" i="8"/>
  <c r="B391" i="8"/>
  <c r="H390" i="8"/>
  <c r="F390" i="8"/>
  <c r="C390" i="8"/>
  <c r="G390" i="8" s="1"/>
  <c r="I390" i="8" s="1"/>
  <c r="B390" i="8"/>
  <c r="G389" i="8"/>
  <c r="H389" i="8" s="1"/>
  <c r="F389" i="8"/>
  <c r="C389" i="8"/>
  <c r="B389" i="8"/>
  <c r="C388" i="8"/>
  <c r="F388" i="8" s="1"/>
  <c r="B388" i="8"/>
  <c r="C387" i="8"/>
  <c r="B387" i="8"/>
  <c r="C386" i="8"/>
  <c r="B386" i="8"/>
  <c r="C385" i="8"/>
  <c r="G385" i="8" s="1"/>
  <c r="B385" i="8"/>
  <c r="G384" i="8"/>
  <c r="H384" i="8" s="1"/>
  <c r="C384" i="8"/>
  <c r="F384" i="8" s="1"/>
  <c r="B384" i="8"/>
  <c r="H383" i="8"/>
  <c r="G383" i="8"/>
  <c r="I383" i="8" s="1"/>
  <c r="F383" i="8"/>
  <c r="C383" i="8"/>
  <c r="B383" i="8"/>
  <c r="F382" i="8"/>
  <c r="C382" i="8"/>
  <c r="B382" i="8"/>
  <c r="G381" i="8"/>
  <c r="H381" i="8" s="1"/>
  <c r="C381" i="8"/>
  <c r="F381" i="8" s="1"/>
  <c r="B381" i="8"/>
  <c r="C380" i="8"/>
  <c r="F380" i="8" s="1"/>
  <c r="B380" i="8"/>
  <c r="C379" i="8"/>
  <c r="G379" i="8" s="1"/>
  <c r="I379" i="8" s="1"/>
  <c r="B379" i="8"/>
  <c r="C378" i="8"/>
  <c r="B378" i="8"/>
  <c r="C377" i="8"/>
  <c r="G377" i="8" s="1"/>
  <c r="B377" i="8"/>
  <c r="G376" i="8"/>
  <c r="I376" i="8" s="1"/>
  <c r="C376" i="8"/>
  <c r="F376" i="8" s="1"/>
  <c r="B376" i="8"/>
  <c r="C375" i="8"/>
  <c r="G375" i="8" s="1"/>
  <c r="B375" i="8"/>
  <c r="F374" i="8"/>
  <c r="C374" i="8"/>
  <c r="G374" i="8" s="1"/>
  <c r="B374" i="8"/>
  <c r="C373" i="8"/>
  <c r="F373" i="8" s="1"/>
  <c r="B373" i="8"/>
  <c r="C372" i="8"/>
  <c r="G372" i="8" s="1"/>
  <c r="H372" i="8" s="1"/>
  <c r="B372" i="8"/>
  <c r="F371" i="8"/>
  <c r="C371" i="8"/>
  <c r="G371" i="8" s="1"/>
  <c r="B371" i="8"/>
  <c r="C370" i="8"/>
  <c r="B370" i="8"/>
  <c r="C369" i="8"/>
  <c r="G369" i="8" s="1"/>
  <c r="H369" i="8" s="1"/>
  <c r="B369" i="8"/>
  <c r="G368" i="8"/>
  <c r="I368" i="8" s="1"/>
  <c r="C368" i="8"/>
  <c r="F368" i="8" s="1"/>
  <c r="B368" i="8"/>
  <c r="C367" i="8"/>
  <c r="G367" i="8" s="1"/>
  <c r="B367" i="8"/>
  <c r="C366" i="8"/>
  <c r="B366" i="8"/>
  <c r="G365" i="8"/>
  <c r="I365" i="8" s="1"/>
  <c r="C365" i="8"/>
  <c r="F365" i="8" s="1"/>
  <c r="B365" i="8"/>
  <c r="C364" i="8"/>
  <c r="B364" i="8"/>
  <c r="C363" i="8"/>
  <c r="G363" i="8" s="1"/>
  <c r="B363" i="8"/>
  <c r="C362" i="8"/>
  <c r="B362" i="8"/>
  <c r="C361" i="8"/>
  <c r="G361" i="8" s="1"/>
  <c r="H361" i="8" s="1"/>
  <c r="B361" i="8"/>
  <c r="C360" i="8"/>
  <c r="F360" i="8" s="1"/>
  <c r="B360" i="8"/>
  <c r="C359" i="8"/>
  <c r="G359" i="8" s="1"/>
  <c r="B359" i="8"/>
  <c r="G358" i="8"/>
  <c r="H358" i="8" s="1"/>
  <c r="C358" i="8"/>
  <c r="F358" i="8" s="1"/>
  <c r="B358" i="8"/>
  <c r="G357" i="8"/>
  <c r="I357" i="8" s="1"/>
  <c r="C357" i="8"/>
  <c r="F357" i="8" s="1"/>
  <c r="B357" i="8"/>
  <c r="C356" i="8"/>
  <c r="G356" i="8" s="1"/>
  <c r="I356" i="8" s="1"/>
  <c r="B356" i="8"/>
  <c r="C355" i="8"/>
  <c r="G355" i="8" s="1"/>
  <c r="H355" i="8" s="1"/>
  <c r="B355" i="8"/>
  <c r="G354" i="8"/>
  <c r="I354" i="8" s="1"/>
  <c r="C354" i="8"/>
  <c r="F354" i="8" s="1"/>
  <c r="B354" i="8"/>
  <c r="C353" i="8"/>
  <c r="G353" i="8" s="1"/>
  <c r="B353" i="8"/>
  <c r="G352" i="8"/>
  <c r="I352" i="8" s="1"/>
  <c r="C352" i="8"/>
  <c r="F352" i="8" s="1"/>
  <c r="B352" i="8"/>
  <c r="I351" i="8"/>
  <c r="F351" i="8"/>
  <c r="C351" i="8"/>
  <c r="G351" i="8" s="1"/>
  <c r="H351" i="8" s="1"/>
  <c r="B351" i="8"/>
  <c r="C350" i="8"/>
  <c r="G350" i="8" s="1"/>
  <c r="B350" i="8"/>
  <c r="I349" i="8"/>
  <c r="G349" i="8"/>
  <c r="H349" i="8" s="1"/>
  <c r="F349" i="8"/>
  <c r="C349" i="8"/>
  <c r="B349" i="8"/>
  <c r="C348" i="8"/>
  <c r="G348" i="8" s="1"/>
  <c r="B348" i="8"/>
  <c r="C347" i="8"/>
  <c r="G347" i="8" s="1"/>
  <c r="B347" i="8"/>
  <c r="C346" i="8"/>
  <c r="G346" i="8" s="1"/>
  <c r="B346" i="8"/>
  <c r="C345" i="8"/>
  <c r="G345" i="8" s="1"/>
  <c r="B345" i="8"/>
  <c r="F344" i="8"/>
  <c r="C344" i="8"/>
  <c r="G344" i="8" s="1"/>
  <c r="B344" i="8"/>
  <c r="C343" i="8"/>
  <c r="B343" i="8"/>
  <c r="C342" i="8"/>
  <c r="G342" i="8" s="1"/>
  <c r="B342" i="8"/>
  <c r="F341" i="8"/>
  <c r="C341" i="8"/>
  <c r="G341" i="8" s="1"/>
  <c r="B341" i="8"/>
  <c r="C340" i="8"/>
  <c r="G340" i="8" s="1"/>
  <c r="B340" i="8"/>
  <c r="C339" i="8"/>
  <c r="G339" i="8" s="1"/>
  <c r="B339" i="8"/>
  <c r="C338" i="8"/>
  <c r="G338" i="8" s="1"/>
  <c r="B338" i="8"/>
  <c r="C337" i="8"/>
  <c r="G337" i="8" s="1"/>
  <c r="B337" i="8"/>
  <c r="C336" i="8"/>
  <c r="G336" i="8" s="1"/>
  <c r="B336" i="8"/>
  <c r="C335" i="8"/>
  <c r="B335" i="8"/>
  <c r="C334" i="8"/>
  <c r="G334" i="8" s="1"/>
  <c r="B334" i="8"/>
  <c r="G333" i="8"/>
  <c r="H333" i="8" s="1"/>
  <c r="F333" i="8"/>
  <c r="C333" i="8"/>
  <c r="B333" i="8"/>
  <c r="C332" i="8"/>
  <c r="G332" i="8" s="1"/>
  <c r="B332" i="8"/>
  <c r="C331" i="8"/>
  <c r="G331" i="8" s="1"/>
  <c r="B331" i="8"/>
  <c r="C330" i="8"/>
  <c r="G330" i="8" s="1"/>
  <c r="B330" i="8"/>
  <c r="C329" i="8"/>
  <c r="G329" i="8" s="1"/>
  <c r="B329" i="8"/>
  <c r="F328" i="8"/>
  <c r="C328" i="8"/>
  <c r="G328" i="8" s="1"/>
  <c r="B328" i="8"/>
  <c r="C327" i="8"/>
  <c r="G327" i="8" s="1"/>
  <c r="I327" i="8" s="1"/>
  <c r="B327" i="8"/>
  <c r="F326" i="8"/>
  <c r="C326" i="8"/>
  <c r="G326" i="8" s="1"/>
  <c r="B326" i="8"/>
  <c r="C325" i="8"/>
  <c r="G325" i="8" s="1"/>
  <c r="B325" i="8"/>
  <c r="F324" i="8"/>
  <c r="C324" i="8"/>
  <c r="G324" i="8" s="1"/>
  <c r="B324" i="8"/>
  <c r="C323" i="8"/>
  <c r="G323" i="8" s="1"/>
  <c r="B323" i="8"/>
  <c r="C322" i="8"/>
  <c r="G322" i="8" s="1"/>
  <c r="B322" i="8"/>
  <c r="C321" i="8"/>
  <c r="G321" i="8" s="1"/>
  <c r="B321" i="8"/>
  <c r="F320" i="8"/>
  <c r="C320" i="8"/>
  <c r="G320" i="8" s="1"/>
  <c r="B320" i="8"/>
  <c r="C319" i="8"/>
  <c r="G319" i="8" s="1"/>
  <c r="I319" i="8" s="1"/>
  <c r="B319" i="8"/>
  <c r="C318" i="8"/>
  <c r="B318" i="8"/>
  <c r="C317" i="8"/>
  <c r="G317" i="8" s="1"/>
  <c r="B317" i="8"/>
  <c r="G316" i="8"/>
  <c r="F316" i="8"/>
  <c r="C316" i="8"/>
  <c r="B316" i="8"/>
  <c r="C315" i="8"/>
  <c r="G315" i="8" s="1"/>
  <c r="B315" i="8"/>
  <c r="C314" i="8"/>
  <c r="G314" i="8" s="1"/>
  <c r="B314" i="8"/>
  <c r="C313" i="8"/>
  <c r="G313" i="8" s="1"/>
  <c r="B313" i="8"/>
  <c r="F312" i="8"/>
  <c r="C312" i="8"/>
  <c r="G312" i="8" s="1"/>
  <c r="B312" i="8"/>
  <c r="C311" i="8"/>
  <c r="G311" i="8" s="1"/>
  <c r="I311" i="8" s="1"/>
  <c r="B311" i="8"/>
  <c r="F310" i="8"/>
  <c r="C310" i="8"/>
  <c r="G310" i="8" s="1"/>
  <c r="B310" i="8"/>
  <c r="C309" i="8"/>
  <c r="G309" i="8" s="1"/>
  <c r="B309" i="8"/>
  <c r="H308" i="8"/>
  <c r="G308" i="8"/>
  <c r="I308" i="8" s="1"/>
  <c r="F308" i="8"/>
  <c r="C308" i="8"/>
  <c r="B308" i="8"/>
  <c r="C307" i="8"/>
  <c r="B307" i="8"/>
  <c r="C306" i="8"/>
  <c r="G306" i="8" s="1"/>
  <c r="B306" i="8"/>
  <c r="C305" i="8"/>
  <c r="G305" i="8" s="1"/>
  <c r="H305" i="8" s="1"/>
  <c r="B305" i="8"/>
  <c r="C304" i="8"/>
  <c r="G304" i="8" s="1"/>
  <c r="B304" i="8"/>
  <c r="C303" i="8"/>
  <c r="G303" i="8" s="1"/>
  <c r="B303" i="8"/>
  <c r="F302" i="8"/>
  <c r="C302" i="8"/>
  <c r="G302" i="8" s="1"/>
  <c r="I302" i="8" s="1"/>
  <c r="B302" i="8"/>
  <c r="C301" i="8"/>
  <c r="B301" i="8"/>
  <c r="C300" i="8"/>
  <c r="G300" i="8" s="1"/>
  <c r="B300" i="8"/>
  <c r="C299" i="8"/>
  <c r="B299" i="8"/>
  <c r="H298" i="8"/>
  <c r="C298" i="8"/>
  <c r="G298" i="8" s="1"/>
  <c r="I298" i="8" s="1"/>
  <c r="B298" i="8"/>
  <c r="C297" i="8"/>
  <c r="G297" i="8" s="1"/>
  <c r="H297" i="8" s="1"/>
  <c r="B297" i="8"/>
  <c r="C296" i="8"/>
  <c r="B296" i="8"/>
  <c r="C295" i="8"/>
  <c r="B295" i="8"/>
  <c r="C294" i="8"/>
  <c r="G294" i="8" s="1"/>
  <c r="I294" i="8" s="1"/>
  <c r="B294" i="8"/>
  <c r="I293" i="8"/>
  <c r="G293" i="8"/>
  <c r="H293" i="8" s="1"/>
  <c r="F293" i="8"/>
  <c r="C293" i="8"/>
  <c r="B293" i="8"/>
  <c r="C292" i="8"/>
  <c r="B292" i="8"/>
  <c r="C291" i="8"/>
  <c r="B291" i="8"/>
  <c r="C290" i="8"/>
  <c r="G290" i="8" s="1"/>
  <c r="I290" i="8" s="1"/>
  <c r="B290" i="8"/>
  <c r="C289" i="8"/>
  <c r="B289" i="8"/>
  <c r="F288" i="8"/>
  <c r="C288" i="8"/>
  <c r="G288" i="8" s="1"/>
  <c r="B288" i="8"/>
  <c r="C287" i="8"/>
  <c r="F287" i="8" s="1"/>
  <c r="B287" i="8"/>
  <c r="H286" i="8"/>
  <c r="F286" i="8"/>
  <c r="C286" i="8"/>
  <c r="G286" i="8" s="1"/>
  <c r="I286" i="8" s="1"/>
  <c r="B286" i="8"/>
  <c r="G285" i="8"/>
  <c r="H285" i="8" s="1"/>
  <c r="F285" i="8"/>
  <c r="C285" i="8"/>
  <c r="B285" i="8"/>
  <c r="G284" i="8"/>
  <c r="I284" i="8" s="1"/>
  <c r="F284" i="8"/>
  <c r="C284" i="8"/>
  <c r="B284" i="8"/>
  <c r="G283" i="8"/>
  <c r="H283" i="8" s="1"/>
  <c r="C283" i="8"/>
  <c r="F283" i="8" s="1"/>
  <c r="B283" i="8"/>
  <c r="I282" i="8"/>
  <c r="H282" i="8"/>
  <c r="F282" i="8"/>
  <c r="C282" i="8"/>
  <c r="G282" i="8" s="1"/>
  <c r="B282" i="8"/>
  <c r="F281" i="8"/>
  <c r="C281" i="8"/>
  <c r="G281" i="8" s="1"/>
  <c r="B281" i="8"/>
  <c r="G280" i="8"/>
  <c r="I280" i="8" s="1"/>
  <c r="C280" i="8"/>
  <c r="F280" i="8" s="1"/>
  <c r="B280" i="8"/>
  <c r="G279" i="8"/>
  <c r="I279" i="8" s="1"/>
  <c r="C279" i="8"/>
  <c r="F279" i="8" s="1"/>
  <c r="B279" i="8"/>
  <c r="I278" i="8"/>
  <c r="F278" i="8"/>
  <c r="C278" i="8"/>
  <c r="G278" i="8" s="1"/>
  <c r="H278" i="8" s="1"/>
  <c r="B278" i="8"/>
  <c r="C277" i="8"/>
  <c r="B277" i="8"/>
  <c r="C276" i="8"/>
  <c r="B276" i="8"/>
  <c r="C275" i="8"/>
  <c r="G275" i="8" s="1"/>
  <c r="B275" i="8"/>
  <c r="C274" i="8"/>
  <c r="G274" i="8" s="1"/>
  <c r="I274" i="8" s="1"/>
  <c r="B274" i="8"/>
  <c r="F273" i="8"/>
  <c r="C273" i="8"/>
  <c r="G273" i="8" s="1"/>
  <c r="B273" i="8"/>
  <c r="C272" i="8"/>
  <c r="G272" i="8" s="1"/>
  <c r="B272" i="8"/>
  <c r="I271" i="8"/>
  <c r="H271" i="8"/>
  <c r="G271" i="8"/>
  <c r="F271" i="8"/>
  <c r="C271" i="8"/>
  <c r="B271" i="8"/>
  <c r="C270" i="8"/>
  <c r="B270" i="8"/>
  <c r="C269" i="8"/>
  <c r="B269" i="8"/>
  <c r="C268" i="8"/>
  <c r="B268" i="8"/>
  <c r="C267" i="8"/>
  <c r="G267" i="8" s="1"/>
  <c r="B267" i="8"/>
  <c r="F266" i="8"/>
  <c r="C266" i="8"/>
  <c r="G266" i="8" s="1"/>
  <c r="B266" i="8"/>
  <c r="C265" i="8"/>
  <c r="G265" i="8" s="1"/>
  <c r="B265" i="8"/>
  <c r="G264" i="8"/>
  <c r="F264" i="8"/>
  <c r="C264" i="8"/>
  <c r="B264" i="8"/>
  <c r="C263" i="8"/>
  <c r="B263" i="8"/>
  <c r="C262" i="8"/>
  <c r="G262" i="8" s="1"/>
  <c r="B262" i="8"/>
  <c r="C261" i="8"/>
  <c r="B261" i="8"/>
  <c r="C260" i="8"/>
  <c r="B260" i="8"/>
  <c r="C259" i="8"/>
  <c r="G259" i="8" s="1"/>
  <c r="B259" i="8"/>
  <c r="F258" i="8"/>
  <c r="C258" i="8"/>
  <c r="G258" i="8" s="1"/>
  <c r="B258" i="8"/>
  <c r="G257" i="8"/>
  <c r="F257" i="8"/>
  <c r="C257" i="8"/>
  <c r="B257" i="8"/>
  <c r="G256" i="8"/>
  <c r="I256" i="8" s="1"/>
  <c r="F256" i="8"/>
  <c r="C256" i="8"/>
  <c r="B256" i="8"/>
  <c r="C255" i="8"/>
  <c r="G255" i="8" s="1"/>
  <c r="B255" i="8"/>
  <c r="H254" i="8"/>
  <c r="G254" i="8"/>
  <c r="I254" i="8" s="1"/>
  <c r="F254" i="8"/>
  <c r="C254" i="8"/>
  <c r="B254" i="8"/>
  <c r="C253" i="8"/>
  <c r="B253" i="8"/>
  <c r="C252" i="8"/>
  <c r="B252" i="8"/>
  <c r="C251" i="8"/>
  <c r="B251" i="8"/>
  <c r="C250" i="8"/>
  <c r="G250" i="8" s="1"/>
  <c r="B250" i="8"/>
  <c r="C249" i="8"/>
  <c r="B249" i="8"/>
  <c r="C248" i="8"/>
  <c r="G248" i="8" s="1"/>
  <c r="B248" i="8"/>
  <c r="H247" i="8"/>
  <c r="G247" i="8"/>
  <c r="I247" i="8" s="1"/>
  <c r="F247" i="8"/>
  <c r="C247" i="8"/>
  <c r="B247" i="8"/>
  <c r="F246" i="8"/>
  <c r="C246" i="8"/>
  <c r="G246" i="8" s="1"/>
  <c r="B246" i="8"/>
  <c r="C245" i="8"/>
  <c r="F245" i="8" s="1"/>
  <c r="B245" i="8"/>
  <c r="C244" i="8"/>
  <c r="B244" i="8"/>
  <c r="C243" i="8"/>
  <c r="B243" i="8"/>
  <c r="F242" i="8"/>
  <c r="C242" i="8"/>
  <c r="G242" i="8" s="1"/>
  <c r="B242" i="8"/>
  <c r="C241" i="8"/>
  <c r="B241" i="8"/>
  <c r="C240" i="8"/>
  <c r="B240" i="8"/>
  <c r="G239" i="8"/>
  <c r="I239" i="8" s="1"/>
  <c r="C239" i="8"/>
  <c r="F239" i="8" s="1"/>
  <c r="B239" i="8"/>
  <c r="C238" i="8"/>
  <c r="B238" i="8"/>
  <c r="C237" i="8"/>
  <c r="F237" i="8" s="1"/>
  <c r="B237" i="8"/>
  <c r="C236" i="8"/>
  <c r="B236" i="8"/>
  <c r="C235" i="8"/>
  <c r="B235" i="8"/>
  <c r="F234" i="8"/>
  <c r="C234" i="8"/>
  <c r="G234" i="8" s="1"/>
  <c r="B234" i="8"/>
  <c r="C233" i="8"/>
  <c r="G233" i="8" s="1"/>
  <c r="B233" i="8"/>
  <c r="G232" i="8"/>
  <c r="F232" i="8"/>
  <c r="C232" i="8"/>
  <c r="B232" i="8"/>
  <c r="C231" i="8"/>
  <c r="B231" i="8"/>
  <c r="G230" i="8"/>
  <c r="I230" i="8" s="1"/>
  <c r="C230" i="8"/>
  <c r="F230" i="8" s="1"/>
  <c r="B230" i="8"/>
  <c r="C229" i="8"/>
  <c r="B229" i="8"/>
  <c r="C228" i="8"/>
  <c r="B228" i="8"/>
  <c r="C227" i="8"/>
  <c r="B227" i="8"/>
  <c r="C226" i="8"/>
  <c r="G226" i="8" s="1"/>
  <c r="B226" i="8"/>
  <c r="C225" i="8"/>
  <c r="B225" i="8"/>
  <c r="C224" i="8"/>
  <c r="G224" i="8" s="1"/>
  <c r="B224" i="8"/>
  <c r="G223" i="8"/>
  <c r="F223" i="8"/>
  <c r="C223" i="8"/>
  <c r="B223" i="8"/>
  <c r="C222" i="8"/>
  <c r="G222" i="8" s="1"/>
  <c r="B222" i="8"/>
  <c r="G221" i="8"/>
  <c r="C221" i="8"/>
  <c r="F221" i="8" s="1"/>
  <c r="B221" i="8"/>
  <c r="C220" i="8"/>
  <c r="B220" i="8"/>
  <c r="C219" i="8"/>
  <c r="B219" i="8"/>
  <c r="C218" i="8"/>
  <c r="G218" i="8" s="1"/>
  <c r="B218" i="8"/>
  <c r="G217" i="8"/>
  <c r="I217" i="8" s="1"/>
  <c r="C217" i="8"/>
  <c r="F217" i="8" s="1"/>
  <c r="B217" i="8"/>
  <c r="G216" i="8"/>
  <c r="I216" i="8" s="1"/>
  <c r="F216" i="8"/>
  <c r="C216" i="8"/>
  <c r="B216" i="8"/>
  <c r="G215" i="8"/>
  <c r="I215" i="8" s="1"/>
  <c r="F215" i="8"/>
  <c r="C215" i="8"/>
  <c r="B215" i="8"/>
  <c r="C214" i="8"/>
  <c r="G214" i="8" s="1"/>
  <c r="I214" i="8" s="1"/>
  <c r="B214" i="8"/>
  <c r="C213" i="8"/>
  <c r="B213" i="8"/>
  <c r="C212" i="8"/>
  <c r="B212" i="8"/>
  <c r="C211" i="8"/>
  <c r="G211" i="8" s="1"/>
  <c r="H211" i="8" s="1"/>
  <c r="B211" i="8"/>
  <c r="C210" i="8"/>
  <c r="B210" i="8"/>
  <c r="G209" i="8"/>
  <c r="C209" i="8"/>
  <c r="F209" i="8" s="1"/>
  <c r="B209" i="8"/>
  <c r="C208" i="8"/>
  <c r="B208" i="8"/>
  <c r="C207" i="8"/>
  <c r="G207" i="8" s="1"/>
  <c r="B207" i="8"/>
  <c r="G206" i="8"/>
  <c r="F206" i="8"/>
  <c r="C206" i="8"/>
  <c r="B206" i="8"/>
  <c r="C205" i="8"/>
  <c r="F205" i="8" s="1"/>
  <c r="B205" i="8"/>
  <c r="C204" i="8"/>
  <c r="B204" i="8"/>
  <c r="F203" i="8"/>
  <c r="C203" i="8"/>
  <c r="G203" i="8" s="1"/>
  <c r="H203" i="8" s="1"/>
  <c r="B203" i="8"/>
  <c r="C202" i="8"/>
  <c r="G202" i="8" s="1"/>
  <c r="B202" i="8"/>
  <c r="C201" i="8"/>
  <c r="B201" i="8"/>
  <c r="I200" i="8"/>
  <c r="F200" i="8"/>
  <c r="C200" i="8"/>
  <c r="G200" i="8" s="1"/>
  <c r="H200" i="8" s="1"/>
  <c r="B200" i="8"/>
  <c r="G199" i="8"/>
  <c r="I199" i="8" s="1"/>
  <c r="C199" i="8"/>
  <c r="F199" i="8" s="1"/>
  <c r="B199" i="8"/>
  <c r="C198" i="8"/>
  <c r="G198" i="8" s="1"/>
  <c r="B198" i="8"/>
  <c r="G197" i="8"/>
  <c r="C197" i="8"/>
  <c r="F197" i="8" s="1"/>
  <c r="B197" i="8"/>
  <c r="C196" i="8"/>
  <c r="G196" i="8" s="1"/>
  <c r="I196" i="8" s="1"/>
  <c r="B196" i="8"/>
  <c r="I195" i="8"/>
  <c r="F195" i="8"/>
  <c r="C195" i="8"/>
  <c r="G195" i="8" s="1"/>
  <c r="H195" i="8" s="1"/>
  <c r="B195" i="8"/>
  <c r="C194" i="8"/>
  <c r="G194" i="8" s="1"/>
  <c r="B194" i="8"/>
  <c r="C193" i="8"/>
  <c r="B193" i="8"/>
  <c r="F192" i="8"/>
  <c r="C192" i="8"/>
  <c r="G192" i="8" s="1"/>
  <c r="H192" i="8" s="1"/>
  <c r="B192" i="8"/>
  <c r="C191" i="8"/>
  <c r="F191" i="8" s="1"/>
  <c r="B191" i="8"/>
  <c r="F190" i="8"/>
  <c r="C190" i="8"/>
  <c r="G190" i="8" s="1"/>
  <c r="B190" i="8"/>
  <c r="G189" i="8"/>
  <c r="C189" i="8"/>
  <c r="F189" i="8" s="1"/>
  <c r="B189" i="8"/>
  <c r="H188" i="8"/>
  <c r="C188" i="8"/>
  <c r="G188" i="8" s="1"/>
  <c r="I188" i="8" s="1"/>
  <c r="B188" i="8"/>
  <c r="F187" i="8"/>
  <c r="C187" i="8"/>
  <c r="G187" i="8" s="1"/>
  <c r="H187" i="8" s="1"/>
  <c r="B187" i="8"/>
  <c r="C186" i="8"/>
  <c r="G186" i="8" s="1"/>
  <c r="B186" i="8"/>
  <c r="C185" i="8"/>
  <c r="B185" i="8"/>
  <c r="I184" i="8"/>
  <c r="C184" i="8"/>
  <c r="G184" i="8" s="1"/>
  <c r="H184" i="8" s="1"/>
  <c r="B184" i="8"/>
  <c r="G183" i="8"/>
  <c r="I183" i="8" s="1"/>
  <c r="C183" i="8"/>
  <c r="F183" i="8" s="1"/>
  <c r="B183" i="8"/>
  <c r="F182" i="8"/>
  <c r="C182" i="8"/>
  <c r="G182" i="8" s="1"/>
  <c r="B182" i="8"/>
  <c r="C181" i="8"/>
  <c r="F181" i="8" s="1"/>
  <c r="B181" i="8"/>
  <c r="C180" i="8"/>
  <c r="G180" i="8" s="1"/>
  <c r="I180" i="8" s="1"/>
  <c r="B180" i="8"/>
  <c r="F179" i="8"/>
  <c r="C179" i="8"/>
  <c r="G179" i="8" s="1"/>
  <c r="H179" i="8" s="1"/>
  <c r="B179" i="8"/>
  <c r="C178" i="8"/>
  <c r="G178" i="8" s="1"/>
  <c r="B178" i="8"/>
  <c r="C177" i="8"/>
  <c r="B177" i="8"/>
  <c r="C176" i="8"/>
  <c r="G176" i="8" s="1"/>
  <c r="B176" i="8"/>
  <c r="G175" i="8"/>
  <c r="I175" i="8" s="1"/>
  <c r="C175" i="8"/>
  <c r="F175" i="8" s="1"/>
  <c r="B175" i="8"/>
  <c r="C174" i="8"/>
  <c r="G174" i="8" s="1"/>
  <c r="B174" i="8"/>
  <c r="C173" i="8"/>
  <c r="F173" i="8" s="1"/>
  <c r="B173" i="8"/>
  <c r="C172" i="8"/>
  <c r="G172" i="8" s="1"/>
  <c r="I172" i="8" s="1"/>
  <c r="B172" i="8"/>
  <c r="I171" i="8"/>
  <c r="C171" i="8"/>
  <c r="G171" i="8" s="1"/>
  <c r="H171" i="8" s="1"/>
  <c r="B171" i="8"/>
  <c r="C170" i="8"/>
  <c r="B170" i="8"/>
  <c r="C169" i="8"/>
  <c r="B169" i="8"/>
  <c r="C168" i="8"/>
  <c r="B168" i="8"/>
  <c r="G167" i="8"/>
  <c r="I167" i="8" s="1"/>
  <c r="C167" i="8"/>
  <c r="F167" i="8" s="1"/>
  <c r="B167" i="8"/>
  <c r="C166" i="8"/>
  <c r="G166" i="8" s="1"/>
  <c r="B166" i="8"/>
  <c r="C165" i="8"/>
  <c r="B165" i="8"/>
  <c r="C164" i="8"/>
  <c r="G164" i="8" s="1"/>
  <c r="I164" i="8" s="1"/>
  <c r="B164" i="8"/>
  <c r="C163" i="8"/>
  <c r="G163" i="8" s="1"/>
  <c r="H163" i="8" s="1"/>
  <c r="B163" i="8"/>
  <c r="G162" i="8"/>
  <c r="F162" i="8"/>
  <c r="C162" i="8"/>
  <c r="B162" i="8"/>
  <c r="C161" i="8"/>
  <c r="G161" i="8" s="1"/>
  <c r="I161" i="8" s="1"/>
  <c r="B161" i="8"/>
  <c r="H160" i="8"/>
  <c r="G160" i="8"/>
  <c r="I160" i="8" s="1"/>
  <c r="F160" i="8"/>
  <c r="C160" i="8"/>
  <c r="B160" i="8"/>
  <c r="C159" i="8"/>
  <c r="F159" i="8" s="1"/>
  <c r="B159" i="8"/>
  <c r="I158" i="8"/>
  <c r="H158" i="8"/>
  <c r="F158" i="8"/>
  <c r="C158" i="8"/>
  <c r="G158" i="8" s="1"/>
  <c r="B158" i="8"/>
  <c r="C157" i="8"/>
  <c r="F157" i="8" s="1"/>
  <c r="B157" i="8"/>
  <c r="H156" i="8"/>
  <c r="C156" i="8"/>
  <c r="G156" i="8" s="1"/>
  <c r="I156" i="8" s="1"/>
  <c r="B156" i="8"/>
  <c r="G155" i="8"/>
  <c r="H155" i="8" s="1"/>
  <c r="C155" i="8"/>
  <c r="F155" i="8" s="1"/>
  <c r="B155" i="8"/>
  <c r="C154" i="8"/>
  <c r="G154" i="8" s="1"/>
  <c r="B154" i="8"/>
  <c r="C153" i="8"/>
  <c r="G153" i="8" s="1"/>
  <c r="B153" i="8"/>
  <c r="C152" i="8"/>
  <c r="F152" i="8" s="1"/>
  <c r="B152" i="8"/>
  <c r="G151" i="8"/>
  <c r="C151" i="8"/>
  <c r="F151" i="8" s="1"/>
  <c r="B151" i="8"/>
  <c r="C150" i="8"/>
  <c r="G150" i="8" s="1"/>
  <c r="B150" i="8"/>
  <c r="G149" i="8"/>
  <c r="H149" i="8" s="1"/>
  <c r="F149" i="8"/>
  <c r="C149" i="8"/>
  <c r="B149" i="8"/>
  <c r="C148" i="8"/>
  <c r="G148" i="8" s="1"/>
  <c r="B148" i="8"/>
  <c r="C147" i="8"/>
  <c r="G147" i="8" s="1"/>
  <c r="B147" i="8"/>
  <c r="C146" i="8"/>
  <c r="B146" i="8"/>
  <c r="C145" i="8"/>
  <c r="G145" i="8" s="1"/>
  <c r="B145" i="8"/>
  <c r="C144" i="8"/>
  <c r="F144" i="8" s="1"/>
  <c r="B144" i="8"/>
  <c r="I143" i="8"/>
  <c r="H143" i="8"/>
  <c r="G143" i="8"/>
  <c r="C143" i="8"/>
  <c r="F143" i="8" s="1"/>
  <c r="B143" i="8"/>
  <c r="C142" i="8"/>
  <c r="G142" i="8" s="1"/>
  <c r="B142" i="8"/>
  <c r="F141" i="8"/>
  <c r="C141" i="8"/>
  <c r="G141" i="8" s="1"/>
  <c r="H141" i="8" s="1"/>
  <c r="B141" i="8"/>
  <c r="C140" i="8"/>
  <c r="G140" i="8" s="1"/>
  <c r="B140" i="8"/>
  <c r="C139" i="8"/>
  <c r="G139" i="8" s="1"/>
  <c r="B139" i="8"/>
  <c r="G138" i="8"/>
  <c r="I138" i="8" s="1"/>
  <c r="F138" i="8"/>
  <c r="C138" i="8"/>
  <c r="B138" i="8"/>
  <c r="C137" i="8"/>
  <c r="G137" i="8" s="1"/>
  <c r="B137" i="8"/>
  <c r="C136" i="8"/>
  <c r="B136" i="8"/>
  <c r="C135" i="8"/>
  <c r="F135" i="8" s="1"/>
  <c r="B135" i="8"/>
  <c r="C134" i="8"/>
  <c r="G134" i="8" s="1"/>
  <c r="B134" i="8"/>
  <c r="G133" i="8"/>
  <c r="H133" i="8" s="1"/>
  <c r="C133" i="8"/>
  <c r="F133" i="8" s="1"/>
  <c r="B133" i="8"/>
  <c r="C132" i="8"/>
  <c r="G132" i="8" s="1"/>
  <c r="B132" i="8"/>
  <c r="F131" i="8"/>
  <c r="C131" i="8"/>
  <c r="G131" i="8" s="1"/>
  <c r="B131" i="8"/>
  <c r="G130" i="8"/>
  <c r="I130" i="8" s="1"/>
  <c r="F130" i="8"/>
  <c r="C130" i="8"/>
  <c r="B130" i="8"/>
  <c r="C129" i="8"/>
  <c r="G129" i="8" s="1"/>
  <c r="B129" i="8"/>
  <c r="G128" i="8"/>
  <c r="C128" i="8"/>
  <c r="F128" i="8" s="1"/>
  <c r="B128" i="8"/>
  <c r="C127" i="8"/>
  <c r="F127" i="8" s="1"/>
  <c r="B127" i="8"/>
  <c r="C126" i="8"/>
  <c r="G126" i="8" s="1"/>
  <c r="B126" i="8"/>
  <c r="G125" i="8"/>
  <c r="H125" i="8" s="1"/>
  <c r="C125" i="8"/>
  <c r="F125" i="8" s="1"/>
  <c r="B125" i="8"/>
  <c r="C124" i="8"/>
  <c r="G124" i="8" s="1"/>
  <c r="B124" i="8"/>
  <c r="C123" i="8"/>
  <c r="B123" i="8"/>
  <c r="G122" i="8"/>
  <c r="I122" i="8" s="1"/>
  <c r="C122" i="8"/>
  <c r="F122" i="8" s="1"/>
  <c r="B122" i="8"/>
  <c r="C121" i="8"/>
  <c r="G121" i="8" s="1"/>
  <c r="B121" i="8"/>
  <c r="I120" i="8"/>
  <c r="G120" i="8"/>
  <c r="H120" i="8" s="1"/>
  <c r="C120" i="8"/>
  <c r="F120" i="8" s="1"/>
  <c r="B120" i="8"/>
  <c r="G119" i="8"/>
  <c r="I119" i="8" s="1"/>
  <c r="C119" i="8"/>
  <c r="F119" i="8" s="1"/>
  <c r="B119" i="8"/>
  <c r="C118" i="8"/>
  <c r="G118" i="8" s="1"/>
  <c r="B118" i="8"/>
  <c r="C117" i="8"/>
  <c r="F117" i="8" s="1"/>
  <c r="B117" i="8"/>
  <c r="C116" i="8"/>
  <c r="G116" i="8" s="1"/>
  <c r="B116" i="8"/>
  <c r="F115" i="8"/>
  <c r="C115" i="8"/>
  <c r="G115" i="8" s="1"/>
  <c r="B115" i="8"/>
  <c r="C114" i="8"/>
  <c r="G114" i="8" s="1"/>
  <c r="B114" i="8"/>
  <c r="C113" i="8"/>
  <c r="G113" i="8" s="1"/>
  <c r="I113" i="8" s="1"/>
  <c r="B113" i="8"/>
  <c r="I112" i="8"/>
  <c r="G112" i="8"/>
  <c r="H112" i="8" s="1"/>
  <c r="C112" i="8"/>
  <c r="F112" i="8" s="1"/>
  <c r="B112" i="8"/>
  <c r="C111" i="8"/>
  <c r="B111" i="8"/>
  <c r="F110" i="8"/>
  <c r="C110" i="8"/>
  <c r="G110" i="8" s="1"/>
  <c r="B110" i="8"/>
  <c r="C109" i="8"/>
  <c r="F109" i="8" s="1"/>
  <c r="B109" i="8"/>
  <c r="C108" i="8"/>
  <c r="G108" i="8" s="1"/>
  <c r="I108" i="8" s="1"/>
  <c r="B108" i="8"/>
  <c r="F107" i="8"/>
  <c r="C107" i="8"/>
  <c r="G107" i="8" s="1"/>
  <c r="H107" i="8" s="1"/>
  <c r="B107" i="8"/>
  <c r="F106" i="8"/>
  <c r="C106" i="8"/>
  <c r="G106" i="8" s="1"/>
  <c r="B106" i="8"/>
  <c r="C105" i="8"/>
  <c r="B105" i="8"/>
  <c r="C104" i="8"/>
  <c r="F104" i="8" s="1"/>
  <c r="B104" i="8"/>
  <c r="H103" i="8"/>
  <c r="G103" i="8"/>
  <c r="I103" i="8" s="1"/>
  <c r="C103" i="8"/>
  <c r="F103" i="8" s="1"/>
  <c r="B103" i="8"/>
  <c r="C102" i="8"/>
  <c r="G102" i="8" s="1"/>
  <c r="B102" i="8"/>
  <c r="C101" i="8"/>
  <c r="B101" i="8"/>
  <c r="C100" i="8"/>
  <c r="G100" i="8" s="1"/>
  <c r="I100" i="8" s="1"/>
  <c r="B100" i="8"/>
  <c r="C99" i="8"/>
  <c r="G99" i="8" s="1"/>
  <c r="H99" i="8" s="1"/>
  <c r="B99" i="8"/>
  <c r="F98" i="8"/>
  <c r="C98" i="8"/>
  <c r="G98" i="8" s="1"/>
  <c r="B98" i="8"/>
  <c r="F97" i="8"/>
  <c r="C97" i="8"/>
  <c r="G97" i="8" s="1"/>
  <c r="I97" i="8" s="1"/>
  <c r="B97" i="8"/>
  <c r="C96" i="8"/>
  <c r="B96" i="8"/>
  <c r="C95" i="8"/>
  <c r="F95" i="8" s="1"/>
  <c r="B95" i="8"/>
  <c r="F94" i="8"/>
  <c r="C94" i="8"/>
  <c r="G94" i="8" s="1"/>
  <c r="H94" i="8" s="1"/>
  <c r="B94" i="8"/>
  <c r="C93" i="8"/>
  <c r="F93" i="8" s="1"/>
  <c r="B93" i="8"/>
  <c r="C92" i="8"/>
  <c r="B92" i="8"/>
  <c r="I91" i="8"/>
  <c r="F91" i="8"/>
  <c r="C91" i="8"/>
  <c r="G91" i="8" s="1"/>
  <c r="H91" i="8" s="1"/>
  <c r="B91" i="8"/>
  <c r="C90" i="8"/>
  <c r="G90" i="8" s="1"/>
  <c r="B90" i="8"/>
  <c r="C89" i="8"/>
  <c r="F89" i="8" s="1"/>
  <c r="B89" i="8"/>
  <c r="G88" i="8"/>
  <c r="H88" i="8" s="1"/>
  <c r="C88" i="8"/>
  <c r="F88" i="8" s="1"/>
  <c r="B88" i="8"/>
  <c r="C87" i="8"/>
  <c r="B87" i="8"/>
  <c r="C86" i="8"/>
  <c r="G86" i="8" s="1"/>
  <c r="H86" i="8" s="1"/>
  <c r="B86" i="8"/>
  <c r="C85" i="8"/>
  <c r="G85" i="8" s="1"/>
  <c r="B85" i="8"/>
  <c r="G84" i="8"/>
  <c r="I84" i="8" s="1"/>
  <c r="C84" i="8"/>
  <c r="F84" i="8" s="1"/>
  <c r="B84" i="8"/>
  <c r="I83" i="8"/>
  <c r="H83" i="8"/>
  <c r="C83" i="8"/>
  <c r="G83" i="8" s="1"/>
  <c r="B83" i="8"/>
  <c r="C82" i="8"/>
  <c r="B82" i="8"/>
  <c r="C81" i="8"/>
  <c r="G81" i="8" s="1"/>
  <c r="B81" i="8"/>
  <c r="C80" i="8"/>
  <c r="F80" i="8" s="1"/>
  <c r="B80" i="8"/>
  <c r="G79" i="8"/>
  <c r="C79" i="8"/>
  <c r="F79" i="8" s="1"/>
  <c r="B79" i="8"/>
  <c r="C78" i="8"/>
  <c r="G78" i="8" s="1"/>
  <c r="H78" i="8" s="1"/>
  <c r="B78" i="8"/>
  <c r="G77" i="8"/>
  <c r="F77" i="8"/>
  <c r="C77" i="8"/>
  <c r="B77" i="8"/>
  <c r="C76" i="8"/>
  <c r="F76" i="8" s="1"/>
  <c r="B76" i="8"/>
  <c r="C75" i="8"/>
  <c r="G75" i="8" s="1"/>
  <c r="I75" i="8" s="1"/>
  <c r="B75" i="8"/>
  <c r="G74" i="8"/>
  <c r="H74" i="8" s="1"/>
  <c r="C74" i="8"/>
  <c r="F74" i="8" s="1"/>
  <c r="B74" i="8"/>
  <c r="C73" i="8"/>
  <c r="B73" i="8"/>
  <c r="C72" i="8"/>
  <c r="F72" i="8" s="1"/>
  <c r="B72" i="8"/>
  <c r="C71" i="8"/>
  <c r="F71" i="8" s="1"/>
  <c r="B71" i="8"/>
  <c r="I70" i="8"/>
  <c r="F70" i="8"/>
  <c r="C70" i="8"/>
  <c r="G70" i="8" s="1"/>
  <c r="H70" i="8" s="1"/>
  <c r="B70" i="8"/>
  <c r="C69" i="8"/>
  <c r="G69" i="8" s="1"/>
  <c r="I69" i="8" s="1"/>
  <c r="B69" i="8"/>
  <c r="C68" i="8"/>
  <c r="G68" i="8" s="1"/>
  <c r="B68" i="8"/>
  <c r="C67" i="8"/>
  <c r="G67" i="8" s="1"/>
  <c r="B67" i="8"/>
  <c r="C66" i="8"/>
  <c r="F66" i="8" s="1"/>
  <c r="B66" i="8"/>
  <c r="F65" i="8"/>
  <c r="C65" i="8"/>
  <c r="G65" i="8" s="1"/>
  <c r="B65" i="8"/>
  <c r="C64" i="8"/>
  <c r="G64" i="8" s="1"/>
  <c r="H64" i="8" s="1"/>
  <c r="B64" i="8"/>
  <c r="G63" i="8"/>
  <c r="C63" i="8"/>
  <c r="F63" i="8" s="1"/>
  <c r="B63" i="8"/>
  <c r="C62" i="8"/>
  <c r="G62" i="8" s="1"/>
  <c r="B62" i="8"/>
  <c r="C61" i="8"/>
  <c r="B61" i="8"/>
  <c r="C60" i="8"/>
  <c r="G60" i="8" s="1"/>
  <c r="B60" i="8"/>
  <c r="C59" i="8"/>
  <c r="G59" i="8" s="1"/>
  <c r="B59" i="8"/>
  <c r="C58" i="8"/>
  <c r="B58" i="8"/>
  <c r="F57" i="8"/>
  <c r="C57" i="8"/>
  <c r="G57" i="8" s="1"/>
  <c r="B57" i="8"/>
  <c r="C56" i="8"/>
  <c r="G56" i="8" s="1"/>
  <c r="H56" i="8" s="1"/>
  <c r="B56" i="8"/>
  <c r="C55" i="8"/>
  <c r="B55" i="8"/>
  <c r="C54" i="8"/>
  <c r="G54" i="8" s="1"/>
  <c r="B54" i="8"/>
  <c r="C53" i="8"/>
  <c r="F53" i="8" s="1"/>
  <c r="B53" i="8"/>
  <c r="C52" i="8"/>
  <c r="G52" i="8" s="1"/>
  <c r="B52" i="8"/>
  <c r="C51" i="8"/>
  <c r="G51" i="8" s="1"/>
  <c r="B51" i="8"/>
  <c r="C50" i="8"/>
  <c r="F50" i="8" s="1"/>
  <c r="B50" i="8"/>
  <c r="C49" i="8"/>
  <c r="G49" i="8" s="1"/>
  <c r="B49" i="8"/>
  <c r="G48" i="8"/>
  <c r="H48" i="8" s="1"/>
  <c r="F48" i="8"/>
  <c r="C48" i="8"/>
  <c r="B48" i="8"/>
  <c r="C47" i="8"/>
  <c r="F47" i="8" s="1"/>
  <c r="B47" i="8"/>
  <c r="C46" i="8"/>
  <c r="G46" i="8" s="1"/>
  <c r="B46" i="8"/>
  <c r="G45" i="8"/>
  <c r="I45" i="8" s="1"/>
  <c r="C45" i="8"/>
  <c r="F45" i="8" s="1"/>
  <c r="B45" i="8"/>
  <c r="C44" i="8"/>
  <c r="G44" i="8" s="1"/>
  <c r="B44" i="8"/>
  <c r="C43" i="8"/>
  <c r="G43" i="8" s="1"/>
  <c r="B43" i="8"/>
  <c r="C42" i="8"/>
  <c r="F42" i="8" s="1"/>
  <c r="B42" i="8"/>
  <c r="C41" i="8"/>
  <c r="G41" i="8" s="1"/>
  <c r="B41" i="8"/>
  <c r="C40" i="8"/>
  <c r="G40" i="8" s="1"/>
  <c r="H40" i="8" s="1"/>
  <c r="B40" i="8"/>
  <c r="C39" i="8"/>
  <c r="F39" i="8" s="1"/>
  <c r="B39" i="8"/>
  <c r="C38" i="8"/>
  <c r="G38" i="8" s="1"/>
  <c r="B38" i="8"/>
  <c r="G37" i="8"/>
  <c r="I37" i="8" s="1"/>
  <c r="C37" i="8"/>
  <c r="F37" i="8" s="1"/>
  <c r="B37" i="8"/>
  <c r="C36" i="8"/>
  <c r="G36" i="8" s="1"/>
  <c r="B36" i="8"/>
  <c r="C35" i="8"/>
  <c r="G35" i="8" s="1"/>
  <c r="B35" i="8"/>
  <c r="C34" i="8"/>
  <c r="F34" i="8" s="1"/>
  <c r="B34" i="8"/>
  <c r="C33" i="8"/>
  <c r="G33" i="8" s="1"/>
  <c r="B33" i="8"/>
  <c r="F32" i="8"/>
  <c r="C32" i="8"/>
  <c r="G32" i="8" s="1"/>
  <c r="H32" i="8" s="1"/>
  <c r="B32" i="8"/>
  <c r="G31" i="8"/>
  <c r="I31" i="8" s="1"/>
  <c r="C31" i="8"/>
  <c r="F31" i="8" s="1"/>
  <c r="B31" i="8"/>
  <c r="C30" i="8"/>
  <c r="G30" i="8" s="1"/>
  <c r="B30" i="8"/>
  <c r="C29" i="8"/>
  <c r="G29" i="8" s="1"/>
  <c r="I29" i="8" s="1"/>
  <c r="B29" i="8"/>
  <c r="C28" i="8"/>
  <c r="G28" i="8" s="1"/>
  <c r="B28" i="8"/>
  <c r="C27" i="8"/>
  <c r="G27" i="8" s="1"/>
  <c r="B27" i="8"/>
  <c r="C26" i="8"/>
  <c r="F26" i="8" s="1"/>
  <c r="B26" i="8"/>
  <c r="F25" i="8"/>
  <c r="C25" i="8"/>
  <c r="G25" i="8" s="1"/>
  <c r="B25" i="8"/>
  <c r="C24" i="8"/>
  <c r="G24" i="8" s="1"/>
  <c r="H24" i="8" s="1"/>
  <c r="B24" i="8"/>
  <c r="C23" i="8"/>
  <c r="F23" i="8" s="1"/>
  <c r="B23" i="8"/>
  <c r="C22" i="8"/>
  <c r="G22" i="8" s="1"/>
  <c r="B22" i="8"/>
  <c r="G21" i="8"/>
  <c r="I21" i="8" s="1"/>
  <c r="C21" i="8"/>
  <c r="F21" i="8" s="1"/>
  <c r="B21" i="8"/>
  <c r="C20" i="8"/>
  <c r="G20" i="8" s="1"/>
  <c r="B20" i="8"/>
  <c r="C19" i="8"/>
  <c r="G19" i="8" s="1"/>
  <c r="B19" i="8"/>
  <c r="C18" i="8"/>
  <c r="F18" i="8" s="1"/>
  <c r="B18" i="8"/>
  <c r="F17" i="8"/>
  <c r="C17" i="8"/>
  <c r="G17" i="8" s="1"/>
  <c r="B17" i="8"/>
  <c r="C16" i="8"/>
  <c r="B16" i="8"/>
  <c r="G15" i="8"/>
  <c r="I15" i="8" s="1"/>
  <c r="C15" i="8"/>
  <c r="F15" i="8" s="1"/>
  <c r="B15" i="8"/>
  <c r="C14" i="8"/>
  <c r="G14" i="8" s="1"/>
  <c r="B14" i="8"/>
  <c r="C13" i="8"/>
  <c r="B13" i="8"/>
  <c r="C12" i="8"/>
  <c r="G12" i="8" s="1"/>
  <c r="B12" i="8"/>
  <c r="C11" i="8"/>
  <c r="G11" i="8" s="1"/>
  <c r="B11" i="8"/>
  <c r="N10" i="8"/>
  <c r="M10" i="8"/>
  <c r="C10" i="8"/>
  <c r="F10" i="8" s="1"/>
  <c r="B10" i="8"/>
  <c r="G61" i="8" l="1"/>
  <c r="I61" i="8" s="1"/>
  <c r="F61" i="8"/>
  <c r="F101" i="8"/>
  <c r="G101" i="8"/>
  <c r="G123" i="8"/>
  <c r="I123" i="8" s="1"/>
  <c r="F123" i="8"/>
  <c r="F136" i="8"/>
  <c r="G136" i="8"/>
  <c r="G170" i="8"/>
  <c r="F170" i="8"/>
  <c r="G208" i="8"/>
  <c r="F208" i="8"/>
  <c r="G231" i="8"/>
  <c r="F231" i="8"/>
  <c r="G364" i="8"/>
  <c r="F364" i="8"/>
  <c r="I553" i="8"/>
  <c r="H553" i="8"/>
  <c r="F58" i="8"/>
  <c r="G58" i="8"/>
  <c r="G82" i="8"/>
  <c r="H82" i="8" s="1"/>
  <c r="F82" i="8"/>
  <c r="F111" i="8"/>
  <c r="G111" i="8"/>
  <c r="I221" i="8"/>
  <c r="H221" i="8"/>
  <c r="I224" i="8"/>
  <c r="H224" i="8"/>
  <c r="G238" i="8"/>
  <c r="H238" i="8" s="1"/>
  <c r="F238" i="8"/>
  <c r="G263" i="8"/>
  <c r="F263" i="8"/>
  <c r="G301" i="8"/>
  <c r="F301" i="8"/>
  <c r="H317" i="8"/>
  <c r="I317" i="8"/>
  <c r="H414" i="8"/>
  <c r="I414" i="8"/>
  <c r="I491" i="8"/>
  <c r="H491" i="8"/>
  <c r="I223" i="8"/>
  <c r="H223" i="8"/>
  <c r="F225" i="8"/>
  <c r="G225" i="8"/>
  <c r="I246" i="8"/>
  <c r="H246" i="8"/>
  <c r="I248" i="8"/>
  <c r="H248" i="8"/>
  <c r="G292" i="8"/>
  <c r="F292" i="8"/>
  <c r="G318" i="8"/>
  <c r="F318" i="8"/>
  <c r="H325" i="8"/>
  <c r="I325" i="8"/>
  <c r="H430" i="8"/>
  <c r="I430" i="8"/>
  <c r="H501" i="8"/>
  <c r="I501" i="8"/>
  <c r="H523" i="8"/>
  <c r="I523" i="8"/>
  <c r="I262" i="8"/>
  <c r="H262" i="8"/>
  <c r="I316" i="8"/>
  <c r="H316" i="8"/>
  <c r="I272" i="8"/>
  <c r="H272" i="8"/>
  <c r="F73" i="8"/>
  <c r="G73" i="8"/>
  <c r="I79" i="8"/>
  <c r="H79" i="8"/>
  <c r="F13" i="8"/>
  <c r="G13" i="8"/>
  <c r="I13" i="8" s="1"/>
  <c r="I63" i="8"/>
  <c r="H63" i="8"/>
  <c r="F96" i="8"/>
  <c r="G96" i="8"/>
  <c r="H128" i="8"/>
  <c r="I128" i="8"/>
  <c r="G168" i="8"/>
  <c r="F168" i="8"/>
  <c r="I232" i="8"/>
  <c r="H232" i="8"/>
  <c r="I255" i="8"/>
  <c r="H255" i="8"/>
  <c r="I306" i="8"/>
  <c r="H306" i="8"/>
  <c r="H438" i="8"/>
  <c r="I438" i="8"/>
  <c r="F165" i="8"/>
  <c r="G165" i="8"/>
  <c r="G210" i="8"/>
  <c r="F210" i="8"/>
  <c r="G249" i="8"/>
  <c r="I249" i="8" s="1"/>
  <c r="F249" i="8"/>
  <c r="I264" i="8"/>
  <c r="H264" i="8"/>
  <c r="H309" i="8"/>
  <c r="I309" i="8"/>
  <c r="G366" i="8"/>
  <c r="F366" i="8"/>
  <c r="H489" i="8"/>
  <c r="I489" i="8"/>
  <c r="I151" i="8"/>
  <c r="H151" i="8"/>
  <c r="I300" i="8"/>
  <c r="H300" i="8"/>
  <c r="H341" i="8"/>
  <c r="I341" i="8"/>
  <c r="F55" i="8"/>
  <c r="G55" i="8"/>
  <c r="I55" i="8" s="1"/>
  <c r="G146" i="8"/>
  <c r="I146" i="8" s="1"/>
  <c r="F146" i="8"/>
  <c r="G270" i="8"/>
  <c r="F270" i="8"/>
  <c r="H450" i="8"/>
  <c r="I450" i="8"/>
  <c r="G16" i="8"/>
  <c r="H16" i="8" s="1"/>
  <c r="F16" i="8"/>
  <c r="H77" i="8"/>
  <c r="I77" i="8"/>
  <c r="F87" i="8"/>
  <c r="G87" i="8"/>
  <c r="I176" i="8"/>
  <c r="H176" i="8"/>
  <c r="I207" i="8"/>
  <c r="H207" i="8"/>
  <c r="G240" i="8"/>
  <c r="I240" i="8" s="1"/>
  <c r="F240" i="8"/>
  <c r="G296" i="8"/>
  <c r="F296" i="8"/>
  <c r="I359" i="8"/>
  <c r="H359" i="8"/>
  <c r="H363" i="8"/>
  <c r="I363" i="8"/>
  <c r="D10" i="8"/>
  <c r="D11" i="8" s="1"/>
  <c r="I94" i="8"/>
  <c r="F379" i="8"/>
  <c r="H415" i="8"/>
  <c r="F431" i="8"/>
  <c r="H439" i="8"/>
  <c r="H443" i="8"/>
  <c r="I458" i="8"/>
  <c r="F461" i="8"/>
  <c r="F464" i="8"/>
  <c r="I472" i="8"/>
  <c r="G479" i="8"/>
  <c r="F485" i="8"/>
  <c r="F494" i="8"/>
  <c r="I496" i="8"/>
  <c r="H504" i="8"/>
  <c r="H512" i="8"/>
  <c r="G516" i="8"/>
  <c r="G530" i="8"/>
  <c r="H533" i="8"/>
  <c r="G538" i="8"/>
  <c r="H545" i="8"/>
  <c r="I560" i="8"/>
  <c r="H485" i="8"/>
  <c r="H494" i="8"/>
  <c r="O10" i="8"/>
  <c r="F49" i="8"/>
  <c r="G66" i="8"/>
  <c r="F69" i="8"/>
  <c r="G71" i="8"/>
  <c r="G76" i="8"/>
  <c r="F90" i="8"/>
  <c r="G109" i="8"/>
  <c r="I109" i="8" s="1"/>
  <c r="H119" i="8"/>
  <c r="G127" i="8"/>
  <c r="F139" i="8"/>
  <c r="G144" i="8"/>
  <c r="G159" i="8"/>
  <c r="H159" i="8" s="1"/>
  <c r="F163" i="8"/>
  <c r="G173" i="8"/>
  <c r="F176" i="8"/>
  <c r="F178" i="8"/>
  <c r="F186" i="8"/>
  <c r="G191" i="8"/>
  <c r="I191" i="8" s="1"/>
  <c r="F194" i="8"/>
  <c r="F202" i="8"/>
  <c r="F207" i="8"/>
  <c r="F262" i="8"/>
  <c r="F272" i="8"/>
  <c r="H279" i="8"/>
  <c r="I283" i="8"/>
  <c r="G287" i="8"/>
  <c r="F290" i="8"/>
  <c r="F294" i="8"/>
  <c r="F309" i="8"/>
  <c r="F325" i="8"/>
  <c r="F348" i="8"/>
  <c r="F350" i="8"/>
  <c r="H352" i="8"/>
  <c r="F355" i="8"/>
  <c r="I369" i="8"/>
  <c r="G447" i="8"/>
  <c r="I447" i="8" s="1"/>
  <c r="G452" i="8"/>
  <c r="H452" i="8" s="1"/>
  <c r="I520" i="8"/>
  <c r="G528" i="8"/>
  <c r="H528" i="8" s="1"/>
  <c r="I536" i="8"/>
  <c r="G544" i="8"/>
  <c r="F551" i="8"/>
  <c r="G558" i="8"/>
  <c r="F563" i="8"/>
  <c r="G53" i="8"/>
  <c r="I53" i="8" s="1"/>
  <c r="F64" i="8"/>
  <c r="F78" i="8"/>
  <c r="G95" i="8"/>
  <c r="F99" i="8"/>
  <c r="F102" i="8"/>
  <c r="G104" i="8"/>
  <c r="F114" i="8"/>
  <c r="G135" i="8"/>
  <c r="I163" i="8"/>
  <c r="G181" i="8"/>
  <c r="I181" i="8" s="1"/>
  <c r="G205" i="8"/>
  <c r="H205" i="8" s="1"/>
  <c r="H216" i="8"/>
  <c r="F222" i="8"/>
  <c r="F224" i="8"/>
  <c r="F226" i="8"/>
  <c r="F233" i="8"/>
  <c r="F248" i="8"/>
  <c r="F255" i="8"/>
  <c r="F265" i="8"/>
  <c r="F274" i="8"/>
  <c r="I285" i="8"/>
  <c r="H290" i="8"/>
  <c r="H294" i="8"/>
  <c r="I297" i="8"/>
  <c r="F300" i="8"/>
  <c r="F304" i="8"/>
  <c r="F317" i="8"/>
  <c r="I333" i="8"/>
  <c r="F336" i="8"/>
  <c r="G360" i="8"/>
  <c r="F363" i="8"/>
  <c r="F372" i="8"/>
  <c r="F398" i="8"/>
  <c r="F430" i="8"/>
  <c r="G432" i="8"/>
  <c r="G440" i="8"/>
  <c r="F442" i="8"/>
  <c r="G23" i="8"/>
  <c r="I23" i="8" s="1"/>
  <c r="F33" i="8"/>
  <c r="F40" i="8"/>
  <c r="F62" i="8"/>
  <c r="I78" i="8"/>
  <c r="F83" i="8"/>
  <c r="G93" i="8"/>
  <c r="G117" i="8"/>
  <c r="H117" i="8" s="1"/>
  <c r="F147" i="8"/>
  <c r="G152" i="8"/>
  <c r="F171" i="8"/>
  <c r="F184" i="8"/>
  <c r="I211" i="8"/>
  <c r="F250" i="8"/>
  <c r="F340" i="8"/>
  <c r="F342" i="8"/>
  <c r="F367" i="8"/>
  <c r="F393" i="8"/>
  <c r="G396" i="8"/>
  <c r="I396" i="8" s="1"/>
  <c r="H398" i="8"/>
  <c r="G412" i="8"/>
  <c r="G455" i="8"/>
  <c r="H465" i="8"/>
  <c r="I473" i="8"/>
  <c r="F484" i="8"/>
  <c r="F489" i="8"/>
  <c r="F491" i="8"/>
  <c r="G495" i="8"/>
  <c r="F502" i="8"/>
  <c r="H508" i="8"/>
  <c r="I526" i="8"/>
  <c r="G542" i="8"/>
  <c r="H549" i="8"/>
  <c r="H561" i="8"/>
  <c r="F332" i="8"/>
  <c r="F334" i="8"/>
  <c r="H356" i="8"/>
  <c r="F361" i="8"/>
  <c r="G373" i="8"/>
  <c r="F375" i="8"/>
  <c r="F410" i="8"/>
  <c r="I422" i="8"/>
  <c r="G425" i="8"/>
  <c r="I425" i="8" s="1"/>
  <c r="I453" i="8"/>
  <c r="F469" i="8"/>
  <c r="F535" i="8"/>
  <c r="I552" i="8"/>
  <c r="G554" i="8"/>
  <c r="F14" i="8"/>
  <c r="G26" i="8"/>
  <c r="F29" i="8"/>
  <c r="H31" i="8"/>
  <c r="F46" i="8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E377" i="8" s="1"/>
  <c r="E378" i="8" s="1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06" i="8" s="1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431" i="8" s="1"/>
  <c r="E432" i="8" s="1"/>
  <c r="E433" i="8" s="1"/>
  <c r="E434" i="8" s="1"/>
  <c r="E435" i="8" s="1"/>
  <c r="E436" i="8" s="1"/>
  <c r="E437" i="8" s="1"/>
  <c r="E438" i="8" s="1"/>
  <c r="E439" i="8" s="1"/>
  <c r="E440" i="8" s="1"/>
  <c r="E441" i="8" s="1"/>
  <c r="E442" i="8" s="1"/>
  <c r="E443" i="8" s="1"/>
  <c r="E444" i="8" s="1"/>
  <c r="E445" i="8" s="1"/>
  <c r="E446" i="8" s="1"/>
  <c r="E447" i="8" s="1"/>
  <c r="E448" i="8" s="1"/>
  <c r="E449" i="8" s="1"/>
  <c r="E450" i="8" s="1"/>
  <c r="E451" i="8" s="1"/>
  <c r="E452" i="8" s="1"/>
  <c r="E453" i="8" s="1"/>
  <c r="E454" i="8" s="1"/>
  <c r="E455" i="8" s="1"/>
  <c r="E456" i="8" s="1"/>
  <c r="E457" i="8" s="1"/>
  <c r="E458" i="8" s="1"/>
  <c r="E459" i="8" s="1"/>
  <c r="E460" i="8" s="1"/>
  <c r="E461" i="8" s="1"/>
  <c r="E462" i="8" s="1"/>
  <c r="E463" i="8" s="1"/>
  <c r="E464" i="8" s="1"/>
  <c r="E465" i="8" s="1"/>
  <c r="E466" i="8" s="1"/>
  <c r="E467" i="8" s="1"/>
  <c r="E468" i="8" s="1"/>
  <c r="E469" i="8" s="1"/>
  <c r="E470" i="8" s="1"/>
  <c r="E471" i="8" s="1"/>
  <c r="E472" i="8" s="1"/>
  <c r="E473" i="8" s="1"/>
  <c r="E474" i="8" s="1"/>
  <c r="E475" i="8" s="1"/>
  <c r="E476" i="8" s="1"/>
  <c r="E477" i="8" s="1"/>
  <c r="E478" i="8" s="1"/>
  <c r="E479" i="8" s="1"/>
  <c r="E480" i="8" s="1"/>
  <c r="E481" i="8" s="1"/>
  <c r="E482" i="8" s="1"/>
  <c r="E483" i="8" s="1"/>
  <c r="E484" i="8" s="1"/>
  <c r="E485" i="8" s="1"/>
  <c r="E486" i="8" s="1"/>
  <c r="E487" i="8" s="1"/>
  <c r="E488" i="8" s="1"/>
  <c r="E489" i="8" s="1"/>
  <c r="E490" i="8" s="1"/>
  <c r="E491" i="8" s="1"/>
  <c r="E492" i="8" s="1"/>
  <c r="E493" i="8" s="1"/>
  <c r="E494" i="8" s="1"/>
  <c r="E495" i="8" s="1"/>
  <c r="E496" i="8" s="1"/>
  <c r="E497" i="8" s="1"/>
  <c r="E498" i="8" s="1"/>
  <c r="E499" i="8" s="1"/>
  <c r="E500" i="8" s="1"/>
  <c r="E501" i="8" s="1"/>
  <c r="E502" i="8" s="1"/>
  <c r="E503" i="8" s="1"/>
  <c r="E504" i="8" s="1"/>
  <c r="E505" i="8" s="1"/>
  <c r="E506" i="8" s="1"/>
  <c r="E507" i="8" s="1"/>
  <c r="E508" i="8" s="1"/>
  <c r="E509" i="8" s="1"/>
  <c r="E510" i="8" s="1"/>
  <c r="E511" i="8" s="1"/>
  <c r="E512" i="8" s="1"/>
  <c r="E513" i="8" s="1"/>
  <c r="E514" i="8" s="1"/>
  <c r="E515" i="8" s="1"/>
  <c r="E516" i="8" s="1"/>
  <c r="E517" i="8" s="1"/>
  <c r="E518" i="8" s="1"/>
  <c r="E519" i="8" s="1"/>
  <c r="E520" i="8" s="1"/>
  <c r="E521" i="8" s="1"/>
  <c r="E522" i="8" s="1"/>
  <c r="E523" i="8" s="1"/>
  <c r="E524" i="8" s="1"/>
  <c r="E525" i="8" s="1"/>
  <c r="E526" i="8" s="1"/>
  <c r="E527" i="8" s="1"/>
  <c r="E528" i="8" s="1"/>
  <c r="E529" i="8" s="1"/>
  <c r="E530" i="8" s="1"/>
  <c r="E531" i="8" s="1"/>
  <c r="E532" i="8" s="1"/>
  <c r="E533" i="8" s="1"/>
  <c r="E534" i="8" s="1"/>
  <c r="E535" i="8" s="1"/>
  <c r="E536" i="8" s="1"/>
  <c r="E537" i="8" s="1"/>
  <c r="E538" i="8" s="1"/>
  <c r="E539" i="8" s="1"/>
  <c r="E540" i="8" s="1"/>
  <c r="E541" i="8" s="1"/>
  <c r="E542" i="8" s="1"/>
  <c r="E543" i="8" s="1"/>
  <c r="E544" i="8" s="1"/>
  <c r="E545" i="8" s="1"/>
  <c r="E546" i="8" s="1"/>
  <c r="E547" i="8" s="1"/>
  <c r="E548" i="8" s="1"/>
  <c r="E549" i="8" s="1"/>
  <c r="E550" i="8" s="1"/>
  <c r="E551" i="8" s="1"/>
  <c r="E552" i="8" s="1"/>
  <c r="E553" i="8" s="1"/>
  <c r="E554" i="8" s="1"/>
  <c r="E555" i="8" s="1"/>
  <c r="E556" i="8" s="1"/>
  <c r="E557" i="8" s="1"/>
  <c r="E558" i="8" s="1"/>
  <c r="E559" i="8" s="1"/>
  <c r="E560" i="8" s="1"/>
  <c r="E561" i="8" s="1"/>
  <c r="E562" i="8" s="1"/>
  <c r="E563" i="8" s="1"/>
  <c r="E564" i="8" s="1"/>
  <c r="E565" i="8" s="1"/>
  <c r="F24" i="8"/>
  <c r="G39" i="8"/>
  <c r="F41" i="8"/>
  <c r="F56" i="8"/>
  <c r="G10" i="8"/>
  <c r="F22" i="8"/>
  <c r="G34" i="8"/>
  <c r="F54" i="8"/>
  <c r="G47" i="8"/>
  <c r="H15" i="8"/>
  <c r="F30" i="8"/>
  <c r="G42" i="8"/>
  <c r="G18" i="8"/>
  <c r="H23" i="8"/>
  <c r="F38" i="8"/>
  <c r="G50" i="8"/>
  <c r="H55" i="8"/>
  <c r="I11" i="8"/>
  <c r="H11" i="8"/>
  <c r="I14" i="8"/>
  <c r="H14" i="8"/>
  <c r="I36" i="8"/>
  <c r="H36" i="8"/>
  <c r="I43" i="8"/>
  <c r="H43" i="8"/>
  <c r="I46" i="8"/>
  <c r="H46" i="8"/>
  <c r="I68" i="8"/>
  <c r="H68" i="8"/>
  <c r="I65" i="8"/>
  <c r="H65" i="8"/>
  <c r="D12" i="8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I41" i="8"/>
  <c r="H41" i="8"/>
  <c r="I28" i="8"/>
  <c r="H28" i="8"/>
  <c r="I33" i="8"/>
  <c r="H33" i="8"/>
  <c r="I12" i="8"/>
  <c r="H12" i="8"/>
  <c r="I19" i="8"/>
  <c r="H19" i="8"/>
  <c r="I22" i="8"/>
  <c r="H22" i="8"/>
  <c r="I44" i="8"/>
  <c r="H44" i="8"/>
  <c r="I51" i="8"/>
  <c r="H51" i="8"/>
  <c r="I54" i="8"/>
  <c r="H54" i="8"/>
  <c r="I17" i="8"/>
  <c r="H17" i="8"/>
  <c r="I49" i="8"/>
  <c r="H49" i="8"/>
  <c r="I59" i="8"/>
  <c r="H59" i="8"/>
  <c r="I62" i="8"/>
  <c r="H62" i="8"/>
  <c r="H85" i="8"/>
  <c r="I85" i="8"/>
  <c r="I20" i="8"/>
  <c r="H20" i="8"/>
  <c r="I27" i="8"/>
  <c r="H27" i="8"/>
  <c r="I30" i="8"/>
  <c r="H30" i="8"/>
  <c r="I52" i="8"/>
  <c r="H52" i="8"/>
  <c r="I25" i="8"/>
  <c r="H25" i="8"/>
  <c r="I57" i="8"/>
  <c r="H57" i="8"/>
  <c r="I35" i="8"/>
  <c r="H35" i="8"/>
  <c r="I38" i="8"/>
  <c r="H38" i="8"/>
  <c r="I60" i="8"/>
  <c r="H60" i="8"/>
  <c r="I67" i="8"/>
  <c r="H67" i="8"/>
  <c r="I81" i="8"/>
  <c r="H81" i="8"/>
  <c r="F11" i="8"/>
  <c r="F19" i="8"/>
  <c r="I24" i="8"/>
  <c r="F27" i="8"/>
  <c r="I32" i="8"/>
  <c r="F35" i="8"/>
  <c r="I40" i="8"/>
  <c r="F43" i="8"/>
  <c r="I48" i="8"/>
  <c r="F51" i="8"/>
  <c r="I56" i="8"/>
  <c r="F59" i="8"/>
  <c r="I64" i="8"/>
  <c r="F67" i="8"/>
  <c r="G72" i="8"/>
  <c r="F75" i="8"/>
  <c r="F85" i="8"/>
  <c r="I88" i="8"/>
  <c r="G89" i="8"/>
  <c r="I99" i="8"/>
  <c r="H109" i="8"/>
  <c r="I126" i="8"/>
  <c r="H126" i="8"/>
  <c r="I153" i="8"/>
  <c r="H153" i="8"/>
  <c r="F12" i="8"/>
  <c r="F20" i="8"/>
  <c r="F28" i="8"/>
  <c r="F36" i="8"/>
  <c r="F44" i="8"/>
  <c r="F52" i="8"/>
  <c r="F60" i="8"/>
  <c r="F68" i="8"/>
  <c r="H75" i="8"/>
  <c r="F81" i="8"/>
  <c r="F86" i="8"/>
  <c r="I102" i="8"/>
  <c r="H102" i="8"/>
  <c r="I131" i="8"/>
  <c r="H131" i="8"/>
  <c r="I134" i="8"/>
  <c r="H134" i="8"/>
  <c r="I86" i="8"/>
  <c r="I90" i="8"/>
  <c r="H90" i="8"/>
  <c r="H108" i="8"/>
  <c r="I116" i="8"/>
  <c r="H116" i="8"/>
  <c r="I121" i="8"/>
  <c r="H121" i="8"/>
  <c r="I139" i="8"/>
  <c r="H139" i="8"/>
  <c r="I154" i="8"/>
  <c r="H154" i="8"/>
  <c r="G92" i="8"/>
  <c r="F92" i="8"/>
  <c r="I124" i="8"/>
  <c r="H124" i="8"/>
  <c r="I129" i="8"/>
  <c r="H129" i="8"/>
  <c r="I142" i="8"/>
  <c r="H142" i="8"/>
  <c r="H21" i="8"/>
  <c r="H29" i="8"/>
  <c r="H37" i="8"/>
  <c r="H45" i="8"/>
  <c r="H61" i="8"/>
  <c r="H69" i="8"/>
  <c r="I74" i="8"/>
  <c r="I107" i="8"/>
  <c r="I110" i="8"/>
  <c r="H110" i="8"/>
  <c r="I114" i="8"/>
  <c r="H114" i="8"/>
  <c r="I132" i="8"/>
  <c r="H132" i="8"/>
  <c r="I137" i="8"/>
  <c r="H137" i="8"/>
  <c r="I147" i="8"/>
  <c r="H147" i="8"/>
  <c r="H101" i="8"/>
  <c r="I101" i="8"/>
  <c r="I106" i="8"/>
  <c r="H106" i="8"/>
  <c r="I140" i="8"/>
  <c r="H140" i="8"/>
  <c r="I150" i="8"/>
  <c r="H150" i="8"/>
  <c r="H93" i="8"/>
  <c r="I93" i="8"/>
  <c r="G105" i="8"/>
  <c r="F105" i="8"/>
  <c r="I145" i="8"/>
  <c r="H145" i="8"/>
  <c r="G80" i="8"/>
  <c r="I82" i="8"/>
  <c r="H84" i="8"/>
  <c r="H97" i="8"/>
  <c r="I98" i="8"/>
  <c r="H98" i="8"/>
  <c r="H100" i="8"/>
  <c r="H113" i="8"/>
  <c r="I115" i="8"/>
  <c r="H115" i="8"/>
  <c r="I118" i="8"/>
  <c r="H118" i="8"/>
  <c r="I148" i="8"/>
  <c r="H148" i="8"/>
  <c r="I117" i="8"/>
  <c r="I125" i="8"/>
  <c r="I133" i="8"/>
  <c r="I141" i="8"/>
  <c r="I149" i="8"/>
  <c r="G193" i="8"/>
  <c r="F193" i="8"/>
  <c r="I202" i="8"/>
  <c r="H202" i="8"/>
  <c r="G236" i="8"/>
  <c r="F236" i="8"/>
  <c r="F113" i="8"/>
  <c r="F121" i="8"/>
  <c r="F129" i="8"/>
  <c r="F137" i="8"/>
  <c r="F145" i="8"/>
  <c r="F153" i="8"/>
  <c r="F154" i="8"/>
  <c r="F161" i="8"/>
  <c r="I174" i="8"/>
  <c r="H174" i="8"/>
  <c r="I189" i="8"/>
  <c r="H189" i="8"/>
  <c r="G201" i="8"/>
  <c r="F201" i="8"/>
  <c r="I222" i="8"/>
  <c r="H222" i="8"/>
  <c r="I225" i="8"/>
  <c r="H225" i="8"/>
  <c r="I155" i="8"/>
  <c r="I165" i="8"/>
  <c r="H165" i="8"/>
  <c r="I170" i="8"/>
  <c r="H170" i="8"/>
  <c r="F174" i="8"/>
  <c r="H180" i="8"/>
  <c r="I197" i="8"/>
  <c r="H197" i="8"/>
  <c r="I209" i="8"/>
  <c r="H209" i="8"/>
  <c r="I218" i="8"/>
  <c r="H218" i="8"/>
  <c r="G169" i="8"/>
  <c r="F169" i="8"/>
  <c r="F213" i="8"/>
  <c r="G213" i="8"/>
  <c r="F100" i="8"/>
  <c r="F108" i="8"/>
  <c r="F116" i="8"/>
  <c r="H122" i="8"/>
  <c r="F124" i="8"/>
  <c r="H130" i="8"/>
  <c r="F132" i="8"/>
  <c r="H138" i="8"/>
  <c r="F140" i="8"/>
  <c r="H146" i="8"/>
  <c r="F148" i="8"/>
  <c r="H161" i="8"/>
  <c r="H164" i="8"/>
  <c r="I179" i="8"/>
  <c r="I182" i="8"/>
  <c r="H182" i="8"/>
  <c r="I192" i="8"/>
  <c r="H196" i="8"/>
  <c r="G157" i="8"/>
  <c r="I162" i="8"/>
  <c r="H162" i="8"/>
  <c r="I173" i="8"/>
  <c r="H173" i="8"/>
  <c r="I178" i="8"/>
  <c r="H178" i="8"/>
  <c r="I187" i="8"/>
  <c r="I190" i="8"/>
  <c r="H190" i="8"/>
  <c r="I206" i="8"/>
  <c r="H206" i="8"/>
  <c r="G219" i="8"/>
  <c r="F219" i="8"/>
  <c r="F118" i="8"/>
  <c r="F126" i="8"/>
  <c r="F134" i="8"/>
  <c r="F142" i="8"/>
  <c r="F150" i="8"/>
  <c r="I166" i="8"/>
  <c r="H166" i="8"/>
  <c r="G177" i="8"/>
  <c r="F177" i="8"/>
  <c r="I186" i="8"/>
  <c r="H186" i="8"/>
  <c r="I198" i="8"/>
  <c r="H198" i="8"/>
  <c r="F229" i="8"/>
  <c r="G229" i="8"/>
  <c r="F156" i="8"/>
  <c r="I159" i="8"/>
  <c r="F166" i="8"/>
  <c r="H172" i="8"/>
  <c r="G185" i="8"/>
  <c r="F185" i="8"/>
  <c r="I194" i="8"/>
  <c r="H194" i="8"/>
  <c r="F198" i="8"/>
  <c r="I203" i="8"/>
  <c r="I205" i="8"/>
  <c r="I210" i="8"/>
  <c r="H210" i="8"/>
  <c r="H214" i="8"/>
  <c r="I313" i="8"/>
  <c r="H313" i="8"/>
  <c r="I318" i="8"/>
  <c r="H318" i="8"/>
  <c r="I329" i="8"/>
  <c r="H329" i="8"/>
  <c r="I338" i="8"/>
  <c r="H338" i="8"/>
  <c r="H347" i="8"/>
  <c r="I347" i="8"/>
  <c r="G204" i="8"/>
  <c r="F204" i="8"/>
  <c r="F211" i="8"/>
  <c r="I242" i="8"/>
  <c r="H242" i="8"/>
  <c r="H249" i="8"/>
  <c r="I258" i="8"/>
  <c r="H258" i="8"/>
  <c r="I265" i="8"/>
  <c r="H265" i="8"/>
  <c r="G268" i="8"/>
  <c r="F268" i="8"/>
  <c r="G277" i="8"/>
  <c r="F277" i="8"/>
  <c r="G227" i="8"/>
  <c r="F227" i="8"/>
  <c r="I234" i="8"/>
  <c r="H234" i="8"/>
  <c r="F241" i="8"/>
  <c r="G261" i="8"/>
  <c r="F261" i="8"/>
  <c r="I296" i="8"/>
  <c r="H296" i="8"/>
  <c r="H167" i="8"/>
  <c r="H175" i="8"/>
  <c r="H183" i="8"/>
  <c r="H191" i="8"/>
  <c r="H199" i="8"/>
  <c r="G212" i="8"/>
  <c r="F212" i="8"/>
  <c r="H217" i="8"/>
  <c r="I233" i="8"/>
  <c r="H233" i="8"/>
  <c r="G241" i="8"/>
  <c r="G243" i="8"/>
  <c r="F243" i="8"/>
  <c r="I267" i="8"/>
  <c r="H267" i="8"/>
  <c r="I273" i="8"/>
  <c r="H273" i="8"/>
  <c r="G237" i="8"/>
  <c r="G244" i="8"/>
  <c r="F244" i="8"/>
  <c r="G253" i="8"/>
  <c r="F253" i="8"/>
  <c r="G276" i="8"/>
  <c r="F276" i="8"/>
  <c r="G220" i="8"/>
  <c r="F220" i="8"/>
  <c r="G228" i="8"/>
  <c r="F228" i="8"/>
  <c r="G235" i="8"/>
  <c r="F235" i="8"/>
  <c r="G252" i="8"/>
  <c r="F252" i="8"/>
  <c r="I257" i="8"/>
  <c r="H257" i="8"/>
  <c r="G260" i="8"/>
  <c r="F260" i="8"/>
  <c r="I266" i="8"/>
  <c r="H266" i="8"/>
  <c r="F164" i="8"/>
  <c r="F172" i="8"/>
  <c r="F180" i="8"/>
  <c r="F188" i="8"/>
  <c r="F196" i="8"/>
  <c r="F214" i="8"/>
  <c r="H215" i="8"/>
  <c r="F218" i="8"/>
  <c r="H230" i="8"/>
  <c r="H239" i="8"/>
  <c r="G245" i="8"/>
  <c r="I250" i="8"/>
  <c r="H250" i="8"/>
  <c r="G251" i="8"/>
  <c r="F251" i="8"/>
  <c r="G269" i="8"/>
  <c r="F269" i="8"/>
  <c r="I275" i="8"/>
  <c r="H275" i="8"/>
  <c r="I226" i="8"/>
  <c r="H226" i="8"/>
  <c r="H256" i="8"/>
  <c r="I259" i="8"/>
  <c r="H259" i="8"/>
  <c r="H281" i="8"/>
  <c r="I281" i="8"/>
  <c r="I287" i="8"/>
  <c r="H287" i="8"/>
  <c r="I321" i="8"/>
  <c r="H321" i="8"/>
  <c r="I344" i="8"/>
  <c r="H344" i="8"/>
  <c r="F259" i="8"/>
  <c r="F267" i="8"/>
  <c r="F275" i="8"/>
  <c r="H284" i="8"/>
  <c r="F299" i="8"/>
  <c r="H302" i="8"/>
  <c r="I314" i="8"/>
  <c r="H314" i="8"/>
  <c r="I330" i="8"/>
  <c r="H330" i="8"/>
  <c r="H339" i="8"/>
  <c r="I339" i="8"/>
  <c r="I348" i="8"/>
  <c r="H348" i="8"/>
  <c r="I350" i="8"/>
  <c r="H350" i="8"/>
  <c r="H274" i="8"/>
  <c r="F295" i="8"/>
  <c r="G299" i="8"/>
  <c r="I304" i="8"/>
  <c r="H304" i="8"/>
  <c r="I305" i="8"/>
  <c r="I322" i="8"/>
  <c r="H322" i="8"/>
  <c r="I336" i="8"/>
  <c r="H336" i="8"/>
  <c r="G295" i="8"/>
  <c r="H315" i="8"/>
  <c r="I315" i="8"/>
  <c r="H331" i="8"/>
  <c r="I331" i="8"/>
  <c r="I340" i="8"/>
  <c r="H340" i="8"/>
  <c r="I342" i="8"/>
  <c r="H342" i="8"/>
  <c r="I345" i="8"/>
  <c r="H345" i="8"/>
  <c r="I288" i="8"/>
  <c r="H288" i="8"/>
  <c r="G289" i="8"/>
  <c r="F289" i="8"/>
  <c r="F291" i="8"/>
  <c r="F307" i="8"/>
  <c r="I312" i="8"/>
  <c r="H312" i="8"/>
  <c r="H323" i="8"/>
  <c r="I323" i="8"/>
  <c r="I328" i="8"/>
  <c r="H328" i="8"/>
  <c r="I353" i="8"/>
  <c r="H353" i="8"/>
  <c r="H280" i="8"/>
  <c r="G291" i="8"/>
  <c r="F303" i="8"/>
  <c r="G307" i="8"/>
  <c r="I320" i="8"/>
  <c r="H320" i="8"/>
  <c r="I332" i="8"/>
  <c r="H332" i="8"/>
  <c r="I334" i="8"/>
  <c r="H334" i="8"/>
  <c r="I337" i="8"/>
  <c r="H337" i="8"/>
  <c r="I346" i="8"/>
  <c r="H346" i="8"/>
  <c r="I303" i="8"/>
  <c r="H303" i="8"/>
  <c r="I310" i="8"/>
  <c r="H310" i="8"/>
  <c r="I324" i="8"/>
  <c r="H324" i="8"/>
  <c r="I326" i="8"/>
  <c r="H326" i="8"/>
  <c r="H365" i="8"/>
  <c r="H366" i="8"/>
  <c r="I366" i="8"/>
  <c r="I377" i="8"/>
  <c r="H377" i="8"/>
  <c r="F311" i="8"/>
  <c r="F319" i="8"/>
  <c r="F327" i="8"/>
  <c r="F335" i="8"/>
  <c r="F343" i="8"/>
  <c r="I355" i="8"/>
  <c r="I360" i="8"/>
  <c r="H360" i="8"/>
  <c r="G362" i="8"/>
  <c r="F362" i="8"/>
  <c r="G335" i="8"/>
  <c r="G343" i="8"/>
  <c r="F297" i="8"/>
  <c r="F305" i="8"/>
  <c r="H311" i="8"/>
  <c r="F313" i="8"/>
  <c r="H319" i="8"/>
  <c r="F321" i="8"/>
  <c r="H327" i="8"/>
  <c r="F329" i="8"/>
  <c r="F337" i="8"/>
  <c r="F345" i="8"/>
  <c r="H354" i="8"/>
  <c r="H357" i="8"/>
  <c r="I361" i="8"/>
  <c r="H374" i="8"/>
  <c r="I374" i="8"/>
  <c r="F298" i="8"/>
  <c r="F306" i="8"/>
  <c r="F314" i="8"/>
  <c r="F322" i="8"/>
  <c r="F330" i="8"/>
  <c r="F338" i="8"/>
  <c r="F346" i="8"/>
  <c r="F353" i="8"/>
  <c r="G378" i="8"/>
  <c r="F378" i="8"/>
  <c r="F315" i="8"/>
  <c r="F323" i="8"/>
  <c r="F331" i="8"/>
  <c r="F339" i="8"/>
  <c r="F347" i="8"/>
  <c r="F356" i="8"/>
  <c r="I367" i="8"/>
  <c r="H367" i="8"/>
  <c r="I372" i="8"/>
  <c r="I371" i="8"/>
  <c r="H371" i="8"/>
  <c r="I358" i="8"/>
  <c r="F359" i="8"/>
  <c r="G370" i="8"/>
  <c r="F370" i="8"/>
  <c r="I375" i="8"/>
  <c r="H375" i="8"/>
  <c r="F369" i="8"/>
  <c r="F377" i="8"/>
  <c r="G380" i="8"/>
  <c r="I381" i="8"/>
  <c r="G400" i="8"/>
  <c r="F401" i="8"/>
  <c r="I413" i="8"/>
  <c r="H413" i="8"/>
  <c r="H368" i="8"/>
  <c r="H376" i="8"/>
  <c r="I384" i="8"/>
  <c r="I385" i="8"/>
  <c r="H385" i="8"/>
  <c r="G388" i="8"/>
  <c r="I393" i="8"/>
  <c r="H393" i="8"/>
  <c r="I397" i="8"/>
  <c r="I429" i="8"/>
  <c r="H429" i="8"/>
  <c r="H391" i="8"/>
  <c r="I421" i="8"/>
  <c r="H421" i="8"/>
  <c r="I392" i="8"/>
  <c r="H392" i="8"/>
  <c r="H379" i="8"/>
  <c r="G382" i="8"/>
  <c r="F385" i="8"/>
  <c r="G386" i="8"/>
  <c r="F386" i="8"/>
  <c r="I389" i="8"/>
  <c r="G395" i="8"/>
  <c r="F395" i="8"/>
  <c r="G404" i="8"/>
  <c r="F404" i="8"/>
  <c r="H406" i="8"/>
  <c r="I402" i="8"/>
  <c r="H402" i="8"/>
  <c r="G403" i="8"/>
  <c r="F403" i="8"/>
  <c r="I401" i="8"/>
  <c r="H401" i="8"/>
  <c r="I408" i="8"/>
  <c r="H408" i="8"/>
  <c r="G387" i="8"/>
  <c r="F387" i="8"/>
  <c r="H396" i="8"/>
  <c r="H399" i="8"/>
  <c r="F394" i="8"/>
  <c r="F402" i="8"/>
  <c r="I407" i="8"/>
  <c r="H411" i="8"/>
  <c r="I418" i="8"/>
  <c r="F421" i="8"/>
  <c r="I427" i="8"/>
  <c r="G428" i="8"/>
  <c r="F429" i="8"/>
  <c r="I431" i="8"/>
  <c r="G433" i="8"/>
  <c r="I435" i="8"/>
  <c r="F409" i="8"/>
  <c r="H423" i="8"/>
  <c r="G409" i="8"/>
  <c r="G416" i="8"/>
  <c r="G424" i="8"/>
  <c r="F413" i="8"/>
  <c r="I417" i="8"/>
  <c r="H417" i="8"/>
  <c r="I434" i="8"/>
  <c r="H434" i="8"/>
  <c r="G436" i="8"/>
  <c r="F436" i="8"/>
  <c r="G437" i="8"/>
  <c r="I448" i="8"/>
  <c r="H448" i="8"/>
  <c r="G420" i="8"/>
  <c r="H446" i="8"/>
  <c r="G451" i="8"/>
  <c r="F451" i="8"/>
  <c r="I461" i="8"/>
  <c r="H464" i="8"/>
  <c r="I464" i="8"/>
  <c r="I460" i="8"/>
  <c r="H460" i="8"/>
  <c r="I483" i="8"/>
  <c r="H483" i="8"/>
  <c r="I444" i="8"/>
  <c r="H444" i="8"/>
  <c r="H447" i="8"/>
  <c r="F448" i="8"/>
  <c r="I452" i="8"/>
  <c r="F411" i="8"/>
  <c r="F419" i="8"/>
  <c r="F427" i="8"/>
  <c r="F435" i="8"/>
  <c r="H441" i="8"/>
  <c r="H442" i="8"/>
  <c r="G459" i="8"/>
  <c r="F459" i="8"/>
  <c r="I468" i="8"/>
  <c r="I471" i="8"/>
  <c r="H471" i="8"/>
  <c r="F445" i="8"/>
  <c r="H463" i="8"/>
  <c r="I445" i="8"/>
  <c r="I449" i="8"/>
  <c r="H449" i="8"/>
  <c r="G456" i="8"/>
  <c r="I467" i="8"/>
  <c r="H467" i="8"/>
  <c r="F446" i="8"/>
  <c r="F454" i="8"/>
  <c r="F462" i="8"/>
  <c r="F463" i="8"/>
  <c r="F467" i="8"/>
  <c r="G486" i="8"/>
  <c r="H493" i="8"/>
  <c r="I493" i="8"/>
  <c r="I531" i="8"/>
  <c r="H531" i="8"/>
  <c r="G470" i="8"/>
  <c r="H475" i="8"/>
  <c r="F480" i="8"/>
  <c r="G482" i="8"/>
  <c r="I484" i="8"/>
  <c r="I480" i="8"/>
  <c r="I509" i="8"/>
  <c r="H509" i="8"/>
  <c r="G518" i="8"/>
  <c r="F518" i="8"/>
  <c r="F483" i="8"/>
  <c r="I487" i="8"/>
  <c r="H487" i="8"/>
  <c r="I492" i="8"/>
  <c r="H492" i="8"/>
  <c r="H498" i="8"/>
  <c r="I498" i="8"/>
  <c r="H457" i="8"/>
  <c r="H466" i="8"/>
  <c r="F468" i="8"/>
  <c r="F471" i="8"/>
  <c r="G474" i="8"/>
  <c r="I476" i="8"/>
  <c r="H478" i="8"/>
  <c r="F488" i="8"/>
  <c r="G497" i="8"/>
  <c r="F497" i="8"/>
  <c r="H481" i="8"/>
  <c r="I488" i="8"/>
  <c r="G490" i="8"/>
  <c r="I479" i="8"/>
  <c r="H479" i="8"/>
  <c r="F505" i="8"/>
  <c r="G505" i="8"/>
  <c r="G500" i="8"/>
  <c r="I519" i="8"/>
  <c r="H519" i="8"/>
  <c r="H532" i="8"/>
  <c r="I532" i="8"/>
  <c r="I550" i="8"/>
  <c r="H550" i="8"/>
  <c r="F496" i="8"/>
  <c r="I514" i="8"/>
  <c r="H514" i="8"/>
  <c r="I517" i="8"/>
  <c r="H517" i="8"/>
  <c r="H521" i="8"/>
  <c r="F499" i="8"/>
  <c r="G513" i="8"/>
  <c r="F513" i="8"/>
  <c r="I510" i="8"/>
  <c r="H510" i="8"/>
  <c r="I546" i="8"/>
  <c r="H546" i="8"/>
  <c r="I506" i="8"/>
  <c r="G507" i="8"/>
  <c r="F510" i="8"/>
  <c r="I522" i="8"/>
  <c r="H522" i="8"/>
  <c r="H527" i="8"/>
  <c r="H535" i="8"/>
  <c r="I535" i="8"/>
  <c r="H537" i="8"/>
  <c r="H541" i="8"/>
  <c r="F517" i="8"/>
  <c r="F524" i="8"/>
  <c r="H543" i="8"/>
  <c r="I543" i="8"/>
  <c r="I554" i="8"/>
  <c r="H554" i="8"/>
  <c r="I558" i="8"/>
  <c r="H558" i="8"/>
  <c r="I562" i="8"/>
  <c r="H562" i="8"/>
  <c r="I564" i="8"/>
  <c r="H564" i="8"/>
  <c r="H524" i="8"/>
  <c r="I530" i="8"/>
  <c r="H530" i="8"/>
  <c r="F511" i="8"/>
  <c r="F519" i="8"/>
  <c r="I528" i="8"/>
  <c r="H529" i="8"/>
  <c r="H551" i="8"/>
  <c r="I551" i="8"/>
  <c r="F512" i="8"/>
  <c r="F520" i="8"/>
  <c r="F522" i="8"/>
  <c r="G525" i="8"/>
  <c r="I534" i="8"/>
  <c r="H534" i="8"/>
  <c r="I548" i="8"/>
  <c r="H557" i="8"/>
  <c r="F521" i="8"/>
  <c r="I538" i="8"/>
  <c r="H538" i="8"/>
  <c r="I542" i="8"/>
  <c r="H542" i="8"/>
  <c r="H559" i="8"/>
  <c r="I559" i="8"/>
  <c r="I563" i="8"/>
  <c r="H563" i="8"/>
  <c r="I565" i="8"/>
  <c r="H565" i="8"/>
  <c r="F532" i="8"/>
  <c r="F540" i="8"/>
  <c r="F548" i="8"/>
  <c r="F556" i="8"/>
  <c r="F564" i="8"/>
  <c r="F533" i="8"/>
  <c r="H539" i="8"/>
  <c r="F541" i="8"/>
  <c r="H547" i="8"/>
  <c r="F549" i="8"/>
  <c r="H555" i="8"/>
  <c r="F557" i="8"/>
  <c r="F565" i="8"/>
  <c r="F560" i="8"/>
  <c r="I412" i="8" l="1"/>
  <c r="H412" i="8"/>
  <c r="I168" i="8"/>
  <c r="H168" i="8"/>
  <c r="I263" i="8"/>
  <c r="H263" i="8"/>
  <c r="I364" i="8"/>
  <c r="H364" i="8"/>
  <c r="I495" i="8"/>
  <c r="H495" i="8"/>
  <c r="H455" i="8"/>
  <c r="I455" i="8"/>
  <c r="I432" i="8"/>
  <c r="H432" i="8"/>
  <c r="I95" i="8"/>
  <c r="H95" i="8"/>
  <c r="I516" i="8"/>
  <c r="H516" i="8"/>
  <c r="I111" i="8"/>
  <c r="H111" i="8"/>
  <c r="H13" i="8"/>
  <c r="I16" i="8"/>
  <c r="H152" i="8"/>
  <c r="I152" i="8"/>
  <c r="I71" i="8"/>
  <c r="H71" i="8"/>
  <c r="H96" i="8"/>
  <c r="I96" i="8"/>
  <c r="I73" i="8"/>
  <c r="H73" i="8"/>
  <c r="H58" i="8"/>
  <c r="I58" i="8"/>
  <c r="H104" i="8"/>
  <c r="I104" i="8"/>
  <c r="H144" i="8"/>
  <c r="I144" i="8"/>
  <c r="H208" i="8"/>
  <c r="I208" i="8"/>
  <c r="I135" i="8"/>
  <c r="H135" i="8"/>
  <c r="I76" i="8"/>
  <c r="H76" i="8"/>
  <c r="H425" i="8"/>
  <c r="H181" i="8"/>
  <c r="H123" i="8"/>
  <c r="H240" i="8"/>
  <c r="I238" i="8"/>
  <c r="H53" i="8"/>
  <c r="H66" i="8"/>
  <c r="I66" i="8"/>
  <c r="I87" i="8"/>
  <c r="H87" i="8"/>
  <c r="H136" i="8"/>
  <c r="I136" i="8"/>
  <c r="I231" i="8"/>
  <c r="H231" i="8"/>
  <c r="I373" i="8"/>
  <c r="H373" i="8"/>
  <c r="I440" i="8"/>
  <c r="H440" i="8"/>
  <c r="H544" i="8"/>
  <c r="I544" i="8"/>
  <c r="I127" i="8"/>
  <c r="H127" i="8"/>
  <c r="H270" i="8"/>
  <c r="I270" i="8"/>
  <c r="I292" i="8"/>
  <c r="H292" i="8"/>
  <c r="H301" i="8"/>
  <c r="I301" i="8"/>
  <c r="I39" i="8"/>
  <c r="H39" i="8"/>
  <c r="H50" i="8"/>
  <c r="I50" i="8"/>
  <c r="I47" i="8"/>
  <c r="H47" i="8"/>
  <c r="H34" i="8"/>
  <c r="I34" i="8"/>
  <c r="H18" i="8"/>
  <c r="I18" i="8"/>
  <c r="H10" i="8"/>
  <c r="I10" i="8"/>
  <c r="H42" i="8"/>
  <c r="I42" i="8"/>
  <c r="H26" i="8"/>
  <c r="I26" i="8"/>
  <c r="I507" i="8"/>
  <c r="H507" i="8"/>
  <c r="I500" i="8"/>
  <c r="H500" i="8"/>
  <c r="I459" i="8"/>
  <c r="H459" i="8"/>
  <c r="I409" i="8"/>
  <c r="H409" i="8"/>
  <c r="I382" i="8"/>
  <c r="H382" i="8"/>
  <c r="H245" i="8"/>
  <c r="I245" i="8"/>
  <c r="I185" i="8"/>
  <c r="H185" i="8"/>
  <c r="I486" i="8"/>
  <c r="H486" i="8"/>
  <c r="I456" i="8"/>
  <c r="H456" i="8"/>
  <c r="I433" i="8"/>
  <c r="H433" i="8"/>
  <c r="I362" i="8"/>
  <c r="H362" i="8"/>
  <c r="H243" i="8"/>
  <c r="I243" i="8"/>
  <c r="H219" i="8"/>
  <c r="I219" i="8"/>
  <c r="I169" i="8"/>
  <c r="H169" i="8"/>
  <c r="I80" i="8"/>
  <c r="H80" i="8"/>
  <c r="I518" i="8"/>
  <c r="H518" i="8"/>
  <c r="I470" i="8"/>
  <c r="H470" i="8"/>
  <c r="I380" i="8"/>
  <c r="H380" i="8"/>
  <c r="I378" i="8"/>
  <c r="H378" i="8"/>
  <c r="H235" i="8"/>
  <c r="I235" i="8"/>
  <c r="I241" i="8"/>
  <c r="H241" i="8"/>
  <c r="I212" i="8"/>
  <c r="H212" i="8"/>
  <c r="I72" i="8"/>
  <c r="H72" i="8"/>
  <c r="I437" i="8"/>
  <c r="H437" i="8"/>
  <c r="I395" i="8"/>
  <c r="H395" i="8"/>
  <c r="I343" i="8"/>
  <c r="H343" i="8"/>
  <c r="I295" i="8"/>
  <c r="H295" i="8"/>
  <c r="I252" i="8"/>
  <c r="H252" i="8"/>
  <c r="I276" i="8"/>
  <c r="H276" i="8"/>
  <c r="I244" i="8"/>
  <c r="H244" i="8"/>
  <c r="H227" i="8"/>
  <c r="I227" i="8"/>
  <c r="I268" i="8"/>
  <c r="H268" i="8"/>
  <c r="I105" i="8"/>
  <c r="H105" i="8"/>
  <c r="I428" i="8"/>
  <c r="H428" i="8"/>
  <c r="H403" i="8"/>
  <c r="I403" i="8"/>
  <c r="I400" i="8"/>
  <c r="H400" i="8"/>
  <c r="I335" i="8"/>
  <c r="H335" i="8"/>
  <c r="I251" i="8"/>
  <c r="H251" i="8"/>
  <c r="H228" i="8"/>
  <c r="I228" i="8"/>
  <c r="H204" i="8"/>
  <c r="I204" i="8"/>
  <c r="I229" i="8"/>
  <c r="H229" i="8"/>
  <c r="I193" i="8"/>
  <c r="H193" i="8"/>
  <c r="I89" i="8"/>
  <c r="H89" i="8"/>
  <c r="I513" i="8"/>
  <c r="H513" i="8"/>
  <c r="I525" i="8"/>
  <c r="H525" i="8"/>
  <c r="H490" i="8"/>
  <c r="I490" i="8"/>
  <c r="I497" i="8"/>
  <c r="H497" i="8"/>
  <c r="H420" i="8"/>
  <c r="I420" i="8"/>
  <c r="I436" i="8"/>
  <c r="H436" i="8"/>
  <c r="I424" i="8"/>
  <c r="H424" i="8"/>
  <c r="I387" i="8"/>
  <c r="H387" i="8"/>
  <c r="I388" i="8"/>
  <c r="H388" i="8"/>
  <c r="I237" i="8"/>
  <c r="H237" i="8"/>
  <c r="I177" i="8"/>
  <c r="H177" i="8"/>
  <c r="I201" i="8"/>
  <c r="H201" i="8"/>
  <c r="I236" i="8"/>
  <c r="H236" i="8"/>
  <c r="I92" i="8"/>
  <c r="H92" i="8"/>
  <c r="I474" i="8"/>
  <c r="H474" i="8"/>
  <c r="I416" i="8"/>
  <c r="H416" i="8"/>
  <c r="I404" i="8"/>
  <c r="H404" i="8"/>
  <c r="H386" i="8"/>
  <c r="I386" i="8"/>
  <c r="I370" i="8"/>
  <c r="H370" i="8"/>
  <c r="H307" i="8"/>
  <c r="I307" i="8"/>
  <c r="H291" i="8"/>
  <c r="I291" i="8"/>
  <c r="H299" i="8"/>
  <c r="I299" i="8"/>
  <c r="I269" i="8"/>
  <c r="H269" i="8"/>
  <c r="H253" i="8"/>
  <c r="I253" i="8"/>
  <c r="I261" i="8"/>
  <c r="H261" i="8"/>
  <c r="H157" i="8"/>
  <c r="I157" i="8"/>
  <c r="I505" i="8"/>
  <c r="H505" i="8"/>
  <c r="I482" i="8"/>
  <c r="H482" i="8"/>
  <c r="I451" i="8"/>
  <c r="H451" i="8"/>
  <c r="H289" i="8"/>
  <c r="I289" i="8"/>
  <c r="I260" i="8"/>
  <c r="H260" i="8"/>
  <c r="I220" i="8"/>
  <c r="H220" i="8"/>
  <c r="I277" i="8"/>
  <c r="H277" i="8"/>
  <c r="I213" i="8"/>
  <c r="H213" i="8"/>
  <c r="R10" i="8" l="1"/>
  <c r="J10" i="8"/>
  <c r="K10" i="8" l="1"/>
  <c r="L10" i="8" s="1"/>
  <c r="J11" i="8"/>
  <c r="P10" i="8"/>
  <c r="M11" i="8" s="1"/>
  <c r="Q10" i="8" l="1"/>
  <c r="N11" i="8" s="1"/>
  <c r="O11" i="8" s="1"/>
  <c r="R11" i="8" s="1"/>
  <c r="J12" i="8"/>
  <c r="K11" i="8"/>
  <c r="L11" i="8" s="1"/>
  <c r="P11" i="8" l="1"/>
  <c r="M12" i="8" s="1"/>
  <c r="K12" i="8"/>
  <c r="L12" i="8" s="1"/>
  <c r="J13" i="8"/>
  <c r="Q11" i="8" l="1"/>
  <c r="N12" i="8" s="1"/>
  <c r="O12" i="8" s="1"/>
  <c r="R12" i="8" s="1"/>
  <c r="P12" i="8" s="1"/>
  <c r="M13" i="8" s="1"/>
  <c r="J14" i="8"/>
  <c r="K13" i="8"/>
  <c r="L13" i="8" s="1"/>
  <c r="Q12" i="8" l="1"/>
  <c r="N13" i="8" s="1"/>
  <c r="O13" i="8" s="1"/>
  <c r="R13" i="8" s="1"/>
  <c r="P13" i="8" s="1"/>
  <c r="M14" i="8" s="1"/>
  <c r="J15" i="8"/>
  <c r="K14" i="8"/>
  <c r="L14" i="8" s="1"/>
  <c r="J16" i="8" l="1"/>
  <c r="K15" i="8"/>
  <c r="L15" i="8" s="1"/>
  <c r="Q13" i="8"/>
  <c r="N14" i="8" s="1"/>
  <c r="O14" i="8" s="1"/>
  <c r="R14" i="8" s="1"/>
  <c r="K16" i="8" l="1"/>
  <c r="L16" i="8" s="1"/>
  <c r="J17" i="8"/>
  <c r="P14" i="8"/>
  <c r="M15" i="8" s="1"/>
  <c r="J18" i="8" l="1"/>
  <c r="K17" i="8"/>
  <c r="L17" i="8" s="1"/>
  <c r="Q14" i="8"/>
  <c r="N15" i="8" s="1"/>
  <c r="O15" i="8" s="1"/>
  <c r="R15" i="8" s="1"/>
  <c r="J19" i="8" l="1"/>
  <c r="K18" i="8"/>
  <c r="L18" i="8" s="1"/>
  <c r="P15" i="8"/>
  <c r="M16" i="8" s="1"/>
  <c r="J20" i="8" l="1"/>
  <c r="K19" i="8"/>
  <c r="L19" i="8" s="1"/>
  <c r="Q15" i="8"/>
  <c r="N16" i="8" s="1"/>
  <c r="O16" i="8" s="1"/>
  <c r="R16" i="8" s="1"/>
  <c r="J21" i="8" l="1"/>
  <c r="K20" i="8"/>
  <c r="L20" i="8" s="1"/>
  <c r="P16" i="8"/>
  <c r="M17" i="8" s="1"/>
  <c r="J22" i="8" l="1"/>
  <c r="K21" i="8"/>
  <c r="L21" i="8" s="1"/>
  <c r="Q16" i="8"/>
  <c r="N17" i="8" s="1"/>
  <c r="O17" i="8" s="1"/>
  <c r="R17" i="8" s="1"/>
  <c r="K22" i="8" l="1"/>
  <c r="L22" i="8" s="1"/>
  <c r="J23" i="8"/>
  <c r="P17" i="8"/>
  <c r="M18" i="8" s="1"/>
  <c r="J24" i="8" l="1"/>
  <c r="K23" i="8"/>
  <c r="L23" i="8" s="1"/>
  <c r="Q17" i="8"/>
  <c r="N18" i="8" s="1"/>
  <c r="O18" i="8" s="1"/>
  <c r="R18" i="8" s="1"/>
  <c r="K24" i="8" l="1"/>
  <c r="L24" i="8" s="1"/>
  <c r="J25" i="8"/>
  <c r="P18" i="8"/>
  <c r="M19" i="8" s="1"/>
  <c r="J26" i="8" l="1"/>
  <c r="K25" i="8"/>
  <c r="L25" i="8" s="1"/>
  <c r="Q18" i="8"/>
  <c r="N19" i="8" s="1"/>
  <c r="O19" i="8" s="1"/>
  <c r="R19" i="8" s="1"/>
  <c r="J27" i="8" l="1"/>
  <c r="K26" i="8"/>
  <c r="L26" i="8" s="1"/>
  <c r="P19" i="8"/>
  <c r="M20" i="8" s="1"/>
  <c r="J28" i="8" l="1"/>
  <c r="K27" i="8"/>
  <c r="L27" i="8" s="1"/>
  <c r="Q19" i="8"/>
  <c r="N20" i="8" s="1"/>
  <c r="O20" i="8" s="1"/>
  <c r="R20" i="8" s="1"/>
  <c r="J29" i="8" l="1"/>
  <c r="K28" i="8"/>
  <c r="L28" i="8" s="1"/>
  <c r="P20" i="8"/>
  <c r="M21" i="8" s="1"/>
  <c r="J30" i="8" l="1"/>
  <c r="K29" i="8"/>
  <c r="L29" i="8" s="1"/>
  <c r="Q20" i="8"/>
  <c r="N21" i="8" s="1"/>
  <c r="O21" i="8" s="1"/>
  <c r="R21" i="8" s="1"/>
  <c r="J31" i="8" l="1"/>
  <c r="K30" i="8"/>
  <c r="L30" i="8" s="1"/>
  <c r="P21" i="8"/>
  <c r="M22" i="8" s="1"/>
  <c r="J32" i="8" l="1"/>
  <c r="K31" i="8"/>
  <c r="L31" i="8" s="1"/>
  <c r="Q21" i="8"/>
  <c r="N22" i="8" s="1"/>
  <c r="O22" i="8" s="1"/>
  <c r="R22" i="8" s="1"/>
  <c r="J33" i="8" l="1"/>
  <c r="K32" i="8"/>
  <c r="L32" i="8" s="1"/>
  <c r="P22" i="8"/>
  <c r="M23" i="8" s="1"/>
  <c r="J34" i="8" l="1"/>
  <c r="K33" i="8"/>
  <c r="L33" i="8" s="1"/>
  <c r="Q22" i="8"/>
  <c r="N23" i="8" s="1"/>
  <c r="O23" i="8" s="1"/>
  <c r="R23" i="8" s="1"/>
  <c r="J35" i="8" l="1"/>
  <c r="K34" i="8"/>
  <c r="L34" i="8" s="1"/>
  <c r="P23" i="8"/>
  <c r="M24" i="8" s="1"/>
  <c r="J36" i="8" l="1"/>
  <c r="K35" i="8"/>
  <c r="L35" i="8" s="1"/>
  <c r="Q23" i="8"/>
  <c r="O24" i="8" s="1"/>
  <c r="R24" i="8" s="1"/>
  <c r="J37" i="8" l="1"/>
  <c r="K36" i="8"/>
  <c r="L36" i="8" s="1"/>
  <c r="P24" i="8"/>
  <c r="M25" i="8" s="1"/>
  <c r="K37" i="8" l="1"/>
  <c r="L37" i="8" s="1"/>
  <c r="J38" i="8"/>
  <c r="Q24" i="8"/>
  <c r="N25" i="8" s="1"/>
  <c r="O25" i="8" s="1"/>
  <c r="R25" i="8" s="1"/>
  <c r="K38" i="8" l="1"/>
  <c r="L38" i="8" s="1"/>
  <c r="J39" i="8"/>
  <c r="P25" i="8"/>
  <c r="M26" i="8" s="1"/>
  <c r="J40" i="8" l="1"/>
  <c r="K39" i="8"/>
  <c r="L39" i="8" s="1"/>
  <c r="Q25" i="8"/>
  <c r="N26" i="8" s="1"/>
  <c r="O26" i="8" s="1"/>
  <c r="R26" i="8" s="1"/>
  <c r="J41" i="8" l="1"/>
  <c r="K40" i="8"/>
  <c r="L40" i="8" s="1"/>
  <c r="P26" i="8"/>
  <c r="M27" i="8" s="1"/>
  <c r="O27" i="8" s="1"/>
  <c r="J42" i="8" l="1"/>
  <c r="K41" i="8"/>
  <c r="L41" i="8" s="1"/>
  <c r="Q26" i="8"/>
  <c r="R27" i="8" s="1"/>
  <c r="J43" i="8" l="1"/>
  <c r="K42" i="8"/>
  <c r="L42" i="8" s="1"/>
  <c r="P27" i="8"/>
  <c r="M28" i="8" s="1"/>
  <c r="K43" i="8" l="1"/>
  <c r="L43" i="8" s="1"/>
  <c r="J44" i="8"/>
  <c r="Q27" i="8"/>
  <c r="N28" i="8" s="1"/>
  <c r="O28" i="8" s="1"/>
  <c r="R28" i="8" s="1"/>
  <c r="J45" i="8" l="1"/>
  <c r="K44" i="8"/>
  <c r="L44" i="8" s="1"/>
  <c r="P28" i="8"/>
  <c r="M29" i="8" s="1"/>
  <c r="K45" i="8" l="1"/>
  <c r="L45" i="8" s="1"/>
  <c r="J46" i="8"/>
  <c r="Q28" i="8"/>
  <c r="N29" i="8" s="1"/>
  <c r="O29" i="8" s="1"/>
  <c r="R29" i="8" s="1"/>
  <c r="J47" i="8" l="1"/>
  <c r="K46" i="8"/>
  <c r="L46" i="8" s="1"/>
  <c r="P29" i="8"/>
  <c r="M30" i="8" s="1"/>
  <c r="K47" i="8" l="1"/>
  <c r="L47" i="8" s="1"/>
  <c r="J48" i="8"/>
  <c r="Q29" i="8"/>
  <c r="N30" i="8" s="1"/>
  <c r="O30" i="8" s="1"/>
  <c r="R30" i="8" s="1"/>
  <c r="J49" i="8" l="1"/>
  <c r="K48" i="8"/>
  <c r="L48" i="8" s="1"/>
  <c r="P30" i="8"/>
  <c r="M31" i="8" s="1"/>
  <c r="K49" i="8" l="1"/>
  <c r="L49" i="8" s="1"/>
  <c r="J50" i="8"/>
  <c r="Q30" i="8"/>
  <c r="N31" i="8" s="1"/>
  <c r="O31" i="8" s="1"/>
  <c r="R31" i="8" s="1"/>
  <c r="J51" i="8" l="1"/>
  <c r="K50" i="8"/>
  <c r="L50" i="8" s="1"/>
  <c r="P31" i="8"/>
  <c r="M32" i="8" s="1"/>
  <c r="K51" i="8" l="1"/>
  <c r="L51" i="8" s="1"/>
  <c r="J52" i="8"/>
  <c r="Q31" i="8"/>
  <c r="N32" i="8" s="1"/>
  <c r="O32" i="8" s="1"/>
  <c r="R32" i="8" s="1"/>
  <c r="J53" i="8" l="1"/>
  <c r="K52" i="8"/>
  <c r="L52" i="8" s="1"/>
  <c r="P32" i="8"/>
  <c r="M33" i="8" s="1"/>
  <c r="K53" i="8" l="1"/>
  <c r="L53" i="8" s="1"/>
  <c r="J54" i="8"/>
  <c r="Q32" i="8"/>
  <c r="N33" i="8" s="1"/>
  <c r="O33" i="8" s="1"/>
  <c r="R33" i="8" s="1"/>
  <c r="J55" i="8" l="1"/>
  <c r="K54" i="8"/>
  <c r="L54" i="8" s="1"/>
  <c r="P33" i="8"/>
  <c r="M34" i="8" s="1"/>
  <c r="K55" i="8" l="1"/>
  <c r="L55" i="8" s="1"/>
  <c r="J56" i="8"/>
  <c r="Q33" i="8"/>
  <c r="N34" i="8" s="1"/>
  <c r="O34" i="8" s="1"/>
  <c r="R34" i="8" s="1"/>
  <c r="J57" i="8" l="1"/>
  <c r="K56" i="8"/>
  <c r="L56" i="8" s="1"/>
  <c r="P34" i="8"/>
  <c r="M35" i="8" s="1"/>
  <c r="K57" i="8" l="1"/>
  <c r="L57" i="8" s="1"/>
  <c r="J58" i="8"/>
  <c r="Q34" i="8"/>
  <c r="N35" i="8" s="1"/>
  <c r="O35" i="8" s="1"/>
  <c r="R35" i="8" s="1"/>
  <c r="J59" i="8" l="1"/>
  <c r="K58" i="8"/>
  <c r="L58" i="8" s="1"/>
  <c r="P35" i="8"/>
  <c r="M36" i="8" s="1"/>
  <c r="K59" i="8" l="1"/>
  <c r="L59" i="8" s="1"/>
  <c r="J60" i="8"/>
  <c r="Q35" i="8"/>
  <c r="N36" i="8" s="1"/>
  <c r="O36" i="8" s="1"/>
  <c r="R36" i="8" s="1"/>
  <c r="J61" i="8" l="1"/>
  <c r="K60" i="8"/>
  <c r="L60" i="8" s="1"/>
  <c r="P36" i="8"/>
  <c r="M37" i="8" s="1"/>
  <c r="Q36" i="8" l="1"/>
  <c r="N37" i="8" s="1"/>
  <c r="O37" i="8" s="1"/>
  <c r="R37" i="8" s="1"/>
  <c r="K61" i="8"/>
  <c r="L61" i="8" s="1"/>
  <c r="J62" i="8"/>
  <c r="J63" i="8" l="1"/>
  <c r="K62" i="8"/>
  <c r="L62" i="8" s="1"/>
  <c r="P37" i="8"/>
  <c r="M38" i="8" s="1"/>
  <c r="Q37" i="8" l="1"/>
  <c r="N38" i="8" s="1"/>
  <c r="O38" i="8" s="1"/>
  <c r="R38" i="8" s="1"/>
  <c r="J64" i="8"/>
  <c r="K63" i="8"/>
  <c r="L63" i="8" s="1"/>
  <c r="J65" i="8" l="1"/>
  <c r="K64" i="8"/>
  <c r="L64" i="8" s="1"/>
  <c r="P38" i="8"/>
  <c r="M39" i="8" s="1"/>
  <c r="J66" i="8" l="1"/>
  <c r="K65" i="8"/>
  <c r="L65" i="8" s="1"/>
  <c r="Q38" i="8"/>
  <c r="N39" i="8" s="1"/>
  <c r="O39" i="8" s="1"/>
  <c r="R39" i="8" s="1"/>
  <c r="K66" i="8" l="1"/>
  <c r="L66" i="8" s="1"/>
  <c r="J67" i="8"/>
  <c r="P39" i="8"/>
  <c r="M40" i="8" s="1"/>
  <c r="J68" i="8" l="1"/>
  <c r="K67" i="8"/>
  <c r="L67" i="8" s="1"/>
  <c r="Q39" i="8"/>
  <c r="N40" i="8" s="1"/>
  <c r="O40" i="8" s="1"/>
  <c r="R40" i="8" s="1"/>
  <c r="K68" i="8" l="1"/>
  <c r="L68" i="8" s="1"/>
  <c r="J69" i="8"/>
  <c r="P40" i="8"/>
  <c r="M41" i="8" s="1"/>
  <c r="K69" i="8" l="1"/>
  <c r="L69" i="8" s="1"/>
  <c r="J70" i="8"/>
  <c r="Q40" i="8"/>
  <c r="N41" i="8" s="1"/>
  <c r="O41" i="8" s="1"/>
  <c r="R41" i="8" s="1"/>
  <c r="K70" i="8" l="1"/>
  <c r="L70" i="8" s="1"/>
  <c r="J71" i="8"/>
  <c r="P41" i="8"/>
  <c r="M42" i="8" s="1"/>
  <c r="K71" i="8" l="1"/>
  <c r="L71" i="8" s="1"/>
  <c r="J72" i="8"/>
  <c r="Q41" i="8"/>
  <c r="N42" i="8" s="1"/>
  <c r="O42" i="8" s="1"/>
  <c r="R42" i="8" s="1"/>
  <c r="J73" i="8" l="1"/>
  <c r="K72" i="8"/>
  <c r="L72" i="8" s="1"/>
  <c r="P42" i="8"/>
  <c r="M43" i="8" s="1"/>
  <c r="K73" i="8" l="1"/>
  <c r="L73" i="8" s="1"/>
  <c r="J74" i="8"/>
  <c r="Q42" i="8"/>
  <c r="N43" i="8" s="1"/>
  <c r="O43" i="8" s="1"/>
  <c r="R43" i="8" s="1"/>
  <c r="J75" i="8" l="1"/>
  <c r="K74" i="8"/>
  <c r="L74" i="8" s="1"/>
  <c r="P43" i="8"/>
  <c r="M44" i="8" s="1"/>
  <c r="J76" i="8" l="1"/>
  <c r="K75" i="8"/>
  <c r="L75" i="8" s="1"/>
  <c r="Q43" i="8"/>
  <c r="N44" i="8" s="1"/>
  <c r="O44" i="8" s="1"/>
  <c r="R44" i="8" s="1"/>
  <c r="J77" i="8" l="1"/>
  <c r="K76" i="8"/>
  <c r="L76" i="8" s="1"/>
  <c r="P44" i="8"/>
  <c r="M45" i="8" s="1"/>
  <c r="K77" i="8" l="1"/>
  <c r="L77" i="8" s="1"/>
  <c r="J78" i="8"/>
  <c r="Q44" i="8"/>
  <c r="N45" i="8" s="1"/>
  <c r="O45" i="8" s="1"/>
  <c r="R45" i="8" s="1"/>
  <c r="J79" i="8" l="1"/>
  <c r="K78" i="8"/>
  <c r="L78" i="8" s="1"/>
  <c r="P45" i="8"/>
  <c r="M46" i="8" s="1"/>
  <c r="J80" i="8" l="1"/>
  <c r="K79" i="8"/>
  <c r="L79" i="8" s="1"/>
  <c r="Q45" i="8"/>
  <c r="N46" i="8" s="1"/>
  <c r="O46" i="8" s="1"/>
  <c r="R46" i="8" s="1"/>
  <c r="J81" i="8" l="1"/>
  <c r="K80" i="8"/>
  <c r="L80" i="8" s="1"/>
  <c r="P46" i="8"/>
  <c r="M47" i="8" s="1"/>
  <c r="K81" i="8" l="1"/>
  <c r="L81" i="8" s="1"/>
  <c r="J82" i="8"/>
  <c r="Q46" i="8"/>
  <c r="N47" i="8" s="1"/>
  <c r="O47" i="8" s="1"/>
  <c r="R47" i="8" s="1"/>
  <c r="J83" i="8" l="1"/>
  <c r="K82" i="8"/>
  <c r="L82" i="8" s="1"/>
  <c r="P47" i="8"/>
  <c r="M48" i="8" s="1"/>
  <c r="K83" i="8" l="1"/>
  <c r="J84" i="8"/>
  <c r="L83" i="8"/>
  <c r="Q47" i="8"/>
  <c r="N48" i="8" s="1"/>
  <c r="O48" i="8" s="1"/>
  <c r="R48" i="8" s="1"/>
  <c r="J85" i="8" l="1"/>
  <c r="K84" i="8"/>
  <c r="L84" i="8" s="1"/>
  <c r="P48" i="8"/>
  <c r="M49" i="8" s="1"/>
  <c r="K85" i="8" l="1"/>
  <c r="L85" i="8" s="1"/>
  <c r="J86" i="8"/>
  <c r="Q48" i="8"/>
  <c r="N49" i="8" s="1"/>
  <c r="O49" i="8" s="1"/>
  <c r="R49" i="8" s="1"/>
  <c r="J87" i="8" l="1"/>
  <c r="K86" i="8"/>
  <c r="L86" i="8" s="1"/>
  <c r="P49" i="8"/>
  <c r="M50" i="8" s="1"/>
  <c r="K87" i="8" l="1"/>
  <c r="L87" i="8" s="1"/>
  <c r="J88" i="8"/>
  <c r="Q49" i="8"/>
  <c r="N50" i="8" s="1"/>
  <c r="O50" i="8" s="1"/>
  <c r="R50" i="8" s="1"/>
  <c r="J89" i="8" l="1"/>
  <c r="K88" i="8"/>
  <c r="L88" i="8" s="1"/>
  <c r="P50" i="8"/>
  <c r="M51" i="8" s="1"/>
  <c r="K89" i="8" l="1"/>
  <c r="L89" i="8" s="1"/>
  <c r="J90" i="8"/>
  <c r="Q50" i="8"/>
  <c r="N51" i="8" s="1"/>
  <c r="O51" i="8" s="1"/>
  <c r="R51" i="8" s="1"/>
  <c r="J91" i="8" l="1"/>
  <c r="K90" i="8"/>
  <c r="L90" i="8" s="1"/>
  <c r="P51" i="8"/>
  <c r="M52" i="8" s="1"/>
  <c r="K91" i="8" l="1"/>
  <c r="L91" i="8" s="1"/>
  <c r="J92" i="8"/>
  <c r="Q51" i="8"/>
  <c r="N52" i="8" s="1"/>
  <c r="O52" i="8" s="1"/>
  <c r="R52" i="8" s="1"/>
  <c r="J93" i="8" l="1"/>
  <c r="K92" i="8"/>
  <c r="L92" i="8" s="1"/>
  <c r="P52" i="8"/>
  <c r="M53" i="8" s="1"/>
  <c r="K93" i="8" l="1"/>
  <c r="L93" i="8" s="1"/>
  <c r="J94" i="8"/>
  <c r="Q52" i="8"/>
  <c r="N53" i="8" s="1"/>
  <c r="O53" i="8" s="1"/>
  <c r="R53" i="8" s="1"/>
  <c r="K94" i="8" l="1"/>
  <c r="L94" i="8" s="1"/>
  <c r="J95" i="8"/>
  <c r="P53" i="8"/>
  <c r="M54" i="8" s="1"/>
  <c r="K95" i="8" l="1"/>
  <c r="L95" i="8" s="1"/>
  <c r="J96" i="8"/>
  <c r="Q53" i="8"/>
  <c r="N54" i="8" s="1"/>
  <c r="O54" i="8" s="1"/>
  <c r="R54" i="8" s="1"/>
  <c r="K96" i="8" l="1"/>
  <c r="L96" i="8" s="1"/>
  <c r="J97" i="8"/>
  <c r="P54" i="8"/>
  <c r="M55" i="8" s="1"/>
  <c r="J98" i="8" l="1"/>
  <c r="K97" i="8"/>
  <c r="L97" i="8" s="1"/>
  <c r="Q54" i="8"/>
  <c r="N55" i="8" s="1"/>
  <c r="O55" i="8" s="1"/>
  <c r="R55" i="8" s="1"/>
  <c r="J99" i="8" l="1"/>
  <c r="K98" i="8"/>
  <c r="L98" i="8" s="1"/>
  <c r="P55" i="8"/>
  <c r="M56" i="8" s="1"/>
  <c r="J100" i="8" l="1"/>
  <c r="K99" i="8"/>
  <c r="L99" i="8" s="1"/>
  <c r="Q55" i="8"/>
  <c r="N56" i="8" s="1"/>
  <c r="O56" i="8" s="1"/>
  <c r="R56" i="8" s="1"/>
  <c r="J101" i="8" l="1"/>
  <c r="K100" i="8"/>
  <c r="L100" i="8" s="1"/>
  <c r="P56" i="8"/>
  <c r="M57" i="8" s="1"/>
  <c r="J102" i="8" l="1"/>
  <c r="K101" i="8"/>
  <c r="L101" i="8" s="1"/>
  <c r="Q56" i="8"/>
  <c r="N57" i="8" s="1"/>
  <c r="O57" i="8" s="1"/>
  <c r="R57" i="8" s="1"/>
  <c r="J103" i="8" l="1"/>
  <c r="K102" i="8"/>
  <c r="L102" i="8" s="1"/>
  <c r="P57" i="8"/>
  <c r="M58" i="8" s="1"/>
  <c r="J104" i="8" l="1"/>
  <c r="K103" i="8"/>
  <c r="L103" i="8" s="1"/>
  <c r="Q57" i="8"/>
  <c r="N58" i="8" s="1"/>
  <c r="O58" i="8" s="1"/>
  <c r="R58" i="8" s="1"/>
  <c r="J105" i="8" l="1"/>
  <c r="K104" i="8"/>
  <c r="L104" i="8" s="1"/>
  <c r="P58" i="8"/>
  <c r="M59" i="8" s="1"/>
  <c r="J106" i="8" l="1"/>
  <c r="K105" i="8"/>
  <c r="L105" i="8" s="1"/>
  <c r="Q58" i="8"/>
  <c r="N59" i="8" s="1"/>
  <c r="O59" i="8" s="1"/>
  <c r="R59" i="8" s="1"/>
  <c r="J107" i="8" l="1"/>
  <c r="K106" i="8"/>
  <c r="L106" i="8" s="1"/>
  <c r="P59" i="8"/>
  <c r="M60" i="8" s="1"/>
  <c r="J108" i="8" l="1"/>
  <c r="K107" i="8"/>
  <c r="L107" i="8" s="1"/>
  <c r="Q59" i="8"/>
  <c r="N60" i="8" s="1"/>
  <c r="O60" i="8" s="1"/>
  <c r="R60" i="8" s="1"/>
  <c r="J109" i="8" l="1"/>
  <c r="K108" i="8"/>
  <c r="L108" i="8" s="1"/>
  <c r="P60" i="8"/>
  <c r="M61" i="8" s="1"/>
  <c r="J110" i="8" l="1"/>
  <c r="K109" i="8"/>
  <c r="L109" i="8" s="1"/>
  <c r="Q60" i="8"/>
  <c r="N61" i="8" s="1"/>
  <c r="O61" i="8" s="1"/>
  <c r="R61" i="8" s="1"/>
  <c r="J111" i="8" l="1"/>
  <c r="K110" i="8"/>
  <c r="L110" i="8" s="1"/>
  <c r="P61" i="8"/>
  <c r="M62" i="8" s="1"/>
  <c r="J112" i="8" l="1"/>
  <c r="K111" i="8"/>
  <c r="L111" i="8" s="1"/>
  <c r="Q61" i="8"/>
  <c r="N62" i="8" s="1"/>
  <c r="O62" i="8" s="1"/>
  <c r="R62" i="8" s="1"/>
  <c r="J113" i="8" l="1"/>
  <c r="K112" i="8"/>
  <c r="L112" i="8" s="1"/>
  <c r="P62" i="8"/>
  <c r="M63" i="8" s="1"/>
  <c r="J114" i="8" l="1"/>
  <c r="K113" i="8"/>
  <c r="L113" i="8" s="1"/>
  <c r="Q62" i="8"/>
  <c r="N63" i="8" s="1"/>
  <c r="O63" i="8" s="1"/>
  <c r="R63" i="8" s="1"/>
  <c r="J115" i="8" l="1"/>
  <c r="K114" i="8"/>
  <c r="L114" i="8" s="1"/>
  <c r="P63" i="8"/>
  <c r="M64" i="8" s="1"/>
  <c r="J116" i="8" l="1"/>
  <c r="K115" i="8"/>
  <c r="L115" i="8" s="1"/>
  <c r="Q63" i="8"/>
  <c r="N64" i="8" s="1"/>
  <c r="O64" i="8" s="1"/>
  <c r="R64" i="8" s="1"/>
  <c r="J117" i="8" l="1"/>
  <c r="K116" i="8"/>
  <c r="L116" i="8" s="1"/>
  <c r="P64" i="8"/>
  <c r="M65" i="8" s="1"/>
  <c r="J118" i="8" l="1"/>
  <c r="K117" i="8"/>
  <c r="L117" i="8" s="1"/>
  <c r="Q64" i="8"/>
  <c r="N65" i="8" s="1"/>
  <c r="O65" i="8" s="1"/>
  <c r="R65" i="8" s="1"/>
  <c r="J119" i="8" l="1"/>
  <c r="K118" i="8"/>
  <c r="L118" i="8" s="1"/>
  <c r="P65" i="8"/>
  <c r="M66" i="8" s="1"/>
  <c r="J120" i="8" l="1"/>
  <c r="K119" i="8"/>
  <c r="L119" i="8" s="1"/>
  <c r="Q65" i="8"/>
  <c r="N66" i="8" s="1"/>
  <c r="O66" i="8" s="1"/>
  <c r="R66" i="8" s="1"/>
  <c r="J121" i="8" l="1"/>
  <c r="K120" i="8"/>
  <c r="L120" i="8" s="1"/>
  <c r="P66" i="8"/>
  <c r="M67" i="8" s="1"/>
  <c r="J122" i="8" l="1"/>
  <c r="K121" i="8"/>
  <c r="L121" i="8" s="1"/>
  <c r="Q66" i="8"/>
  <c r="N67" i="8" s="1"/>
  <c r="O67" i="8" s="1"/>
  <c r="R67" i="8" s="1"/>
  <c r="J123" i="8" l="1"/>
  <c r="K122" i="8"/>
  <c r="L122" i="8" s="1"/>
  <c r="P67" i="8"/>
  <c r="M68" i="8" s="1"/>
  <c r="J124" i="8" l="1"/>
  <c r="K123" i="8"/>
  <c r="L123" i="8" s="1"/>
  <c r="Q67" i="8"/>
  <c r="N68" i="8" s="1"/>
  <c r="O68" i="8" s="1"/>
  <c r="R68" i="8" s="1"/>
  <c r="J125" i="8" l="1"/>
  <c r="K124" i="8"/>
  <c r="L124" i="8" s="1"/>
  <c r="P68" i="8"/>
  <c r="M69" i="8" s="1"/>
  <c r="J126" i="8" l="1"/>
  <c r="K125" i="8"/>
  <c r="L125" i="8" s="1"/>
  <c r="Q68" i="8"/>
  <c r="N69" i="8" s="1"/>
  <c r="O69" i="8" s="1"/>
  <c r="R69" i="8" s="1"/>
  <c r="J127" i="8" l="1"/>
  <c r="K126" i="8"/>
  <c r="L126" i="8" s="1"/>
  <c r="P69" i="8"/>
  <c r="M70" i="8" s="1"/>
  <c r="J128" i="8" l="1"/>
  <c r="K127" i="8"/>
  <c r="L127" i="8" s="1"/>
  <c r="Q69" i="8"/>
  <c r="N70" i="8" s="1"/>
  <c r="O70" i="8" s="1"/>
  <c r="R70" i="8" s="1"/>
  <c r="J129" i="8" l="1"/>
  <c r="K128" i="8"/>
  <c r="L128" i="8" s="1"/>
  <c r="P70" i="8"/>
  <c r="M71" i="8" s="1"/>
  <c r="J130" i="8" l="1"/>
  <c r="K129" i="8"/>
  <c r="L129" i="8" s="1"/>
  <c r="Q70" i="8"/>
  <c r="N71" i="8" s="1"/>
  <c r="O71" i="8" s="1"/>
  <c r="R71" i="8" s="1"/>
  <c r="J131" i="8" l="1"/>
  <c r="K130" i="8"/>
  <c r="L130" i="8" s="1"/>
  <c r="P71" i="8"/>
  <c r="M72" i="8" s="1"/>
  <c r="J132" i="8" l="1"/>
  <c r="K131" i="8"/>
  <c r="L131" i="8" s="1"/>
  <c r="Q71" i="8"/>
  <c r="N72" i="8" s="1"/>
  <c r="O72" i="8" s="1"/>
  <c r="R72" i="8" s="1"/>
  <c r="J133" i="8" l="1"/>
  <c r="K132" i="8"/>
  <c r="L132" i="8" s="1"/>
  <c r="P72" i="8"/>
  <c r="M73" i="8" s="1"/>
  <c r="J134" i="8" l="1"/>
  <c r="K133" i="8"/>
  <c r="L133" i="8" s="1"/>
  <c r="Q72" i="8"/>
  <c r="N73" i="8" s="1"/>
  <c r="O73" i="8" s="1"/>
  <c r="R73" i="8" s="1"/>
  <c r="J135" i="8" l="1"/>
  <c r="K134" i="8"/>
  <c r="L134" i="8" s="1"/>
  <c r="P73" i="8"/>
  <c r="M74" i="8" s="1"/>
  <c r="J136" i="8" l="1"/>
  <c r="K135" i="8"/>
  <c r="L135" i="8" s="1"/>
  <c r="Q73" i="8"/>
  <c r="N74" i="8" s="1"/>
  <c r="O74" i="8" s="1"/>
  <c r="R74" i="8" s="1"/>
  <c r="J137" i="8" l="1"/>
  <c r="K136" i="8"/>
  <c r="L136" i="8" s="1"/>
  <c r="P74" i="8"/>
  <c r="M75" i="8" s="1"/>
  <c r="J138" i="8" l="1"/>
  <c r="K137" i="8"/>
  <c r="L137" i="8" s="1"/>
  <c r="Q74" i="8"/>
  <c r="N75" i="8" s="1"/>
  <c r="O75" i="8" s="1"/>
  <c r="R75" i="8" s="1"/>
  <c r="J139" i="8" l="1"/>
  <c r="K138" i="8"/>
  <c r="L138" i="8" s="1"/>
  <c r="P75" i="8"/>
  <c r="M76" i="8" s="1"/>
  <c r="J140" i="8" l="1"/>
  <c r="K139" i="8"/>
  <c r="L139" i="8" s="1"/>
  <c r="Q75" i="8"/>
  <c r="N76" i="8" s="1"/>
  <c r="O76" i="8" s="1"/>
  <c r="R76" i="8" s="1"/>
  <c r="J141" i="8" l="1"/>
  <c r="K140" i="8"/>
  <c r="L140" i="8" s="1"/>
  <c r="P76" i="8"/>
  <c r="M77" i="8" s="1"/>
  <c r="Q76" i="8" l="1"/>
  <c r="N77" i="8" s="1"/>
  <c r="O77" i="8" s="1"/>
  <c r="R77" i="8" s="1"/>
  <c r="J142" i="8"/>
  <c r="K141" i="8"/>
  <c r="L141" i="8" s="1"/>
  <c r="J143" i="8" l="1"/>
  <c r="K142" i="8"/>
  <c r="L142" i="8" s="1"/>
  <c r="P77" i="8"/>
  <c r="M78" i="8" s="1"/>
  <c r="J144" i="8" l="1"/>
  <c r="K143" i="8"/>
  <c r="L143" i="8" s="1"/>
  <c r="Q77" i="8"/>
  <c r="N78" i="8" s="1"/>
  <c r="O78" i="8" s="1"/>
  <c r="R78" i="8" s="1"/>
  <c r="J145" i="8" l="1"/>
  <c r="K144" i="8"/>
  <c r="L144" i="8" s="1"/>
  <c r="P78" i="8"/>
  <c r="M79" i="8" s="1"/>
  <c r="J146" i="8" l="1"/>
  <c r="K145" i="8"/>
  <c r="L145" i="8" s="1"/>
  <c r="Q78" i="8"/>
  <c r="N79" i="8" s="1"/>
  <c r="O79" i="8" s="1"/>
  <c r="R79" i="8" s="1"/>
  <c r="J147" i="8" l="1"/>
  <c r="K146" i="8"/>
  <c r="L146" i="8" s="1"/>
  <c r="P79" i="8"/>
  <c r="M80" i="8" s="1"/>
  <c r="Q79" i="8" l="1"/>
  <c r="N80" i="8" s="1"/>
  <c r="J148" i="8"/>
  <c r="K147" i="8"/>
  <c r="L147" i="8" s="1"/>
  <c r="O80" i="8"/>
  <c r="R80" i="8" s="1"/>
  <c r="J149" i="8" l="1"/>
  <c r="K148" i="8"/>
  <c r="L148" i="8" s="1"/>
  <c r="P80" i="8"/>
  <c r="M81" i="8" s="1"/>
  <c r="J150" i="8" l="1"/>
  <c r="K149" i="8"/>
  <c r="L149" i="8" s="1"/>
  <c r="Q80" i="8"/>
  <c r="N81" i="8" s="1"/>
  <c r="O81" i="8" s="1"/>
  <c r="R81" i="8" s="1"/>
  <c r="J151" i="8" l="1"/>
  <c r="K150" i="8"/>
  <c r="L150" i="8" s="1"/>
  <c r="P81" i="8"/>
  <c r="M82" i="8" s="1"/>
  <c r="Q81" i="8" l="1"/>
  <c r="N82" i="8" s="1"/>
  <c r="O82" i="8" s="1"/>
  <c r="R82" i="8" s="1"/>
  <c r="J152" i="8"/>
  <c r="K151" i="8"/>
  <c r="L151" i="8" s="1"/>
  <c r="J153" i="8" l="1"/>
  <c r="K152" i="8"/>
  <c r="L152" i="8" s="1"/>
  <c r="P82" i="8"/>
  <c r="M83" i="8" s="1"/>
  <c r="J154" i="8" l="1"/>
  <c r="K153" i="8"/>
  <c r="L153" i="8" s="1"/>
  <c r="Q82" i="8"/>
  <c r="N83" i="8" s="1"/>
  <c r="O83" i="8" s="1"/>
  <c r="R83" i="8" s="1"/>
  <c r="K154" i="8" l="1"/>
  <c r="L154" i="8" s="1"/>
  <c r="J155" i="8"/>
  <c r="P83" i="8"/>
  <c r="M84" i="8" s="1"/>
  <c r="K155" i="8" l="1"/>
  <c r="L155" i="8" s="1"/>
  <c r="J156" i="8"/>
  <c r="Q83" i="8"/>
  <c r="N84" i="8" s="1"/>
  <c r="O84" i="8" s="1"/>
  <c r="R84" i="8" s="1"/>
  <c r="J157" i="8" l="1"/>
  <c r="K156" i="8"/>
  <c r="L156" i="8" s="1"/>
  <c r="P84" i="8"/>
  <c r="M85" i="8" s="1"/>
  <c r="K157" i="8" l="1"/>
  <c r="L157" i="8" s="1"/>
  <c r="J158" i="8"/>
  <c r="Q84" i="8"/>
  <c r="N85" i="8" s="1"/>
  <c r="O85" i="8" s="1"/>
  <c r="R85" i="8" s="1"/>
  <c r="K158" i="8" l="1"/>
  <c r="L158" i="8" s="1"/>
  <c r="J159" i="8"/>
  <c r="P85" i="8"/>
  <c r="M86" i="8" s="1"/>
  <c r="K159" i="8" l="1"/>
  <c r="L159" i="8" s="1"/>
  <c r="J160" i="8"/>
  <c r="Q85" i="8"/>
  <c r="N86" i="8" s="1"/>
  <c r="O86" i="8" s="1"/>
  <c r="R86" i="8" s="1"/>
  <c r="J161" i="8" l="1"/>
  <c r="K160" i="8"/>
  <c r="L160" i="8" s="1"/>
  <c r="P86" i="8"/>
  <c r="M87" i="8" s="1"/>
  <c r="Q86" i="8" l="1"/>
  <c r="N87" i="8" s="1"/>
  <c r="O87" i="8" s="1"/>
  <c r="R87" i="8" s="1"/>
  <c r="P87" i="8" s="1"/>
  <c r="M88" i="8" s="1"/>
  <c r="K161" i="8"/>
  <c r="L161" i="8" s="1"/>
  <c r="J162" i="8"/>
  <c r="J163" i="8" l="1"/>
  <c r="K162" i="8"/>
  <c r="L162" i="8" s="1"/>
  <c r="Q87" i="8"/>
  <c r="N88" i="8" s="1"/>
  <c r="O88" i="8" s="1"/>
  <c r="R88" i="8" s="1"/>
  <c r="J164" i="8" l="1"/>
  <c r="K163" i="8"/>
  <c r="L163" i="8" s="1"/>
  <c r="P88" i="8"/>
  <c r="M89" i="8" s="1"/>
  <c r="J165" i="8" l="1"/>
  <c r="K164" i="8"/>
  <c r="L164" i="8" s="1"/>
  <c r="Q88" i="8"/>
  <c r="N89" i="8" s="1"/>
  <c r="O89" i="8" s="1"/>
  <c r="R89" i="8" s="1"/>
  <c r="J166" i="8" l="1"/>
  <c r="K165" i="8"/>
  <c r="L165" i="8" s="1"/>
  <c r="P89" i="8"/>
  <c r="M90" i="8" s="1"/>
  <c r="J167" i="8" l="1"/>
  <c r="K166" i="8"/>
  <c r="L166" i="8" s="1"/>
  <c r="Q89" i="8"/>
  <c r="N90" i="8" s="1"/>
  <c r="O90" i="8" s="1"/>
  <c r="R90" i="8" s="1"/>
  <c r="K167" i="8" l="1"/>
  <c r="L167" i="8" s="1"/>
  <c r="J168" i="8"/>
  <c r="P90" i="8"/>
  <c r="M91" i="8" s="1"/>
  <c r="J169" i="8" l="1"/>
  <c r="K168" i="8"/>
  <c r="L168" i="8" s="1"/>
  <c r="Q90" i="8"/>
  <c r="N91" i="8" s="1"/>
  <c r="O91" i="8" s="1"/>
  <c r="R91" i="8" s="1"/>
  <c r="K169" i="8" l="1"/>
  <c r="L169" i="8" s="1"/>
  <c r="J170" i="8"/>
  <c r="P91" i="8"/>
  <c r="M92" i="8" s="1"/>
  <c r="Q91" i="8" l="1"/>
  <c r="N92" i="8" s="1"/>
  <c r="J171" i="8"/>
  <c r="K170" i="8"/>
  <c r="L170" i="8" s="1"/>
  <c r="O92" i="8"/>
  <c r="R92" i="8" s="1"/>
  <c r="J172" i="8" l="1"/>
  <c r="K171" i="8"/>
  <c r="L171" i="8" s="1"/>
  <c r="P92" i="8"/>
  <c r="M93" i="8" s="1"/>
  <c r="J173" i="8" l="1"/>
  <c r="K172" i="8"/>
  <c r="L172" i="8" s="1"/>
  <c r="Q92" i="8"/>
  <c r="N93" i="8" s="1"/>
  <c r="O93" i="8" s="1"/>
  <c r="R93" i="8" s="1"/>
  <c r="K173" i="8" l="1"/>
  <c r="L173" i="8" s="1"/>
  <c r="J174" i="8"/>
  <c r="P93" i="8"/>
  <c r="M94" i="8" s="1"/>
  <c r="K174" i="8" l="1"/>
  <c r="L174" i="8" s="1"/>
  <c r="J175" i="8"/>
  <c r="Q93" i="8"/>
  <c r="N94" i="8" s="1"/>
  <c r="O94" i="8" s="1"/>
  <c r="R94" i="8" s="1"/>
  <c r="J176" i="8" l="1"/>
  <c r="K175" i="8"/>
  <c r="L175" i="8" s="1"/>
  <c r="P94" i="8"/>
  <c r="M95" i="8" s="1"/>
  <c r="J177" i="8" l="1"/>
  <c r="K176" i="8"/>
  <c r="L176" i="8" s="1"/>
  <c r="Q94" i="8"/>
  <c r="N95" i="8" s="1"/>
  <c r="O95" i="8" s="1"/>
  <c r="R95" i="8" s="1"/>
  <c r="J178" i="8" l="1"/>
  <c r="K177" i="8"/>
  <c r="L177" i="8" s="1"/>
  <c r="P95" i="8"/>
  <c r="M96" i="8" s="1"/>
  <c r="J179" i="8" l="1"/>
  <c r="K178" i="8"/>
  <c r="L178" i="8" s="1"/>
  <c r="Q95" i="8"/>
  <c r="N96" i="8" s="1"/>
  <c r="O96" i="8" s="1"/>
  <c r="R96" i="8" s="1"/>
  <c r="K179" i="8" l="1"/>
  <c r="L179" i="8" s="1"/>
  <c r="J180" i="8"/>
  <c r="P96" i="8"/>
  <c r="M97" i="8" s="1"/>
  <c r="J181" i="8" l="1"/>
  <c r="K180" i="8"/>
  <c r="L180" i="8" s="1"/>
  <c r="Q96" i="8"/>
  <c r="N97" i="8" s="1"/>
  <c r="O97" i="8" s="1"/>
  <c r="R97" i="8" s="1"/>
  <c r="K181" i="8" l="1"/>
  <c r="L181" i="8" s="1"/>
  <c r="J182" i="8"/>
  <c r="P97" i="8"/>
  <c r="M98" i="8" s="1"/>
  <c r="K182" i="8" l="1"/>
  <c r="L182" i="8" s="1"/>
  <c r="J183" i="8"/>
  <c r="Q97" i="8"/>
  <c r="N98" i="8" s="1"/>
  <c r="O98" i="8" s="1"/>
  <c r="R98" i="8" s="1"/>
  <c r="J184" i="8" l="1"/>
  <c r="K183" i="8"/>
  <c r="L183" i="8" s="1"/>
  <c r="P98" i="8"/>
  <c r="M99" i="8" s="1"/>
  <c r="K184" i="8" l="1"/>
  <c r="L184" i="8" s="1"/>
  <c r="J185" i="8"/>
  <c r="Q98" i="8"/>
  <c r="N99" i="8" s="1"/>
  <c r="O99" i="8" s="1"/>
  <c r="R99" i="8" s="1"/>
  <c r="K185" i="8" l="1"/>
  <c r="L185" i="8" s="1"/>
  <c r="J186" i="8"/>
  <c r="P99" i="8"/>
  <c r="M100" i="8" s="1"/>
  <c r="J187" i="8" l="1"/>
  <c r="K186" i="8"/>
  <c r="L186" i="8" s="1"/>
  <c r="Q99" i="8"/>
  <c r="N100" i="8" s="1"/>
  <c r="O100" i="8" s="1"/>
  <c r="R100" i="8" s="1"/>
  <c r="J188" i="8" l="1"/>
  <c r="K187" i="8"/>
  <c r="L187" i="8" s="1"/>
  <c r="P100" i="8"/>
  <c r="M101" i="8" s="1"/>
  <c r="J189" i="8" l="1"/>
  <c r="K188" i="8"/>
  <c r="L188" i="8" s="1"/>
  <c r="Q100" i="8"/>
  <c r="N101" i="8" s="1"/>
  <c r="O101" i="8" s="1"/>
  <c r="R101" i="8" s="1"/>
  <c r="J190" i="8" l="1"/>
  <c r="K189" i="8"/>
  <c r="L189" i="8" s="1"/>
  <c r="P101" i="8"/>
  <c r="M102" i="8" s="1"/>
  <c r="K190" i="8" l="1"/>
  <c r="L190" i="8" s="1"/>
  <c r="J191" i="8"/>
  <c r="Q101" i="8"/>
  <c r="N102" i="8" s="1"/>
  <c r="O102" i="8" s="1"/>
  <c r="R102" i="8" s="1"/>
  <c r="J192" i="8" l="1"/>
  <c r="K191" i="8"/>
  <c r="L191" i="8" s="1"/>
  <c r="P102" i="8"/>
  <c r="M103" i="8" s="1"/>
  <c r="K192" i="8" l="1"/>
  <c r="L192" i="8" s="1"/>
  <c r="J193" i="8"/>
  <c r="Q102" i="8"/>
  <c r="N103" i="8" s="1"/>
  <c r="O103" i="8" s="1"/>
  <c r="R103" i="8" s="1"/>
  <c r="J194" i="8" l="1"/>
  <c r="K193" i="8"/>
  <c r="L193" i="8" s="1"/>
  <c r="P103" i="8"/>
  <c r="M104" i="8" s="1"/>
  <c r="K194" i="8" l="1"/>
  <c r="L194" i="8" s="1"/>
  <c r="J195" i="8"/>
  <c r="Q103" i="8"/>
  <c r="N104" i="8" s="1"/>
  <c r="O104" i="8" s="1"/>
  <c r="R104" i="8" s="1"/>
  <c r="J196" i="8" l="1"/>
  <c r="K195" i="8"/>
  <c r="L195" i="8" s="1"/>
  <c r="P104" i="8"/>
  <c r="M105" i="8" s="1"/>
  <c r="J197" i="8" l="1"/>
  <c r="K196" i="8"/>
  <c r="L196" i="8" s="1"/>
  <c r="Q104" i="8"/>
  <c r="N105" i="8" s="1"/>
  <c r="O105" i="8" s="1"/>
  <c r="R105" i="8" s="1"/>
  <c r="J198" i="8" l="1"/>
  <c r="K197" i="8"/>
  <c r="L197" i="8" s="1"/>
  <c r="P105" i="8"/>
  <c r="M106" i="8" s="1"/>
  <c r="J199" i="8" l="1"/>
  <c r="K198" i="8"/>
  <c r="L198" i="8" s="1"/>
  <c r="Q105" i="8"/>
  <c r="N106" i="8" s="1"/>
  <c r="O106" i="8" s="1"/>
  <c r="R106" i="8" s="1"/>
  <c r="J200" i="8" l="1"/>
  <c r="K199" i="8"/>
  <c r="L199" i="8" s="1"/>
  <c r="P106" i="8"/>
  <c r="M107" i="8" s="1"/>
  <c r="J201" i="8" l="1"/>
  <c r="K200" i="8"/>
  <c r="L200" i="8" s="1"/>
  <c r="Q106" i="8"/>
  <c r="N107" i="8" s="1"/>
  <c r="O107" i="8" s="1"/>
  <c r="R107" i="8" s="1"/>
  <c r="J202" i="8" l="1"/>
  <c r="K201" i="8"/>
  <c r="L201" i="8" s="1"/>
  <c r="P107" i="8"/>
  <c r="M108" i="8" s="1"/>
  <c r="J203" i="8" l="1"/>
  <c r="K202" i="8"/>
  <c r="L202" i="8" s="1"/>
  <c r="Q107" i="8"/>
  <c r="N108" i="8" s="1"/>
  <c r="O108" i="8" s="1"/>
  <c r="R108" i="8" s="1"/>
  <c r="J204" i="8" l="1"/>
  <c r="K203" i="8"/>
  <c r="L203" i="8" s="1"/>
  <c r="P108" i="8"/>
  <c r="M109" i="8" s="1"/>
  <c r="K204" i="8" l="1"/>
  <c r="J205" i="8"/>
  <c r="L204" i="8"/>
  <c r="Q108" i="8"/>
  <c r="N109" i="8" s="1"/>
  <c r="O109" i="8" s="1"/>
  <c r="R109" i="8" s="1"/>
  <c r="J206" i="8" l="1"/>
  <c r="K205" i="8"/>
  <c r="L205" i="8" s="1"/>
  <c r="P109" i="8"/>
  <c r="M110" i="8" s="1"/>
  <c r="J207" i="8" l="1"/>
  <c r="K206" i="8"/>
  <c r="L206" i="8" s="1"/>
  <c r="Q109" i="8"/>
  <c r="N110" i="8" s="1"/>
  <c r="O110" i="8" s="1"/>
  <c r="R110" i="8" s="1"/>
  <c r="J208" i="8" l="1"/>
  <c r="K207" i="8"/>
  <c r="L207" i="8" s="1"/>
  <c r="P110" i="8"/>
  <c r="M111" i="8" s="1"/>
  <c r="J209" i="8" l="1"/>
  <c r="K208" i="8"/>
  <c r="L208" i="8" s="1"/>
  <c r="Q110" i="8"/>
  <c r="N111" i="8" s="1"/>
  <c r="O111" i="8" s="1"/>
  <c r="R111" i="8" s="1"/>
  <c r="J210" i="8" l="1"/>
  <c r="K209" i="8"/>
  <c r="L209" i="8" s="1"/>
  <c r="P111" i="8"/>
  <c r="M112" i="8" s="1"/>
  <c r="K210" i="8" l="1"/>
  <c r="L210" i="8" s="1"/>
  <c r="J211" i="8"/>
  <c r="Q111" i="8"/>
  <c r="N112" i="8" s="1"/>
  <c r="O112" i="8" s="1"/>
  <c r="R112" i="8" s="1"/>
  <c r="K211" i="8" l="1"/>
  <c r="L211" i="8" s="1"/>
  <c r="J212" i="8"/>
  <c r="P112" i="8"/>
  <c r="M113" i="8" s="1"/>
  <c r="K212" i="8" l="1"/>
  <c r="L212" i="8" s="1"/>
  <c r="J213" i="8"/>
  <c r="Q112" i="8"/>
  <c r="N113" i="8" s="1"/>
  <c r="O113" i="8" s="1"/>
  <c r="R113" i="8" s="1"/>
  <c r="K213" i="8" l="1"/>
  <c r="L213" i="8" s="1"/>
  <c r="J214" i="8"/>
  <c r="P113" i="8"/>
  <c r="M114" i="8" s="1"/>
  <c r="J215" i="8" l="1"/>
  <c r="K214" i="8"/>
  <c r="L214" i="8" s="1"/>
  <c r="Q113" i="8"/>
  <c r="N114" i="8" s="1"/>
  <c r="O114" i="8" s="1"/>
  <c r="R114" i="8" s="1"/>
  <c r="J216" i="8" l="1"/>
  <c r="K215" i="8"/>
  <c r="L215" i="8" s="1"/>
  <c r="P114" i="8"/>
  <c r="M115" i="8" s="1"/>
  <c r="J217" i="8" l="1"/>
  <c r="K216" i="8"/>
  <c r="L216" i="8" s="1"/>
  <c r="Q114" i="8"/>
  <c r="N115" i="8" s="1"/>
  <c r="O115" i="8" s="1"/>
  <c r="R115" i="8" s="1"/>
  <c r="K217" i="8" l="1"/>
  <c r="L217" i="8" s="1"/>
  <c r="J218" i="8"/>
  <c r="P115" i="8"/>
  <c r="M116" i="8" s="1"/>
  <c r="J219" i="8" l="1"/>
  <c r="K218" i="8"/>
  <c r="L218" i="8" s="1"/>
  <c r="Q115" i="8"/>
  <c r="N116" i="8" s="1"/>
  <c r="O116" i="8" s="1"/>
  <c r="R116" i="8" s="1"/>
  <c r="K219" i="8" l="1"/>
  <c r="L219" i="8" s="1"/>
  <c r="J220" i="8"/>
  <c r="P116" i="8"/>
  <c r="M117" i="8" s="1"/>
  <c r="J221" i="8" l="1"/>
  <c r="K220" i="8"/>
  <c r="L220" i="8" s="1"/>
  <c r="Q116" i="8"/>
  <c r="N117" i="8" s="1"/>
  <c r="O117" i="8" s="1"/>
  <c r="R117" i="8" s="1"/>
  <c r="J222" i="8" l="1"/>
  <c r="K221" i="8"/>
  <c r="L221" i="8" s="1"/>
  <c r="P117" i="8"/>
  <c r="M118" i="8" s="1"/>
  <c r="J223" i="8" l="1"/>
  <c r="K222" i="8"/>
  <c r="L222" i="8" s="1"/>
  <c r="Q117" i="8"/>
  <c r="N118" i="8" s="1"/>
  <c r="O118" i="8" s="1"/>
  <c r="R118" i="8" s="1"/>
  <c r="K223" i="8" l="1"/>
  <c r="L223" i="8" s="1"/>
  <c r="J224" i="8"/>
  <c r="P118" i="8"/>
  <c r="M119" i="8" s="1"/>
  <c r="J225" i="8" l="1"/>
  <c r="K224" i="8"/>
  <c r="L224" i="8" s="1"/>
  <c r="Q118" i="8"/>
  <c r="N119" i="8" s="1"/>
  <c r="O119" i="8" s="1"/>
  <c r="R119" i="8" s="1"/>
  <c r="J226" i="8" l="1"/>
  <c r="K225" i="8"/>
  <c r="L225" i="8" s="1"/>
  <c r="P119" i="8"/>
  <c r="M120" i="8" s="1"/>
  <c r="K226" i="8" l="1"/>
  <c r="L226" i="8" s="1"/>
  <c r="J227" i="8"/>
  <c r="Q119" i="8"/>
  <c r="N120" i="8" s="1"/>
  <c r="O120" i="8" s="1"/>
  <c r="R120" i="8" s="1"/>
  <c r="K227" i="8" l="1"/>
  <c r="L227" i="8" s="1"/>
  <c r="J228" i="8"/>
  <c r="P120" i="8"/>
  <c r="M121" i="8" s="1"/>
  <c r="K228" i="8" l="1"/>
  <c r="L228" i="8" s="1"/>
  <c r="J229" i="8"/>
  <c r="Q120" i="8"/>
  <c r="N121" i="8" s="1"/>
  <c r="O121" i="8" s="1"/>
  <c r="R121" i="8" s="1"/>
  <c r="K229" i="8" l="1"/>
  <c r="L229" i="8" s="1"/>
  <c r="J230" i="8"/>
  <c r="P121" i="8"/>
  <c r="M122" i="8" s="1"/>
  <c r="K230" i="8" l="1"/>
  <c r="L230" i="8" s="1"/>
  <c r="J231" i="8"/>
  <c r="Q121" i="8"/>
  <c r="N122" i="8" s="1"/>
  <c r="O122" i="8" s="1"/>
  <c r="R122" i="8" s="1"/>
  <c r="J232" i="8" l="1"/>
  <c r="K231" i="8"/>
  <c r="L231" i="8" s="1"/>
  <c r="P122" i="8"/>
  <c r="M123" i="8" s="1"/>
  <c r="K232" i="8" l="1"/>
  <c r="L232" i="8" s="1"/>
  <c r="J233" i="8"/>
  <c r="Q122" i="8"/>
  <c r="N123" i="8" s="1"/>
  <c r="O123" i="8" s="1"/>
  <c r="R123" i="8" s="1"/>
  <c r="J234" i="8" l="1"/>
  <c r="K233" i="8"/>
  <c r="L233" i="8" s="1"/>
  <c r="P123" i="8"/>
  <c r="M124" i="8" s="1"/>
  <c r="J235" i="8" l="1"/>
  <c r="K234" i="8"/>
  <c r="L234" i="8" s="1"/>
  <c r="Q123" i="8"/>
  <c r="N124" i="8" s="1"/>
  <c r="O124" i="8" s="1"/>
  <c r="R124" i="8" s="1"/>
  <c r="J236" i="8" l="1"/>
  <c r="K235" i="8"/>
  <c r="L235" i="8" s="1"/>
  <c r="P124" i="8"/>
  <c r="M125" i="8" s="1"/>
  <c r="J237" i="8" l="1"/>
  <c r="K236" i="8"/>
  <c r="L236" i="8" s="1"/>
  <c r="Q124" i="8"/>
  <c r="N125" i="8" s="1"/>
  <c r="O125" i="8" s="1"/>
  <c r="R125" i="8" s="1"/>
  <c r="J238" i="8" l="1"/>
  <c r="K237" i="8"/>
  <c r="L237" i="8" s="1"/>
  <c r="P125" i="8"/>
  <c r="M126" i="8" s="1"/>
  <c r="J239" i="8" l="1"/>
  <c r="K238" i="8"/>
  <c r="L238" i="8" s="1"/>
  <c r="Q125" i="8"/>
  <c r="N126" i="8" s="1"/>
  <c r="O126" i="8" s="1"/>
  <c r="R126" i="8" s="1"/>
  <c r="K239" i="8" l="1"/>
  <c r="L239" i="8" s="1"/>
  <c r="J240" i="8"/>
  <c r="P126" i="8"/>
  <c r="M127" i="8" s="1"/>
  <c r="K240" i="8" l="1"/>
  <c r="L240" i="8" s="1"/>
  <c r="J241" i="8"/>
  <c r="Q126" i="8"/>
  <c r="N127" i="8" s="1"/>
  <c r="O127" i="8" s="1"/>
  <c r="R127" i="8" s="1"/>
  <c r="J242" i="8" l="1"/>
  <c r="K241" i="8"/>
  <c r="L241" i="8" s="1"/>
  <c r="P127" i="8"/>
  <c r="M128" i="8" s="1"/>
  <c r="K242" i="8" l="1"/>
  <c r="J243" i="8"/>
  <c r="L242" i="8"/>
  <c r="Q127" i="8"/>
  <c r="N128" i="8" s="1"/>
  <c r="O128" i="8" s="1"/>
  <c r="R128" i="8" s="1"/>
  <c r="J244" i="8" l="1"/>
  <c r="K243" i="8"/>
  <c r="L243" i="8" s="1"/>
  <c r="P128" i="8"/>
  <c r="M129" i="8" s="1"/>
  <c r="J245" i="8" l="1"/>
  <c r="K244" i="8"/>
  <c r="L244" i="8" s="1"/>
  <c r="Q128" i="8"/>
  <c r="N129" i="8" s="1"/>
  <c r="O129" i="8" s="1"/>
  <c r="R129" i="8" s="1"/>
  <c r="J246" i="8" l="1"/>
  <c r="K245" i="8"/>
  <c r="L245" i="8" s="1"/>
  <c r="P129" i="8"/>
  <c r="M130" i="8" s="1"/>
  <c r="J247" i="8" l="1"/>
  <c r="K246" i="8"/>
  <c r="L246" i="8" s="1"/>
  <c r="Q129" i="8"/>
  <c r="N130" i="8" s="1"/>
  <c r="O130" i="8" s="1"/>
  <c r="R130" i="8" s="1"/>
  <c r="J248" i="8" l="1"/>
  <c r="K247" i="8"/>
  <c r="L247" i="8" s="1"/>
  <c r="P130" i="8"/>
  <c r="M131" i="8" s="1"/>
  <c r="J249" i="8" l="1"/>
  <c r="K248" i="8"/>
  <c r="L248" i="8" s="1"/>
  <c r="Q130" i="8"/>
  <c r="N131" i="8" s="1"/>
  <c r="O131" i="8" s="1"/>
  <c r="R131" i="8" s="1"/>
  <c r="J250" i="8" l="1"/>
  <c r="K249" i="8"/>
  <c r="L249" i="8" s="1"/>
  <c r="P131" i="8"/>
  <c r="M132" i="8" s="1"/>
  <c r="J251" i="8" l="1"/>
  <c r="K250" i="8"/>
  <c r="L250" i="8" s="1"/>
  <c r="Q131" i="8"/>
  <c r="N132" i="8" s="1"/>
  <c r="O132" i="8" s="1"/>
  <c r="R132" i="8" s="1"/>
  <c r="J252" i="8" l="1"/>
  <c r="K251" i="8"/>
  <c r="L251" i="8" s="1"/>
  <c r="P132" i="8"/>
  <c r="M133" i="8" s="1"/>
  <c r="J253" i="8" l="1"/>
  <c r="K252" i="8"/>
  <c r="L252" i="8" s="1"/>
  <c r="Q132" i="8"/>
  <c r="N133" i="8" s="1"/>
  <c r="O133" i="8" s="1"/>
  <c r="R133" i="8" s="1"/>
  <c r="K253" i="8" l="1"/>
  <c r="L253" i="8" s="1"/>
  <c r="J254" i="8"/>
  <c r="P133" i="8"/>
  <c r="M134" i="8" s="1"/>
  <c r="J255" i="8" l="1"/>
  <c r="K254" i="8"/>
  <c r="L254" i="8" s="1"/>
  <c r="Q133" i="8"/>
  <c r="N134" i="8" s="1"/>
  <c r="O134" i="8" s="1"/>
  <c r="R134" i="8" s="1"/>
  <c r="K255" i="8" l="1"/>
  <c r="L255" i="8" s="1"/>
  <c r="J256" i="8"/>
  <c r="P134" i="8"/>
  <c r="M135" i="8" s="1"/>
  <c r="J257" i="8" l="1"/>
  <c r="K256" i="8"/>
  <c r="L256" i="8" s="1"/>
  <c r="Q134" i="8"/>
  <c r="N135" i="8" s="1"/>
  <c r="O135" i="8" s="1"/>
  <c r="R135" i="8" s="1"/>
  <c r="J258" i="8" l="1"/>
  <c r="K257" i="8"/>
  <c r="L257" i="8" s="1"/>
  <c r="P135" i="8"/>
  <c r="M136" i="8" s="1"/>
  <c r="J259" i="8" l="1"/>
  <c r="K258" i="8"/>
  <c r="L258" i="8" s="1"/>
  <c r="Q135" i="8"/>
  <c r="N136" i="8" s="1"/>
  <c r="O136" i="8" s="1"/>
  <c r="R136" i="8" s="1"/>
  <c r="J260" i="8" l="1"/>
  <c r="K259" i="8"/>
  <c r="L259" i="8" s="1"/>
  <c r="P136" i="8"/>
  <c r="M137" i="8" s="1"/>
  <c r="K260" i="8" l="1"/>
  <c r="L260" i="8" s="1"/>
  <c r="J261" i="8"/>
  <c r="Q136" i="8"/>
  <c r="N137" i="8" s="1"/>
  <c r="O137" i="8" s="1"/>
  <c r="R137" i="8" s="1"/>
  <c r="J262" i="8" l="1"/>
  <c r="K261" i="8"/>
  <c r="L261" i="8" s="1"/>
  <c r="P137" i="8"/>
  <c r="M138" i="8" s="1"/>
  <c r="J263" i="8" l="1"/>
  <c r="K262" i="8"/>
  <c r="L262" i="8" s="1"/>
  <c r="Q137" i="8"/>
  <c r="N138" i="8" s="1"/>
  <c r="O138" i="8" s="1"/>
  <c r="R138" i="8" s="1"/>
  <c r="J264" i="8" l="1"/>
  <c r="K263" i="8"/>
  <c r="L263" i="8" s="1"/>
  <c r="P138" i="8"/>
  <c r="M139" i="8" s="1"/>
  <c r="J265" i="8" l="1"/>
  <c r="K264" i="8"/>
  <c r="L264" i="8" s="1"/>
  <c r="Q138" i="8"/>
  <c r="N139" i="8" s="1"/>
  <c r="O139" i="8" s="1"/>
  <c r="R139" i="8" s="1"/>
  <c r="J266" i="8" l="1"/>
  <c r="K265" i="8"/>
  <c r="L265" i="8" s="1"/>
  <c r="P139" i="8"/>
  <c r="M140" i="8" s="1"/>
  <c r="J267" i="8" l="1"/>
  <c r="K266" i="8"/>
  <c r="L266" i="8" s="1"/>
  <c r="Q139" i="8"/>
  <c r="N140" i="8" s="1"/>
  <c r="O140" i="8" s="1"/>
  <c r="R140" i="8" s="1"/>
  <c r="J268" i="8" l="1"/>
  <c r="K267" i="8"/>
  <c r="L267" i="8" s="1"/>
  <c r="P140" i="8"/>
  <c r="M141" i="8" s="1"/>
  <c r="J269" i="8" l="1"/>
  <c r="K268" i="8"/>
  <c r="L268" i="8" s="1"/>
  <c r="Q140" i="8"/>
  <c r="N141" i="8" s="1"/>
  <c r="O141" i="8" s="1"/>
  <c r="R141" i="8" s="1"/>
  <c r="J270" i="8" l="1"/>
  <c r="K269" i="8"/>
  <c r="L269" i="8" s="1"/>
  <c r="P141" i="8"/>
  <c r="M142" i="8" s="1"/>
  <c r="J271" i="8" l="1"/>
  <c r="K270" i="8"/>
  <c r="L270" i="8" s="1"/>
  <c r="Q141" i="8"/>
  <c r="N142" i="8" s="1"/>
  <c r="O142" i="8" s="1"/>
  <c r="R142" i="8" s="1"/>
  <c r="J272" i="8" l="1"/>
  <c r="K271" i="8"/>
  <c r="L271" i="8" s="1"/>
  <c r="P142" i="8"/>
  <c r="M143" i="8" s="1"/>
  <c r="J273" i="8" l="1"/>
  <c r="K272" i="8"/>
  <c r="L272" i="8" s="1"/>
  <c r="Q142" i="8"/>
  <c r="N143" i="8" s="1"/>
  <c r="O143" i="8" s="1"/>
  <c r="R143" i="8" s="1"/>
  <c r="J274" i="8" l="1"/>
  <c r="K273" i="8"/>
  <c r="L273" i="8" s="1"/>
  <c r="P143" i="8"/>
  <c r="M144" i="8" s="1"/>
  <c r="K274" i="8" l="1"/>
  <c r="L274" i="8" s="1"/>
  <c r="J275" i="8"/>
  <c r="Q143" i="8"/>
  <c r="N144" i="8" s="1"/>
  <c r="O144" i="8" s="1"/>
  <c r="R144" i="8" s="1"/>
  <c r="J276" i="8" l="1"/>
  <c r="K275" i="8"/>
  <c r="L275" i="8" s="1"/>
  <c r="P144" i="8"/>
  <c r="M145" i="8" s="1"/>
  <c r="J277" i="8" l="1"/>
  <c r="K276" i="8"/>
  <c r="L276" i="8" s="1"/>
  <c r="Q144" i="8"/>
  <c r="N145" i="8" s="1"/>
  <c r="O145" i="8" s="1"/>
  <c r="R145" i="8" s="1"/>
  <c r="K277" i="8" l="1"/>
  <c r="L277" i="8" s="1"/>
  <c r="J278" i="8"/>
  <c r="P145" i="8"/>
  <c r="M146" i="8" s="1"/>
  <c r="J279" i="8" l="1"/>
  <c r="K278" i="8"/>
  <c r="L278" i="8" s="1"/>
  <c r="Q145" i="8"/>
  <c r="N146" i="8" s="1"/>
  <c r="O146" i="8" s="1"/>
  <c r="R146" i="8" s="1"/>
  <c r="J280" i="8" l="1"/>
  <c r="K279" i="8"/>
  <c r="L279" i="8" s="1"/>
  <c r="P146" i="8"/>
  <c r="M147" i="8" s="1"/>
  <c r="J281" i="8" l="1"/>
  <c r="K280" i="8"/>
  <c r="L280" i="8" s="1"/>
  <c r="Q146" i="8"/>
  <c r="N147" i="8" s="1"/>
  <c r="O147" i="8" s="1"/>
  <c r="R147" i="8" s="1"/>
  <c r="K281" i="8" l="1"/>
  <c r="L281" i="8" s="1"/>
  <c r="J282" i="8"/>
  <c r="P147" i="8"/>
  <c r="M148" i="8" s="1"/>
  <c r="J283" i="8" l="1"/>
  <c r="K282" i="8"/>
  <c r="L282" i="8" s="1"/>
  <c r="Q147" i="8"/>
  <c r="N148" i="8" s="1"/>
  <c r="O148" i="8" s="1"/>
  <c r="R148" i="8" s="1"/>
  <c r="K283" i="8" l="1"/>
  <c r="L283" i="8" s="1"/>
  <c r="J284" i="8"/>
  <c r="P148" i="8"/>
  <c r="M149" i="8" s="1"/>
  <c r="J285" i="8" l="1"/>
  <c r="K284" i="8"/>
  <c r="L284" i="8" s="1"/>
  <c r="Q148" i="8"/>
  <c r="N149" i="8" s="1"/>
  <c r="O149" i="8" s="1"/>
  <c r="R149" i="8" s="1"/>
  <c r="J286" i="8" l="1"/>
  <c r="K285" i="8"/>
  <c r="L285" i="8" s="1"/>
  <c r="P149" i="8"/>
  <c r="M150" i="8" s="1"/>
  <c r="J287" i="8" l="1"/>
  <c r="K286" i="8"/>
  <c r="L286" i="8" s="1"/>
  <c r="Q149" i="8"/>
  <c r="N150" i="8" s="1"/>
  <c r="O150" i="8" s="1"/>
  <c r="R150" i="8" s="1"/>
  <c r="K287" i="8" l="1"/>
  <c r="L287" i="8" s="1"/>
  <c r="J288" i="8"/>
  <c r="P150" i="8"/>
  <c r="M151" i="8" s="1"/>
  <c r="J289" i="8" l="1"/>
  <c r="K288" i="8"/>
  <c r="L288" i="8" s="1"/>
  <c r="Q150" i="8"/>
  <c r="N151" i="8" s="1"/>
  <c r="O151" i="8" s="1"/>
  <c r="R151" i="8" s="1"/>
  <c r="K289" i="8" l="1"/>
  <c r="L289" i="8" s="1"/>
  <c r="J290" i="8"/>
  <c r="P151" i="8"/>
  <c r="M152" i="8" s="1"/>
  <c r="J291" i="8" l="1"/>
  <c r="K290" i="8"/>
  <c r="L290" i="8" s="1"/>
  <c r="Q151" i="8"/>
  <c r="N152" i="8" s="1"/>
  <c r="O152" i="8" s="1"/>
  <c r="R152" i="8" s="1"/>
  <c r="K291" i="8" l="1"/>
  <c r="L291" i="8" s="1"/>
  <c r="J292" i="8"/>
  <c r="P152" i="8"/>
  <c r="M153" i="8" s="1"/>
  <c r="K292" i="8" l="1"/>
  <c r="L292" i="8" s="1"/>
  <c r="J293" i="8"/>
  <c r="Q152" i="8"/>
  <c r="N153" i="8" s="1"/>
  <c r="O153" i="8" s="1"/>
  <c r="R153" i="8" s="1"/>
  <c r="J294" i="8" l="1"/>
  <c r="K293" i="8"/>
  <c r="L293" i="8" s="1"/>
  <c r="P153" i="8"/>
  <c r="M154" i="8" s="1"/>
  <c r="K294" i="8" l="1"/>
  <c r="L294" i="8" s="1"/>
  <c r="J295" i="8"/>
  <c r="Q153" i="8"/>
  <c r="N154" i="8" s="1"/>
  <c r="O154" i="8" s="1"/>
  <c r="R154" i="8" s="1"/>
  <c r="J296" i="8" l="1"/>
  <c r="K295" i="8"/>
  <c r="L295" i="8" s="1"/>
  <c r="P154" i="8"/>
  <c r="M155" i="8" s="1"/>
  <c r="K296" i="8" l="1"/>
  <c r="L296" i="8" s="1"/>
  <c r="J297" i="8"/>
  <c r="Q154" i="8"/>
  <c r="N155" i="8" s="1"/>
  <c r="O155" i="8" s="1"/>
  <c r="R155" i="8" s="1"/>
  <c r="J298" i="8" l="1"/>
  <c r="K297" i="8"/>
  <c r="L297" i="8" s="1"/>
  <c r="P155" i="8"/>
  <c r="M156" i="8" s="1"/>
  <c r="K298" i="8" l="1"/>
  <c r="L298" i="8" s="1"/>
  <c r="J299" i="8"/>
  <c r="Q155" i="8"/>
  <c r="N156" i="8" s="1"/>
  <c r="O156" i="8" s="1"/>
  <c r="R156" i="8" s="1"/>
  <c r="K299" i="8" l="1"/>
  <c r="L299" i="8" s="1"/>
  <c r="J300" i="8"/>
  <c r="P156" i="8"/>
  <c r="M157" i="8" s="1"/>
  <c r="K300" i="8" l="1"/>
  <c r="L300" i="8" s="1"/>
  <c r="J301" i="8"/>
  <c r="Q156" i="8"/>
  <c r="N157" i="8" s="1"/>
  <c r="O157" i="8" s="1"/>
  <c r="R157" i="8" s="1"/>
  <c r="J302" i="8" l="1"/>
  <c r="K301" i="8"/>
  <c r="L301" i="8" s="1"/>
  <c r="P157" i="8"/>
  <c r="M158" i="8" s="1"/>
  <c r="J303" i="8" l="1"/>
  <c r="K302" i="8"/>
  <c r="L302" i="8" s="1"/>
  <c r="Q157" i="8"/>
  <c r="N158" i="8" s="1"/>
  <c r="O158" i="8" s="1"/>
  <c r="R158" i="8" s="1"/>
  <c r="J304" i="8" l="1"/>
  <c r="K303" i="8"/>
  <c r="L303" i="8" s="1"/>
  <c r="P158" i="8"/>
  <c r="M159" i="8" s="1"/>
  <c r="J305" i="8" l="1"/>
  <c r="K304" i="8"/>
  <c r="L304" i="8" s="1"/>
  <c r="Q158" i="8"/>
  <c r="N159" i="8" s="1"/>
  <c r="O159" i="8" s="1"/>
  <c r="R159" i="8" s="1"/>
  <c r="K305" i="8" l="1"/>
  <c r="L305" i="8" s="1"/>
  <c r="J306" i="8"/>
  <c r="P159" i="8"/>
  <c r="M160" i="8" s="1"/>
  <c r="Q159" i="8" l="1"/>
  <c r="N160" i="8" s="1"/>
  <c r="O160" i="8" s="1"/>
  <c r="R160" i="8" s="1"/>
  <c r="P160" i="8" s="1"/>
  <c r="M161" i="8" s="1"/>
  <c r="J307" i="8"/>
  <c r="K306" i="8"/>
  <c r="L306" i="8" s="1"/>
  <c r="Q160" i="8" l="1"/>
  <c r="N161" i="8" s="1"/>
  <c r="O161" i="8" s="1"/>
  <c r="R161" i="8" s="1"/>
  <c r="J308" i="8"/>
  <c r="K307" i="8"/>
  <c r="L307" i="8" s="1"/>
  <c r="J309" i="8" l="1"/>
  <c r="K308" i="8"/>
  <c r="L308" i="8" s="1"/>
  <c r="P161" i="8"/>
  <c r="M162" i="8" s="1"/>
  <c r="K309" i="8" l="1"/>
  <c r="L309" i="8" s="1"/>
  <c r="J310" i="8"/>
  <c r="Q161" i="8"/>
  <c r="N162" i="8" s="1"/>
  <c r="O162" i="8" s="1"/>
  <c r="R162" i="8" s="1"/>
  <c r="J311" i="8" l="1"/>
  <c r="K310" i="8"/>
  <c r="L310" i="8" s="1"/>
  <c r="P162" i="8"/>
  <c r="M163" i="8" s="1"/>
  <c r="K311" i="8" l="1"/>
  <c r="L311" i="8" s="1"/>
  <c r="J312" i="8"/>
  <c r="Q162" i="8"/>
  <c r="N163" i="8" s="1"/>
  <c r="O163" i="8" s="1"/>
  <c r="R163" i="8" s="1"/>
  <c r="J313" i="8" l="1"/>
  <c r="K312" i="8"/>
  <c r="L312" i="8" s="1"/>
  <c r="P163" i="8"/>
  <c r="M164" i="8" s="1"/>
  <c r="Q163" i="8" l="1"/>
  <c r="N164" i="8" s="1"/>
  <c r="O164" i="8" s="1"/>
  <c r="R164" i="8" s="1"/>
  <c r="J314" i="8"/>
  <c r="K313" i="8"/>
  <c r="L313" i="8" s="1"/>
  <c r="K314" i="8" l="1"/>
  <c r="L314" i="8" s="1"/>
  <c r="J315" i="8"/>
  <c r="P164" i="8"/>
  <c r="M165" i="8" s="1"/>
  <c r="K315" i="8" l="1"/>
  <c r="L315" i="8" s="1"/>
  <c r="J316" i="8"/>
  <c r="Q164" i="8"/>
  <c r="N165" i="8" s="1"/>
  <c r="O165" i="8" s="1"/>
  <c r="R165" i="8" s="1"/>
  <c r="K316" i="8" l="1"/>
  <c r="L316" i="8" s="1"/>
  <c r="J317" i="8"/>
  <c r="P165" i="8"/>
  <c r="M166" i="8" s="1"/>
  <c r="J318" i="8" l="1"/>
  <c r="K317" i="8"/>
  <c r="L317" i="8" s="1"/>
  <c r="Q165" i="8"/>
  <c r="N166" i="8" s="1"/>
  <c r="O166" i="8" s="1"/>
  <c r="R166" i="8" s="1"/>
  <c r="J319" i="8" l="1"/>
  <c r="K318" i="8"/>
  <c r="L318" i="8" s="1"/>
  <c r="P166" i="8"/>
  <c r="M167" i="8" s="1"/>
  <c r="K319" i="8" l="1"/>
  <c r="L319" i="8" s="1"/>
  <c r="J320" i="8"/>
  <c r="Q166" i="8"/>
  <c r="N167" i="8" s="1"/>
  <c r="O167" i="8" s="1"/>
  <c r="R167" i="8" s="1"/>
  <c r="J321" i="8" l="1"/>
  <c r="K320" i="8"/>
  <c r="L320" i="8" s="1"/>
  <c r="P167" i="8"/>
  <c r="M168" i="8" s="1"/>
  <c r="K321" i="8" l="1"/>
  <c r="L321" i="8" s="1"/>
  <c r="J322" i="8"/>
  <c r="Q167" i="8"/>
  <c r="N168" i="8" s="1"/>
  <c r="O168" i="8" s="1"/>
  <c r="R168" i="8" s="1"/>
  <c r="J323" i="8" l="1"/>
  <c r="K322" i="8"/>
  <c r="L322" i="8" s="1"/>
  <c r="P168" i="8"/>
  <c r="M169" i="8" s="1"/>
  <c r="Q168" i="8" l="1"/>
  <c r="N169" i="8" s="1"/>
  <c r="O169" i="8" s="1"/>
  <c r="R169" i="8" s="1"/>
  <c r="P169" i="8" s="1"/>
  <c r="M170" i="8" s="1"/>
  <c r="J324" i="8"/>
  <c r="K323" i="8"/>
  <c r="L323" i="8" s="1"/>
  <c r="J325" i="8" l="1"/>
  <c r="K324" i="8"/>
  <c r="L324" i="8" s="1"/>
  <c r="Q169" i="8"/>
  <c r="N170" i="8" s="1"/>
  <c r="O170" i="8" s="1"/>
  <c r="R170" i="8" s="1"/>
  <c r="K325" i="8" l="1"/>
  <c r="L325" i="8" s="1"/>
  <c r="J326" i="8"/>
  <c r="P170" i="8"/>
  <c r="M171" i="8" s="1"/>
  <c r="J327" i="8" l="1"/>
  <c r="K326" i="8"/>
  <c r="L326" i="8" s="1"/>
  <c r="Q170" i="8"/>
  <c r="N171" i="8" s="1"/>
  <c r="O171" i="8" s="1"/>
  <c r="R171" i="8" s="1"/>
  <c r="J328" i="8" l="1"/>
  <c r="K327" i="8"/>
  <c r="L327" i="8" s="1"/>
  <c r="P171" i="8"/>
  <c r="M172" i="8" s="1"/>
  <c r="K328" i="8" l="1"/>
  <c r="L328" i="8" s="1"/>
  <c r="J329" i="8"/>
  <c r="Q171" i="8"/>
  <c r="N172" i="8" s="1"/>
  <c r="O172" i="8" s="1"/>
  <c r="R172" i="8" s="1"/>
  <c r="J330" i="8" l="1"/>
  <c r="K329" i="8"/>
  <c r="L329" i="8" s="1"/>
  <c r="P172" i="8"/>
  <c r="M173" i="8" s="1"/>
  <c r="J331" i="8" l="1"/>
  <c r="K330" i="8"/>
  <c r="L330" i="8" s="1"/>
  <c r="Q172" i="8"/>
  <c r="N173" i="8" s="1"/>
  <c r="O173" i="8" s="1"/>
  <c r="R173" i="8" s="1"/>
  <c r="J332" i="8" l="1"/>
  <c r="K331" i="8"/>
  <c r="L331" i="8" s="1"/>
  <c r="P173" i="8"/>
  <c r="M174" i="8" s="1"/>
  <c r="J333" i="8" l="1"/>
  <c r="K332" i="8"/>
  <c r="L332" i="8" s="1"/>
  <c r="Q173" i="8"/>
  <c r="N174" i="8" s="1"/>
  <c r="O174" i="8" s="1"/>
  <c r="R174" i="8" s="1"/>
  <c r="J334" i="8" l="1"/>
  <c r="K333" i="8"/>
  <c r="L333" i="8" s="1"/>
  <c r="P174" i="8"/>
  <c r="M175" i="8" s="1"/>
  <c r="K334" i="8" l="1"/>
  <c r="L334" i="8" s="1"/>
  <c r="J335" i="8"/>
  <c r="Q174" i="8"/>
  <c r="N175" i="8" s="1"/>
  <c r="O175" i="8" s="1"/>
  <c r="R175" i="8" s="1"/>
  <c r="K335" i="8" l="1"/>
  <c r="L335" i="8" s="1"/>
  <c r="J336" i="8"/>
  <c r="P175" i="8"/>
  <c r="M176" i="8" s="1"/>
  <c r="K336" i="8" l="1"/>
  <c r="L336" i="8" s="1"/>
  <c r="J337" i="8"/>
  <c r="Q175" i="8"/>
  <c r="N176" i="8" s="1"/>
  <c r="O176" i="8" s="1"/>
  <c r="R176" i="8" s="1"/>
  <c r="K337" i="8" l="1"/>
  <c r="L337" i="8" s="1"/>
  <c r="J338" i="8"/>
  <c r="P176" i="8"/>
  <c r="M177" i="8" s="1"/>
  <c r="J339" i="8" l="1"/>
  <c r="K338" i="8"/>
  <c r="L338" i="8" s="1"/>
  <c r="Q176" i="8"/>
  <c r="N177" i="8" s="1"/>
  <c r="O177" i="8" s="1"/>
  <c r="R177" i="8" s="1"/>
  <c r="J340" i="8" l="1"/>
  <c r="K339" i="8"/>
  <c r="L339" i="8" s="1"/>
  <c r="P177" i="8"/>
  <c r="M178" i="8" s="1"/>
  <c r="J341" i="8" l="1"/>
  <c r="K340" i="8"/>
  <c r="L340" i="8" s="1"/>
  <c r="Q177" i="8"/>
  <c r="N178" i="8" s="1"/>
  <c r="O178" i="8" s="1"/>
  <c r="R178" i="8" s="1"/>
  <c r="J342" i="8" l="1"/>
  <c r="K341" i="8"/>
  <c r="L341" i="8" s="1"/>
  <c r="P178" i="8"/>
  <c r="M179" i="8" s="1"/>
  <c r="K342" i="8" l="1"/>
  <c r="L342" i="8" s="1"/>
  <c r="J343" i="8"/>
  <c r="Q178" i="8"/>
  <c r="N179" i="8" s="1"/>
  <c r="O179" i="8" s="1"/>
  <c r="R179" i="8" s="1"/>
  <c r="J344" i="8" l="1"/>
  <c r="K343" i="8"/>
  <c r="L343" i="8" s="1"/>
  <c r="P179" i="8"/>
  <c r="M180" i="8" s="1"/>
  <c r="J345" i="8" l="1"/>
  <c r="K344" i="8"/>
  <c r="L344" i="8" s="1"/>
  <c r="Q179" i="8"/>
  <c r="N180" i="8" s="1"/>
  <c r="O180" i="8" s="1"/>
  <c r="R180" i="8" s="1"/>
  <c r="J346" i="8" l="1"/>
  <c r="K345" i="8"/>
  <c r="L345" i="8" s="1"/>
  <c r="P180" i="8"/>
  <c r="M181" i="8" s="1"/>
  <c r="K346" i="8" l="1"/>
  <c r="L346" i="8" s="1"/>
  <c r="J347" i="8"/>
  <c r="Q180" i="8"/>
  <c r="N181" i="8" s="1"/>
  <c r="O181" i="8" s="1"/>
  <c r="R181" i="8" s="1"/>
  <c r="J348" i="8" l="1"/>
  <c r="K347" i="8"/>
  <c r="L347" i="8" s="1"/>
  <c r="P181" i="8"/>
  <c r="M182" i="8" s="1"/>
  <c r="K348" i="8" l="1"/>
  <c r="L348" i="8" s="1"/>
  <c r="J349" i="8"/>
  <c r="Q181" i="8"/>
  <c r="N182" i="8" s="1"/>
  <c r="O182" i="8" s="1"/>
  <c r="R182" i="8" s="1"/>
  <c r="J350" i="8" l="1"/>
  <c r="K349" i="8"/>
  <c r="L349" i="8" s="1"/>
  <c r="P182" i="8"/>
  <c r="M183" i="8" s="1"/>
  <c r="J351" i="8" l="1"/>
  <c r="K350" i="8"/>
  <c r="L350" i="8" s="1"/>
  <c r="Q182" i="8"/>
  <c r="N183" i="8" s="1"/>
  <c r="O183" i="8" s="1"/>
  <c r="R183" i="8" s="1"/>
  <c r="K351" i="8" l="1"/>
  <c r="L351" i="8" s="1"/>
  <c r="J352" i="8"/>
  <c r="P183" i="8"/>
  <c r="M184" i="8" s="1"/>
  <c r="J353" i="8" l="1"/>
  <c r="K352" i="8"/>
  <c r="L352" i="8" s="1"/>
  <c r="Q183" i="8"/>
  <c r="N184" i="8" s="1"/>
  <c r="O184" i="8" s="1"/>
  <c r="R184" i="8" s="1"/>
  <c r="K353" i="8" l="1"/>
  <c r="L353" i="8" s="1"/>
  <c r="J354" i="8"/>
  <c r="P184" i="8"/>
  <c r="M185" i="8" s="1"/>
  <c r="K354" i="8" l="1"/>
  <c r="L354" i="8" s="1"/>
  <c r="J355" i="8"/>
  <c r="Q184" i="8"/>
  <c r="N185" i="8" s="1"/>
  <c r="O185" i="8" s="1"/>
  <c r="R185" i="8" s="1"/>
  <c r="K355" i="8" l="1"/>
  <c r="L355" i="8" s="1"/>
  <c r="J356" i="8"/>
  <c r="P185" i="8"/>
  <c r="M186" i="8" s="1"/>
  <c r="J357" i="8" l="1"/>
  <c r="K356" i="8"/>
  <c r="L356" i="8" s="1"/>
  <c r="Q185" i="8"/>
  <c r="N186" i="8" s="1"/>
  <c r="O186" i="8" s="1"/>
  <c r="R186" i="8" s="1"/>
  <c r="K357" i="8" l="1"/>
  <c r="L357" i="8" s="1"/>
  <c r="J358" i="8"/>
  <c r="P186" i="8"/>
  <c r="M187" i="8" s="1"/>
  <c r="J359" i="8" l="1"/>
  <c r="K358" i="8"/>
  <c r="L358" i="8" s="1"/>
  <c r="Q186" i="8"/>
  <c r="N187" i="8" s="1"/>
  <c r="O187" i="8" s="1"/>
  <c r="R187" i="8" s="1"/>
  <c r="J360" i="8" l="1"/>
  <c r="K359" i="8"/>
  <c r="L359" i="8" s="1"/>
  <c r="P187" i="8"/>
  <c r="M188" i="8" s="1"/>
  <c r="K360" i="8" l="1"/>
  <c r="L360" i="8" s="1"/>
  <c r="J361" i="8"/>
  <c r="Q187" i="8"/>
  <c r="N188" i="8" s="1"/>
  <c r="O188" i="8" s="1"/>
  <c r="R188" i="8" s="1"/>
  <c r="K361" i="8" l="1"/>
  <c r="L361" i="8" s="1"/>
  <c r="J362" i="8"/>
  <c r="P188" i="8"/>
  <c r="M189" i="8" s="1"/>
  <c r="J363" i="8" l="1"/>
  <c r="K362" i="8"/>
  <c r="L362" i="8" s="1"/>
  <c r="Q188" i="8"/>
  <c r="N189" i="8" s="1"/>
  <c r="O189" i="8" s="1"/>
  <c r="R189" i="8" s="1"/>
  <c r="J364" i="8" l="1"/>
  <c r="K363" i="8"/>
  <c r="L363" i="8" s="1"/>
  <c r="P189" i="8"/>
  <c r="M190" i="8" s="1"/>
  <c r="J365" i="8" l="1"/>
  <c r="K364" i="8"/>
  <c r="L364" i="8" s="1"/>
  <c r="Q189" i="8"/>
  <c r="N190" i="8" s="1"/>
  <c r="O190" i="8" s="1"/>
  <c r="R190" i="8" s="1"/>
  <c r="J366" i="8" l="1"/>
  <c r="K365" i="8"/>
  <c r="L365" i="8" s="1"/>
  <c r="P190" i="8"/>
  <c r="M191" i="8" s="1"/>
  <c r="J367" i="8" l="1"/>
  <c r="K366" i="8"/>
  <c r="L366" i="8" s="1"/>
  <c r="Q190" i="8"/>
  <c r="N191" i="8" s="1"/>
  <c r="O191" i="8" s="1"/>
  <c r="R191" i="8" s="1"/>
  <c r="J368" i="8" l="1"/>
  <c r="K367" i="8"/>
  <c r="L367" i="8" s="1"/>
  <c r="P191" i="8"/>
  <c r="M192" i="8" s="1"/>
  <c r="J369" i="8" l="1"/>
  <c r="K368" i="8"/>
  <c r="L368" i="8" s="1"/>
  <c r="Q191" i="8"/>
  <c r="N192" i="8" s="1"/>
  <c r="O192" i="8" s="1"/>
  <c r="R192" i="8" s="1"/>
  <c r="J370" i="8" l="1"/>
  <c r="K369" i="8"/>
  <c r="L369" i="8" s="1"/>
  <c r="P192" i="8"/>
  <c r="M193" i="8" s="1"/>
  <c r="J371" i="8" l="1"/>
  <c r="K370" i="8"/>
  <c r="L370" i="8" s="1"/>
  <c r="Q192" i="8"/>
  <c r="N193" i="8" s="1"/>
  <c r="O193" i="8" s="1"/>
  <c r="R193" i="8" s="1"/>
  <c r="K371" i="8" l="1"/>
  <c r="L371" i="8" s="1"/>
  <c r="J372" i="8"/>
  <c r="P193" i="8"/>
  <c r="M194" i="8" s="1"/>
  <c r="K372" i="8" l="1"/>
  <c r="L372" i="8" s="1"/>
  <c r="J373" i="8"/>
  <c r="Q193" i="8"/>
  <c r="N194" i="8" s="1"/>
  <c r="O194" i="8" s="1"/>
  <c r="R194" i="8" s="1"/>
  <c r="J374" i="8" l="1"/>
  <c r="K373" i="8"/>
  <c r="L373" i="8" s="1"/>
  <c r="P194" i="8"/>
  <c r="M195" i="8" s="1"/>
  <c r="J375" i="8" l="1"/>
  <c r="K374" i="8"/>
  <c r="L374" i="8" s="1"/>
  <c r="Q194" i="8"/>
  <c r="N195" i="8" s="1"/>
  <c r="O195" i="8" s="1"/>
  <c r="R195" i="8" s="1"/>
  <c r="J376" i="8" l="1"/>
  <c r="K375" i="8"/>
  <c r="L375" i="8" s="1"/>
  <c r="P195" i="8"/>
  <c r="M196" i="8" s="1"/>
  <c r="J377" i="8" l="1"/>
  <c r="K376" i="8"/>
  <c r="L376" i="8" s="1"/>
  <c r="Q195" i="8"/>
  <c r="N196" i="8" s="1"/>
  <c r="O196" i="8" s="1"/>
  <c r="R196" i="8" s="1"/>
  <c r="J378" i="8" l="1"/>
  <c r="K377" i="8"/>
  <c r="L377" i="8" s="1"/>
  <c r="P196" i="8"/>
  <c r="M197" i="8" s="1"/>
  <c r="K378" i="8" l="1"/>
  <c r="L378" i="8" s="1"/>
  <c r="J379" i="8"/>
  <c r="Q196" i="8"/>
  <c r="N197" i="8" s="1"/>
  <c r="O197" i="8" s="1"/>
  <c r="R197" i="8" s="1"/>
  <c r="K379" i="8" l="1"/>
  <c r="L379" i="8" s="1"/>
  <c r="J380" i="8"/>
  <c r="P197" i="8"/>
  <c r="M198" i="8" s="1"/>
  <c r="K380" i="8" l="1"/>
  <c r="L380" i="8" s="1"/>
  <c r="J381" i="8"/>
  <c r="Q197" i="8"/>
  <c r="N198" i="8" s="1"/>
  <c r="O198" i="8" s="1"/>
  <c r="R198" i="8" s="1"/>
  <c r="J382" i="8" l="1"/>
  <c r="K381" i="8"/>
  <c r="L381" i="8" s="1"/>
  <c r="P198" i="8"/>
  <c r="M199" i="8" s="1"/>
  <c r="K382" i="8" l="1"/>
  <c r="L382" i="8" s="1"/>
  <c r="J383" i="8"/>
  <c r="Q198" i="8"/>
  <c r="N199" i="8" s="1"/>
  <c r="O199" i="8" s="1"/>
  <c r="R199" i="8" s="1"/>
  <c r="J384" i="8" l="1"/>
  <c r="K383" i="8"/>
  <c r="L383" i="8" s="1"/>
  <c r="P199" i="8"/>
  <c r="M200" i="8" s="1"/>
  <c r="K384" i="8" l="1"/>
  <c r="L384" i="8" s="1"/>
  <c r="J385" i="8"/>
  <c r="Q199" i="8"/>
  <c r="N200" i="8" s="1"/>
  <c r="O200" i="8" s="1"/>
  <c r="R200" i="8" s="1"/>
  <c r="J386" i="8" l="1"/>
  <c r="K385" i="8"/>
  <c r="L385" i="8" s="1"/>
  <c r="P200" i="8"/>
  <c r="M201" i="8" s="1"/>
  <c r="Q200" i="8" l="1"/>
  <c r="N201" i="8" s="1"/>
  <c r="O201" i="8" s="1"/>
  <c r="R201" i="8" s="1"/>
  <c r="J387" i="8"/>
  <c r="K386" i="8"/>
  <c r="L386" i="8" s="1"/>
  <c r="J388" i="8" l="1"/>
  <c r="K387" i="8"/>
  <c r="L387" i="8" s="1"/>
  <c r="P201" i="8"/>
  <c r="M202" i="8" s="1"/>
  <c r="K388" i="8" l="1"/>
  <c r="L388" i="8" s="1"/>
  <c r="J389" i="8"/>
  <c r="Q201" i="8"/>
  <c r="N202" i="8" s="1"/>
  <c r="O202" i="8" s="1"/>
  <c r="R202" i="8" s="1"/>
  <c r="J390" i="8" l="1"/>
  <c r="K389" i="8"/>
  <c r="L389" i="8" s="1"/>
  <c r="P202" i="8"/>
  <c r="M203" i="8" s="1"/>
  <c r="K390" i="8" l="1"/>
  <c r="L390" i="8" s="1"/>
  <c r="J391" i="8"/>
  <c r="Q202" i="8"/>
  <c r="N203" i="8" s="1"/>
  <c r="O203" i="8" s="1"/>
  <c r="R203" i="8" s="1"/>
  <c r="K391" i="8" l="1"/>
  <c r="L391" i="8" s="1"/>
  <c r="J392" i="8"/>
  <c r="P203" i="8"/>
  <c r="M204" i="8" s="1"/>
  <c r="K392" i="8" l="1"/>
  <c r="L392" i="8" s="1"/>
  <c r="J393" i="8"/>
  <c r="Q203" i="8"/>
  <c r="N204" i="8" s="1"/>
  <c r="O204" i="8" s="1"/>
  <c r="R204" i="8" s="1"/>
  <c r="K393" i="8" l="1"/>
  <c r="L393" i="8" s="1"/>
  <c r="J394" i="8"/>
  <c r="P204" i="8"/>
  <c r="M205" i="8" s="1"/>
  <c r="K394" i="8" l="1"/>
  <c r="L394" i="8" s="1"/>
  <c r="J395" i="8"/>
  <c r="Q204" i="8"/>
  <c r="N205" i="8" s="1"/>
  <c r="O205" i="8" s="1"/>
  <c r="R205" i="8" s="1"/>
  <c r="K395" i="8" l="1"/>
  <c r="L395" i="8" s="1"/>
  <c r="J396" i="8"/>
  <c r="P205" i="8"/>
  <c r="M206" i="8" s="1"/>
  <c r="K396" i="8" l="1"/>
  <c r="L396" i="8" s="1"/>
  <c r="J397" i="8"/>
  <c r="Q205" i="8"/>
  <c r="N206" i="8" s="1"/>
  <c r="O206" i="8" s="1"/>
  <c r="R206" i="8" s="1"/>
  <c r="K397" i="8" l="1"/>
  <c r="L397" i="8" s="1"/>
  <c r="J398" i="8"/>
  <c r="P206" i="8"/>
  <c r="M207" i="8" s="1"/>
  <c r="K398" i="8" l="1"/>
  <c r="L398" i="8" s="1"/>
  <c r="J399" i="8"/>
  <c r="Q206" i="8"/>
  <c r="N207" i="8" s="1"/>
  <c r="O207" i="8" s="1"/>
  <c r="R207" i="8" s="1"/>
  <c r="J400" i="8" l="1"/>
  <c r="K399" i="8"/>
  <c r="L399" i="8" s="1"/>
  <c r="P207" i="8"/>
  <c r="M208" i="8" s="1"/>
  <c r="J401" i="8" l="1"/>
  <c r="K400" i="8"/>
  <c r="L400" i="8" s="1"/>
  <c r="Q207" i="8"/>
  <c r="N208" i="8" s="1"/>
  <c r="O208" i="8" s="1"/>
  <c r="R208" i="8" s="1"/>
  <c r="K401" i="8" l="1"/>
  <c r="L401" i="8" s="1"/>
  <c r="J402" i="8"/>
  <c r="P208" i="8"/>
  <c r="M209" i="8" s="1"/>
  <c r="J403" i="8" l="1"/>
  <c r="K402" i="8"/>
  <c r="L402" i="8" s="1"/>
  <c r="Q208" i="8"/>
  <c r="N209" i="8" s="1"/>
  <c r="O209" i="8" s="1"/>
  <c r="R209" i="8" s="1"/>
  <c r="J404" i="8" l="1"/>
  <c r="K403" i="8"/>
  <c r="L403" i="8" s="1"/>
  <c r="P209" i="8"/>
  <c r="M210" i="8" s="1"/>
  <c r="Q209" i="8" l="1"/>
  <c r="N210" i="8" s="1"/>
  <c r="O210" i="8" s="1"/>
  <c r="R210" i="8" s="1"/>
  <c r="J405" i="8"/>
  <c r="K404" i="8"/>
  <c r="L404" i="8" s="1"/>
  <c r="J406" i="8" l="1"/>
  <c r="K405" i="8"/>
  <c r="L405" i="8" s="1"/>
  <c r="P210" i="8"/>
  <c r="M211" i="8" s="1"/>
  <c r="K406" i="8" l="1"/>
  <c r="L406" i="8" s="1"/>
  <c r="J407" i="8"/>
  <c r="Q210" i="8"/>
  <c r="N211" i="8" s="1"/>
  <c r="O211" i="8" s="1"/>
  <c r="R211" i="8" s="1"/>
  <c r="J408" i="8" l="1"/>
  <c r="K407" i="8"/>
  <c r="L407" i="8" s="1"/>
  <c r="P211" i="8"/>
  <c r="M212" i="8" s="1"/>
  <c r="Q211" i="8" l="1"/>
  <c r="N212" i="8" s="1"/>
  <c r="O212" i="8" s="1"/>
  <c r="R212" i="8" s="1"/>
  <c r="K408" i="8"/>
  <c r="L408" i="8" s="1"/>
  <c r="J409" i="8"/>
  <c r="J410" i="8" l="1"/>
  <c r="K409" i="8"/>
  <c r="L409" i="8" s="1"/>
  <c r="P212" i="8"/>
  <c r="M213" i="8" s="1"/>
  <c r="J411" i="8" l="1"/>
  <c r="K410" i="8"/>
  <c r="L410" i="8" s="1"/>
  <c r="Q212" i="8"/>
  <c r="N213" i="8" s="1"/>
  <c r="O213" i="8" s="1"/>
  <c r="R213" i="8" s="1"/>
  <c r="K411" i="8" l="1"/>
  <c r="L411" i="8" s="1"/>
  <c r="J412" i="8"/>
  <c r="P213" i="8"/>
  <c r="M214" i="8" s="1"/>
  <c r="K412" i="8" l="1"/>
  <c r="L412" i="8" s="1"/>
  <c r="J413" i="8"/>
  <c r="Q213" i="8"/>
  <c r="N214" i="8" s="1"/>
  <c r="O214" i="8" s="1"/>
  <c r="R214" i="8" s="1"/>
  <c r="K413" i="8" l="1"/>
  <c r="L413" i="8" s="1"/>
  <c r="J414" i="8"/>
  <c r="P214" i="8"/>
  <c r="M215" i="8" s="1"/>
  <c r="Q214" i="8" l="1"/>
  <c r="N215" i="8" s="1"/>
  <c r="O215" i="8" s="1"/>
  <c r="R215" i="8" s="1"/>
  <c r="J415" i="8"/>
  <c r="K414" i="8"/>
  <c r="L414" i="8" s="1"/>
  <c r="K415" i="8" l="1"/>
  <c r="L415" i="8" s="1"/>
  <c r="J416" i="8"/>
  <c r="P215" i="8"/>
  <c r="M216" i="8" s="1"/>
  <c r="J417" i="8" l="1"/>
  <c r="K416" i="8"/>
  <c r="L416" i="8" s="1"/>
  <c r="Q215" i="8"/>
  <c r="N216" i="8" s="1"/>
  <c r="O216" i="8" s="1"/>
  <c r="R216" i="8" s="1"/>
  <c r="K417" i="8" l="1"/>
  <c r="L417" i="8" s="1"/>
  <c r="J418" i="8"/>
  <c r="P216" i="8"/>
  <c r="M217" i="8" s="1"/>
  <c r="J419" i="8" l="1"/>
  <c r="K418" i="8"/>
  <c r="L418" i="8" s="1"/>
  <c r="Q216" i="8"/>
  <c r="N217" i="8" s="1"/>
  <c r="O217" i="8" s="1"/>
  <c r="R217" i="8" s="1"/>
  <c r="K419" i="8" l="1"/>
  <c r="L419" i="8" s="1"/>
  <c r="J420" i="8"/>
  <c r="P217" i="8"/>
  <c r="M218" i="8" s="1"/>
  <c r="J421" i="8" l="1"/>
  <c r="K420" i="8"/>
  <c r="L420" i="8" s="1"/>
  <c r="Q217" i="8"/>
  <c r="N218" i="8" s="1"/>
  <c r="O218" i="8" s="1"/>
  <c r="R218" i="8" s="1"/>
  <c r="J422" i="8" l="1"/>
  <c r="K421" i="8"/>
  <c r="L421" i="8" s="1"/>
  <c r="P218" i="8"/>
  <c r="M219" i="8" s="1"/>
  <c r="K422" i="8" l="1"/>
  <c r="L422" i="8" s="1"/>
  <c r="J423" i="8"/>
  <c r="Q218" i="8"/>
  <c r="N219" i="8" s="1"/>
  <c r="O219" i="8" s="1"/>
  <c r="R219" i="8" s="1"/>
  <c r="J424" i="8" l="1"/>
  <c r="K423" i="8"/>
  <c r="L423" i="8" s="1"/>
  <c r="P219" i="8"/>
  <c r="M220" i="8" s="1"/>
  <c r="Q219" i="8" l="1"/>
  <c r="N220" i="8" s="1"/>
  <c r="O220" i="8" s="1"/>
  <c r="R220" i="8" s="1"/>
  <c r="J425" i="8"/>
  <c r="K424" i="8"/>
  <c r="L424" i="8" s="1"/>
  <c r="K425" i="8" l="1"/>
  <c r="L425" i="8" s="1"/>
  <c r="J426" i="8"/>
  <c r="P220" i="8"/>
  <c r="M221" i="8" s="1"/>
  <c r="J427" i="8" l="1"/>
  <c r="K426" i="8"/>
  <c r="L426" i="8" s="1"/>
  <c r="Q220" i="8"/>
  <c r="N221" i="8" s="1"/>
  <c r="O221" i="8" s="1"/>
  <c r="R221" i="8" s="1"/>
  <c r="J428" i="8" l="1"/>
  <c r="K427" i="8"/>
  <c r="L427" i="8" s="1"/>
  <c r="P221" i="8"/>
  <c r="M222" i="8" s="1"/>
  <c r="K428" i="8" l="1"/>
  <c r="L428" i="8" s="1"/>
  <c r="J429" i="8"/>
  <c r="Q221" i="8"/>
  <c r="N222" i="8" s="1"/>
  <c r="O222" i="8" s="1"/>
  <c r="R222" i="8" s="1"/>
  <c r="K429" i="8" l="1"/>
  <c r="L429" i="8" s="1"/>
  <c r="J430" i="8"/>
  <c r="P222" i="8"/>
  <c r="M223" i="8" s="1"/>
  <c r="J431" i="8" l="1"/>
  <c r="K430" i="8"/>
  <c r="L430" i="8" s="1"/>
  <c r="Q222" i="8"/>
  <c r="N223" i="8" s="1"/>
  <c r="O223" i="8" s="1"/>
  <c r="R223" i="8" s="1"/>
  <c r="K431" i="8" l="1"/>
  <c r="L431" i="8" s="1"/>
  <c r="J432" i="8"/>
  <c r="P223" i="8"/>
  <c r="M224" i="8" s="1"/>
  <c r="J433" i="8" l="1"/>
  <c r="K432" i="8"/>
  <c r="L432" i="8" s="1"/>
  <c r="Q223" i="8"/>
  <c r="N224" i="8" s="1"/>
  <c r="O224" i="8" s="1"/>
  <c r="R224" i="8" s="1"/>
  <c r="K433" i="8" l="1"/>
  <c r="L433" i="8" s="1"/>
  <c r="J434" i="8"/>
  <c r="P224" i="8"/>
  <c r="M225" i="8" s="1"/>
  <c r="J435" i="8" l="1"/>
  <c r="K434" i="8"/>
  <c r="L434" i="8" s="1"/>
  <c r="Q224" i="8"/>
  <c r="N225" i="8" s="1"/>
  <c r="O225" i="8" s="1"/>
  <c r="R225" i="8" s="1"/>
  <c r="K435" i="8" l="1"/>
  <c r="L435" i="8" s="1"/>
  <c r="J436" i="8"/>
  <c r="P225" i="8"/>
  <c r="M226" i="8" s="1"/>
  <c r="J437" i="8" l="1"/>
  <c r="K436" i="8"/>
  <c r="L436" i="8" s="1"/>
  <c r="Q225" i="8"/>
  <c r="N226" i="8" s="1"/>
  <c r="O226" i="8" s="1"/>
  <c r="R226" i="8" s="1"/>
  <c r="K437" i="8" l="1"/>
  <c r="L437" i="8" s="1"/>
  <c r="J438" i="8"/>
  <c r="P226" i="8"/>
  <c r="M227" i="8" s="1"/>
  <c r="J439" i="8" l="1"/>
  <c r="K438" i="8"/>
  <c r="L438" i="8" s="1"/>
  <c r="Q226" i="8"/>
  <c r="N227" i="8" s="1"/>
  <c r="O227" i="8" s="1"/>
  <c r="R227" i="8" s="1"/>
  <c r="K439" i="8" l="1"/>
  <c r="L439" i="8" s="1"/>
  <c r="J440" i="8"/>
  <c r="P227" i="8"/>
  <c r="M228" i="8" s="1"/>
  <c r="K440" i="8" l="1"/>
  <c r="L440" i="8" s="1"/>
  <c r="J441" i="8"/>
  <c r="Q227" i="8"/>
  <c r="N228" i="8" s="1"/>
  <c r="O228" i="8" s="1"/>
  <c r="R228" i="8" s="1"/>
  <c r="K441" i="8" l="1"/>
  <c r="L441" i="8" s="1"/>
  <c r="J442" i="8"/>
  <c r="P228" i="8"/>
  <c r="M229" i="8" s="1"/>
  <c r="J443" i="8" l="1"/>
  <c r="K442" i="8"/>
  <c r="L442" i="8" s="1"/>
  <c r="Q228" i="8"/>
  <c r="N229" i="8" s="1"/>
  <c r="O229" i="8" s="1"/>
  <c r="R229" i="8" s="1"/>
  <c r="K443" i="8" l="1"/>
  <c r="L443" i="8" s="1"/>
  <c r="J444" i="8"/>
  <c r="P229" i="8"/>
  <c r="M230" i="8" s="1"/>
  <c r="K444" i="8" l="1"/>
  <c r="L444" i="8" s="1"/>
  <c r="J445" i="8"/>
  <c r="Q229" i="8"/>
  <c r="N230" i="8" s="1"/>
  <c r="O230" i="8" s="1"/>
  <c r="R230" i="8" s="1"/>
  <c r="J446" i="8" l="1"/>
  <c r="K445" i="8"/>
  <c r="L445" i="8" s="1"/>
  <c r="P230" i="8"/>
  <c r="M231" i="8" s="1"/>
  <c r="K446" i="8" l="1"/>
  <c r="L446" i="8" s="1"/>
  <c r="J447" i="8"/>
  <c r="Q230" i="8"/>
  <c r="N231" i="8" s="1"/>
  <c r="O231" i="8" s="1"/>
  <c r="R231" i="8" s="1"/>
  <c r="K447" i="8" l="1"/>
  <c r="L447" i="8" s="1"/>
  <c r="J448" i="8"/>
  <c r="P231" i="8"/>
  <c r="M232" i="8" s="1"/>
  <c r="K448" i="8" l="1"/>
  <c r="L448" i="8" s="1"/>
  <c r="J449" i="8"/>
  <c r="Q231" i="8"/>
  <c r="N232" i="8" s="1"/>
  <c r="O232" i="8" s="1"/>
  <c r="R232" i="8" s="1"/>
  <c r="J450" i="8" l="1"/>
  <c r="K449" i="8"/>
  <c r="L449" i="8" s="1"/>
  <c r="P232" i="8"/>
  <c r="M233" i="8" s="1"/>
  <c r="K450" i="8" l="1"/>
  <c r="J451" i="8"/>
  <c r="L450" i="8"/>
  <c r="Q232" i="8"/>
  <c r="N233" i="8" s="1"/>
  <c r="O233" i="8" s="1"/>
  <c r="R233" i="8" s="1"/>
  <c r="J452" i="8" l="1"/>
  <c r="K451" i="8"/>
  <c r="L451" i="8" s="1"/>
  <c r="P233" i="8"/>
  <c r="M234" i="8" s="1"/>
  <c r="Q233" i="8" l="1"/>
  <c r="N234" i="8" s="1"/>
  <c r="O234" i="8" s="1"/>
  <c r="R234" i="8" s="1"/>
  <c r="K452" i="8"/>
  <c r="L452" i="8" s="1"/>
  <c r="J453" i="8"/>
  <c r="K453" i="8" l="1"/>
  <c r="L453" i="8" s="1"/>
  <c r="J454" i="8"/>
  <c r="P234" i="8"/>
  <c r="M235" i="8" s="1"/>
  <c r="Q234" i="8" l="1"/>
  <c r="N235" i="8" s="1"/>
  <c r="O235" i="8" s="1"/>
  <c r="R235" i="8" s="1"/>
  <c r="K454" i="8"/>
  <c r="L454" i="8" s="1"/>
  <c r="J455" i="8"/>
  <c r="K455" i="8" l="1"/>
  <c r="L455" i="8" s="1"/>
  <c r="J456" i="8"/>
  <c r="P235" i="8"/>
  <c r="M236" i="8" s="1"/>
  <c r="J457" i="8" l="1"/>
  <c r="K456" i="8"/>
  <c r="L456" i="8" s="1"/>
  <c r="Q235" i="8"/>
  <c r="N236" i="8" s="1"/>
  <c r="O236" i="8" s="1"/>
  <c r="R236" i="8" s="1"/>
  <c r="J458" i="8" l="1"/>
  <c r="K457" i="8"/>
  <c r="L457" i="8" s="1"/>
  <c r="P236" i="8"/>
  <c r="M237" i="8" s="1"/>
  <c r="J459" i="8" l="1"/>
  <c r="K458" i="8"/>
  <c r="L458" i="8" s="1"/>
  <c r="Q236" i="8"/>
  <c r="N237" i="8" s="1"/>
  <c r="O237" i="8" s="1"/>
  <c r="R237" i="8" s="1"/>
  <c r="K459" i="8" l="1"/>
  <c r="L459" i="8" s="1"/>
  <c r="J460" i="8"/>
  <c r="P237" i="8"/>
  <c r="M238" i="8" s="1"/>
  <c r="Q237" i="8" l="1"/>
  <c r="N238" i="8" s="1"/>
  <c r="O238" i="8" s="1"/>
  <c r="R238" i="8" s="1"/>
  <c r="K460" i="8"/>
  <c r="L460" i="8" s="1"/>
  <c r="J461" i="8"/>
  <c r="K461" i="8" l="1"/>
  <c r="L461" i="8" s="1"/>
  <c r="J462" i="8"/>
  <c r="P238" i="8"/>
  <c r="M239" i="8" s="1"/>
  <c r="J463" i="8" l="1"/>
  <c r="K462" i="8"/>
  <c r="L462" i="8" s="1"/>
  <c r="Q238" i="8"/>
  <c r="N239" i="8" s="1"/>
  <c r="O239" i="8" s="1"/>
  <c r="R239" i="8" s="1"/>
  <c r="K463" i="8" l="1"/>
  <c r="L463" i="8" s="1"/>
  <c r="J464" i="8"/>
  <c r="P239" i="8"/>
  <c r="M240" i="8" s="1"/>
  <c r="Q239" i="8" l="1"/>
  <c r="N240" i="8" s="1"/>
  <c r="O240" i="8" s="1"/>
  <c r="R240" i="8" s="1"/>
  <c r="K464" i="8"/>
  <c r="L464" i="8" s="1"/>
  <c r="J465" i="8"/>
  <c r="K465" i="8" l="1"/>
  <c r="L465" i="8" s="1"/>
  <c r="J466" i="8"/>
  <c r="P240" i="8"/>
  <c r="M241" i="8" s="1"/>
  <c r="J467" i="8" l="1"/>
  <c r="K466" i="8"/>
  <c r="L466" i="8" s="1"/>
  <c r="Q240" i="8"/>
  <c r="N241" i="8" s="1"/>
  <c r="O241" i="8" s="1"/>
  <c r="R241" i="8" s="1"/>
  <c r="K467" i="8" l="1"/>
  <c r="L467" i="8" s="1"/>
  <c r="J468" i="8"/>
  <c r="P241" i="8"/>
  <c r="M242" i="8" s="1"/>
  <c r="J469" i="8" l="1"/>
  <c r="K468" i="8"/>
  <c r="L468" i="8" s="1"/>
  <c r="Q241" i="8"/>
  <c r="N242" i="8" s="1"/>
  <c r="O242" i="8" s="1"/>
  <c r="R242" i="8" s="1"/>
  <c r="J470" i="8" l="1"/>
  <c r="K469" i="8"/>
  <c r="L469" i="8" s="1"/>
  <c r="P242" i="8"/>
  <c r="M243" i="8" s="1"/>
  <c r="K470" i="8" l="1"/>
  <c r="L470" i="8" s="1"/>
  <c r="J471" i="8"/>
  <c r="Q242" i="8"/>
  <c r="N243" i="8" s="1"/>
  <c r="O243" i="8" s="1"/>
  <c r="R243" i="8" s="1"/>
  <c r="K471" i="8" l="1"/>
  <c r="L471" i="8" s="1"/>
  <c r="J472" i="8"/>
  <c r="P243" i="8"/>
  <c r="M244" i="8" s="1"/>
  <c r="J473" i="8" l="1"/>
  <c r="K472" i="8"/>
  <c r="L472" i="8" s="1"/>
  <c r="Q243" i="8"/>
  <c r="N244" i="8" s="1"/>
  <c r="O244" i="8" s="1"/>
  <c r="R244" i="8" s="1"/>
  <c r="K473" i="8" l="1"/>
  <c r="L473" i="8" s="1"/>
  <c r="J474" i="8"/>
  <c r="P244" i="8"/>
  <c r="M245" i="8" s="1"/>
  <c r="K474" i="8" l="1"/>
  <c r="L474" i="8" s="1"/>
  <c r="J475" i="8"/>
  <c r="Q244" i="8"/>
  <c r="N245" i="8" s="1"/>
  <c r="O245" i="8" s="1"/>
  <c r="R245" i="8" s="1"/>
  <c r="J476" i="8" l="1"/>
  <c r="K475" i="8"/>
  <c r="L475" i="8" s="1"/>
  <c r="P245" i="8"/>
  <c r="M246" i="8" s="1"/>
  <c r="K476" i="8" l="1"/>
  <c r="L476" i="8" s="1"/>
  <c r="J477" i="8"/>
  <c r="Q245" i="8"/>
  <c r="N246" i="8" s="1"/>
  <c r="O246" i="8" s="1"/>
  <c r="R246" i="8" s="1"/>
  <c r="J478" i="8" l="1"/>
  <c r="K477" i="8"/>
  <c r="L477" i="8" s="1"/>
  <c r="P246" i="8"/>
  <c r="M247" i="8" s="1"/>
  <c r="J479" i="8" l="1"/>
  <c r="K478" i="8"/>
  <c r="L478" i="8" s="1"/>
  <c r="Q246" i="8"/>
  <c r="N247" i="8" s="1"/>
  <c r="O247" i="8" s="1"/>
  <c r="R247" i="8" s="1"/>
  <c r="J480" i="8" l="1"/>
  <c r="K479" i="8"/>
  <c r="L479" i="8" s="1"/>
  <c r="P247" i="8"/>
  <c r="M248" i="8" s="1"/>
  <c r="J481" i="8" l="1"/>
  <c r="K480" i="8"/>
  <c r="L480" i="8" s="1"/>
  <c r="Q247" i="8"/>
  <c r="N248" i="8" s="1"/>
  <c r="O248" i="8" s="1"/>
  <c r="R248" i="8" s="1"/>
  <c r="K481" i="8" l="1"/>
  <c r="L481" i="8" s="1"/>
  <c r="J482" i="8"/>
  <c r="P248" i="8"/>
  <c r="M249" i="8" s="1"/>
  <c r="J483" i="8" l="1"/>
  <c r="K482" i="8"/>
  <c r="L482" i="8" s="1"/>
  <c r="Q248" i="8"/>
  <c r="N249" i="8" s="1"/>
  <c r="O249" i="8" s="1"/>
  <c r="R249" i="8" s="1"/>
  <c r="J484" i="8" l="1"/>
  <c r="K483" i="8"/>
  <c r="L483" i="8" s="1"/>
  <c r="P249" i="8"/>
  <c r="M250" i="8" s="1"/>
  <c r="J485" i="8" l="1"/>
  <c r="K484" i="8"/>
  <c r="L484" i="8" s="1"/>
  <c r="Q249" i="8"/>
  <c r="N250" i="8" s="1"/>
  <c r="O250" i="8" s="1"/>
  <c r="R250" i="8" s="1"/>
  <c r="J486" i="8" l="1"/>
  <c r="K485" i="8"/>
  <c r="L485" i="8" s="1"/>
  <c r="P250" i="8"/>
  <c r="M251" i="8" s="1"/>
  <c r="J487" i="8" l="1"/>
  <c r="K486" i="8"/>
  <c r="L486" i="8" s="1"/>
  <c r="Q250" i="8"/>
  <c r="N251" i="8" s="1"/>
  <c r="O251" i="8" s="1"/>
  <c r="R251" i="8" s="1"/>
  <c r="J488" i="8" l="1"/>
  <c r="K487" i="8"/>
  <c r="L487" i="8" s="1"/>
  <c r="P251" i="8"/>
  <c r="M252" i="8" s="1"/>
  <c r="K488" i="8" l="1"/>
  <c r="L488" i="8" s="1"/>
  <c r="J489" i="8"/>
  <c r="Q251" i="8"/>
  <c r="N252" i="8" s="1"/>
  <c r="O252" i="8" s="1"/>
  <c r="R252" i="8" s="1"/>
  <c r="K489" i="8" l="1"/>
  <c r="L489" i="8" s="1"/>
  <c r="J490" i="8"/>
  <c r="P252" i="8"/>
  <c r="M253" i="8" s="1"/>
  <c r="K490" i="8" l="1"/>
  <c r="L490" i="8" s="1"/>
  <c r="J491" i="8"/>
  <c r="Q252" i="8"/>
  <c r="N253" i="8" s="1"/>
  <c r="O253" i="8" s="1"/>
  <c r="R253" i="8" s="1"/>
  <c r="J492" i="8" l="1"/>
  <c r="K491" i="8"/>
  <c r="L491" i="8" s="1"/>
  <c r="P253" i="8"/>
  <c r="M254" i="8" s="1"/>
  <c r="K492" i="8" l="1"/>
  <c r="L492" i="8" s="1"/>
  <c r="J493" i="8"/>
  <c r="Q253" i="8"/>
  <c r="N254" i="8" s="1"/>
  <c r="O254" i="8" s="1"/>
  <c r="R254" i="8" s="1"/>
  <c r="J494" i="8" l="1"/>
  <c r="K493" i="8"/>
  <c r="L493" i="8" s="1"/>
  <c r="P254" i="8"/>
  <c r="M255" i="8" s="1"/>
  <c r="Q254" i="8" l="1"/>
  <c r="N255" i="8" s="1"/>
  <c r="O255" i="8" s="1"/>
  <c r="R255" i="8" s="1"/>
  <c r="K494" i="8"/>
  <c r="L494" i="8" s="1"/>
  <c r="J495" i="8"/>
  <c r="K495" i="8" l="1"/>
  <c r="L495" i="8" s="1"/>
  <c r="J496" i="8"/>
  <c r="P255" i="8"/>
  <c r="M256" i="8" s="1"/>
  <c r="J497" i="8" l="1"/>
  <c r="K496" i="8"/>
  <c r="L496" i="8" s="1"/>
  <c r="Q255" i="8"/>
  <c r="N256" i="8" s="1"/>
  <c r="O256" i="8" s="1"/>
  <c r="R256" i="8" s="1"/>
  <c r="J498" i="8" l="1"/>
  <c r="K497" i="8"/>
  <c r="L497" i="8" s="1"/>
  <c r="P256" i="8"/>
  <c r="M257" i="8" s="1"/>
  <c r="J499" i="8" l="1"/>
  <c r="K498" i="8"/>
  <c r="L498" i="8" s="1"/>
  <c r="Q256" i="8"/>
  <c r="N257" i="8" s="1"/>
  <c r="O257" i="8" s="1"/>
  <c r="R257" i="8" s="1"/>
  <c r="K499" i="8" l="1"/>
  <c r="L499" i="8" s="1"/>
  <c r="J500" i="8"/>
  <c r="P257" i="8"/>
  <c r="M258" i="8" s="1"/>
  <c r="J501" i="8" l="1"/>
  <c r="K500" i="8"/>
  <c r="L500" i="8" s="1"/>
  <c r="Q257" i="8"/>
  <c r="N258" i="8" s="1"/>
  <c r="O258" i="8" s="1"/>
  <c r="R258" i="8" s="1"/>
  <c r="J502" i="8" l="1"/>
  <c r="K501" i="8"/>
  <c r="L501" i="8" s="1"/>
  <c r="P258" i="8"/>
  <c r="M259" i="8" s="1"/>
  <c r="K502" i="8" l="1"/>
  <c r="L502" i="8" s="1"/>
  <c r="J503" i="8"/>
  <c r="Q258" i="8"/>
  <c r="N259" i="8" s="1"/>
  <c r="O259" i="8" s="1"/>
  <c r="R259" i="8" s="1"/>
  <c r="K503" i="8" l="1"/>
  <c r="L503" i="8" s="1"/>
  <c r="J504" i="8"/>
  <c r="P259" i="8"/>
  <c r="M260" i="8" s="1"/>
  <c r="J505" i="8" l="1"/>
  <c r="K504" i="8"/>
  <c r="L504" i="8" s="1"/>
  <c r="Q259" i="8"/>
  <c r="N260" i="8" s="1"/>
  <c r="O260" i="8" s="1"/>
  <c r="R260" i="8" s="1"/>
  <c r="K505" i="8" l="1"/>
  <c r="L505" i="8" s="1"/>
  <c r="J506" i="8"/>
  <c r="P260" i="8"/>
  <c r="M261" i="8" s="1"/>
  <c r="J507" i="8" l="1"/>
  <c r="K506" i="8"/>
  <c r="L506" i="8" s="1"/>
  <c r="Q260" i="8"/>
  <c r="N261" i="8" s="1"/>
  <c r="O261" i="8" s="1"/>
  <c r="R261" i="8" s="1"/>
  <c r="K507" i="8" l="1"/>
  <c r="L507" i="8" s="1"/>
  <c r="J508" i="8"/>
  <c r="P261" i="8"/>
  <c r="M262" i="8" s="1"/>
  <c r="K508" i="8" l="1"/>
  <c r="L508" i="8" s="1"/>
  <c r="J509" i="8"/>
  <c r="Q261" i="8"/>
  <c r="N262" i="8" s="1"/>
  <c r="O262" i="8" s="1"/>
  <c r="R262" i="8" s="1"/>
  <c r="J510" i="8" l="1"/>
  <c r="K509" i="8"/>
  <c r="L509" i="8" s="1"/>
  <c r="P262" i="8"/>
  <c r="M263" i="8" s="1"/>
  <c r="J511" i="8" l="1"/>
  <c r="K510" i="8"/>
  <c r="L510" i="8" s="1"/>
  <c r="Q262" i="8"/>
  <c r="N263" i="8" s="1"/>
  <c r="O263" i="8" s="1"/>
  <c r="R263" i="8" s="1"/>
  <c r="K511" i="8" l="1"/>
  <c r="L511" i="8" s="1"/>
  <c r="J512" i="8"/>
  <c r="P263" i="8"/>
  <c r="M264" i="8" s="1"/>
  <c r="K512" i="8" l="1"/>
  <c r="L512" i="8" s="1"/>
  <c r="J513" i="8"/>
  <c r="Q263" i="8"/>
  <c r="N264" i="8" s="1"/>
  <c r="O264" i="8" s="1"/>
  <c r="R264" i="8" s="1"/>
  <c r="J514" i="8" l="1"/>
  <c r="K513" i="8"/>
  <c r="L513" i="8" s="1"/>
  <c r="P264" i="8"/>
  <c r="M265" i="8" s="1"/>
  <c r="K514" i="8" l="1"/>
  <c r="L514" i="8" s="1"/>
  <c r="J515" i="8"/>
  <c r="Q264" i="8"/>
  <c r="N265" i="8" s="1"/>
  <c r="O265" i="8" s="1"/>
  <c r="R265" i="8" s="1"/>
  <c r="K515" i="8" l="1"/>
  <c r="L515" i="8" s="1"/>
  <c r="J516" i="8"/>
  <c r="P265" i="8"/>
  <c r="M266" i="8" s="1"/>
  <c r="J517" i="8" l="1"/>
  <c r="K516" i="8"/>
  <c r="L516" i="8" s="1"/>
  <c r="Q265" i="8"/>
  <c r="N266" i="8" s="1"/>
  <c r="O266" i="8" s="1"/>
  <c r="R266" i="8" s="1"/>
  <c r="J518" i="8" l="1"/>
  <c r="K517" i="8"/>
  <c r="L517" i="8" s="1"/>
  <c r="P266" i="8"/>
  <c r="M267" i="8" s="1"/>
  <c r="J519" i="8" l="1"/>
  <c r="K518" i="8"/>
  <c r="L518" i="8" s="1"/>
  <c r="Q266" i="8"/>
  <c r="N267" i="8" s="1"/>
  <c r="O267" i="8" s="1"/>
  <c r="R267" i="8" s="1"/>
  <c r="J520" i="8" l="1"/>
  <c r="K519" i="8"/>
  <c r="L519" i="8" s="1"/>
  <c r="P267" i="8"/>
  <c r="M268" i="8" s="1"/>
  <c r="J521" i="8" l="1"/>
  <c r="K520" i="8"/>
  <c r="L520" i="8" s="1"/>
  <c r="Q267" i="8"/>
  <c r="N268" i="8" s="1"/>
  <c r="O268" i="8" s="1"/>
  <c r="R268" i="8" s="1"/>
  <c r="K521" i="8" l="1"/>
  <c r="L521" i="8" s="1"/>
  <c r="J522" i="8"/>
  <c r="P268" i="8"/>
  <c r="M269" i="8" s="1"/>
  <c r="K522" i="8" l="1"/>
  <c r="L522" i="8" s="1"/>
  <c r="J523" i="8"/>
  <c r="Q268" i="8"/>
  <c r="N269" i="8" s="1"/>
  <c r="O269" i="8" s="1"/>
  <c r="R269" i="8" s="1"/>
  <c r="K523" i="8" l="1"/>
  <c r="L523" i="8" s="1"/>
  <c r="J524" i="8"/>
  <c r="P269" i="8"/>
  <c r="M270" i="8" s="1"/>
  <c r="K524" i="8" l="1"/>
  <c r="L524" i="8" s="1"/>
  <c r="J525" i="8"/>
  <c r="Q269" i="8"/>
  <c r="N270" i="8" s="1"/>
  <c r="O270" i="8" s="1"/>
  <c r="R270" i="8" s="1"/>
  <c r="J526" i="8" l="1"/>
  <c r="K525" i="8"/>
  <c r="L525" i="8" s="1"/>
  <c r="P270" i="8"/>
  <c r="M271" i="8" s="1"/>
  <c r="J527" i="8" l="1"/>
  <c r="K526" i="8"/>
  <c r="L526" i="8" s="1"/>
  <c r="Q270" i="8"/>
  <c r="N271" i="8" s="1"/>
  <c r="O271" i="8" s="1"/>
  <c r="R271" i="8" s="1"/>
  <c r="K527" i="8" l="1"/>
  <c r="L527" i="8" s="1"/>
  <c r="J528" i="8"/>
  <c r="P271" i="8"/>
  <c r="M272" i="8" s="1"/>
  <c r="J529" i="8" l="1"/>
  <c r="K528" i="8"/>
  <c r="L528" i="8" s="1"/>
  <c r="Q271" i="8"/>
  <c r="N272" i="8" s="1"/>
  <c r="O272" i="8" s="1"/>
  <c r="R272" i="8" s="1"/>
  <c r="J530" i="8" l="1"/>
  <c r="K529" i="8"/>
  <c r="L529" i="8" s="1"/>
  <c r="P272" i="8"/>
  <c r="M273" i="8" s="1"/>
  <c r="K530" i="8" l="1"/>
  <c r="L530" i="8" s="1"/>
  <c r="J531" i="8"/>
  <c r="Q272" i="8"/>
  <c r="N273" i="8" s="1"/>
  <c r="O273" i="8" s="1"/>
  <c r="R273" i="8" s="1"/>
  <c r="J532" i="8" l="1"/>
  <c r="K531" i="8"/>
  <c r="L531" i="8" s="1"/>
  <c r="P273" i="8"/>
  <c r="M274" i="8" s="1"/>
  <c r="J533" i="8" l="1"/>
  <c r="K532" i="8"/>
  <c r="L532" i="8" s="1"/>
  <c r="Q273" i="8"/>
  <c r="N274" i="8" s="1"/>
  <c r="O274" i="8" s="1"/>
  <c r="R274" i="8" s="1"/>
  <c r="K533" i="8" l="1"/>
  <c r="L533" i="8" s="1"/>
  <c r="J534" i="8"/>
  <c r="P274" i="8"/>
  <c r="M275" i="8" s="1"/>
  <c r="J535" i="8" l="1"/>
  <c r="K534" i="8"/>
  <c r="L534" i="8" s="1"/>
  <c r="Q274" i="8"/>
  <c r="N275" i="8" s="1"/>
  <c r="O275" i="8" s="1"/>
  <c r="R275" i="8" s="1"/>
  <c r="K535" i="8" l="1"/>
  <c r="L535" i="8" s="1"/>
  <c r="J536" i="8"/>
  <c r="P275" i="8"/>
  <c r="M276" i="8" s="1"/>
  <c r="K536" i="8" l="1"/>
  <c r="L536" i="8" s="1"/>
  <c r="J537" i="8"/>
  <c r="Q275" i="8"/>
  <c r="N276" i="8" s="1"/>
  <c r="O276" i="8" s="1"/>
  <c r="R276" i="8" s="1"/>
  <c r="K537" i="8" l="1"/>
  <c r="L537" i="8" s="1"/>
  <c r="J538" i="8"/>
  <c r="P276" i="8"/>
  <c r="M277" i="8" s="1"/>
  <c r="J539" i="8" l="1"/>
  <c r="K538" i="8"/>
  <c r="L538" i="8" s="1"/>
  <c r="Q276" i="8"/>
  <c r="N277" i="8" s="1"/>
  <c r="O277" i="8" s="1"/>
  <c r="R277" i="8" s="1"/>
  <c r="K539" i="8" l="1"/>
  <c r="L539" i="8" s="1"/>
  <c r="J540" i="8"/>
  <c r="P277" i="8"/>
  <c r="M278" i="8" s="1"/>
  <c r="J541" i="8" l="1"/>
  <c r="K540" i="8"/>
  <c r="L540" i="8" s="1"/>
  <c r="Q277" i="8"/>
  <c r="N278" i="8" s="1"/>
  <c r="O278" i="8" s="1"/>
  <c r="R278" i="8" s="1"/>
  <c r="K541" i="8" l="1"/>
  <c r="L541" i="8" s="1"/>
  <c r="J542" i="8"/>
  <c r="P278" i="8"/>
  <c r="M279" i="8" s="1"/>
  <c r="Q278" i="8" l="1"/>
  <c r="N279" i="8" s="1"/>
  <c r="O279" i="8" s="1"/>
  <c r="R279" i="8" s="1"/>
  <c r="K542" i="8"/>
  <c r="L542" i="8" s="1"/>
  <c r="J543" i="8"/>
  <c r="K543" i="8" l="1"/>
  <c r="L543" i="8" s="1"/>
  <c r="J544" i="8"/>
  <c r="P279" i="8"/>
  <c r="M280" i="8" s="1"/>
  <c r="J545" i="8" l="1"/>
  <c r="K544" i="8"/>
  <c r="L544" i="8" s="1"/>
  <c r="Q279" i="8"/>
  <c r="N280" i="8" s="1"/>
  <c r="O280" i="8" s="1"/>
  <c r="R280" i="8" s="1"/>
  <c r="J546" i="8" l="1"/>
  <c r="K545" i="8"/>
  <c r="L545" i="8" s="1"/>
  <c r="P280" i="8"/>
  <c r="M281" i="8" s="1"/>
  <c r="J547" i="8" l="1"/>
  <c r="K546" i="8"/>
  <c r="L546" i="8" s="1"/>
  <c r="Q280" i="8"/>
  <c r="N281" i="8" s="1"/>
  <c r="O281" i="8" s="1"/>
  <c r="R281" i="8" s="1"/>
  <c r="K547" i="8" l="1"/>
  <c r="L547" i="8" s="1"/>
  <c r="J548" i="8"/>
  <c r="P281" i="8"/>
  <c r="M282" i="8" s="1"/>
  <c r="K548" i="8" l="1"/>
  <c r="L548" i="8" s="1"/>
  <c r="J549" i="8"/>
  <c r="Q281" i="8"/>
  <c r="N282" i="8" s="1"/>
  <c r="O282" i="8" s="1"/>
  <c r="R282" i="8" s="1"/>
  <c r="K549" i="8" l="1"/>
  <c r="L549" i="8" s="1"/>
  <c r="J550" i="8"/>
  <c r="P282" i="8"/>
  <c r="M283" i="8" s="1"/>
  <c r="K550" i="8" l="1"/>
  <c r="L550" i="8" s="1"/>
  <c r="J551" i="8"/>
  <c r="Q282" i="8"/>
  <c r="N283" i="8" s="1"/>
  <c r="O283" i="8" s="1"/>
  <c r="R283" i="8" s="1"/>
  <c r="K551" i="8" l="1"/>
  <c r="L551" i="8" s="1"/>
  <c r="J552" i="8"/>
  <c r="P283" i="8"/>
  <c r="M284" i="8" s="1"/>
  <c r="J553" i="8" l="1"/>
  <c r="K552" i="8"/>
  <c r="L552" i="8" s="1"/>
  <c r="Q283" i="8"/>
  <c r="N284" i="8" s="1"/>
  <c r="O284" i="8" s="1"/>
  <c r="R284" i="8" s="1"/>
  <c r="K553" i="8" l="1"/>
  <c r="L553" i="8" s="1"/>
  <c r="J554" i="8"/>
  <c r="P284" i="8"/>
  <c r="M285" i="8" s="1"/>
  <c r="K554" i="8" l="1"/>
  <c r="L554" i="8" s="1"/>
  <c r="J555" i="8"/>
  <c r="Q284" i="8"/>
  <c r="N285" i="8" s="1"/>
  <c r="O285" i="8" s="1"/>
  <c r="R285" i="8" s="1"/>
  <c r="J556" i="8" l="1"/>
  <c r="K555" i="8"/>
  <c r="L555" i="8" s="1"/>
  <c r="P285" i="8"/>
  <c r="M286" i="8" s="1"/>
  <c r="J557" i="8" l="1"/>
  <c r="K556" i="8"/>
  <c r="L556" i="8" s="1"/>
  <c r="Q285" i="8"/>
  <c r="N286" i="8" s="1"/>
  <c r="O286" i="8" s="1"/>
  <c r="R286" i="8" s="1"/>
  <c r="J558" i="8" l="1"/>
  <c r="K557" i="8"/>
  <c r="L557" i="8" s="1"/>
  <c r="P286" i="8"/>
  <c r="M287" i="8" s="1"/>
  <c r="K558" i="8" l="1"/>
  <c r="L558" i="8" s="1"/>
  <c r="J559" i="8"/>
  <c r="Q286" i="8"/>
  <c r="N287" i="8" s="1"/>
  <c r="O287" i="8" s="1"/>
  <c r="R287" i="8" s="1"/>
  <c r="J560" i="8" l="1"/>
  <c r="K559" i="8"/>
  <c r="L559" i="8" s="1"/>
  <c r="P287" i="8"/>
  <c r="M288" i="8" s="1"/>
  <c r="J561" i="8" l="1"/>
  <c r="K560" i="8"/>
  <c r="L560" i="8" s="1"/>
  <c r="Q287" i="8"/>
  <c r="N288" i="8" s="1"/>
  <c r="O288" i="8" s="1"/>
  <c r="R288" i="8" s="1"/>
  <c r="J562" i="8" l="1"/>
  <c r="K561" i="8"/>
  <c r="L561" i="8" s="1"/>
  <c r="P288" i="8"/>
  <c r="M289" i="8" s="1"/>
  <c r="J563" i="8" l="1"/>
  <c r="K562" i="8"/>
  <c r="L562" i="8" s="1"/>
  <c r="Q288" i="8"/>
  <c r="N289" i="8" s="1"/>
  <c r="O289" i="8" s="1"/>
  <c r="R289" i="8" s="1"/>
  <c r="J564" i="8" l="1"/>
  <c r="K563" i="8"/>
  <c r="L563" i="8" s="1"/>
  <c r="P289" i="8"/>
  <c r="M290" i="8" s="1"/>
  <c r="J565" i="8" l="1"/>
  <c r="K565" i="8" s="1"/>
  <c r="L565" i="8" s="1"/>
  <c r="K564" i="8"/>
  <c r="L564" i="8" s="1"/>
  <c r="Q289" i="8"/>
  <c r="N290" i="8" s="1"/>
  <c r="O290" i="8" s="1"/>
  <c r="R290" i="8" s="1"/>
  <c r="P290" i="8" l="1"/>
  <c r="M291" i="8" s="1"/>
  <c r="Q290" i="8" l="1"/>
  <c r="N291" i="8" s="1"/>
  <c r="O291" i="8" s="1"/>
  <c r="R291" i="8" s="1"/>
  <c r="P291" i="8" l="1"/>
  <c r="M292" i="8" s="1"/>
  <c r="Q291" i="8" l="1"/>
  <c r="N292" i="8" s="1"/>
  <c r="O292" i="8"/>
  <c r="R292" i="8" s="1"/>
  <c r="P292" i="8" l="1"/>
  <c r="M293" i="8" s="1"/>
  <c r="Q292" i="8" l="1"/>
  <c r="N293" i="8" s="1"/>
  <c r="O293" i="8" s="1"/>
  <c r="R293" i="8" s="1"/>
  <c r="P293" i="8" l="1"/>
  <c r="M294" i="8" s="1"/>
  <c r="Q293" i="8" l="1"/>
  <c r="N294" i="8" s="1"/>
  <c r="O294" i="8" s="1"/>
  <c r="R294" i="8" s="1"/>
  <c r="P294" i="8" l="1"/>
  <c r="M295" i="8" s="1"/>
  <c r="Q294" i="8" l="1"/>
  <c r="N295" i="8" s="1"/>
  <c r="O295" i="8" s="1"/>
  <c r="R295" i="8" s="1"/>
  <c r="P295" i="8" l="1"/>
  <c r="M296" i="8" s="1"/>
  <c r="Q295" i="8" l="1"/>
  <c r="N296" i="8" s="1"/>
  <c r="O296" i="8" s="1"/>
  <c r="R296" i="8" s="1"/>
  <c r="P296" i="8" l="1"/>
  <c r="M297" i="8" s="1"/>
  <c r="Q296" i="8" l="1"/>
  <c r="N297" i="8" s="1"/>
  <c r="O297" i="8" s="1"/>
  <c r="R297" i="8" s="1"/>
  <c r="P297" i="8" l="1"/>
  <c r="M298" i="8" s="1"/>
  <c r="Q297" i="8" l="1"/>
  <c r="N298" i="8" s="1"/>
  <c r="O298" i="8" s="1"/>
  <c r="R298" i="8" s="1"/>
  <c r="P298" i="8" l="1"/>
  <c r="M299" i="8" s="1"/>
  <c r="Q298" i="8" l="1"/>
  <c r="N299" i="8" s="1"/>
  <c r="O299" i="8" s="1"/>
  <c r="R299" i="8" s="1"/>
  <c r="P299" i="8" l="1"/>
  <c r="M300" i="8" s="1"/>
  <c r="Q299" i="8" l="1"/>
  <c r="N300" i="8" s="1"/>
  <c r="O300" i="8" s="1"/>
  <c r="R300" i="8" s="1"/>
  <c r="P300" i="8" l="1"/>
  <c r="M301" i="8" s="1"/>
  <c r="Q300" i="8" l="1"/>
  <c r="N301" i="8" s="1"/>
  <c r="O301" i="8" s="1"/>
  <c r="R301" i="8" s="1"/>
  <c r="P301" i="8" l="1"/>
  <c r="M302" i="8" s="1"/>
  <c r="Q301" i="8" l="1"/>
  <c r="N302" i="8" s="1"/>
  <c r="O302" i="8" s="1"/>
  <c r="R302" i="8" s="1"/>
  <c r="P302" i="8" l="1"/>
  <c r="M303" i="8" s="1"/>
  <c r="Q302" i="8" l="1"/>
  <c r="N303" i="8" s="1"/>
  <c r="O303" i="8" s="1"/>
  <c r="R303" i="8" s="1"/>
  <c r="P303" i="8" l="1"/>
  <c r="M304" i="8" s="1"/>
  <c r="Q303" i="8" l="1"/>
  <c r="N304" i="8" s="1"/>
  <c r="O304" i="8" s="1"/>
  <c r="R304" i="8" s="1"/>
  <c r="P304" i="8" l="1"/>
  <c r="M305" i="8" s="1"/>
  <c r="Q304" i="8" l="1"/>
  <c r="N305" i="8" s="1"/>
  <c r="O305" i="8" s="1"/>
  <c r="R305" i="8" s="1"/>
  <c r="P305" i="8" l="1"/>
  <c r="M306" i="8" s="1"/>
  <c r="Q305" i="8" l="1"/>
  <c r="N306" i="8" s="1"/>
  <c r="O306" i="8" s="1"/>
  <c r="R306" i="8" s="1"/>
  <c r="P306" i="8" l="1"/>
  <c r="M307" i="8" s="1"/>
  <c r="Q306" i="8" l="1"/>
  <c r="N307" i="8" s="1"/>
  <c r="O307" i="8" s="1"/>
  <c r="R307" i="8" s="1"/>
  <c r="P307" i="8" l="1"/>
  <c r="M308" i="8" s="1"/>
  <c r="Q307" i="8" l="1"/>
  <c r="N308" i="8" s="1"/>
  <c r="O308" i="8" s="1"/>
  <c r="R308" i="8" s="1"/>
  <c r="P308" i="8" l="1"/>
  <c r="M309" i="8" s="1"/>
  <c r="Q308" i="8" l="1"/>
  <c r="N309" i="8" s="1"/>
  <c r="O309" i="8" s="1"/>
  <c r="R309" i="8" s="1"/>
  <c r="P309" i="8" l="1"/>
  <c r="M310" i="8" s="1"/>
  <c r="Q309" i="8" l="1"/>
  <c r="N310" i="8" s="1"/>
  <c r="O310" i="8" s="1"/>
  <c r="R310" i="8" s="1"/>
  <c r="P310" i="8" l="1"/>
  <c r="M311" i="8" s="1"/>
  <c r="Q310" i="8" l="1"/>
  <c r="N311" i="8" s="1"/>
  <c r="O311" i="8" s="1"/>
  <c r="R311" i="8" s="1"/>
  <c r="P311" i="8" l="1"/>
  <c r="M312" i="8" s="1"/>
  <c r="Q311" i="8" l="1"/>
  <c r="N312" i="8" s="1"/>
  <c r="O312" i="8" s="1"/>
  <c r="R312" i="8" s="1"/>
  <c r="P312" i="8" l="1"/>
  <c r="M313" i="8" s="1"/>
  <c r="Q312" i="8" l="1"/>
  <c r="N313" i="8" s="1"/>
  <c r="O313" i="8" s="1"/>
  <c r="R313" i="8" s="1"/>
  <c r="P313" i="8" l="1"/>
  <c r="M314" i="8" s="1"/>
  <c r="Q313" i="8" l="1"/>
  <c r="N314" i="8" s="1"/>
  <c r="O314" i="8" s="1"/>
  <c r="R314" i="8" s="1"/>
  <c r="P314" i="8" l="1"/>
  <c r="M315" i="8" s="1"/>
  <c r="Q314" i="8" l="1"/>
  <c r="N315" i="8" s="1"/>
  <c r="O315" i="8" s="1"/>
  <c r="R315" i="8" s="1"/>
  <c r="P315" i="8" l="1"/>
  <c r="M316" i="8" s="1"/>
  <c r="Q315" i="8" l="1"/>
  <c r="N316" i="8" s="1"/>
  <c r="O316" i="8" s="1"/>
  <c r="R316" i="8" s="1"/>
  <c r="P316" i="8" l="1"/>
  <c r="M317" i="8" s="1"/>
  <c r="Q316" i="8" l="1"/>
  <c r="N317" i="8" s="1"/>
  <c r="O317" i="8" s="1"/>
  <c r="R317" i="8" s="1"/>
  <c r="P317" i="8" l="1"/>
  <c r="M318" i="8" s="1"/>
  <c r="Q317" i="8" l="1"/>
  <c r="N318" i="8" s="1"/>
  <c r="O318" i="8" s="1"/>
  <c r="R318" i="8" s="1"/>
  <c r="P318" i="8" l="1"/>
  <c r="M319" i="8" s="1"/>
  <c r="Q318" i="8" l="1"/>
  <c r="N319" i="8" s="1"/>
  <c r="O319" i="8" s="1"/>
  <c r="R319" i="8" s="1"/>
  <c r="P319" i="8" l="1"/>
  <c r="M320" i="8" s="1"/>
  <c r="Q319" i="8" l="1"/>
  <c r="N320" i="8" s="1"/>
  <c r="O320" i="8" s="1"/>
  <c r="R320" i="8" s="1"/>
  <c r="P320" i="8" l="1"/>
  <c r="M321" i="8" s="1"/>
  <c r="Q320" i="8" l="1"/>
  <c r="N321" i="8" s="1"/>
  <c r="O321" i="8" s="1"/>
  <c r="R321" i="8" s="1"/>
  <c r="P321" i="8" l="1"/>
  <c r="M322" i="8" s="1"/>
  <c r="Q321" i="8" l="1"/>
  <c r="N322" i="8" s="1"/>
  <c r="O322" i="8" s="1"/>
  <c r="R322" i="8" s="1"/>
  <c r="P322" i="8" l="1"/>
  <c r="M323" i="8" s="1"/>
  <c r="Q322" i="8" l="1"/>
  <c r="N323" i="8" s="1"/>
  <c r="O323" i="8" s="1"/>
  <c r="R323" i="8" s="1"/>
  <c r="P323" i="8" l="1"/>
  <c r="M324" i="8" s="1"/>
  <c r="Q323" i="8" l="1"/>
  <c r="N324" i="8" s="1"/>
  <c r="O324" i="8" s="1"/>
  <c r="R324" i="8" s="1"/>
  <c r="P324" i="8" l="1"/>
  <c r="M325" i="8" s="1"/>
  <c r="Q324" i="8" l="1"/>
  <c r="N325" i="8" s="1"/>
  <c r="O325" i="8" s="1"/>
  <c r="R325" i="8" s="1"/>
  <c r="P325" i="8" l="1"/>
  <c r="M326" i="8" s="1"/>
  <c r="Q325" i="8" l="1"/>
  <c r="N326" i="8" s="1"/>
  <c r="O326" i="8" s="1"/>
  <c r="R326" i="8" s="1"/>
  <c r="P326" i="8" l="1"/>
  <c r="M327" i="8" s="1"/>
  <c r="Q326" i="8" l="1"/>
  <c r="N327" i="8" s="1"/>
  <c r="O327" i="8" s="1"/>
  <c r="R327" i="8" s="1"/>
  <c r="P327" i="8" l="1"/>
  <c r="M328" i="8" s="1"/>
  <c r="Q327" i="8" l="1"/>
  <c r="N328" i="8" s="1"/>
  <c r="O328" i="8" s="1"/>
  <c r="R328" i="8" s="1"/>
  <c r="P328" i="8" l="1"/>
  <c r="M329" i="8" s="1"/>
  <c r="Q328" i="8" l="1"/>
  <c r="N329" i="8" s="1"/>
  <c r="O329" i="8" s="1"/>
  <c r="R329" i="8" s="1"/>
  <c r="P329" i="8" l="1"/>
  <c r="M330" i="8" s="1"/>
  <c r="Q329" i="8" l="1"/>
  <c r="N330" i="8" s="1"/>
  <c r="O330" i="8" s="1"/>
  <c r="R330" i="8" s="1"/>
  <c r="P330" i="8" l="1"/>
  <c r="M331" i="8" s="1"/>
  <c r="Q330" i="8" l="1"/>
  <c r="N331" i="8" s="1"/>
  <c r="O331" i="8" s="1"/>
  <c r="R331" i="8" s="1"/>
  <c r="P331" i="8" l="1"/>
  <c r="M332" i="8" s="1"/>
  <c r="Q331" i="8" l="1"/>
  <c r="N332" i="8" s="1"/>
  <c r="O332" i="8" s="1"/>
  <c r="R332" i="8" s="1"/>
  <c r="P332" i="8" l="1"/>
  <c r="M333" i="8" s="1"/>
  <c r="Q332" i="8" l="1"/>
  <c r="N333" i="8" s="1"/>
  <c r="O333" i="8" s="1"/>
  <c r="R333" i="8" s="1"/>
  <c r="P333" i="8" l="1"/>
  <c r="M334" i="8" s="1"/>
  <c r="Q333" i="8" l="1"/>
  <c r="N334" i="8" s="1"/>
  <c r="O334" i="8" s="1"/>
  <c r="R334" i="8" s="1"/>
  <c r="P334" i="8" l="1"/>
  <c r="M335" i="8" s="1"/>
  <c r="Q334" i="8" l="1"/>
  <c r="N335" i="8" s="1"/>
  <c r="O335" i="8" s="1"/>
  <c r="R335" i="8" s="1"/>
  <c r="P335" i="8" l="1"/>
  <c r="M336" i="8" s="1"/>
  <c r="Q335" i="8" l="1"/>
  <c r="N336" i="8" s="1"/>
  <c r="O336" i="8" s="1"/>
  <c r="R336" i="8" s="1"/>
  <c r="P336" i="8" l="1"/>
  <c r="M337" i="8" s="1"/>
  <c r="Q336" i="8" l="1"/>
  <c r="N337" i="8" s="1"/>
  <c r="O337" i="8" s="1"/>
  <c r="R337" i="8" s="1"/>
  <c r="P337" i="8" l="1"/>
  <c r="M338" i="8" s="1"/>
  <c r="Q337" i="8" l="1"/>
  <c r="N338" i="8" s="1"/>
  <c r="O338" i="8" s="1"/>
  <c r="R338" i="8" s="1"/>
  <c r="P338" i="8" l="1"/>
  <c r="M339" i="8" s="1"/>
  <c r="Q338" i="8" l="1"/>
  <c r="N339" i="8" s="1"/>
  <c r="O339" i="8" s="1"/>
  <c r="R339" i="8" s="1"/>
  <c r="P339" i="8" l="1"/>
  <c r="M340" i="8" s="1"/>
  <c r="Q339" i="8" l="1"/>
  <c r="N340" i="8" s="1"/>
  <c r="O340" i="8" s="1"/>
  <c r="R340" i="8" s="1"/>
  <c r="P340" i="8" l="1"/>
  <c r="M341" i="8" s="1"/>
  <c r="Q340" i="8" l="1"/>
  <c r="N341" i="8" s="1"/>
  <c r="O341" i="8" s="1"/>
  <c r="R341" i="8" s="1"/>
  <c r="P341" i="8" l="1"/>
  <c r="M342" i="8" s="1"/>
  <c r="Q341" i="8" l="1"/>
  <c r="N342" i="8" s="1"/>
  <c r="O342" i="8" s="1"/>
  <c r="R342" i="8" s="1"/>
  <c r="P342" i="8" l="1"/>
  <c r="M343" i="8" s="1"/>
  <c r="Q342" i="8" l="1"/>
  <c r="N343" i="8" s="1"/>
  <c r="O343" i="8" s="1"/>
  <c r="R343" i="8" s="1"/>
  <c r="P343" i="8" l="1"/>
  <c r="M344" i="8" s="1"/>
  <c r="Q343" i="8" l="1"/>
  <c r="N344" i="8" s="1"/>
  <c r="O344" i="8" s="1"/>
  <c r="R344" i="8" s="1"/>
  <c r="P344" i="8" l="1"/>
  <c r="M345" i="8" s="1"/>
  <c r="Q344" i="8" l="1"/>
  <c r="N345" i="8" s="1"/>
  <c r="O345" i="8" s="1"/>
  <c r="R345" i="8" s="1"/>
  <c r="P345" i="8" l="1"/>
  <c r="M346" i="8" s="1"/>
  <c r="Q345" i="8" l="1"/>
  <c r="N346" i="8" s="1"/>
  <c r="O346" i="8" s="1"/>
  <c r="R346" i="8" s="1"/>
  <c r="P346" i="8" l="1"/>
  <c r="M347" i="8" s="1"/>
  <c r="Q346" i="8" l="1"/>
  <c r="N347" i="8" s="1"/>
  <c r="O347" i="8" s="1"/>
  <c r="R347" i="8" s="1"/>
  <c r="P347" i="8" l="1"/>
  <c r="M348" i="8" s="1"/>
  <c r="Q347" i="8" l="1"/>
  <c r="N348" i="8" s="1"/>
  <c r="O348" i="8" s="1"/>
  <c r="R348" i="8" s="1"/>
  <c r="P348" i="8" l="1"/>
  <c r="M349" i="8" s="1"/>
  <c r="Q348" i="8" l="1"/>
  <c r="N349" i="8" s="1"/>
  <c r="O349" i="8" s="1"/>
  <c r="R349" i="8" s="1"/>
  <c r="P349" i="8" l="1"/>
  <c r="M350" i="8" s="1"/>
  <c r="Q349" i="8" l="1"/>
  <c r="N350" i="8" s="1"/>
  <c r="O350" i="8" s="1"/>
  <c r="R350" i="8" s="1"/>
  <c r="P350" i="8" l="1"/>
  <c r="M351" i="8" s="1"/>
  <c r="Q350" i="8" l="1"/>
  <c r="N351" i="8" s="1"/>
  <c r="O351" i="8" s="1"/>
  <c r="R351" i="8" s="1"/>
  <c r="P351" i="8" l="1"/>
  <c r="M352" i="8" s="1"/>
  <c r="Q351" i="8" l="1"/>
  <c r="N352" i="8" s="1"/>
  <c r="O352" i="8" s="1"/>
  <c r="R352" i="8" s="1"/>
  <c r="P352" i="8" l="1"/>
  <c r="M353" i="8" s="1"/>
  <c r="Q352" i="8" l="1"/>
  <c r="N353" i="8" s="1"/>
  <c r="O353" i="8" s="1"/>
  <c r="R353" i="8" s="1"/>
  <c r="P353" i="8" l="1"/>
  <c r="M354" i="8" s="1"/>
  <c r="Q353" i="8" l="1"/>
  <c r="N354" i="8" s="1"/>
  <c r="O354" i="8" s="1"/>
  <c r="R354" i="8" s="1"/>
  <c r="P354" i="8" l="1"/>
  <c r="M355" i="8" s="1"/>
  <c r="Q354" i="8" l="1"/>
  <c r="N355" i="8" s="1"/>
  <c r="O355" i="8" s="1"/>
  <c r="R355" i="8" s="1"/>
  <c r="P355" i="8" l="1"/>
  <c r="M356" i="8" s="1"/>
  <c r="Q355" i="8" l="1"/>
  <c r="N356" i="8" s="1"/>
  <c r="O356" i="8" s="1"/>
  <c r="R356" i="8" s="1"/>
  <c r="P356" i="8" l="1"/>
  <c r="M357" i="8" s="1"/>
  <c r="Q356" i="8" l="1"/>
  <c r="N357" i="8" s="1"/>
  <c r="O357" i="8" s="1"/>
  <c r="R357" i="8" s="1"/>
  <c r="P357" i="8" l="1"/>
  <c r="M358" i="8" s="1"/>
  <c r="Q357" i="8" l="1"/>
  <c r="N358" i="8" s="1"/>
  <c r="O358" i="8" s="1"/>
  <c r="R358" i="8" s="1"/>
  <c r="P358" i="8" l="1"/>
  <c r="M359" i="8" s="1"/>
  <c r="Q358" i="8" l="1"/>
  <c r="N359" i="8" s="1"/>
  <c r="O359" i="8" s="1"/>
  <c r="R359" i="8" s="1"/>
  <c r="P359" i="8" l="1"/>
  <c r="M360" i="8" s="1"/>
  <c r="Q359" i="8" l="1"/>
  <c r="N360" i="8" s="1"/>
  <c r="O360" i="8" s="1"/>
  <c r="R360" i="8" s="1"/>
  <c r="P360" i="8" l="1"/>
  <c r="M361" i="8" s="1"/>
  <c r="Q360" i="8" l="1"/>
  <c r="N361" i="8" s="1"/>
  <c r="O361" i="8" s="1"/>
  <c r="R361" i="8" s="1"/>
  <c r="P361" i="8" l="1"/>
  <c r="M362" i="8" s="1"/>
  <c r="Q361" i="8" l="1"/>
  <c r="N362" i="8" s="1"/>
  <c r="O362" i="8" s="1"/>
  <c r="R362" i="8" s="1"/>
  <c r="P362" i="8" l="1"/>
  <c r="M363" i="8" s="1"/>
  <c r="Q362" i="8" l="1"/>
  <c r="N363" i="8" s="1"/>
  <c r="O363" i="8" s="1"/>
  <c r="R363" i="8" s="1"/>
  <c r="P363" i="8" l="1"/>
  <c r="M364" i="8" s="1"/>
  <c r="Q363" i="8" l="1"/>
  <c r="N364" i="8" s="1"/>
  <c r="O364" i="8" s="1"/>
  <c r="R364" i="8" s="1"/>
  <c r="P364" i="8" l="1"/>
  <c r="M365" i="8" s="1"/>
  <c r="Q364" i="8" l="1"/>
  <c r="N365" i="8" s="1"/>
  <c r="O365" i="8" s="1"/>
  <c r="R365" i="8" s="1"/>
  <c r="P365" i="8" l="1"/>
  <c r="M366" i="8" s="1"/>
  <c r="Q365" i="8" l="1"/>
  <c r="N366" i="8" s="1"/>
  <c r="O366" i="8" s="1"/>
  <c r="R366" i="8" s="1"/>
  <c r="P366" i="8" l="1"/>
  <c r="M367" i="8" s="1"/>
  <c r="Q366" i="8" l="1"/>
  <c r="N367" i="8" s="1"/>
  <c r="O367" i="8" s="1"/>
  <c r="R367" i="8" s="1"/>
  <c r="P367" i="8" l="1"/>
  <c r="M368" i="8" s="1"/>
  <c r="Q367" i="8" l="1"/>
  <c r="N368" i="8" s="1"/>
  <c r="O368" i="8" s="1"/>
  <c r="R368" i="8" s="1"/>
  <c r="P368" i="8" l="1"/>
  <c r="M369" i="8" s="1"/>
  <c r="Q368" i="8" l="1"/>
  <c r="N369" i="8" s="1"/>
  <c r="O369" i="8" s="1"/>
  <c r="R369" i="8" s="1"/>
  <c r="P369" i="8" l="1"/>
  <c r="M370" i="8" s="1"/>
  <c r="Q369" i="8" l="1"/>
  <c r="N370" i="8" s="1"/>
  <c r="O370" i="8" s="1"/>
  <c r="R370" i="8" s="1"/>
  <c r="P370" i="8" l="1"/>
  <c r="M371" i="8" s="1"/>
  <c r="Q370" i="8" l="1"/>
  <c r="N371" i="8" s="1"/>
  <c r="O371" i="8" s="1"/>
  <c r="R371" i="8" s="1"/>
  <c r="P371" i="8" l="1"/>
  <c r="M372" i="8" s="1"/>
  <c r="Q371" i="8" l="1"/>
  <c r="N372" i="8" s="1"/>
  <c r="O372" i="8" s="1"/>
  <c r="R372" i="8" s="1"/>
  <c r="P372" i="8" l="1"/>
  <c r="M373" i="8" s="1"/>
  <c r="Q372" i="8" l="1"/>
  <c r="N373" i="8" s="1"/>
  <c r="O373" i="8" s="1"/>
  <c r="R373" i="8" s="1"/>
  <c r="P373" i="8" l="1"/>
  <c r="M374" i="8" s="1"/>
  <c r="Q373" i="8" l="1"/>
  <c r="N374" i="8" s="1"/>
  <c r="O374" i="8" s="1"/>
  <c r="R374" i="8" s="1"/>
  <c r="P374" i="8" l="1"/>
  <c r="M375" i="8" s="1"/>
  <c r="Q374" i="8" l="1"/>
  <c r="N375" i="8" s="1"/>
  <c r="O375" i="8" s="1"/>
  <c r="R375" i="8" s="1"/>
  <c r="P375" i="8" l="1"/>
  <c r="M376" i="8" s="1"/>
  <c r="Q375" i="8" l="1"/>
  <c r="N376" i="8" s="1"/>
  <c r="O376" i="8" s="1"/>
  <c r="R376" i="8" s="1"/>
  <c r="P376" i="8" l="1"/>
  <c r="M377" i="8" s="1"/>
  <c r="Q376" i="8" l="1"/>
  <c r="N377" i="8" s="1"/>
  <c r="O377" i="8" s="1"/>
  <c r="R377" i="8" s="1"/>
  <c r="P377" i="8" l="1"/>
  <c r="M378" i="8" s="1"/>
  <c r="Q377" i="8" l="1"/>
  <c r="N378" i="8" s="1"/>
  <c r="O378" i="8" s="1"/>
  <c r="R378" i="8" s="1"/>
  <c r="P378" i="8" l="1"/>
  <c r="M379" i="8" s="1"/>
  <c r="Q378" i="8" l="1"/>
  <c r="N379" i="8" s="1"/>
  <c r="O379" i="8" s="1"/>
  <c r="R379" i="8" s="1"/>
  <c r="P379" i="8" l="1"/>
  <c r="M380" i="8" s="1"/>
  <c r="Q379" i="8" l="1"/>
  <c r="N380" i="8" s="1"/>
  <c r="O380" i="8" s="1"/>
  <c r="R380" i="8" s="1"/>
  <c r="P380" i="8" l="1"/>
  <c r="M381" i="8" s="1"/>
  <c r="Q380" i="8" l="1"/>
  <c r="N381" i="8" s="1"/>
  <c r="O381" i="8" s="1"/>
  <c r="R381" i="8" s="1"/>
  <c r="P381" i="8" l="1"/>
  <c r="M382" i="8" s="1"/>
  <c r="Q381" i="8" l="1"/>
  <c r="N382" i="8" s="1"/>
  <c r="O382" i="8" s="1"/>
  <c r="R382" i="8" s="1"/>
  <c r="P382" i="8" l="1"/>
  <c r="M383" i="8" s="1"/>
  <c r="Q382" i="8" l="1"/>
  <c r="N383" i="8" s="1"/>
  <c r="O383" i="8" s="1"/>
  <c r="R383" i="8" s="1"/>
  <c r="P383" i="8" l="1"/>
  <c r="M384" i="8" s="1"/>
  <c r="Q383" i="8" l="1"/>
  <c r="N384" i="8" s="1"/>
  <c r="O384" i="8" s="1"/>
  <c r="R384" i="8" s="1"/>
  <c r="P384" i="8" l="1"/>
  <c r="M385" i="8" s="1"/>
  <c r="Q384" i="8" l="1"/>
  <c r="N385" i="8" s="1"/>
  <c r="O385" i="8" s="1"/>
  <c r="R385" i="8" s="1"/>
  <c r="P385" i="8" l="1"/>
  <c r="M386" i="8" s="1"/>
  <c r="Q385" i="8" l="1"/>
  <c r="N386" i="8" s="1"/>
  <c r="O386" i="8" s="1"/>
  <c r="R386" i="8" s="1"/>
  <c r="P386" i="8" l="1"/>
  <c r="M387" i="8" s="1"/>
  <c r="Q386" i="8" l="1"/>
  <c r="N387" i="8" s="1"/>
  <c r="O387" i="8"/>
  <c r="R387" i="8" s="1"/>
  <c r="P387" i="8" l="1"/>
  <c r="M388" i="8" s="1"/>
  <c r="Q387" i="8" l="1"/>
  <c r="N388" i="8" s="1"/>
  <c r="O388" i="8" s="1"/>
  <c r="R388" i="8" s="1"/>
  <c r="P388" i="8" l="1"/>
  <c r="M389" i="8" s="1"/>
  <c r="Q388" i="8" l="1"/>
  <c r="N389" i="8" s="1"/>
  <c r="O389" i="8" s="1"/>
  <c r="R389" i="8" s="1"/>
  <c r="P389" i="8" l="1"/>
  <c r="M390" i="8" s="1"/>
  <c r="Q389" i="8" l="1"/>
  <c r="N390" i="8" s="1"/>
  <c r="O390" i="8" s="1"/>
  <c r="R390" i="8" s="1"/>
  <c r="P390" i="8" l="1"/>
  <c r="M391" i="8" s="1"/>
  <c r="Q390" i="8" l="1"/>
  <c r="N391" i="8" s="1"/>
  <c r="O391" i="8" s="1"/>
  <c r="R391" i="8" s="1"/>
  <c r="P391" i="8" l="1"/>
  <c r="M392" i="8" s="1"/>
  <c r="Q391" i="8" l="1"/>
  <c r="N392" i="8" s="1"/>
  <c r="O392" i="8" s="1"/>
  <c r="R392" i="8" s="1"/>
  <c r="P392" i="8" l="1"/>
  <c r="M393" i="8" s="1"/>
  <c r="Q392" i="8" l="1"/>
  <c r="N393" i="8" s="1"/>
  <c r="O393" i="8" s="1"/>
  <c r="R393" i="8" s="1"/>
  <c r="P393" i="8" l="1"/>
  <c r="M394" i="8" s="1"/>
  <c r="Q393" i="8" l="1"/>
  <c r="N394" i="8" s="1"/>
  <c r="O394" i="8" s="1"/>
  <c r="R394" i="8" s="1"/>
  <c r="P394" i="8" l="1"/>
  <c r="M395" i="8" s="1"/>
  <c r="Q394" i="8" l="1"/>
  <c r="N395" i="8" s="1"/>
  <c r="O395" i="8" s="1"/>
  <c r="R395" i="8" s="1"/>
  <c r="P395" i="8" l="1"/>
  <c r="M396" i="8" s="1"/>
  <c r="Q395" i="8" l="1"/>
  <c r="N396" i="8" s="1"/>
  <c r="O396" i="8" s="1"/>
  <c r="R396" i="8" s="1"/>
  <c r="P396" i="8" l="1"/>
  <c r="M397" i="8" s="1"/>
  <c r="Q396" i="8" l="1"/>
  <c r="N397" i="8" s="1"/>
  <c r="O397" i="8" s="1"/>
  <c r="R397" i="8" s="1"/>
  <c r="P397" i="8" l="1"/>
  <c r="M398" i="8" s="1"/>
  <c r="Q397" i="8" l="1"/>
  <c r="N398" i="8" s="1"/>
  <c r="O398" i="8" s="1"/>
  <c r="R398" i="8" s="1"/>
  <c r="P398" i="8" l="1"/>
  <c r="M399" i="8" s="1"/>
  <c r="Q398" i="8" l="1"/>
  <c r="N399" i="8" s="1"/>
  <c r="O399" i="8" s="1"/>
  <c r="R399" i="8" s="1"/>
  <c r="P399" i="8" l="1"/>
  <c r="M400" i="8" s="1"/>
  <c r="Q399" i="8" l="1"/>
  <c r="N400" i="8" s="1"/>
  <c r="O400" i="8" s="1"/>
  <c r="R400" i="8" s="1"/>
  <c r="P400" i="8" l="1"/>
  <c r="M401" i="8" s="1"/>
  <c r="Q400" i="8" l="1"/>
  <c r="N401" i="8" s="1"/>
  <c r="O401" i="8" s="1"/>
  <c r="R401" i="8" s="1"/>
  <c r="P401" i="8" l="1"/>
  <c r="M402" i="8" s="1"/>
  <c r="Q401" i="8" l="1"/>
  <c r="N402" i="8" s="1"/>
  <c r="O402" i="8" s="1"/>
  <c r="R402" i="8" s="1"/>
  <c r="P402" i="8" l="1"/>
  <c r="M403" i="8" s="1"/>
  <c r="Q402" i="8" l="1"/>
  <c r="N403" i="8" s="1"/>
  <c r="O403" i="8" s="1"/>
  <c r="R403" i="8" s="1"/>
  <c r="P403" i="8" l="1"/>
  <c r="M404" i="8" s="1"/>
  <c r="Q403" i="8" l="1"/>
  <c r="N404" i="8" s="1"/>
  <c r="O404" i="8" s="1"/>
  <c r="R404" i="8" s="1"/>
  <c r="P404" i="8" l="1"/>
  <c r="M405" i="8" s="1"/>
  <c r="Q404" i="8" l="1"/>
  <c r="N405" i="8" s="1"/>
  <c r="O405" i="8" s="1"/>
  <c r="R405" i="8" s="1"/>
  <c r="P405" i="8" l="1"/>
  <c r="M406" i="8" s="1"/>
  <c r="Q405" i="8" l="1"/>
  <c r="N406" i="8" s="1"/>
  <c r="O406" i="8" s="1"/>
  <c r="R406" i="8" s="1"/>
  <c r="P406" i="8" l="1"/>
  <c r="M407" i="8" s="1"/>
  <c r="Q406" i="8" l="1"/>
  <c r="N407" i="8" s="1"/>
  <c r="O407" i="8" s="1"/>
  <c r="R407" i="8" s="1"/>
  <c r="P407" i="8" l="1"/>
  <c r="M408" i="8" s="1"/>
  <c r="Q407" i="8" l="1"/>
  <c r="N408" i="8" s="1"/>
  <c r="O408" i="8" s="1"/>
  <c r="R408" i="8" s="1"/>
  <c r="P408" i="8" l="1"/>
  <c r="M409" i="8" s="1"/>
  <c r="Q408" i="8" l="1"/>
  <c r="N409" i="8" s="1"/>
  <c r="O409" i="8" s="1"/>
  <c r="R409" i="8" s="1"/>
  <c r="P409" i="8" l="1"/>
  <c r="M410" i="8" s="1"/>
  <c r="Q409" i="8" l="1"/>
  <c r="N410" i="8" s="1"/>
  <c r="O410" i="8" s="1"/>
  <c r="R410" i="8" s="1"/>
  <c r="P410" i="8" l="1"/>
  <c r="M411" i="8" s="1"/>
  <c r="Q410" i="8" l="1"/>
  <c r="N411" i="8" s="1"/>
  <c r="O411" i="8" s="1"/>
  <c r="R411" i="8" s="1"/>
  <c r="P411" i="8" l="1"/>
  <c r="M412" i="8" s="1"/>
  <c r="Q411" i="8" l="1"/>
  <c r="N412" i="8" s="1"/>
  <c r="O412" i="8" s="1"/>
  <c r="R412" i="8" s="1"/>
  <c r="P412" i="8" l="1"/>
  <c r="M413" i="8" s="1"/>
  <c r="Q412" i="8" l="1"/>
  <c r="N413" i="8" s="1"/>
  <c r="O413" i="8" s="1"/>
  <c r="R413" i="8" s="1"/>
  <c r="P413" i="8" l="1"/>
  <c r="M414" i="8" s="1"/>
  <c r="Q413" i="8" l="1"/>
  <c r="N414" i="8" s="1"/>
  <c r="O414" i="8" s="1"/>
  <c r="R414" i="8" s="1"/>
  <c r="P414" i="8" l="1"/>
  <c r="M415" i="8" s="1"/>
  <c r="Q414" i="8" l="1"/>
  <c r="N415" i="8" s="1"/>
  <c r="O415" i="8" s="1"/>
  <c r="R415" i="8" s="1"/>
  <c r="P415" i="8" l="1"/>
  <c r="M416" i="8" s="1"/>
  <c r="Q415" i="8" l="1"/>
  <c r="N416" i="8" s="1"/>
  <c r="O416" i="8" s="1"/>
  <c r="R416" i="8" s="1"/>
  <c r="P416" i="8" l="1"/>
  <c r="M417" i="8" s="1"/>
  <c r="Q416" i="8" l="1"/>
  <c r="N417" i="8" s="1"/>
  <c r="O417" i="8" s="1"/>
  <c r="R417" i="8" s="1"/>
  <c r="P417" i="8" l="1"/>
  <c r="M418" i="8" s="1"/>
  <c r="Q417" i="8" l="1"/>
  <c r="N418" i="8" s="1"/>
  <c r="O418" i="8" s="1"/>
  <c r="R418" i="8" s="1"/>
  <c r="P418" i="8" l="1"/>
  <c r="M419" i="8" s="1"/>
  <c r="Q418" i="8" l="1"/>
  <c r="N419" i="8" s="1"/>
  <c r="O419" i="8" s="1"/>
  <c r="R419" i="8" s="1"/>
  <c r="P419" i="8" l="1"/>
  <c r="M420" i="8" s="1"/>
  <c r="Q419" i="8" l="1"/>
  <c r="N420" i="8" s="1"/>
  <c r="O420" i="8" s="1"/>
  <c r="R420" i="8" s="1"/>
  <c r="P420" i="8" l="1"/>
  <c r="M421" i="8" s="1"/>
  <c r="Q420" i="8" l="1"/>
  <c r="N421" i="8" s="1"/>
  <c r="O421" i="8" s="1"/>
  <c r="R421" i="8" s="1"/>
  <c r="P421" i="8" l="1"/>
  <c r="M422" i="8" s="1"/>
  <c r="Q421" i="8" l="1"/>
  <c r="N422" i="8" s="1"/>
  <c r="O422" i="8" s="1"/>
  <c r="R422" i="8" s="1"/>
  <c r="P422" i="8" l="1"/>
  <c r="M423" i="8" s="1"/>
  <c r="Q422" i="8" l="1"/>
  <c r="N423" i="8" s="1"/>
  <c r="O423" i="8"/>
  <c r="R423" i="8" s="1"/>
  <c r="P423" i="8" l="1"/>
  <c r="M424" i="8" s="1"/>
  <c r="Q423" i="8" l="1"/>
  <c r="N424" i="8" s="1"/>
  <c r="O424" i="8" s="1"/>
  <c r="R424" i="8" s="1"/>
  <c r="P424" i="8" l="1"/>
  <c r="M425" i="8" s="1"/>
  <c r="Q424" i="8" l="1"/>
  <c r="N425" i="8" s="1"/>
  <c r="O425" i="8" s="1"/>
  <c r="R425" i="8" s="1"/>
  <c r="P425" i="8" l="1"/>
  <c r="M426" i="8" s="1"/>
  <c r="Q425" i="8" l="1"/>
  <c r="N426" i="8" s="1"/>
  <c r="O426" i="8" s="1"/>
  <c r="R426" i="8" s="1"/>
  <c r="P426" i="8" l="1"/>
  <c r="M427" i="8" s="1"/>
  <c r="Q426" i="8" l="1"/>
  <c r="N427" i="8" s="1"/>
  <c r="O427" i="8" s="1"/>
  <c r="R427" i="8" s="1"/>
  <c r="P427" i="8" l="1"/>
  <c r="M428" i="8" s="1"/>
  <c r="Q427" i="8" l="1"/>
  <c r="N428" i="8" s="1"/>
  <c r="O428" i="8" s="1"/>
  <c r="R428" i="8" s="1"/>
  <c r="P428" i="8" l="1"/>
  <c r="M429" i="8" s="1"/>
  <c r="Q428" i="8" l="1"/>
  <c r="N429" i="8" s="1"/>
  <c r="O429" i="8" s="1"/>
  <c r="R429" i="8" s="1"/>
  <c r="P429" i="8" l="1"/>
  <c r="M430" i="8" s="1"/>
  <c r="Q429" i="8" l="1"/>
  <c r="N430" i="8" s="1"/>
  <c r="O430" i="8" s="1"/>
  <c r="R430" i="8" s="1"/>
  <c r="P430" i="8" l="1"/>
  <c r="M431" i="8" s="1"/>
  <c r="Q430" i="8" l="1"/>
  <c r="N431" i="8" s="1"/>
  <c r="O431" i="8" s="1"/>
  <c r="R431" i="8" s="1"/>
  <c r="P431" i="8" l="1"/>
  <c r="M432" i="8" s="1"/>
  <c r="Q431" i="8" l="1"/>
  <c r="N432" i="8" s="1"/>
  <c r="O432" i="8" s="1"/>
  <c r="R432" i="8" s="1"/>
  <c r="P432" i="8" l="1"/>
  <c r="M433" i="8" s="1"/>
  <c r="Q432" i="8" l="1"/>
  <c r="N433" i="8" s="1"/>
  <c r="O433" i="8" s="1"/>
  <c r="R433" i="8" s="1"/>
  <c r="P433" i="8" l="1"/>
  <c r="M434" i="8" s="1"/>
  <c r="Q433" i="8" l="1"/>
  <c r="N434" i="8" s="1"/>
  <c r="O434" i="8" s="1"/>
  <c r="R434" i="8" s="1"/>
  <c r="P434" i="8" l="1"/>
  <c r="M435" i="8" s="1"/>
  <c r="Q434" i="8" l="1"/>
  <c r="N435" i="8" s="1"/>
  <c r="O435" i="8" s="1"/>
  <c r="R435" i="8" s="1"/>
  <c r="P435" i="8" l="1"/>
  <c r="M436" i="8" s="1"/>
  <c r="Q435" i="8" l="1"/>
  <c r="N436" i="8" s="1"/>
  <c r="O436" i="8" s="1"/>
  <c r="R436" i="8" s="1"/>
  <c r="P436" i="8" l="1"/>
  <c r="M437" i="8" s="1"/>
  <c r="Q436" i="8" l="1"/>
  <c r="N437" i="8" s="1"/>
  <c r="O437" i="8" s="1"/>
  <c r="R437" i="8" s="1"/>
  <c r="P437" i="8" l="1"/>
  <c r="M438" i="8" s="1"/>
  <c r="Q437" i="8" l="1"/>
  <c r="N438" i="8" s="1"/>
  <c r="O438" i="8" s="1"/>
  <c r="R438" i="8" s="1"/>
  <c r="P438" i="8" l="1"/>
  <c r="M439" i="8" s="1"/>
  <c r="Q438" i="8" l="1"/>
  <c r="N439" i="8" s="1"/>
  <c r="O439" i="8" s="1"/>
  <c r="R439" i="8" s="1"/>
  <c r="P439" i="8" l="1"/>
  <c r="M440" i="8" s="1"/>
  <c r="Q439" i="8" l="1"/>
  <c r="N440" i="8" s="1"/>
  <c r="O440" i="8" s="1"/>
  <c r="R440" i="8" s="1"/>
  <c r="P440" i="8" l="1"/>
  <c r="M441" i="8" s="1"/>
  <c r="Q440" i="8" l="1"/>
  <c r="N441" i="8" s="1"/>
  <c r="O441" i="8" s="1"/>
  <c r="R441" i="8" s="1"/>
  <c r="P441" i="8" l="1"/>
  <c r="M442" i="8" s="1"/>
  <c r="Q441" i="8" l="1"/>
  <c r="N442" i="8" s="1"/>
  <c r="O442" i="8" s="1"/>
  <c r="R442" i="8" s="1"/>
  <c r="P442" i="8" l="1"/>
  <c r="M443" i="8" s="1"/>
  <c r="Q442" i="8" l="1"/>
  <c r="N443" i="8" s="1"/>
  <c r="O443" i="8" s="1"/>
  <c r="R443" i="8" s="1"/>
  <c r="P443" i="8" l="1"/>
  <c r="M444" i="8" s="1"/>
  <c r="Q443" i="8" l="1"/>
  <c r="N444" i="8" s="1"/>
  <c r="O444" i="8" s="1"/>
  <c r="R444" i="8" s="1"/>
  <c r="P444" i="8" l="1"/>
  <c r="M445" i="8" s="1"/>
  <c r="Q444" i="8" l="1"/>
  <c r="N445" i="8" s="1"/>
  <c r="O445" i="8" s="1"/>
  <c r="R445" i="8" s="1"/>
  <c r="P445" i="8" l="1"/>
  <c r="M446" i="8" s="1"/>
  <c r="Q445" i="8" l="1"/>
  <c r="N446" i="8" s="1"/>
  <c r="O446" i="8" s="1"/>
  <c r="R446" i="8" s="1"/>
  <c r="P446" i="8" l="1"/>
  <c r="M447" i="8" s="1"/>
  <c r="Q446" i="8" l="1"/>
  <c r="N447" i="8" s="1"/>
  <c r="O447" i="8" s="1"/>
  <c r="R447" i="8" s="1"/>
  <c r="P447" i="8" l="1"/>
  <c r="M448" i="8" s="1"/>
  <c r="Q447" i="8" l="1"/>
  <c r="N448" i="8" s="1"/>
  <c r="O448" i="8" s="1"/>
  <c r="R448" i="8" s="1"/>
  <c r="P448" i="8" l="1"/>
  <c r="M449" i="8" s="1"/>
  <c r="Q448" i="8" l="1"/>
  <c r="N449" i="8" s="1"/>
  <c r="O449" i="8" s="1"/>
  <c r="R449" i="8" s="1"/>
  <c r="P449" i="8" l="1"/>
  <c r="M450" i="8" s="1"/>
  <c r="Q449" i="8" l="1"/>
  <c r="N450" i="8" s="1"/>
  <c r="O450" i="8" s="1"/>
  <c r="R450" i="8" s="1"/>
  <c r="P450" i="8" l="1"/>
  <c r="M451" i="8" s="1"/>
  <c r="Q450" i="8" l="1"/>
  <c r="N451" i="8" s="1"/>
  <c r="O451" i="8" s="1"/>
  <c r="R451" i="8" s="1"/>
  <c r="P451" i="8" l="1"/>
  <c r="M452" i="8" s="1"/>
  <c r="Q451" i="8" l="1"/>
  <c r="N452" i="8" s="1"/>
  <c r="O452" i="8" s="1"/>
  <c r="R452" i="8" s="1"/>
  <c r="P452" i="8" l="1"/>
  <c r="M453" i="8" s="1"/>
  <c r="Q452" i="8" l="1"/>
  <c r="N453" i="8" s="1"/>
  <c r="O453" i="8" s="1"/>
  <c r="R453" i="8" s="1"/>
  <c r="P453" i="8" l="1"/>
  <c r="M454" i="8" s="1"/>
  <c r="Q453" i="8" l="1"/>
  <c r="N454" i="8" s="1"/>
  <c r="O454" i="8" s="1"/>
  <c r="R454" i="8" s="1"/>
  <c r="P454" i="8" l="1"/>
  <c r="M455" i="8" s="1"/>
  <c r="Q454" i="8" l="1"/>
  <c r="N455" i="8" s="1"/>
  <c r="O455" i="8" s="1"/>
  <c r="R455" i="8" s="1"/>
  <c r="P455" i="8" l="1"/>
  <c r="M456" i="8" s="1"/>
  <c r="Q455" i="8" l="1"/>
  <c r="N456" i="8" s="1"/>
  <c r="O456" i="8" s="1"/>
  <c r="R456" i="8" s="1"/>
  <c r="P456" i="8" l="1"/>
  <c r="M457" i="8" s="1"/>
  <c r="Q456" i="8" l="1"/>
  <c r="N457" i="8" s="1"/>
  <c r="O457" i="8" s="1"/>
  <c r="R457" i="8" s="1"/>
  <c r="P457" i="8" l="1"/>
  <c r="M458" i="8" s="1"/>
  <c r="Q457" i="8" l="1"/>
  <c r="N458" i="8" s="1"/>
  <c r="O458" i="8" s="1"/>
  <c r="R458" i="8" s="1"/>
  <c r="P458" i="8" l="1"/>
  <c r="M459" i="8" s="1"/>
  <c r="Q458" i="8" l="1"/>
  <c r="N459" i="8" s="1"/>
  <c r="O459" i="8" s="1"/>
  <c r="R459" i="8" s="1"/>
  <c r="P459" i="8" l="1"/>
  <c r="M460" i="8" s="1"/>
  <c r="Q459" i="8" l="1"/>
  <c r="N460" i="8" s="1"/>
  <c r="O460" i="8" s="1"/>
  <c r="R460" i="8" s="1"/>
  <c r="P460" i="8" l="1"/>
  <c r="M461" i="8" s="1"/>
  <c r="Q460" i="8" l="1"/>
  <c r="N461" i="8" s="1"/>
  <c r="O461" i="8" s="1"/>
  <c r="R461" i="8" s="1"/>
  <c r="P461" i="8" l="1"/>
  <c r="M462" i="8" s="1"/>
  <c r="Q461" i="8" l="1"/>
  <c r="N462" i="8" s="1"/>
  <c r="O462" i="8" s="1"/>
  <c r="R462" i="8" s="1"/>
  <c r="P462" i="8" l="1"/>
  <c r="M463" i="8" s="1"/>
  <c r="Q462" i="8" l="1"/>
  <c r="N463" i="8" s="1"/>
  <c r="O463" i="8" s="1"/>
  <c r="R463" i="8" s="1"/>
  <c r="P463" i="8" l="1"/>
  <c r="M464" i="8" s="1"/>
  <c r="Q463" i="8" l="1"/>
  <c r="N464" i="8" s="1"/>
  <c r="O464" i="8" s="1"/>
  <c r="R464" i="8" s="1"/>
  <c r="P464" i="8" l="1"/>
  <c r="M465" i="8" s="1"/>
  <c r="Q464" i="8" l="1"/>
  <c r="N465" i="8" s="1"/>
  <c r="O465" i="8" s="1"/>
  <c r="R465" i="8" s="1"/>
  <c r="P465" i="8" l="1"/>
  <c r="M466" i="8" s="1"/>
  <c r="Q465" i="8" l="1"/>
  <c r="N466" i="8" s="1"/>
  <c r="O466" i="8" s="1"/>
  <c r="R466" i="8" s="1"/>
  <c r="P466" i="8" l="1"/>
  <c r="M467" i="8" s="1"/>
  <c r="Q466" i="8" l="1"/>
  <c r="N467" i="8" s="1"/>
  <c r="O467" i="8" s="1"/>
  <c r="R467" i="8" s="1"/>
  <c r="P467" i="8" l="1"/>
  <c r="M468" i="8" s="1"/>
  <c r="Q467" i="8" l="1"/>
  <c r="N468" i="8" s="1"/>
  <c r="O468" i="8" s="1"/>
  <c r="R468" i="8" s="1"/>
  <c r="P468" i="8" l="1"/>
  <c r="M469" i="8" s="1"/>
  <c r="Q468" i="8" l="1"/>
  <c r="N469" i="8" s="1"/>
  <c r="O469" i="8" s="1"/>
  <c r="R469" i="8" s="1"/>
  <c r="P469" i="8" l="1"/>
  <c r="M470" i="8" s="1"/>
  <c r="Q469" i="8" l="1"/>
  <c r="N470" i="8" s="1"/>
  <c r="O470" i="8" s="1"/>
  <c r="R470" i="8" s="1"/>
  <c r="P470" i="8" l="1"/>
  <c r="M471" i="8" s="1"/>
  <c r="Q470" i="8" l="1"/>
  <c r="N471" i="8" s="1"/>
  <c r="O471" i="8" s="1"/>
  <c r="R471" i="8" s="1"/>
  <c r="P471" i="8" l="1"/>
  <c r="M472" i="8" s="1"/>
  <c r="Q471" i="8" l="1"/>
  <c r="N472" i="8" s="1"/>
  <c r="O472" i="8" s="1"/>
  <c r="R472" i="8" s="1"/>
  <c r="P472" i="8" l="1"/>
  <c r="M473" i="8" s="1"/>
  <c r="Q472" i="8" l="1"/>
  <c r="N473" i="8" s="1"/>
  <c r="O473" i="8" s="1"/>
  <c r="R473" i="8" s="1"/>
  <c r="P473" i="8" l="1"/>
  <c r="M474" i="8" s="1"/>
  <c r="Q473" i="8" l="1"/>
  <c r="N474" i="8" s="1"/>
  <c r="O474" i="8" s="1"/>
  <c r="R474" i="8" s="1"/>
  <c r="P474" i="8" l="1"/>
  <c r="M475" i="8" s="1"/>
  <c r="Q474" i="8" l="1"/>
  <c r="N475" i="8" s="1"/>
  <c r="O475" i="8" s="1"/>
  <c r="R475" i="8" s="1"/>
  <c r="P475" i="8" l="1"/>
  <c r="M476" i="8" s="1"/>
  <c r="Q475" i="8" l="1"/>
  <c r="N476" i="8" s="1"/>
  <c r="O476" i="8" s="1"/>
  <c r="R476" i="8" s="1"/>
  <c r="P476" i="8" l="1"/>
  <c r="M477" i="8" s="1"/>
  <c r="Q476" i="8" l="1"/>
  <c r="N477" i="8" s="1"/>
  <c r="O477" i="8" s="1"/>
  <c r="R477" i="8" s="1"/>
  <c r="P477" i="8" l="1"/>
  <c r="M478" i="8" s="1"/>
  <c r="Q477" i="8" l="1"/>
  <c r="N478" i="8" s="1"/>
  <c r="O478" i="8" s="1"/>
  <c r="R478" i="8" s="1"/>
  <c r="P478" i="8" l="1"/>
  <c r="M479" i="8" s="1"/>
  <c r="Q478" i="8" l="1"/>
  <c r="N479" i="8" s="1"/>
  <c r="O479" i="8" s="1"/>
  <c r="R479" i="8" s="1"/>
  <c r="P479" i="8" l="1"/>
  <c r="M480" i="8" s="1"/>
  <c r="Q479" i="8" l="1"/>
  <c r="N480" i="8" s="1"/>
  <c r="O480" i="8" s="1"/>
  <c r="R480" i="8" s="1"/>
  <c r="P480" i="8" l="1"/>
  <c r="M481" i="8" s="1"/>
  <c r="Q480" i="8" l="1"/>
  <c r="N481" i="8" s="1"/>
  <c r="O481" i="8" s="1"/>
  <c r="R481" i="8" s="1"/>
  <c r="P481" i="8" l="1"/>
  <c r="M482" i="8" s="1"/>
  <c r="Q481" i="8" l="1"/>
  <c r="N482" i="8" s="1"/>
  <c r="O482" i="8" s="1"/>
  <c r="R482" i="8" s="1"/>
  <c r="P482" i="8" l="1"/>
  <c r="M483" i="8" s="1"/>
  <c r="Q482" i="8" l="1"/>
  <c r="N483" i="8" s="1"/>
  <c r="O483" i="8" s="1"/>
  <c r="R483" i="8" s="1"/>
  <c r="P483" i="8" l="1"/>
  <c r="M484" i="8" s="1"/>
  <c r="Q483" i="8" l="1"/>
  <c r="N484" i="8" s="1"/>
  <c r="O484" i="8" s="1"/>
  <c r="R484" i="8" s="1"/>
  <c r="P484" i="8" l="1"/>
  <c r="M485" i="8" s="1"/>
  <c r="Q484" i="8" l="1"/>
  <c r="N485" i="8" s="1"/>
  <c r="O485" i="8" s="1"/>
  <c r="R485" i="8" s="1"/>
  <c r="P485" i="8" l="1"/>
  <c r="M486" i="8" s="1"/>
  <c r="Q485" i="8" l="1"/>
  <c r="N486" i="8" s="1"/>
  <c r="O486" i="8" s="1"/>
  <c r="R486" i="8" s="1"/>
  <c r="P486" i="8" l="1"/>
  <c r="M487" i="8" s="1"/>
  <c r="Q486" i="8" l="1"/>
  <c r="N487" i="8" s="1"/>
  <c r="O487" i="8" s="1"/>
  <c r="R487" i="8" s="1"/>
  <c r="P487" i="8" l="1"/>
  <c r="M488" i="8" s="1"/>
  <c r="Q487" i="8" l="1"/>
  <c r="N488" i="8" s="1"/>
  <c r="O488" i="8" s="1"/>
  <c r="R488" i="8" s="1"/>
  <c r="P488" i="8" l="1"/>
  <c r="M489" i="8" s="1"/>
  <c r="Q488" i="8" l="1"/>
  <c r="N489" i="8" s="1"/>
  <c r="O489" i="8" s="1"/>
  <c r="R489" i="8" s="1"/>
  <c r="P489" i="8" l="1"/>
  <c r="M490" i="8" s="1"/>
  <c r="Q489" i="8" l="1"/>
  <c r="N490" i="8" s="1"/>
  <c r="O490" i="8" s="1"/>
  <c r="R490" i="8" s="1"/>
  <c r="P490" i="8" l="1"/>
  <c r="M491" i="8" s="1"/>
  <c r="Q490" i="8" l="1"/>
  <c r="N491" i="8" s="1"/>
  <c r="O491" i="8"/>
  <c r="R491" i="8" s="1"/>
  <c r="P491" i="8" l="1"/>
  <c r="M492" i="8" s="1"/>
  <c r="Q491" i="8" l="1"/>
  <c r="N492" i="8" s="1"/>
  <c r="O492" i="8" s="1"/>
  <c r="R492" i="8" s="1"/>
  <c r="P492" i="8" l="1"/>
  <c r="M493" i="8" s="1"/>
  <c r="Q492" i="8" l="1"/>
  <c r="N493" i="8" s="1"/>
  <c r="O493" i="8" s="1"/>
  <c r="R493" i="8" s="1"/>
  <c r="P493" i="8" l="1"/>
  <c r="M494" i="8" s="1"/>
  <c r="Q493" i="8" l="1"/>
  <c r="N494" i="8" s="1"/>
  <c r="O494" i="8" s="1"/>
  <c r="R494" i="8" s="1"/>
  <c r="P494" i="8" l="1"/>
  <c r="M495" i="8" s="1"/>
  <c r="Q494" i="8" l="1"/>
  <c r="N495" i="8" s="1"/>
  <c r="O495" i="8" s="1"/>
  <c r="R495" i="8" s="1"/>
  <c r="P495" i="8" l="1"/>
  <c r="M496" i="8" s="1"/>
  <c r="Q495" i="8" l="1"/>
  <c r="N496" i="8" s="1"/>
  <c r="O496" i="8" s="1"/>
  <c r="R496" i="8" s="1"/>
  <c r="P496" i="8" l="1"/>
  <c r="M497" i="8" s="1"/>
  <c r="Q496" i="8" l="1"/>
  <c r="N497" i="8" s="1"/>
  <c r="O497" i="8" s="1"/>
  <c r="R497" i="8" s="1"/>
  <c r="P497" i="8" l="1"/>
  <c r="M498" i="8" s="1"/>
  <c r="Q497" i="8" l="1"/>
  <c r="N498" i="8" s="1"/>
  <c r="O498" i="8" s="1"/>
  <c r="R498" i="8" s="1"/>
  <c r="P498" i="8" l="1"/>
  <c r="M499" i="8" s="1"/>
  <c r="Q498" i="8" l="1"/>
  <c r="N499" i="8" s="1"/>
  <c r="O499" i="8" s="1"/>
  <c r="R499" i="8" s="1"/>
  <c r="P499" i="8" l="1"/>
  <c r="M500" i="8" s="1"/>
  <c r="Q499" i="8" l="1"/>
  <c r="N500" i="8" s="1"/>
  <c r="O500" i="8" s="1"/>
  <c r="R500" i="8" s="1"/>
  <c r="P500" i="8" l="1"/>
  <c r="M501" i="8" s="1"/>
  <c r="Q500" i="8" l="1"/>
  <c r="N501" i="8" s="1"/>
  <c r="O501" i="8" s="1"/>
  <c r="R501" i="8" s="1"/>
  <c r="P501" i="8" l="1"/>
  <c r="M502" i="8" s="1"/>
  <c r="Q501" i="8" l="1"/>
  <c r="N502" i="8" s="1"/>
  <c r="O502" i="8" s="1"/>
  <c r="R502" i="8" s="1"/>
  <c r="P502" i="8" l="1"/>
  <c r="M503" i="8" s="1"/>
  <c r="Q502" i="8" l="1"/>
  <c r="N503" i="8" s="1"/>
  <c r="O503" i="8" s="1"/>
  <c r="R503" i="8" s="1"/>
  <c r="P503" i="8" l="1"/>
  <c r="M504" i="8" s="1"/>
  <c r="Q503" i="8" l="1"/>
  <c r="N504" i="8" s="1"/>
  <c r="O504" i="8" s="1"/>
  <c r="R504" i="8" s="1"/>
  <c r="P504" i="8" l="1"/>
  <c r="M505" i="8" s="1"/>
  <c r="Q504" i="8" l="1"/>
  <c r="N505" i="8" s="1"/>
  <c r="O505" i="8" s="1"/>
  <c r="R505" i="8" s="1"/>
  <c r="P505" i="8" l="1"/>
  <c r="M506" i="8" s="1"/>
  <c r="Q505" i="8" l="1"/>
  <c r="N506" i="8" s="1"/>
  <c r="O506" i="8" s="1"/>
  <c r="R506" i="8" s="1"/>
  <c r="P506" i="8" l="1"/>
  <c r="M507" i="8" s="1"/>
  <c r="Q506" i="8" l="1"/>
  <c r="N507" i="8" s="1"/>
  <c r="O507" i="8"/>
  <c r="R507" i="8" s="1"/>
  <c r="P507" i="8" l="1"/>
  <c r="M508" i="8" s="1"/>
  <c r="Q507" i="8" l="1"/>
  <c r="N508" i="8" s="1"/>
  <c r="O508" i="8" s="1"/>
  <c r="R508" i="8" s="1"/>
  <c r="P508" i="8" l="1"/>
  <c r="M509" i="8" s="1"/>
  <c r="Q508" i="8" l="1"/>
  <c r="N509" i="8" s="1"/>
  <c r="O509" i="8" s="1"/>
  <c r="R509" i="8" s="1"/>
  <c r="P509" i="8" l="1"/>
  <c r="M510" i="8" s="1"/>
  <c r="Q509" i="8" l="1"/>
  <c r="N510" i="8" s="1"/>
  <c r="O510" i="8" s="1"/>
  <c r="R510" i="8" s="1"/>
  <c r="P510" i="8" l="1"/>
  <c r="M511" i="8" s="1"/>
  <c r="Q510" i="8" l="1"/>
  <c r="N511" i="8" s="1"/>
  <c r="O511" i="8" s="1"/>
  <c r="R511" i="8" s="1"/>
  <c r="P511" i="8" l="1"/>
  <c r="M512" i="8" s="1"/>
  <c r="Q511" i="8" l="1"/>
  <c r="N512" i="8" s="1"/>
  <c r="O512" i="8"/>
  <c r="R512" i="8" s="1"/>
  <c r="P512" i="8" l="1"/>
  <c r="M513" i="8" s="1"/>
  <c r="Q512" i="8" l="1"/>
  <c r="N513" i="8" s="1"/>
  <c r="O513" i="8" s="1"/>
  <c r="R513" i="8" s="1"/>
  <c r="P513" i="8" l="1"/>
  <c r="M514" i="8" s="1"/>
  <c r="Q513" i="8" l="1"/>
  <c r="N514" i="8" s="1"/>
  <c r="O514" i="8" s="1"/>
  <c r="R514" i="8" s="1"/>
  <c r="P514" i="8" l="1"/>
  <c r="M515" i="8" s="1"/>
  <c r="Q514" i="8" l="1"/>
  <c r="N515" i="8" s="1"/>
  <c r="O515" i="8" s="1"/>
  <c r="R515" i="8" s="1"/>
  <c r="P515" i="8" l="1"/>
  <c r="M516" i="8" s="1"/>
  <c r="Q515" i="8" l="1"/>
  <c r="N516" i="8" s="1"/>
  <c r="O516" i="8" s="1"/>
  <c r="R516" i="8" s="1"/>
  <c r="P516" i="8" l="1"/>
  <c r="M517" i="8" s="1"/>
  <c r="Q516" i="8" l="1"/>
  <c r="N517" i="8" s="1"/>
  <c r="O517" i="8" s="1"/>
  <c r="R517" i="8" s="1"/>
  <c r="P517" i="8" l="1"/>
  <c r="M518" i="8" s="1"/>
  <c r="Q517" i="8" l="1"/>
  <c r="N518" i="8" s="1"/>
  <c r="O518" i="8" s="1"/>
  <c r="R518" i="8" s="1"/>
  <c r="P518" i="8" l="1"/>
  <c r="M519" i="8" s="1"/>
  <c r="Q518" i="8" l="1"/>
  <c r="N519" i="8" s="1"/>
  <c r="O519" i="8" s="1"/>
  <c r="R519" i="8" s="1"/>
  <c r="P519" i="8" l="1"/>
  <c r="M520" i="8" s="1"/>
  <c r="Q519" i="8" l="1"/>
  <c r="N520" i="8" s="1"/>
  <c r="O520" i="8" s="1"/>
  <c r="R520" i="8" s="1"/>
  <c r="P520" i="8" l="1"/>
  <c r="M521" i="8" s="1"/>
  <c r="Q520" i="8" l="1"/>
  <c r="N521" i="8" s="1"/>
  <c r="O521" i="8" s="1"/>
  <c r="R521" i="8" s="1"/>
  <c r="P521" i="8" s="1"/>
  <c r="M522" i="8" l="1"/>
  <c r="Q521" i="8"/>
  <c r="N522" i="8" s="1"/>
  <c r="O522" i="8" l="1"/>
  <c r="R522" i="8" s="1"/>
  <c r="P522" i="8" s="1"/>
  <c r="M523" i="8" s="1"/>
  <c r="Q522" i="8" l="1"/>
  <c r="N523" i="8" s="1"/>
  <c r="O523" i="8" s="1"/>
  <c r="R523" i="8" s="1"/>
  <c r="P523" i="8" l="1"/>
  <c r="M524" i="8" s="1"/>
  <c r="Q523" i="8" l="1"/>
  <c r="N524" i="8" s="1"/>
  <c r="O524" i="8" s="1"/>
  <c r="R524" i="8" s="1"/>
  <c r="P524" i="8" l="1"/>
  <c r="M525" i="8" s="1"/>
  <c r="Q524" i="8" l="1"/>
  <c r="N525" i="8" s="1"/>
  <c r="O525" i="8" s="1"/>
  <c r="R525" i="8" s="1"/>
  <c r="P525" i="8" l="1"/>
  <c r="M526" i="8" s="1"/>
  <c r="Q525" i="8" l="1"/>
  <c r="N526" i="8" s="1"/>
  <c r="O526" i="8" s="1"/>
  <c r="R526" i="8" s="1"/>
  <c r="P526" i="8" l="1"/>
  <c r="M527" i="8" s="1"/>
  <c r="Q526" i="8" l="1"/>
  <c r="N527" i="8" s="1"/>
  <c r="O527" i="8" s="1"/>
  <c r="R527" i="8" s="1"/>
  <c r="P527" i="8" l="1"/>
  <c r="M528" i="8" s="1"/>
  <c r="Q527" i="8" l="1"/>
  <c r="N528" i="8" s="1"/>
  <c r="O528" i="8" s="1"/>
  <c r="R528" i="8" s="1"/>
  <c r="P528" i="8" l="1"/>
  <c r="M529" i="8" s="1"/>
  <c r="Q528" i="8" l="1"/>
  <c r="N529" i="8" s="1"/>
  <c r="O529" i="8" s="1"/>
  <c r="R529" i="8" s="1"/>
  <c r="P529" i="8" l="1"/>
  <c r="M530" i="8" s="1"/>
  <c r="Q529" i="8" l="1"/>
  <c r="N530" i="8" s="1"/>
  <c r="O530" i="8" s="1"/>
  <c r="R530" i="8" s="1"/>
  <c r="P530" i="8" l="1"/>
  <c r="M531" i="8" s="1"/>
  <c r="Q530" i="8" l="1"/>
  <c r="N531" i="8" s="1"/>
  <c r="O531" i="8" s="1"/>
  <c r="R531" i="8" s="1"/>
  <c r="P531" i="8" l="1"/>
  <c r="M532" i="8" s="1"/>
  <c r="Q531" i="8" l="1"/>
  <c r="N532" i="8" s="1"/>
  <c r="O532" i="8" s="1"/>
  <c r="R532" i="8" s="1"/>
  <c r="P532" i="8" l="1"/>
  <c r="M533" i="8" s="1"/>
  <c r="Q532" i="8" l="1"/>
  <c r="N533" i="8" s="1"/>
  <c r="O533" i="8" s="1"/>
  <c r="R533" i="8" s="1"/>
  <c r="P533" i="8" l="1"/>
  <c r="M534" i="8" s="1"/>
  <c r="Q533" i="8" l="1"/>
  <c r="N534" i="8" s="1"/>
  <c r="O534" i="8" s="1"/>
  <c r="R534" i="8" s="1"/>
  <c r="P534" i="8" l="1"/>
  <c r="M535" i="8" s="1"/>
  <c r="Q534" i="8" l="1"/>
  <c r="N535" i="8" s="1"/>
  <c r="O535" i="8" s="1"/>
  <c r="R535" i="8" s="1"/>
  <c r="P535" i="8" l="1"/>
  <c r="M536" i="8" s="1"/>
  <c r="Q535" i="8" l="1"/>
  <c r="N536" i="8" s="1"/>
  <c r="O536" i="8" s="1"/>
  <c r="R536" i="8" s="1"/>
  <c r="P536" i="8" l="1"/>
  <c r="M537" i="8" s="1"/>
  <c r="Q536" i="8" l="1"/>
  <c r="N537" i="8" s="1"/>
  <c r="O537" i="8" s="1"/>
  <c r="R537" i="8" s="1"/>
  <c r="P537" i="8" l="1"/>
  <c r="M538" i="8" s="1"/>
  <c r="Q537" i="8" l="1"/>
  <c r="N538" i="8" s="1"/>
  <c r="O538" i="8" s="1"/>
  <c r="R538" i="8" s="1"/>
  <c r="P538" i="8" l="1"/>
  <c r="M539" i="8" s="1"/>
  <c r="Q538" i="8" l="1"/>
  <c r="N539" i="8" s="1"/>
  <c r="O539" i="8" s="1"/>
  <c r="R539" i="8" s="1"/>
  <c r="P539" i="8" l="1"/>
  <c r="M540" i="8" s="1"/>
  <c r="Q539" i="8" l="1"/>
  <c r="N540" i="8" s="1"/>
  <c r="O540" i="8" s="1"/>
  <c r="R540" i="8" s="1"/>
  <c r="P540" i="8" l="1"/>
  <c r="M541" i="8" s="1"/>
  <c r="Q540" i="8" l="1"/>
  <c r="N541" i="8" s="1"/>
  <c r="O541" i="8"/>
  <c r="R541" i="8" s="1"/>
  <c r="P541" i="8" l="1"/>
  <c r="M542" i="8" s="1"/>
  <c r="Q541" i="8" l="1"/>
  <c r="N542" i="8" s="1"/>
  <c r="O542" i="8" s="1"/>
  <c r="R542" i="8" s="1"/>
  <c r="P542" i="8" l="1"/>
  <c r="M543" i="8" s="1"/>
  <c r="Q542" i="8" l="1"/>
  <c r="N543" i="8" s="1"/>
  <c r="O543" i="8" s="1"/>
  <c r="R543" i="8" s="1"/>
  <c r="P543" i="8" l="1"/>
  <c r="M544" i="8" s="1"/>
  <c r="Q543" i="8" l="1"/>
  <c r="N544" i="8" s="1"/>
  <c r="O544" i="8" s="1"/>
  <c r="R544" i="8" s="1"/>
  <c r="P544" i="8" l="1"/>
  <c r="M545" i="8" s="1"/>
  <c r="Q544" i="8" l="1"/>
  <c r="N545" i="8" s="1"/>
  <c r="O545" i="8" s="1"/>
  <c r="R545" i="8" s="1"/>
  <c r="P545" i="8" l="1"/>
  <c r="M546" i="8" s="1"/>
  <c r="Q545" i="8" l="1"/>
  <c r="N546" i="8" s="1"/>
  <c r="O546" i="8" s="1"/>
  <c r="R546" i="8" s="1"/>
  <c r="P546" i="8" l="1"/>
  <c r="M547" i="8" s="1"/>
  <c r="Q546" i="8" l="1"/>
  <c r="N547" i="8" s="1"/>
  <c r="O547" i="8" s="1"/>
  <c r="R547" i="8" s="1"/>
  <c r="P547" i="8" l="1"/>
  <c r="M548" i="8" s="1"/>
  <c r="Q547" i="8" l="1"/>
  <c r="N548" i="8" s="1"/>
  <c r="O548" i="8" s="1"/>
  <c r="R548" i="8" s="1"/>
  <c r="P548" i="8" l="1"/>
  <c r="M549" i="8" s="1"/>
  <c r="Q548" i="8" l="1"/>
  <c r="N549" i="8" s="1"/>
  <c r="O549" i="8" s="1"/>
  <c r="R549" i="8" s="1"/>
  <c r="P549" i="8" l="1"/>
  <c r="M550" i="8" s="1"/>
  <c r="Q549" i="8" l="1"/>
  <c r="N550" i="8" s="1"/>
  <c r="O550" i="8" s="1"/>
  <c r="R550" i="8" s="1"/>
  <c r="P550" i="8" l="1"/>
  <c r="M551" i="8" s="1"/>
  <c r="Q550" i="8" l="1"/>
  <c r="N551" i="8" s="1"/>
  <c r="O551" i="8" s="1"/>
  <c r="R551" i="8" s="1"/>
  <c r="P551" i="8" l="1"/>
  <c r="M552" i="8" s="1"/>
  <c r="Q551" i="8" l="1"/>
  <c r="N552" i="8" s="1"/>
  <c r="O552" i="8" s="1"/>
  <c r="R552" i="8" s="1"/>
  <c r="P552" i="8" l="1"/>
  <c r="M553" i="8" s="1"/>
  <c r="Q552" i="8" l="1"/>
  <c r="N553" i="8" s="1"/>
  <c r="O553" i="8" s="1"/>
  <c r="R553" i="8" s="1"/>
  <c r="P553" i="8" l="1"/>
  <c r="M554" i="8" s="1"/>
  <c r="Q553" i="8" l="1"/>
  <c r="N554" i="8" s="1"/>
  <c r="O554" i="8" s="1"/>
  <c r="R554" i="8" s="1"/>
  <c r="P554" i="8" l="1"/>
  <c r="M555" i="8" s="1"/>
  <c r="Q554" i="8" l="1"/>
  <c r="N555" i="8" s="1"/>
  <c r="O555" i="8" s="1"/>
  <c r="R555" i="8" s="1"/>
  <c r="P555" i="8" l="1"/>
  <c r="M556" i="8" s="1"/>
  <c r="Q555" i="8" l="1"/>
  <c r="N556" i="8" s="1"/>
  <c r="O556" i="8" s="1"/>
  <c r="R556" i="8" s="1"/>
  <c r="P556" i="8" l="1"/>
  <c r="M557" i="8" s="1"/>
  <c r="Q556" i="8" l="1"/>
  <c r="N557" i="8" s="1"/>
  <c r="O557" i="8" s="1"/>
  <c r="R557" i="8" s="1"/>
  <c r="P557" i="8" l="1"/>
  <c r="M558" i="8" s="1"/>
  <c r="Q557" i="8" l="1"/>
  <c r="N558" i="8" s="1"/>
  <c r="O558" i="8" s="1"/>
  <c r="R558" i="8" s="1"/>
  <c r="P558" i="8" l="1"/>
  <c r="M559" i="8" s="1"/>
  <c r="Q558" i="8" l="1"/>
  <c r="N559" i="8" s="1"/>
  <c r="O559" i="8" s="1"/>
  <c r="R559" i="8" s="1"/>
  <c r="P559" i="8" l="1"/>
  <c r="M560" i="8" s="1"/>
  <c r="Q559" i="8" l="1"/>
  <c r="N560" i="8" s="1"/>
  <c r="O560" i="8" s="1"/>
  <c r="R560" i="8" s="1"/>
  <c r="P560" i="8" l="1"/>
  <c r="M561" i="8" s="1"/>
  <c r="Q560" i="8" l="1"/>
  <c r="N561" i="8" s="1"/>
  <c r="O561" i="8" s="1"/>
  <c r="R561" i="8" s="1"/>
  <c r="P561" i="8" l="1"/>
  <c r="M562" i="8" s="1"/>
  <c r="Q561" i="8" l="1"/>
  <c r="N562" i="8" s="1"/>
  <c r="O562" i="8" s="1"/>
  <c r="R562" i="8" s="1"/>
  <c r="P562" i="8" l="1"/>
  <c r="M563" i="8" s="1"/>
  <c r="Q562" i="8" l="1"/>
  <c r="N563" i="8" s="1"/>
  <c r="O563" i="8" s="1"/>
  <c r="R563" i="8" s="1"/>
  <c r="P563" i="8" l="1"/>
  <c r="M564" i="8" s="1"/>
  <c r="Q563" i="8" l="1"/>
  <c r="N564" i="8" s="1"/>
  <c r="O564" i="8" s="1"/>
  <c r="R564" i="8" s="1"/>
  <c r="P564" i="8" l="1"/>
  <c r="M565" i="8" s="1"/>
  <c r="Q564" i="8" l="1"/>
  <c r="N565" i="8" s="1"/>
  <c r="O565" i="8" s="1"/>
  <c r="R565" i="8" s="1"/>
  <c r="P565" i="8" l="1"/>
  <c r="Q565" i="8" s="1"/>
  <c r="R27" i="7" l="1"/>
  <c r="R23" i="7"/>
  <c r="O23" i="7"/>
  <c r="C565" i="7"/>
  <c r="G565" i="7" s="1"/>
  <c r="B565" i="7"/>
  <c r="C564" i="7"/>
  <c r="G564" i="7" s="1"/>
  <c r="B564" i="7"/>
  <c r="C563" i="7"/>
  <c r="G563" i="7" s="1"/>
  <c r="B563" i="7"/>
  <c r="F562" i="7"/>
  <c r="C562" i="7"/>
  <c r="G562" i="7" s="1"/>
  <c r="B562" i="7"/>
  <c r="C561" i="7"/>
  <c r="B561" i="7"/>
  <c r="G560" i="7"/>
  <c r="I560" i="7" s="1"/>
  <c r="C560" i="7"/>
  <c r="F560" i="7" s="1"/>
  <c r="B560" i="7"/>
  <c r="I559" i="7"/>
  <c r="H559" i="7"/>
  <c r="G559" i="7"/>
  <c r="F559" i="7"/>
  <c r="C559" i="7"/>
  <c r="B559" i="7"/>
  <c r="I558" i="7"/>
  <c r="G558" i="7"/>
  <c r="H558" i="7" s="1"/>
  <c r="F558" i="7"/>
  <c r="C558" i="7"/>
  <c r="B558" i="7"/>
  <c r="G557" i="7"/>
  <c r="F557" i="7"/>
  <c r="C557" i="7"/>
  <c r="B557" i="7"/>
  <c r="C556" i="7"/>
  <c r="G556" i="7" s="1"/>
  <c r="B556" i="7"/>
  <c r="C555" i="7"/>
  <c r="G555" i="7" s="1"/>
  <c r="H555" i="7" s="1"/>
  <c r="B555" i="7"/>
  <c r="F554" i="7"/>
  <c r="C554" i="7"/>
  <c r="G554" i="7" s="1"/>
  <c r="B554" i="7"/>
  <c r="C553" i="7"/>
  <c r="B553" i="7"/>
  <c r="G552" i="7"/>
  <c r="I552" i="7" s="1"/>
  <c r="C552" i="7"/>
  <c r="F552" i="7" s="1"/>
  <c r="B552" i="7"/>
  <c r="I551" i="7"/>
  <c r="H551" i="7"/>
  <c r="G551" i="7"/>
  <c r="F551" i="7"/>
  <c r="C551" i="7"/>
  <c r="B551" i="7"/>
  <c r="I550" i="7"/>
  <c r="G550" i="7"/>
  <c r="H550" i="7" s="1"/>
  <c r="F550" i="7"/>
  <c r="C550" i="7"/>
  <c r="B550" i="7"/>
  <c r="G549" i="7"/>
  <c r="F549" i="7"/>
  <c r="C549" i="7"/>
  <c r="B549" i="7"/>
  <c r="C548" i="7"/>
  <c r="G548" i="7" s="1"/>
  <c r="B548" i="7"/>
  <c r="C547" i="7"/>
  <c r="G547" i="7" s="1"/>
  <c r="H547" i="7" s="1"/>
  <c r="B547" i="7"/>
  <c r="F546" i="7"/>
  <c r="C546" i="7"/>
  <c r="G546" i="7" s="1"/>
  <c r="B546" i="7"/>
  <c r="C545" i="7"/>
  <c r="B545" i="7"/>
  <c r="G544" i="7"/>
  <c r="I544" i="7" s="1"/>
  <c r="C544" i="7"/>
  <c r="F544" i="7" s="1"/>
  <c r="B544" i="7"/>
  <c r="F543" i="7"/>
  <c r="C543" i="7"/>
  <c r="G543" i="7" s="1"/>
  <c r="B543" i="7"/>
  <c r="I542" i="7"/>
  <c r="G542" i="7"/>
  <c r="H542" i="7" s="1"/>
  <c r="F542" i="7"/>
  <c r="C542" i="7"/>
  <c r="B542" i="7"/>
  <c r="G541" i="7"/>
  <c r="F541" i="7"/>
  <c r="C541" i="7"/>
  <c r="B541" i="7"/>
  <c r="C540" i="7"/>
  <c r="G540" i="7" s="1"/>
  <c r="I540" i="7" s="1"/>
  <c r="B540" i="7"/>
  <c r="I539" i="7"/>
  <c r="C539" i="7"/>
  <c r="G539" i="7" s="1"/>
  <c r="H539" i="7" s="1"/>
  <c r="B539" i="7"/>
  <c r="F538" i="7"/>
  <c r="C538" i="7"/>
  <c r="G538" i="7" s="1"/>
  <c r="B538" i="7"/>
  <c r="C537" i="7"/>
  <c r="G537" i="7" s="1"/>
  <c r="B537" i="7"/>
  <c r="G536" i="7"/>
  <c r="C536" i="7"/>
  <c r="F536" i="7" s="1"/>
  <c r="B536" i="7"/>
  <c r="C535" i="7"/>
  <c r="G535" i="7" s="1"/>
  <c r="I535" i="7" s="1"/>
  <c r="B535" i="7"/>
  <c r="F534" i="7"/>
  <c r="C534" i="7"/>
  <c r="G534" i="7" s="1"/>
  <c r="H534" i="7" s="1"/>
  <c r="B534" i="7"/>
  <c r="G533" i="7"/>
  <c r="F533" i="7"/>
  <c r="C533" i="7"/>
  <c r="B533" i="7"/>
  <c r="C532" i="7"/>
  <c r="B532" i="7"/>
  <c r="I531" i="7"/>
  <c r="C531" i="7"/>
  <c r="G531" i="7" s="1"/>
  <c r="H531" i="7" s="1"/>
  <c r="B531" i="7"/>
  <c r="C530" i="7"/>
  <c r="G530" i="7" s="1"/>
  <c r="H530" i="7" s="1"/>
  <c r="B530" i="7"/>
  <c r="F529" i="7"/>
  <c r="C529" i="7"/>
  <c r="G529" i="7" s="1"/>
  <c r="B529" i="7"/>
  <c r="G528" i="7"/>
  <c r="C528" i="7"/>
  <c r="F528" i="7" s="1"/>
  <c r="B528" i="7"/>
  <c r="C527" i="7"/>
  <c r="G527" i="7" s="1"/>
  <c r="I527" i="7" s="1"/>
  <c r="B527" i="7"/>
  <c r="F526" i="7"/>
  <c r="C526" i="7"/>
  <c r="G526" i="7" s="1"/>
  <c r="H526" i="7" s="1"/>
  <c r="B526" i="7"/>
  <c r="G525" i="7"/>
  <c r="F525" i="7"/>
  <c r="C525" i="7"/>
  <c r="B525" i="7"/>
  <c r="C524" i="7"/>
  <c r="B524" i="7"/>
  <c r="C523" i="7"/>
  <c r="G523" i="7" s="1"/>
  <c r="B523" i="7"/>
  <c r="G522" i="7"/>
  <c r="C522" i="7"/>
  <c r="F522" i="7" s="1"/>
  <c r="B522" i="7"/>
  <c r="F521" i="7"/>
  <c r="C521" i="7"/>
  <c r="G521" i="7" s="1"/>
  <c r="I521" i="7" s="1"/>
  <c r="B521" i="7"/>
  <c r="C520" i="7"/>
  <c r="B520" i="7"/>
  <c r="C519" i="7"/>
  <c r="B519" i="7"/>
  <c r="C518" i="7"/>
  <c r="G518" i="7" s="1"/>
  <c r="B518" i="7"/>
  <c r="F517" i="7"/>
  <c r="C517" i="7"/>
  <c r="G517" i="7" s="1"/>
  <c r="B517" i="7"/>
  <c r="G516" i="7"/>
  <c r="F516" i="7"/>
  <c r="C516" i="7"/>
  <c r="B516" i="7"/>
  <c r="G515" i="7"/>
  <c r="I515" i="7" s="1"/>
  <c r="F515" i="7"/>
  <c r="C515" i="7"/>
  <c r="B515" i="7"/>
  <c r="I514" i="7"/>
  <c r="H514" i="7"/>
  <c r="G514" i="7"/>
  <c r="C514" i="7"/>
  <c r="F514" i="7" s="1"/>
  <c r="B514" i="7"/>
  <c r="F513" i="7"/>
  <c r="C513" i="7"/>
  <c r="G513" i="7" s="1"/>
  <c r="B513" i="7"/>
  <c r="C512" i="7"/>
  <c r="B512" i="7"/>
  <c r="C511" i="7"/>
  <c r="B511" i="7"/>
  <c r="C510" i="7"/>
  <c r="G510" i="7" s="1"/>
  <c r="B510" i="7"/>
  <c r="F509" i="7"/>
  <c r="C509" i="7"/>
  <c r="G509" i="7" s="1"/>
  <c r="B509" i="7"/>
  <c r="G508" i="7"/>
  <c r="F508" i="7"/>
  <c r="C508" i="7"/>
  <c r="B508" i="7"/>
  <c r="H507" i="7"/>
  <c r="G507" i="7"/>
  <c r="I507" i="7" s="1"/>
  <c r="F507" i="7"/>
  <c r="C507" i="7"/>
  <c r="B507" i="7"/>
  <c r="I506" i="7"/>
  <c r="H506" i="7"/>
  <c r="G506" i="7"/>
  <c r="C506" i="7"/>
  <c r="F506" i="7" s="1"/>
  <c r="B506" i="7"/>
  <c r="I505" i="7"/>
  <c r="F505" i="7"/>
  <c r="C505" i="7"/>
  <c r="G505" i="7" s="1"/>
  <c r="H505" i="7" s="1"/>
  <c r="B505" i="7"/>
  <c r="C504" i="7"/>
  <c r="B504" i="7"/>
  <c r="C503" i="7"/>
  <c r="B503" i="7"/>
  <c r="C502" i="7"/>
  <c r="B502" i="7"/>
  <c r="F501" i="7"/>
  <c r="C501" i="7"/>
  <c r="G501" i="7" s="1"/>
  <c r="B501" i="7"/>
  <c r="G500" i="7"/>
  <c r="F500" i="7"/>
  <c r="C500" i="7"/>
  <c r="B500" i="7"/>
  <c r="G499" i="7"/>
  <c r="I499" i="7" s="1"/>
  <c r="F499" i="7"/>
  <c r="C499" i="7"/>
  <c r="B499" i="7"/>
  <c r="H498" i="7"/>
  <c r="G498" i="7"/>
  <c r="I498" i="7" s="1"/>
  <c r="C498" i="7"/>
  <c r="F498" i="7" s="1"/>
  <c r="B498" i="7"/>
  <c r="I497" i="7"/>
  <c r="H497" i="7"/>
  <c r="F497" i="7"/>
  <c r="C497" i="7"/>
  <c r="G497" i="7" s="1"/>
  <c r="B497" i="7"/>
  <c r="C496" i="7"/>
  <c r="G496" i="7" s="1"/>
  <c r="B496" i="7"/>
  <c r="G495" i="7"/>
  <c r="C495" i="7"/>
  <c r="F495" i="7" s="1"/>
  <c r="B495" i="7"/>
  <c r="C494" i="7"/>
  <c r="B494" i="7"/>
  <c r="F493" i="7"/>
  <c r="C493" i="7"/>
  <c r="G493" i="7" s="1"/>
  <c r="B493" i="7"/>
  <c r="G492" i="7"/>
  <c r="F492" i="7"/>
  <c r="C492" i="7"/>
  <c r="B492" i="7"/>
  <c r="C491" i="7"/>
  <c r="G491" i="7" s="1"/>
  <c r="B491" i="7"/>
  <c r="G490" i="7"/>
  <c r="C490" i="7"/>
  <c r="F490" i="7" s="1"/>
  <c r="B490" i="7"/>
  <c r="F489" i="7"/>
  <c r="C489" i="7"/>
  <c r="G489" i="7" s="1"/>
  <c r="I489" i="7" s="1"/>
  <c r="B489" i="7"/>
  <c r="I488" i="7"/>
  <c r="G488" i="7"/>
  <c r="H488" i="7" s="1"/>
  <c r="C488" i="7"/>
  <c r="F488" i="7" s="1"/>
  <c r="B488" i="7"/>
  <c r="C487" i="7"/>
  <c r="G487" i="7" s="1"/>
  <c r="H487" i="7" s="1"/>
  <c r="B487" i="7"/>
  <c r="C486" i="7"/>
  <c r="B486" i="7"/>
  <c r="C485" i="7"/>
  <c r="B485" i="7"/>
  <c r="C484" i="7"/>
  <c r="G484" i="7" s="1"/>
  <c r="B484" i="7"/>
  <c r="G483" i="7"/>
  <c r="I483" i="7" s="1"/>
  <c r="F483" i="7"/>
  <c r="C483" i="7"/>
  <c r="B483" i="7"/>
  <c r="G482" i="7"/>
  <c r="F482" i="7"/>
  <c r="C482" i="7"/>
  <c r="B482" i="7"/>
  <c r="G481" i="7"/>
  <c r="I481" i="7" s="1"/>
  <c r="F481" i="7"/>
  <c r="C481" i="7"/>
  <c r="B481" i="7"/>
  <c r="I480" i="7"/>
  <c r="H480" i="7"/>
  <c r="G480" i="7"/>
  <c r="C480" i="7"/>
  <c r="F480" i="7" s="1"/>
  <c r="B480" i="7"/>
  <c r="C479" i="7"/>
  <c r="G479" i="7" s="1"/>
  <c r="H479" i="7" s="1"/>
  <c r="B479" i="7"/>
  <c r="C478" i="7"/>
  <c r="B478" i="7"/>
  <c r="C477" i="7"/>
  <c r="B477" i="7"/>
  <c r="C476" i="7"/>
  <c r="G476" i="7" s="1"/>
  <c r="B476" i="7"/>
  <c r="G475" i="7"/>
  <c r="I475" i="7" s="1"/>
  <c r="F475" i="7"/>
  <c r="C475" i="7"/>
  <c r="B475" i="7"/>
  <c r="G474" i="7"/>
  <c r="F474" i="7"/>
  <c r="C474" i="7"/>
  <c r="B474" i="7"/>
  <c r="H473" i="7"/>
  <c r="G473" i="7"/>
  <c r="I473" i="7" s="1"/>
  <c r="F473" i="7"/>
  <c r="C473" i="7"/>
  <c r="B473" i="7"/>
  <c r="I472" i="7"/>
  <c r="H472" i="7"/>
  <c r="G472" i="7"/>
  <c r="C472" i="7"/>
  <c r="F472" i="7" s="1"/>
  <c r="B472" i="7"/>
  <c r="I471" i="7"/>
  <c r="C471" i="7"/>
  <c r="G471" i="7" s="1"/>
  <c r="H471" i="7" s="1"/>
  <c r="B471" i="7"/>
  <c r="C470" i="7"/>
  <c r="B470" i="7"/>
  <c r="C469" i="7"/>
  <c r="B469" i="7"/>
  <c r="C468" i="7"/>
  <c r="B468" i="7"/>
  <c r="G467" i="7"/>
  <c r="I467" i="7" s="1"/>
  <c r="F467" i="7"/>
  <c r="C467" i="7"/>
  <c r="B467" i="7"/>
  <c r="G466" i="7"/>
  <c r="F466" i="7"/>
  <c r="C466" i="7"/>
  <c r="B466" i="7"/>
  <c r="G465" i="7"/>
  <c r="F465" i="7"/>
  <c r="C465" i="7"/>
  <c r="B465" i="7"/>
  <c r="G464" i="7"/>
  <c r="I464" i="7" s="1"/>
  <c r="C464" i="7"/>
  <c r="F464" i="7" s="1"/>
  <c r="B464" i="7"/>
  <c r="C463" i="7"/>
  <c r="B463" i="7"/>
  <c r="C462" i="7"/>
  <c r="B462" i="7"/>
  <c r="F461" i="7"/>
  <c r="C461" i="7"/>
  <c r="G461" i="7" s="1"/>
  <c r="B461" i="7"/>
  <c r="C460" i="7"/>
  <c r="G460" i="7" s="1"/>
  <c r="B460" i="7"/>
  <c r="F459" i="7"/>
  <c r="C459" i="7"/>
  <c r="G459" i="7" s="1"/>
  <c r="B459" i="7"/>
  <c r="G458" i="7"/>
  <c r="F458" i="7"/>
  <c r="C458" i="7"/>
  <c r="B458" i="7"/>
  <c r="G457" i="7"/>
  <c r="I457" i="7" s="1"/>
  <c r="F457" i="7"/>
  <c r="C457" i="7"/>
  <c r="B457" i="7"/>
  <c r="I456" i="7"/>
  <c r="H456" i="7"/>
  <c r="G456" i="7"/>
  <c r="C456" i="7"/>
  <c r="F456" i="7" s="1"/>
  <c r="B456" i="7"/>
  <c r="I455" i="7"/>
  <c r="F455" i="7"/>
  <c r="C455" i="7"/>
  <c r="G455" i="7" s="1"/>
  <c r="H455" i="7" s="1"/>
  <c r="B455" i="7"/>
  <c r="C454" i="7"/>
  <c r="B454" i="7"/>
  <c r="C453" i="7"/>
  <c r="B453" i="7"/>
  <c r="C452" i="7"/>
  <c r="G452" i="7" s="1"/>
  <c r="B452" i="7"/>
  <c r="F451" i="7"/>
  <c r="C451" i="7"/>
  <c r="G451" i="7" s="1"/>
  <c r="B451" i="7"/>
  <c r="G450" i="7"/>
  <c r="F450" i="7"/>
  <c r="C450" i="7"/>
  <c r="B450" i="7"/>
  <c r="H449" i="7"/>
  <c r="G449" i="7"/>
  <c r="I449" i="7" s="1"/>
  <c r="F449" i="7"/>
  <c r="C449" i="7"/>
  <c r="B449" i="7"/>
  <c r="I448" i="7"/>
  <c r="H448" i="7"/>
  <c r="G448" i="7"/>
  <c r="C448" i="7"/>
  <c r="F448" i="7" s="1"/>
  <c r="B448" i="7"/>
  <c r="I447" i="7"/>
  <c r="F447" i="7"/>
  <c r="C447" i="7"/>
  <c r="G447" i="7" s="1"/>
  <c r="H447" i="7" s="1"/>
  <c r="B447" i="7"/>
  <c r="C446" i="7"/>
  <c r="B446" i="7"/>
  <c r="C445" i="7"/>
  <c r="B445" i="7"/>
  <c r="C444" i="7"/>
  <c r="G444" i="7" s="1"/>
  <c r="B444" i="7"/>
  <c r="F443" i="7"/>
  <c r="C443" i="7"/>
  <c r="G443" i="7" s="1"/>
  <c r="B443" i="7"/>
  <c r="G442" i="7"/>
  <c r="F442" i="7"/>
  <c r="C442" i="7"/>
  <c r="B442" i="7"/>
  <c r="H441" i="7"/>
  <c r="G441" i="7"/>
  <c r="I441" i="7" s="1"/>
  <c r="F441" i="7"/>
  <c r="C441" i="7"/>
  <c r="B441" i="7"/>
  <c r="G440" i="7"/>
  <c r="C440" i="7"/>
  <c r="F440" i="7" s="1"/>
  <c r="B440" i="7"/>
  <c r="H439" i="7"/>
  <c r="F439" i="7"/>
  <c r="C439" i="7"/>
  <c r="G439" i="7" s="1"/>
  <c r="I439" i="7" s="1"/>
  <c r="B439" i="7"/>
  <c r="C438" i="7"/>
  <c r="B438" i="7"/>
  <c r="C437" i="7"/>
  <c r="B437" i="7"/>
  <c r="C436" i="7"/>
  <c r="B436" i="7"/>
  <c r="F435" i="7"/>
  <c r="C435" i="7"/>
  <c r="G435" i="7" s="1"/>
  <c r="B435" i="7"/>
  <c r="G434" i="7"/>
  <c r="H434" i="7" s="1"/>
  <c r="F434" i="7"/>
  <c r="C434" i="7"/>
  <c r="B434" i="7"/>
  <c r="G433" i="7"/>
  <c r="I433" i="7" s="1"/>
  <c r="F433" i="7"/>
  <c r="C433" i="7"/>
  <c r="B433" i="7"/>
  <c r="C432" i="7"/>
  <c r="B432" i="7"/>
  <c r="I431" i="7"/>
  <c r="H431" i="7"/>
  <c r="F431" i="7"/>
  <c r="C431" i="7"/>
  <c r="G431" i="7" s="1"/>
  <c r="B431" i="7"/>
  <c r="C430" i="7"/>
  <c r="F430" i="7" s="1"/>
  <c r="B430" i="7"/>
  <c r="G429" i="7"/>
  <c r="F429" i="7"/>
  <c r="C429" i="7"/>
  <c r="B429" i="7"/>
  <c r="C428" i="7"/>
  <c r="B428" i="7"/>
  <c r="F427" i="7"/>
  <c r="C427" i="7"/>
  <c r="G427" i="7" s="1"/>
  <c r="B427" i="7"/>
  <c r="C426" i="7"/>
  <c r="G426" i="7" s="1"/>
  <c r="B426" i="7"/>
  <c r="F425" i="7"/>
  <c r="C425" i="7"/>
  <c r="G425" i="7" s="1"/>
  <c r="B425" i="7"/>
  <c r="G424" i="7"/>
  <c r="F424" i="7"/>
  <c r="C424" i="7"/>
  <c r="B424" i="7"/>
  <c r="H423" i="7"/>
  <c r="G423" i="7"/>
  <c r="I423" i="7" s="1"/>
  <c r="F423" i="7"/>
  <c r="C423" i="7"/>
  <c r="B423" i="7"/>
  <c r="I422" i="7"/>
  <c r="G422" i="7"/>
  <c r="H422" i="7" s="1"/>
  <c r="C422" i="7"/>
  <c r="F422" i="7" s="1"/>
  <c r="B422" i="7"/>
  <c r="C421" i="7"/>
  <c r="G421" i="7" s="1"/>
  <c r="B421" i="7"/>
  <c r="C420" i="7"/>
  <c r="B420" i="7"/>
  <c r="F419" i="7"/>
  <c r="C419" i="7"/>
  <c r="G419" i="7" s="1"/>
  <c r="B419" i="7"/>
  <c r="C418" i="7"/>
  <c r="G418" i="7" s="1"/>
  <c r="B418" i="7"/>
  <c r="F417" i="7"/>
  <c r="C417" i="7"/>
  <c r="G417" i="7" s="1"/>
  <c r="B417" i="7"/>
  <c r="G416" i="7"/>
  <c r="F416" i="7"/>
  <c r="C416" i="7"/>
  <c r="B416" i="7"/>
  <c r="H415" i="7"/>
  <c r="G415" i="7"/>
  <c r="I415" i="7" s="1"/>
  <c r="F415" i="7"/>
  <c r="C415" i="7"/>
  <c r="B415" i="7"/>
  <c r="I414" i="7"/>
  <c r="G414" i="7"/>
  <c r="H414" i="7" s="1"/>
  <c r="C414" i="7"/>
  <c r="F414" i="7" s="1"/>
  <c r="B414" i="7"/>
  <c r="C413" i="7"/>
  <c r="G413" i="7" s="1"/>
  <c r="B413" i="7"/>
  <c r="C412" i="7"/>
  <c r="B412" i="7"/>
  <c r="F411" i="7"/>
  <c r="C411" i="7"/>
  <c r="G411" i="7" s="1"/>
  <c r="B411" i="7"/>
  <c r="C410" i="7"/>
  <c r="G410" i="7" s="1"/>
  <c r="B410" i="7"/>
  <c r="F409" i="7"/>
  <c r="C409" i="7"/>
  <c r="G409" i="7" s="1"/>
  <c r="B409" i="7"/>
  <c r="G408" i="7"/>
  <c r="F408" i="7"/>
  <c r="C408" i="7"/>
  <c r="B408" i="7"/>
  <c r="H407" i="7"/>
  <c r="G407" i="7"/>
  <c r="I407" i="7" s="1"/>
  <c r="F407" i="7"/>
  <c r="C407" i="7"/>
  <c r="B407" i="7"/>
  <c r="I406" i="7"/>
  <c r="G406" i="7"/>
  <c r="H406" i="7" s="1"/>
  <c r="C406" i="7"/>
  <c r="F406" i="7" s="1"/>
  <c r="B406" i="7"/>
  <c r="C405" i="7"/>
  <c r="G405" i="7" s="1"/>
  <c r="B405" i="7"/>
  <c r="C404" i="7"/>
  <c r="B404" i="7"/>
  <c r="F403" i="7"/>
  <c r="C403" i="7"/>
  <c r="G403" i="7" s="1"/>
  <c r="B403" i="7"/>
  <c r="C402" i="7"/>
  <c r="B402" i="7"/>
  <c r="F401" i="7"/>
  <c r="C401" i="7"/>
  <c r="G401" i="7" s="1"/>
  <c r="B401" i="7"/>
  <c r="G400" i="7"/>
  <c r="F400" i="7"/>
  <c r="C400" i="7"/>
  <c r="B400" i="7"/>
  <c r="H399" i="7"/>
  <c r="G399" i="7"/>
  <c r="I399" i="7" s="1"/>
  <c r="F399" i="7"/>
  <c r="C399" i="7"/>
  <c r="B399" i="7"/>
  <c r="C398" i="7"/>
  <c r="G398" i="7" s="1"/>
  <c r="B398" i="7"/>
  <c r="H397" i="7"/>
  <c r="C397" i="7"/>
  <c r="G397" i="7" s="1"/>
  <c r="I397" i="7" s="1"/>
  <c r="B397" i="7"/>
  <c r="C396" i="7"/>
  <c r="B396" i="7"/>
  <c r="F395" i="7"/>
  <c r="C395" i="7"/>
  <c r="G395" i="7" s="1"/>
  <c r="B395" i="7"/>
  <c r="G394" i="7"/>
  <c r="C394" i="7"/>
  <c r="F394" i="7" s="1"/>
  <c r="B394" i="7"/>
  <c r="H393" i="7"/>
  <c r="F393" i="7"/>
  <c r="C393" i="7"/>
  <c r="G393" i="7" s="1"/>
  <c r="I393" i="7" s="1"/>
  <c r="B393" i="7"/>
  <c r="G392" i="7"/>
  <c r="H392" i="7" s="1"/>
  <c r="F392" i="7"/>
  <c r="C392" i="7"/>
  <c r="B392" i="7"/>
  <c r="G391" i="7"/>
  <c r="I391" i="7" s="1"/>
  <c r="F391" i="7"/>
  <c r="C391" i="7"/>
  <c r="B391" i="7"/>
  <c r="C390" i="7"/>
  <c r="F390" i="7" s="1"/>
  <c r="B390" i="7"/>
  <c r="I389" i="7"/>
  <c r="G389" i="7"/>
  <c r="H389" i="7" s="1"/>
  <c r="C389" i="7"/>
  <c r="F389" i="7" s="1"/>
  <c r="B389" i="7"/>
  <c r="H388" i="7"/>
  <c r="C388" i="7"/>
  <c r="G388" i="7" s="1"/>
  <c r="I388" i="7" s="1"/>
  <c r="B388" i="7"/>
  <c r="C387" i="7"/>
  <c r="G387" i="7" s="1"/>
  <c r="B387" i="7"/>
  <c r="C386" i="7"/>
  <c r="B386" i="7"/>
  <c r="F385" i="7"/>
  <c r="C385" i="7"/>
  <c r="G385" i="7" s="1"/>
  <c r="B385" i="7"/>
  <c r="C384" i="7"/>
  <c r="G384" i="7" s="1"/>
  <c r="B384" i="7"/>
  <c r="F383" i="7"/>
  <c r="C383" i="7"/>
  <c r="G383" i="7" s="1"/>
  <c r="B383" i="7"/>
  <c r="G382" i="7"/>
  <c r="F382" i="7"/>
  <c r="C382" i="7"/>
  <c r="B382" i="7"/>
  <c r="H381" i="7"/>
  <c r="G381" i="7"/>
  <c r="I381" i="7" s="1"/>
  <c r="F381" i="7"/>
  <c r="C381" i="7"/>
  <c r="B381" i="7"/>
  <c r="I380" i="7"/>
  <c r="G380" i="7"/>
  <c r="H380" i="7" s="1"/>
  <c r="C380" i="7"/>
  <c r="F380" i="7" s="1"/>
  <c r="B380" i="7"/>
  <c r="C379" i="7"/>
  <c r="G379" i="7" s="1"/>
  <c r="B379" i="7"/>
  <c r="C378" i="7"/>
  <c r="B378" i="7"/>
  <c r="F377" i="7"/>
  <c r="C377" i="7"/>
  <c r="G377" i="7" s="1"/>
  <c r="B377" i="7"/>
  <c r="C376" i="7"/>
  <c r="G376" i="7" s="1"/>
  <c r="B376" i="7"/>
  <c r="F375" i="7"/>
  <c r="C375" i="7"/>
  <c r="G375" i="7" s="1"/>
  <c r="B375" i="7"/>
  <c r="G374" i="7"/>
  <c r="F374" i="7"/>
  <c r="C374" i="7"/>
  <c r="B374" i="7"/>
  <c r="H373" i="7"/>
  <c r="G373" i="7"/>
  <c r="I373" i="7" s="1"/>
  <c r="F373" i="7"/>
  <c r="C373" i="7"/>
  <c r="B373" i="7"/>
  <c r="I372" i="7"/>
  <c r="G372" i="7"/>
  <c r="H372" i="7" s="1"/>
  <c r="C372" i="7"/>
  <c r="F372" i="7" s="1"/>
  <c r="B372" i="7"/>
  <c r="C371" i="7"/>
  <c r="G371" i="7" s="1"/>
  <c r="B371" i="7"/>
  <c r="C370" i="7"/>
  <c r="B370" i="7"/>
  <c r="F369" i="7"/>
  <c r="C369" i="7"/>
  <c r="G369" i="7" s="1"/>
  <c r="B369" i="7"/>
  <c r="C368" i="7"/>
  <c r="G368" i="7" s="1"/>
  <c r="B368" i="7"/>
  <c r="F367" i="7"/>
  <c r="C367" i="7"/>
  <c r="G367" i="7" s="1"/>
  <c r="B367" i="7"/>
  <c r="G366" i="7"/>
  <c r="F366" i="7"/>
  <c r="C366" i="7"/>
  <c r="B366" i="7"/>
  <c r="H365" i="7"/>
  <c r="G365" i="7"/>
  <c r="I365" i="7" s="1"/>
  <c r="F365" i="7"/>
  <c r="C365" i="7"/>
  <c r="B365" i="7"/>
  <c r="G364" i="7"/>
  <c r="H364" i="7" s="1"/>
  <c r="C364" i="7"/>
  <c r="F364" i="7" s="1"/>
  <c r="B364" i="7"/>
  <c r="C363" i="7"/>
  <c r="G363" i="7" s="1"/>
  <c r="I363" i="7" s="1"/>
  <c r="B363" i="7"/>
  <c r="C362" i="7"/>
  <c r="B362" i="7"/>
  <c r="F361" i="7"/>
  <c r="C361" i="7"/>
  <c r="G361" i="7" s="1"/>
  <c r="B361" i="7"/>
  <c r="C360" i="7"/>
  <c r="B360" i="7"/>
  <c r="F359" i="7"/>
  <c r="C359" i="7"/>
  <c r="G359" i="7" s="1"/>
  <c r="B359" i="7"/>
  <c r="G358" i="7"/>
  <c r="F358" i="7"/>
  <c r="C358" i="7"/>
  <c r="B358" i="7"/>
  <c r="H357" i="7"/>
  <c r="G357" i="7"/>
  <c r="I357" i="7" s="1"/>
  <c r="F357" i="7"/>
  <c r="C357" i="7"/>
  <c r="B357" i="7"/>
  <c r="I356" i="7"/>
  <c r="G356" i="7"/>
  <c r="H356" i="7" s="1"/>
  <c r="C356" i="7"/>
  <c r="F356" i="7" s="1"/>
  <c r="B356" i="7"/>
  <c r="H355" i="7"/>
  <c r="C355" i="7"/>
  <c r="G355" i="7" s="1"/>
  <c r="I355" i="7" s="1"/>
  <c r="B355" i="7"/>
  <c r="C354" i="7"/>
  <c r="B354" i="7"/>
  <c r="F353" i="7"/>
  <c r="C353" i="7"/>
  <c r="G353" i="7" s="1"/>
  <c r="B353" i="7"/>
  <c r="C352" i="7"/>
  <c r="B352" i="7"/>
  <c r="F351" i="7"/>
  <c r="C351" i="7"/>
  <c r="G351" i="7" s="1"/>
  <c r="I351" i="7" s="1"/>
  <c r="B351" i="7"/>
  <c r="G350" i="7"/>
  <c r="H350" i="7" s="1"/>
  <c r="F350" i="7"/>
  <c r="C350" i="7"/>
  <c r="B350" i="7"/>
  <c r="H349" i="7"/>
  <c r="G349" i="7"/>
  <c r="I349" i="7" s="1"/>
  <c r="F349" i="7"/>
  <c r="C349" i="7"/>
  <c r="B349" i="7"/>
  <c r="C348" i="7"/>
  <c r="B348" i="7"/>
  <c r="I347" i="7"/>
  <c r="H347" i="7"/>
  <c r="C347" i="7"/>
  <c r="G347" i="7" s="1"/>
  <c r="B347" i="7"/>
  <c r="C346" i="7"/>
  <c r="B346" i="7"/>
  <c r="F345" i="7"/>
  <c r="C345" i="7"/>
  <c r="G345" i="7" s="1"/>
  <c r="B345" i="7"/>
  <c r="C344" i="7"/>
  <c r="F344" i="7" s="1"/>
  <c r="B344" i="7"/>
  <c r="H343" i="7"/>
  <c r="F343" i="7"/>
  <c r="C343" i="7"/>
  <c r="G343" i="7" s="1"/>
  <c r="I343" i="7" s="1"/>
  <c r="B343" i="7"/>
  <c r="I342" i="7"/>
  <c r="G342" i="7"/>
  <c r="H342" i="7" s="1"/>
  <c r="F342" i="7"/>
  <c r="C342" i="7"/>
  <c r="B342" i="7"/>
  <c r="H341" i="7"/>
  <c r="G341" i="7"/>
  <c r="I341" i="7" s="1"/>
  <c r="F341" i="7"/>
  <c r="C341" i="7"/>
  <c r="B341" i="7"/>
  <c r="I340" i="7"/>
  <c r="H340" i="7"/>
  <c r="G340" i="7"/>
  <c r="C340" i="7"/>
  <c r="F340" i="7" s="1"/>
  <c r="B340" i="7"/>
  <c r="H339" i="7"/>
  <c r="G339" i="7"/>
  <c r="I339" i="7" s="1"/>
  <c r="C339" i="7"/>
  <c r="F339" i="7" s="1"/>
  <c r="B339" i="7"/>
  <c r="H338" i="7"/>
  <c r="G338" i="7"/>
  <c r="I338" i="7" s="1"/>
  <c r="C338" i="7"/>
  <c r="F338" i="7" s="1"/>
  <c r="B338" i="7"/>
  <c r="C337" i="7"/>
  <c r="G337" i="7" s="1"/>
  <c r="B337" i="7"/>
  <c r="I336" i="7"/>
  <c r="G336" i="7"/>
  <c r="H336" i="7" s="1"/>
  <c r="F336" i="7"/>
  <c r="C336" i="7"/>
  <c r="B336" i="7"/>
  <c r="G335" i="7"/>
  <c r="C335" i="7"/>
  <c r="F335" i="7" s="1"/>
  <c r="B335" i="7"/>
  <c r="C334" i="7"/>
  <c r="F334" i="7" s="1"/>
  <c r="B334" i="7"/>
  <c r="I333" i="7"/>
  <c r="G333" i="7"/>
  <c r="H333" i="7" s="1"/>
  <c r="C333" i="7"/>
  <c r="F333" i="7" s="1"/>
  <c r="B333" i="7"/>
  <c r="F332" i="7"/>
  <c r="C332" i="7"/>
  <c r="G332" i="7" s="1"/>
  <c r="B332" i="7"/>
  <c r="C331" i="7"/>
  <c r="B331" i="7"/>
  <c r="H330" i="7"/>
  <c r="G330" i="7"/>
  <c r="I330" i="7" s="1"/>
  <c r="C330" i="7"/>
  <c r="F330" i="7" s="1"/>
  <c r="B330" i="7"/>
  <c r="C329" i="7"/>
  <c r="G329" i="7" s="1"/>
  <c r="H329" i="7" s="1"/>
  <c r="B329" i="7"/>
  <c r="F328" i="7"/>
  <c r="C328" i="7"/>
  <c r="G328" i="7" s="1"/>
  <c r="B328" i="7"/>
  <c r="G327" i="7"/>
  <c r="C327" i="7"/>
  <c r="F327" i="7" s="1"/>
  <c r="B327" i="7"/>
  <c r="C326" i="7"/>
  <c r="F326" i="7" s="1"/>
  <c r="B326" i="7"/>
  <c r="I325" i="7"/>
  <c r="G325" i="7"/>
  <c r="H325" i="7" s="1"/>
  <c r="C325" i="7"/>
  <c r="F325" i="7" s="1"/>
  <c r="B325" i="7"/>
  <c r="F324" i="7"/>
  <c r="C324" i="7"/>
  <c r="G324" i="7" s="1"/>
  <c r="B324" i="7"/>
  <c r="G323" i="7"/>
  <c r="C323" i="7"/>
  <c r="B323" i="7"/>
  <c r="H322" i="7"/>
  <c r="G322" i="7"/>
  <c r="I322" i="7" s="1"/>
  <c r="C322" i="7"/>
  <c r="F322" i="7" s="1"/>
  <c r="B322" i="7"/>
  <c r="C321" i="7"/>
  <c r="G321" i="7" s="1"/>
  <c r="H321" i="7" s="1"/>
  <c r="B321" i="7"/>
  <c r="F320" i="7"/>
  <c r="C320" i="7"/>
  <c r="G320" i="7" s="1"/>
  <c r="B320" i="7"/>
  <c r="G319" i="7"/>
  <c r="C319" i="7"/>
  <c r="F319" i="7" s="1"/>
  <c r="B319" i="7"/>
  <c r="C318" i="7"/>
  <c r="F318" i="7" s="1"/>
  <c r="B318" i="7"/>
  <c r="I317" i="7"/>
  <c r="G317" i="7"/>
  <c r="H317" i="7" s="1"/>
  <c r="C317" i="7"/>
  <c r="F317" i="7" s="1"/>
  <c r="B317" i="7"/>
  <c r="F316" i="7"/>
  <c r="C316" i="7"/>
  <c r="G316" i="7" s="1"/>
  <c r="B316" i="7"/>
  <c r="G315" i="7"/>
  <c r="C315" i="7"/>
  <c r="F315" i="7" s="1"/>
  <c r="B315" i="7"/>
  <c r="G314" i="7"/>
  <c r="C314" i="7"/>
  <c r="F314" i="7" s="1"/>
  <c r="B314" i="7"/>
  <c r="H313" i="7"/>
  <c r="C313" i="7"/>
  <c r="G313" i="7" s="1"/>
  <c r="I313" i="7" s="1"/>
  <c r="B313" i="7"/>
  <c r="I312" i="7"/>
  <c r="F312" i="7"/>
  <c r="C312" i="7"/>
  <c r="G312" i="7" s="1"/>
  <c r="H312" i="7" s="1"/>
  <c r="B312" i="7"/>
  <c r="G311" i="7"/>
  <c r="C311" i="7"/>
  <c r="F311" i="7" s="1"/>
  <c r="B311" i="7"/>
  <c r="H310" i="7"/>
  <c r="C310" i="7"/>
  <c r="G310" i="7" s="1"/>
  <c r="I310" i="7" s="1"/>
  <c r="B310" i="7"/>
  <c r="G309" i="7"/>
  <c r="C309" i="7"/>
  <c r="F309" i="7" s="1"/>
  <c r="B309" i="7"/>
  <c r="H308" i="7"/>
  <c r="F308" i="7"/>
  <c r="C308" i="7"/>
  <c r="G308" i="7" s="1"/>
  <c r="I308" i="7" s="1"/>
  <c r="B308" i="7"/>
  <c r="C307" i="7"/>
  <c r="B307" i="7"/>
  <c r="G306" i="7"/>
  <c r="I306" i="7" s="1"/>
  <c r="C306" i="7"/>
  <c r="F306" i="7" s="1"/>
  <c r="B306" i="7"/>
  <c r="C305" i="7"/>
  <c r="B305" i="7"/>
  <c r="I304" i="7"/>
  <c r="F304" i="7"/>
  <c r="C304" i="7"/>
  <c r="G304" i="7" s="1"/>
  <c r="H304" i="7" s="1"/>
  <c r="B304" i="7"/>
  <c r="G303" i="7"/>
  <c r="C303" i="7"/>
  <c r="F303" i="7" s="1"/>
  <c r="B303" i="7"/>
  <c r="C302" i="7"/>
  <c r="G302" i="7" s="1"/>
  <c r="I302" i="7" s="1"/>
  <c r="B302" i="7"/>
  <c r="G301" i="7"/>
  <c r="H301" i="7" s="1"/>
  <c r="C301" i="7"/>
  <c r="F301" i="7" s="1"/>
  <c r="B301" i="7"/>
  <c r="H300" i="7"/>
  <c r="F300" i="7"/>
  <c r="C300" i="7"/>
  <c r="G300" i="7" s="1"/>
  <c r="I300" i="7" s="1"/>
  <c r="B300" i="7"/>
  <c r="G299" i="7"/>
  <c r="C299" i="7"/>
  <c r="F299" i="7" s="1"/>
  <c r="B299" i="7"/>
  <c r="G298" i="7"/>
  <c r="I298" i="7" s="1"/>
  <c r="C298" i="7"/>
  <c r="F298" i="7" s="1"/>
  <c r="B298" i="7"/>
  <c r="C297" i="7"/>
  <c r="B297" i="7"/>
  <c r="I296" i="7"/>
  <c r="F296" i="7"/>
  <c r="C296" i="7"/>
  <c r="G296" i="7" s="1"/>
  <c r="H296" i="7" s="1"/>
  <c r="B296" i="7"/>
  <c r="C295" i="7"/>
  <c r="B295" i="7"/>
  <c r="H294" i="7"/>
  <c r="C294" i="7"/>
  <c r="G294" i="7" s="1"/>
  <c r="I294" i="7" s="1"/>
  <c r="B294" i="7"/>
  <c r="G293" i="7"/>
  <c r="C293" i="7"/>
  <c r="F293" i="7" s="1"/>
  <c r="B293" i="7"/>
  <c r="F292" i="7"/>
  <c r="C292" i="7"/>
  <c r="G292" i="7" s="1"/>
  <c r="I292" i="7" s="1"/>
  <c r="B292" i="7"/>
  <c r="G291" i="7"/>
  <c r="H291" i="7" s="1"/>
  <c r="F291" i="7"/>
  <c r="C291" i="7"/>
  <c r="B291" i="7"/>
  <c r="G290" i="7"/>
  <c r="I290" i="7" s="1"/>
  <c r="F290" i="7"/>
  <c r="C290" i="7"/>
  <c r="B290" i="7"/>
  <c r="G289" i="7"/>
  <c r="I289" i="7" s="1"/>
  <c r="C289" i="7"/>
  <c r="F289" i="7" s="1"/>
  <c r="B289" i="7"/>
  <c r="F288" i="7"/>
  <c r="C288" i="7"/>
  <c r="G288" i="7" s="1"/>
  <c r="B288" i="7"/>
  <c r="G287" i="7"/>
  <c r="F287" i="7"/>
  <c r="C287" i="7"/>
  <c r="B287" i="7"/>
  <c r="C286" i="7"/>
  <c r="F286" i="7" s="1"/>
  <c r="B286" i="7"/>
  <c r="I285" i="7"/>
  <c r="C285" i="7"/>
  <c r="G285" i="7" s="1"/>
  <c r="H285" i="7" s="1"/>
  <c r="B285" i="7"/>
  <c r="I284" i="7"/>
  <c r="H284" i="7"/>
  <c r="G284" i="7"/>
  <c r="F284" i="7"/>
  <c r="C284" i="7"/>
  <c r="B284" i="7"/>
  <c r="C283" i="7"/>
  <c r="B283" i="7"/>
  <c r="G282" i="7"/>
  <c r="I282" i="7" s="1"/>
  <c r="F282" i="7"/>
  <c r="C282" i="7"/>
  <c r="B282" i="7"/>
  <c r="G281" i="7"/>
  <c r="I281" i="7" s="1"/>
  <c r="C281" i="7"/>
  <c r="F281" i="7" s="1"/>
  <c r="B281" i="7"/>
  <c r="F280" i="7"/>
  <c r="C280" i="7"/>
  <c r="G280" i="7" s="1"/>
  <c r="B280" i="7"/>
  <c r="G279" i="7"/>
  <c r="F279" i="7"/>
  <c r="C279" i="7"/>
  <c r="B279" i="7"/>
  <c r="C278" i="7"/>
  <c r="F278" i="7" s="1"/>
  <c r="B278" i="7"/>
  <c r="I277" i="7"/>
  <c r="C277" i="7"/>
  <c r="G277" i="7" s="1"/>
  <c r="H277" i="7" s="1"/>
  <c r="B277" i="7"/>
  <c r="F276" i="7"/>
  <c r="C276" i="7"/>
  <c r="G276" i="7" s="1"/>
  <c r="B276" i="7"/>
  <c r="C275" i="7"/>
  <c r="B275" i="7"/>
  <c r="G274" i="7"/>
  <c r="I274" i="7" s="1"/>
  <c r="F274" i="7"/>
  <c r="C274" i="7"/>
  <c r="B274" i="7"/>
  <c r="G273" i="7"/>
  <c r="I273" i="7" s="1"/>
  <c r="C273" i="7"/>
  <c r="F273" i="7" s="1"/>
  <c r="B273" i="7"/>
  <c r="F272" i="7"/>
  <c r="C272" i="7"/>
  <c r="G272" i="7" s="1"/>
  <c r="B272" i="7"/>
  <c r="G271" i="7"/>
  <c r="F271" i="7"/>
  <c r="C271" i="7"/>
  <c r="B271" i="7"/>
  <c r="C270" i="7"/>
  <c r="F270" i="7" s="1"/>
  <c r="B270" i="7"/>
  <c r="C269" i="7"/>
  <c r="G269" i="7" s="1"/>
  <c r="H269" i="7" s="1"/>
  <c r="B269" i="7"/>
  <c r="F268" i="7"/>
  <c r="C268" i="7"/>
  <c r="G268" i="7" s="1"/>
  <c r="B268" i="7"/>
  <c r="C267" i="7"/>
  <c r="B267" i="7"/>
  <c r="G266" i="7"/>
  <c r="I266" i="7" s="1"/>
  <c r="F266" i="7"/>
  <c r="C266" i="7"/>
  <c r="B266" i="7"/>
  <c r="G265" i="7"/>
  <c r="C265" i="7"/>
  <c r="F265" i="7" s="1"/>
  <c r="B265" i="7"/>
  <c r="F264" i="7"/>
  <c r="C264" i="7"/>
  <c r="G264" i="7" s="1"/>
  <c r="I264" i="7" s="1"/>
  <c r="B264" i="7"/>
  <c r="I263" i="7"/>
  <c r="G263" i="7"/>
  <c r="H263" i="7" s="1"/>
  <c r="F263" i="7"/>
  <c r="C263" i="7"/>
  <c r="B263" i="7"/>
  <c r="C262" i="7"/>
  <c r="F262" i="7" s="1"/>
  <c r="B262" i="7"/>
  <c r="C261" i="7"/>
  <c r="B261" i="7"/>
  <c r="F260" i="7"/>
  <c r="C260" i="7"/>
  <c r="G260" i="7" s="1"/>
  <c r="B260" i="7"/>
  <c r="C259" i="7"/>
  <c r="B259" i="7"/>
  <c r="G258" i="7"/>
  <c r="I258" i="7" s="1"/>
  <c r="F258" i="7"/>
  <c r="C258" i="7"/>
  <c r="B258" i="7"/>
  <c r="G257" i="7"/>
  <c r="C257" i="7"/>
  <c r="F257" i="7" s="1"/>
  <c r="B257" i="7"/>
  <c r="H256" i="7"/>
  <c r="F256" i="7"/>
  <c r="C256" i="7"/>
  <c r="G256" i="7" s="1"/>
  <c r="I256" i="7" s="1"/>
  <c r="B256" i="7"/>
  <c r="I255" i="7"/>
  <c r="G255" i="7"/>
  <c r="H255" i="7" s="1"/>
  <c r="F255" i="7"/>
  <c r="C255" i="7"/>
  <c r="B255" i="7"/>
  <c r="C254" i="7"/>
  <c r="F254" i="7" s="1"/>
  <c r="B254" i="7"/>
  <c r="C253" i="7"/>
  <c r="B253" i="7"/>
  <c r="C252" i="7"/>
  <c r="G252" i="7" s="1"/>
  <c r="B252" i="7"/>
  <c r="C251" i="7"/>
  <c r="B251" i="7"/>
  <c r="G250" i="7"/>
  <c r="I250" i="7" s="1"/>
  <c r="F250" i="7"/>
  <c r="C250" i="7"/>
  <c r="B250" i="7"/>
  <c r="G249" i="7"/>
  <c r="C249" i="7"/>
  <c r="F249" i="7" s="1"/>
  <c r="B249" i="7"/>
  <c r="H248" i="7"/>
  <c r="F248" i="7"/>
  <c r="C248" i="7"/>
  <c r="G248" i="7" s="1"/>
  <c r="I248" i="7" s="1"/>
  <c r="B248" i="7"/>
  <c r="I247" i="7"/>
  <c r="G247" i="7"/>
  <c r="H247" i="7" s="1"/>
  <c r="F247" i="7"/>
  <c r="C247" i="7"/>
  <c r="B247" i="7"/>
  <c r="C246" i="7"/>
  <c r="F246" i="7" s="1"/>
  <c r="B246" i="7"/>
  <c r="C245" i="7"/>
  <c r="B245" i="7"/>
  <c r="C244" i="7"/>
  <c r="G244" i="7" s="1"/>
  <c r="B244" i="7"/>
  <c r="C243" i="7"/>
  <c r="B243" i="7"/>
  <c r="G242" i="7"/>
  <c r="I242" i="7" s="1"/>
  <c r="F242" i="7"/>
  <c r="C242" i="7"/>
  <c r="B242" i="7"/>
  <c r="G241" i="7"/>
  <c r="C241" i="7"/>
  <c r="F241" i="7" s="1"/>
  <c r="B241" i="7"/>
  <c r="H240" i="7"/>
  <c r="F240" i="7"/>
  <c r="C240" i="7"/>
  <c r="G240" i="7" s="1"/>
  <c r="I240" i="7" s="1"/>
  <c r="B240" i="7"/>
  <c r="G239" i="7"/>
  <c r="F239" i="7"/>
  <c r="C239" i="7"/>
  <c r="B239" i="7"/>
  <c r="F238" i="7"/>
  <c r="C238" i="7"/>
  <c r="G238" i="7" s="1"/>
  <c r="I238" i="7" s="1"/>
  <c r="B238" i="7"/>
  <c r="C237" i="7"/>
  <c r="F237" i="7" s="1"/>
  <c r="B237" i="7"/>
  <c r="H236" i="7"/>
  <c r="C236" i="7"/>
  <c r="G236" i="7" s="1"/>
  <c r="I236" i="7" s="1"/>
  <c r="B236" i="7"/>
  <c r="I235" i="7"/>
  <c r="F235" i="7"/>
  <c r="C235" i="7"/>
  <c r="G235" i="7" s="1"/>
  <c r="H235" i="7" s="1"/>
  <c r="B235" i="7"/>
  <c r="G234" i="7"/>
  <c r="F234" i="7"/>
  <c r="C234" i="7"/>
  <c r="B234" i="7"/>
  <c r="C233" i="7"/>
  <c r="F233" i="7" s="1"/>
  <c r="B233" i="7"/>
  <c r="F232" i="7"/>
  <c r="C232" i="7"/>
  <c r="G232" i="7" s="1"/>
  <c r="B232" i="7"/>
  <c r="I231" i="7"/>
  <c r="G231" i="7"/>
  <c r="H231" i="7" s="1"/>
  <c r="F231" i="7"/>
  <c r="C231" i="7"/>
  <c r="B231" i="7"/>
  <c r="H230" i="7"/>
  <c r="G230" i="7"/>
  <c r="I230" i="7" s="1"/>
  <c r="C230" i="7"/>
  <c r="F230" i="7" s="1"/>
  <c r="B230" i="7"/>
  <c r="G229" i="7"/>
  <c r="C229" i="7"/>
  <c r="F229" i="7" s="1"/>
  <c r="B229" i="7"/>
  <c r="I228" i="7"/>
  <c r="F228" i="7"/>
  <c r="C228" i="7"/>
  <c r="G228" i="7" s="1"/>
  <c r="H228" i="7" s="1"/>
  <c r="B228" i="7"/>
  <c r="F227" i="7"/>
  <c r="C227" i="7"/>
  <c r="G227" i="7" s="1"/>
  <c r="H227" i="7" s="1"/>
  <c r="B227" i="7"/>
  <c r="G226" i="7"/>
  <c r="C226" i="7"/>
  <c r="F226" i="7" s="1"/>
  <c r="B226" i="7"/>
  <c r="C225" i="7"/>
  <c r="B225" i="7"/>
  <c r="I224" i="7"/>
  <c r="F224" i="7"/>
  <c r="C224" i="7"/>
  <c r="G224" i="7" s="1"/>
  <c r="H224" i="7" s="1"/>
  <c r="B224" i="7"/>
  <c r="G223" i="7"/>
  <c r="C223" i="7"/>
  <c r="F223" i="7" s="1"/>
  <c r="B223" i="7"/>
  <c r="G222" i="7"/>
  <c r="C222" i="7"/>
  <c r="F222" i="7" s="1"/>
  <c r="B222" i="7"/>
  <c r="F221" i="7"/>
  <c r="C221" i="7"/>
  <c r="G221" i="7" s="1"/>
  <c r="I221" i="7" s="1"/>
  <c r="B221" i="7"/>
  <c r="I220" i="7"/>
  <c r="G220" i="7"/>
  <c r="H220" i="7" s="1"/>
  <c r="C220" i="7"/>
  <c r="F220" i="7" s="1"/>
  <c r="B220" i="7"/>
  <c r="F219" i="7"/>
  <c r="C219" i="7"/>
  <c r="G219" i="7" s="1"/>
  <c r="B219" i="7"/>
  <c r="C218" i="7"/>
  <c r="B218" i="7"/>
  <c r="H217" i="7"/>
  <c r="G217" i="7"/>
  <c r="I217" i="7" s="1"/>
  <c r="F217" i="7"/>
  <c r="C217" i="7"/>
  <c r="B217" i="7"/>
  <c r="C216" i="7"/>
  <c r="G216" i="7" s="1"/>
  <c r="B216" i="7"/>
  <c r="I215" i="7"/>
  <c r="G215" i="7"/>
  <c r="H215" i="7" s="1"/>
  <c r="F215" i="7"/>
  <c r="C215" i="7"/>
  <c r="B215" i="7"/>
  <c r="C214" i="7"/>
  <c r="F214" i="7" s="1"/>
  <c r="B214" i="7"/>
  <c r="H213" i="7"/>
  <c r="F213" i="7"/>
  <c r="C213" i="7"/>
  <c r="G213" i="7" s="1"/>
  <c r="I213" i="7" s="1"/>
  <c r="B213" i="7"/>
  <c r="I212" i="7"/>
  <c r="G212" i="7"/>
  <c r="H212" i="7" s="1"/>
  <c r="C212" i="7"/>
  <c r="F212" i="7" s="1"/>
  <c r="B212" i="7"/>
  <c r="F211" i="7"/>
  <c r="C211" i="7"/>
  <c r="G211" i="7" s="1"/>
  <c r="B211" i="7"/>
  <c r="G210" i="7"/>
  <c r="C210" i="7"/>
  <c r="B210" i="7"/>
  <c r="H209" i="7"/>
  <c r="G209" i="7"/>
  <c r="I209" i="7" s="1"/>
  <c r="F209" i="7"/>
  <c r="C209" i="7"/>
  <c r="B209" i="7"/>
  <c r="I208" i="7"/>
  <c r="C208" i="7"/>
  <c r="G208" i="7" s="1"/>
  <c r="H208" i="7" s="1"/>
  <c r="B208" i="7"/>
  <c r="I207" i="7"/>
  <c r="G207" i="7"/>
  <c r="H207" i="7" s="1"/>
  <c r="F207" i="7"/>
  <c r="C207" i="7"/>
  <c r="B207" i="7"/>
  <c r="C206" i="7"/>
  <c r="F206" i="7" s="1"/>
  <c r="B206" i="7"/>
  <c r="H205" i="7"/>
  <c r="F205" i="7"/>
  <c r="C205" i="7"/>
  <c r="G205" i="7" s="1"/>
  <c r="I205" i="7" s="1"/>
  <c r="B205" i="7"/>
  <c r="I204" i="7"/>
  <c r="G204" i="7"/>
  <c r="H204" i="7" s="1"/>
  <c r="C204" i="7"/>
  <c r="F204" i="7" s="1"/>
  <c r="B204" i="7"/>
  <c r="F203" i="7"/>
  <c r="C203" i="7"/>
  <c r="G203" i="7" s="1"/>
  <c r="B203" i="7"/>
  <c r="C202" i="7"/>
  <c r="B202" i="7"/>
  <c r="H201" i="7"/>
  <c r="G201" i="7"/>
  <c r="I201" i="7" s="1"/>
  <c r="F201" i="7"/>
  <c r="C201" i="7"/>
  <c r="B201" i="7"/>
  <c r="I200" i="7"/>
  <c r="C200" i="7"/>
  <c r="G200" i="7" s="1"/>
  <c r="H200" i="7" s="1"/>
  <c r="B200" i="7"/>
  <c r="I199" i="7"/>
  <c r="G199" i="7"/>
  <c r="H199" i="7" s="1"/>
  <c r="F199" i="7"/>
  <c r="C199" i="7"/>
  <c r="B199" i="7"/>
  <c r="C198" i="7"/>
  <c r="F198" i="7" s="1"/>
  <c r="B198" i="7"/>
  <c r="H197" i="7"/>
  <c r="F197" i="7"/>
  <c r="C197" i="7"/>
  <c r="G197" i="7" s="1"/>
  <c r="I197" i="7" s="1"/>
  <c r="B197" i="7"/>
  <c r="I196" i="7"/>
  <c r="G196" i="7"/>
  <c r="H196" i="7" s="1"/>
  <c r="C196" i="7"/>
  <c r="F196" i="7" s="1"/>
  <c r="B196" i="7"/>
  <c r="F195" i="7"/>
  <c r="C195" i="7"/>
  <c r="G195" i="7" s="1"/>
  <c r="B195" i="7"/>
  <c r="G194" i="7"/>
  <c r="C194" i="7"/>
  <c r="B194" i="7"/>
  <c r="H193" i="7"/>
  <c r="G193" i="7"/>
  <c r="I193" i="7" s="1"/>
  <c r="F193" i="7"/>
  <c r="C193" i="7"/>
  <c r="B193" i="7"/>
  <c r="I192" i="7"/>
  <c r="C192" i="7"/>
  <c r="G192" i="7" s="1"/>
  <c r="H192" i="7" s="1"/>
  <c r="B192" i="7"/>
  <c r="I191" i="7"/>
  <c r="G191" i="7"/>
  <c r="H191" i="7" s="1"/>
  <c r="F191" i="7"/>
  <c r="C191" i="7"/>
  <c r="B191" i="7"/>
  <c r="C190" i="7"/>
  <c r="F190" i="7" s="1"/>
  <c r="B190" i="7"/>
  <c r="H189" i="7"/>
  <c r="F189" i="7"/>
  <c r="C189" i="7"/>
  <c r="G189" i="7" s="1"/>
  <c r="I189" i="7" s="1"/>
  <c r="B189" i="7"/>
  <c r="I188" i="7"/>
  <c r="G188" i="7"/>
  <c r="H188" i="7" s="1"/>
  <c r="C188" i="7"/>
  <c r="F188" i="7" s="1"/>
  <c r="B188" i="7"/>
  <c r="F187" i="7"/>
  <c r="C187" i="7"/>
  <c r="G187" i="7" s="1"/>
  <c r="B187" i="7"/>
  <c r="C186" i="7"/>
  <c r="B186" i="7"/>
  <c r="H185" i="7"/>
  <c r="G185" i="7"/>
  <c r="I185" i="7" s="1"/>
  <c r="C185" i="7"/>
  <c r="F185" i="7" s="1"/>
  <c r="B185" i="7"/>
  <c r="C184" i="7"/>
  <c r="B184" i="7"/>
  <c r="I183" i="7"/>
  <c r="G183" i="7"/>
  <c r="H183" i="7" s="1"/>
  <c r="F183" i="7"/>
  <c r="C183" i="7"/>
  <c r="B183" i="7"/>
  <c r="G182" i="7"/>
  <c r="C182" i="7"/>
  <c r="F182" i="7" s="1"/>
  <c r="B182" i="7"/>
  <c r="F181" i="7"/>
  <c r="C181" i="7"/>
  <c r="G181" i="7" s="1"/>
  <c r="I181" i="7" s="1"/>
  <c r="B181" i="7"/>
  <c r="I180" i="7"/>
  <c r="G180" i="7"/>
  <c r="H180" i="7" s="1"/>
  <c r="C180" i="7"/>
  <c r="F180" i="7" s="1"/>
  <c r="B180" i="7"/>
  <c r="H179" i="7"/>
  <c r="F179" i="7"/>
  <c r="C179" i="7"/>
  <c r="G179" i="7" s="1"/>
  <c r="I179" i="7" s="1"/>
  <c r="B179" i="7"/>
  <c r="F178" i="7"/>
  <c r="C178" i="7"/>
  <c r="B178" i="7"/>
  <c r="H177" i="7"/>
  <c r="G177" i="7"/>
  <c r="I177" i="7" s="1"/>
  <c r="C177" i="7"/>
  <c r="F177" i="7" s="1"/>
  <c r="B177" i="7"/>
  <c r="C176" i="7"/>
  <c r="B176" i="7"/>
  <c r="I175" i="7"/>
  <c r="G175" i="7"/>
  <c r="H175" i="7" s="1"/>
  <c r="F175" i="7"/>
  <c r="C175" i="7"/>
  <c r="B175" i="7"/>
  <c r="C174" i="7"/>
  <c r="F174" i="7" s="1"/>
  <c r="B174" i="7"/>
  <c r="C173" i="7"/>
  <c r="G173" i="7" s="1"/>
  <c r="I173" i="7" s="1"/>
  <c r="B173" i="7"/>
  <c r="G172" i="7"/>
  <c r="H172" i="7" s="1"/>
  <c r="C172" i="7"/>
  <c r="F172" i="7" s="1"/>
  <c r="B172" i="7"/>
  <c r="F171" i="7"/>
  <c r="C171" i="7"/>
  <c r="G171" i="7" s="1"/>
  <c r="I171" i="7" s="1"/>
  <c r="B171" i="7"/>
  <c r="G170" i="7"/>
  <c r="H170" i="7" s="1"/>
  <c r="F170" i="7"/>
  <c r="C170" i="7"/>
  <c r="B170" i="7"/>
  <c r="H169" i="7"/>
  <c r="G169" i="7"/>
  <c r="I169" i="7" s="1"/>
  <c r="C169" i="7"/>
  <c r="F169" i="7" s="1"/>
  <c r="B169" i="7"/>
  <c r="C168" i="7"/>
  <c r="B168" i="7"/>
  <c r="I167" i="7"/>
  <c r="G167" i="7"/>
  <c r="H167" i="7" s="1"/>
  <c r="F167" i="7"/>
  <c r="C167" i="7"/>
  <c r="B167" i="7"/>
  <c r="C166" i="7"/>
  <c r="F166" i="7" s="1"/>
  <c r="B166" i="7"/>
  <c r="F165" i="7"/>
  <c r="C165" i="7"/>
  <c r="G165" i="7" s="1"/>
  <c r="I165" i="7" s="1"/>
  <c r="B165" i="7"/>
  <c r="G164" i="7"/>
  <c r="H164" i="7" s="1"/>
  <c r="C164" i="7"/>
  <c r="F164" i="7" s="1"/>
  <c r="B164" i="7"/>
  <c r="F163" i="7"/>
  <c r="C163" i="7"/>
  <c r="G163" i="7" s="1"/>
  <c r="I163" i="7" s="1"/>
  <c r="B163" i="7"/>
  <c r="I162" i="7"/>
  <c r="G162" i="7"/>
  <c r="H162" i="7" s="1"/>
  <c r="F162" i="7"/>
  <c r="C162" i="7"/>
  <c r="B162" i="7"/>
  <c r="H161" i="7"/>
  <c r="G161" i="7"/>
  <c r="I161" i="7" s="1"/>
  <c r="C161" i="7"/>
  <c r="F161" i="7" s="1"/>
  <c r="B161" i="7"/>
  <c r="C160" i="7"/>
  <c r="B160" i="7"/>
  <c r="I159" i="7"/>
  <c r="G159" i="7"/>
  <c r="H159" i="7" s="1"/>
  <c r="F159" i="7"/>
  <c r="C159" i="7"/>
  <c r="B159" i="7"/>
  <c r="G158" i="7"/>
  <c r="I158" i="7" s="1"/>
  <c r="C158" i="7"/>
  <c r="F158" i="7" s="1"/>
  <c r="B158" i="7"/>
  <c r="H157" i="7"/>
  <c r="F157" i="7"/>
  <c r="C157" i="7"/>
  <c r="G157" i="7" s="1"/>
  <c r="I157" i="7" s="1"/>
  <c r="B157" i="7"/>
  <c r="C156" i="7"/>
  <c r="F156" i="7" s="1"/>
  <c r="B156" i="7"/>
  <c r="C155" i="7"/>
  <c r="G155" i="7" s="1"/>
  <c r="B155" i="7"/>
  <c r="F154" i="7"/>
  <c r="C154" i="7"/>
  <c r="G154" i="7" s="1"/>
  <c r="B154" i="7"/>
  <c r="C153" i="7"/>
  <c r="G153" i="7" s="1"/>
  <c r="B153" i="7"/>
  <c r="C152" i="7"/>
  <c r="F152" i="7" s="1"/>
  <c r="B152" i="7"/>
  <c r="G151" i="7"/>
  <c r="I151" i="7" s="1"/>
  <c r="C151" i="7"/>
  <c r="F151" i="7" s="1"/>
  <c r="B151" i="7"/>
  <c r="F150" i="7"/>
  <c r="C150" i="7"/>
  <c r="G150" i="7" s="1"/>
  <c r="B150" i="7"/>
  <c r="I149" i="7"/>
  <c r="G149" i="7"/>
  <c r="H149" i="7" s="1"/>
  <c r="F149" i="7"/>
  <c r="C149" i="7"/>
  <c r="B149" i="7"/>
  <c r="G148" i="7"/>
  <c r="C148" i="7"/>
  <c r="F148" i="7" s="1"/>
  <c r="B148" i="7"/>
  <c r="H147" i="7"/>
  <c r="C147" i="7"/>
  <c r="G147" i="7" s="1"/>
  <c r="I147" i="7" s="1"/>
  <c r="B147" i="7"/>
  <c r="I146" i="7"/>
  <c r="F146" i="7"/>
  <c r="C146" i="7"/>
  <c r="G146" i="7" s="1"/>
  <c r="H146" i="7" s="1"/>
  <c r="B146" i="7"/>
  <c r="C145" i="7"/>
  <c r="G145" i="7" s="1"/>
  <c r="B145" i="7"/>
  <c r="C144" i="7"/>
  <c r="B144" i="7"/>
  <c r="G143" i="7"/>
  <c r="I143" i="7" s="1"/>
  <c r="C143" i="7"/>
  <c r="F143" i="7" s="1"/>
  <c r="B143" i="7"/>
  <c r="F142" i="7"/>
  <c r="C142" i="7"/>
  <c r="G142" i="7" s="1"/>
  <c r="B142" i="7"/>
  <c r="I141" i="7"/>
  <c r="G141" i="7"/>
  <c r="H141" i="7" s="1"/>
  <c r="F141" i="7"/>
  <c r="C141" i="7"/>
  <c r="B141" i="7"/>
  <c r="G140" i="7"/>
  <c r="C140" i="7"/>
  <c r="F140" i="7" s="1"/>
  <c r="B140" i="7"/>
  <c r="C139" i="7"/>
  <c r="B139" i="7"/>
  <c r="F138" i="7"/>
  <c r="C138" i="7"/>
  <c r="G138" i="7" s="1"/>
  <c r="H138" i="7" s="1"/>
  <c r="B138" i="7"/>
  <c r="C137" i="7"/>
  <c r="B137" i="7"/>
  <c r="F136" i="7"/>
  <c r="C136" i="7"/>
  <c r="G136" i="7" s="1"/>
  <c r="B136" i="7"/>
  <c r="G135" i="7"/>
  <c r="H135" i="7" s="1"/>
  <c r="C135" i="7"/>
  <c r="F135" i="7" s="1"/>
  <c r="B135" i="7"/>
  <c r="H134" i="7"/>
  <c r="F134" i="7"/>
  <c r="C134" i="7"/>
  <c r="G134" i="7" s="1"/>
  <c r="I134" i="7" s="1"/>
  <c r="B134" i="7"/>
  <c r="C133" i="7"/>
  <c r="G133" i="7" s="1"/>
  <c r="B133" i="7"/>
  <c r="G132" i="7"/>
  <c r="I132" i="7" s="1"/>
  <c r="C132" i="7"/>
  <c r="F132" i="7" s="1"/>
  <c r="B132" i="7"/>
  <c r="C131" i="7"/>
  <c r="B131" i="7"/>
  <c r="F130" i="7"/>
  <c r="C130" i="7"/>
  <c r="G130" i="7" s="1"/>
  <c r="H130" i="7" s="1"/>
  <c r="B130" i="7"/>
  <c r="C129" i="7"/>
  <c r="F129" i="7" s="1"/>
  <c r="B129" i="7"/>
  <c r="F128" i="7"/>
  <c r="C128" i="7"/>
  <c r="G128" i="7" s="1"/>
  <c r="I128" i="7" s="1"/>
  <c r="B128" i="7"/>
  <c r="G127" i="7"/>
  <c r="H127" i="7" s="1"/>
  <c r="C127" i="7"/>
  <c r="F127" i="7" s="1"/>
  <c r="B127" i="7"/>
  <c r="I126" i="7"/>
  <c r="F126" i="7"/>
  <c r="C126" i="7"/>
  <c r="G126" i="7" s="1"/>
  <c r="H126" i="7" s="1"/>
  <c r="B126" i="7"/>
  <c r="G125" i="7"/>
  <c r="H125" i="7" s="1"/>
  <c r="F125" i="7"/>
  <c r="C125" i="7"/>
  <c r="B125" i="7"/>
  <c r="G124" i="7"/>
  <c r="I124" i="7" s="1"/>
  <c r="C124" i="7"/>
  <c r="F124" i="7" s="1"/>
  <c r="B124" i="7"/>
  <c r="C123" i="7"/>
  <c r="B123" i="7"/>
  <c r="I122" i="7"/>
  <c r="F122" i="7"/>
  <c r="C122" i="7"/>
  <c r="G122" i="7" s="1"/>
  <c r="H122" i="7" s="1"/>
  <c r="B122" i="7"/>
  <c r="C121" i="7"/>
  <c r="G121" i="7" s="1"/>
  <c r="B121" i="7"/>
  <c r="C120" i="7"/>
  <c r="B120" i="7"/>
  <c r="C119" i="7"/>
  <c r="G119" i="7" s="1"/>
  <c r="B119" i="7"/>
  <c r="F118" i="7"/>
  <c r="C118" i="7"/>
  <c r="B118" i="7"/>
  <c r="G117" i="7"/>
  <c r="I117" i="7" s="1"/>
  <c r="F117" i="7"/>
  <c r="C117" i="7"/>
  <c r="B117" i="7"/>
  <c r="G116" i="7"/>
  <c r="H116" i="7" s="1"/>
  <c r="C116" i="7"/>
  <c r="F116" i="7" s="1"/>
  <c r="B116" i="7"/>
  <c r="F115" i="7"/>
  <c r="C115" i="7"/>
  <c r="G115" i="7" s="1"/>
  <c r="B115" i="7"/>
  <c r="I114" i="7"/>
  <c r="G114" i="7"/>
  <c r="H114" i="7" s="1"/>
  <c r="C114" i="7"/>
  <c r="F114" i="7" s="1"/>
  <c r="B114" i="7"/>
  <c r="C113" i="7"/>
  <c r="G113" i="7" s="1"/>
  <c r="B113" i="7"/>
  <c r="C112" i="7"/>
  <c r="B112" i="7"/>
  <c r="C111" i="7"/>
  <c r="G111" i="7" s="1"/>
  <c r="B111" i="7"/>
  <c r="C110" i="7"/>
  <c r="F110" i="7" s="1"/>
  <c r="B110" i="7"/>
  <c r="G109" i="7"/>
  <c r="I109" i="7" s="1"/>
  <c r="F109" i="7"/>
  <c r="C109" i="7"/>
  <c r="B109" i="7"/>
  <c r="G108" i="7"/>
  <c r="H108" i="7" s="1"/>
  <c r="C108" i="7"/>
  <c r="F108" i="7" s="1"/>
  <c r="B108" i="7"/>
  <c r="F107" i="7"/>
  <c r="C107" i="7"/>
  <c r="G107" i="7" s="1"/>
  <c r="B107" i="7"/>
  <c r="I106" i="7"/>
  <c r="G106" i="7"/>
  <c r="H106" i="7" s="1"/>
  <c r="C106" i="7"/>
  <c r="F106" i="7" s="1"/>
  <c r="B106" i="7"/>
  <c r="C105" i="7"/>
  <c r="G105" i="7" s="1"/>
  <c r="B105" i="7"/>
  <c r="C104" i="7"/>
  <c r="B104" i="7"/>
  <c r="C103" i="7"/>
  <c r="G103" i="7" s="1"/>
  <c r="B103" i="7"/>
  <c r="C102" i="7"/>
  <c r="F102" i="7" s="1"/>
  <c r="B102" i="7"/>
  <c r="C101" i="7"/>
  <c r="G101" i="7" s="1"/>
  <c r="I101" i="7" s="1"/>
  <c r="B101" i="7"/>
  <c r="C100" i="7"/>
  <c r="F100" i="7" s="1"/>
  <c r="B100" i="7"/>
  <c r="C99" i="7"/>
  <c r="G99" i="7" s="1"/>
  <c r="B99" i="7"/>
  <c r="C98" i="7"/>
  <c r="F98" i="7" s="1"/>
  <c r="B98" i="7"/>
  <c r="C97" i="7"/>
  <c r="G97" i="7" s="1"/>
  <c r="B97" i="7"/>
  <c r="C96" i="7"/>
  <c r="B96" i="7"/>
  <c r="C95" i="7"/>
  <c r="G95" i="7" s="1"/>
  <c r="B95" i="7"/>
  <c r="C94" i="7"/>
  <c r="F94" i="7" s="1"/>
  <c r="B94" i="7"/>
  <c r="G93" i="7"/>
  <c r="I93" i="7" s="1"/>
  <c r="F93" i="7"/>
  <c r="C93" i="7"/>
  <c r="B93" i="7"/>
  <c r="C92" i="7"/>
  <c r="F92" i="7" s="1"/>
  <c r="B92" i="7"/>
  <c r="C91" i="7"/>
  <c r="G91" i="7" s="1"/>
  <c r="B91" i="7"/>
  <c r="C90" i="7"/>
  <c r="F90" i="7" s="1"/>
  <c r="B90" i="7"/>
  <c r="C89" i="7"/>
  <c r="G89" i="7" s="1"/>
  <c r="B89" i="7"/>
  <c r="C88" i="7"/>
  <c r="B88" i="7"/>
  <c r="C87" i="7"/>
  <c r="G87" i="7" s="1"/>
  <c r="B87" i="7"/>
  <c r="C86" i="7"/>
  <c r="F86" i="7" s="1"/>
  <c r="B86" i="7"/>
  <c r="G85" i="7"/>
  <c r="I85" i="7" s="1"/>
  <c r="F85" i="7"/>
  <c r="C85" i="7"/>
  <c r="B85" i="7"/>
  <c r="G84" i="7"/>
  <c r="H84" i="7" s="1"/>
  <c r="C84" i="7"/>
  <c r="F84" i="7" s="1"/>
  <c r="B84" i="7"/>
  <c r="C83" i="7"/>
  <c r="G83" i="7" s="1"/>
  <c r="B83" i="7"/>
  <c r="C82" i="7"/>
  <c r="F82" i="7" s="1"/>
  <c r="B82" i="7"/>
  <c r="C81" i="7"/>
  <c r="G81" i="7" s="1"/>
  <c r="B81" i="7"/>
  <c r="C80" i="7"/>
  <c r="B80" i="7"/>
  <c r="C79" i="7"/>
  <c r="G79" i="7" s="1"/>
  <c r="B79" i="7"/>
  <c r="C78" i="7"/>
  <c r="F78" i="7" s="1"/>
  <c r="B78" i="7"/>
  <c r="C77" i="7"/>
  <c r="G77" i="7" s="1"/>
  <c r="I77" i="7" s="1"/>
  <c r="B77" i="7"/>
  <c r="C76" i="7"/>
  <c r="F76" i="7" s="1"/>
  <c r="B76" i="7"/>
  <c r="H75" i="7"/>
  <c r="F75" i="7"/>
  <c r="C75" i="7"/>
  <c r="G75" i="7" s="1"/>
  <c r="I75" i="7" s="1"/>
  <c r="B75" i="7"/>
  <c r="C74" i="7"/>
  <c r="F74" i="7" s="1"/>
  <c r="B74" i="7"/>
  <c r="C73" i="7"/>
  <c r="G73" i="7" s="1"/>
  <c r="I73" i="7" s="1"/>
  <c r="B73" i="7"/>
  <c r="C72" i="7"/>
  <c r="B72" i="7"/>
  <c r="C71" i="7"/>
  <c r="G71" i="7" s="1"/>
  <c r="B71" i="7"/>
  <c r="C70" i="7"/>
  <c r="F70" i="7" s="1"/>
  <c r="B70" i="7"/>
  <c r="C69" i="7"/>
  <c r="G69" i="7" s="1"/>
  <c r="B69" i="7"/>
  <c r="C68" i="7"/>
  <c r="F68" i="7" s="1"/>
  <c r="B68" i="7"/>
  <c r="C67" i="7"/>
  <c r="G67" i="7" s="1"/>
  <c r="I67" i="7" s="1"/>
  <c r="B67" i="7"/>
  <c r="C66" i="7"/>
  <c r="F66" i="7" s="1"/>
  <c r="B66" i="7"/>
  <c r="C65" i="7"/>
  <c r="G65" i="7" s="1"/>
  <c r="I65" i="7" s="1"/>
  <c r="B65" i="7"/>
  <c r="C64" i="7"/>
  <c r="F64" i="7" s="1"/>
  <c r="B64" i="7"/>
  <c r="C63" i="7"/>
  <c r="G63" i="7" s="1"/>
  <c r="I63" i="7" s="1"/>
  <c r="B63" i="7"/>
  <c r="C62" i="7"/>
  <c r="B62" i="7"/>
  <c r="F61" i="7"/>
  <c r="C61" i="7"/>
  <c r="G61" i="7" s="1"/>
  <c r="B61" i="7"/>
  <c r="C60" i="7"/>
  <c r="G60" i="7" s="1"/>
  <c r="B60" i="7"/>
  <c r="F59" i="7"/>
  <c r="C59" i="7"/>
  <c r="G59" i="7" s="1"/>
  <c r="I59" i="7" s="1"/>
  <c r="B59" i="7"/>
  <c r="C58" i="7"/>
  <c r="G58" i="7" s="1"/>
  <c r="B58" i="7"/>
  <c r="C57" i="7"/>
  <c r="G57" i="7" s="1"/>
  <c r="I57" i="7" s="1"/>
  <c r="B57" i="7"/>
  <c r="C56" i="7"/>
  <c r="F56" i="7" s="1"/>
  <c r="B56" i="7"/>
  <c r="C55" i="7"/>
  <c r="G55" i="7" s="1"/>
  <c r="I55" i="7" s="1"/>
  <c r="B55" i="7"/>
  <c r="F54" i="7"/>
  <c r="C54" i="7"/>
  <c r="G54" i="7" s="1"/>
  <c r="H54" i="7" s="1"/>
  <c r="B54" i="7"/>
  <c r="G53" i="7"/>
  <c r="F53" i="7"/>
  <c r="C53" i="7"/>
  <c r="B53" i="7"/>
  <c r="C52" i="7"/>
  <c r="B52" i="7"/>
  <c r="I51" i="7"/>
  <c r="C51" i="7"/>
  <c r="G51" i="7" s="1"/>
  <c r="H51" i="7" s="1"/>
  <c r="B51" i="7"/>
  <c r="C50" i="7"/>
  <c r="G50" i="7" s="1"/>
  <c r="H50" i="7" s="1"/>
  <c r="B50" i="7"/>
  <c r="C49" i="7"/>
  <c r="G49" i="7" s="1"/>
  <c r="I49" i="7" s="1"/>
  <c r="B49" i="7"/>
  <c r="C48" i="7"/>
  <c r="F48" i="7" s="1"/>
  <c r="B48" i="7"/>
  <c r="H47" i="7"/>
  <c r="C47" i="7"/>
  <c r="G47" i="7" s="1"/>
  <c r="I47" i="7" s="1"/>
  <c r="B47" i="7"/>
  <c r="F46" i="7"/>
  <c r="C46" i="7"/>
  <c r="G46" i="7" s="1"/>
  <c r="H46" i="7" s="1"/>
  <c r="B46" i="7"/>
  <c r="C45" i="7"/>
  <c r="F45" i="7" s="1"/>
  <c r="B45" i="7"/>
  <c r="C44" i="7"/>
  <c r="G44" i="7" s="1"/>
  <c r="B44" i="7"/>
  <c r="F43" i="7"/>
  <c r="C43" i="7"/>
  <c r="G43" i="7" s="1"/>
  <c r="B43" i="7"/>
  <c r="C42" i="7"/>
  <c r="B42" i="7"/>
  <c r="C41" i="7"/>
  <c r="G41" i="7" s="1"/>
  <c r="B41" i="7"/>
  <c r="C40" i="7"/>
  <c r="F40" i="7" s="1"/>
  <c r="B40" i="7"/>
  <c r="C39" i="7"/>
  <c r="G39" i="7" s="1"/>
  <c r="I39" i="7" s="1"/>
  <c r="B39" i="7"/>
  <c r="G38" i="7"/>
  <c r="H38" i="7" s="1"/>
  <c r="C38" i="7"/>
  <c r="F38" i="7" s="1"/>
  <c r="B38" i="7"/>
  <c r="F37" i="7"/>
  <c r="C37" i="7"/>
  <c r="G37" i="7" s="1"/>
  <c r="B37" i="7"/>
  <c r="I36" i="7"/>
  <c r="G36" i="7"/>
  <c r="H36" i="7" s="1"/>
  <c r="C36" i="7"/>
  <c r="F36" i="7" s="1"/>
  <c r="B36" i="7"/>
  <c r="F35" i="7"/>
  <c r="C35" i="7"/>
  <c r="G35" i="7" s="1"/>
  <c r="B35" i="7"/>
  <c r="C34" i="7"/>
  <c r="B34" i="7"/>
  <c r="C33" i="7"/>
  <c r="G33" i="7" s="1"/>
  <c r="B33" i="7"/>
  <c r="C32" i="7"/>
  <c r="F32" i="7" s="1"/>
  <c r="B32" i="7"/>
  <c r="C31" i="7"/>
  <c r="G31" i="7" s="1"/>
  <c r="I31" i="7" s="1"/>
  <c r="B31" i="7"/>
  <c r="C30" i="7"/>
  <c r="F30" i="7" s="1"/>
  <c r="B30" i="7"/>
  <c r="C29" i="7"/>
  <c r="G29" i="7" s="1"/>
  <c r="B29" i="7"/>
  <c r="G28" i="7"/>
  <c r="H28" i="7" s="1"/>
  <c r="C28" i="7"/>
  <c r="F28" i="7" s="1"/>
  <c r="B28" i="7"/>
  <c r="C27" i="7"/>
  <c r="G27" i="7" s="1"/>
  <c r="B27" i="7"/>
  <c r="C26" i="7"/>
  <c r="B26" i="7"/>
  <c r="C25" i="7"/>
  <c r="G25" i="7" s="1"/>
  <c r="B25" i="7"/>
  <c r="C24" i="7"/>
  <c r="F24" i="7" s="1"/>
  <c r="B24" i="7"/>
  <c r="G23" i="7"/>
  <c r="I23" i="7" s="1"/>
  <c r="C23" i="7"/>
  <c r="F23" i="7" s="1"/>
  <c r="B23" i="7"/>
  <c r="C22" i="7"/>
  <c r="F22" i="7" s="1"/>
  <c r="B22" i="7"/>
  <c r="C21" i="7"/>
  <c r="G21" i="7" s="1"/>
  <c r="B21" i="7"/>
  <c r="C20" i="7"/>
  <c r="F20" i="7" s="1"/>
  <c r="B20" i="7"/>
  <c r="F19" i="7"/>
  <c r="C19" i="7"/>
  <c r="G19" i="7" s="1"/>
  <c r="B19" i="7"/>
  <c r="C18" i="7"/>
  <c r="B18" i="7"/>
  <c r="C17" i="7"/>
  <c r="G17" i="7" s="1"/>
  <c r="B17" i="7"/>
  <c r="C16" i="7"/>
  <c r="F16" i="7" s="1"/>
  <c r="B16" i="7"/>
  <c r="F15" i="7"/>
  <c r="C15" i="7"/>
  <c r="G15" i="7" s="1"/>
  <c r="I15" i="7" s="1"/>
  <c r="B15" i="7"/>
  <c r="C14" i="7"/>
  <c r="F14" i="7" s="1"/>
  <c r="B14" i="7"/>
  <c r="F13" i="7"/>
  <c r="C13" i="7"/>
  <c r="G13" i="7" s="1"/>
  <c r="B13" i="7"/>
  <c r="C12" i="7"/>
  <c r="F12" i="7" s="1"/>
  <c r="B12" i="7"/>
  <c r="F11" i="7"/>
  <c r="C11" i="7"/>
  <c r="G11" i="7" s="1"/>
  <c r="B11" i="7"/>
  <c r="O10" i="7"/>
  <c r="N10" i="7"/>
  <c r="M10" i="7"/>
  <c r="C10" i="7"/>
  <c r="D10" i="7" s="1"/>
  <c r="B10" i="7"/>
  <c r="E10" i="7" s="1"/>
  <c r="E12" i="4"/>
  <c r="E13" i="4"/>
  <c r="E14" i="4" s="1"/>
  <c r="E15" i="4" s="1"/>
  <c r="E16" i="4" s="1"/>
  <c r="E17" i="4" s="1"/>
  <c r="E18" i="4"/>
  <c r="E19" i="4"/>
  <c r="E20" i="4" s="1"/>
  <c r="E21" i="4" s="1"/>
  <c r="E22" i="4" s="1"/>
  <c r="E23" i="4" s="1"/>
  <c r="E24" i="4" s="1"/>
  <c r="E25" i="4" s="1"/>
  <c r="E26" i="4" s="1"/>
  <c r="E27" i="4"/>
  <c r="E28" i="4" s="1"/>
  <c r="E29" i="4" s="1"/>
  <c r="E30" i="4" s="1"/>
  <c r="E31" i="4"/>
  <c r="E32" i="4" s="1"/>
  <c r="E33" i="4" s="1"/>
  <c r="E34" i="4" s="1"/>
  <c r="E35" i="4" s="1"/>
  <c r="E36" i="4" s="1"/>
  <c r="E37" i="4" s="1"/>
  <c r="E38" i="4" s="1"/>
  <c r="E39" i="4" s="1"/>
  <c r="E40" i="4" s="1"/>
  <c r="E41" i="4"/>
  <c r="E42" i="4"/>
  <c r="E43" i="4"/>
  <c r="E44" i="4" s="1"/>
  <c r="E45" i="4" s="1"/>
  <c r="E46" i="4" s="1"/>
  <c r="E47" i="4" s="1"/>
  <c r="E48" i="4"/>
  <c r="E49" i="4"/>
  <c r="E50" i="4"/>
  <c r="E51" i="4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11" i="4"/>
  <c r="E11" i="5"/>
  <c r="E12" i="5" s="1"/>
  <c r="E13" i="5" s="1"/>
  <c r="E14" i="5" s="1"/>
  <c r="E15" i="5" s="1"/>
  <c r="E16" i="5"/>
  <c r="E17" i="5" s="1"/>
  <c r="E18" i="5" s="1"/>
  <c r="E19" i="5"/>
  <c r="E20" i="5" s="1"/>
  <c r="E21" i="5" s="1"/>
  <c r="E22" i="5" s="1"/>
  <c r="E23" i="5" s="1"/>
  <c r="E24" i="5" s="1"/>
  <c r="E25" i="5" s="1"/>
  <c r="E26" i="5" s="1"/>
  <c r="E27" i="5"/>
  <c r="E28" i="5" s="1"/>
  <c r="E29" i="5" s="1"/>
  <c r="E30" i="5" s="1"/>
  <c r="E31" i="5" s="1"/>
  <c r="E32" i="5" s="1"/>
  <c r="E33" i="5" s="1"/>
  <c r="E34" i="5" s="1"/>
  <c r="E35" i="5"/>
  <c r="E36" i="5" s="1"/>
  <c r="E37" i="5" s="1"/>
  <c r="E38" i="5" s="1"/>
  <c r="E39" i="5" s="1"/>
  <c r="E40" i="5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10" i="5"/>
  <c r="C565" i="5"/>
  <c r="G565" i="5" s="1"/>
  <c r="B565" i="5"/>
  <c r="C564" i="5"/>
  <c r="G564" i="5" s="1"/>
  <c r="B564" i="5"/>
  <c r="C563" i="5"/>
  <c r="G563" i="5" s="1"/>
  <c r="B563" i="5"/>
  <c r="C562" i="5"/>
  <c r="B562" i="5"/>
  <c r="F561" i="5"/>
  <c r="C561" i="5"/>
  <c r="G561" i="5" s="1"/>
  <c r="B561" i="5"/>
  <c r="C560" i="5"/>
  <c r="B560" i="5"/>
  <c r="I559" i="5"/>
  <c r="H559" i="5"/>
  <c r="G559" i="5"/>
  <c r="F559" i="5"/>
  <c r="C559" i="5"/>
  <c r="B559" i="5"/>
  <c r="G558" i="5"/>
  <c r="F558" i="5"/>
  <c r="C558" i="5"/>
  <c r="B558" i="5"/>
  <c r="H557" i="5"/>
  <c r="G557" i="5"/>
  <c r="I557" i="5" s="1"/>
  <c r="F557" i="5"/>
  <c r="C557" i="5"/>
  <c r="B557" i="5"/>
  <c r="I556" i="5"/>
  <c r="G556" i="5"/>
  <c r="H556" i="5" s="1"/>
  <c r="C556" i="5"/>
  <c r="F556" i="5" s="1"/>
  <c r="B556" i="5"/>
  <c r="C555" i="5"/>
  <c r="G555" i="5" s="1"/>
  <c r="I555" i="5" s="1"/>
  <c r="B555" i="5"/>
  <c r="C554" i="5"/>
  <c r="B554" i="5"/>
  <c r="F553" i="5"/>
  <c r="C553" i="5"/>
  <c r="G553" i="5" s="1"/>
  <c r="B553" i="5"/>
  <c r="C552" i="5"/>
  <c r="B552" i="5"/>
  <c r="I551" i="5"/>
  <c r="H551" i="5"/>
  <c r="G551" i="5"/>
  <c r="F551" i="5"/>
  <c r="C551" i="5"/>
  <c r="B551" i="5"/>
  <c r="G550" i="5"/>
  <c r="F550" i="5"/>
  <c r="C550" i="5"/>
  <c r="B550" i="5"/>
  <c r="H549" i="5"/>
  <c r="G549" i="5"/>
  <c r="I549" i="5" s="1"/>
  <c r="F549" i="5"/>
  <c r="C549" i="5"/>
  <c r="B549" i="5"/>
  <c r="G548" i="5"/>
  <c r="H548" i="5" s="1"/>
  <c r="C548" i="5"/>
  <c r="F548" i="5" s="1"/>
  <c r="B548" i="5"/>
  <c r="H547" i="5"/>
  <c r="C547" i="5"/>
  <c r="G547" i="5" s="1"/>
  <c r="I547" i="5" s="1"/>
  <c r="B547" i="5"/>
  <c r="C546" i="5"/>
  <c r="B546" i="5"/>
  <c r="F545" i="5"/>
  <c r="C545" i="5"/>
  <c r="G545" i="5" s="1"/>
  <c r="B545" i="5"/>
  <c r="C544" i="5"/>
  <c r="B544" i="5"/>
  <c r="I543" i="5"/>
  <c r="H543" i="5"/>
  <c r="G543" i="5"/>
  <c r="F543" i="5"/>
  <c r="C543" i="5"/>
  <c r="B543" i="5"/>
  <c r="I542" i="5"/>
  <c r="G542" i="5"/>
  <c r="H542" i="5" s="1"/>
  <c r="F542" i="5"/>
  <c r="C542" i="5"/>
  <c r="B542" i="5"/>
  <c r="H541" i="5"/>
  <c r="G541" i="5"/>
  <c r="I541" i="5" s="1"/>
  <c r="F541" i="5"/>
  <c r="C541" i="5"/>
  <c r="B541" i="5"/>
  <c r="C540" i="5"/>
  <c r="B540" i="5"/>
  <c r="I539" i="5"/>
  <c r="H539" i="5"/>
  <c r="C539" i="5"/>
  <c r="G539" i="5" s="1"/>
  <c r="B539" i="5"/>
  <c r="C538" i="5"/>
  <c r="B538" i="5"/>
  <c r="F537" i="5"/>
  <c r="C537" i="5"/>
  <c r="G537" i="5" s="1"/>
  <c r="B537" i="5"/>
  <c r="G536" i="5"/>
  <c r="C536" i="5"/>
  <c r="F536" i="5" s="1"/>
  <c r="B536" i="5"/>
  <c r="I535" i="5"/>
  <c r="H535" i="5"/>
  <c r="G535" i="5"/>
  <c r="F535" i="5"/>
  <c r="C535" i="5"/>
  <c r="B535" i="5"/>
  <c r="G534" i="5"/>
  <c r="F534" i="5"/>
  <c r="C534" i="5"/>
  <c r="B534" i="5"/>
  <c r="H533" i="5"/>
  <c r="G533" i="5"/>
  <c r="I533" i="5" s="1"/>
  <c r="F533" i="5"/>
  <c r="C533" i="5"/>
  <c r="B533" i="5"/>
  <c r="C532" i="5"/>
  <c r="B532" i="5"/>
  <c r="C531" i="5"/>
  <c r="G531" i="5" s="1"/>
  <c r="B531" i="5"/>
  <c r="C530" i="5"/>
  <c r="B530" i="5"/>
  <c r="G529" i="5"/>
  <c r="F529" i="5"/>
  <c r="C529" i="5"/>
  <c r="B529" i="5"/>
  <c r="C528" i="5"/>
  <c r="B528" i="5"/>
  <c r="I527" i="5"/>
  <c r="H527" i="5"/>
  <c r="G527" i="5"/>
  <c r="F527" i="5"/>
  <c r="C527" i="5"/>
  <c r="B527" i="5"/>
  <c r="G526" i="5"/>
  <c r="F526" i="5"/>
  <c r="C526" i="5"/>
  <c r="B526" i="5"/>
  <c r="I525" i="5"/>
  <c r="G525" i="5"/>
  <c r="H525" i="5" s="1"/>
  <c r="F525" i="5"/>
  <c r="C525" i="5"/>
  <c r="B525" i="5"/>
  <c r="I524" i="5"/>
  <c r="H524" i="5"/>
  <c r="G524" i="5"/>
  <c r="C524" i="5"/>
  <c r="F524" i="5" s="1"/>
  <c r="B524" i="5"/>
  <c r="C523" i="5"/>
  <c r="B523" i="5"/>
  <c r="I522" i="5"/>
  <c r="F522" i="5"/>
  <c r="C522" i="5"/>
  <c r="G522" i="5" s="1"/>
  <c r="H522" i="5" s="1"/>
  <c r="B522" i="5"/>
  <c r="C521" i="5"/>
  <c r="B521" i="5"/>
  <c r="I520" i="5"/>
  <c r="G520" i="5"/>
  <c r="H520" i="5" s="1"/>
  <c r="F520" i="5"/>
  <c r="C520" i="5"/>
  <c r="B520" i="5"/>
  <c r="C519" i="5"/>
  <c r="B519" i="5"/>
  <c r="C518" i="5"/>
  <c r="B518" i="5"/>
  <c r="I517" i="5"/>
  <c r="G517" i="5"/>
  <c r="H517" i="5" s="1"/>
  <c r="C517" i="5"/>
  <c r="F517" i="5" s="1"/>
  <c r="B517" i="5"/>
  <c r="I516" i="5"/>
  <c r="H516" i="5"/>
  <c r="F516" i="5"/>
  <c r="C516" i="5"/>
  <c r="G516" i="5" s="1"/>
  <c r="B516" i="5"/>
  <c r="G515" i="5"/>
  <c r="H515" i="5" s="1"/>
  <c r="F515" i="5"/>
  <c r="C515" i="5"/>
  <c r="B515" i="5"/>
  <c r="F514" i="5"/>
  <c r="C514" i="5"/>
  <c r="B514" i="5"/>
  <c r="F513" i="5"/>
  <c r="C513" i="5"/>
  <c r="G513" i="5" s="1"/>
  <c r="B513" i="5"/>
  <c r="G512" i="5"/>
  <c r="I512" i="5" s="1"/>
  <c r="F512" i="5"/>
  <c r="C512" i="5"/>
  <c r="B512" i="5"/>
  <c r="F511" i="5"/>
  <c r="C511" i="5"/>
  <c r="G511" i="5" s="1"/>
  <c r="B511" i="5"/>
  <c r="C510" i="5"/>
  <c r="B510" i="5"/>
  <c r="C509" i="5"/>
  <c r="B509" i="5"/>
  <c r="I508" i="5"/>
  <c r="H508" i="5"/>
  <c r="F508" i="5"/>
  <c r="C508" i="5"/>
  <c r="G508" i="5" s="1"/>
  <c r="B508" i="5"/>
  <c r="I507" i="5"/>
  <c r="G507" i="5"/>
  <c r="H507" i="5" s="1"/>
  <c r="F507" i="5"/>
  <c r="C507" i="5"/>
  <c r="B507" i="5"/>
  <c r="G506" i="5"/>
  <c r="I506" i="5" s="1"/>
  <c r="F506" i="5"/>
  <c r="C506" i="5"/>
  <c r="B506" i="5"/>
  <c r="C505" i="5"/>
  <c r="B505" i="5"/>
  <c r="G504" i="5"/>
  <c r="F504" i="5"/>
  <c r="C504" i="5"/>
  <c r="B504" i="5"/>
  <c r="G503" i="5"/>
  <c r="F503" i="5"/>
  <c r="C503" i="5"/>
  <c r="B503" i="5"/>
  <c r="F502" i="5"/>
  <c r="C502" i="5"/>
  <c r="G502" i="5" s="1"/>
  <c r="B502" i="5"/>
  <c r="C501" i="5"/>
  <c r="B501" i="5"/>
  <c r="C500" i="5"/>
  <c r="B500" i="5"/>
  <c r="G499" i="5"/>
  <c r="H499" i="5" s="1"/>
  <c r="F499" i="5"/>
  <c r="C499" i="5"/>
  <c r="B499" i="5"/>
  <c r="G498" i="5"/>
  <c r="F498" i="5"/>
  <c r="C498" i="5"/>
  <c r="B498" i="5"/>
  <c r="H497" i="5"/>
  <c r="G497" i="5"/>
  <c r="I497" i="5" s="1"/>
  <c r="F497" i="5"/>
  <c r="C497" i="5"/>
  <c r="B497" i="5"/>
  <c r="H496" i="5"/>
  <c r="G496" i="5"/>
  <c r="I496" i="5" s="1"/>
  <c r="F496" i="5"/>
  <c r="C496" i="5"/>
  <c r="B496" i="5"/>
  <c r="H495" i="5"/>
  <c r="G495" i="5"/>
  <c r="I495" i="5" s="1"/>
  <c r="C495" i="5"/>
  <c r="F495" i="5" s="1"/>
  <c r="B495" i="5"/>
  <c r="C494" i="5"/>
  <c r="B494" i="5"/>
  <c r="C493" i="5"/>
  <c r="B493" i="5"/>
  <c r="F492" i="5"/>
  <c r="C492" i="5"/>
  <c r="G492" i="5" s="1"/>
  <c r="B492" i="5"/>
  <c r="G491" i="5"/>
  <c r="C491" i="5"/>
  <c r="F491" i="5" s="1"/>
  <c r="B491" i="5"/>
  <c r="H490" i="5"/>
  <c r="G490" i="5"/>
  <c r="I490" i="5" s="1"/>
  <c r="F490" i="5"/>
  <c r="C490" i="5"/>
  <c r="B490" i="5"/>
  <c r="C489" i="5"/>
  <c r="B489" i="5"/>
  <c r="C488" i="5"/>
  <c r="B488" i="5"/>
  <c r="C487" i="5"/>
  <c r="B487" i="5"/>
  <c r="I486" i="5"/>
  <c r="H486" i="5"/>
  <c r="C486" i="5"/>
  <c r="G486" i="5" s="1"/>
  <c r="B486" i="5"/>
  <c r="G485" i="5"/>
  <c r="C485" i="5"/>
  <c r="F485" i="5" s="1"/>
  <c r="B485" i="5"/>
  <c r="G484" i="5"/>
  <c r="I484" i="5" s="1"/>
  <c r="F484" i="5"/>
  <c r="C484" i="5"/>
  <c r="B484" i="5"/>
  <c r="G483" i="5"/>
  <c r="H483" i="5" s="1"/>
  <c r="F483" i="5"/>
  <c r="C483" i="5"/>
  <c r="B483" i="5"/>
  <c r="H482" i="5"/>
  <c r="G482" i="5"/>
  <c r="I482" i="5" s="1"/>
  <c r="F482" i="5"/>
  <c r="C482" i="5"/>
  <c r="B482" i="5"/>
  <c r="I481" i="5"/>
  <c r="H481" i="5"/>
  <c r="G481" i="5"/>
  <c r="F481" i="5"/>
  <c r="C481" i="5"/>
  <c r="B481" i="5"/>
  <c r="H480" i="5"/>
  <c r="G480" i="5"/>
  <c r="I480" i="5" s="1"/>
  <c r="C480" i="5"/>
  <c r="F480" i="5" s="1"/>
  <c r="B480" i="5"/>
  <c r="C479" i="5"/>
  <c r="B479" i="5"/>
  <c r="I478" i="5"/>
  <c r="F478" i="5"/>
  <c r="C478" i="5"/>
  <c r="G478" i="5" s="1"/>
  <c r="H478" i="5" s="1"/>
  <c r="B478" i="5"/>
  <c r="C477" i="5"/>
  <c r="B477" i="5"/>
  <c r="G476" i="5"/>
  <c r="F476" i="5"/>
  <c r="C476" i="5"/>
  <c r="B476" i="5"/>
  <c r="H475" i="5"/>
  <c r="G475" i="5"/>
  <c r="I475" i="5" s="1"/>
  <c r="F475" i="5"/>
  <c r="C475" i="5"/>
  <c r="B475" i="5"/>
  <c r="G474" i="5"/>
  <c r="F474" i="5"/>
  <c r="C474" i="5"/>
  <c r="B474" i="5"/>
  <c r="C473" i="5"/>
  <c r="B473" i="5"/>
  <c r="G472" i="5"/>
  <c r="I472" i="5" s="1"/>
  <c r="C472" i="5"/>
  <c r="F472" i="5" s="1"/>
  <c r="B472" i="5"/>
  <c r="C471" i="5"/>
  <c r="B471" i="5"/>
  <c r="I470" i="5"/>
  <c r="F470" i="5"/>
  <c r="C470" i="5"/>
  <c r="G470" i="5" s="1"/>
  <c r="H470" i="5" s="1"/>
  <c r="B470" i="5"/>
  <c r="C469" i="5"/>
  <c r="B469" i="5"/>
  <c r="C468" i="5"/>
  <c r="G468" i="5" s="1"/>
  <c r="B468" i="5"/>
  <c r="G467" i="5"/>
  <c r="F467" i="5"/>
  <c r="C467" i="5"/>
  <c r="B467" i="5"/>
  <c r="G466" i="5"/>
  <c r="I466" i="5" s="1"/>
  <c r="F466" i="5"/>
  <c r="C466" i="5"/>
  <c r="B466" i="5"/>
  <c r="C465" i="5"/>
  <c r="G465" i="5" s="1"/>
  <c r="B465" i="5"/>
  <c r="I464" i="5"/>
  <c r="H464" i="5"/>
  <c r="G464" i="5"/>
  <c r="C464" i="5"/>
  <c r="F464" i="5" s="1"/>
  <c r="B464" i="5"/>
  <c r="C463" i="5"/>
  <c r="B463" i="5"/>
  <c r="F462" i="5"/>
  <c r="C462" i="5"/>
  <c r="G462" i="5" s="1"/>
  <c r="B462" i="5"/>
  <c r="G461" i="5"/>
  <c r="C461" i="5"/>
  <c r="F461" i="5" s="1"/>
  <c r="B461" i="5"/>
  <c r="G460" i="5"/>
  <c r="I460" i="5" s="1"/>
  <c r="F460" i="5"/>
  <c r="C460" i="5"/>
  <c r="B460" i="5"/>
  <c r="I459" i="5"/>
  <c r="H459" i="5"/>
  <c r="G459" i="5"/>
  <c r="F459" i="5"/>
  <c r="C459" i="5"/>
  <c r="B459" i="5"/>
  <c r="G458" i="5"/>
  <c r="F458" i="5"/>
  <c r="C458" i="5"/>
  <c r="B458" i="5"/>
  <c r="I457" i="5"/>
  <c r="G457" i="5"/>
  <c r="H457" i="5" s="1"/>
  <c r="C457" i="5"/>
  <c r="F457" i="5" s="1"/>
  <c r="B457" i="5"/>
  <c r="C456" i="5"/>
  <c r="B456" i="5"/>
  <c r="C455" i="5"/>
  <c r="B455" i="5"/>
  <c r="C454" i="5"/>
  <c r="G454" i="5" s="1"/>
  <c r="B454" i="5"/>
  <c r="C453" i="5"/>
  <c r="B453" i="5"/>
  <c r="H452" i="5"/>
  <c r="G452" i="5"/>
  <c r="I452" i="5" s="1"/>
  <c r="F452" i="5"/>
  <c r="C452" i="5"/>
  <c r="B452" i="5"/>
  <c r="G451" i="5"/>
  <c r="I451" i="5" s="1"/>
  <c r="F451" i="5"/>
  <c r="C451" i="5"/>
  <c r="B451" i="5"/>
  <c r="I450" i="5"/>
  <c r="H450" i="5"/>
  <c r="G450" i="5"/>
  <c r="F450" i="5"/>
  <c r="C450" i="5"/>
  <c r="B450" i="5"/>
  <c r="C449" i="5"/>
  <c r="B449" i="5"/>
  <c r="C448" i="5"/>
  <c r="B448" i="5"/>
  <c r="C447" i="5"/>
  <c r="B447" i="5"/>
  <c r="C446" i="5"/>
  <c r="B446" i="5"/>
  <c r="G445" i="5"/>
  <c r="F445" i="5"/>
  <c r="C445" i="5"/>
  <c r="B445" i="5"/>
  <c r="G444" i="5"/>
  <c r="I444" i="5" s="1"/>
  <c r="F444" i="5"/>
  <c r="C444" i="5"/>
  <c r="B444" i="5"/>
  <c r="G443" i="5"/>
  <c r="F443" i="5"/>
  <c r="C443" i="5"/>
  <c r="B443" i="5"/>
  <c r="G442" i="5"/>
  <c r="I442" i="5" s="1"/>
  <c r="F442" i="5"/>
  <c r="C442" i="5"/>
  <c r="B442" i="5"/>
  <c r="G441" i="5"/>
  <c r="C441" i="5"/>
  <c r="F441" i="5" s="1"/>
  <c r="B441" i="5"/>
  <c r="C440" i="5"/>
  <c r="B440" i="5"/>
  <c r="C439" i="5"/>
  <c r="B439" i="5"/>
  <c r="F438" i="5"/>
  <c r="C438" i="5"/>
  <c r="G438" i="5" s="1"/>
  <c r="B438" i="5"/>
  <c r="G437" i="5"/>
  <c r="F437" i="5"/>
  <c r="C437" i="5"/>
  <c r="B437" i="5"/>
  <c r="G436" i="5"/>
  <c r="F436" i="5"/>
  <c r="C436" i="5"/>
  <c r="B436" i="5"/>
  <c r="I435" i="5"/>
  <c r="G435" i="5"/>
  <c r="H435" i="5" s="1"/>
  <c r="F435" i="5"/>
  <c r="C435" i="5"/>
  <c r="B435" i="5"/>
  <c r="I434" i="5"/>
  <c r="H434" i="5"/>
  <c r="G434" i="5"/>
  <c r="F434" i="5"/>
  <c r="C434" i="5"/>
  <c r="B434" i="5"/>
  <c r="I433" i="5"/>
  <c r="H433" i="5"/>
  <c r="G433" i="5"/>
  <c r="F433" i="5"/>
  <c r="C433" i="5"/>
  <c r="B433" i="5"/>
  <c r="G432" i="5"/>
  <c r="C432" i="5"/>
  <c r="F432" i="5" s="1"/>
  <c r="B432" i="5"/>
  <c r="C431" i="5"/>
  <c r="B431" i="5"/>
  <c r="C430" i="5"/>
  <c r="B430" i="5"/>
  <c r="C429" i="5"/>
  <c r="B429" i="5"/>
  <c r="C428" i="5"/>
  <c r="B428" i="5"/>
  <c r="G427" i="5"/>
  <c r="H427" i="5" s="1"/>
  <c r="F427" i="5"/>
  <c r="C427" i="5"/>
  <c r="B427" i="5"/>
  <c r="H426" i="5"/>
  <c r="G426" i="5"/>
  <c r="I426" i="5" s="1"/>
  <c r="F426" i="5"/>
  <c r="C426" i="5"/>
  <c r="B426" i="5"/>
  <c r="C425" i="5"/>
  <c r="B425" i="5"/>
  <c r="G424" i="5"/>
  <c r="C424" i="5"/>
  <c r="F424" i="5" s="1"/>
  <c r="B424" i="5"/>
  <c r="C423" i="5"/>
  <c r="B423" i="5"/>
  <c r="I422" i="5"/>
  <c r="H422" i="5"/>
  <c r="F422" i="5"/>
  <c r="C422" i="5"/>
  <c r="G422" i="5" s="1"/>
  <c r="B422" i="5"/>
  <c r="F421" i="5"/>
  <c r="C421" i="5"/>
  <c r="G421" i="5" s="1"/>
  <c r="B421" i="5"/>
  <c r="G420" i="5"/>
  <c r="I420" i="5" s="1"/>
  <c r="F420" i="5"/>
  <c r="C420" i="5"/>
  <c r="B420" i="5"/>
  <c r="C419" i="5"/>
  <c r="G419" i="5" s="1"/>
  <c r="B419" i="5"/>
  <c r="I418" i="5"/>
  <c r="G418" i="5"/>
  <c r="H418" i="5" s="1"/>
  <c r="F418" i="5"/>
  <c r="C418" i="5"/>
  <c r="B418" i="5"/>
  <c r="I417" i="5"/>
  <c r="G417" i="5"/>
  <c r="H417" i="5" s="1"/>
  <c r="F417" i="5"/>
  <c r="C417" i="5"/>
  <c r="B417" i="5"/>
  <c r="C416" i="5"/>
  <c r="B416" i="5"/>
  <c r="G415" i="5"/>
  <c r="C415" i="5"/>
  <c r="F415" i="5" s="1"/>
  <c r="B415" i="5"/>
  <c r="C414" i="5"/>
  <c r="B414" i="5"/>
  <c r="G413" i="5"/>
  <c r="H413" i="5" s="1"/>
  <c r="C413" i="5"/>
  <c r="F413" i="5" s="1"/>
  <c r="B413" i="5"/>
  <c r="C412" i="5"/>
  <c r="B412" i="5"/>
  <c r="I411" i="5"/>
  <c r="G411" i="5"/>
  <c r="H411" i="5" s="1"/>
  <c r="F411" i="5"/>
  <c r="C411" i="5"/>
  <c r="B411" i="5"/>
  <c r="I410" i="5"/>
  <c r="H410" i="5"/>
  <c r="G410" i="5"/>
  <c r="F410" i="5"/>
  <c r="C410" i="5"/>
  <c r="B410" i="5"/>
  <c r="C409" i="5"/>
  <c r="F409" i="5" s="1"/>
  <c r="B409" i="5"/>
  <c r="G408" i="5"/>
  <c r="I408" i="5" s="1"/>
  <c r="F408" i="5"/>
  <c r="C408" i="5"/>
  <c r="B408" i="5"/>
  <c r="G407" i="5"/>
  <c r="C407" i="5"/>
  <c r="F407" i="5" s="1"/>
  <c r="B407" i="5"/>
  <c r="I406" i="5"/>
  <c r="C406" i="5"/>
  <c r="G406" i="5" s="1"/>
  <c r="H406" i="5" s="1"/>
  <c r="B406" i="5"/>
  <c r="C405" i="5"/>
  <c r="B405" i="5"/>
  <c r="G404" i="5"/>
  <c r="F404" i="5"/>
  <c r="C404" i="5"/>
  <c r="B404" i="5"/>
  <c r="G403" i="5"/>
  <c r="I403" i="5" s="1"/>
  <c r="F403" i="5"/>
  <c r="C403" i="5"/>
  <c r="B403" i="5"/>
  <c r="I402" i="5"/>
  <c r="H402" i="5"/>
  <c r="G402" i="5"/>
  <c r="F402" i="5"/>
  <c r="C402" i="5"/>
  <c r="B402" i="5"/>
  <c r="H401" i="5"/>
  <c r="G401" i="5"/>
  <c r="I401" i="5" s="1"/>
  <c r="F401" i="5"/>
  <c r="C401" i="5"/>
  <c r="B401" i="5"/>
  <c r="I400" i="5"/>
  <c r="G400" i="5"/>
  <c r="H400" i="5" s="1"/>
  <c r="F400" i="5"/>
  <c r="C400" i="5"/>
  <c r="B400" i="5"/>
  <c r="I399" i="5"/>
  <c r="H399" i="5"/>
  <c r="G399" i="5"/>
  <c r="F399" i="5"/>
  <c r="C399" i="5"/>
  <c r="B399" i="5"/>
  <c r="G398" i="5"/>
  <c r="C398" i="5"/>
  <c r="F398" i="5" s="1"/>
  <c r="B398" i="5"/>
  <c r="H397" i="5"/>
  <c r="F397" i="5"/>
  <c r="C397" i="5"/>
  <c r="G397" i="5" s="1"/>
  <c r="I397" i="5" s="1"/>
  <c r="B397" i="5"/>
  <c r="G396" i="5"/>
  <c r="I396" i="5" s="1"/>
  <c r="F396" i="5"/>
  <c r="C396" i="5"/>
  <c r="B396" i="5"/>
  <c r="I395" i="5"/>
  <c r="G395" i="5"/>
  <c r="H395" i="5" s="1"/>
  <c r="C395" i="5"/>
  <c r="F395" i="5" s="1"/>
  <c r="B395" i="5"/>
  <c r="I394" i="5"/>
  <c r="H394" i="5"/>
  <c r="G394" i="5"/>
  <c r="F394" i="5"/>
  <c r="C394" i="5"/>
  <c r="B394" i="5"/>
  <c r="I393" i="5"/>
  <c r="G393" i="5"/>
  <c r="H393" i="5" s="1"/>
  <c r="F393" i="5"/>
  <c r="C393" i="5"/>
  <c r="B393" i="5"/>
  <c r="C392" i="5"/>
  <c r="B392" i="5"/>
  <c r="C391" i="5"/>
  <c r="B391" i="5"/>
  <c r="C390" i="5"/>
  <c r="B390" i="5"/>
  <c r="G389" i="5"/>
  <c r="F389" i="5"/>
  <c r="C389" i="5"/>
  <c r="B389" i="5"/>
  <c r="C388" i="5"/>
  <c r="G388" i="5" s="1"/>
  <c r="B388" i="5"/>
  <c r="C387" i="5"/>
  <c r="B387" i="5"/>
  <c r="I386" i="5"/>
  <c r="G386" i="5"/>
  <c r="H386" i="5" s="1"/>
  <c r="F386" i="5"/>
  <c r="C386" i="5"/>
  <c r="B386" i="5"/>
  <c r="C385" i="5"/>
  <c r="G385" i="5" s="1"/>
  <c r="B385" i="5"/>
  <c r="F384" i="5"/>
  <c r="C384" i="5"/>
  <c r="G384" i="5" s="1"/>
  <c r="B384" i="5"/>
  <c r="G383" i="5"/>
  <c r="F383" i="5"/>
  <c r="C383" i="5"/>
  <c r="B383" i="5"/>
  <c r="H382" i="5"/>
  <c r="G382" i="5"/>
  <c r="I382" i="5" s="1"/>
  <c r="F382" i="5"/>
  <c r="C382" i="5"/>
  <c r="B382" i="5"/>
  <c r="G381" i="5"/>
  <c r="F381" i="5"/>
  <c r="C381" i="5"/>
  <c r="B381" i="5"/>
  <c r="I380" i="5"/>
  <c r="H380" i="5"/>
  <c r="G380" i="5"/>
  <c r="F380" i="5"/>
  <c r="C380" i="5"/>
  <c r="B380" i="5"/>
  <c r="C379" i="5"/>
  <c r="B379" i="5"/>
  <c r="C378" i="5"/>
  <c r="B378" i="5"/>
  <c r="C377" i="5"/>
  <c r="B377" i="5"/>
  <c r="C376" i="5"/>
  <c r="B376" i="5"/>
  <c r="G375" i="5"/>
  <c r="F375" i="5"/>
  <c r="C375" i="5"/>
  <c r="B375" i="5"/>
  <c r="G374" i="5"/>
  <c r="F374" i="5"/>
  <c r="C374" i="5"/>
  <c r="B374" i="5"/>
  <c r="G373" i="5"/>
  <c r="I373" i="5" s="1"/>
  <c r="F373" i="5"/>
  <c r="C373" i="5"/>
  <c r="B373" i="5"/>
  <c r="I372" i="5"/>
  <c r="H372" i="5"/>
  <c r="G372" i="5"/>
  <c r="F372" i="5"/>
  <c r="C372" i="5"/>
  <c r="B372" i="5"/>
  <c r="C371" i="5"/>
  <c r="B371" i="5"/>
  <c r="I370" i="5"/>
  <c r="H370" i="5"/>
  <c r="G370" i="5"/>
  <c r="C370" i="5"/>
  <c r="F370" i="5" s="1"/>
  <c r="B370" i="5"/>
  <c r="C369" i="5"/>
  <c r="B369" i="5"/>
  <c r="I368" i="5"/>
  <c r="C368" i="5"/>
  <c r="G368" i="5" s="1"/>
  <c r="H368" i="5" s="1"/>
  <c r="B368" i="5"/>
  <c r="F367" i="5"/>
  <c r="C367" i="5"/>
  <c r="G367" i="5" s="1"/>
  <c r="B367" i="5"/>
  <c r="C366" i="5"/>
  <c r="B366" i="5"/>
  <c r="G365" i="5"/>
  <c r="F365" i="5"/>
  <c r="C365" i="5"/>
  <c r="B365" i="5"/>
  <c r="H364" i="5"/>
  <c r="G364" i="5"/>
  <c r="I364" i="5" s="1"/>
  <c r="F364" i="5"/>
  <c r="C364" i="5"/>
  <c r="B364" i="5"/>
  <c r="F363" i="5"/>
  <c r="C363" i="5"/>
  <c r="G363" i="5" s="1"/>
  <c r="B363" i="5"/>
  <c r="C362" i="5"/>
  <c r="B362" i="5"/>
  <c r="F361" i="5"/>
  <c r="C361" i="5"/>
  <c r="G361" i="5" s="1"/>
  <c r="B361" i="5"/>
  <c r="G360" i="5"/>
  <c r="F360" i="5"/>
  <c r="C360" i="5"/>
  <c r="B360" i="5"/>
  <c r="H359" i="5"/>
  <c r="G359" i="5"/>
  <c r="I359" i="5" s="1"/>
  <c r="F359" i="5"/>
  <c r="C359" i="5"/>
  <c r="B359" i="5"/>
  <c r="G358" i="5"/>
  <c r="F358" i="5"/>
  <c r="C358" i="5"/>
  <c r="B358" i="5"/>
  <c r="I357" i="5"/>
  <c r="H357" i="5"/>
  <c r="G357" i="5"/>
  <c r="F357" i="5"/>
  <c r="C357" i="5"/>
  <c r="B357" i="5"/>
  <c r="C356" i="5"/>
  <c r="B356" i="5"/>
  <c r="C355" i="5"/>
  <c r="B355" i="5"/>
  <c r="C354" i="5"/>
  <c r="B354" i="5"/>
  <c r="F353" i="5"/>
  <c r="C353" i="5"/>
  <c r="G353" i="5" s="1"/>
  <c r="B353" i="5"/>
  <c r="G352" i="5"/>
  <c r="F352" i="5"/>
  <c r="C352" i="5"/>
  <c r="B352" i="5"/>
  <c r="H351" i="5"/>
  <c r="G351" i="5"/>
  <c r="I351" i="5" s="1"/>
  <c r="F351" i="5"/>
  <c r="C351" i="5"/>
  <c r="B351" i="5"/>
  <c r="G350" i="5"/>
  <c r="F350" i="5"/>
  <c r="C350" i="5"/>
  <c r="B350" i="5"/>
  <c r="I349" i="5"/>
  <c r="H349" i="5"/>
  <c r="G349" i="5"/>
  <c r="F349" i="5"/>
  <c r="C349" i="5"/>
  <c r="B349" i="5"/>
  <c r="C348" i="5"/>
  <c r="B348" i="5"/>
  <c r="C347" i="5"/>
  <c r="B347" i="5"/>
  <c r="C346" i="5"/>
  <c r="B346" i="5"/>
  <c r="F345" i="5"/>
  <c r="C345" i="5"/>
  <c r="G345" i="5" s="1"/>
  <c r="B345" i="5"/>
  <c r="G344" i="5"/>
  <c r="F344" i="5"/>
  <c r="C344" i="5"/>
  <c r="B344" i="5"/>
  <c r="H343" i="5"/>
  <c r="G343" i="5"/>
  <c r="I343" i="5" s="1"/>
  <c r="F343" i="5"/>
  <c r="C343" i="5"/>
  <c r="B343" i="5"/>
  <c r="G342" i="5"/>
  <c r="C342" i="5"/>
  <c r="F342" i="5" s="1"/>
  <c r="B342" i="5"/>
  <c r="I341" i="5"/>
  <c r="H341" i="5"/>
  <c r="G341" i="5"/>
  <c r="F341" i="5"/>
  <c r="C341" i="5"/>
  <c r="B341" i="5"/>
  <c r="C340" i="5"/>
  <c r="B340" i="5"/>
  <c r="C339" i="5"/>
  <c r="B339" i="5"/>
  <c r="C338" i="5"/>
  <c r="B338" i="5"/>
  <c r="F337" i="5"/>
  <c r="C337" i="5"/>
  <c r="G337" i="5" s="1"/>
  <c r="B337" i="5"/>
  <c r="G336" i="5"/>
  <c r="F336" i="5"/>
  <c r="C336" i="5"/>
  <c r="B336" i="5"/>
  <c r="G335" i="5"/>
  <c r="I335" i="5" s="1"/>
  <c r="F335" i="5"/>
  <c r="C335" i="5"/>
  <c r="B335" i="5"/>
  <c r="H334" i="5"/>
  <c r="G334" i="5"/>
  <c r="I334" i="5" s="1"/>
  <c r="C334" i="5"/>
  <c r="F334" i="5" s="1"/>
  <c r="B334" i="5"/>
  <c r="I333" i="5"/>
  <c r="H333" i="5"/>
  <c r="G333" i="5"/>
  <c r="C333" i="5"/>
  <c r="F333" i="5" s="1"/>
  <c r="B333" i="5"/>
  <c r="C332" i="5"/>
  <c r="B332" i="5"/>
  <c r="C331" i="5"/>
  <c r="B331" i="5"/>
  <c r="C330" i="5"/>
  <c r="B330" i="5"/>
  <c r="F329" i="5"/>
  <c r="C329" i="5"/>
  <c r="G329" i="5" s="1"/>
  <c r="B329" i="5"/>
  <c r="G328" i="5"/>
  <c r="F328" i="5"/>
  <c r="C328" i="5"/>
  <c r="B328" i="5"/>
  <c r="H327" i="5"/>
  <c r="G327" i="5"/>
  <c r="I327" i="5" s="1"/>
  <c r="F327" i="5"/>
  <c r="C327" i="5"/>
  <c r="B327" i="5"/>
  <c r="I326" i="5"/>
  <c r="H326" i="5"/>
  <c r="G326" i="5"/>
  <c r="C326" i="5"/>
  <c r="F326" i="5" s="1"/>
  <c r="B326" i="5"/>
  <c r="I325" i="5"/>
  <c r="H325" i="5"/>
  <c r="G325" i="5"/>
  <c r="F325" i="5"/>
  <c r="C325" i="5"/>
  <c r="B325" i="5"/>
  <c r="C324" i="5"/>
  <c r="B324" i="5"/>
  <c r="F323" i="5"/>
  <c r="C323" i="5"/>
  <c r="B323" i="5"/>
  <c r="G322" i="5"/>
  <c r="C322" i="5"/>
  <c r="F322" i="5" s="1"/>
  <c r="B322" i="5"/>
  <c r="H321" i="5"/>
  <c r="C321" i="5"/>
  <c r="G321" i="5" s="1"/>
  <c r="I321" i="5" s="1"/>
  <c r="B321" i="5"/>
  <c r="G320" i="5"/>
  <c r="H320" i="5" s="1"/>
  <c r="F320" i="5"/>
  <c r="C320" i="5"/>
  <c r="B320" i="5"/>
  <c r="H319" i="5"/>
  <c r="G319" i="5"/>
  <c r="I319" i="5" s="1"/>
  <c r="F319" i="5"/>
  <c r="C319" i="5"/>
  <c r="B319" i="5"/>
  <c r="C318" i="5"/>
  <c r="B318" i="5"/>
  <c r="I317" i="5"/>
  <c r="H317" i="5"/>
  <c r="G317" i="5"/>
  <c r="C317" i="5"/>
  <c r="F317" i="5" s="1"/>
  <c r="B317" i="5"/>
  <c r="C316" i="5"/>
  <c r="B316" i="5"/>
  <c r="I315" i="5"/>
  <c r="F315" i="5"/>
  <c r="C315" i="5"/>
  <c r="G315" i="5" s="1"/>
  <c r="H315" i="5" s="1"/>
  <c r="B315" i="5"/>
  <c r="C314" i="5"/>
  <c r="F314" i="5" s="1"/>
  <c r="B314" i="5"/>
  <c r="C313" i="5"/>
  <c r="B313" i="5"/>
  <c r="I312" i="5"/>
  <c r="G312" i="5"/>
  <c r="H312" i="5" s="1"/>
  <c r="F312" i="5"/>
  <c r="C312" i="5"/>
  <c r="B312" i="5"/>
  <c r="G311" i="5"/>
  <c r="I311" i="5" s="1"/>
  <c r="F311" i="5"/>
  <c r="C311" i="5"/>
  <c r="B311" i="5"/>
  <c r="I310" i="5"/>
  <c r="H310" i="5"/>
  <c r="G310" i="5"/>
  <c r="F310" i="5"/>
  <c r="C310" i="5"/>
  <c r="B310" i="5"/>
  <c r="G309" i="5"/>
  <c r="I309" i="5" s="1"/>
  <c r="C309" i="5"/>
  <c r="F309" i="5" s="1"/>
  <c r="B309" i="5"/>
  <c r="C308" i="5"/>
  <c r="B308" i="5"/>
  <c r="C307" i="5"/>
  <c r="G307" i="5" s="1"/>
  <c r="H307" i="5" s="1"/>
  <c r="B307" i="5"/>
  <c r="C306" i="5"/>
  <c r="B306" i="5"/>
  <c r="H305" i="5"/>
  <c r="F305" i="5"/>
  <c r="C305" i="5"/>
  <c r="G305" i="5" s="1"/>
  <c r="I305" i="5" s="1"/>
  <c r="B305" i="5"/>
  <c r="I304" i="5"/>
  <c r="G304" i="5"/>
  <c r="H304" i="5" s="1"/>
  <c r="F304" i="5"/>
  <c r="C304" i="5"/>
  <c r="B304" i="5"/>
  <c r="H303" i="5"/>
  <c r="G303" i="5"/>
  <c r="I303" i="5" s="1"/>
  <c r="F303" i="5"/>
  <c r="C303" i="5"/>
  <c r="B303" i="5"/>
  <c r="F302" i="5"/>
  <c r="C302" i="5"/>
  <c r="B302" i="5"/>
  <c r="H301" i="5"/>
  <c r="G301" i="5"/>
  <c r="I301" i="5" s="1"/>
  <c r="C301" i="5"/>
  <c r="F301" i="5" s="1"/>
  <c r="B301" i="5"/>
  <c r="C300" i="5"/>
  <c r="B300" i="5"/>
  <c r="C299" i="5"/>
  <c r="B299" i="5"/>
  <c r="G298" i="5"/>
  <c r="C298" i="5"/>
  <c r="F298" i="5" s="1"/>
  <c r="B298" i="5"/>
  <c r="H297" i="5"/>
  <c r="F297" i="5"/>
  <c r="C297" i="5"/>
  <c r="G297" i="5" s="1"/>
  <c r="I297" i="5" s="1"/>
  <c r="B297" i="5"/>
  <c r="I296" i="5"/>
  <c r="G296" i="5"/>
  <c r="H296" i="5" s="1"/>
  <c r="F296" i="5"/>
  <c r="C296" i="5"/>
  <c r="B296" i="5"/>
  <c r="H295" i="5"/>
  <c r="G295" i="5"/>
  <c r="I295" i="5" s="1"/>
  <c r="F295" i="5"/>
  <c r="C295" i="5"/>
  <c r="B295" i="5"/>
  <c r="C294" i="5"/>
  <c r="B294" i="5"/>
  <c r="C293" i="5"/>
  <c r="B293" i="5"/>
  <c r="C292" i="5"/>
  <c r="B292" i="5"/>
  <c r="F291" i="5"/>
  <c r="C291" i="5"/>
  <c r="G291" i="5" s="1"/>
  <c r="B291" i="5"/>
  <c r="G290" i="5"/>
  <c r="F290" i="5"/>
  <c r="C290" i="5"/>
  <c r="B290" i="5"/>
  <c r="G289" i="5"/>
  <c r="F289" i="5"/>
  <c r="C289" i="5"/>
  <c r="B289" i="5"/>
  <c r="H288" i="5"/>
  <c r="G288" i="5"/>
  <c r="I288" i="5" s="1"/>
  <c r="C288" i="5"/>
  <c r="F288" i="5" s="1"/>
  <c r="B288" i="5"/>
  <c r="I287" i="5"/>
  <c r="H287" i="5"/>
  <c r="G287" i="5"/>
  <c r="F287" i="5"/>
  <c r="C287" i="5"/>
  <c r="B287" i="5"/>
  <c r="C286" i="5"/>
  <c r="B286" i="5"/>
  <c r="C285" i="5"/>
  <c r="B285" i="5"/>
  <c r="C284" i="5"/>
  <c r="B284" i="5"/>
  <c r="F283" i="5"/>
  <c r="C283" i="5"/>
  <c r="G283" i="5" s="1"/>
  <c r="B283" i="5"/>
  <c r="G282" i="5"/>
  <c r="F282" i="5"/>
  <c r="C282" i="5"/>
  <c r="B282" i="5"/>
  <c r="H281" i="5"/>
  <c r="G281" i="5"/>
  <c r="I281" i="5" s="1"/>
  <c r="F281" i="5"/>
  <c r="C281" i="5"/>
  <c r="B281" i="5"/>
  <c r="G280" i="5"/>
  <c r="H280" i="5" s="1"/>
  <c r="C280" i="5"/>
  <c r="F280" i="5" s="1"/>
  <c r="B280" i="5"/>
  <c r="I279" i="5"/>
  <c r="H279" i="5"/>
  <c r="G279" i="5"/>
  <c r="F279" i="5"/>
  <c r="C279" i="5"/>
  <c r="B279" i="5"/>
  <c r="C278" i="5"/>
  <c r="B278" i="5"/>
  <c r="C277" i="5"/>
  <c r="B277" i="5"/>
  <c r="C276" i="5"/>
  <c r="B276" i="5"/>
  <c r="F275" i="5"/>
  <c r="C275" i="5"/>
  <c r="G275" i="5" s="1"/>
  <c r="B275" i="5"/>
  <c r="G274" i="5"/>
  <c r="F274" i="5"/>
  <c r="C274" i="5"/>
  <c r="B274" i="5"/>
  <c r="G273" i="5"/>
  <c r="F273" i="5"/>
  <c r="C273" i="5"/>
  <c r="B273" i="5"/>
  <c r="H272" i="5"/>
  <c r="G272" i="5"/>
  <c r="I272" i="5" s="1"/>
  <c r="C272" i="5"/>
  <c r="F272" i="5" s="1"/>
  <c r="B272" i="5"/>
  <c r="I271" i="5"/>
  <c r="H271" i="5"/>
  <c r="G271" i="5"/>
  <c r="F271" i="5"/>
  <c r="C271" i="5"/>
  <c r="B271" i="5"/>
  <c r="C270" i="5"/>
  <c r="B270" i="5"/>
  <c r="C269" i="5"/>
  <c r="B269" i="5"/>
  <c r="C268" i="5"/>
  <c r="B268" i="5"/>
  <c r="F267" i="5"/>
  <c r="C267" i="5"/>
  <c r="G267" i="5" s="1"/>
  <c r="B267" i="5"/>
  <c r="G266" i="5"/>
  <c r="F266" i="5"/>
  <c r="C266" i="5"/>
  <c r="B266" i="5"/>
  <c r="H265" i="5"/>
  <c r="G265" i="5"/>
  <c r="I265" i="5" s="1"/>
  <c r="F265" i="5"/>
  <c r="C265" i="5"/>
  <c r="B265" i="5"/>
  <c r="G264" i="5"/>
  <c r="C264" i="5"/>
  <c r="F264" i="5" s="1"/>
  <c r="B264" i="5"/>
  <c r="I263" i="5"/>
  <c r="H263" i="5"/>
  <c r="G263" i="5"/>
  <c r="F263" i="5"/>
  <c r="C263" i="5"/>
  <c r="B263" i="5"/>
  <c r="C262" i="5"/>
  <c r="B262" i="5"/>
  <c r="C261" i="5"/>
  <c r="B261" i="5"/>
  <c r="C260" i="5"/>
  <c r="B260" i="5"/>
  <c r="F259" i="5"/>
  <c r="C259" i="5"/>
  <c r="G259" i="5" s="1"/>
  <c r="B259" i="5"/>
  <c r="G258" i="5"/>
  <c r="F258" i="5"/>
  <c r="C258" i="5"/>
  <c r="B258" i="5"/>
  <c r="H257" i="5"/>
  <c r="G257" i="5"/>
  <c r="I257" i="5" s="1"/>
  <c r="F257" i="5"/>
  <c r="C257" i="5"/>
  <c r="B257" i="5"/>
  <c r="I256" i="5"/>
  <c r="H256" i="5"/>
  <c r="G256" i="5"/>
  <c r="C256" i="5"/>
  <c r="F256" i="5" s="1"/>
  <c r="B256" i="5"/>
  <c r="I255" i="5"/>
  <c r="H255" i="5"/>
  <c r="G255" i="5"/>
  <c r="C255" i="5"/>
  <c r="F255" i="5" s="1"/>
  <c r="B255" i="5"/>
  <c r="C254" i="5"/>
  <c r="B254" i="5"/>
  <c r="C253" i="5"/>
  <c r="G253" i="5" s="1"/>
  <c r="B253" i="5"/>
  <c r="G252" i="5"/>
  <c r="C252" i="5"/>
  <c r="F252" i="5" s="1"/>
  <c r="B252" i="5"/>
  <c r="H251" i="5"/>
  <c r="F251" i="5"/>
  <c r="C251" i="5"/>
  <c r="G251" i="5" s="1"/>
  <c r="I251" i="5" s="1"/>
  <c r="B251" i="5"/>
  <c r="G250" i="5"/>
  <c r="F250" i="5"/>
  <c r="C250" i="5"/>
  <c r="B250" i="5"/>
  <c r="H249" i="5"/>
  <c r="G249" i="5"/>
  <c r="I249" i="5" s="1"/>
  <c r="F249" i="5"/>
  <c r="C249" i="5"/>
  <c r="B249" i="5"/>
  <c r="F248" i="5"/>
  <c r="C248" i="5"/>
  <c r="B248" i="5"/>
  <c r="H247" i="5"/>
  <c r="G247" i="5"/>
  <c r="I247" i="5" s="1"/>
  <c r="C247" i="5"/>
  <c r="F247" i="5" s="1"/>
  <c r="B247" i="5"/>
  <c r="C246" i="5"/>
  <c r="B246" i="5"/>
  <c r="I245" i="5"/>
  <c r="C245" i="5"/>
  <c r="G245" i="5" s="1"/>
  <c r="H245" i="5" s="1"/>
  <c r="B245" i="5"/>
  <c r="F244" i="5"/>
  <c r="C244" i="5"/>
  <c r="G244" i="5" s="1"/>
  <c r="B244" i="5"/>
  <c r="C243" i="5"/>
  <c r="B243" i="5"/>
  <c r="F242" i="5"/>
  <c r="C242" i="5"/>
  <c r="G242" i="5" s="1"/>
  <c r="B242" i="5"/>
  <c r="I241" i="5"/>
  <c r="G241" i="5"/>
  <c r="H241" i="5" s="1"/>
  <c r="F241" i="5"/>
  <c r="C241" i="5"/>
  <c r="B241" i="5"/>
  <c r="H240" i="5"/>
  <c r="G240" i="5"/>
  <c r="I240" i="5" s="1"/>
  <c r="F240" i="5"/>
  <c r="C240" i="5"/>
  <c r="B240" i="5"/>
  <c r="C239" i="5"/>
  <c r="B239" i="5"/>
  <c r="H238" i="5"/>
  <c r="G238" i="5"/>
  <c r="I238" i="5" s="1"/>
  <c r="F238" i="5"/>
  <c r="C238" i="5"/>
  <c r="B238" i="5"/>
  <c r="C237" i="5"/>
  <c r="B237" i="5"/>
  <c r="F236" i="5"/>
  <c r="C236" i="5"/>
  <c r="G236" i="5" s="1"/>
  <c r="B236" i="5"/>
  <c r="C235" i="5"/>
  <c r="B235" i="5"/>
  <c r="F234" i="5"/>
  <c r="C234" i="5"/>
  <c r="G234" i="5" s="1"/>
  <c r="B234" i="5"/>
  <c r="I233" i="5"/>
  <c r="G233" i="5"/>
  <c r="H233" i="5" s="1"/>
  <c r="F233" i="5"/>
  <c r="C233" i="5"/>
  <c r="B233" i="5"/>
  <c r="H232" i="5"/>
  <c r="G232" i="5"/>
  <c r="I232" i="5" s="1"/>
  <c r="F232" i="5"/>
  <c r="C232" i="5"/>
  <c r="B232" i="5"/>
  <c r="C231" i="5"/>
  <c r="G231" i="5" s="1"/>
  <c r="B231" i="5"/>
  <c r="H230" i="5"/>
  <c r="G230" i="5"/>
  <c r="I230" i="5" s="1"/>
  <c r="F230" i="5"/>
  <c r="C230" i="5"/>
  <c r="B230" i="5"/>
  <c r="C229" i="5"/>
  <c r="B229" i="5"/>
  <c r="F228" i="5"/>
  <c r="C228" i="5"/>
  <c r="G228" i="5" s="1"/>
  <c r="B228" i="5"/>
  <c r="G227" i="5"/>
  <c r="C227" i="5"/>
  <c r="F227" i="5" s="1"/>
  <c r="B227" i="5"/>
  <c r="F226" i="5"/>
  <c r="C226" i="5"/>
  <c r="G226" i="5" s="1"/>
  <c r="B226" i="5"/>
  <c r="G225" i="5"/>
  <c r="F225" i="5"/>
  <c r="C225" i="5"/>
  <c r="B225" i="5"/>
  <c r="H224" i="5"/>
  <c r="G224" i="5"/>
  <c r="I224" i="5" s="1"/>
  <c r="F224" i="5"/>
  <c r="C224" i="5"/>
  <c r="B224" i="5"/>
  <c r="I223" i="5"/>
  <c r="G223" i="5"/>
  <c r="H223" i="5" s="1"/>
  <c r="C223" i="5"/>
  <c r="B223" i="5"/>
  <c r="H222" i="5"/>
  <c r="G222" i="5"/>
  <c r="I222" i="5" s="1"/>
  <c r="F222" i="5"/>
  <c r="C222" i="5"/>
  <c r="B222" i="5"/>
  <c r="C221" i="5"/>
  <c r="B221" i="5"/>
  <c r="F220" i="5"/>
  <c r="C220" i="5"/>
  <c r="G220" i="5" s="1"/>
  <c r="B220" i="5"/>
  <c r="G219" i="5"/>
  <c r="C219" i="5"/>
  <c r="F219" i="5" s="1"/>
  <c r="B219" i="5"/>
  <c r="H218" i="5"/>
  <c r="F218" i="5"/>
  <c r="C218" i="5"/>
  <c r="G218" i="5" s="1"/>
  <c r="I218" i="5" s="1"/>
  <c r="B218" i="5"/>
  <c r="G217" i="5"/>
  <c r="H217" i="5" s="1"/>
  <c r="F217" i="5"/>
  <c r="C217" i="5"/>
  <c r="B217" i="5"/>
  <c r="H216" i="5"/>
  <c r="G216" i="5"/>
  <c r="I216" i="5" s="1"/>
  <c r="F216" i="5"/>
  <c r="C216" i="5"/>
  <c r="B216" i="5"/>
  <c r="I215" i="5"/>
  <c r="G215" i="5"/>
  <c r="H215" i="5" s="1"/>
  <c r="C215" i="5"/>
  <c r="B215" i="5"/>
  <c r="H214" i="5"/>
  <c r="G214" i="5"/>
  <c r="I214" i="5" s="1"/>
  <c r="F214" i="5"/>
  <c r="C214" i="5"/>
  <c r="B214" i="5"/>
  <c r="C213" i="5"/>
  <c r="B213" i="5"/>
  <c r="F212" i="5"/>
  <c r="C212" i="5"/>
  <c r="G212" i="5" s="1"/>
  <c r="B212" i="5"/>
  <c r="G211" i="5"/>
  <c r="C211" i="5"/>
  <c r="B211" i="5"/>
  <c r="H210" i="5"/>
  <c r="F210" i="5"/>
  <c r="C210" i="5"/>
  <c r="G210" i="5" s="1"/>
  <c r="I210" i="5" s="1"/>
  <c r="B210" i="5"/>
  <c r="G209" i="5"/>
  <c r="H209" i="5" s="1"/>
  <c r="F209" i="5"/>
  <c r="C209" i="5"/>
  <c r="B209" i="5"/>
  <c r="H208" i="5"/>
  <c r="G208" i="5"/>
  <c r="I208" i="5" s="1"/>
  <c r="F208" i="5"/>
  <c r="C208" i="5"/>
  <c r="B208" i="5"/>
  <c r="C207" i="5"/>
  <c r="B207" i="5"/>
  <c r="H206" i="5"/>
  <c r="G206" i="5"/>
  <c r="I206" i="5" s="1"/>
  <c r="F206" i="5"/>
  <c r="C206" i="5"/>
  <c r="B206" i="5"/>
  <c r="C205" i="5"/>
  <c r="B205" i="5"/>
  <c r="F204" i="5"/>
  <c r="C204" i="5"/>
  <c r="G204" i="5" s="1"/>
  <c r="B204" i="5"/>
  <c r="G203" i="5"/>
  <c r="C203" i="5"/>
  <c r="B203" i="5"/>
  <c r="H202" i="5"/>
  <c r="F202" i="5"/>
  <c r="C202" i="5"/>
  <c r="G202" i="5" s="1"/>
  <c r="I202" i="5" s="1"/>
  <c r="B202" i="5"/>
  <c r="I201" i="5"/>
  <c r="G201" i="5"/>
  <c r="H201" i="5" s="1"/>
  <c r="F201" i="5"/>
  <c r="C201" i="5"/>
  <c r="B201" i="5"/>
  <c r="H200" i="5"/>
  <c r="G200" i="5"/>
  <c r="I200" i="5" s="1"/>
  <c r="F200" i="5"/>
  <c r="C200" i="5"/>
  <c r="B200" i="5"/>
  <c r="G199" i="5"/>
  <c r="H199" i="5" s="1"/>
  <c r="C199" i="5"/>
  <c r="B199" i="5"/>
  <c r="I198" i="5"/>
  <c r="H198" i="5"/>
  <c r="G198" i="5"/>
  <c r="F198" i="5"/>
  <c r="C198" i="5"/>
  <c r="B198" i="5"/>
  <c r="C197" i="5"/>
  <c r="B197" i="5"/>
  <c r="F196" i="5"/>
  <c r="C196" i="5"/>
  <c r="G196" i="5" s="1"/>
  <c r="B196" i="5"/>
  <c r="G195" i="5"/>
  <c r="C195" i="5"/>
  <c r="B195" i="5"/>
  <c r="H194" i="5"/>
  <c r="F194" i="5"/>
  <c r="C194" i="5"/>
  <c r="G194" i="5" s="1"/>
  <c r="I194" i="5" s="1"/>
  <c r="B194" i="5"/>
  <c r="G193" i="5"/>
  <c r="H193" i="5" s="1"/>
  <c r="F193" i="5"/>
  <c r="C193" i="5"/>
  <c r="B193" i="5"/>
  <c r="G192" i="5"/>
  <c r="F192" i="5"/>
  <c r="C192" i="5"/>
  <c r="B192" i="5"/>
  <c r="G191" i="5"/>
  <c r="I191" i="5" s="1"/>
  <c r="C191" i="5"/>
  <c r="B191" i="5"/>
  <c r="I190" i="5"/>
  <c r="H190" i="5"/>
  <c r="G190" i="5"/>
  <c r="C190" i="5"/>
  <c r="F190" i="5" s="1"/>
  <c r="B190" i="5"/>
  <c r="C189" i="5"/>
  <c r="B189" i="5"/>
  <c r="C188" i="5"/>
  <c r="B188" i="5"/>
  <c r="C187" i="5"/>
  <c r="B187" i="5"/>
  <c r="F186" i="5"/>
  <c r="C186" i="5"/>
  <c r="G186" i="5" s="1"/>
  <c r="I186" i="5" s="1"/>
  <c r="B186" i="5"/>
  <c r="G185" i="5"/>
  <c r="H185" i="5" s="1"/>
  <c r="F185" i="5"/>
  <c r="C185" i="5"/>
  <c r="B185" i="5"/>
  <c r="G184" i="5"/>
  <c r="I184" i="5" s="1"/>
  <c r="F184" i="5"/>
  <c r="C184" i="5"/>
  <c r="B184" i="5"/>
  <c r="C183" i="5"/>
  <c r="B183" i="5"/>
  <c r="I182" i="5"/>
  <c r="H182" i="5"/>
  <c r="G182" i="5"/>
  <c r="C182" i="5"/>
  <c r="F182" i="5" s="1"/>
  <c r="B182" i="5"/>
  <c r="C181" i="5"/>
  <c r="B181" i="5"/>
  <c r="I180" i="5"/>
  <c r="F180" i="5"/>
  <c r="C180" i="5"/>
  <c r="G180" i="5" s="1"/>
  <c r="H180" i="5" s="1"/>
  <c r="B180" i="5"/>
  <c r="C179" i="5"/>
  <c r="B179" i="5"/>
  <c r="H178" i="5"/>
  <c r="F178" i="5"/>
  <c r="C178" i="5"/>
  <c r="G178" i="5" s="1"/>
  <c r="I178" i="5" s="1"/>
  <c r="B178" i="5"/>
  <c r="G177" i="5"/>
  <c r="H177" i="5" s="1"/>
  <c r="F177" i="5"/>
  <c r="C177" i="5"/>
  <c r="B177" i="5"/>
  <c r="H176" i="5"/>
  <c r="G176" i="5"/>
  <c r="I176" i="5" s="1"/>
  <c r="F176" i="5"/>
  <c r="C176" i="5"/>
  <c r="B176" i="5"/>
  <c r="C175" i="5"/>
  <c r="B175" i="5"/>
  <c r="I174" i="5"/>
  <c r="H174" i="5"/>
  <c r="G174" i="5"/>
  <c r="C174" i="5"/>
  <c r="F174" i="5" s="1"/>
  <c r="B174" i="5"/>
  <c r="C173" i="5"/>
  <c r="B173" i="5"/>
  <c r="F172" i="5"/>
  <c r="C172" i="5"/>
  <c r="G172" i="5" s="1"/>
  <c r="B172" i="5"/>
  <c r="G171" i="5"/>
  <c r="C171" i="5"/>
  <c r="F171" i="5" s="1"/>
  <c r="B171" i="5"/>
  <c r="C170" i="5"/>
  <c r="B170" i="5"/>
  <c r="G169" i="5"/>
  <c r="F169" i="5"/>
  <c r="C169" i="5"/>
  <c r="B169" i="5"/>
  <c r="F168" i="5"/>
  <c r="C168" i="5"/>
  <c r="G168" i="5" s="1"/>
  <c r="B168" i="5"/>
  <c r="C167" i="5"/>
  <c r="B167" i="5"/>
  <c r="F166" i="5"/>
  <c r="C166" i="5"/>
  <c r="G166" i="5" s="1"/>
  <c r="B166" i="5"/>
  <c r="G165" i="5"/>
  <c r="F165" i="5"/>
  <c r="C165" i="5"/>
  <c r="B165" i="5"/>
  <c r="G164" i="5"/>
  <c r="I164" i="5" s="1"/>
  <c r="F164" i="5"/>
  <c r="C164" i="5"/>
  <c r="B164" i="5"/>
  <c r="G163" i="5"/>
  <c r="I163" i="5" s="1"/>
  <c r="F163" i="5"/>
  <c r="C163" i="5"/>
  <c r="B163" i="5"/>
  <c r="I162" i="5"/>
  <c r="H162" i="5"/>
  <c r="G162" i="5"/>
  <c r="F162" i="5"/>
  <c r="C162" i="5"/>
  <c r="B162" i="5"/>
  <c r="C161" i="5"/>
  <c r="B161" i="5"/>
  <c r="C160" i="5"/>
  <c r="B160" i="5"/>
  <c r="C159" i="5"/>
  <c r="B159" i="5"/>
  <c r="F158" i="5"/>
  <c r="C158" i="5"/>
  <c r="G158" i="5" s="1"/>
  <c r="B158" i="5"/>
  <c r="G157" i="5"/>
  <c r="F157" i="5"/>
  <c r="C157" i="5"/>
  <c r="B157" i="5"/>
  <c r="G156" i="5"/>
  <c r="I156" i="5" s="1"/>
  <c r="F156" i="5"/>
  <c r="C156" i="5"/>
  <c r="B156" i="5"/>
  <c r="G155" i="5"/>
  <c r="H155" i="5" s="1"/>
  <c r="F155" i="5"/>
  <c r="C155" i="5"/>
  <c r="B155" i="5"/>
  <c r="I154" i="5"/>
  <c r="H154" i="5"/>
  <c r="G154" i="5"/>
  <c r="C154" i="5"/>
  <c r="F154" i="5" s="1"/>
  <c r="B154" i="5"/>
  <c r="C153" i="5"/>
  <c r="B153" i="5"/>
  <c r="C152" i="5"/>
  <c r="B152" i="5"/>
  <c r="C151" i="5"/>
  <c r="B151" i="5"/>
  <c r="F150" i="5"/>
  <c r="C150" i="5"/>
  <c r="G150" i="5" s="1"/>
  <c r="B150" i="5"/>
  <c r="G149" i="5"/>
  <c r="F149" i="5"/>
  <c r="C149" i="5"/>
  <c r="B149" i="5"/>
  <c r="H148" i="5"/>
  <c r="G148" i="5"/>
  <c r="I148" i="5" s="1"/>
  <c r="F148" i="5"/>
  <c r="C148" i="5"/>
  <c r="B148" i="5"/>
  <c r="G147" i="5"/>
  <c r="I147" i="5" s="1"/>
  <c r="F147" i="5"/>
  <c r="C147" i="5"/>
  <c r="B147" i="5"/>
  <c r="I146" i="5"/>
  <c r="H146" i="5"/>
  <c r="G146" i="5"/>
  <c r="C146" i="5"/>
  <c r="F146" i="5" s="1"/>
  <c r="B146" i="5"/>
  <c r="C145" i="5"/>
  <c r="B145" i="5"/>
  <c r="C144" i="5"/>
  <c r="B144" i="5"/>
  <c r="C143" i="5"/>
  <c r="B143" i="5"/>
  <c r="F142" i="5"/>
  <c r="C142" i="5"/>
  <c r="G142" i="5" s="1"/>
  <c r="B142" i="5"/>
  <c r="G141" i="5"/>
  <c r="F141" i="5"/>
  <c r="C141" i="5"/>
  <c r="B141" i="5"/>
  <c r="G140" i="5"/>
  <c r="I140" i="5" s="1"/>
  <c r="F140" i="5"/>
  <c r="C140" i="5"/>
  <c r="B140" i="5"/>
  <c r="I139" i="5"/>
  <c r="H139" i="5"/>
  <c r="G139" i="5"/>
  <c r="F139" i="5"/>
  <c r="C139" i="5"/>
  <c r="B139" i="5"/>
  <c r="G138" i="5"/>
  <c r="I138" i="5" s="1"/>
  <c r="C138" i="5"/>
  <c r="F138" i="5" s="1"/>
  <c r="B138" i="5"/>
  <c r="C137" i="5"/>
  <c r="B137" i="5"/>
  <c r="C136" i="5"/>
  <c r="B136" i="5"/>
  <c r="C135" i="5"/>
  <c r="B135" i="5"/>
  <c r="C134" i="5"/>
  <c r="G134" i="5" s="1"/>
  <c r="B134" i="5"/>
  <c r="G133" i="5"/>
  <c r="F133" i="5"/>
  <c r="C133" i="5"/>
  <c r="B133" i="5"/>
  <c r="H132" i="5"/>
  <c r="G132" i="5"/>
  <c r="I132" i="5" s="1"/>
  <c r="F132" i="5"/>
  <c r="C132" i="5"/>
  <c r="B132" i="5"/>
  <c r="G131" i="5"/>
  <c r="F131" i="5"/>
  <c r="C131" i="5"/>
  <c r="B131" i="5"/>
  <c r="G130" i="5"/>
  <c r="I130" i="5" s="1"/>
  <c r="C130" i="5"/>
  <c r="F130" i="5" s="1"/>
  <c r="B130" i="5"/>
  <c r="C129" i="5"/>
  <c r="B129" i="5"/>
  <c r="C128" i="5"/>
  <c r="B128" i="5"/>
  <c r="C127" i="5"/>
  <c r="B127" i="5"/>
  <c r="C126" i="5"/>
  <c r="B126" i="5"/>
  <c r="G125" i="5"/>
  <c r="F125" i="5"/>
  <c r="C125" i="5"/>
  <c r="B125" i="5"/>
  <c r="H124" i="5"/>
  <c r="G124" i="5"/>
  <c r="I124" i="5" s="1"/>
  <c r="F124" i="5"/>
  <c r="C124" i="5"/>
  <c r="B124" i="5"/>
  <c r="G123" i="5"/>
  <c r="I123" i="5" s="1"/>
  <c r="F123" i="5"/>
  <c r="C123" i="5"/>
  <c r="B123" i="5"/>
  <c r="G122" i="5"/>
  <c r="H122" i="5" s="1"/>
  <c r="C122" i="5"/>
  <c r="F122" i="5" s="1"/>
  <c r="B122" i="5"/>
  <c r="C121" i="5"/>
  <c r="B121" i="5"/>
  <c r="C120" i="5"/>
  <c r="G120" i="5" s="1"/>
  <c r="H120" i="5" s="1"/>
  <c r="B120" i="5"/>
  <c r="G119" i="5"/>
  <c r="C119" i="5"/>
  <c r="F119" i="5" s="1"/>
  <c r="B119" i="5"/>
  <c r="F118" i="5"/>
  <c r="C118" i="5"/>
  <c r="G118" i="5" s="1"/>
  <c r="I118" i="5" s="1"/>
  <c r="B118" i="5"/>
  <c r="I117" i="5"/>
  <c r="G117" i="5"/>
  <c r="H117" i="5" s="1"/>
  <c r="F117" i="5"/>
  <c r="C117" i="5"/>
  <c r="B117" i="5"/>
  <c r="G116" i="5"/>
  <c r="I116" i="5" s="1"/>
  <c r="F116" i="5"/>
  <c r="C116" i="5"/>
  <c r="B116" i="5"/>
  <c r="C115" i="5"/>
  <c r="B115" i="5"/>
  <c r="I114" i="5"/>
  <c r="G114" i="5"/>
  <c r="H114" i="5" s="1"/>
  <c r="C114" i="5"/>
  <c r="F114" i="5" s="1"/>
  <c r="B114" i="5"/>
  <c r="C113" i="5"/>
  <c r="B113" i="5"/>
  <c r="I112" i="5"/>
  <c r="F112" i="5"/>
  <c r="C112" i="5"/>
  <c r="G112" i="5" s="1"/>
  <c r="H112" i="5" s="1"/>
  <c r="B112" i="5"/>
  <c r="G111" i="5"/>
  <c r="C111" i="5"/>
  <c r="F111" i="5" s="1"/>
  <c r="B111" i="5"/>
  <c r="C110" i="5"/>
  <c r="B110" i="5"/>
  <c r="G109" i="5"/>
  <c r="F109" i="5"/>
  <c r="C109" i="5"/>
  <c r="B109" i="5"/>
  <c r="H108" i="5"/>
  <c r="G108" i="5"/>
  <c r="I108" i="5" s="1"/>
  <c r="F108" i="5"/>
  <c r="C108" i="5"/>
  <c r="B108" i="5"/>
  <c r="I107" i="5"/>
  <c r="F107" i="5"/>
  <c r="C107" i="5"/>
  <c r="G107" i="5" s="1"/>
  <c r="H107" i="5" s="1"/>
  <c r="B107" i="5"/>
  <c r="G106" i="5"/>
  <c r="C106" i="5"/>
  <c r="F106" i="5" s="1"/>
  <c r="B106" i="5"/>
  <c r="C105" i="5"/>
  <c r="B105" i="5"/>
  <c r="C104" i="5"/>
  <c r="G104" i="5" s="1"/>
  <c r="B104" i="5"/>
  <c r="G103" i="5"/>
  <c r="C103" i="5"/>
  <c r="F103" i="5" s="1"/>
  <c r="B103" i="5"/>
  <c r="C102" i="5"/>
  <c r="B102" i="5"/>
  <c r="I101" i="5"/>
  <c r="G101" i="5"/>
  <c r="H101" i="5" s="1"/>
  <c r="F101" i="5"/>
  <c r="C101" i="5"/>
  <c r="B101" i="5"/>
  <c r="G100" i="5"/>
  <c r="F100" i="5"/>
  <c r="C100" i="5"/>
  <c r="B100" i="5"/>
  <c r="C99" i="5"/>
  <c r="B99" i="5"/>
  <c r="I98" i="5"/>
  <c r="G98" i="5"/>
  <c r="H98" i="5" s="1"/>
  <c r="C98" i="5"/>
  <c r="F98" i="5" s="1"/>
  <c r="B98" i="5"/>
  <c r="I97" i="5"/>
  <c r="H97" i="5"/>
  <c r="F97" i="5"/>
  <c r="C97" i="5"/>
  <c r="G97" i="5" s="1"/>
  <c r="B97" i="5"/>
  <c r="C96" i="5"/>
  <c r="B96" i="5"/>
  <c r="C95" i="5"/>
  <c r="F95" i="5" s="1"/>
  <c r="B95" i="5"/>
  <c r="I94" i="5"/>
  <c r="H94" i="5"/>
  <c r="F94" i="5"/>
  <c r="C94" i="5"/>
  <c r="G94" i="5" s="1"/>
  <c r="B94" i="5"/>
  <c r="G93" i="5"/>
  <c r="H93" i="5" s="1"/>
  <c r="F93" i="5"/>
  <c r="C93" i="5"/>
  <c r="B93" i="5"/>
  <c r="H92" i="5"/>
  <c r="C92" i="5"/>
  <c r="G92" i="5" s="1"/>
  <c r="I92" i="5" s="1"/>
  <c r="B92" i="5"/>
  <c r="G91" i="5"/>
  <c r="I91" i="5" s="1"/>
  <c r="F91" i="5"/>
  <c r="C91" i="5"/>
  <c r="B91" i="5"/>
  <c r="I90" i="5"/>
  <c r="H90" i="5"/>
  <c r="G90" i="5"/>
  <c r="F90" i="5"/>
  <c r="C90" i="5"/>
  <c r="B90" i="5"/>
  <c r="G89" i="5"/>
  <c r="I89" i="5" s="1"/>
  <c r="F89" i="5"/>
  <c r="C89" i="5"/>
  <c r="B89" i="5"/>
  <c r="G88" i="5"/>
  <c r="F88" i="5"/>
  <c r="C88" i="5"/>
  <c r="B88" i="5"/>
  <c r="G87" i="5"/>
  <c r="I87" i="5" s="1"/>
  <c r="C87" i="5"/>
  <c r="F87" i="5" s="1"/>
  <c r="B87" i="5"/>
  <c r="C86" i="5"/>
  <c r="G86" i="5" s="1"/>
  <c r="I86" i="5" s="1"/>
  <c r="B86" i="5"/>
  <c r="I85" i="5"/>
  <c r="C85" i="5"/>
  <c r="G85" i="5" s="1"/>
  <c r="H85" i="5" s="1"/>
  <c r="B85" i="5"/>
  <c r="C84" i="5"/>
  <c r="B84" i="5"/>
  <c r="C83" i="5"/>
  <c r="B83" i="5"/>
  <c r="I82" i="5"/>
  <c r="H82" i="5"/>
  <c r="G82" i="5"/>
  <c r="F82" i="5"/>
  <c r="C82" i="5"/>
  <c r="B82" i="5"/>
  <c r="G81" i="5"/>
  <c r="I81" i="5" s="1"/>
  <c r="F81" i="5"/>
  <c r="C81" i="5"/>
  <c r="B81" i="5"/>
  <c r="G80" i="5"/>
  <c r="F80" i="5"/>
  <c r="C80" i="5"/>
  <c r="B80" i="5"/>
  <c r="H79" i="5"/>
  <c r="G79" i="5"/>
  <c r="I79" i="5" s="1"/>
  <c r="C79" i="5"/>
  <c r="F79" i="5" s="1"/>
  <c r="B79" i="5"/>
  <c r="C78" i="5"/>
  <c r="G78" i="5" s="1"/>
  <c r="H78" i="5" s="1"/>
  <c r="B78" i="5"/>
  <c r="C77" i="5"/>
  <c r="G77" i="5" s="1"/>
  <c r="H77" i="5" s="1"/>
  <c r="B77" i="5"/>
  <c r="C76" i="5"/>
  <c r="B76" i="5"/>
  <c r="C75" i="5"/>
  <c r="B75" i="5"/>
  <c r="F74" i="5"/>
  <c r="C74" i="5"/>
  <c r="G74" i="5" s="1"/>
  <c r="B74" i="5"/>
  <c r="G73" i="5"/>
  <c r="I73" i="5" s="1"/>
  <c r="F73" i="5"/>
  <c r="C73" i="5"/>
  <c r="B73" i="5"/>
  <c r="G72" i="5"/>
  <c r="F72" i="5"/>
  <c r="C72" i="5"/>
  <c r="B72" i="5"/>
  <c r="H71" i="5"/>
  <c r="G71" i="5"/>
  <c r="I71" i="5" s="1"/>
  <c r="C71" i="5"/>
  <c r="F71" i="5" s="1"/>
  <c r="B71" i="5"/>
  <c r="C70" i="5"/>
  <c r="G70" i="5" s="1"/>
  <c r="H70" i="5" s="1"/>
  <c r="B70" i="5"/>
  <c r="C69" i="5"/>
  <c r="G69" i="5" s="1"/>
  <c r="H69" i="5" s="1"/>
  <c r="B69" i="5"/>
  <c r="C68" i="5"/>
  <c r="B68" i="5"/>
  <c r="C67" i="5"/>
  <c r="B67" i="5"/>
  <c r="F66" i="5"/>
  <c r="C66" i="5"/>
  <c r="G66" i="5" s="1"/>
  <c r="B66" i="5"/>
  <c r="G65" i="5"/>
  <c r="I65" i="5" s="1"/>
  <c r="F65" i="5"/>
  <c r="C65" i="5"/>
  <c r="B65" i="5"/>
  <c r="G64" i="5"/>
  <c r="F64" i="5"/>
  <c r="C64" i="5"/>
  <c r="B64" i="5"/>
  <c r="H63" i="5"/>
  <c r="G63" i="5"/>
  <c r="I63" i="5" s="1"/>
  <c r="C63" i="5"/>
  <c r="F63" i="5" s="1"/>
  <c r="B63" i="5"/>
  <c r="I62" i="5"/>
  <c r="H62" i="5"/>
  <c r="G62" i="5"/>
  <c r="F62" i="5"/>
  <c r="C62" i="5"/>
  <c r="B62" i="5"/>
  <c r="C61" i="5"/>
  <c r="G61" i="5" s="1"/>
  <c r="H61" i="5" s="1"/>
  <c r="B61" i="5"/>
  <c r="C60" i="5"/>
  <c r="B60" i="5"/>
  <c r="C59" i="5"/>
  <c r="B59" i="5"/>
  <c r="F58" i="5"/>
  <c r="C58" i="5"/>
  <c r="G58" i="5" s="1"/>
  <c r="B58" i="5"/>
  <c r="G57" i="5"/>
  <c r="I57" i="5" s="1"/>
  <c r="F57" i="5"/>
  <c r="C57" i="5"/>
  <c r="B57" i="5"/>
  <c r="G56" i="5"/>
  <c r="F56" i="5"/>
  <c r="C56" i="5"/>
  <c r="B56" i="5"/>
  <c r="H55" i="5"/>
  <c r="G55" i="5"/>
  <c r="I55" i="5" s="1"/>
  <c r="C55" i="5"/>
  <c r="F55" i="5" s="1"/>
  <c r="B55" i="5"/>
  <c r="I54" i="5"/>
  <c r="H54" i="5"/>
  <c r="G54" i="5"/>
  <c r="C54" i="5"/>
  <c r="F54" i="5" s="1"/>
  <c r="B54" i="5"/>
  <c r="I53" i="5"/>
  <c r="C53" i="5"/>
  <c r="G53" i="5" s="1"/>
  <c r="H53" i="5" s="1"/>
  <c r="B53" i="5"/>
  <c r="C52" i="5"/>
  <c r="B52" i="5"/>
  <c r="C51" i="5"/>
  <c r="B51" i="5"/>
  <c r="F50" i="5"/>
  <c r="C50" i="5"/>
  <c r="G50" i="5" s="1"/>
  <c r="B50" i="5"/>
  <c r="G49" i="5"/>
  <c r="I49" i="5" s="1"/>
  <c r="F49" i="5"/>
  <c r="C49" i="5"/>
  <c r="B49" i="5"/>
  <c r="G48" i="5"/>
  <c r="F48" i="5"/>
  <c r="C48" i="5"/>
  <c r="B48" i="5"/>
  <c r="G47" i="5"/>
  <c r="I47" i="5" s="1"/>
  <c r="C47" i="5"/>
  <c r="F47" i="5" s="1"/>
  <c r="B47" i="5"/>
  <c r="I46" i="5"/>
  <c r="H46" i="5"/>
  <c r="G46" i="5"/>
  <c r="C46" i="5"/>
  <c r="F46" i="5" s="1"/>
  <c r="B46" i="5"/>
  <c r="I45" i="5"/>
  <c r="C45" i="5"/>
  <c r="G45" i="5" s="1"/>
  <c r="H45" i="5" s="1"/>
  <c r="B45" i="5"/>
  <c r="C44" i="5"/>
  <c r="B44" i="5"/>
  <c r="C43" i="5"/>
  <c r="B43" i="5"/>
  <c r="F42" i="5"/>
  <c r="C42" i="5"/>
  <c r="G42" i="5" s="1"/>
  <c r="B42" i="5"/>
  <c r="G41" i="5"/>
  <c r="I41" i="5" s="1"/>
  <c r="F41" i="5"/>
  <c r="C41" i="5"/>
  <c r="B41" i="5"/>
  <c r="G40" i="5"/>
  <c r="F40" i="5"/>
  <c r="C40" i="5"/>
  <c r="B40" i="5"/>
  <c r="G39" i="5"/>
  <c r="I39" i="5" s="1"/>
  <c r="C39" i="5"/>
  <c r="F39" i="5" s="1"/>
  <c r="B39" i="5"/>
  <c r="I38" i="5"/>
  <c r="H38" i="5"/>
  <c r="G38" i="5"/>
  <c r="F38" i="5"/>
  <c r="C38" i="5"/>
  <c r="B38" i="5"/>
  <c r="C37" i="5"/>
  <c r="G37" i="5" s="1"/>
  <c r="H37" i="5" s="1"/>
  <c r="B37" i="5"/>
  <c r="C36" i="5"/>
  <c r="B36" i="5"/>
  <c r="C35" i="5"/>
  <c r="B35" i="5"/>
  <c r="C34" i="5"/>
  <c r="G34" i="5" s="1"/>
  <c r="B34" i="5"/>
  <c r="C33" i="5"/>
  <c r="G33" i="5" s="1"/>
  <c r="I33" i="5" s="1"/>
  <c r="B33" i="5"/>
  <c r="C32" i="5"/>
  <c r="G32" i="5" s="1"/>
  <c r="B32" i="5"/>
  <c r="C31" i="5"/>
  <c r="F31" i="5" s="1"/>
  <c r="B31" i="5"/>
  <c r="C30" i="5"/>
  <c r="F30" i="5" s="1"/>
  <c r="B30" i="5"/>
  <c r="C29" i="5"/>
  <c r="G29" i="5" s="1"/>
  <c r="H29" i="5" s="1"/>
  <c r="B29" i="5"/>
  <c r="C28" i="5"/>
  <c r="B28" i="5"/>
  <c r="C27" i="5"/>
  <c r="B27" i="5"/>
  <c r="C26" i="5"/>
  <c r="G26" i="5" s="1"/>
  <c r="B26" i="5"/>
  <c r="G25" i="5"/>
  <c r="I25" i="5" s="1"/>
  <c r="F25" i="5"/>
  <c r="C25" i="5"/>
  <c r="B25" i="5"/>
  <c r="C24" i="5"/>
  <c r="G24" i="5" s="1"/>
  <c r="B24" i="5"/>
  <c r="C23" i="5"/>
  <c r="F23" i="5" s="1"/>
  <c r="B23" i="5"/>
  <c r="G22" i="5"/>
  <c r="I22" i="5" s="1"/>
  <c r="C22" i="5"/>
  <c r="F22" i="5" s="1"/>
  <c r="B22" i="5"/>
  <c r="C21" i="5"/>
  <c r="G21" i="5" s="1"/>
  <c r="H21" i="5" s="1"/>
  <c r="B21" i="5"/>
  <c r="C20" i="5"/>
  <c r="B20" i="5"/>
  <c r="C19" i="5"/>
  <c r="B19" i="5"/>
  <c r="C18" i="5"/>
  <c r="G18" i="5" s="1"/>
  <c r="B18" i="5"/>
  <c r="G17" i="5"/>
  <c r="I17" i="5" s="1"/>
  <c r="F17" i="5"/>
  <c r="C17" i="5"/>
  <c r="B17" i="5"/>
  <c r="C16" i="5"/>
  <c r="F16" i="5" s="1"/>
  <c r="B16" i="5"/>
  <c r="C15" i="5"/>
  <c r="F15" i="5" s="1"/>
  <c r="B15" i="5"/>
  <c r="C14" i="5"/>
  <c r="F14" i="5" s="1"/>
  <c r="B14" i="5"/>
  <c r="C13" i="5"/>
  <c r="G13" i="5" s="1"/>
  <c r="H13" i="5" s="1"/>
  <c r="B13" i="5"/>
  <c r="C12" i="5"/>
  <c r="B12" i="5"/>
  <c r="C11" i="5"/>
  <c r="B11" i="5"/>
  <c r="N10" i="5"/>
  <c r="M10" i="5"/>
  <c r="O10" i="5" s="1"/>
  <c r="C10" i="5"/>
  <c r="G10" i="5" s="1"/>
  <c r="B10" i="5"/>
  <c r="C566" i="4"/>
  <c r="B566" i="4"/>
  <c r="C565" i="4"/>
  <c r="F565" i="4" s="1"/>
  <c r="B565" i="4"/>
  <c r="C564" i="4"/>
  <c r="G564" i="4" s="1"/>
  <c r="B564" i="4"/>
  <c r="C563" i="4"/>
  <c r="G563" i="4" s="1"/>
  <c r="B563" i="4"/>
  <c r="C562" i="4"/>
  <c r="G562" i="4" s="1"/>
  <c r="H562" i="4" s="1"/>
  <c r="B562" i="4"/>
  <c r="C561" i="4"/>
  <c r="G561" i="4" s="1"/>
  <c r="I561" i="4" s="1"/>
  <c r="B561" i="4"/>
  <c r="C560" i="4"/>
  <c r="G560" i="4" s="1"/>
  <c r="B560" i="4"/>
  <c r="C559" i="4"/>
  <c r="G559" i="4" s="1"/>
  <c r="B559" i="4"/>
  <c r="C558" i="4"/>
  <c r="F558" i="4" s="1"/>
  <c r="B558" i="4"/>
  <c r="C557" i="4"/>
  <c r="F557" i="4" s="1"/>
  <c r="B557" i="4"/>
  <c r="C556" i="4"/>
  <c r="F556" i="4" s="1"/>
  <c r="B556" i="4"/>
  <c r="C555" i="4"/>
  <c r="G555" i="4" s="1"/>
  <c r="B555" i="4"/>
  <c r="C554" i="4"/>
  <c r="G554" i="4" s="1"/>
  <c r="B554" i="4"/>
  <c r="F553" i="4"/>
  <c r="C553" i="4"/>
  <c r="G553" i="4" s="1"/>
  <c r="B553" i="4"/>
  <c r="C552" i="4"/>
  <c r="G552" i="4" s="1"/>
  <c r="H552" i="4" s="1"/>
  <c r="B552" i="4"/>
  <c r="C551" i="4"/>
  <c r="G551" i="4" s="1"/>
  <c r="B551" i="4"/>
  <c r="C550" i="4"/>
  <c r="F550" i="4" s="1"/>
  <c r="B550" i="4"/>
  <c r="C549" i="4"/>
  <c r="G549" i="4" s="1"/>
  <c r="B549" i="4"/>
  <c r="C548" i="4"/>
  <c r="G548" i="4" s="1"/>
  <c r="B548" i="4"/>
  <c r="G547" i="4"/>
  <c r="I547" i="4" s="1"/>
  <c r="C547" i="4"/>
  <c r="F547" i="4" s="1"/>
  <c r="B547" i="4"/>
  <c r="G546" i="4"/>
  <c r="H546" i="4" s="1"/>
  <c r="C546" i="4"/>
  <c r="F546" i="4" s="1"/>
  <c r="B546" i="4"/>
  <c r="C545" i="4"/>
  <c r="F545" i="4" s="1"/>
  <c r="B545" i="4"/>
  <c r="C544" i="4"/>
  <c r="B544" i="4"/>
  <c r="C543" i="4"/>
  <c r="G543" i="4" s="1"/>
  <c r="B543" i="4"/>
  <c r="C542" i="4"/>
  <c r="G542" i="4" s="1"/>
  <c r="B542" i="4"/>
  <c r="C541" i="4"/>
  <c r="F541" i="4" s="1"/>
  <c r="B541" i="4"/>
  <c r="F540" i="4"/>
  <c r="C540" i="4"/>
  <c r="G540" i="4" s="1"/>
  <c r="B540" i="4"/>
  <c r="C539" i="4"/>
  <c r="F539" i="4" s="1"/>
  <c r="B539" i="4"/>
  <c r="C538" i="4"/>
  <c r="B538" i="4"/>
  <c r="F537" i="4"/>
  <c r="C537" i="4"/>
  <c r="G537" i="4" s="1"/>
  <c r="B537" i="4"/>
  <c r="C536" i="4"/>
  <c r="B536" i="4"/>
  <c r="C535" i="4"/>
  <c r="G535" i="4" s="1"/>
  <c r="B535" i="4"/>
  <c r="C534" i="4"/>
  <c r="F534" i="4" s="1"/>
  <c r="B534" i="4"/>
  <c r="C533" i="4"/>
  <c r="B533" i="4"/>
  <c r="C532" i="4"/>
  <c r="F532" i="4" s="1"/>
  <c r="B532" i="4"/>
  <c r="C531" i="4"/>
  <c r="F531" i="4" s="1"/>
  <c r="B531" i="4"/>
  <c r="C530" i="4"/>
  <c r="G530" i="4" s="1"/>
  <c r="B530" i="4"/>
  <c r="C529" i="4"/>
  <c r="F529" i="4" s="1"/>
  <c r="B529" i="4"/>
  <c r="C528" i="4"/>
  <c r="G528" i="4" s="1"/>
  <c r="B528" i="4"/>
  <c r="C527" i="4"/>
  <c r="F527" i="4" s="1"/>
  <c r="B527" i="4"/>
  <c r="C526" i="4"/>
  <c r="G526" i="4" s="1"/>
  <c r="B526" i="4"/>
  <c r="G525" i="4"/>
  <c r="I525" i="4" s="1"/>
  <c r="C525" i="4"/>
  <c r="F525" i="4" s="1"/>
  <c r="B525" i="4"/>
  <c r="C524" i="4"/>
  <c r="G524" i="4" s="1"/>
  <c r="B524" i="4"/>
  <c r="C523" i="4"/>
  <c r="F523" i="4" s="1"/>
  <c r="B523" i="4"/>
  <c r="C522" i="4"/>
  <c r="G522" i="4" s="1"/>
  <c r="B522" i="4"/>
  <c r="C521" i="4"/>
  <c r="F521" i="4" s="1"/>
  <c r="B521" i="4"/>
  <c r="C520" i="4"/>
  <c r="G520" i="4" s="1"/>
  <c r="B520" i="4"/>
  <c r="C519" i="4"/>
  <c r="F519" i="4" s="1"/>
  <c r="B519" i="4"/>
  <c r="C518" i="4"/>
  <c r="B518" i="4"/>
  <c r="C517" i="4"/>
  <c r="G517" i="4" s="1"/>
  <c r="B517" i="4"/>
  <c r="C516" i="4"/>
  <c r="B516" i="4"/>
  <c r="C515" i="4"/>
  <c r="B515" i="4"/>
  <c r="C514" i="4"/>
  <c r="B514" i="4"/>
  <c r="C513" i="4"/>
  <c r="F513" i="4" s="1"/>
  <c r="B513" i="4"/>
  <c r="C512" i="4"/>
  <c r="G512" i="4" s="1"/>
  <c r="B512" i="4"/>
  <c r="C511" i="4"/>
  <c r="F511" i="4" s="1"/>
  <c r="B511" i="4"/>
  <c r="C510" i="4"/>
  <c r="F510" i="4" s="1"/>
  <c r="B510" i="4"/>
  <c r="G509" i="4"/>
  <c r="C509" i="4"/>
  <c r="F509" i="4" s="1"/>
  <c r="B509" i="4"/>
  <c r="C508" i="4"/>
  <c r="F508" i="4" s="1"/>
  <c r="B508" i="4"/>
  <c r="C507" i="4"/>
  <c r="F507" i="4" s="1"/>
  <c r="B507" i="4"/>
  <c r="C506" i="4"/>
  <c r="F506" i="4" s="1"/>
  <c r="B506" i="4"/>
  <c r="C505" i="4"/>
  <c r="F505" i="4" s="1"/>
  <c r="B505" i="4"/>
  <c r="C504" i="4"/>
  <c r="F504" i="4" s="1"/>
  <c r="B504" i="4"/>
  <c r="F503" i="4"/>
  <c r="C503" i="4"/>
  <c r="G503" i="4" s="1"/>
  <c r="B503" i="4"/>
  <c r="C502" i="4"/>
  <c r="G502" i="4" s="1"/>
  <c r="I502" i="4" s="1"/>
  <c r="B502" i="4"/>
  <c r="C501" i="4"/>
  <c r="G501" i="4" s="1"/>
  <c r="B501" i="4"/>
  <c r="C500" i="4"/>
  <c r="B500" i="4"/>
  <c r="C499" i="4"/>
  <c r="G499" i="4" s="1"/>
  <c r="I499" i="4" s="1"/>
  <c r="B499" i="4"/>
  <c r="C498" i="4"/>
  <c r="B498" i="4"/>
  <c r="F497" i="4"/>
  <c r="C497" i="4"/>
  <c r="G497" i="4" s="1"/>
  <c r="B497" i="4"/>
  <c r="C496" i="4"/>
  <c r="B496" i="4"/>
  <c r="F495" i="4"/>
  <c r="C495" i="4"/>
  <c r="G495" i="4" s="1"/>
  <c r="B495" i="4"/>
  <c r="C494" i="4"/>
  <c r="B494" i="4"/>
  <c r="C493" i="4"/>
  <c r="F493" i="4" s="1"/>
  <c r="B493" i="4"/>
  <c r="C492" i="4"/>
  <c r="B492" i="4"/>
  <c r="G491" i="4"/>
  <c r="I491" i="4" s="1"/>
  <c r="C491" i="4"/>
  <c r="F491" i="4" s="1"/>
  <c r="B491" i="4"/>
  <c r="C490" i="4"/>
  <c r="B490" i="4"/>
  <c r="F489" i="4"/>
  <c r="C489" i="4"/>
  <c r="G489" i="4" s="1"/>
  <c r="B489" i="4"/>
  <c r="C488" i="4"/>
  <c r="B488" i="4"/>
  <c r="C487" i="4"/>
  <c r="G487" i="4" s="1"/>
  <c r="B487" i="4"/>
  <c r="C486" i="4"/>
  <c r="B486" i="4"/>
  <c r="C485" i="4"/>
  <c r="F485" i="4" s="1"/>
  <c r="B485" i="4"/>
  <c r="C484" i="4"/>
  <c r="B484" i="4"/>
  <c r="H483" i="4"/>
  <c r="C483" i="4"/>
  <c r="G483" i="4" s="1"/>
  <c r="I483" i="4" s="1"/>
  <c r="B483" i="4"/>
  <c r="C482" i="4"/>
  <c r="F482" i="4" s="1"/>
  <c r="B482" i="4"/>
  <c r="C481" i="4"/>
  <c r="F481" i="4" s="1"/>
  <c r="B481" i="4"/>
  <c r="C480" i="4"/>
  <c r="F480" i="4" s="1"/>
  <c r="B480" i="4"/>
  <c r="C479" i="4"/>
  <c r="G479" i="4" s="1"/>
  <c r="B479" i="4"/>
  <c r="G478" i="4"/>
  <c r="C478" i="4"/>
  <c r="F478" i="4" s="1"/>
  <c r="B478" i="4"/>
  <c r="C477" i="4"/>
  <c r="G477" i="4" s="1"/>
  <c r="B477" i="4"/>
  <c r="C476" i="4"/>
  <c r="F476" i="4" s="1"/>
  <c r="B476" i="4"/>
  <c r="C475" i="4"/>
  <c r="G475" i="4" s="1"/>
  <c r="I475" i="4" s="1"/>
  <c r="B475" i="4"/>
  <c r="C474" i="4"/>
  <c r="F474" i="4" s="1"/>
  <c r="B474" i="4"/>
  <c r="C473" i="4"/>
  <c r="B473" i="4"/>
  <c r="G472" i="4"/>
  <c r="C472" i="4"/>
  <c r="F472" i="4" s="1"/>
  <c r="B472" i="4"/>
  <c r="C471" i="4"/>
  <c r="B471" i="4"/>
  <c r="C470" i="4"/>
  <c r="G470" i="4" s="1"/>
  <c r="B470" i="4"/>
  <c r="C469" i="4"/>
  <c r="B469" i="4"/>
  <c r="G468" i="4"/>
  <c r="C468" i="4"/>
  <c r="F468" i="4" s="1"/>
  <c r="B468" i="4"/>
  <c r="C467" i="4"/>
  <c r="B467" i="4"/>
  <c r="C466" i="4"/>
  <c r="G466" i="4" s="1"/>
  <c r="B466" i="4"/>
  <c r="C465" i="4"/>
  <c r="B465" i="4"/>
  <c r="G464" i="4"/>
  <c r="C464" i="4"/>
  <c r="F464" i="4" s="1"/>
  <c r="B464" i="4"/>
  <c r="C463" i="4"/>
  <c r="B463" i="4"/>
  <c r="C462" i="4"/>
  <c r="G462" i="4" s="1"/>
  <c r="B462" i="4"/>
  <c r="C461" i="4"/>
  <c r="B461" i="4"/>
  <c r="G460" i="4"/>
  <c r="C460" i="4"/>
  <c r="F460" i="4" s="1"/>
  <c r="B460" i="4"/>
  <c r="C459" i="4"/>
  <c r="B459" i="4"/>
  <c r="C458" i="4"/>
  <c r="F458" i="4" s="1"/>
  <c r="B458" i="4"/>
  <c r="C457" i="4"/>
  <c r="B457" i="4"/>
  <c r="G456" i="4"/>
  <c r="C456" i="4"/>
  <c r="F456" i="4" s="1"/>
  <c r="B456" i="4"/>
  <c r="C455" i="4"/>
  <c r="F455" i="4" s="1"/>
  <c r="B455" i="4"/>
  <c r="F454" i="4"/>
  <c r="C454" i="4"/>
  <c r="B454" i="4"/>
  <c r="C453" i="4"/>
  <c r="F453" i="4" s="1"/>
  <c r="B453" i="4"/>
  <c r="C452" i="4"/>
  <c r="G452" i="4" s="1"/>
  <c r="H452" i="4" s="1"/>
  <c r="B452" i="4"/>
  <c r="H451" i="4"/>
  <c r="C451" i="4"/>
  <c r="G451" i="4" s="1"/>
  <c r="I451" i="4" s="1"/>
  <c r="B451" i="4"/>
  <c r="C450" i="4"/>
  <c r="B450" i="4"/>
  <c r="C449" i="4"/>
  <c r="F449" i="4" s="1"/>
  <c r="B449" i="4"/>
  <c r="C448" i="4"/>
  <c r="G448" i="4" s="1"/>
  <c r="I448" i="4" s="1"/>
  <c r="B448" i="4"/>
  <c r="C447" i="4"/>
  <c r="F447" i="4" s="1"/>
  <c r="B447" i="4"/>
  <c r="C446" i="4"/>
  <c r="G446" i="4" s="1"/>
  <c r="I446" i="4" s="1"/>
  <c r="B446" i="4"/>
  <c r="C445" i="4"/>
  <c r="F445" i="4" s="1"/>
  <c r="B445" i="4"/>
  <c r="F444" i="4"/>
  <c r="C444" i="4"/>
  <c r="G444" i="4" s="1"/>
  <c r="I444" i="4" s="1"/>
  <c r="B444" i="4"/>
  <c r="C443" i="4"/>
  <c r="G443" i="4" s="1"/>
  <c r="B443" i="4"/>
  <c r="C442" i="4"/>
  <c r="G442" i="4" s="1"/>
  <c r="I442" i="4" s="1"/>
  <c r="B442" i="4"/>
  <c r="G441" i="4"/>
  <c r="H441" i="4" s="1"/>
  <c r="F441" i="4"/>
  <c r="C441" i="4"/>
  <c r="B441" i="4"/>
  <c r="C440" i="4"/>
  <c r="G440" i="4" s="1"/>
  <c r="I440" i="4" s="1"/>
  <c r="B440" i="4"/>
  <c r="C439" i="4"/>
  <c r="F439" i="4" s="1"/>
  <c r="B439" i="4"/>
  <c r="C438" i="4"/>
  <c r="G438" i="4" s="1"/>
  <c r="B438" i="4"/>
  <c r="F437" i="4"/>
  <c r="C437" i="4"/>
  <c r="B437" i="4"/>
  <c r="C436" i="4"/>
  <c r="G436" i="4" s="1"/>
  <c r="B436" i="4"/>
  <c r="C435" i="4"/>
  <c r="B435" i="4"/>
  <c r="C434" i="4"/>
  <c r="F434" i="4" s="1"/>
  <c r="B434" i="4"/>
  <c r="C433" i="4"/>
  <c r="G433" i="4" s="1"/>
  <c r="B433" i="4"/>
  <c r="C432" i="4"/>
  <c r="G432" i="4" s="1"/>
  <c r="B432" i="4"/>
  <c r="C431" i="4"/>
  <c r="G431" i="4" s="1"/>
  <c r="B431" i="4"/>
  <c r="C430" i="4"/>
  <c r="G430" i="4" s="1"/>
  <c r="B430" i="4"/>
  <c r="C429" i="4"/>
  <c r="F429" i="4" s="1"/>
  <c r="B429" i="4"/>
  <c r="C428" i="4"/>
  <c r="G428" i="4" s="1"/>
  <c r="B428" i="4"/>
  <c r="C427" i="4"/>
  <c r="B427" i="4"/>
  <c r="G426" i="4"/>
  <c r="I426" i="4" s="1"/>
  <c r="C426" i="4"/>
  <c r="F426" i="4" s="1"/>
  <c r="B426" i="4"/>
  <c r="C425" i="4"/>
  <c r="G425" i="4" s="1"/>
  <c r="B425" i="4"/>
  <c r="C424" i="4"/>
  <c r="G424" i="4" s="1"/>
  <c r="B424" i="4"/>
  <c r="C423" i="4"/>
  <c r="F423" i="4" s="1"/>
  <c r="B423" i="4"/>
  <c r="C422" i="4"/>
  <c r="B422" i="4"/>
  <c r="C421" i="4"/>
  <c r="F421" i="4" s="1"/>
  <c r="B421" i="4"/>
  <c r="C420" i="4"/>
  <c r="F420" i="4" s="1"/>
  <c r="B420" i="4"/>
  <c r="C419" i="4"/>
  <c r="F419" i="4" s="1"/>
  <c r="B419" i="4"/>
  <c r="C418" i="4"/>
  <c r="F418" i="4" s="1"/>
  <c r="B418" i="4"/>
  <c r="C417" i="4"/>
  <c r="F417" i="4" s="1"/>
  <c r="B417" i="4"/>
  <c r="C416" i="4"/>
  <c r="F416" i="4" s="1"/>
  <c r="B416" i="4"/>
  <c r="C415" i="4"/>
  <c r="F415" i="4" s="1"/>
  <c r="B415" i="4"/>
  <c r="C414" i="4"/>
  <c r="F414" i="4" s="1"/>
  <c r="B414" i="4"/>
  <c r="C413" i="4"/>
  <c r="F413" i="4" s="1"/>
  <c r="B413" i="4"/>
  <c r="C412" i="4"/>
  <c r="F412" i="4" s="1"/>
  <c r="B412" i="4"/>
  <c r="C411" i="4"/>
  <c r="F411" i="4" s="1"/>
  <c r="B411" i="4"/>
  <c r="C410" i="4"/>
  <c r="F410" i="4" s="1"/>
  <c r="B410" i="4"/>
  <c r="C409" i="4"/>
  <c r="F409" i="4" s="1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F402" i="4"/>
  <c r="C402" i="4"/>
  <c r="G402" i="4" s="1"/>
  <c r="B402" i="4"/>
  <c r="C401" i="4"/>
  <c r="G401" i="4" s="1"/>
  <c r="I401" i="4" s="1"/>
  <c r="B401" i="4"/>
  <c r="C400" i="4"/>
  <c r="G400" i="4" s="1"/>
  <c r="B400" i="4"/>
  <c r="C399" i="4"/>
  <c r="F399" i="4" s="1"/>
  <c r="B399" i="4"/>
  <c r="C398" i="4"/>
  <c r="B398" i="4"/>
  <c r="C397" i="4"/>
  <c r="B397" i="4"/>
  <c r="C396" i="4"/>
  <c r="B396" i="4"/>
  <c r="C395" i="4"/>
  <c r="G395" i="4" s="1"/>
  <c r="H395" i="4" s="1"/>
  <c r="B395" i="4"/>
  <c r="C394" i="4"/>
  <c r="F394" i="4" s="1"/>
  <c r="B394" i="4"/>
  <c r="C393" i="4"/>
  <c r="F393" i="4" s="1"/>
  <c r="B393" i="4"/>
  <c r="C392" i="4"/>
  <c r="F392" i="4" s="1"/>
  <c r="B392" i="4"/>
  <c r="C391" i="4"/>
  <c r="F391" i="4" s="1"/>
  <c r="B391" i="4"/>
  <c r="C390" i="4"/>
  <c r="B390" i="4"/>
  <c r="C389" i="4"/>
  <c r="G389" i="4" s="1"/>
  <c r="I389" i="4" s="1"/>
  <c r="B389" i="4"/>
  <c r="C388" i="4"/>
  <c r="G388" i="4" s="1"/>
  <c r="B388" i="4"/>
  <c r="C387" i="4"/>
  <c r="G387" i="4" s="1"/>
  <c r="I387" i="4" s="1"/>
  <c r="B387" i="4"/>
  <c r="C386" i="4"/>
  <c r="F386" i="4" s="1"/>
  <c r="B386" i="4"/>
  <c r="C385" i="4"/>
  <c r="G385" i="4" s="1"/>
  <c r="B385" i="4"/>
  <c r="C384" i="4"/>
  <c r="G384" i="4" s="1"/>
  <c r="I384" i="4" s="1"/>
  <c r="B384" i="4"/>
  <c r="F383" i="4"/>
  <c r="C383" i="4"/>
  <c r="G383" i="4" s="1"/>
  <c r="B383" i="4"/>
  <c r="C382" i="4"/>
  <c r="F382" i="4" s="1"/>
  <c r="B382" i="4"/>
  <c r="C381" i="4"/>
  <c r="G381" i="4" s="1"/>
  <c r="B381" i="4"/>
  <c r="C380" i="4"/>
  <c r="F380" i="4" s="1"/>
  <c r="B380" i="4"/>
  <c r="C379" i="4"/>
  <c r="B379" i="4"/>
  <c r="C378" i="4"/>
  <c r="F378" i="4" s="1"/>
  <c r="B378" i="4"/>
  <c r="C377" i="4"/>
  <c r="F377" i="4" s="1"/>
  <c r="B377" i="4"/>
  <c r="F376" i="4"/>
  <c r="C376" i="4"/>
  <c r="G376" i="4" s="1"/>
  <c r="I376" i="4" s="1"/>
  <c r="B376" i="4"/>
  <c r="C375" i="4"/>
  <c r="B375" i="4"/>
  <c r="C374" i="4"/>
  <c r="B374" i="4"/>
  <c r="C373" i="4"/>
  <c r="G373" i="4" s="1"/>
  <c r="B373" i="4"/>
  <c r="C372" i="4"/>
  <c r="G372" i="4" s="1"/>
  <c r="I372" i="4" s="1"/>
  <c r="B372" i="4"/>
  <c r="C371" i="4"/>
  <c r="G371" i="4" s="1"/>
  <c r="I371" i="4" s="1"/>
  <c r="B371" i="4"/>
  <c r="C370" i="4"/>
  <c r="F370" i="4" s="1"/>
  <c r="B370" i="4"/>
  <c r="C369" i="4"/>
  <c r="G369" i="4" s="1"/>
  <c r="H369" i="4" s="1"/>
  <c r="B369" i="4"/>
  <c r="C368" i="4"/>
  <c r="G368" i="4" s="1"/>
  <c r="I368" i="4" s="1"/>
  <c r="B368" i="4"/>
  <c r="C367" i="4"/>
  <c r="G367" i="4" s="1"/>
  <c r="I367" i="4" s="1"/>
  <c r="B367" i="4"/>
  <c r="G366" i="4"/>
  <c r="C366" i="4"/>
  <c r="F366" i="4" s="1"/>
  <c r="B366" i="4"/>
  <c r="G365" i="4"/>
  <c r="H365" i="4" s="1"/>
  <c r="F365" i="4"/>
  <c r="C365" i="4"/>
  <c r="B365" i="4"/>
  <c r="C364" i="4"/>
  <c r="F364" i="4" s="1"/>
  <c r="B364" i="4"/>
  <c r="C363" i="4"/>
  <c r="B363" i="4"/>
  <c r="C362" i="4"/>
  <c r="B362" i="4"/>
  <c r="C361" i="4"/>
  <c r="F361" i="4" s="1"/>
  <c r="B361" i="4"/>
  <c r="C360" i="4"/>
  <c r="G360" i="4" s="1"/>
  <c r="B360" i="4"/>
  <c r="C359" i="4"/>
  <c r="B359" i="4"/>
  <c r="C358" i="4"/>
  <c r="B358" i="4"/>
  <c r="C357" i="4"/>
  <c r="G357" i="4" s="1"/>
  <c r="B357" i="4"/>
  <c r="C356" i="4"/>
  <c r="G356" i="4" s="1"/>
  <c r="B356" i="4"/>
  <c r="C355" i="4"/>
  <c r="G355" i="4" s="1"/>
  <c r="B355" i="4"/>
  <c r="C354" i="4"/>
  <c r="B354" i="4"/>
  <c r="C353" i="4"/>
  <c r="G353" i="4" s="1"/>
  <c r="B353" i="4"/>
  <c r="C352" i="4"/>
  <c r="G352" i="4" s="1"/>
  <c r="I352" i="4" s="1"/>
  <c r="B352" i="4"/>
  <c r="C351" i="4"/>
  <c r="F351" i="4" s="1"/>
  <c r="B351" i="4"/>
  <c r="C350" i="4"/>
  <c r="B350" i="4"/>
  <c r="C349" i="4"/>
  <c r="F349" i="4" s="1"/>
  <c r="B349" i="4"/>
  <c r="C348" i="4"/>
  <c r="B348" i="4"/>
  <c r="G347" i="4"/>
  <c r="H347" i="4" s="1"/>
  <c r="C347" i="4"/>
  <c r="F347" i="4" s="1"/>
  <c r="B347" i="4"/>
  <c r="C346" i="4"/>
  <c r="B346" i="4"/>
  <c r="C345" i="4"/>
  <c r="F345" i="4" s="1"/>
  <c r="B345" i="4"/>
  <c r="C344" i="4"/>
  <c r="B344" i="4"/>
  <c r="G343" i="4"/>
  <c r="C343" i="4"/>
  <c r="F343" i="4" s="1"/>
  <c r="B343" i="4"/>
  <c r="C342" i="4"/>
  <c r="B342" i="4"/>
  <c r="C341" i="4"/>
  <c r="F341" i="4" s="1"/>
  <c r="B341" i="4"/>
  <c r="C340" i="4"/>
  <c r="B340" i="4"/>
  <c r="C339" i="4"/>
  <c r="F339" i="4" s="1"/>
  <c r="B339" i="4"/>
  <c r="C338" i="4"/>
  <c r="B338" i="4"/>
  <c r="C337" i="4"/>
  <c r="F337" i="4" s="1"/>
  <c r="B337" i="4"/>
  <c r="C336" i="4"/>
  <c r="F336" i="4" s="1"/>
  <c r="B336" i="4"/>
  <c r="C335" i="4"/>
  <c r="F335" i="4" s="1"/>
  <c r="B335" i="4"/>
  <c r="C334" i="4"/>
  <c r="B334" i="4"/>
  <c r="C333" i="4"/>
  <c r="B333" i="4"/>
  <c r="C332" i="4"/>
  <c r="G332" i="4" s="1"/>
  <c r="B332" i="4"/>
  <c r="C331" i="4"/>
  <c r="F331" i="4" s="1"/>
  <c r="B331" i="4"/>
  <c r="C330" i="4"/>
  <c r="B330" i="4"/>
  <c r="C329" i="4"/>
  <c r="B329" i="4"/>
  <c r="C328" i="4"/>
  <c r="G328" i="4" s="1"/>
  <c r="B328" i="4"/>
  <c r="C327" i="4"/>
  <c r="F327" i="4" s="1"/>
  <c r="B327" i="4"/>
  <c r="C326" i="4"/>
  <c r="B326" i="4"/>
  <c r="C325" i="4"/>
  <c r="B325" i="4"/>
  <c r="G324" i="4"/>
  <c r="C324" i="4"/>
  <c r="F324" i="4" s="1"/>
  <c r="B324" i="4"/>
  <c r="C323" i="4"/>
  <c r="B323" i="4"/>
  <c r="C322" i="4"/>
  <c r="B322" i="4"/>
  <c r="C321" i="4"/>
  <c r="B321" i="4"/>
  <c r="C320" i="4"/>
  <c r="F320" i="4" s="1"/>
  <c r="B320" i="4"/>
  <c r="C319" i="4"/>
  <c r="B319" i="4"/>
  <c r="C318" i="4"/>
  <c r="B318" i="4"/>
  <c r="F317" i="4"/>
  <c r="C317" i="4"/>
  <c r="G317" i="4" s="1"/>
  <c r="B317" i="4"/>
  <c r="C316" i="4"/>
  <c r="G316" i="4" s="1"/>
  <c r="I316" i="4" s="1"/>
  <c r="B316" i="4"/>
  <c r="C315" i="4"/>
  <c r="G315" i="4" s="1"/>
  <c r="B315" i="4"/>
  <c r="C314" i="4"/>
  <c r="G314" i="4" s="1"/>
  <c r="I314" i="4" s="1"/>
  <c r="B314" i="4"/>
  <c r="C313" i="4"/>
  <c r="F313" i="4" s="1"/>
  <c r="B313" i="4"/>
  <c r="C312" i="4"/>
  <c r="B312" i="4"/>
  <c r="G311" i="4"/>
  <c r="I311" i="4" s="1"/>
  <c r="C311" i="4"/>
  <c r="F311" i="4" s="1"/>
  <c r="B311" i="4"/>
  <c r="C310" i="4"/>
  <c r="B310" i="4"/>
  <c r="C309" i="4"/>
  <c r="G309" i="4" s="1"/>
  <c r="I309" i="4" s="1"/>
  <c r="B309" i="4"/>
  <c r="C308" i="4"/>
  <c r="B308" i="4"/>
  <c r="C307" i="4"/>
  <c r="G307" i="4" s="1"/>
  <c r="I307" i="4" s="1"/>
  <c r="B307" i="4"/>
  <c r="C306" i="4"/>
  <c r="B306" i="4"/>
  <c r="C305" i="4"/>
  <c r="F305" i="4" s="1"/>
  <c r="B305" i="4"/>
  <c r="G304" i="4"/>
  <c r="C304" i="4"/>
  <c r="F304" i="4" s="1"/>
  <c r="B304" i="4"/>
  <c r="C303" i="4"/>
  <c r="G303" i="4" s="1"/>
  <c r="B303" i="4"/>
  <c r="C302" i="4"/>
  <c r="F302" i="4" s="1"/>
  <c r="B302" i="4"/>
  <c r="C301" i="4"/>
  <c r="G301" i="4" s="1"/>
  <c r="B301" i="4"/>
  <c r="C300" i="4"/>
  <c r="F300" i="4" s="1"/>
  <c r="B300" i="4"/>
  <c r="C299" i="4"/>
  <c r="F299" i="4" s="1"/>
  <c r="B299" i="4"/>
  <c r="C298" i="4"/>
  <c r="B298" i="4"/>
  <c r="C297" i="4"/>
  <c r="G297" i="4" s="1"/>
  <c r="B297" i="4"/>
  <c r="C296" i="4"/>
  <c r="F296" i="4" s="1"/>
  <c r="B296" i="4"/>
  <c r="C295" i="4"/>
  <c r="G295" i="4" s="1"/>
  <c r="I295" i="4" s="1"/>
  <c r="B295" i="4"/>
  <c r="G294" i="4"/>
  <c r="C294" i="4"/>
  <c r="F294" i="4" s="1"/>
  <c r="B294" i="4"/>
  <c r="C293" i="4"/>
  <c r="G293" i="4" s="1"/>
  <c r="I293" i="4" s="1"/>
  <c r="B293" i="4"/>
  <c r="C292" i="4"/>
  <c r="F292" i="4" s="1"/>
  <c r="B292" i="4"/>
  <c r="C291" i="4"/>
  <c r="F291" i="4" s="1"/>
  <c r="B291" i="4"/>
  <c r="C290" i="4"/>
  <c r="B290" i="4"/>
  <c r="C289" i="4"/>
  <c r="B289" i="4"/>
  <c r="G288" i="4"/>
  <c r="C288" i="4"/>
  <c r="F288" i="4" s="1"/>
  <c r="B288" i="4"/>
  <c r="C287" i="4"/>
  <c r="F287" i="4" s="1"/>
  <c r="B287" i="4"/>
  <c r="C286" i="4"/>
  <c r="F286" i="4" s="1"/>
  <c r="B286" i="4"/>
  <c r="F285" i="4"/>
  <c r="C285" i="4"/>
  <c r="G285" i="4" s="1"/>
  <c r="I285" i="4" s="1"/>
  <c r="B285" i="4"/>
  <c r="C284" i="4"/>
  <c r="F284" i="4" s="1"/>
  <c r="B284" i="4"/>
  <c r="C283" i="4"/>
  <c r="F283" i="4" s="1"/>
  <c r="B283" i="4"/>
  <c r="C282" i="4"/>
  <c r="B282" i="4"/>
  <c r="F281" i="4"/>
  <c r="C281" i="4"/>
  <c r="G281" i="4" s="1"/>
  <c r="B281" i="4"/>
  <c r="C280" i="4"/>
  <c r="B280" i="4"/>
  <c r="C279" i="4"/>
  <c r="B279" i="4"/>
  <c r="C278" i="4"/>
  <c r="F278" i="4" s="1"/>
  <c r="B278" i="4"/>
  <c r="H277" i="4"/>
  <c r="F277" i="4"/>
  <c r="C277" i="4"/>
  <c r="G277" i="4" s="1"/>
  <c r="I277" i="4" s="1"/>
  <c r="B277" i="4"/>
  <c r="C276" i="4"/>
  <c r="G276" i="4" s="1"/>
  <c r="B276" i="4"/>
  <c r="C275" i="4"/>
  <c r="G275" i="4" s="1"/>
  <c r="B275" i="4"/>
  <c r="F274" i="4"/>
  <c r="C274" i="4"/>
  <c r="G274" i="4" s="1"/>
  <c r="B274" i="4"/>
  <c r="C273" i="4"/>
  <c r="F273" i="4" s="1"/>
  <c r="B273" i="4"/>
  <c r="C272" i="4"/>
  <c r="G272" i="4" s="1"/>
  <c r="B272" i="4"/>
  <c r="G271" i="4"/>
  <c r="I271" i="4" s="1"/>
  <c r="C271" i="4"/>
  <c r="F271" i="4" s="1"/>
  <c r="B271" i="4"/>
  <c r="C270" i="4"/>
  <c r="B270" i="4"/>
  <c r="C269" i="4"/>
  <c r="G269" i="4" s="1"/>
  <c r="B269" i="4"/>
  <c r="C268" i="4"/>
  <c r="G268" i="4" s="1"/>
  <c r="B268" i="4"/>
  <c r="C267" i="4"/>
  <c r="G267" i="4" s="1"/>
  <c r="B267" i="4"/>
  <c r="G266" i="4"/>
  <c r="I266" i="4" s="1"/>
  <c r="C266" i="4"/>
  <c r="F266" i="4" s="1"/>
  <c r="B266" i="4"/>
  <c r="C265" i="4"/>
  <c r="F265" i="4" s="1"/>
  <c r="B265" i="4"/>
  <c r="C264" i="4"/>
  <c r="G264" i="4" s="1"/>
  <c r="B264" i="4"/>
  <c r="C263" i="4"/>
  <c r="F263" i="4" s="1"/>
  <c r="B263" i="4"/>
  <c r="C262" i="4"/>
  <c r="B262" i="4"/>
  <c r="C261" i="4"/>
  <c r="G261" i="4" s="1"/>
  <c r="B261" i="4"/>
  <c r="C260" i="4"/>
  <c r="G260" i="4" s="1"/>
  <c r="B260" i="4"/>
  <c r="C259" i="4"/>
  <c r="G259" i="4" s="1"/>
  <c r="B259" i="4"/>
  <c r="C258" i="4"/>
  <c r="G258" i="4" s="1"/>
  <c r="I258" i="4" s="1"/>
  <c r="B258" i="4"/>
  <c r="C257" i="4"/>
  <c r="F257" i="4" s="1"/>
  <c r="B257" i="4"/>
  <c r="C256" i="4"/>
  <c r="G256" i="4" s="1"/>
  <c r="B256" i="4"/>
  <c r="G255" i="4"/>
  <c r="I255" i="4" s="1"/>
  <c r="C255" i="4"/>
  <c r="F255" i="4" s="1"/>
  <c r="B255" i="4"/>
  <c r="C254" i="4"/>
  <c r="B254" i="4"/>
  <c r="F253" i="4"/>
  <c r="C253" i="4"/>
  <c r="G253" i="4" s="1"/>
  <c r="I253" i="4" s="1"/>
  <c r="B253" i="4"/>
  <c r="C252" i="4"/>
  <c r="G252" i="4" s="1"/>
  <c r="B252" i="4"/>
  <c r="C251" i="4"/>
  <c r="G251" i="4" s="1"/>
  <c r="B251" i="4"/>
  <c r="C250" i="4"/>
  <c r="G250" i="4" s="1"/>
  <c r="B250" i="4"/>
  <c r="C249" i="4"/>
  <c r="F249" i="4" s="1"/>
  <c r="B249" i="4"/>
  <c r="C248" i="4"/>
  <c r="G248" i="4" s="1"/>
  <c r="B248" i="4"/>
  <c r="C247" i="4"/>
  <c r="F247" i="4" s="1"/>
  <c r="B247" i="4"/>
  <c r="C246" i="4"/>
  <c r="G246" i="4" s="1"/>
  <c r="B246" i="4"/>
  <c r="C245" i="4"/>
  <c r="F245" i="4" s="1"/>
  <c r="B245" i="4"/>
  <c r="C244" i="4"/>
  <c r="G244" i="4" s="1"/>
  <c r="B244" i="4"/>
  <c r="C243" i="4"/>
  <c r="F243" i="4" s="1"/>
  <c r="B243" i="4"/>
  <c r="F242" i="4"/>
  <c r="C242" i="4"/>
  <c r="G242" i="4" s="1"/>
  <c r="B242" i="4"/>
  <c r="C241" i="4"/>
  <c r="F241" i="4" s="1"/>
  <c r="B241" i="4"/>
  <c r="C240" i="4"/>
  <c r="G240" i="4" s="1"/>
  <c r="B240" i="4"/>
  <c r="C239" i="4"/>
  <c r="F239" i="4" s="1"/>
  <c r="B239" i="4"/>
  <c r="F238" i="4"/>
  <c r="C238" i="4"/>
  <c r="G238" i="4" s="1"/>
  <c r="B238" i="4"/>
  <c r="C237" i="4"/>
  <c r="F237" i="4" s="1"/>
  <c r="B237" i="4"/>
  <c r="F236" i="4"/>
  <c r="C236" i="4"/>
  <c r="G236" i="4" s="1"/>
  <c r="B236" i="4"/>
  <c r="C235" i="4"/>
  <c r="F235" i="4" s="1"/>
  <c r="B235" i="4"/>
  <c r="C234" i="4"/>
  <c r="G234" i="4" s="1"/>
  <c r="B234" i="4"/>
  <c r="C233" i="4"/>
  <c r="F233" i="4" s="1"/>
  <c r="B233" i="4"/>
  <c r="F232" i="4"/>
  <c r="C232" i="4"/>
  <c r="G232" i="4" s="1"/>
  <c r="B232" i="4"/>
  <c r="C231" i="4"/>
  <c r="F231" i="4" s="1"/>
  <c r="B231" i="4"/>
  <c r="C230" i="4"/>
  <c r="G230" i="4" s="1"/>
  <c r="I230" i="4" s="1"/>
  <c r="B230" i="4"/>
  <c r="C229" i="4"/>
  <c r="F229" i="4" s="1"/>
  <c r="B229" i="4"/>
  <c r="C228" i="4"/>
  <c r="G228" i="4" s="1"/>
  <c r="I228" i="4" s="1"/>
  <c r="B228" i="4"/>
  <c r="C227" i="4"/>
  <c r="F227" i="4" s="1"/>
  <c r="B227" i="4"/>
  <c r="C226" i="4"/>
  <c r="G226" i="4" s="1"/>
  <c r="B226" i="4"/>
  <c r="C225" i="4"/>
  <c r="F225" i="4" s="1"/>
  <c r="B225" i="4"/>
  <c r="F224" i="4"/>
  <c r="C224" i="4"/>
  <c r="G224" i="4" s="1"/>
  <c r="B224" i="4"/>
  <c r="C223" i="4"/>
  <c r="B223" i="4"/>
  <c r="C222" i="4"/>
  <c r="G222" i="4" s="1"/>
  <c r="B222" i="4"/>
  <c r="C221" i="4"/>
  <c r="F221" i="4" s="1"/>
  <c r="B221" i="4"/>
  <c r="C220" i="4"/>
  <c r="G220" i="4" s="1"/>
  <c r="I220" i="4" s="1"/>
  <c r="B220" i="4"/>
  <c r="C219" i="4"/>
  <c r="F219" i="4" s="1"/>
  <c r="B219" i="4"/>
  <c r="C218" i="4"/>
  <c r="G218" i="4" s="1"/>
  <c r="B218" i="4"/>
  <c r="C217" i="4"/>
  <c r="F217" i="4" s="1"/>
  <c r="B217" i="4"/>
  <c r="C216" i="4"/>
  <c r="F216" i="4" s="1"/>
  <c r="B216" i="4"/>
  <c r="C215" i="4"/>
  <c r="B215" i="4"/>
  <c r="C214" i="4"/>
  <c r="G214" i="4" s="1"/>
  <c r="B214" i="4"/>
  <c r="G213" i="4"/>
  <c r="C213" i="4"/>
  <c r="F213" i="4" s="1"/>
  <c r="B213" i="4"/>
  <c r="C212" i="4"/>
  <c r="G212" i="4" s="1"/>
  <c r="I212" i="4" s="1"/>
  <c r="B212" i="4"/>
  <c r="C211" i="4"/>
  <c r="F211" i="4" s="1"/>
  <c r="B211" i="4"/>
  <c r="C210" i="4"/>
  <c r="G210" i="4" s="1"/>
  <c r="I210" i="4" s="1"/>
  <c r="B210" i="4"/>
  <c r="C209" i="4"/>
  <c r="F209" i="4" s="1"/>
  <c r="B209" i="4"/>
  <c r="G208" i="4"/>
  <c r="C208" i="4"/>
  <c r="F208" i="4" s="1"/>
  <c r="B208" i="4"/>
  <c r="C207" i="4"/>
  <c r="B207" i="4"/>
  <c r="C206" i="4"/>
  <c r="B206" i="4"/>
  <c r="G205" i="4"/>
  <c r="C205" i="4"/>
  <c r="F205" i="4" s="1"/>
  <c r="B205" i="4"/>
  <c r="G204" i="4"/>
  <c r="I204" i="4" s="1"/>
  <c r="F204" i="4"/>
  <c r="C204" i="4"/>
  <c r="B204" i="4"/>
  <c r="C203" i="4"/>
  <c r="F203" i="4" s="1"/>
  <c r="B203" i="4"/>
  <c r="C202" i="4"/>
  <c r="G202" i="4" s="1"/>
  <c r="I202" i="4" s="1"/>
  <c r="B202" i="4"/>
  <c r="C201" i="4"/>
  <c r="F201" i="4" s="1"/>
  <c r="B201" i="4"/>
  <c r="C200" i="4"/>
  <c r="G200" i="4" s="1"/>
  <c r="B200" i="4"/>
  <c r="C199" i="4"/>
  <c r="B199" i="4"/>
  <c r="C198" i="4"/>
  <c r="B198" i="4"/>
  <c r="C197" i="4"/>
  <c r="F197" i="4" s="1"/>
  <c r="B197" i="4"/>
  <c r="G196" i="4"/>
  <c r="I196" i="4" s="1"/>
  <c r="C196" i="4"/>
  <c r="F196" i="4" s="1"/>
  <c r="B196" i="4"/>
  <c r="C195" i="4"/>
  <c r="F195" i="4" s="1"/>
  <c r="B195" i="4"/>
  <c r="C194" i="4"/>
  <c r="G194" i="4" s="1"/>
  <c r="I194" i="4" s="1"/>
  <c r="B194" i="4"/>
  <c r="C193" i="4"/>
  <c r="F193" i="4" s="1"/>
  <c r="B193" i="4"/>
  <c r="F192" i="4"/>
  <c r="C192" i="4"/>
  <c r="G192" i="4" s="1"/>
  <c r="B192" i="4"/>
  <c r="C191" i="4"/>
  <c r="B191" i="4"/>
  <c r="C190" i="4"/>
  <c r="B190" i="4"/>
  <c r="C189" i="4"/>
  <c r="F189" i="4" s="1"/>
  <c r="B189" i="4"/>
  <c r="C188" i="4"/>
  <c r="G188" i="4" s="1"/>
  <c r="I188" i="4" s="1"/>
  <c r="B188" i="4"/>
  <c r="C187" i="4"/>
  <c r="F187" i="4" s="1"/>
  <c r="B187" i="4"/>
  <c r="C186" i="4"/>
  <c r="G186" i="4" s="1"/>
  <c r="I186" i="4" s="1"/>
  <c r="B186" i="4"/>
  <c r="C185" i="4"/>
  <c r="F185" i="4" s="1"/>
  <c r="B185" i="4"/>
  <c r="C184" i="4"/>
  <c r="G184" i="4" s="1"/>
  <c r="B184" i="4"/>
  <c r="C183" i="4"/>
  <c r="B183" i="4"/>
  <c r="C182" i="4"/>
  <c r="B182" i="4"/>
  <c r="C181" i="4"/>
  <c r="G181" i="4" s="1"/>
  <c r="B181" i="4"/>
  <c r="C180" i="4"/>
  <c r="G180" i="4" s="1"/>
  <c r="B180" i="4"/>
  <c r="C179" i="4"/>
  <c r="G179" i="4" s="1"/>
  <c r="I179" i="4" s="1"/>
  <c r="B179" i="4"/>
  <c r="C178" i="4"/>
  <c r="F178" i="4" s="1"/>
  <c r="B178" i="4"/>
  <c r="G177" i="4"/>
  <c r="I177" i="4" s="1"/>
  <c r="C177" i="4"/>
  <c r="F177" i="4" s="1"/>
  <c r="B177" i="4"/>
  <c r="C176" i="4"/>
  <c r="G176" i="4" s="1"/>
  <c r="B176" i="4"/>
  <c r="C175" i="4"/>
  <c r="B175" i="4"/>
  <c r="C174" i="4"/>
  <c r="F174" i="4" s="1"/>
  <c r="B174" i="4"/>
  <c r="G173" i="4"/>
  <c r="F173" i="4"/>
  <c r="C173" i="4"/>
  <c r="B173" i="4"/>
  <c r="C172" i="4"/>
  <c r="G172" i="4" s="1"/>
  <c r="B172" i="4"/>
  <c r="C171" i="4"/>
  <c r="G171" i="4" s="1"/>
  <c r="I171" i="4" s="1"/>
  <c r="B171" i="4"/>
  <c r="G170" i="4"/>
  <c r="C170" i="4"/>
  <c r="F170" i="4" s="1"/>
  <c r="B170" i="4"/>
  <c r="C169" i="4"/>
  <c r="F169" i="4" s="1"/>
  <c r="B169" i="4"/>
  <c r="C168" i="4"/>
  <c r="G168" i="4" s="1"/>
  <c r="B168" i="4"/>
  <c r="C167" i="4"/>
  <c r="B167" i="4"/>
  <c r="C166" i="4"/>
  <c r="F166" i="4" s="1"/>
  <c r="B166" i="4"/>
  <c r="C165" i="4"/>
  <c r="G165" i="4" s="1"/>
  <c r="B165" i="4"/>
  <c r="F164" i="4"/>
  <c r="C164" i="4"/>
  <c r="G164" i="4" s="1"/>
  <c r="B164" i="4"/>
  <c r="C163" i="4"/>
  <c r="G163" i="4" s="1"/>
  <c r="I163" i="4" s="1"/>
  <c r="B163" i="4"/>
  <c r="C162" i="4"/>
  <c r="F162" i="4" s="1"/>
  <c r="B162" i="4"/>
  <c r="G161" i="4"/>
  <c r="I161" i="4" s="1"/>
  <c r="C161" i="4"/>
  <c r="F161" i="4" s="1"/>
  <c r="B161" i="4"/>
  <c r="C160" i="4"/>
  <c r="G160" i="4" s="1"/>
  <c r="B160" i="4"/>
  <c r="C159" i="4"/>
  <c r="G159" i="4" s="1"/>
  <c r="B159" i="4"/>
  <c r="C158" i="4"/>
  <c r="G158" i="4" s="1"/>
  <c r="I158" i="4" s="1"/>
  <c r="B158" i="4"/>
  <c r="G157" i="4"/>
  <c r="I157" i="4" s="1"/>
  <c r="C157" i="4"/>
  <c r="F157" i="4" s="1"/>
  <c r="B157" i="4"/>
  <c r="C156" i="4"/>
  <c r="F156" i="4" s="1"/>
  <c r="B156" i="4"/>
  <c r="C155" i="4"/>
  <c r="G155" i="4" s="1"/>
  <c r="B155" i="4"/>
  <c r="C154" i="4"/>
  <c r="F154" i="4" s="1"/>
  <c r="B154" i="4"/>
  <c r="C153" i="4"/>
  <c r="F153" i="4" s="1"/>
  <c r="B153" i="4"/>
  <c r="I152" i="4"/>
  <c r="C152" i="4"/>
  <c r="G152" i="4" s="1"/>
  <c r="H152" i="4" s="1"/>
  <c r="B152" i="4"/>
  <c r="G151" i="4"/>
  <c r="C151" i="4"/>
  <c r="F151" i="4" s="1"/>
  <c r="B151" i="4"/>
  <c r="C150" i="4"/>
  <c r="B150" i="4"/>
  <c r="C149" i="4"/>
  <c r="G149" i="4" s="1"/>
  <c r="B149" i="4"/>
  <c r="G148" i="4"/>
  <c r="C148" i="4"/>
  <c r="F148" i="4" s="1"/>
  <c r="B148" i="4"/>
  <c r="G147" i="4"/>
  <c r="I147" i="4" s="1"/>
  <c r="C147" i="4"/>
  <c r="F147" i="4" s="1"/>
  <c r="B147" i="4"/>
  <c r="G146" i="4"/>
  <c r="F146" i="4"/>
  <c r="C146" i="4"/>
  <c r="B146" i="4"/>
  <c r="G145" i="4"/>
  <c r="I145" i="4" s="1"/>
  <c r="C145" i="4"/>
  <c r="F145" i="4" s="1"/>
  <c r="B145" i="4"/>
  <c r="C144" i="4"/>
  <c r="G144" i="4" s="1"/>
  <c r="H144" i="4" s="1"/>
  <c r="B144" i="4"/>
  <c r="G143" i="4"/>
  <c r="C143" i="4"/>
  <c r="F143" i="4" s="1"/>
  <c r="B143" i="4"/>
  <c r="C142" i="4"/>
  <c r="B142" i="4"/>
  <c r="G141" i="4"/>
  <c r="I141" i="4" s="1"/>
  <c r="C141" i="4"/>
  <c r="F141" i="4" s="1"/>
  <c r="B141" i="4"/>
  <c r="C140" i="4"/>
  <c r="B140" i="4"/>
  <c r="C139" i="4"/>
  <c r="F139" i="4" s="1"/>
  <c r="B139" i="4"/>
  <c r="C138" i="4"/>
  <c r="F138" i="4" s="1"/>
  <c r="B138" i="4"/>
  <c r="G137" i="4"/>
  <c r="C137" i="4"/>
  <c r="F137" i="4" s="1"/>
  <c r="B137" i="4"/>
  <c r="C136" i="4"/>
  <c r="B136" i="4"/>
  <c r="C135" i="4"/>
  <c r="F135" i="4" s="1"/>
  <c r="B135" i="4"/>
  <c r="C134" i="4"/>
  <c r="F134" i="4" s="1"/>
  <c r="B134" i="4"/>
  <c r="C133" i="4"/>
  <c r="F133" i="4" s="1"/>
  <c r="B133" i="4"/>
  <c r="C132" i="4"/>
  <c r="F132" i="4" s="1"/>
  <c r="B132" i="4"/>
  <c r="C131" i="4"/>
  <c r="F131" i="4" s="1"/>
  <c r="B131" i="4"/>
  <c r="C130" i="4"/>
  <c r="F130" i="4" s="1"/>
  <c r="B130" i="4"/>
  <c r="C129" i="4"/>
  <c r="F129" i="4" s="1"/>
  <c r="B129" i="4"/>
  <c r="C128" i="4"/>
  <c r="F128" i="4" s="1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F114" i="4" s="1"/>
  <c r="B114" i="4"/>
  <c r="C113" i="4"/>
  <c r="B113" i="4"/>
  <c r="C112" i="4"/>
  <c r="F112" i="4" s="1"/>
  <c r="B112" i="4"/>
  <c r="C111" i="4"/>
  <c r="B111" i="4"/>
  <c r="G110" i="4"/>
  <c r="C110" i="4"/>
  <c r="F110" i="4" s="1"/>
  <c r="B110" i="4"/>
  <c r="C109" i="4"/>
  <c r="B109" i="4"/>
  <c r="C108" i="4"/>
  <c r="F108" i="4" s="1"/>
  <c r="B108" i="4"/>
  <c r="C107" i="4"/>
  <c r="B107" i="4"/>
  <c r="C106" i="4"/>
  <c r="F106" i="4" s="1"/>
  <c r="B106" i="4"/>
  <c r="C105" i="4"/>
  <c r="B105" i="4"/>
  <c r="C104" i="4"/>
  <c r="F104" i="4" s="1"/>
  <c r="B104" i="4"/>
  <c r="C103" i="4"/>
  <c r="B103" i="4"/>
  <c r="G102" i="4"/>
  <c r="C102" i="4"/>
  <c r="F102" i="4" s="1"/>
  <c r="B102" i="4"/>
  <c r="C101" i="4"/>
  <c r="B101" i="4"/>
  <c r="C100" i="4"/>
  <c r="F100" i="4" s="1"/>
  <c r="B100" i="4"/>
  <c r="C99" i="4"/>
  <c r="B99" i="4"/>
  <c r="G98" i="4"/>
  <c r="C98" i="4"/>
  <c r="B98" i="4"/>
  <c r="C97" i="4"/>
  <c r="B97" i="4"/>
  <c r="C96" i="4"/>
  <c r="G96" i="4" s="1"/>
  <c r="B96" i="4"/>
  <c r="C95" i="4"/>
  <c r="B95" i="4"/>
  <c r="C94" i="4"/>
  <c r="B94" i="4"/>
  <c r="C93" i="4"/>
  <c r="B93" i="4"/>
  <c r="C92" i="4"/>
  <c r="B92" i="4"/>
  <c r="C91" i="4"/>
  <c r="B91" i="4"/>
  <c r="C90" i="4"/>
  <c r="G90" i="4" s="1"/>
  <c r="B90" i="4"/>
  <c r="C89" i="4"/>
  <c r="G89" i="4" s="1"/>
  <c r="H89" i="4" s="1"/>
  <c r="B89" i="4"/>
  <c r="C88" i="4"/>
  <c r="G88" i="4" s="1"/>
  <c r="B88" i="4"/>
  <c r="C87" i="4"/>
  <c r="B87" i="4"/>
  <c r="C86" i="4"/>
  <c r="F86" i="4" s="1"/>
  <c r="B86" i="4"/>
  <c r="C85" i="4"/>
  <c r="B85" i="4"/>
  <c r="G84" i="4"/>
  <c r="C84" i="4"/>
  <c r="F84" i="4" s="1"/>
  <c r="B84" i="4"/>
  <c r="C83" i="4"/>
  <c r="B83" i="4"/>
  <c r="C82" i="4"/>
  <c r="F82" i="4" s="1"/>
  <c r="B82" i="4"/>
  <c r="C81" i="4"/>
  <c r="G81" i="4" s="1"/>
  <c r="B81" i="4"/>
  <c r="C80" i="4"/>
  <c r="F80" i="4" s="1"/>
  <c r="B80" i="4"/>
  <c r="C79" i="4"/>
  <c r="F79" i="4" s="1"/>
  <c r="B79" i="4"/>
  <c r="C78" i="4"/>
  <c r="B78" i="4"/>
  <c r="C77" i="4"/>
  <c r="F77" i="4" s="1"/>
  <c r="B77" i="4"/>
  <c r="C76" i="4"/>
  <c r="F76" i="4" s="1"/>
  <c r="B76" i="4"/>
  <c r="C75" i="4"/>
  <c r="B75" i="4"/>
  <c r="G74" i="4"/>
  <c r="I74" i="4" s="1"/>
  <c r="C74" i="4"/>
  <c r="F74" i="4" s="1"/>
  <c r="B74" i="4"/>
  <c r="C73" i="4"/>
  <c r="F73" i="4" s="1"/>
  <c r="B73" i="4"/>
  <c r="C72" i="4"/>
  <c r="F72" i="4" s="1"/>
  <c r="B72" i="4"/>
  <c r="C71" i="4"/>
  <c r="F71" i="4" s="1"/>
  <c r="B71" i="4"/>
  <c r="G70" i="4"/>
  <c r="I70" i="4" s="1"/>
  <c r="C70" i="4"/>
  <c r="F70" i="4" s="1"/>
  <c r="B70" i="4"/>
  <c r="C69" i="4"/>
  <c r="F69" i="4" s="1"/>
  <c r="B69" i="4"/>
  <c r="C68" i="4"/>
  <c r="F68" i="4" s="1"/>
  <c r="B68" i="4"/>
  <c r="C67" i="4"/>
  <c r="F67" i="4" s="1"/>
  <c r="B67" i="4"/>
  <c r="G66" i="4"/>
  <c r="I66" i="4" s="1"/>
  <c r="C66" i="4"/>
  <c r="F66" i="4" s="1"/>
  <c r="B66" i="4"/>
  <c r="C65" i="4"/>
  <c r="F65" i="4" s="1"/>
  <c r="B65" i="4"/>
  <c r="C64" i="4"/>
  <c r="F64" i="4" s="1"/>
  <c r="B64" i="4"/>
  <c r="G63" i="4"/>
  <c r="C63" i="4"/>
  <c r="F63" i="4" s="1"/>
  <c r="B63" i="4"/>
  <c r="C62" i="4"/>
  <c r="B62" i="4"/>
  <c r="C61" i="4"/>
  <c r="F61" i="4" s="1"/>
  <c r="B61" i="4"/>
  <c r="C60" i="4"/>
  <c r="F60" i="4" s="1"/>
  <c r="B60" i="4"/>
  <c r="C59" i="4"/>
  <c r="B59" i="4"/>
  <c r="C58" i="4"/>
  <c r="F58" i="4" s="1"/>
  <c r="B58" i="4"/>
  <c r="C57" i="4"/>
  <c r="F57" i="4" s="1"/>
  <c r="B57" i="4"/>
  <c r="C56" i="4"/>
  <c r="F56" i="4" s="1"/>
  <c r="B56" i="4"/>
  <c r="C55" i="4"/>
  <c r="G55" i="4" s="1"/>
  <c r="I55" i="4" s="1"/>
  <c r="B55" i="4"/>
  <c r="C54" i="4"/>
  <c r="G54" i="4" s="1"/>
  <c r="I54" i="4" s="1"/>
  <c r="B54" i="4"/>
  <c r="H53" i="4"/>
  <c r="C53" i="4"/>
  <c r="G53" i="4" s="1"/>
  <c r="I53" i="4" s="1"/>
  <c r="B53" i="4"/>
  <c r="C52" i="4"/>
  <c r="G52" i="4" s="1"/>
  <c r="I52" i="4" s="1"/>
  <c r="B52" i="4"/>
  <c r="C51" i="4"/>
  <c r="G51" i="4" s="1"/>
  <c r="I51" i="4" s="1"/>
  <c r="B51" i="4"/>
  <c r="C50" i="4"/>
  <c r="G50" i="4" s="1"/>
  <c r="I50" i="4" s="1"/>
  <c r="B50" i="4"/>
  <c r="C49" i="4"/>
  <c r="G49" i="4" s="1"/>
  <c r="I49" i="4" s="1"/>
  <c r="B49" i="4"/>
  <c r="G48" i="4"/>
  <c r="C48" i="4"/>
  <c r="F48" i="4" s="1"/>
  <c r="B48" i="4"/>
  <c r="C47" i="4"/>
  <c r="F47" i="4" s="1"/>
  <c r="B47" i="4"/>
  <c r="C46" i="4"/>
  <c r="F46" i="4" s="1"/>
  <c r="B46" i="4"/>
  <c r="C45" i="4"/>
  <c r="F45" i="4" s="1"/>
  <c r="B45" i="4"/>
  <c r="K44" i="4"/>
  <c r="C44" i="4"/>
  <c r="G44" i="4" s="1"/>
  <c r="B44" i="4"/>
  <c r="C43" i="4"/>
  <c r="G43" i="4" s="1"/>
  <c r="B43" i="4"/>
  <c r="C42" i="4"/>
  <c r="G42" i="4" s="1"/>
  <c r="B42" i="4"/>
  <c r="G41" i="4"/>
  <c r="C41" i="4"/>
  <c r="F41" i="4" s="1"/>
  <c r="B41" i="4"/>
  <c r="C40" i="4"/>
  <c r="G40" i="4" s="1"/>
  <c r="B40" i="4"/>
  <c r="C39" i="4"/>
  <c r="G39" i="4" s="1"/>
  <c r="B39" i="4"/>
  <c r="G38" i="4"/>
  <c r="C38" i="4"/>
  <c r="F38" i="4" s="1"/>
  <c r="B38" i="4"/>
  <c r="C37" i="4"/>
  <c r="F37" i="4" s="1"/>
  <c r="B37" i="4"/>
  <c r="C36" i="4"/>
  <c r="F36" i="4" s="1"/>
  <c r="B36" i="4"/>
  <c r="C35" i="4"/>
  <c r="G35" i="4" s="1"/>
  <c r="B35" i="4"/>
  <c r="C34" i="4"/>
  <c r="F34" i="4" s="1"/>
  <c r="B34" i="4"/>
  <c r="C33" i="4"/>
  <c r="F33" i="4" s="1"/>
  <c r="B33" i="4"/>
  <c r="C32" i="4"/>
  <c r="G32" i="4" s="1"/>
  <c r="B32" i="4"/>
  <c r="C31" i="4"/>
  <c r="G31" i="4" s="1"/>
  <c r="B31" i="4"/>
  <c r="C30" i="4"/>
  <c r="F30" i="4" s="1"/>
  <c r="B30" i="4"/>
  <c r="G29" i="4"/>
  <c r="C29" i="4"/>
  <c r="F29" i="4" s="1"/>
  <c r="B29" i="4"/>
  <c r="C28" i="4"/>
  <c r="G28" i="4" s="1"/>
  <c r="B28" i="4"/>
  <c r="C27" i="4"/>
  <c r="G27" i="4" s="1"/>
  <c r="B27" i="4"/>
  <c r="C26" i="4"/>
  <c r="F26" i="4" s="1"/>
  <c r="B26" i="4"/>
  <c r="C25" i="4"/>
  <c r="F25" i="4" s="1"/>
  <c r="B25" i="4"/>
  <c r="C24" i="4"/>
  <c r="G24" i="4" s="1"/>
  <c r="B24" i="4"/>
  <c r="C23" i="4"/>
  <c r="G23" i="4" s="1"/>
  <c r="B23" i="4"/>
  <c r="G22" i="4"/>
  <c r="C22" i="4"/>
  <c r="F22" i="4" s="1"/>
  <c r="B22" i="4"/>
  <c r="C21" i="4"/>
  <c r="F21" i="4" s="1"/>
  <c r="B21" i="4"/>
  <c r="C20" i="4"/>
  <c r="G20" i="4" s="1"/>
  <c r="B20" i="4"/>
  <c r="F19" i="4"/>
  <c r="C19" i="4"/>
  <c r="G19" i="4" s="1"/>
  <c r="H19" i="4" s="1"/>
  <c r="B19" i="4"/>
  <c r="G18" i="4"/>
  <c r="H18" i="4" s="1"/>
  <c r="F18" i="4"/>
  <c r="C18" i="4"/>
  <c r="B18" i="4"/>
  <c r="D18" i="4" s="1"/>
  <c r="C17" i="4"/>
  <c r="G17" i="4" s="1"/>
  <c r="B17" i="4"/>
  <c r="F16" i="4"/>
  <c r="C16" i="4"/>
  <c r="G16" i="4" s="1"/>
  <c r="H16" i="4" s="1"/>
  <c r="B16" i="4"/>
  <c r="C15" i="4"/>
  <c r="G15" i="4" s="1"/>
  <c r="B15" i="4"/>
  <c r="C14" i="4"/>
  <c r="F14" i="4" s="1"/>
  <c r="B14" i="4"/>
  <c r="C13" i="4"/>
  <c r="G13" i="4" s="1"/>
  <c r="B13" i="4"/>
  <c r="D13" i="4" s="1"/>
  <c r="F12" i="4"/>
  <c r="C12" i="4"/>
  <c r="G12" i="4" s="1"/>
  <c r="H12" i="4" s="1"/>
  <c r="B12" i="4"/>
  <c r="Q11" i="4"/>
  <c r="C11" i="4"/>
  <c r="F11" i="4" s="1"/>
  <c r="B11" i="4"/>
  <c r="O6" i="3"/>
  <c r="O7" i="3" s="1"/>
  <c r="O8" i="3" s="1"/>
  <c r="O9" i="3" s="1"/>
  <c r="O10" i="3" s="1"/>
  <c r="O11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5" i="3"/>
  <c r="P5" i="3" s="1"/>
  <c r="Q5" i="3" s="1"/>
  <c r="P4" i="3"/>
  <c r="Q4" i="3" s="1"/>
  <c r="O4" i="3"/>
  <c r="L5" i="3"/>
  <c r="M5" i="3" s="1"/>
  <c r="L6" i="3"/>
  <c r="M6" i="3" s="1"/>
  <c r="L7" i="3"/>
  <c r="L8" i="3"/>
  <c r="M8" i="3" s="1"/>
  <c r="N8" i="3" s="1"/>
  <c r="L9" i="3"/>
  <c r="M9" i="3" s="1"/>
  <c r="N9" i="3" s="1"/>
  <c r="L10" i="3"/>
  <c r="M10" i="3"/>
  <c r="N10" i="3" s="1"/>
  <c r="L11" i="3"/>
  <c r="M11" i="3"/>
  <c r="N11" i="3" s="1"/>
  <c r="L12" i="3"/>
  <c r="M12" i="3"/>
  <c r="N12" i="3" s="1"/>
  <c r="L13" i="3"/>
  <c r="M13" i="3" s="1"/>
  <c r="L14" i="3"/>
  <c r="M14" i="3" s="1"/>
  <c r="L15" i="3"/>
  <c r="L16" i="3"/>
  <c r="M16" i="3" s="1"/>
  <c r="N16" i="3" s="1"/>
  <c r="L17" i="3"/>
  <c r="M17" i="3" s="1"/>
  <c r="N17" i="3" s="1"/>
  <c r="L18" i="3"/>
  <c r="M18" i="3"/>
  <c r="N18" i="3" s="1"/>
  <c r="L19" i="3"/>
  <c r="M19" i="3"/>
  <c r="N19" i="3" s="1"/>
  <c r="L20" i="3"/>
  <c r="N20" i="3" s="1"/>
  <c r="M20" i="3"/>
  <c r="L21" i="3"/>
  <c r="M21" i="3" s="1"/>
  <c r="L22" i="3"/>
  <c r="M22" i="3" s="1"/>
  <c r="L23" i="3"/>
  <c r="L24" i="3"/>
  <c r="M24" i="3" s="1"/>
  <c r="N24" i="3" s="1"/>
  <c r="L25" i="3"/>
  <c r="M25" i="3" s="1"/>
  <c r="N25" i="3" s="1"/>
  <c r="L26" i="3"/>
  <c r="M26" i="3"/>
  <c r="N26" i="3" s="1"/>
  <c r="L27" i="3"/>
  <c r="M27" i="3"/>
  <c r="N27" i="3" s="1"/>
  <c r="L28" i="3"/>
  <c r="N28" i="3" s="1"/>
  <c r="M28" i="3"/>
  <c r="L29" i="3"/>
  <c r="M29" i="3" s="1"/>
  <c r="L30" i="3"/>
  <c r="M30" i="3" s="1"/>
  <c r="L31" i="3"/>
  <c r="M31" i="3" s="1"/>
  <c r="L32" i="3"/>
  <c r="M32" i="3" s="1"/>
  <c r="N32" i="3" s="1"/>
  <c r="L33" i="3"/>
  <c r="M33" i="3" s="1"/>
  <c r="N33" i="3" s="1"/>
  <c r="L34" i="3"/>
  <c r="M34" i="3"/>
  <c r="N34" i="3" s="1"/>
  <c r="L35" i="3"/>
  <c r="M35" i="3"/>
  <c r="N35" i="3" s="1"/>
  <c r="L36" i="3"/>
  <c r="M36" i="3"/>
  <c r="N36" i="3" s="1"/>
  <c r="L37" i="3"/>
  <c r="M37" i="3" s="1"/>
  <c r="L38" i="3"/>
  <c r="M38" i="3" s="1"/>
  <c r="L39" i="3"/>
  <c r="M39" i="3" s="1"/>
  <c r="L40" i="3"/>
  <c r="M40" i="3" s="1"/>
  <c r="N40" i="3" s="1"/>
  <c r="L41" i="3"/>
  <c r="M41" i="3" s="1"/>
  <c r="N41" i="3" s="1"/>
  <c r="L42" i="3"/>
  <c r="M42" i="3"/>
  <c r="N42" i="3" s="1"/>
  <c r="L43" i="3"/>
  <c r="M43" i="3"/>
  <c r="N43" i="3" s="1"/>
  <c r="L44" i="3"/>
  <c r="M44" i="3"/>
  <c r="N44" i="3" s="1"/>
  <c r="L45" i="3"/>
  <c r="M45" i="3" s="1"/>
  <c r="L46" i="3"/>
  <c r="M46" i="3" s="1"/>
  <c r="L47" i="3"/>
  <c r="M47" i="3" s="1"/>
  <c r="L48" i="3"/>
  <c r="M48" i="3" s="1"/>
  <c r="N48" i="3" s="1"/>
  <c r="L49" i="3"/>
  <c r="M49" i="3" s="1"/>
  <c r="N49" i="3" s="1"/>
  <c r="L50" i="3"/>
  <c r="M50" i="3"/>
  <c r="N50" i="3" s="1"/>
  <c r="L51" i="3"/>
  <c r="M51" i="3"/>
  <c r="N51" i="3" s="1"/>
  <c r="L52" i="3"/>
  <c r="N52" i="3" s="1"/>
  <c r="M52" i="3"/>
  <c r="L53" i="3"/>
  <c r="M53" i="3" s="1"/>
  <c r="L54" i="3"/>
  <c r="M54" i="3" s="1"/>
  <c r="L55" i="3"/>
  <c r="M55" i="3" s="1"/>
  <c r="L56" i="3"/>
  <c r="M56" i="3" s="1"/>
  <c r="N56" i="3" s="1"/>
  <c r="L57" i="3"/>
  <c r="M57" i="3" s="1"/>
  <c r="N57" i="3" s="1"/>
  <c r="L58" i="3"/>
  <c r="M58" i="3"/>
  <c r="N58" i="3" s="1"/>
  <c r="L59" i="3"/>
  <c r="M59" i="3"/>
  <c r="N59" i="3" s="1"/>
  <c r="L60" i="3"/>
  <c r="N60" i="3" s="1"/>
  <c r="M60" i="3"/>
  <c r="L61" i="3"/>
  <c r="M61" i="3" s="1"/>
  <c r="L62" i="3"/>
  <c r="M62" i="3" s="1"/>
  <c r="L63" i="3"/>
  <c r="M63" i="3" s="1"/>
  <c r="L64" i="3"/>
  <c r="M64" i="3" s="1"/>
  <c r="N64" i="3" s="1"/>
  <c r="L65" i="3"/>
  <c r="M65" i="3" s="1"/>
  <c r="N65" i="3" s="1"/>
  <c r="L66" i="3"/>
  <c r="M66" i="3"/>
  <c r="N66" i="3" s="1"/>
  <c r="L67" i="3"/>
  <c r="M67" i="3"/>
  <c r="N67" i="3" s="1"/>
  <c r="L68" i="3"/>
  <c r="N68" i="3" s="1"/>
  <c r="M68" i="3"/>
  <c r="L69" i="3"/>
  <c r="N69" i="3" s="1"/>
  <c r="M69" i="3"/>
  <c r="L70" i="3"/>
  <c r="M70" i="3" s="1"/>
  <c r="L71" i="3"/>
  <c r="M71" i="3" s="1"/>
  <c r="L72" i="3"/>
  <c r="M72" i="3" s="1"/>
  <c r="L73" i="3"/>
  <c r="M73" i="3" s="1"/>
  <c r="N73" i="3" s="1"/>
  <c r="L74" i="3"/>
  <c r="M74" i="3"/>
  <c r="N74" i="3"/>
  <c r="L75" i="3"/>
  <c r="M75" i="3"/>
  <c r="N75" i="3" s="1"/>
  <c r="L76" i="3"/>
  <c r="N76" i="3" s="1"/>
  <c r="M76" i="3"/>
  <c r="L77" i="3"/>
  <c r="N77" i="3" s="1"/>
  <c r="M77" i="3"/>
  <c r="L78" i="3"/>
  <c r="M78" i="3" s="1"/>
  <c r="L79" i="3"/>
  <c r="M79" i="3" s="1"/>
  <c r="N4" i="3"/>
  <c r="M4" i="3"/>
  <c r="L4" i="3"/>
  <c r="K78" i="3"/>
  <c r="K77" i="3"/>
  <c r="K76" i="3"/>
  <c r="K75" i="3" s="1"/>
  <c r="K74" i="3" s="1"/>
  <c r="K73" i="3" s="1"/>
  <c r="K72" i="3" s="1"/>
  <c r="K71" i="3" s="1"/>
  <c r="K70" i="3" s="1"/>
  <c r="K69" i="3" s="1"/>
  <c r="K68" i="3" s="1"/>
  <c r="K67" i="3" s="1"/>
  <c r="K66" i="3" s="1"/>
  <c r="K65" i="3" s="1"/>
  <c r="K64" i="3" s="1"/>
  <c r="K63" i="3" s="1"/>
  <c r="K62" i="3" s="1"/>
  <c r="K61" i="3" s="1"/>
  <c r="K60" i="3" s="1"/>
  <c r="K59" i="3" s="1"/>
  <c r="K58" i="3" s="1"/>
  <c r="K57" i="3" s="1"/>
  <c r="K56" i="3" s="1"/>
  <c r="K55" i="3" s="1"/>
  <c r="K54" i="3" s="1"/>
  <c r="K53" i="3" s="1"/>
  <c r="K52" i="3" s="1"/>
  <c r="K51" i="3" s="1"/>
  <c r="K50" i="3" s="1"/>
  <c r="K49" i="3" s="1"/>
  <c r="K48" i="3" s="1"/>
  <c r="K47" i="3" s="1"/>
  <c r="K46" i="3" s="1"/>
  <c r="K45" i="3" s="1"/>
  <c r="K44" i="3" s="1"/>
  <c r="K43" i="3" s="1"/>
  <c r="K42" i="3" s="1"/>
  <c r="K41" i="3" s="1"/>
  <c r="K40" i="3" s="1"/>
  <c r="K39" i="3" s="1"/>
  <c r="K38" i="3" s="1"/>
  <c r="K37" i="3" s="1"/>
  <c r="K36" i="3" s="1"/>
  <c r="K35" i="3" s="1"/>
  <c r="K34" i="3" s="1"/>
  <c r="K33" i="3" s="1"/>
  <c r="K32" i="3" s="1"/>
  <c r="K31" i="3" s="1"/>
  <c r="K30" i="3" s="1"/>
  <c r="K29" i="3" s="1"/>
  <c r="K28" i="3" s="1"/>
  <c r="K27" i="3" s="1"/>
  <c r="K26" i="3" s="1"/>
  <c r="K25" i="3" s="1"/>
  <c r="K24" i="3" s="1"/>
  <c r="K23" i="3" s="1"/>
  <c r="K22" i="3" s="1"/>
  <c r="K21" i="3" s="1"/>
  <c r="K20" i="3" s="1"/>
  <c r="K19" i="3" s="1"/>
  <c r="K18" i="3" s="1"/>
  <c r="K17" i="3" s="1"/>
  <c r="K16" i="3" s="1"/>
  <c r="K15" i="3" s="1"/>
  <c r="K14" i="3" s="1"/>
  <c r="K13" i="3" s="1"/>
  <c r="K12" i="3" s="1"/>
  <c r="K11" i="3" s="1"/>
  <c r="K10" i="3" s="1"/>
  <c r="K9" i="3" s="1"/>
  <c r="K8" i="3" s="1"/>
  <c r="K7" i="3" s="1"/>
  <c r="K6" i="3" s="1"/>
  <c r="K5" i="3" s="1"/>
  <c r="K4" i="3" s="1"/>
  <c r="K79" i="3"/>
  <c r="D3" i="3"/>
  <c r="D4" i="3"/>
  <c r="D5" i="3"/>
  <c r="D6" i="3"/>
  <c r="D7" i="3"/>
  <c r="D8" i="3"/>
  <c r="F8" i="3" s="1"/>
  <c r="D9" i="3"/>
  <c r="D10" i="3"/>
  <c r="F10" i="3" s="1"/>
  <c r="D11" i="3"/>
  <c r="D12" i="3"/>
  <c r="D13" i="3"/>
  <c r="D14" i="3"/>
  <c r="D15" i="3"/>
  <c r="D16" i="3"/>
  <c r="F16" i="3" s="1"/>
  <c r="D17" i="3"/>
  <c r="D18" i="3"/>
  <c r="F18" i="3" s="1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G32" i="3" s="1"/>
  <c r="H32" i="3" s="1"/>
  <c r="D33" i="3"/>
  <c r="F33" i="3" s="1"/>
  <c r="D34" i="3"/>
  <c r="G34" i="3" s="1"/>
  <c r="H34" i="3" s="1"/>
  <c r="D35" i="3"/>
  <c r="D36" i="3"/>
  <c r="D37" i="3"/>
  <c r="D38" i="3"/>
  <c r="D39" i="3"/>
  <c r="D40" i="3"/>
  <c r="D41" i="3"/>
  <c r="G41" i="3" s="1"/>
  <c r="H41" i="3" s="1"/>
  <c r="D42" i="3"/>
  <c r="F42" i="3" s="1"/>
  <c r="D43" i="3"/>
  <c r="D44" i="3"/>
  <c r="D45" i="3"/>
  <c r="D46" i="3"/>
  <c r="D47" i="3"/>
  <c r="D48" i="3"/>
  <c r="G48" i="3" s="1"/>
  <c r="H48" i="3" s="1"/>
  <c r="D49" i="3"/>
  <c r="G49" i="3" s="1"/>
  <c r="H49" i="3" s="1"/>
  <c r="D50" i="3"/>
  <c r="G50" i="3" s="1"/>
  <c r="H50" i="3" s="1"/>
  <c r="D51" i="3"/>
  <c r="D52" i="3"/>
  <c r="D53" i="3"/>
  <c r="D54" i="3"/>
  <c r="D55" i="3"/>
  <c r="D56" i="3"/>
  <c r="G56" i="3" s="1"/>
  <c r="H56" i="3" s="1"/>
  <c r="D57" i="3"/>
  <c r="G57" i="3" s="1"/>
  <c r="H57" i="3" s="1"/>
  <c r="D58" i="3"/>
  <c r="G58" i="3" s="1"/>
  <c r="H58" i="3" s="1"/>
  <c r="D59" i="3"/>
  <c r="D60" i="3"/>
  <c r="D61" i="3"/>
  <c r="D62" i="3"/>
  <c r="D63" i="3"/>
  <c r="D64" i="3"/>
  <c r="G64" i="3" s="1"/>
  <c r="H64" i="3" s="1"/>
  <c r="D65" i="3"/>
  <c r="G65" i="3" s="1"/>
  <c r="H65" i="3" s="1"/>
  <c r="D66" i="3"/>
  <c r="G66" i="3" s="1"/>
  <c r="H66" i="3" s="1"/>
  <c r="D67" i="3"/>
  <c r="D68" i="3"/>
  <c r="D69" i="3"/>
  <c r="D70" i="3"/>
  <c r="D71" i="3"/>
  <c r="D72" i="3"/>
  <c r="G72" i="3" s="1"/>
  <c r="H72" i="3" s="1"/>
  <c r="D73" i="3"/>
  <c r="G73" i="3" s="1"/>
  <c r="H73" i="3" s="1"/>
  <c r="D74" i="3"/>
  <c r="G74" i="3" s="1"/>
  <c r="H74" i="3" s="1"/>
  <c r="D75" i="3"/>
  <c r="D76" i="3"/>
  <c r="D77" i="3"/>
  <c r="D78" i="3"/>
  <c r="D79" i="3"/>
  <c r="G79" i="3" s="1"/>
  <c r="H79" i="3" s="1"/>
  <c r="D80" i="3"/>
  <c r="G80" i="3" s="1"/>
  <c r="H80" i="3" s="1"/>
  <c r="G25" i="3"/>
  <c r="H25" i="3" s="1"/>
  <c r="G6" i="3"/>
  <c r="G7" i="3"/>
  <c r="G14" i="3"/>
  <c r="G15" i="3"/>
  <c r="G22" i="3"/>
  <c r="H22" i="3" s="1"/>
  <c r="G23" i="3"/>
  <c r="H23" i="3" s="1"/>
  <c r="G30" i="3"/>
  <c r="H30" i="3" s="1"/>
  <c r="G31" i="3"/>
  <c r="H31" i="3" s="1"/>
  <c r="G38" i="3"/>
  <c r="H38" i="3" s="1"/>
  <c r="G39" i="3"/>
  <c r="H39" i="3" s="1"/>
  <c r="F55" i="3"/>
  <c r="G62" i="3"/>
  <c r="H62" i="3" s="1"/>
  <c r="G63" i="3"/>
  <c r="H63" i="3" s="1"/>
  <c r="G70" i="3"/>
  <c r="H70" i="3" s="1"/>
  <c r="G71" i="3"/>
  <c r="H71" i="3" s="1"/>
  <c r="F75" i="3"/>
  <c r="G78" i="3"/>
  <c r="H78" i="3" s="1"/>
  <c r="F35" i="3"/>
  <c r="G43" i="3"/>
  <c r="H43" i="3" s="1"/>
  <c r="G67" i="3"/>
  <c r="H67" i="3" s="1"/>
  <c r="G61" i="3"/>
  <c r="G69" i="3"/>
  <c r="G77" i="3"/>
  <c r="F44" i="3"/>
  <c r="G36" i="3"/>
  <c r="H36" i="3" s="1"/>
  <c r="G28" i="3"/>
  <c r="H28" i="3" s="1"/>
  <c r="F20" i="3"/>
  <c r="F12" i="3"/>
  <c r="G4" i="3"/>
  <c r="I4" i="3" s="1"/>
  <c r="G60" i="3"/>
  <c r="H60" i="3" s="1"/>
  <c r="G68" i="3"/>
  <c r="H68" i="3" s="1"/>
  <c r="G76" i="3"/>
  <c r="H76" i="3" s="1"/>
  <c r="G5" i="3"/>
  <c r="I5" i="3" s="1"/>
  <c r="G13" i="3"/>
  <c r="I13" i="3" s="1"/>
  <c r="G21" i="3"/>
  <c r="H21" i="3" s="1"/>
  <c r="G29" i="3"/>
  <c r="I29" i="3" s="1"/>
  <c r="G37" i="3"/>
  <c r="I37" i="3" s="1"/>
  <c r="G45" i="3"/>
  <c r="I45" i="3" s="1"/>
  <c r="G53" i="3"/>
  <c r="H53" i="3" s="1"/>
  <c r="F7" i="3"/>
  <c r="F27" i="3"/>
  <c r="F40" i="3"/>
  <c r="F69" i="3"/>
  <c r="G3" i="3"/>
  <c r="F5" i="3"/>
  <c r="G24" i="3"/>
  <c r="H24" i="3" s="1"/>
  <c r="G26" i="3"/>
  <c r="H26" i="3" s="1"/>
  <c r="G27" i="3"/>
  <c r="H27" i="3" s="1"/>
  <c r="F29" i="3"/>
  <c r="F37" i="3"/>
  <c r="G40" i="3"/>
  <c r="H40" i="3" s="1"/>
  <c r="G46" i="3"/>
  <c r="H46" i="3" s="1"/>
  <c r="G47" i="3"/>
  <c r="H47" i="3" s="1"/>
  <c r="F51" i="3"/>
  <c r="G52" i="3"/>
  <c r="H52" i="3" s="1"/>
  <c r="F53" i="3"/>
  <c r="G54" i="3"/>
  <c r="H54" i="3" s="1"/>
  <c r="G55" i="3"/>
  <c r="H55" i="3" s="1"/>
  <c r="F60" i="3"/>
  <c r="F77" i="3"/>
  <c r="C23" i="3"/>
  <c r="C24" i="3" s="1"/>
  <c r="B4" i="3"/>
  <c r="B5" i="3"/>
  <c r="B6" i="3"/>
  <c r="B7" i="3"/>
  <c r="B8" i="3"/>
  <c r="E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E23" i="3" s="1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E38" i="3" s="1"/>
  <c r="B39" i="3"/>
  <c r="B40" i="3"/>
  <c r="B41" i="3"/>
  <c r="B42" i="3"/>
  <c r="B43" i="3"/>
  <c r="B44" i="3"/>
  <c r="B45" i="3"/>
  <c r="B46" i="3"/>
  <c r="B47" i="3"/>
  <c r="E47" i="3" s="1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E60" i="3" s="1"/>
  <c r="B61" i="3"/>
  <c r="B62" i="3"/>
  <c r="B63" i="3"/>
  <c r="B64" i="3"/>
  <c r="B65" i="3"/>
  <c r="B66" i="3"/>
  <c r="B67" i="3"/>
  <c r="B68" i="3"/>
  <c r="B69" i="3"/>
  <c r="B70" i="3"/>
  <c r="B71" i="3"/>
  <c r="E71" i="3" s="1"/>
  <c r="B72" i="3"/>
  <c r="B73" i="3"/>
  <c r="B74" i="3"/>
  <c r="B75" i="3"/>
  <c r="B76" i="3"/>
  <c r="B77" i="3"/>
  <c r="B78" i="3"/>
  <c r="E78" i="3" s="1"/>
  <c r="B79" i="3"/>
  <c r="B80" i="3"/>
  <c r="B3" i="3"/>
  <c r="E3" i="3" s="1"/>
  <c r="F44" i="7" l="1"/>
  <c r="G56" i="7"/>
  <c r="H56" i="7" s="1"/>
  <c r="F57" i="7"/>
  <c r="H49" i="7"/>
  <c r="F41" i="7"/>
  <c r="F29" i="7"/>
  <c r="G30" i="7"/>
  <c r="H30" i="7" s="1"/>
  <c r="G22" i="7"/>
  <c r="H22" i="7" s="1"/>
  <c r="H58" i="7"/>
  <c r="I58" i="7"/>
  <c r="G14" i="7"/>
  <c r="H14" i="7" s="1"/>
  <c r="G20" i="7"/>
  <c r="I28" i="7"/>
  <c r="F39" i="7"/>
  <c r="F50" i="7"/>
  <c r="G82" i="7"/>
  <c r="G12" i="7"/>
  <c r="F31" i="7"/>
  <c r="G48" i="7"/>
  <c r="F58" i="7"/>
  <c r="H63" i="7"/>
  <c r="G66" i="7"/>
  <c r="G68" i="7"/>
  <c r="I68" i="7" s="1"/>
  <c r="G74" i="7"/>
  <c r="G76" i="7"/>
  <c r="F91" i="7"/>
  <c r="G100" i="7"/>
  <c r="H100" i="7" s="1"/>
  <c r="G98" i="7"/>
  <c r="I98" i="7" s="1"/>
  <c r="E11" i="7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F21" i="7"/>
  <c r="F27" i="7"/>
  <c r="F51" i="7"/>
  <c r="G64" i="7"/>
  <c r="H64" i="7" s="1"/>
  <c r="F69" i="7"/>
  <c r="F77" i="7"/>
  <c r="F83" i="7"/>
  <c r="G92" i="7"/>
  <c r="H92" i="7" s="1"/>
  <c r="F101" i="7"/>
  <c r="F67" i="7"/>
  <c r="H67" i="7"/>
  <c r="G90" i="7"/>
  <c r="I90" i="7" s="1"/>
  <c r="F99" i="7"/>
  <c r="I25" i="7"/>
  <c r="H25" i="7"/>
  <c r="I17" i="7"/>
  <c r="H17" i="7"/>
  <c r="I60" i="7"/>
  <c r="H60" i="7"/>
  <c r="I37" i="7"/>
  <c r="H37" i="7"/>
  <c r="I29" i="7"/>
  <c r="H29" i="7"/>
  <c r="I35" i="7"/>
  <c r="H35" i="7"/>
  <c r="I43" i="7"/>
  <c r="H43" i="7"/>
  <c r="I21" i="7"/>
  <c r="H21" i="7"/>
  <c r="I27" i="7"/>
  <c r="H27" i="7"/>
  <c r="I13" i="7"/>
  <c r="H13" i="7"/>
  <c r="I19" i="7"/>
  <c r="H19" i="7"/>
  <c r="I11" i="7"/>
  <c r="H11" i="7"/>
  <c r="I41" i="7"/>
  <c r="H41" i="7"/>
  <c r="I44" i="7"/>
  <c r="H44" i="7"/>
  <c r="I33" i="7"/>
  <c r="H33" i="7"/>
  <c r="D11" i="7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H15" i="7"/>
  <c r="G16" i="7"/>
  <c r="F17" i="7"/>
  <c r="I22" i="7"/>
  <c r="H23" i="7"/>
  <c r="G24" i="7"/>
  <c r="F25" i="7"/>
  <c r="I30" i="7"/>
  <c r="H31" i="7"/>
  <c r="G32" i="7"/>
  <c r="F33" i="7"/>
  <c r="I38" i="7"/>
  <c r="H39" i="7"/>
  <c r="G40" i="7"/>
  <c r="G45" i="7"/>
  <c r="I54" i="7"/>
  <c r="H59" i="7"/>
  <c r="I64" i="7"/>
  <c r="H65" i="7"/>
  <c r="G70" i="7"/>
  <c r="I87" i="7"/>
  <c r="H87" i="7"/>
  <c r="I111" i="7"/>
  <c r="H111" i="7"/>
  <c r="F10" i="7"/>
  <c r="F18" i="7"/>
  <c r="F26" i="7"/>
  <c r="F34" i="7"/>
  <c r="F42" i="7"/>
  <c r="I50" i="7"/>
  <c r="H55" i="7"/>
  <c r="I91" i="7"/>
  <c r="H91" i="7"/>
  <c r="I97" i="7"/>
  <c r="H97" i="7"/>
  <c r="G10" i="7"/>
  <c r="G18" i="7"/>
  <c r="G26" i="7"/>
  <c r="G34" i="7"/>
  <c r="G42" i="7"/>
  <c r="F52" i="7"/>
  <c r="G62" i="7"/>
  <c r="H76" i="7"/>
  <c r="I76" i="7"/>
  <c r="I103" i="7"/>
  <c r="H103" i="7"/>
  <c r="I115" i="7"/>
  <c r="H115" i="7"/>
  <c r="I46" i="7"/>
  <c r="I56" i="7"/>
  <c r="H57" i="7"/>
  <c r="I61" i="7"/>
  <c r="H61" i="7"/>
  <c r="I69" i="7"/>
  <c r="H69" i="7"/>
  <c r="G80" i="7"/>
  <c r="F80" i="7"/>
  <c r="I121" i="7"/>
  <c r="H121" i="7"/>
  <c r="G52" i="7"/>
  <c r="F62" i="7"/>
  <c r="I83" i="7"/>
  <c r="H83" i="7"/>
  <c r="I89" i="7"/>
  <c r="H89" i="7"/>
  <c r="I107" i="7"/>
  <c r="H107" i="7"/>
  <c r="I113" i="7"/>
  <c r="H113" i="7"/>
  <c r="F49" i="7"/>
  <c r="I95" i="7"/>
  <c r="H95" i="7"/>
  <c r="I53" i="7"/>
  <c r="H53" i="7"/>
  <c r="I81" i="7"/>
  <c r="H81" i="7"/>
  <c r="I99" i="7"/>
  <c r="H99" i="7"/>
  <c r="I105" i="7"/>
  <c r="H105" i="7"/>
  <c r="H133" i="7"/>
  <c r="I133" i="7"/>
  <c r="F60" i="7"/>
  <c r="F65" i="7"/>
  <c r="I71" i="7"/>
  <c r="H71" i="7"/>
  <c r="G72" i="7"/>
  <c r="F72" i="7"/>
  <c r="H73" i="7"/>
  <c r="I79" i="7"/>
  <c r="H79" i="7"/>
  <c r="I119" i="7"/>
  <c r="H119" i="7"/>
  <c r="F47" i="7"/>
  <c r="F55" i="7"/>
  <c r="F63" i="7"/>
  <c r="F71" i="7"/>
  <c r="H77" i="7"/>
  <c r="G78" i="7"/>
  <c r="F79" i="7"/>
  <c r="I84" i="7"/>
  <c r="H85" i="7"/>
  <c r="G86" i="7"/>
  <c r="F87" i="7"/>
  <c r="I92" i="7"/>
  <c r="H93" i="7"/>
  <c r="G94" i="7"/>
  <c r="F95" i="7"/>
  <c r="I100" i="7"/>
  <c r="H101" i="7"/>
  <c r="G102" i="7"/>
  <c r="F103" i="7"/>
  <c r="I108" i="7"/>
  <c r="H109" i="7"/>
  <c r="G110" i="7"/>
  <c r="F111" i="7"/>
  <c r="I116" i="7"/>
  <c r="H117" i="7"/>
  <c r="G118" i="7"/>
  <c r="F119" i="7"/>
  <c r="I125" i="7"/>
  <c r="H128" i="7"/>
  <c r="G129" i="7"/>
  <c r="G137" i="7"/>
  <c r="F137" i="7"/>
  <c r="F88" i="7"/>
  <c r="F96" i="7"/>
  <c r="F104" i="7"/>
  <c r="F112" i="7"/>
  <c r="F120" i="7"/>
  <c r="F121" i="7"/>
  <c r="G131" i="7"/>
  <c r="F131" i="7"/>
  <c r="I136" i="7"/>
  <c r="H136" i="7"/>
  <c r="F144" i="7"/>
  <c r="G144" i="7"/>
  <c r="F73" i="7"/>
  <c r="F81" i="7"/>
  <c r="G88" i="7"/>
  <c r="F89" i="7"/>
  <c r="G96" i="7"/>
  <c r="F97" i="7"/>
  <c r="G104" i="7"/>
  <c r="F105" i="7"/>
  <c r="G112" i="7"/>
  <c r="F113" i="7"/>
  <c r="G120" i="7"/>
  <c r="I130" i="7"/>
  <c r="I138" i="7"/>
  <c r="I148" i="7"/>
  <c r="H148" i="7"/>
  <c r="H150" i="7"/>
  <c r="I150" i="7"/>
  <c r="I153" i="7"/>
  <c r="H153" i="7"/>
  <c r="I135" i="7"/>
  <c r="I140" i="7"/>
  <c r="H140" i="7"/>
  <c r="I145" i="7"/>
  <c r="H145" i="7"/>
  <c r="I154" i="7"/>
  <c r="H154" i="7"/>
  <c r="H90" i="7"/>
  <c r="H98" i="7"/>
  <c r="H124" i="7"/>
  <c r="H132" i="7"/>
  <c r="F133" i="7"/>
  <c r="G139" i="7"/>
  <c r="F139" i="7"/>
  <c r="G123" i="7"/>
  <c r="F123" i="7"/>
  <c r="I127" i="7"/>
  <c r="H142" i="7"/>
  <c r="I142" i="7"/>
  <c r="I155" i="7"/>
  <c r="H155" i="7"/>
  <c r="H143" i="7"/>
  <c r="F145" i="7"/>
  <c r="H151" i="7"/>
  <c r="G152" i="7"/>
  <c r="F153" i="7"/>
  <c r="G156" i="7"/>
  <c r="H158" i="7"/>
  <c r="G168" i="7"/>
  <c r="F168" i="7"/>
  <c r="H181" i="7"/>
  <c r="F194" i="7"/>
  <c r="F210" i="7"/>
  <c r="H187" i="7"/>
  <c r="I187" i="7"/>
  <c r="I194" i="7"/>
  <c r="H194" i="7"/>
  <c r="H203" i="7"/>
  <c r="I203" i="7"/>
  <c r="I210" i="7"/>
  <c r="H210" i="7"/>
  <c r="I232" i="7"/>
  <c r="H232" i="7"/>
  <c r="I271" i="7"/>
  <c r="H271" i="7"/>
  <c r="I377" i="7"/>
  <c r="H377" i="7"/>
  <c r="H398" i="7"/>
  <c r="I398" i="7"/>
  <c r="F147" i="7"/>
  <c r="F155" i="7"/>
  <c r="H163" i="7"/>
  <c r="I172" i="7"/>
  <c r="F173" i="7"/>
  <c r="G178" i="7"/>
  <c r="G198" i="7"/>
  <c r="G214" i="7"/>
  <c r="H219" i="7"/>
  <c r="I219" i="7"/>
  <c r="I222" i="7"/>
  <c r="H222" i="7"/>
  <c r="G160" i="7"/>
  <c r="F160" i="7"/>
  <c r="H173" i="7"/>
  <c r="G174" i="7"/>
  <c r="F186" i="7"/>
  <c r="F202" i="7"/>
  <c r="I216" i="7"/>
  <c r="H216" i="7"/>
  <c r="I164" i="7"/>
  <c r="G176" i="7"/>
  <c r="F176" i="7"/>
  <c r="G186" i="7"/>
  <c r="H195" i="7"/>
  <c r="I195" i="7"/>
  <c r="G202" i="7"/>
  <c r="H211" i="7"/>
  <c r="I211" i="7"/>
  <c r="F225" i="7"/>
  <c r="G225" i="7"/>
  <c r="I229" i="7"/>
  <c r="H229" i="7"/>
  <c r="H165" i="7"/>
  <c r="G166" i="7"/>
  <c r="I170" i="7"/>
  <c r="G184" i="7"/>
  <c r="F184" i="7"/>
  <c r="G190" i="7"/>
  <c r="G206" i="7"/>
  <c r="H221" i="7"/>
  <c r="H223" i="7"/>
  <c r="I223" i="7"/>
  <c r="H293" i="7"/>
  <c r="I293" i="7"/>
  <c r="H171" i="7"/>
  <c r="I182" i="7"/>
  <c r="H182" i="7"/>
  <c r="G218" i="7"/>
  <c r="F218" i="7"/>
  <c r="H239" i="7"/>
  <c r="I239" i="7"/>
  <c r="G233" i="7"/>
  <c r="H238" i="7"/>
  <c r="I265" i="7"/>
  <c r="H265" i="7"/>
  <c r="H268" i="7"/>
  <c r="I268" i="7"/>
  <c r="I269" i="7"/>
  <c r="I280" i="7"/>
  <c r="H280" i="7"/>
  <c r="I315" i="7"/>
  <c r="H315" i="7"/>
  <c r="F192" i="7"/>
  <c r="F200" i="7"/>
  <c r="F208" i="7"/>
  <c r="F216" i="7"/>
  <c r="I227" i="7"/>
  <c r="G243" i="7"/>
  <c r="F243" i="7"/>
  <c r="G251" i="7"/>
  <c r="F251" i="7"/>
  <c r="G259" i="7"/>
  <c r="F259" i="7"/>
  <c r="H264" i="7"/>
  <c r="I323" i="7"/>
  <c r="H323" i="7"/>
  <c r="I234" i="7"/>
  <c r="H234" i="7"/>
  <c r="G267" i="7"/>
  <c r="F267" i="7"/>
  <c r="G275" i="7"/>
  <c r="F275" i="7"/>
  <c r="I311" i="7"/>
  <c r="H311" i="7"/>
  <c r="I272" i="7"/>
  <c r="H272" i="7"/>
  <c r="I287" i="7"/>
  <c r="H287" i="7"/>
  <c r="H309" i="7"/>
  <c r="I309" i="7"/>
  <c r="G245" i="7"/>
  <c r="F245" i="7"/>
  <c r="G253" i="7"/>
  <c r="F253" i="7"/>
  <c r="I279" i="7"/>
  <c r="H279" i="7"/>
  <c r="I314" i="7"/>
  <c r="H314" i="7"/>
  <c r="I319" i="7"/>
  <c r="H319" i="7"/>
  <c r="G261" i="7"/>
  <c r="F261" i="7"/>
  <c r="H276" i="7"/>
  <c r="I276" i="7"/>
  <c r="H299" i="7"/>
  <c r="I299" i="7"/>
  <c r="I226" i="7"/>
  <c r="H226" i="7"/>
  <c r="G237" i="7"/>
  <c r="I241" i="7"/>
  <c r="H241" i="7"/>
  <c r="H244" i="7"/>
  <c r="I244" i="7"/>
  <c r="I249" i="7"/>
  <c r="H249" i="7"/>
  <c r="H252" i="7"/>
  <c r="I252" i="7"/>
  <c r="I257" i="7"/>
  <c r="H257" i="7"/>
  <c r="H260" i="7"/>
  <c r="I260" i="7"/>
  <c r="G283" i="7"/>
  <c r="F283" i="7"/>
  <c r="I288" i="7"/>
  <c r="H288" i="7"/>
  <c r="F295" i="7"/>
  <c r="G295" i="7"/>
  <c r="I327" i="7"/>
  <c r="H327" i="7"/>
  <c r="I335" i="7"/>
  <c r="H335" i="7"/>
  <c r="G246" i="7"/>
  <c r="G254" i="7"/>
  <c r="G262" i="7"/>
  <c r="G270" i="7"/>
  <c r="G278" i="7"/>
  <c r="G286" i="7"/>
  <c r="H298" i="7"/>
  <c r="G305" i="7"/>
  <c r="F305" i="7"/>
  <c r="F323" i="7"/>
  <c r="I384" i="7"/>
  <c r="H384" i="7"/>
  <c r="F294" i="7"/>
  <c r="F310" i="7"/>
  <c r="H332" i="7"/>
  <c r="I332" i="7"/>
  <c r="I337" i="7"/>
  <c r="H337" i="7"/>
  <c r="H273" i="7"/>
  <c r="H281" i="7"/>
  <c r="H289" i="7"/>
  <c r="G297" i="7"/>
  <c r="F297" i="7"/>
  <c r="H306" i="7"/>
  <c r="F307" i="7"/>
  <c r="I375" i="7"/>
  <c r="H375" i="7"/>
  <c r="F236" i="7"/>
  <c r="H242" i="7"/>
  <c r="F244" i="7"/>
  <c r="H250" i="7"/>
  <c r="F252" i="7"/>
  <c r="H258" i="7"/>
  <c r="H266" i="7"/>
  <c r="H274" i="7"/>
  <c r="H282" i="7"/>
  <c r="H290" i="7"/>
  <c r="I291" i="7"/>
  <c r="G307" i="7"/>
  <c r="H316" i="7"/>
  <c r="I316" i="7"/>
  <c r="I320" i="7"/>
  <c r="H320" i="7"/>
  <c r="I321" i="7"/>
  <c r="H324" i="7"/>
  <c r="I324" i="7"/>
  <c r="I328" i="7"/>
  <c r="H328" i="7"/>
  <c r="I329" i="7"/>
  <c r="G346" i="7"/>
  <c r="F346" i="7"/>
  <c r="F269" i="7"/>
  <c r="F277" i="7"/>
  <c r="F285" i="7"/>
  <c r="I301" i="7"/>
  <c r="F302" i="7"/>
  <c r="I361" i="7"/>
  <c r="H361" i="7"/>
  <c r="I368" i="7"/>
  <c r="H368" i="7"/>
  <c r="H379" i="7"/>
  <c r="I379" i="7"/>
  <c r="H292" i="7"/>
  <c r="H302" i="7"/>
  <c r="I303" i="7"/>
  <c r="H303" i="7"/>
  <c r="G331" i="7"/>
  <c r="F331" i="7"/>
  <c r="G318" i="7"/>
  <c r="G326" i="7"/>
  <c r="G334" i="7"/>
  <c r="I345" i="7"/>
  <c r="H345" i="7"/>
  <c r="I350" i="7"/>
  <c r="H351" i="7"/>
  <c r="G362" i="7"/>
  <c r="F362" i="7"/>
  <c r="F313" i="7"/>
  <c r="F321" i="7"/>
  <c r="F329" i="7"/>
  <c r="F337" i="7"/>
  <c r="G344" i="7"/>
  <c r="I358" i="7"/>
  <c r="H358" i="7"/>
  <c r="I366" i="7"/>
  <c r="H366" i="7"/>
  <c r="G370" i="7"/>
  <c r="F370" i="7"/>
  <c r="I382" i="7"/>
  <c r="H382" i="7"/>
  <c r="G386" i="7"/>
  <c r="F386" i="7"/>
  <c r="G412" i="7"/>
  <c r="F412" i="7"/>
  <c r="I400" i="7"/>
  <c r="H400" i="7"/>
  <c r="F348" i="7"/>
  <c r="I353" i="7"/>
  <c r="H353" i="7"/>
  <c r="G354" i="7"/>
  <c r="F354" i="7"/>
  <c r="G360" i="7"/>
  <c r="F360" i="7"/>
  <c r="G348" i="7"/>
  <c r="F352" i="7"/>
  <c r="I364" i="7"/>
  <c r="I367" i="7"/>
  <c r="H367" i="7"/>
  <c r="I369" i="7"/>
  <c r="H369" i="7"/>
  <c r="H371" i="7"/>
  <c r="I371" i="7"/>
  <c r="I376" i="7"/>
  <c r="H376" i="7"/>
  <c r="I383" i="7"/>
  <c r="H383" i="7"/>
  <c r="I385" i="7"/>
  <c r="H385" i="7"/>
  <c r="H387" i="7"/>
  <c r="I387" i="7"/>
  <c r="I359" i="7"/>
  <c r="H359" i="7"/>
  <c r="H363" i="7"/>
  <c r="I374" i="7"/>
  <c r="H374" i="7"/>
  <c r="G378" i="7"/>
  <c r="F378" i="7"/>
  <c r="G352" i="7"/>
  <c r="I408" i="7"/>
  <c r="H408" i="7"/>
  <c r="I392" i="7"/>
  <c r="I395" i="7"/>
  <c r="H395" i="7"/>
  <c r="G396" i="7"/>
  <c r="F396" i="7"/>
  <c r="I403" i="7"/>
  <c r="H403" i="7"/>
  <c r="H405" i="7"/>
  <c r="I405" i="7"/>
  <c r="I410" i="7"/>
  <c r="H410" i="7"/>
  <c r="I417" i="7"/>
  <c r="H417" i="7"/>
  <c r="I419" i="7"/>
  <c r="H419" i="7"/>
  <c r="H421" i="7"/>
  <c r="I421" i="7"/>
  <c r="I426" i="7"/>
  <c r="H426" i="7"/>
  <c r="F432" i="7"/>
  <c r="G432" i="7"/>
  <c r="I451" i="7"/>
  <c r="H451" i="7"/>
  <c r="I424" i="7"/>
  <c r="H424" i="7"/>
  <c r="F428" i="7"/>
  <c r="G428" i="7"/>
  <c r="G446" i="7"/>
  <c r="F446" i="7"/>
  <c r="F368" i="7"/>
  <c r="F376" i="7"/>
  <c r="F384" i="7"/>
  <c r="G390" i="7"/>
  <c r="G437" i="7"/>
  <c r="F437" i="7"/>
  <c r="I394" i="7"/>
  <c r="H394" i="7"/>
  <c r="G402" i="7"/>
  <c r="F402" i="7"/>
  <c r="I409" i="7"/>
  <c r="H409" i="7"/>
  <c r="I411" i="7"/>
  <c r="H411" i="7"/>
  <c r="H413" i="7"/>
  <c r="I413" i="7"/>
  <c r="I418" i="7"/>
  <c r="H418" i="7"/>
  <c r="I425" i="7"/>
  <c r="H425" i="7"/>
  <c r="I427" i="7"/>
  <c r="H427" i="7"/>
  <c r="I440" i="7"/>
  <c r="H440" i="7"/>
  <c r="F347" i="7"/>
  <c r="F355" i="7"/>
  <c r="F363" i="7"/>
  <c r="F371" i="7"/>
  <c r="F379" i="7"/>
  <c r="F387" i="7"/>
  <c r="H391" i="7"/>
  <c r="I401" i="7"/>
  <c r="H401" i="7"/>
  <c r="G404" i="7"/>
  <c r="F404" i="7"/>
  <c r="I416" i="7"/>
  <c r="H416" i="7"/>
  <c r="G420" i="7"/>
  <c r="F420" i="7"/>
  <c r="F388" i="7"/>
  <c r="I429" i="7"/>
  <c r="H429" i="7"/>
  <c r="F398" i="7"/>
  <c r="H433" i="7"/>
  <c r="G438" i="7"/>
  <c r="F438" i="7"/>
  <c r="I443" i="7"/>
  <c r="H443" i="7"/>
  <c r="H457" i="7"/>
  <c r="I460" i="7"/>
  <c r="H460" i="7"/>
  <c r="I465" i="7"/>
  <c r="H465" i="7"/>
  <c r="F410" i="7"/>
  <c r="F418" i="7"/>
  <c r="F426" i="7"/>
  <c r="I435" i="7"/>
  <c r="H435" i="7"/>
  <c r="G436" i="7"/>
  <c r="F436" i="7"/>
  <c r="G454" i="7"/>
  <c r="F454" i="7"/>
  <c r="I459" i="7"/>
  <c r="H459" i="7"/>
  <c r="G462" i="7"/>
  <c r="F462" i="7"/>
  <c r="I442" i="7"/>
  <c r="H442" i="7"/>
  <c r="I474" i="7"/>
  <c r="H474" i="7"/>
  <c r="I510" i="7"/>
  <c r="H510" i="7"/>
  <c r="G430" i="7"/>
  <c r="I434" i="7"/>
  <c r="G445" i="7"/>
  <c r="F445" i="7"/>
  <c r="H464" i="7"/>
  <c r="I492" i="7"/>
  <c r="H492" i="7"/>
  <c r="I518" i="7"/>
  <c r="H518" i="7"/>
  <c r="F397" i="7"/>
  <c r="F405" i="7"/>
  <c r="F413" i="7"/>
  <c r="F421" i="7"/>
  <c r="I450" i="7"/>
  <c r="H450" i="7"/>
  <c r="G453" i="7"/>
  <c r="F453" i="7"/>
  <c r="G468" i="7"/>
  <c r="F468" i="7"/>
  <c r="I490" i="7"/>
  <c r="H490" i="7"/>
  <c r="I495" i="7"/>
  <c r="H495" i="7"/>
  <c r="I444" i="7"/>
  <c r="H444" i="7"/>
  <c r="I458" i="7"/>
  <c r="H458" i="7"/>
  <c r="G486" i="7"/>
  <c r="F486" i="7"/>
  <c r="I452" i="7"/>
  <c r="H452" i="7"/>
  <c r="F444" i="7"/>
  <c r="F452" i="7"/>
  <c r="F460" i="7"/>
  <c r="I466" i="7"/>
  <c r="H466" i="7"/>
  <c r="G477" i="7"/>
  <c r="F477" i="7"/>
  <c r="I482" i="7"/>
  <c r="H482" i="7"/>
  <c r="H513" i="7"/>
  <c r="I513" i="7"/>
  <c r="G485" i="7"/>
  <c r="F485" i="7"/>
  <c r="I491" i="7"/>
  <c r="H491" i="7"/>
  <c r="H496" i="7"/>
  <c r="I496" i="7"/>
  <c r="G463" i="7"/>
  <c r="F463" i="7"/>
  <c r="I476" i="7"/>
  <c r="H476" i="7"/>
  <c r="H481" i="7"/>
  <c r="H493" i="7"/>
  <c r="I493" i="7"/>
  <c r="H522" i="7"/>
  <c r="I522" i="7"/>
  <c r="I479" i="7"/>
  <c r="I484" i="7"/>
  <c r="H484" i="7"/>
  <c r="H499" i="7"/>
  <c r="H515" i="7"/>
  <c r="I554" i="7"/>
  <c r="H554" i="7"/>
  <c r="I461" i="7"/>
  <c r="H461" i="7"/>
  <c r="G470" i="7"/>
  <c r="F470" i="7"/>
  <c r="I487" i="7"/>
  <c r="G469" i="7"/>
  <c r="F469" i="7"/>
  <c r="G478" i="7"/>
  <c r="F478" i="7"/>
  <c r="I548" i="7"/>
  <c r="H548" i="7"/>
  <c r="I501" i="7"/>
  <c r="H501" i="7"/>
  <c r="G502" i="7"/>
  <c r="F502" i="7"/>
  <c r="I516" i="7"/>
  <c r="H516" i="7"/>
  <c r="G519" i="7"/>
  <c r="F519" i="7"/>
  <c r="I562" i="7"/>
  <c r="H562" i="7"/>
  <c r="F476" i="7"/>
  <c r="F484" i="7"/>
  <c r="I500" i="7"/>
  <c r="H500" i="7"/>
  <c r="G504" i="7"/>
  <c r="F504" i="7"/>
  <c r="I509" i="7"/>
  <c r="H509" i="7"/>
  <c r="I523" i="7"/>
  <c r="H523" i="7"/>
  <c r="I525" i="7"/>
  <c r="H525" i="7"/>
  <c r="H467" i="7"/>
  <c r="H475" i="7"/>
  <c r="H483" i="7"/>
  <c r="F496" i="7"/>
  <c r="G512" i="7"/>
  <c r="F512" i="7"/>
  <c r="I517" i="7"/>
  <c r="H517" i="7"/>
  <c r="I546" i="7"/>
  <c r="H546" i="7"/>
  <c r="F491" i="7"/>
  <c r="G494" i="7"/>
  <c r="F494" i="7"/>
  <c r="G520" i="7"/>
  <c r="F520" i="7"/>
  <c r="F471" i="7"/>
  <c r="F479" i="7"/>
  <c r="F487" i="7"/>
  <c r="H489" i="7"/>
  <c r="G503" i="7"/>
  <c r="F503" i="7"/>
  <c r="F524" i="7"/>
  <c r="I508" i="7"/>
  <c r="H508" i="7"/>
  <c r="G511" i="7"/>
  <c r="F511" i="7"/>
  <c r="G524" i="7"/>
  <c r="I528" i="7"/>
  <c r="H528" i="7"/>
  <c r="I556" i="7"/>
  <c r="H556" i="7"/>
  <c r="F510" i="7"/>
  <c r="F518" i="7"/>
  <c r="I526" i="7"/>
  <c r="H527" i="7"/>
  <c r="I537" i="7"/>
  <c r="H537" i="7"/>
  <c r="I541" i="7"/>
  <c r="H541" i="7"/>
  <c r="F537" i="7"/>
  <c r="H543" i="7"/>
  <c r="I543" i="7"/>
  <c r="I563" i="7"/>
  <c r="H563" i="7"/>
  <c r="F532" i="7"/>
  <c r="H540" i="7"/>
  <c r="F545" i="7"/>
  <c r="G545" i="7"/>
  <c r="F553" i="7"/>
  <c r="G553" i="7"/>
  <c r="F561" i="7"/>
  <c r="G561" i="7"/>
  <c r="I564" i="7"/>
  <c r="H564" i="7"/>
  <c r="H521" i="7"/>
  <c r="I529" i="7"/>
  <c r="H529" i="7"/>
  <c r="G532" i="7"/>
  <c r="I533" i="7"/>
  <c r="H533" i="7"/>
  <c r="I536" i="7"/>
  <c r="H536" i="7"/>
  <c r="I547" i="7"/>
  <c r="I555" i="7"/>
  <c r="I530" i="7"/>
  <c r="I534" i="7"/>
  <c r="H535" i="7"/>
  <c r="I538" i="7"/>
  <c r="H538" i="7"/>
  <c r="I549" i="7"/>
  <c r="H549" i="7"/>
  <c r="I557" i="7"/>
  <c r="H557" i="7"/>
  <c r="I565" i="7"/>
  <c r="H565" i="7"/>
  <c r="F530" i="7"/>
  <c r="H544" i="7"/>
  <c r="H552" i="7"/>
  <c r="H560" i="7"/>
  <c r="F523" i="7"/>
  <c r="F531" i="7"/>
  <c r="F539" i="7"/>
  <c r="F547" i="7"/>
  <c r="F555" i="7"/>
  <c r="F563" i="7"/>
  <c r="F540" i="7"/>
  <c r="F548" i="7"/>
  <c r="F556" i="7"/>
  <c r="F564" i="7"/>
  <c r="F565" i="7"/>
  <c r="F527" i="7"/>
  <c r="F535" i="7"/>
  <c r="G31" i="5"/>
  <c r="I31" i="5" s="1"/>
  <c r="G23" i="5"/>
  <c r="G15" i="5"/>
  <c r="I15" i="5" s="1"/>
  <c r="G16" i="5"/>
  <c r="F10" i="5"/>
  <c r="F33" i="5"/>
  <c r="G14" i="5"/>
  <c r="F18" i="5"/>
  <c r="H22" i="5"/>
  <c r="F24" i="5"/>
  <c r="F26" i="5"/>
  <c r="D10" i="5"/>
  <c r="G30" i="5"/>
  <c r="F32" i="5"/>
  <c r="F34" i="5"/>
  <c r="G27" i="5"/>
  <c r="F27" i="5"/>
  <c r="G67" i="5"/>
  <c r="F67" i="5"/>
  <c r="H87" i="5"/>
  <c r="H109" i="5"/>
  <c r="I109" i="5"/>
  <c r="G44" i="5"/>
  <c r="F44" i="5"/>
  <c r="G84" i="5"/>
  <c r="F84" i="5"/>
  <c r="G105" i="5"/>
  <c r="F105" i="5"/>
  <c r="G159" i="5"/>
  <c r="F159" i="5"/>
  <c r="F243" i="5"/>
  <c r="G243" i="5"/>
  <c r="I13" i="5"/>
  <c r="I88" i="5"/>
  <c r="H88" i="5"/>
  <c r="H131" i="5"/>
  <c r="I131" i="5"/>
  <c r="H225" i="5"/>
  <c r="I225" i="5"/>
  <c r="G12" i="5"/>
  <c r="F12" i="5"/>
  <c r="G43" i="5"/>
  <c r="F43" i="5"/>
  <c r="G60" i="5"/>
  <c r="F60" i="5"/>
  <c r="I69" i="5"/>
  <c r="I77" i="5"/>
  <c r="G20" i="5"/>
  <c r="F20" i="5"/>
  <c r="I37" i="5"/>
  <c r="I42" i="5"/>
  <c r="H42" i="5"/>
  <c r="H47" i="5"/>
  <c r="H56" i="5"/>
  <c r="I56" i="5"/>
  <c r="H86" i="5"/>
  <c r="G96" i="5"/>
  <c r="F96" i="5"/>
  <c r="G99" i="5"/>
  <c r="F99" i="5"/>
  <c r="G102" i="5"/>
  <c r="F102" i="5"/>
  <c r="I106" i="5"/>
  <c r="H106" i="5"/>
  <c r="H231" i="5"/>
  <c r="I231" i="5"/>
  <c r="G75" i="5"/>
  <c r="F75" i="5"/>
  <c r="I26" i="5"/>
  <c r="H26" i="5"/>
  <c r="H31" i="5"/>
  <c r="H40" i="5"/>
  <c r="I40" i="5"/>
  <c r="I66" i="5"/>
  <c r="H66" i="5"/>
  <c r="G52" i="5"/>
  <c r="F52" i="5"/>
  <c r="I70" i="5"/>
  <c r="I78" i="5"/>
  <c r="G175" i="5"/>
  <c r="F175" i="5"/>
  <c r="G83" i="5"/>
  <c r="F83" i="5"/>
  <c r="H16" i="5"/>
  <c r="I16" i="5"/>
  <c r="G28" i="5"/>
  <c r="F28" i="5"/>
  <c r="I50" i="5"/>
  <c r="H50" i="5"/>
  <c r="G51" i="5"/>
  <c r="F51" i="5"/>
  <c r="G68" i="5"/>
  <c r="F68" i="5"/>
  <c r="G76" i="5"/>
  <c r="F76" i="5"/>
  <c r="H104" i="5"/>
  <c r="I104" i="5"/>
  <c r="G110" i="5"/>
  <c r="F110" i="5"/>
  <c r="I158" i="5"/>
  <c r="H158" i="5"/>
  <c r="G167" i="5"/>
  <c r="F167" i="5"/>
  <c r="I34" i="5"/>
  <c r="H34" i="5"/>
  <c r="I48" i="5"/>
  <c r="H48" i="5"/>
  <c r="I100" i="5"/>
  <c r="H100" i="5"/>
  <c r="F179" i="5"/>
  <c r="G179" i="5"/>
  <c r="I29" i="5"/>
  <c r="G11" i="5"/>
  <c r="F11" i="5"/>
  <c r="H24" i="5"/>
  <c r="I24" i="5"/>
  <c r="G36" i="5"/>
  <c r="F36" i="5"/>
  <c r="G59" i="5"/>
  <c r="F59" i="5"/>
  <c r="H64" i="5"/>
  <c r="I64" i="5"/>
  <c r="H72" i="5"/>
  <c r="I72" i="5"/>
  <c r="I80" i="5"/>
  <c r="H80" i="5"/>
  <c r="G145" i="5"/>
  <c r="F145" i="5"/>
  <c r="I18" i="5"/>
  <c r="H18" i="5"/>
  <c r="G126" i="5"/>
  <c r="F126" i="5"/>
  <c r="I234" i="5"/>
  <c r="H234" i="5"/>
  <c r="G35" i="5"/>
  <c r="F35" i="5"/>
  <c r="I61" i="5"/>
  <c r="I74" i="5"/>
  <c r="H74" i="5"/>
  <c r="I21" i="5"/>
  <c r="I103" i="5"/>
  <c r="H103" i="5"/>
  <c r="I166" i="5"/>
  <c r="H166" i="5"/>
  <c r="H39" i="5"/>
  <c r="I10" i="5"/>
  <c r="H10" i="5"/>
  <c r="D11" i="5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H15" i="5"/>
  <c r="G19" i="5"/>
  <c r="F19" i="5"/>
  <c r="H32" i="5"/>
  <c r="I32" i="5"/>
  <c r="I58" i="5"/>
  <c r="H58" i="5"/>
  <c r="F115" i="5"/>
  <c r="G115" i="5"/>
  <c r="G152" i="5"/>
  <c r="F152" i="5"/>
  <c r="I211" i="5"/>
  <c r="H211" i="5"/>
  <c r="I227" i="5"/>
  <c r="H227" i="5"/>
  <c r="H138" i="5"/>
  <c r="I142" i="5"/>
  <c r="H142" i="5"/>
  <c r="H163" i="5"/>
  <c r="H169" i="5"/>
  <c r="I169" i="5"/>
  <c r="I192" i="5"/>
  <c r="H192" i="5"/>
  <c r="I226" i="5"/>
  <c r="H226" i="5"/>
  <c r="I244" i="5"/>
  <c r="H244" i="5"/>
  <c r="G127" i="5"/>
  <c r="F127" i="5"/>
  <c r="G151" i="5"/>
  <c r="F151" i="5"/>
  <c r="F183" i="5"/>
  <c r="G183" i="5"/>
  <c r="I125" i="5"/>
  <c r="H125" i="5"/>
  <c r="H17" i="5"/>
  <c r="H25" i="5"/>
  <c r="H33" i="5"/>
  <c r="H41" i="5"/>
  <c r="H49" i="5"/>
  <c r="H57" i="5"/>
  <c r="H65" i="5"/>
  <c r="H73" i="5"/>
  <c r="H81" i="5"/>
  <c r="H89" i="5"/>
  <c r="H91" i="5"/>
  <c r="F120" i="5"/>
  <c r="I122" i="5"/>
  <c r="G129" i="5"/>
  <c r="F129" i="5"/>
  <c r="H147" i="5"/>
  <c r="I155" i="5"/>
  <c r="H156" i="5"/>
  <c r="I157" i="5"/>
  <c r="H157" i="5"/>
  <c r="H164" i="5"/>
  <c r="I165" i="5"/>
  <c r="H165" i="5"/>
  <c r="I171" i="5"/>
  <c r="H171" i="5"/>
  <c r="G188" i="5"/>
  <c r="F188" i="5"/>
  <c r="G237" i="5"/>
  <c r="F237" i="5"/>
  <c r="I273" i="5"/>
  <c r="H273" i="5"/>
  <c r="I120" i="5"/>
  <c r="G121" i="5"/>
  <c r="F121" i="5"/>
  <c r="I134" i="5"/>
  <c r="H134" i="5"/>
  <c r="I149" i="5"/>
  <c r="H149" i="5"/>
  <c r="F235" i="5"/>
  <c r="G235" i="5"/>
  <c r="I242" i="5"/>
  <c r="H242" i="5"/>
  <c r="H250" i="5"/>
  <c r="I250" i="5"/>
  <c r="G262" i="5"/>
  <c r="F262" i="5"/>
  <c r="G113" i="5"/>
  <c r="F113" i="5"/>
  <c r="I119" i="5"/>
  <c r="H119" i="5"/>
  <c r="G197" i="5"/>
  <c r="F197" i="5"/>
  <c r="G128" i="5"/>
  <c r="F128" i="5"/>
  <c r="F13" i="5"/>
  <c r="F21" i="5"/>
  <c r="F29" i="5"/>
  <c r="F37" i="5"/>
  <c r="F45" i="5"/>
  <c r="F53" i="5"/>
  <c r="F61" i="5"/>
  <c r="F69" i="5"/>
  <c r="F77" i="5"/>
  <c r="F85" i="5"/>
  <c r="F104" i="5"/>
  <c r="H123" i="5"/>
  <c r="G135" i="5"/>
  <c r="F135" i="5"/>
  <c r="H140" i="5"/>
  <c r="I141" i="5"/>
  <c r="H141" i="5"/>
  <c r="G170" i="5"/>
  <c r="F170" i="5"/>
  <c r="H191" i="5"/>
  <c r="I196" i="5"/>
  <c r="H196" i="5"/>
  <c r="F239" i="5"/>
  <c r="I374" i="5"/>
  <c r="H374" i="5"/>
  <c r="G144" i="5"/>
  <c r="F144" i="5"/>
  <c r="I150" i="5"/>
  <c r="H150" i="5"/>
  <c r="G318" i="5"/>
  <c r="F318" i="5"/>
  <c r="G143" i="5"/>
  <c r="F143" i="5"/>
  <c r="F70" i="5"/>
  <c r="F78" i="5"/>
  <c r="F86" i="5"/>
  <c r="F92" i="5"/>
  <c r="I93" i="5"/>
  <c r="I111" i="5"/>
  <c r="H111" i="5"/>
  <c r="H130" i="5"/>
  <c r="I133" i="5"/>
  <c r="H133" i="5"/>
  <c r="G136" i="5"/>
  <c r="F136" i="5"/>
  <c r="G161" i="5"/>
  <c r="F161" i="5"/>
  <c r="I217" i="5"/>
  <c r="G239" i="5"/>
  <c r="G339" i="5"/>
  <c r="F339" i="5"/>
  <c r="F231" i="5"/>
  <c r="G362" i="5"/>
  <c r="F362" i="5"/>
  <c r="G95" i="5"/>
  <c r="H116" i="5"/>
  <c r="H118" i="5"/>
  <c r="F134" i="5"/>
  <c r="G137" i="5"/>
  <c r="F137" i="5"/>
  <c r="G153" i="5"/>
  <c r="F153" i="5"/>
  <c r="G160" i="5"/>
  <c r="F160" i="5"/>
  <c r="I168" i="5"/>
  <c r="H168" i="5"/>
  <c r="H172" i="5"/>
  <c r="I172" i="5"/>
  <c r="I185" i="5"/>
  <c r="F187" i="5"/>
  <c r="G187" i="5"/>
  <c r="I209" i="5"/>
  <c r="I219" i="5"/>
  <c r="H219" i="5"/>
  <c r="I236" i="5"/>
  <c r="H236" i="5"/>
  <c r="I275" i="5"/>
  <c r="H275" i="5"/>
  <c r="I358" i="5"/>
  <c r="H358" i="5"/>
  <c r="G173" i="5"/>
  <c r="F173" i="5"/>
  <c r="H186" i="5"/>
  <c r="G189" i="5"/>
  <c r="F189" i="5"/>
  <c r="F195" i="5"/>
  <c r="G260" i="5"/>
  <c r="F260" i="5"/>
  <c r="I280" i="5"/>
  <c r="G292" i="5"/>
  <c r="F292" i="5"/>
  <c r="F199" i="5"/>
  <c r="I204" i="5"/>
  <c r="H204" i="5"/>
  <c r="G205" i="5"/>
  <c r="F205" i="5"/>
  <c r="G346" i="5"/>
  <c r="F346" i="5"/>
  <c r="I195" i="5"/>
  <c r="H195" i="5"/>
  <c r="F203" i="5"/>
  <c r="F207" i="5"/>
  <c r="I212" i="5"/>
  <c r="H212" i="5"/>
  <c r="G213" i="5"/>
  <c r="F213" i="5"/>
  <c r="I264" i="5"/>
  <c r="H264" i="5"/>
  <c r="G269" i="5"/>
  <c r="F269" i="5"/>
  <c r="I282" i="5"/>
  <c r="H282" i="5"/>
  <c r="I322" i="5"/>
  <c r="H322" i="5"/>
  <c r="I342" i="5"/>
  <c r="H342" i="5"/>
  <c r="I365" i="5"/>
  <c r="H365" i="5"/>
  <c r="I177" i="5"/>
  <c r="G181" i="5"/>
  <c r="F181" i="5"/>
  <c r="H184" i="5"/>
  <c r="I193" i="5"/>
  <c r="I199" i="5"/>
  <c r="G207" i="5"/>
  <c r="F211" i="5"/>
  <c r="F215" i="5"/>
  <c r="I220" i="5"/>
  <c r="H220" i="5"/>
  <c r="G221" i="5"/>
  <c r="F221" i="5"/>
  <c r="G246" i="5"/>
  <c r="F246" i="5"/>
  <c r="G254" i="5"/>
  <c r="F254" i="5"/>
  <c r="I259" i="5"/>
  <c r="H259" i="5"/>
  <c r="G278" i="5"/>
  <c r="F278" i="5"/>
  <c r="I289" i="5"/>
  <c r="H289" i="5"/>
  <c r="I291" i="5"/>
  <c r="H291" i="5"/>
  <c r="F306" i="5"/>
  <c r="G306" i="5"/>
  <c r="F191" i="5"/>
  <c r="I203" i="5"/>
  <c r="H203" i="5"/>
  <c r="F223" i="5"/>
  <c r="I228" i="5"/>
  <c r="H228" i="5"/>
  <c r="G229" i="5"/>
  <c r="F229" i="5"/>
  <c r="G276" i="5"/>
  <c r="F276" i="5"/>
  <c r="G285" i="5"/>
  <c r="F285" i="5"/>
  <c r="G323" i="5"/>
  <c r="G338" i="5"/>
  <c r="F338" i="5"/>
  <c r="I353" i="5"/>
  <c r="H353" i="5"/>
  <c r="F245" i="5"/>
  <c r="I252" i="5"/>
  <c r="H252" i="5"/>
  <c r="F253" i="5"/>
  <c r="G270" i="5"/>
  <c r="F270" i="5"/>
  <c r="G277" i="5"/>
  <c r="F277" i="5"/>
  <c r="I283" i="5"/>
  <c r="H283" i="5"/>
  <c r="G284" i="5"/>
  <c r="F284" i="5"/>
  <c r="G299" i="5"/>
  <c r="F299" i="5"/>
  <c r="G355" i="5"/>
  <c r="F355" i="5"/>
  <c r="G377" i="5"/>
  <c r="F377" i="5"/>
  <c r="G248" i="5"/>
  <c r="G261" i="5"/>
  <c r="F261" i="5"/>
  <c r="I267" i="5"/>
  <c r="H267" i="5"/>
  <c r="G268" i="5"/>
  <c r="F268" i="5"/>
  <c r="I290" i="5"/>
  <c r="H290" i="5"/>
  <c r="G387" i="5"/>
  <c r="F387" i="5"/>
  <c r="I274" i="5"/>
  <c r="H274" i="5"/>
  <c r="G347" i="5"/>
  <c r="F347" i="5"/>
  <c r="I363" i="5"/>
  <c r="H363" i="5"/>
  <c r="I266" i="5"/>
  <c r="H266" i="5"/>
  <c r="G294" i="5"/>
  <c r="F294" i="5"/>
  <c r="I298" i="5"/>
  <c r="H298" i="5"/>
  <c r="G313" i="5"/>
  <c r="F313" i="5"/>
  <c r="G324" i="5"/>
  <c r="F324" i="5"/>
  <c r="I337" i="5"/>
  <c r="H337" i="5"/>
  <c r="I345" i="5"/>
  <c r="H345" i="5"/>
  <c r="I350" i="5"/>
  <c r="H350" i="5"/>
  <c r="G354" i="5"/>
  <c r="F354" i="5"/>
  <c r="I361" i="5"/>
  <c r="H361" i="5"/>
  <c r="I253" i="5"/>
  <c r="H253" i="5"/>
  <c r="I258" i="5"/>
  <c r="H258" i="5"/>
  <c r="G286" i="5"/>
  <c r="F286" i="5"/>
  <c r="G293" i="5"/>
  <c r="F293" i="5"/>
  <c r="G316" i="5"/>
  <c r="F316" i="5"/>
  <c r="G332" i="5"/>
  <c r="F332" i="5"/>
  <c r="G340" i="5"/>
  <c r="F340" i="5"/>
  <c r="G369" i="5"/>
  <c r="F369" i="5"/>
  <c r="G331" i="5"/>
  <c r="F331" i="5"/>
  <c r="I367" i="5"/>
  <c r="H367" i="5"/>
  <c r="I389" i="5"/>
  <c r="H389" i="5"/>
  <c r="G300" i="5"/>
  <c r="F300" i="5"/>
  <c r="I329" i="5"/>
  <c r="H329" i="5"/>
  <c r="G330" i="5"/>
  <c r="F330" i="5"/>
  <c r="I344" i="5"/>
  <c r="H344" i="5"/>
  <c r="I352" i="5"/>
  <c r="H352" i="5"/>
  <c r="I360" i="5"/>
  <c r="H360" i="5"/>
  <c r="F371" i="5"/>
  <c r="G371" i="5"/>
  <c r="G376" i="5"/>
  <c r="F376" i="5"/>
  <c r="I383" i="5"/>
  <c r="H383" i="5"/>
  <c r="H398" i="5"/>
  <c r="I398" i="5"/>
  <c r="G302" i="5"/>
  <c r="H309" i="5"/>
  <c r="H311" i="5"/>
  <c r="I320" i="5"/>
  <c r="H335" i="5"/>
  <c r="I336" i="5"/>
  <c r="H336" i="5"/>
  <c r="F307" i="5"/>
  <c r="G366" i="5"/>
  <c r="F366" i="5"/>
  <c r="H424" i="5"/>
  <c r="I424" i="5"/>
  <c r="I307" i="5"/>
  <c r="G308" i="5"/>
  <c r="F308" i="5"/>
  <c r="G314" i="5"/>
  <c r="F321" i="5"/>
  <c r="I328" i="5"/>
  <c r="H328" i="5"/>
  <c r="G348" i="5"/>
  <c r="F348" i="5"/>
  <c r="G356" i="5"/>
  <c r="F356" i="5"/>
  <c r="I381" i="5"/>
  <c r="H381" i="5"/>
  <c r="G412" i="5"/>
  <c r="F412" i="5"/>
  <c r="I441" i="5"/>
  <c r="H441" i="5"/>
  <c r="F540" i="5"/>
  <c r="G540" i="5"/>
  <c r="I375" i="5"/>
  <c r="H375" i="5"/>
  <c r="G378" i="5"/>
  <c r="F378" i="5"/>
  <c r="H432" i="5"/>
  <c r="I432" i="5"/>
  <c r="G379" i="5"/>
  <c r="F379" i="5"/>
  <c r="G390" i="5"/>
  <c r="F390" i="5"/>
  <c r="H415" i="5"/>
  <c r="I415" i="5"/>
  <c r="H373" i="5"/>
  <c r="G446" i="5"/>
  <c r="F446" i="5"/>
  <c r="I384" i="5"/>
  <c r="H384" i="5"/>
  <c r="I388" i="5"/>
  <c r="H388" i="5"/>
  <c r="I407" i="5"/>
  <c r="H407" i="5"/>
  <c r="F368" i="5"/>
  <c r="I385" i="5"/>
  <c r="H385" i="5"/>
  <c r="F392" i="5"/>
  <c r="G392" i="5"/>
  <c r="H485" i="5"/>
  <c r="I485" i="5"/>
  <c r="F406" i="5"/>
  <c r="G409" i="5"/>
  <c r="G429" i="5"/>
  <c r="F429" i="5"/>
  <c r="H419" i="5"/>
  <c r="I419" i="5"/>
  <c r="F423" i="5"/>
  <c r="G423" i="5"/>
  <c r="I443" i="5"/>
  <c r="H443" i="5"/>
  <c r="F385" i="5"/>
  <c r="F388" i="5"/>
  <c r="I413" i="5"/>
  <c r="H420" i="5"/>
  <c r="G425" i="5"/>
  <c r="F425" i="5"/>
  <c r="H396" i="5"/>
  <c r="G416" i="5"/>
  <c r="F416" i="5"/>
  <c r="F419" i="5"/>
  <c r="F428" i="5"/>
  <c r="G428" i="5"/>
  <c r="G453" i="5"/>
  <c r="F453" i="5"/>
  <c r="I458" i="5"/>
  <c r="H458" i="5"/>
  <c r="F405" i="5"/>
  <c r="G405" i="5"/>
  <c r="G391" i="5"/>
  <c r="F391" i="5"/>
  <c r="H403" i="5"/>
  <c r="I404" i="5"/>
  <c r="H404" i="5"/>
  <c r="H421" i="5"/>
  <c r="I421" i="5"/>
  <c r="I436" i="5"/>
  <c r="H436" i="5"/>
  <c r="F449" i="5"/>
  <c r="G449" i="5"/>
  <c r="I467" i="5"/>
  <c r="H467" i="5"/>
  <c r="G494" i="5"/>
  <c r="F494" i="5"/>
  <c r="G562" i="5"/>
  <c r="F562" i="5"/>
  <c r="G430" i="5"/>
  <c r="G456" i="5"/>
  <c r="F456" i="5"/>
  <c r="I468" i="5"/>
  <c r="H468" i="5"/>
  <c r="I476" i="5"/>
  <c r="H476" i="5"/>
  <c r="G414" i="5"/>
  <c r="F414" i="5"/>
  <c r="I427" i="5"/>
  <c r="I465" i="5"/>
  <c r="H465" i="5"/>
  <c r="H466" i="5"/>
  <c r="I498" i="5"/>
  <c r="H498" i="5"/>
  <c r="H408" i="5"/>
  <c r="F430" i="5"/>
  <c r="G439" i="5"/>
  <c r="F439" i="5"/>
  <c r="H472" i="5"/>
  <c r="I445" i="5"/>
  <c r="H445" i="5"/>
  <c r="I461" i="5"/>
  <c r="H461" i="5"/>
  <c r="F469" i="5"/>
  <c r="G469" i="5"/>
  <c r="G463" i="5"/>
  <c r="F463" i="5"/>
  <c r="I474" i="5"/>
  <c r="H474" i="5"/>
  <c r="G479" i="5"/>
  <c r="F479" i="5"/>
  <c r="G431" i="5"/>
  <c r="F431" i="5"/>
  <c r="G489" i="5"/>
  <c r="F489" i="5"/>
  <c r="G440" i="5"/>
  <c r="F440" i="5"/>
  <c r="G447" i="5"/>
  <c r="F447" i="5"/>
  <c r="I454" i="5"/>
  <c r="H454" i="5"/>
  <c r="G505" i="5"/>
  <c r="F505" i="5"/>
  <c r="H442" i="5"/>
  <c r="H451" i="5"/>
  <c r="H460" i="5"/>
  <c r="F465" i="5"/>
  <c r="I483" i="5"/>
  <c r="I438" i="5"/>
  <c r="H438" i="5"/>
  <c r="I503" i="5"/>
  <c r="H503" i="5"/>
  <c r="I437" i="5"/>
  <c r="H437" i="5"/>
  <c r="H444" i="5"/>
  <c r="G448" i="5"/>
  <c r="F448" i="5"/>
  <c r="F454" i="5"/>
  <c r="G455" i="5"/>
  <c r="F455" i="5"/>
  <c r="I462" i="5"/>
  <c r="H462" i="5"/>
  <c r="G471" i="5"/>
  <c r="F471" i="5"/>
  <c r="G473" i="5"/>
  <c r="F473" i="5"/>
  <c r="G477" i="5"/>
  <c r="F477" i="5"/>
  <c r="G514" i="5"/>
  <c r="H484" i="5"/>
  <c r="F493" i="5"/>
  <c r="G493" i="5"/>
  <c r="G521" i="5"/>
  <c r="F521" i="5"/>
  <c r="G488" i="5"/>
  <c r="F488" i="5"/>
  <c r="I513" i="5"/>
  <c r="H513" i="5"/>
  <c r="F468" i="5"/>
  <c r="F487" i="5"/>
  <c r="G487" i="5"/>
  <c r="I526" i="5"/>
  <c r="H526" i="5"/>
  <c r="I491" i="5"/>
  <c r="H491" i="5"/>
  <c r="I504" i="5"/>
  <c r="H504" i="5"/>
  <c r="F532" i="5"/>
  <c r="G532" i="5"/>
  <c r="G552" i="5"/>
  <c r="F552" i="5"/>
  <c r="I558" i="5"/>
  <c r="H558" i="5"/>
  <c r="I563" i="5"/>
  <c r="H563" i="5"/>
  <c r="G500" i="5"/>
  <c r="F500" i="5"/>
  <c r="G519" i="5"/>
  <c r="F519" i="5"/>
  <c r="I531" i="5"/>
  <c r="H531" i="5"/>
  <c r="G546" i="5"/>
  <c r="F546" i="5"/>
  <c r="H555" i="5"/>
  <c r="I499" i="5"/>
  <c r="F501" i="5"/>
  <c r="G501" i="5"/>
  <c r="H506" i="5"/>
  <c r="G510" i="5"/>
  <c r="F510" i="5"/>
  <c r="I511" i="5"/>
  <c r="H511" i="5"/>
  <c r="I515" i="5"/>
  <c r="G518" i="5"/>
  <c r="F518" i="5"/>
  <c r="H534" i="5"/>
  <c r="I534" i="5"/>
  <c r="I561" i="5"/>
  <c r="H561" i="5"/>
  <c r="F486" i="5"/>
  <c r="I492" i="5"/>
  <c r="H492" i="5"/>
  <c r="I502" i="5"/>
  <c r="H502" i="5"/>
  <c r="F509" i="5"/>
  <c r="G509" i="5"/>
  <c r="G523" i="5"/>
  <c r="F523" i="5"/>
  <c r="I529" i="5"/>
  <c r="H529" i="5"/>
  <c r="F544" i="5"/>
  <c r="G544" i="5"/>
  <c r="G530" i="5"/>
  <c r="F530" i="5"/>
  <c r="I536" i="5"/>
  <c r="H536" i="5"/>
  <c r="I545" i="5"/>
  <c r="H545" i="5"/>
  <c r="H512" i="5"/>
  <c r="G528" i="5"/>
  <c r="F528" i="5"/>
  <c r="I550" i="5"/>
  <c r="H550" i="5"/>
  <c r="I564" i="5"/>
  <c r="H564" i="5"/>
  <c r="I537" i="5"/>
  <c r="H537" i="5"/>
  <c r="G554" i="5"/>
  <c r="F554" i="5"/>
  <c r="G560" i="5"/>
  <c r="F560" i="5"/>
  <c r="G538" i="5"/>
  <c r="F538" i="5"/>
  <c r="I548" i="5"/>
  <c r="I553" i="5"/>
  <c r="H553" i="5"/>
  <c r="I565" i="5"/>
  <c r="H565" i="5"/>
  <c r="F531" i="5"/>
  <c r="F539" i="5"/>
  <c r="F547" i="5"/>
  <c r="F555" i="5"/>
  <c r="F563" i="5"/>
  <c r="F564" i="5"/>
  <c r="F565" i="5"/>
  <c r="I551" i="4"/>
  <c r="H551" i="4"/>
  <c r="H540" i="4"/>
  <c r="I540" i="4"/>
  <c r="G72" i="4"/>
  <c r="I72" i="4" s="1"/>
  <c r="G79" i="4"/>
  <c r="H141" i="4"/>
  <c r="I144" i="4"/>
  <c r="F159" i="4"/>
  <c r="G162" i="4"/>
  <c r="F165" i="4"/>
  <c r="G197" i="4"/>
  <c r="G245" i="4"/>
  <c r="F251" i="4"/>
  <c r="G257" i="4"/>
  <c r="I257" i="4" s="1"/>
  <c r="G273" i="4"/>
  <c r="I273" i="4" s="1"/>
  <c r="F295" i="4"/>
  <c r="F328" i="4"/>
  <c r="G345" i="4"/>
  <c r="H345" i="4" s="1"/>
  <c r="G421" i="4"/>
  <c r="I421" i="4" s="1"/>
  <c r="F438" i="4"/>
  <c r="F440" i="4"/>
  <c r="G455" i="4"/>
  <c r="I455" i="4" s="1"/>
  <c r="G458" i="4"/>
  <c r="I458" i="4" s="1"/>
  <c r="F470" i="4"/>
  <c r="F477" i="4"/>
  <c r="G493" i="4"/>
  <c r="I493" i="4" s="1"/>
  <c r="F502" i="4"/>
  <c r="G523" i="4"/>
  <c r="I523" i="4" s="1"/>
  <c r="F526" i="4"/>
  <c r="G539" i="4"/>
  <c r="I539" i="4" s="1"/>
  <c r="G541" i="4"/>
  <c r="I541" i="4" s="1"/>
  <c r="F551" i="4"/>
  <c r="G557" i="4"/>
  <c r="G14" i="4"/>
  <c r="H14" i="4" s="1"/>
  <c r="F17" i="4"/>
  <c r="G36" i="4"/>
  <c r="G33" i="4"/>
  <c r="G46" i="4"/>
  <c r="I46" i="4" s="1"/>
  <c r="F52" i="4"/>
  <c r="G154" i="4"/>
  <c r="I154" i="4" s="1"/>
  <c r="F181" i="4"/>
  <c r="F184" i="4"/>
  <c r="H228" i="4"/>
  <c r="G231" i="4"/>
  <c r="F248" i="4"/>
  <c r="F261" i="4"/>
  <c r="F264" i="4"/>
  <c r="H295" i="4"/>
  <c r="F309" i="4"/>
  <c r="F315" i="4"/>
  <c r="F355" i="4"/>
  <c r="F372" i="4"/>
  <c r="F389" i="4"/>
  <c r="G392" i="4"/>
  <c r="I392" i="4" s="1"/>
  <c r="F443" i="4"/>
  <c r="F499" i="4"/>
  <c r="F530" i="4"/>
  <c r="G30" i="4"/>
  <c r="G139" i="4"/>
  <c r="I139" i="4" s="1"/>
  <c r="F152" i="4"/>
  <c r="G169" i="4"/>
  <c r="I169" i="4" s="1"/>
  <c r="F172" i="4"/>
  <c r="F234" i="4"/>
  <c r="G237" i="4"/>
  <c r="I237" i="4" s="1"/>
  <c r="G243" i="4"/>
  <c r="F267" i="4"/>
  <c r="G283" i="4"/>
  <c r="I283" i="4" s="1"/>
  <c r="G286" i="4"/>
  <c r="F293" i="4"/>
  <c r="G339" i="4"/>
  <c r="H339" i="4" s="1"/>
  <c r="F352" i="4"/>
  <c r="G453" i="4"/>
  <c r="H453" i="4" s="1"/>
  <c r="F462" i="4"/>
  <c r="G534" i="4"/>
  <c r="G565" i="4"/>
  <c r="G11" i="4"/>
  <c r="I11" i="4" s="1"/>
  <c r="G21" i="4"/>
  <c r="F50" i="4"/>
  <c r="G106" i="4"/>
  <c r="H106" i="4" s="1"/>
  <c r="H145" i="4"/>
  <c r="H147" i="4"/>
  <c r="F212" i="4"/>
  <c r="G229" i="4"/>
  <c r="I229" i="4" s="1"/>
  <c r="G241" i="4"/>
  <c r="I241" i="4" s="1"/>
  <c r="F246" i="4"/>
  <c r="G265" i="4"/>
  <c r="H265" i="4" s="1"/>
  <c r="F307" i="4"/>
  <c r="H316" i="4"/>
  <c r="G337" i="4"/>
  <c r="G364" i="4"/>
  <c r="I364" i="4" s="1"/>
  <c r="G370" i="4"/>
  <c r="I370" i="4" s="1"/>
  <c r="F373" i="4"/>
  <c r="F430" i="4"/>
  <c r="G439" i="4"/>
  <c r="F466" i="4"/>
  <c r="G485" i="4"/>
  <c r="I485" i="4" s="1"/>
  <c r="I546" i="4"/>
  <c r="D14" i="4"/>
  <c r="G25" i="4"/>
  <c r="I25" i="4" s="1"/>
  <c r="D48" i="4"/>
  <c r="G114" i="4"/>
  <c r="G153" i="4"/>
  <c r="I153" i="4" s="1"/>
  <c r="G156" i="4"/>
  <c r="F180" i="4"/>
  <c r="G216" i="4"/>
  <c r="G227" i="4"/>
  <c r="I227" i="4" s="1"/>
  <c r="G263" i="4"/>
  <c r="I263" i="4" s="1"/>
  <c r="F275" i="4"/>
  <c r="F301" i="4"/>
  <c r="H314" i="4"/>
  <c r="G351" i="4"/>
  <c r="G377" i="4"/>
  <c r="H377" i="4" s="1"/>
  <c r="F384" i="4"/>
  <c r="G394" i="4"/>
  <c r="G417" i="4"/>
  <c r="G434" i="4"/>
  <c r="I434" i="4" s="1"/>
  <c r="F448" i="4"/>
  <c r="F479" i="4"/>
  <c r="G504" i="4"/>
  <c r="G507" i="4"/>
  <c r="F535" i="4"/>
  <c r="I248" i="4"/>
  <c r="H248" i="4"/>
  <c r="I261" i="4"/>
  <c r="H261" i="4"/>
  <c r="I264" i="4"/>
  <c r="H264" i="4"/>
  <c r="I315" i="4"/>
  <c r="H315" i="4"/>
  <c r="I487" i="4"/>
  <c r="H487" i="4"/>
  <c r="H431" i="4"/>
  <c r="I431" i="4"/>
  <c r="I274" i="4"/>
  <c r="H274" i="4"/>
  <c r="I555" i="4"/>
  <c r="H555" i="4"/>
  <c r="I489" i="4"/>
  <c r="H489" i="4"/>
  <c r="I256" i="4"/>
  <c r="H256" i="4"/>
  <c r="I272" i="4"/>
  <c r="H272" i="4"/>
  <c r="I535" i="4"/>
  <c r="H535" i="4"/>
  <c r="I317" i="4"/>
  <c r="H317" i="4"/>
  <c r="H70" i="4"/>
  <c r="G76" i="4"/>
  <c r="G86" i="4"/>
  <c r="H86" i="4" s="1"/>
  <c r="G112" i="4"/>
  <c r="H112" i="4" s="1"/>
  <c r="G166" i="4"/>
  <c r="G174" i="4"/>
  <c r="H230" i="4"/>
  <c r="G235" i="4"/>
  <c r="H237" i="4"/>
  <c r="F244" i="4"/>
  <c r="F259" i="4"/>
  <c r="H266" i="4"/>
  <c r="F269" i="4"/>
  <c r="F272" i="4"/>
  <c r="G305" i="4"/>
  <c r="G313" i="4"/>
  <c r="G320" i="4"/>
  <c r="G393" i="4"/>
  <c r="G399" i="4"/>
  <c r="F431" i="4"/>
  <c r="G445" i="4"/>
  <c r="I445" i="4" s="1"/>
  <c r="G447" i="4"/>
  <c r="G480" i="4"/>
  <c r="G482" i="4"/>
  <c r="H482" i="4" s="1"/>
  <c r="G505" i="4"/>
  <c r="G521" i="4"/>
  <c r="I521" i="4" s="1"/>
  <c r="G545" i="4"/>
  <c r="I545" i="4" s="1"/>
  <c r="G550" i="4"/>
  <c r="H550" i="4" s="1"/>
  <c r="G556" i="4"/>
  <c r="H285" i="4"/>
  <c r="F297" i="4"/>
  <c r="F303" i="4"/>
  <c r="G336" i="4"/>
  <c r="I347" i="4"/>
  <c r="G361" i="4"/>
  <c r="H361" i="4" s="1"/>
  <c r="H364" i="4"/>
  <c r="F388" i="4"/>
  <c r="G418" i="4"/>
  <c r="I418" i="4" s="1"/>
  <c r="G527" i="4"/>
  <c r="H527" i="4" s="1"/>
  <c r="F552" i="4"/>
  <c r="G34" i="4"/>
  <c r="G37" i="4"/>
  <c r="F43" i="4"/>
  <c r="H55" i="4"/>
  <c r="G65" i="4"/>
  <c r="I65" i="4" s="1"/>
  <c r="G100" i="4"/>
  <c r="H100" i="4" s="1"/>
  <c r="H139" i="4"/>
  <c r="F149" i="4"/>
  <c r="G189" i="4"/>
  <c r="F220" i="4"/>
  <c r="G233" i="4"/>
  <c r="I233" i="4" s="1"/>
  <c r="F240" i="4"/>
  <c r="G247" i="4"/>
  <c r="I247" i="4" s="1"/>
  <c r="G249" i="4"/>
  <c r="I249" i="4" s="1"/>
  <c r="G508" i="4"/>
  <c r="I508" i="4" s="1"/>
  <c r="F555" i="4"/>
  <c r="F562" i="4"/>
  <c r="I345" i="4"/>
  <c r="F356" i="4"/>
  <c r="F367" i="4"/>
  <c r="F381" i="4"/>
  <c r="G386" i="4"/>
  <c r="F400" i="4"/>
  <c r="G414" i="4"/>
  <c r="I441" i="4"/>
  <c r="F446" i="4"/>
  <c r="G481" i="4"/>
  <c r="F483" i="4"/>
  <c r="G506" i="4"/>
  <c r="G519" i="4"/>
  <c r="I519" i="4" s="1"/>
  <c r="G531" i="4"/>
  <c r="I531" i="4" s="1"/>
  <c r="G104" i="4"/>
  <c r="H446" i="4"/>
  <c r="F15" i="4"/>
  <c r="G26" i="4"/>
  <c r="G47" i="4"/>
  <c r="I47" i="4" s="1"/>
  <c r="H49" i="4"/>
  <c r="F54" i="4"/>
  <c r="G60" i="4"/>
  <c r="H66" i="4"/>
  <c r="H72" i="4"/>
  <c r="G108" i="4"/>
  <c r="I108" i="4" s="1"/>
  <c r="H157" i="4"/>
  <c r="H179" i="4"/>
  <c r="F188" i="4"/>
  <c r="F200" i="4"/>
  <c r="G221" i="4"/>
  <c r="H227" i="4"/>
  <c r="G239" i="4"/>
  <c r="H241" i="4"/>
  <c r="H253" i="4"/>
  <c r="F256" i="4"/>
  <c r="G278" i="4"/>
  <c r="G302" i="4"/>
  <c r="H302" i="4" s="1"/>
  <c r="F332" i="4"/>
  <c r="G335" i="4"/>
  <c r="G349" i="4"/>
  <c r="F357" i="4"/>
  <c r="F360" i="4"/>
  <c r="F368" i="4"/>
  <c r="F387" i="4"/>
  <c r="F401" i="4"/>
  <c r="G420" i="4"/>
  <c r="F425" i="4"/>
  <c r="H440" i="4"/>
  <c r="F487" i="4"/>
  <c r="H491" i="4"/>
  <c r="G532" i="4"/>
  <c r="I532" i="4" s="1"/>
  <c r="F561" i="4"/>
  <c r="F230" i="4"/>
  <c r="G341" i="4"/>
  <c r="F371" i="4"/>
  <c r="G380" i="4"/>
  <c r="G382" i="4"/>
  <c r="G415" i="4"/>
  <c r="I415" i="4" s="1"/>
  <c r="G423" i="4"/>
  <c r="G449" i="4"/>
  <c r="I449" i="4" s="1"/>
  <c r="F452" i="4"/>
  <c r="H13" i="4"/>
  <c r="I13" i="4"/>
  <c r="I27" i="4"/>
  <c r="H27" i="4"/>
  <c r="I40" i="4"/>
  <c r="H40" i="4"/>
  <c r="I28" i="4"/>
  <c r="H28" i="4"/>
  <c r="I31" i="4"/>
  <c r="H31" i="4"/>
  <c r="I32" i="4"/>
  <c r="H32" i="4"/>
  <c r="I24" i="4"/>
  <c r="H24" i="4"/>
  <c r="H17" i="4"/>
  <c r="I17" i="4"/>
  <c r="I35" i="4"/>
  <c r="H35" i="4"/>
  <c r="H15" i="4"/>
  <c r="I15" i="4"/>
  <c r="I20" i="4"/>
  <c r="H20" i="4"/>
  <c r="I23" i="4"/>
  <c r="H23" i="4"/>
  <c r="I39" i="4"/>
  <c r="H39" i="4"/>
  <c r="I81" i="4"/>
  <c r="H81" i="4"/>
  <c r="I503" i="4"/>
  <c r="H503" i="4"/>
  <c r="I16" i="4"/>
  <c r="F23" i="4"/>
  <c r="F27" i="4"/>
  <c r="F31" i="4"/>
  <c r="F35" i="4"/>
  <c r="F39" i="4"/>
  <c r="H51" i="4"/>
  <c r="I60" i="4"/>
  <c r="H60" i="4"/>
  <c r="I79" i="4"/>
  <c r="H79" i="4"/>
  <c r="I86" i="4"/>
  <c r="F118" i="4"/>
  <c r="G118" i="4"/>
  <c r="I26" i="4"/>
  <c r="H26" i="4"/>
  <c r="I30" i="4"/>
  <c r="H30" i="4"/>
  <c r="F13" i="4"/>
  <c r="D11" i="4"/>
  <c r="D12" i="4" s="1"/>
  <c r="I14" i="4"/>
  <c r="I19" i="4"/>
  <c r="F20" i="4"/>
  <c r="F24" i="4"/>
  <c r="F28" i="4"/>
  <c r="F32" i="4"/>
  <c r="F40" i="4"/>
  <c r="D41" i="4"/>
  <c r="D42" i="4" s="1"/>
  <c r="D43" i="4" s="1"/>
  <c r="D44" i="4" s="1"/>
  <c r="D45" i="4" s="1"/>
  <c r="D46" i="4" s="1"/>
  <c r="D47" i="4" s="1"/>
  <c r="I63" i="4"/>
  <c r="H63" i="4"/>
  <c r="F75" i="4"/>
  <c r="G75" i="4"/>
  <c r="I38" i="4"/>
  <c r="H38" i="4"/>
  <c r="I36" i="4"/>
  <c r="H36" i="4"/>
  <c r="I44" i="4"/>
  <c r="H44" i="4"/>
  <c r="G105" i="4"/>
  <c r="F105" i="4"/>
  <c r="F126" i="4"/>
  <c r="G126" i="4"/>
  <c r="I34" i="4"/>
  <c r="H34" i="4"/>
  <c r="I48" i="4"/>
  <c r="H48" i="4"/>
  <c r="I42" i="4"/>
  <c r="H42" i="4"/>
  <c r="I12" i="4"/>
  <c r="D15" i="4"/>
  <c r="D16" i="4" s="1"/>
  <c r="D17" i="4" s="1"/>
  <c r="F42" i="4"/>
  <c r="F44" i="4"/>
  <c r="G45" i="4"/>
  <c r="F59" i="4"/>
  <c r="G59" i="4"/>
  <c r="F78" i="4"/>
  <c r="G78" i="4"/>
  <c r="I29" i="4"/>
  <c r="H29" i="4"/>
  <c r="I41" i="4"/>
  <c r="H41" i="4"/>
  <c r="I43" i="4"/>
  <c r="H43" i="4"/>
  <c r="M44" i="4"/>
  <c r="I22" i="4"/>
  <c r="H22" i="4"/>
  <c r="I21" i="4"/>
  <c r="H21" i="4"/>
  <c r="H25" i="4"/>
  <c r="I33" i="4"/>
  <c r="H33" i="4"/>
  <c r="I37" i="4"/>
  <c r="H37" i="4"/>
  <c r="H11" i="4"/>
  <c r="I18" i="4"/>
  <c r="D19" i="4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/>
  <c r="D32" i="4" s="1"/>
  <c r="D33" i="4" s="1"/>
  <c r="D34" i="4" s="1"/>
  <c r="D35" i="4" s="1"/>
  <c r="D36" i="4" s="1"/>
  <c r="D37" i="4" s="1"/>
  <c r="D38" i="4" s="1"/>
  <c r="D39" i="4" s="1"/>
  <c r="D40" i="4" s="1"/>
  <c r="L44" i="4"/>
  <c r="F62" i="4"/>
  <c r="G62" i="4"/>
  <c r="I76" i="4"/>
  <c r="H76" i="4"/>
  <c r="I106" i="4"/>
  <c r="G56" i="4"/>
  <c r="G69" i="4"/>
  <c r="F87" i="4"/>
  <c r="F88" i="4"/>
  <c r="G99" i="4"/>
  <c r="F99" i="4"/>
  <c r="I100" i="4"/>
  <c r="F115" i="4"/>
  <c r="G115" i="4"/>
  <c r="F123" i="4"/>
  <c r="G123" i="4"/>
  <c r="F136" i="4"/>
  <c r="G136" i="4"/>
  <c r="I236" i="4"/>
  <c r="H236" i="4"/>
  <c r="I84" i="4"/>
  <c r="H84" i="4"/>
  <c r="G87" i="4"/>
  <c r="F89" i="4"/>
  <c r="F90" i="4"/>
  <c r="G109" i="4"/>
  <c r="F109" i="4"/>
  <c r="I110" i="4"/>
  <c r="H110" i="4"/>
  <c r="F120" i="4"/>
  <c r="G120" i="4"/>
  <c r="F85" i="4"/>
  <c r="I88" i="4"/>
  <c r="H88" i="4"/>
  <c r="F91" i="4"/>
  <c r="F92" i="4"/>
  <c r="G103" i="4"/>
  <c r="F103" i="4"/>
  <c r="I104" i="4"/>
  <c r="H104" i="4"/>
  <c r="F117" i="4"/>
  <c r="G117" i="4"/>
  <c r="F125" i="4"/>
  <c r="G125" i="4"/>
  <c r="D49" i="4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H50" i="4"/>
  <c r="H52" i="4"/>
  <c r="H54" i="4"/>
  <c r="H65" i="4"/>
  <c r="G68" i="4"/>
  <c r="G71" i="4"/>
  <c r="G82" i="4"/>
  <c r="G85" i="4"/>
  <c r="I89" i="4"/>
  <c r="I90" i="4"/>
  <c r="H90" i="4"/>
  <c r="G91" i="4"/>
  <c r="F93" i="4"/>
  <c r="F94" i="4"/>
  <c r="G97" i="4"/>
  <c r="F97" i="4"/>
  <c r="I98" i="4"/>
  <c r="H98" i="4"/>
  <c r="G113" i="4"/>
  <c r="F113" i="4"/>
  <c r="I114" i="4"/>
  <c r="H114" i="4"/>
  <c r="F122" i="4"/>
  <c r="G122" i="4"/>
  <c r="G58" i="4"/>
  <c r="G61" i="4"/>
  <c r="G77" i="4"/>
  <c r="F83" i="4"/>
  <c r="G92" i="4"/>
  <c r="G93" i="4"/>
  <c r="F95" i="4"/>
  <c r="G107" i="4"/>
  <c r="F107" i="4"/>
  <c r="F119" i="4"/>
  <c r="G119" i="4"/>
  <c r="F127" i="4"/>
  <c r="G127" i="4"/>
  <c r="I137" i="4"/>
  <c r="H137" i="4"/>
  <c r="F49" i="4"/>
  <c r="F51" i="4"/>
  <c r="F53" i="4"/>
  <c r="F55" i="4"/>
  <c r="G64" i="4"/>
  <c r="G67" i="4"/>
  <c r="H74" i="4"/>
  <c r="G80" i="4"/>
  <c r="G83" i="4"/>
  <c r="G94" i="4"/>
  <c r="G95" i="4"/>
  <c r="G101" i="4"/>
  <c r="F101" i="4"/>
  <c r="I102" i="4"/>
  <c r="H102" i="4"/>
  <c r="F116" i="4"/>
  <c r="G116" i="4"/>
  <c r="F124" i="4"/>
  <c r="G124" i="4"/>
  <c r="I143" i="4"/>
  <c r="H143" i="4"/>
  <c r="G57" i="4"/>
  <c r="G73" i="4"/>
  <c r="F81" i="4"/>
  <c r="I96" i="4"/>
  <c r="H96" i="4"/>
  <c r="G111" i="4"/>
  <c r="F111" i="4"/>
  <c r="F121" i="4"/>
  <c r="G121" i="4"/>
  <c r="I170" i="4"/>
  <c r="H170" i="4"/>
  <c r="F96" i="4"/>
  <c r="F98" i="4"/>
  <c r="I149" i="4"/>
  <c r="H149" i="4"/>
  <c r="I159" i="4"/>
  <c r="H159" i="4"/>
  <c r="H163" i="4"/>
  <c r="I176" i="4"/>
  <c r="H176" i="4"/>
  <c r="H186" i="4"/>
  <c r="H194" i="4"/>
  <c r="H202" i="4"/>
  <c r="H210" i="4"/>
  <c r="I218" i="4"/>
  <c r="H218" i="4"/>
  <c r="I222" i="4"/>
  <c r="H222" i="4"/>
  <c r="I224" i="4"/>
  <c r="H224" i="4"/>
  <c r="I259" i="4"/>
  <c r="H259" i="4"/>
  <c r="G142" i="4"/>
  <c r="F142" i="4"/>
  <c r="G150" i="4"/>
  <c r="F150" i="4"/>
  <c r="I172" i="4"/>
  <c r="H172" i="4"/>
  <c r="I173" i="4"/>
  <c r="H173" i="4"/>
  <c r="G140" i="4"/>
  <c r="F140" i="4"/>
  <c r="I146" i="4"/>
  <c r="H146" i="4"/>
  <c r="I148" i="4"/>
  <c r="H148" i="4"/>
  <c r="I151" i="4"/>
  <c r="H151" i="4"/>
  <c r="I162" i="4"/>
  <c r="H162" i="4"/>
  <c r="G182" i="4"/>
  <c r="F182" i="4"/>
  <c r="G190" i="4"/>
  <c r="F190" i="4"/>
  <c r="G198" i="4"/>
  <c r="F198" i="4"/>
  <c r="G206" i="4"/>
  <c r="F206" i="4"/>
  <c r="I214" i="4"/>
  <c r="H214" i="4"/>
  <c r="I216" i="4"/>
  <c r="H216" i="4"/>
  <c r="I168" i="4"/>
  <c r="H168" i="4"/>
  <c r="G175" i="4"/>
  <c r="F175" i="4"/>
  <c r="F223" i="4"/>
  <c r="G223" i="4"/>
  <c r="I250" i="4"/>
  <c r="H250" i="4"/>
  <c r="G128" i="4"/>
  <c r="G129" i="4"/>
  <c r="G130" i="4"/>
  <c r="G131" i="4"/>
  <c r="G132" i="4"/>
  <c r="G133" i="4"/>
  <c r="G134" i="4"/>
  <c r="G135" i="4"/>
  <c r="G138" i="4"/>
  <c r="H158" i="4"/>
  <c r="I164" i="4"/>
  <c r="H164" i="4"/>
  <c r="I165" i="4"/>
  <c r="H165" i="4"/>
  <c r="G178" i="4"/>
  <c r="I155" i="4"/>
  <c r="H155" i="4"/>
  <c r="H171" i="4"/>
  <c r="I184" i="4"/>
  <c r="H184" i="4"/>
  <c r="I192" i="4"/>
  <c r="H192" i="4"/>
  <c r="I200" i="4"/>
  <c r="H200" i="4"/>
  <c r="I208" i="4"/>
  <c r="H208" i="4"/>
  <c r="F215" i="4"/>
  <c r="G215" i="4"/>
  <c r="I221" i="4"/>
  <c r="H221" i="4"/>
  <c r="I160" i="4"/>
  <c r="H160" i="4"/>
  <c r="G167" i="4"/>
  <c r="F167" i="4"/>
  <c r="I180" i="4"/>
  <c r="H180" i="4"/>
  <c r="I181" i="4"/>
  <c r="H181" i="4"/>
  <c r="F183" i="4"/>
  <c r="G183" i="4"/>
  <c r="I189" i="4"/>
  <c r="H189" i="4"/>
  <c r="F191" i="4"/>
  <c r="G191" i="4"/>
  <c r="I197" i="4"/>
  <c r="H197" i="4"/>
  <c r="F199" i="4"/>
  <c r="G199" i="4"/>
  <c r="I205" i="4"/>
  <c r="H205" i="4"/>
  <c r="F207" i="4"/>
  <c r="G207" i="4"/>
  <c r="I213" i="4"/>
  <c r="H213" i="4"/>
  <c r="I226" i="4"/>
  <c r="H226" i="4"/>
  <c r="I244" i="4"/>
  <c r="H244" i="4"/>
  <c r="F158" i="4"/>
  <c r="F163" i="4"/>
  <c r="F171" i="4"/>
  <c r="F179" i="4"/>
  <c r="F186" i="4"/>
  <c r="F194" i="4"/>
  <c r="F202" i="4"/>
  <c r="F210" i="4"/>
  <c r="F218" i="4"/>
  <c r="F226" i="4"/>
  <c r="F228" i="4"/>
  <c r="I232" i="4"/>
  <c r="H232" i="4"/>
  <c r="I252" i="4"/>
  <c r="H252" i="4"/>
  <c r="H257" i="4"/>
  <c r="G270" i="4"/>
  <c r="F270" i="4"/>
  <c r="I275" i="4"/>
  <c r="H275" i="4"/>
  <c r="G279" i="4"/>
  <c r="F279" i="4"/>
  <c r="I286" i="4"/>
  <c r="H286" i="4"/>
  <c r="G289" i="4"/>
  <c r="F289" i="4"/>
  <c r="I234" i="4"/>
  <c r="H234" i="4"/>
  <c r="I242" i="4"/>
  <c r="H242" i="4"/>
  <c r="G254" i="4"/>
  <c r="F254" i="4"/>
  <c r="I268" i="4"/>
  <c r="H268" i="4"/>
  <c r="F325" i="4"/>
  <c r="G325" i="4"/>
  <c r="F280" i="4"/>
  <c r="G280" i="4"/>
  <c r="F144" i="4"/>
  <c r="F160" i="4"/>
  <c r="F168" i="4"/>
  <c r="F176" i="4"/>
  <c r="G185" i="4"/>
  <c r="G193" i="4"/>
  <c r="G201" i="4"/>
  <c r="G209" i="4"/>
  <c r="G217" i="4"/>
  <c r="G225" i="4"/>
  <c r="H233" i="4"/>
  <c r="I240" i="4"/>
  <c r="H240" i="4"/>
  <c r="I246" i="4"/>
  <c r="H246" i="4"/>
  <c r="I251" i="4"/>
  <c r="H251" i="4"/>
  <c r="H154" i="4"/>
  <c r="F155" i="4"/>
  <c r="H161" i="4"/>
  <c r="H169" i="4"/>
  <c r="H177" i="4"/>
  <c r="H188" i="4"/>
  <c r="H196" i="4"/>
  <c r="H204" i="4"/>
  <c r="H212" i="4"/>
  <c r="F214" i="4"/>
  <c r="H220" i="4"/>
  <c r="F222" i="4"/>
  <c r="H249" i="4"/>
  <c r="H258" i="4"/>
  <c r="I260" i="4"/>
  <c r="H260" i="4"/>
  <c r="I265" i="4"/>
  <c r="I267" i="4"/>
  <c r="H267" i="4"/>
  <c r="I269" i="4"/>
  <c r="H269" i="4"/>
  <c r="I303" i="4"/>
  <c r="H303" i="4"/>
  <c r="G187" i="4"/>
  <c r="G195" i="4"/>
  <c r="G203" i="4"/>
  <c r="G211" i="4"/>
  <c r="G219" i="4"/>
  <c r="I238" i="4"/>
  <c r="H238" i="4"/>
  <c r="G262" i="4"/>
  <c r="F262" i="4"/>
  <c r="I276" i="4"/>
  <c r="H276" i="4"/>
  <c r="I288" i="4"/>
  <c r="H288" i="4"/>
  <c r="F298" i="4"/>
  <c r="G298" i="4"/>
  <c r="I278" i="4"/>
  <c r="H278" i="4"/>
  <c r="F290" i="4"/>
  <c r="G290" i="4"/>
  <c r="I332" i="4"/>
  <c r="H332" i="4"/>
  <c r="H335" i="4"/>
  <c r="I335" i="4"/>
  <c r="F282" i="4"/>
  <c r="G282" i="4"/>
  <c r="I301" i="4"/>
  <c r="H301" i="4"/>
  <c r="H247" i="4"/>
  <c r="H255" i="4"/>
  <c r="H271" i="4"/>
  <c r="I281" i="4"/>
  <c r="H281" i="4"/>
  <c r="G296" i="4"/>
  <c r="I297" i="4"/>
  <c r="H297" i="4"/>
  <c r="I302" i="4"/>
  <c r="H307" i="4"/>
  <c r="G326" i="4"/>
  <c r="F326" i="4"/>
  <c r="F252" i="4"/>
  <c r="F260" i="4"/>
  <c r="F268" i="4"/>
  <c r="F276" i="4"/>
  <c r="G291" i="4"/>
  <c r="I336" i="4"/>
  <c r="H336" i="4"/>
  <c r="I294" i="4"/>
  <c r="H294" i="4"/>
  <c r="F250" i="4"/>
  <c r="F258" i="4"/>
  <c r="H283" i="4"/>
  <c r="H293" i="4"/>
  <c r="I305" i="4"/>
  <c r="H305" i="4"/>
  <c r="H324" i="4"/>
  <c r="I324" i="4"/>
  <c r="G287" i="4"/>
  <c r="G299" i="4"/>
  <c r="I304" i="4"/>
  <c r="H304" i="4"/>
  <c r="G379" i="4"/>
  <c r="F379" i="4"/>
  <c r="G306" i="4"/>
  <c r="F306" i="4"/>
  <c r="I328" i="4"/>
  <c r="H328" i="4"/>
  <c r="I355" i="4"/>
  <c r="H355" i="4"/>
  <c r="H381" i="4"/>
  <c r="I381" i="4"/>
  <c r="G312" i="4"/>
  <c r="F312" i="4"/>
  <c r="G330" i="4"/>
  <c r="F330" i="4"/>
  <c r="G334" i="4"/>
  <c r="G346" i="4"/>
  <c r="F346" i="4"/>
  <c r="H353" i="4"/>
  <c r="I353" i="4"/>
  <c r="I388" i="4"/>
  <c r="H388" i="4"/>
  <c r="H311" i="4"/>
  <c r="F334" i="4"/>
  <c r="I360" i="4"/>
  <c r="H360" i="4"/>
  <c r="F362" i="4"/>
  <c r="G362" i="4"/>
  <c r="G310" i="4"/>
  <c r="F310" i="4"/>
  <c r="F329" i="4"/>
  <c r="G329" i="4"/>
  <c r="G350" i="4"/>
  <c r="F350" i="4"/>
  <c r="I356" i="4"/>
  <c r="H356" i="4"/>
  <c r="G284" i="4"/>
  <c r="G292" i="4"/>
  <c r="G300" i="4"/>
  <c r="H309" i="4"/>
  <c r="F333" i="4"/>
  <c r="G333" i="4"/>
  <c r="H343" i="4"/>
  <c r="I343" i="4"/>
  <c r="F354" i="4"/>
  <c r="G354" i="4"/>
  <c r="G398" i="4"/>
  <c r="F398" i="4"/>
  <c r="G308" i="4"/>
  <c r="F308" i="4"/>
  <c r="G318" i="4"/>
  <c r="F318" i="4"/>
  <c r="F319" i="4"/>
  <c r="G319" i="4"/>
  <c r="F321" i="4"/>
  <c r="G321" i="4"/>
  <c r="G322" i="4"/>
  <c r="F322" i="4"/>
  <c r="F323" i="4"/>
  <c r="G323" i="4"/>
  <c r="G363" i="4"/>
  <c r="F363" i="4"/>
  <c r="H385" i="4"/>
  <c r="I385" i="4"/>
  <c r="G396" i="4"/>
  <c r="F396" i="4"/>
  <c r="I399" i="4"/>
  <c r="H399" i="4"/>
  <c r="G344" i="4"/>
  <c r="F344" i="4"/>
  <c r="G358" i="4"/>
  <c r="F358" i="4"/>
  <c r="G359" i="4"/>
  <c r="F359" i="4"/>
  <c r="I383" i="4"/>
  <c r="H383" i="4"/>
  <c r="F338" i="4"/>
  <c r="G342" i="4"/>
  <c r="F342" i="4"/>
  <c r="G374" i="4"/>
  <c r="F374" i="4"/>
  <c r="G375" i="4"/>
  <c r="F375" i="4"/>
  <c r="I339" i="4"/>
  <c r="G340" i="4"/>
  <c r="F340" i="4"/>
  <c r="I357" i="4"/>
  <c r="H357" i="4"/>
  <c r="I365" i="4"/>
  <c r="I366" i="4"/>
  <c r="H366" i="4"/>
  <c r="H367" i="4"/>
  <c r="I369" i="4"/>
  <c r="H371" i="4"/>
  <c r="H376" i="4"/>
  <c r="G378" i="4"/>
  <c r="G391" i="4"/>
  <c r="I395" i="4"/>
  <c r="F314" i="4"/>
  <c r="F316" i="4"/>
  <c r="G338" i="4"/>
  <c r="G348" i="4"/>
  <c r="F348" i="4"/>
  <c r="H372" i="4"/>
  <c r="I373" i="4"/>
  <c r="H373" i="4"/>
  <c r="I377" i="4"/>
  <c r="H387" i="4"/>
  <c r="G397" i="4"/>
  <c r="F397" i="4"/>
  <c r="G327" i="4"/>
  <c r="G331" i="4"/>
  <c r="I382" i="4"/>
  <c r="H382" i="4"/>
  <c r="I386" i="4"/>
  <c r="H386" i="4"/>
  <c r="G390" i="4"/>
  <c r="F390" i="4"/>
  <c r="I394" i="4"/>
  <c r="H394" i="4"/>
  <c r="F403" i="4"/>
  <c r="G403" i="4"/>
  <c r="F405" i="4"/>
  <c r="G405" i="4"/>
  <c r="F407" i="4"/>
  <c r="G407" i="4"/>
  <c r="I400" i="4"/>
  <c r="H400" i="4"/>
  <c r="H401" i="4"/>
  <c r="I402" i="4"/>
  <c r="H402" i="4"/>
  <c r="F353" i="4"/>
  <c r="F369" i="4"/>
  <c r="F385" i="4"/>
  <c r="H389" i="4"/>
  <c r="F395" i="4"/>
  <c r="H352" i="4"/>
  <c r="H368" i="4"/>
  <c r="H384" i="4"/>
  <c r="F404" i="4"/>
  <c r="G404" i="4"/>
  <c r="F406" i="4"/>
  <c r="G406" i="4"/>
  <c r="F408" i="4"/>
  <c r="G408" i="4"/>
  <c r="G416" i="4"/>
  <c r="G419" i="4"/>
  <c r="H433" i="4"/>
  <c r="I433" i="4"/>
  <c r="G435" i="4"/>
  <c r="F435" i="4"/>
  <c r="G422" i="4"/>
  <c r="F422" i="4"/>
  <c r="I428" i="4"/>
  <c r="H428" i="4"/>
  <c r="H425" i="4"/>
  <c r="I425" i="4"/>
  <c r="G409" i="4"/>
  <c r="G410" i="4"/>
  <c r="G411" i="4"/>
  <c r="G412" i="4"/>
  <c r="G413" i="4"/>
  <c r="H415" i="4"/>
  <c r="H421" i="4"/>
  <c r="I424" i="4"/>
  <c r="H424" i="4"/>
  <c r="I430" i="4"/>
  <c r="H430" i="4"/>
  <c r="I436" i="4"/>
  <c r="H436" i="4"/>
  <c r="H418" i="4"/>
  <c r="I432" i="4"/>
  <c r="H432" i="4"/>
  <c r="I438" i="4"/>
  <c r="H438" i="4"/>
  <c r="G427" i="4"/>
  <c r="F427" i="4"/>
  <c r="F424" i="4"/>
  <c r="F428" i="4"/>
  <c r="G429" i="4"/>
  <c r="F436" i="4"/>
  <c r="G437" i="4"/>
  <c r="H448" i="4"/>
  <c r="I443" i="4"/>
  <c r="H443" i="4"/>
  <c r="I453" i="4"/>
  <c r="F433" i="4"/>
  <c r="H444" i="4"/>
  <c r="H426" i="4"/>
  <c r="F432" i="4"/>
  <c r="H434" i="4"/>
  <c r="F442" i="4"/>
  <c r="I452" i="4"/>
  <c r="H442" i="4"/>
  <c r="G450" i="4"/>
  <c r="F450" i="4"/>
  <c r="G454" i="4"/>
  <c r="G461" i="4"/>
  <c r="F461" i="4"/>
  <c r="I462" i="4"/>
  <c r="H462" i="4"/>
  <c r="G465" i="4"/>
  <c r="F465" i="4"/>
  <c r="I466" i="4"/>
  <c r="H466" i="4"/>
  <c r="G469" i="4"/>
  <c r="F469" i="4"/>
  <c r="I470" i="4"/>
  <c r="H470" i="4"/>
  <c r="I472" i="4"/>
  <c r="H472" i="4"/>
  <c r="I477" i="4"/>
  <c r="H477" i="4"/>
  <c r="I479" i="4"/>
  <c r="H479" i="4"/>
  <c r="I456" i="4"/>
  <c r="H456" i="4"/>
  <c r="G457" i="4"/>
  <c r="F457" i="4"/>
  <c r="G471" i="4"/>
  <c r="F471" i="4"/>
  <c r="H455" i="4"/>
  <c r="G459" i="4"/>
  <c r="F459" i="4"/>
  <c r="I460" i="4"/>
  <c r="H460" i="4"/>
  <c r="G463" i="4"/>
  <c r="F463" i="4"/>
  <c r="I464" i="4"/>
  <c r="H464" i="4"/>
  <c r="G467" i="4"/>
  <c r="F467" i="4"/>
  <c r="I468" i="4"/>
  <c r="H468" i="4"/>
  <c r="G473" i="4"/>
  <c r="F473" i="4"/>
  <c r="H475" i="4"/>
  <c r="G494" i="4"/>
  <c r="F494" i="4"/>
  <c r="H445" i="4"/>
  <c r="F451" i="4"/>
  <c r="I480" i="4"/>
  <c r="H480" i="4"/>
  <c r="G486" i="4"/>
  <c r="F486" i="4"/>
  <c r="G484" i="4"/>
  <c r="F484" i="4"/>
  <c r="G496" i="4"/>
  <c r="F496" i="4"/>
  <c r="G474" i="4"/>
  <c r="I482" i="4"/>
  <c r="G492" i="4"/>
  <c r="F492" i="4"/>
  <c r="I501" i="4"/>
  <c r="H501" i="4"/>
  <c r="I512" i="4"/>
  <c r="H512" i="4"/>
  <c r="G476" i="4"/>
  <c r="H485" i="4"/>
  <c r="G490" i="4"/>
  <c r="F490" i="4"/>
  <c r="H493" i="4"/>
  <c r="F475" i="4"/>
  <c r="I478" i="4"/>
  <c r="H478" i="4"/>
  <c r="G488" i="4"/>
  <c r="F488" i="4"/>
  <c r="I495" i="4"/>
  <c r="H495" i="4"/>
  <c r="I497" i="4"/>
  <c r="H497" i="4"/>
  <c r="F498" i="4"/>
  <c r="F500" i="4"/>
  <c r="G511" i="4"/>
  <c r="F514" i="4"/>
  <c r="F515" i="4"/>
  <c r="G518" i="4"/>
  <c r="F518" i="4"/>
  <c r="G498" i="4"/>
  <c r="G500" i="4"/>
  <c r="F501" i="4"/>
  <c r="G513" i="4"/>
  <c r="G514" i="4"/>
  <c r="G515" i="4"/>
  <c r="I522" i="4"/>
  <c r="H522" i="4"/>
  <c r="I528" i="4"/>
  <c r="H528" i="4"/>
  <c r="I505" i="4"/>
  <c r="H505" i="4"/>
  <c r="I517" i="4"/>
  <c r="H517" i="4"/>
  <c r="I520" i="4"/>
  <c r="H520" i="4"/>
  <c r="H499" i="4"/>
  <c r="I507" i="4"/>
  <c r="H507" i="4"/>
  <c r="F516" i="4"/>
  <c r="H502" i="4"/>
  <c r="H508" i="4"/>
  <c r="I509" i="4"/>
  <c r="H509" i="4"/>
  <c r="G510" i="4"/>
  <c r="F512" i="4"/>
  <c r="G516" i="4"/>
  <c r="I524" i="4"/>
  <c r="H524" i="4"/>
  <c r="I530" i="4"/>
  <c r="H530" i="4"/>
  <c r="F517" i="4"/>
  <c r="I527" i="4"/>
  <c r="G529" i="4"/>
  <c r="F536" i="4"/>
  <c r="I537" i="4"/>
  <c r="H537" i="4"/>
  <c r="H542" i="4"/>
  <c r="I542" i="4"/>
  <c r="I543" i="4"/>
  <c r="H543" i="4"/>
  <c r="I559" i="4"/>
  <c r="H559" i="4"/>
  <c r="H519" i="4"/>
  <c r="H521" i="4"/>
  <c r="H523" i="4"/>
  <c r="H525" i="4"/>
  <c r="G536" i="4"/>
  <c r="H548" i="4"/>
  <c r="I548" i="4"/>
  <c r="I526" i="4"/>
  <c r="H526" i="4"/>
  <c r="G533" i="4"/>
  <c r="F533" i="4"/>
  <c r="G538" i="4"/>
  <c r="F538" i="4"/>
  <c r="F542" i="4"/>
  <c r="H560" i="4"/>
  <c r="I560" i="4"/>
  <c r="F520" i="4"/>
  <c r="F522" i="4"/>
  <c r="F524" i="4"/>
  <c r="F528" i="4"/>
  <c r="I549" i="4"/>
  <c r="H549" i="4"/>
  <c r="I553" i="4"/>
  <c r="H553" i="4"/>
  <c r="I563" i="4"/>
  <c r="H563" i="4"/>
  <c r="H539" i="4"/>
  <c r="G544" i="4"/>
  <c r="F544" i="4"/>
  <c r="H554" i="4"/>
  <c r="I554" i="4"/>
  <c r="H564" i="4"/>
  <c r="I564" i="4"/>
  <c r="F543" i="4"/>
  <c r="H547" i="4"/>
  <c r="F548" i="4"/>
  <c r="I552" i="4"/>
  <c r="G558" i="4"/>
  <c r="F559" i="4"/>
  <c r="F564" i="4"/>
  <c r="F549" i="4"/>
  <c r="F554" i="4"/>
  <c r="F560" i="4"/>
  <c r="G566" i="4"/>
  <c r="F566" i="4"/>
  <c r="H561" i="4"/>
  <c r="F563" i="4"/>
  <c r="I562" i="4"/>
  <c r="P6" i="3"/>
  <c r="Q6" i="3" s="1"/>
  <c r="R5" i="3"/>
  <c r="R4" i="3"/>
  <c r="N23" i="3"/>
  <c r="N15" i="3"/>
  <c r="N79" i="3"/>
  <c r="N71" i="3"/>
  <c r="N63" i="3"/>
  <c r="N55" i="3"/>
  <c r="N47" i="3"/>
  <c r="N39" i="3"/>
  <c r="N31" i="3"/>
  <c r="M23" i="3"/>
  <c r="M15" i="3"/>
  <c r="M7" i="3"/>
  <c r="N7" i="3" s="1"/>
  <c r="N78" i="3"/>
  <c r="N70" i="3"/>
  <c r="N62" i="3"/>
  <c r="N54" i="3"/>
  <c r="N46" i="3"/>
  <c r="N38" i="3"/>
  <c r="N30" i="3"/>
  <c r="N22" i="3"/>
  <c r="N14" i="3"/>
  <c r="N6" i="3"/>
  <c r="N72" i="3"/>
  <c r="N61" i="3"/>
  <c r="N53" i="3"/>
  <c r="N45" i="3"/>
  <c r="N37" i="3"/>
  <c r="N29" i="3"/>
  <c r="N21" i="3"/>
  <c r="N13" i="3"/>
  <c r="N5" i="3"/>
  <c r="G42" i="3"/>
  <c r="H42" i="3" s="1"/>
  <c r="E61" i="3"/>
  <c r="E62" i="3" s="1"/>
  <c r="E63" i="3" s="1"/>
  <c r="E64" i="3" s="1"/>
  <c r="E65" i="3" s="1"/>
  <c r="E66" i="3" s="1"/>
  <c r="E67" i="3" s="1"/>
  <c r="C78" i="3"/>
  <c r="C79" i="3" s="1"/>
  <c r="C80" i="3" s="1"/>
  <c r="E24" i="3"/>
  <c r="G16" i="3"/>
  <c r="I16" i="3" s="1"/>
  <c r="E48" i="3"/>
  <c r="E49" i="3" s="1"/>
  <c r="E50" i="3" s="1"/>
  <c r="G8" i="3"/>
  <c r="E72" i="3"/>
  <c r="F25" i="3"/>
  <c r="F57" i="3"/>
  <c r="F73" i="3"/>
  <c r="F71" i="3"/>
  <c r="E79" i="3"/>
  <c r="E39" i="3"/>
  <c r="E40" i="3" s="1"/>
  <c r="E41" i="3" s="1"/>
  <c r="E42" i="3" s="1"/>
  <c r="E43" i="3" s="1"/>
  <c r="I77" i="3"/>
  <c r="H77" i="3"/>
  <c r="H69" i="3"/>
  <c r="I69" i="3"/>
  <c r="H61" i="3"/>
  <c r="I61" i="3"/>
  <c r="J61" i="3" s="1"/>
  <c r="G75" i="3"/>
  <c r="H75" i="3" s="1"/>
  <c r="H45" i="3"/>
  <c r="J45" i="3" s="1"/>
  <c r="H37" i="3"/>
  <c r="J37" i="3" s="1"/>
  <c r="H29" i="3"/>
  <c r="J29" i="3" s="1"/>
  <c r="E4" i="3"/>
  <c r="E5" i="3" s="1"/>
  <c r="E6" i="3" s="1"/>
  <c r="E7" i="3" s="1"/>
  <c r="G59" i="3"/>
  <c r="H59" i="3" s="1"/>
  <c r="I67" i="3"/>
  <c r="J67" i="3" s="1"/>
  <c r="I43" i="3"/>
  <c r="J43" i="3" s="1"/>
  <c r="I27" i="3"/>
  <c r="J27" i="3" s="1"/>
  <c r="I3" i="3"/>
  <c r="H3" i="3"/>
  <c r="I52" i="3"/>
  <c r="J52" i="3" s="1"/>
  <c r="I28" i="3"/>
  <c r="J28" i="3" s="1"/>
  <c r="I74" i="3"/>
  <c r="J74" i="3" s="1"/>
  <c r="I66" i="3"/>
  <c r="J66" i="3" s="1"/>
  <c r="I58" i="3"/>
  <c r="J58" i="3" s="1"/>
  <c r="I50" i="3"/>
  <c r="J50" i="3" s="1"/>
  <c r="I42" i="3"/>
  <c r="J42" i="3" s="1"/>
  <c r="I34" i="3"/>
  <c r="J34" i="3" s="1"/>
  <c r="I26" i="3"/>
  <c r="J26" i="3" s="1"/>
  <c r="I68" i="3"/>
  <c r="J68" i="3" s="1"/>
  <c r="I65" i="3"/>
  <c r="J65" i="3" s="1"/>
  <c r="I57" i="3"/>
  <c r="J57" i="3" s="1"/>
  <c r="I49" i="3"/>
  <c r="J49" i="3" s="1"/>
  <c r="I41" i="3"/>
  <c r="J41" i="3" s="1"/>
  <c r="I25" i="3"/>
  <c r="J25" i="3" s="1"/>
  <c r="I76" i="3"/>
  <c r="J76" i="3" s="1"/>
  <c r="I80" i="3"/>
  <c r="J80" i="3" s="1"/>
  <c r="I72" i="3"/>
  <c r="J72" i="3" s="1"/>
  <c r="I64" i="3"/>
  <c r="J64" i="3" s="1"/>
  <c r="I56" i="3"/>
  <c r="J56" i="3" s="1"/>
  <c r="I48" i="3"/>
  <c r="J48" i="3" s="1"/>
  <c r="I40" i="3"/>
  <c r="J40" i="3" s="1"/>
  <c r="I32" i="3"/>
  <c r="J32" i="3" s="1"/>
  <c r="I24" i="3"/>
  <c r="J24" i="3" s="1"/>
  <c r="I8" i="3"/>
  <c r="H8" i="3"/>
  <c r="J8" i="3" s="1"/>
  <c r="I36" i="3"/>
  <c r="J36" i="3" s="1"/>
  <c r="I79" i="3"/>
  <c r="J79" i="3" s="1"/>
  <c r="I71" i="3"/>
  <c r="J71" i="3" s="1"/>
  <c r="I63" i="3"/>
  <c r="J63" i="3" s="1"/>
  <c r="I55" i="3"/>
  <c r="J55" i="3" s="1"/>
  <c r="I47" i="3"/>
  <c r="J47" i="3" s="1"/>
  <c r="I39" i="3"/>
  <c r="J39" i="3" s="1"/>
  <c r="I31" i="3"/>
  <c r="J31" i="3" s="1"/>
  <c r="I23" i="3"/>
  <c r="J23" i="3" s="1"/>
  <c r="I15" i="3"/>
  <c r="H15" i="3"/>
  <c r="I7" i="3"/>
  <c r="H7" i="3"/>
  <c r="I78" i="3"/>
  <c r="J78" i="3" s="1"/>
  <c r="I70" i="3"/>
  <c r="J70" i="3" s="1"/>
  <c r="I62" i="3"/>
  <c r="J62" i="3" s="1"/>
  <c r="I54" i="3"/>
  <c r="J54" i="3" s="1"/>
  <c r="I46" i="3"/>
  <c r="J46" i="3" s="1"/>
  <c r="I38" i="3"/>
  <c r="J38" i="3" s="1"/>
  <c r="I30" i="3"/>
  <c r="J30" i="3" s="1"/>
  <c r="I22" i="3"/>
  <c r="J22" i="3" s="1"/>
  <c r="I14" i="3"/>
  <c r="H14" i="3"/>
  <c r="J14" i="3" s="1"/>
  <c r="I6" i="3"/>
  <c r="H6" i="3"/>
  <c r="J6" i="3" s="1"/>
  <c r="G20" i="3"/>
  <c r="C71" i="3"/>
  <c r="C72" i="3" s="1"/>
  <c r="F72" i="3" s="1"/>
  <c r="C3" i="3"/>
  <c r="C4" i="3" s="1"/>
  <c r="C5" i="3" s="1"/>
  <c r="C6" i="3" s="1"/>
  <c r="C7" i="3" s="1"/>
  <c r="F68" i="3"/>
  <c r="F38" i="3"/>
  <c r="F23" i="3"/>
  <c r="F14" i="3"/>
  <c r="G51" i="3"/>
  <c r="H51" i="3" s="1"/>
  <c r="G35" i="3"/>
  <c r="H35" i="3" s="1"/>
  <c r="G19" i="3"/>
  <c r="G11" i="3"/>
  <c r="G44" i="3"/>
  <c r="H44" i="3" s="1"/>
  <c r="G12" i="3"/>
  <c r="C60" i="3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E9" i="3"/>
  <c r="E10" i="3" s="1"/>
  <c r="E11" i="3" s="1"/>
  <c r="E12" i="3" s="1"/>
  <c r="E13" i="3" s="1"/>
  <c r="F80" i="3"/>
  <c r="F66" i="3"/>
  <c r="F22" i="3"/>
  <c r="H5" i="3"/>
  <c r="J5" i="3" s="1"/>
  <c r="G18" i="3"/>
  <c r="G10" i="3"/>
  <c r="C8" i="3"/>
  <c r="C9" i="3" s="1"/>
  <c r="C10" i="3" s="1"/>
  <c r="C11" i="3" s="1"/>
  <c r="C12" i="3" s="1"/>
  <c r="C13" i="3" s="1"/>
  <c r="C14" i="3" s="1"/>
  <c r="C15" i="3" s="1"/>
  <c r="C47" i="3"/>
  <c r="C48" i="3" s="1"/>
  <c r="C49" i="3" s="1"/>
  <c r="C50" i="3" s="1"/>
  <c r="F78" i="3"/>
  <c r="F64" i="3"/>
  <c r="F49" i="3"/>
  <c r="G33" i="3"/>
  <c r="H33" i="3" s="1"/>
  <c r="G17" i="3"/>
  <c r="G9" i="3"/>
  <c r="F62" i="3"/>
  <c r="F47" i="3"/>
  <c r="F3" i="3"/>
  <c r="H13" i="3"/>
  <c r="J13" i="3" s="1"/>
  <c r="I53" i="3"/>
  <c r="J53" i="3" s="1"/>
  <c r="I21" i="3"/>
  <c r="J21" i="3" s="1"/>
  <c r="F46" i="3"/>
  <c r="F31" i="3"/>
  <c r="C38" i="3"/>
  <c r="C39" i="3" s="1"/>
  <c r="H4" i="3"/>
  <c r="J4" i="3" s="1"/>
  <c r="C73" i="3"/>
  <c r="C74" i="3" s="1"/>
  <c r="C25" i="3"/>
  <c r="C26" i="3" s="1"/>
  <c r="F24" i="3"/>
  <c r="E25" i="3"/>
  <c r="E26" i="3" s="1"/>
  <c r="E73" i="3"/>
  <c r="E74" i="3" s="1"/>
  <c r="I14" i="7" l="1"/>
  <c r="H74" i="7"/>
  <c r="I74" i="7"/>
  <c r="H82" i="7"/>
  <c r="I82" i="7"/>
  <c r="H66" i="7"/>
  <c r="I66" i="7"/>
  <c r="H20" i="7"/>
  <c r="I20" i="7"/>
  <c r="H48" i="7"/>
  <c r="I48" i="7"/>
  <c r="H68" i="7"/>
  <c r="H12" i="7"/>
  <c r="I12" i="7"/>
  <c r="I520" i="7"/>
  <c r="H520" i="7"/>
  <c r="I454" i="7"/>
  <c r="H454" i="7"/>
  <c r="H438" i="7"/>
  <c r="I438" i="7"/>
  <c r="I446" i="7"/>
  <c r="H446" i="7"/>
  <c r="I432" i="7"/>
  <c r="H432" i="7"/>
  <c r="I412" i="7"/>
  <c r="H412" i="7"/>
  <c r="I370" i="7"/>
  <c r="H370" i="7"/>
  <c r="I334" i="7"/>
  <c r="H334" i="7"/>
  <c r="I305" i="7"/>
  <c r="H305" i="7"/>
  <c r="I270" i="7"/>
  <c r="H270" i="7"/>
  <c r="H261" i="7"/>
  <c r="I261" i="7"/>
  <c r="I214" i="7"/>
  <c r="H214" i="7"/>
  <c r="I102" i="7"/>
  <c r="H102" i="7"/>
  <c r="I18" i="7"/>
  <c r="H18" i="7"/>
  <c r="I553" i="7"/>
  <c r="H553" i="7"/>
  <c r="I437" i="7"/>
  <c r="H437" i="7"/>
  <c r="H354" i="7"/>
  <c r="I354" i="7"/>
  <c r="I344" i="7"/>
  <c r="H344" i="7"/>
  <c r="I331" i="7"/>
  <c r="H331" i="7"/>
  <c r="H307" i="7"/>
  <c r="I307" i="7"/>
  <c r="H176" i="7"/>
  <c r="I176" i="7"/>
  <c r="I174" i="7"/>
  <c r="H174" i="7"/>
  <c r="I160" i="7"/>
  <c r="H160" i="7"/>
  <c r="I152" i="7"/>
  <c r="H152" i="7"/>
  <c r="I112" i="7"/>
  <c r="H112" i="7"/>
  <c r="I137" i="7"/>
  <c r="H137" i="7"/>
  <c r="I10" i="7"/>
  <c r="H10" i="7"/>
  <c r="I24" i="7"/>
  <c r="H24" i="7"/>
  <c r="I511" i="7"/>
  <c r="H511" i="7"/>
  <c r="I463" i="7"/>
  <c r="H463" i="7"/>
  <c r="I477" i="7"/>
  <c r="H477" i="7"/>
  <c r="H486" i="7"/>
  <c r="I486" i="7"/>
  <c r="H430" i="7"/>
  <c r="I430" i="7"/>
  <c r="I428" i="7"/>
  <c r="H428" i="7"/>
  <c r="I326" i="7"/>
  <c r="H326" i="7"/>
  <c r="H346" i="7"/>
  <c r="I346" i="7"/>
  <c r="I262" i="7"/>
  <c r="H262" i="7"/>
  <c r="I283" i="7"/>
  <c r="H283" i="7"/>
  <c r="H184" i="7"/>
  <c r="I184" i="7"/>
  <c r="I198" i="7"/>
  <c r="H198" i="7"/>
  <c r="I129" i="7"/>
  <c r="H129" i="7"/>
  <c r="I86" i="7"/>
  <c r="H86" i="7"/>
  <c r="H72" i="7"/>
  <c r="I72" i="7"/>
  <c r="H478" i="7"/>
  <c r="I478" i="7"/>
  <c r="I404" i="7"/>
  <c r="H404" i="7"/>
  <c r="I390" i="7"/>
  <c r="H390" i="7"/>
  <c r="I386" i="7"/>
  <c r="H386" i="7"/>
  <c r="H237" i="7"/>
  <c r="I237" i="7"/>
  <c r="I259" i="7"/>
  <c r="H259" i="7"/>
  <c r="I243" i="7"/>
  <c r="H243" i="7"/>
  <c r="I233" i="7"/>
  <c r="H233" i="7"/>
  <c r="I168" i="7"/>
  <c r="H168" i="7"/>
  <c r="I104" i="7"/>
  <c r="H104" i="7"/>
  <c r="I110" i="7"/>
  <c r="H110" i="7"/>
  <c r="I70" i="7"/>
  <c r="H70" i="7"/>
  <c r="I532" i="7"/>
  <c r="H532" i="7"/>
  <c r="I545" i="7"/>
  <c r="H545" i="7"/>
  <c r="I503" i="7"/>
  <c r="H503" i="7"/>
  <c r="I485" i="7"/>
  <c r="H485" i="7"/>
  <c r="H462" i="7"/>
  <c r="I462" i="7"/>
  <c r="I436" i="7"/>
  <c r="H436" i="7"/>
  <c r="I402" i="7"/>
  <c r="H402" i="7"/>
  <c r="H348" i="7"/>
  <c r="I348" i="7"/>
  <c r="H362" i="7"/>
  <c r="I362" i="7"/>
  <c r="I318" i="7"/>
  <c r="H318" i="7"/>
  <c r="I286" i="7"/>
  <c r="H286" i="7"/>
  <c r="I254" i="7"/>
  <c r="H254" i="7"/>
  <c r="I295" i="7"/>
  <c r="H295" i="7"/>
  <c r="H253" i="7"/>
  <c r="I253" i="7"/>
  <c r="I45" i="7"/>
  <c r="H45" i="7"/>
  <c r="I32" i="7"/>
  <c r="H32" i="7"/>
  <c r="I502" i="7"/>
  <c r="H502" i="7"/>
  <c r="H470" i="7"/>
  <c r="I470" i="7"/>
  <c r="I468" i="7"/>
  <c r="H468" i="7"/>
  <c r="I378" i="7"/>
  <c r="H378" i="7"/>
  <c r="I275" i="7"/>
  <c r="H275" i="7"/>
  <c r="I206" i="7"/>
  <c r="H206" i="7"/>
  <c r="I225" i="7"/>
  <c r="H225" i="7"/>
  <c r="I202" i="7"/>
  <c r="H202" i="7"/>
  <c r="I186" i="7"/>
  <c r="H186" i="7"/>
  <c r="H178" i="7"/>
  <c r="I178" i="7"/>
  <c r="I123" i="7"/>
  <c r="H123" i="7"/>
  <c r="I139" i="7"/>
  <c r="H139" i="7"/>
  <c r="I96" i="7"/>
  <c r="H96" i="7"/>
  <c r="I144" i="7"/>
  <c r="H144" i="7"/>
  <c r="I131" i="7"/>
  <c r="H131" i="7"/>
  <c r="I94" i="7"/>
  <c r="H94" i="7"/>
  <c r="I80" i="7"/>
  <c r="H80" i="7"/>
  <c r="I42" i="7"/>
  <c r="H42" i="7"/>
  <c r="I561" i="7"/>
  <c r="H561" i="7"/>
  <c r="I524" i="7"/>
  <c r="H524" i="7"/>
  <c r="I512" i="7"/>
  <c r="H512" i="7"/>
  <c r="I504" i="7"/>
  <c r="H504" i="7"/>
  <c r="I469" i="7"/>
  <c r="H469" i="7"/>
  <c r="I420" i="7"/>
  <c r="H420" i="7"/>
  <c r="I278" i="7"/>
  <c r="H278" i="7"/>
  <c r="I246" i="7"/>
  <c r="H246" i="7"/>
  <c r="I166" i="7"/>
  <c r="H166" i="7"/>
  <c r="H156" i="7"/>
  <c r="I156" i="7"/>
  <c r="I118" i="7"/>
  <c r="H118" i="7"/>
  <c r="I52" i="7"/>
  <c r="H52" i="7"/>
  <c r="H62" i="7"/>
  <c r="I62" i="7"/>
  <c r="I34" i="7"/>
  <c r="H34" i="7"/>
  <c r="I16" i="7"/>
  <c r="H16" i="7"/>
  <c r="H494" i="7"/>
  <c r="I494" i="7"/>
  <c r="I519" i="7"/>
  <c r="H519" i="7"/>
  <c r="I453" i="7"/>
  <c r="H453" i="7"/>
  <c r="I445" i="7"/>
  <c r="H445" i="7"/>
  <c r="H396" i="7"/>
  <c r="I396" i="7"/>
  <c r="I352" i="7"/>
  <c r="H352" i="7"/>
  <c r="I360" i="7"/>
  <c r="H360" i="7"/>
  <c r="I297" i="7"/>
  <c r="H297" i="7"/>
  <c r="H245" i="7"/>
  <c r="I245" i="7"/>
  <c r="I267" i="7"/>
  <c r="H267" i="7"/>
  <c r="I251" i="7"/>
  <c r="H251" i="7"/>
  <c r="I218" i="7"/>
  <c r="H218" i="7"/>
  <c r="I190" i="7"/>
  <c r="H190" i="7"/>
  <c r="I120" i="7"/>
  <c r="H120" i="7"/>
  <c r="I88" i="7"/>
  <c r="H88" i="7"/>
  <c r="I78" i="7"/>
  <c r="H78" i="7"/>
  <c r="I26" i="7"/>
  <c r="H26" i="7"/>
  <c r="I40" i="7"/>
  <c r="H40" i="7"/>
  <c r="I23" i="5"/>
  <c r="H23" i="5"/>
  <c r="I30" i="5"/>
  <c r="H30" i="5"/>
  <c r="H14" i="5"/>
  <c r="I14" i="5"/>
  <c r="I105" i="5"/>
  <c r="H105" i="5"/>
  <c r="H501" i="5"/>
  <c r="I501" i="5"/>
  <c r="I431" i="5"/>
  <c r="H431" i="5"/>
  <c r="H324" i="5"/>
  <c r="I324" i="5"/>
  <c r="H213" i="5"/>
  <c r="I213" i="5"/>
  <c r="I523" i="5"/>
  <c r="H523" i="5"/>
  <c r="I518" i="5"/>
  <c r="H518" i="5"/>
  <c r="I552" i="5"/>
  <c r="H552" i="5"/>
  <c r="I514" i="5"/>
  <c r="H514" i="5"/>
  <c r="I446" i="5"/>
  <c r="H446" i="5"/>
  <c r="H348" i="5"/>
  <c r="I348" i="5"/>
  <c r="I346" i="5"/>
  <c r="H346" i="5"/>
  <c r="I137" i="5"/>
  <c r="H137" i="5"/>
  <c r="I293" i="5"/>
  <c r="H293" i="5"/>
  <c r="I330" i="5"/>
  <c r="H330" i="5"/>
  <c r="I560" i="5"/>
  <c r="H560" i="5"/>
  <c r="I379" i="5"/>
  <c r="H379" i="5"/>
  <c r="I268" i="5"/>
  <c r="H268" i="5"/>
  <c r="I377" i="5"/>
  <c r="H377" i="5"/>
  <c r="I129" i="5"/>
  <c r="H129" i="5"/>
  <c r="H430" i="5"/>
  <c r="I430" i="5"/>
  <c r="I540" i="5"/>
  <c r="H540" i="5"/>
  <c r="I175" i="5"/>
  <c r="H175" i="5"/>
  <c r="I110" i="5"/>
  <c r="H110" i="5"/>
  <c r="I338" i="5"/>
  <c r="H338" i="5"/>
  <c r="I102" i="5"/>
  <c r="H102" i="5"/>
  <c r="I528" i="5"/>
  <c r="H528" i="5"/>
  <c r="H387" i="5"/>
  <c r="I387" i="5"/>
  <c r="I167" i="5"/>
  <c r="H167" i="5"/>
  <c r="I448" i="5"/>
  <c r="H448" i="5"/>
  <c r="I285" i="5"/>
  <c r="H285" i="5"/>
  <c r="I173" i="5"/>
  <c r="H173" i="5"/>
  <c r="I35" i="5"/>
  <c r="H35" i="5"/>
  <c r="I59" i="5"/>
  <c r="H59" i="5"/>
  <c r="I83" i="5"/>
  <c r="H83" i="5"/>
  <c r="I159" i="5"/>
  <c r="H159" i="5"/>
  <c r="I544" i="5"/>
  <c r="H544" i="5"/>
  <c r="H519" i="5"/>
  <c r="I519" i="5"/>
  <c r="I477" i="5"/>
  <c r="H477" i="5"/>
  <c r="I505" i="5"/>
  <c r="H505" i="5"/>
  <c r="I440" i="5"/>
  <c r="H440" i="5"/>
  <c r="I463" i="5"/>
  <c r="H463" i="5"/>
  <c r="I494" i="5"/>
  <c r="H494" i="5"/>
  <c r="I423" i="5"/>
  <c r="H423" i="5"/>
  <c r="I314" i="5"/>
  <c r="H314" i="5"/>
  <c r="I376" i="5"/>
  <c r="H376" i="5"/>
  <c r="I331" i="5"/>
  <c r="H331" i="5"/>
  <c r="I369" i="5"/>
  <c r="H369" i="5"/>
  <c r="I277" i="5"/>
  <c r="H277" i="5"/>
  <c r="I362" i="5"/>
  <c r="H362" i="5"/>
  <c r="I339" i="5"/>
  <c r="H339" i="5"/>
  <c r="I143" i="5"/>
  <c r="H143" i="5"/>
  <c r="I135" i="5"/>
  <c r="H135" i="5"/>
  <c r="I151" i="5"/>
  <c r="H151" i="5"/>
  <c r="I68" i="5"/>
  <c r="H68" i="5"/>
  <c r="I12" i="5"/>
  <c r="H12" i="5"/>
  <c r="I27" i="5"/>
  <c r="H27" i="5"/>
  <c r="H538" i="5"/>
  <c r="I538" i="5"/>
  <c r="H554" i="5"/>
  <c r="I554" i="5"/>
  <c r="H546" i="5"/>
  <c r="I546" i="5"/>
  <c r="I500" i="5"/>
  <c r="H500" i="5"/>
  <c r="I488" i="5"/>
  <c r="H488" i="5"/>
  <c r="H473" i="5"/>
  <c r="I473" i="5"/>
  <c r="I469" i="5"/>
  <c r="H469" i="5"/>
  <c r="H439" i="5"/>
  <c r="I439" i="5"/>
  <c r="I391" i="5"/>
  <c r="H391" i="5"/>
  <c r="I429" i="5"/>
  <c r="H429" i="5"/>
  <c r="I392" i="5"/>
  <c r="H392" i="5"/>
  <c r="H308" i="5"/>
  <c r="I308" i="5"/>
  <c r="I371" i="5"/>
  <c r="H371" i="5"/>
  <c r="H340" i="5"/>
  <c r="I340" i="5"/>
  <c r="H299" i="5"/>
  <c r="I299" i="5"/>
  <c r="H254" i="5"/>
  <c r="I254" i="5"/>
  <c r="H153" i="5"/>
  <c r="I153" i="5"/>
  <c r="I113" i="5"/>
  <c r="H113" i="5"/>
  <c r="I235" i="5"/>
  <c r="H235" i="5"/>
  <c r="I127" i="5"/>
  <c r="H127" i="5"/>
  <c r="R10" i="5"/>
  <c r="J10" i="5"/>
  <c r="H145" i="5"/>
  <c r="I145" i="5"/>
  <c r="I11" i="5"/>
  <c r="H11" i="5"/>
  <c r="I28" i="5"/>
  <c r="H28" i="5"/>
  <c r="I52" i="5"/>
  <c r="H52" i="5"/>
  <c r="I521" i="5"/>
  <c r="H521" i="5"/>
  <c r="I489" i="5"/>
  <c r="H489" i="5"/>
  <c r="H479" i="5"/>
  <c r="I479" i="5"/>
  <c r="H405" i="5"/>
  <c r="I405" i="5"/>
  <c r="I416" i="5"/>
  <c r="H416" i="5"/>
  <c r="I409" i="5"/>
  <c r="H409" i="5"/>
  <c r="H294" i="5"/>
  <c r="I294" i="5"/>
  <c r="I261" i="5"/>
  <c r="H261" i="5"/>
  <c r="H270" i="5"/>
  <c r="I270" i="5"/>
  <c r="I260" i="5"/>
  <c r="H260" i="5"/>
  <c r="H239" i="5"/>
  <c r="I239" i="5"/>
  <c r="I318" i="5"/>
  <c r="H318" i="5"/>
  <c r="I144" i="5"/>
  <c r="H144" i="5"/>
  <c r="I188" i="5"/>
  <c r="H188" i="5"/>
  <c r="I152" i="5"/>
  <c r="H152" i="5"/>
  <c r="I51" i="5"/>
  <c r="H51" i="5"/>
  <c r="I99" i="5"/>
  <c r="H99" i="5"/>
  <c r="I243" i="5"/>
  <c r="H243" i="5"/>
  <c r="I84" i="5"/>
  <c r="H84" i="5"/>
  <c r="H510" i="5"/>
  <c r="I510" i="5"/>
  <c r="H378" i="5"/>
  <c r="I378" i="5"/>
  <c r="I302" i="5"/>
  <c r="H302" i="5"/>
  <c r="H332" i="5"/>
  <c r="I332" i="5"/>
  <c r="I355" i="5"/>
  <c r="H355" i="5"/>
  <c r="I284" i="5"/>
  <c r="H284" i="5"/>
  <c r="I276" i="5"/>
  <c r="H276" i="5"/>
  <c r="I246" i="5"/>
  <c r="H246" i="5"/>
  <c r="H221" i="5"/>
  <c r="I221" i="5"/>
  <c r="H181" i="5"/>
  <c r="I181" i="5"/>
  <c r="I187" i="5"/>
  <c r="H187" i="5"/>
  <c r="I95" i="5"/>
  <c r="H95" i="5"/>
  <c r="H128" i="5"/>
  <c r="I128" i="5"/>
  <c r="I183" i="5"/>
  <c r="H183" i="5"/>
  <c r="I115" i="5"/>
  <c r="H115" i="5"/>
  <c r="I60" i="5"/>
  <c r="H60" i="5"/>
  <c r="H455" i="5"/>
  <c r="I455" i="5"/>
  <c r="H530" i="5"/>
  <c r="I530" i="5"/>
  <c r="I532" i="5"/>
  <c r="H532" i="5"/>
  <c r="H487" i="5"/>
  <c r="I487" i="5"/>
  <c r="I414" i="5"/>
  <c r="H414" i="5"/>
  <c r="I456" i="5"/>
  <c r="H456" i="5"/>
  <c r="I562" i="5"/>
  <c r="H562" i="5"/>
  <c r="I449" i="5"/>
  <c r="H449" i="5"/>
  <c r="H390" i="5"/>
  <c r="I390" i="5"/>
  <c r="I412" i="5"/>
  <c r="H412" i="5"/>
  <c r="I300" i="5"/>
  <c r="H300" i="5"/>
  <c r="H286" i="5"/>
  <c r="I286" i="5"/>
  <c r="I354" i="5"/>
  <c r="H354" i="5"/>
  <c r="I323" i="5"/>
  <c r="H323" i="5"/>
  <c r="I306" i="5"/>
  <c r="H306" i="5"/>
  <c r="H207" i="5"/>
  <c r="I207" i="5"/>
  <c r="I269" i="5"/>
  <c r="H269" i="5"/>
  <c r="H205" i="5"/>
  <c r="I205" i="5"/>
  <c r="H161" i="5"/>
  <c r="I161" i="5"/>
  <c r="H262" i="5"/>
  <c r="I262" i="5"/>
  <c r="H237" i="5"/>
  <c r="I237" i="5"/>
  <c r="I19" i="5"/>
  <c r="H19" i="5"/>
  <c r="I36" i="5"/>
  <c r="H36" i="5"/>
  <c r="I75" i="5"/>
  <c r="H75" i="5"/>
  <c r="I471" i="5"/>
  <c r="H471" i="5"/>
  <c r="I453" i="5"/>
  <c r="H453" i="5"/>
  <c r="I425" i="5"/>
  <c r="H425" i="5"/>
  <c r="H356" i="5"/>
  <c r="I356" i="5"/>
  <c r="I509" i="5"/>
  <c r="H509" i="5"/>
  <c r="I493" i="5"/>
  <c r="H493" i="5"/>
  <c r="H447" i="5"/>
  <c r="I447" i="5"/>
  <c r="I428" i="5"/>
  <c r="H428" i="5"/>
  <c r="I366" i="5"/>
  <c r="H366" i="5"/>
  <c r="I316" i="5"/>
  <c r="H316" i="5"/>
  <c r="I313" i="5"/>
  <c r="H313" i="5"/>
  <c r="I347" i="5"/>
  <c r="H347" i="5"/>
  <c r="I248" i="5"/>
  <c r="H248" i="5"/>
  <c r="H229" i="5"/>
  <c r="I229" i="5"/>
  <c r="H278" i="5"/>
  <c r="I278" i="5"/>
  <c r="I292" i="5"/>
  <c r="H292" i="5"/>
  <c r="H189" i="5"/>
  <c r="I189" i="5"/>
  <c r="I160" i="5"/>
  <c r="H160" i="5"/>
  <c r="H136" i="5"/>
  <c r="I136" i="5"/>
  <c r="I170" i="5"/>
  <c r="H170" i="5"/>
  <c r="H197" i="5"/>
  <c r="I197" i="5"/>
  <c r="I121" i="5"/>
  <c r="H121" i="5"/>
  <c r="I126" i="5"/>
  <c r="H126" i="5"/>
  <c r="I179" i="5"/>
  <c r="H179" i="5"/>
  <c r="I76" i="5"/>
  <c r="H76" i="5"/>
  <c r="H96" i="5"/>
  <c r="I96" i="5"/>
  <c r="I20" i="5"/>
  <c r="H20" i="5"/>
  <c r="I43" i="5"/>
  <c r="H43" i="5"/>
  <c r="I44" i="5"/>
  <c r="H44" i="5"/>
  <c r="I67" i="5"/>
  <c r="H67" i="5"/>
  <c r="I504" i="4"/>
  <c r="H504" i="4"/>
  <c r="I156" i="4"/>
  <c r="H156" i="4"/>
  <c r="I550" i="4"/>
  <c r="H370" i="4"/>
  <c r="H108" i="4"/>
  <c r="H439" i="4"/>
  <c r="I439" i="4"/>
  <c r="H545" i="4"/>
  <c r="H153" i="4"/>
  <c r="H351" i="4"/>
  <c r="I351" i="4"/>
  <c r="H263" i="4"/>
  <c r="I231" i="4"/>
  <c r="H231" i="4"/>
  <c r="I245" i="4"/>
  <c r="H245" i="4"/>
  <c r="I417" i="4"/>
  <c r="H417" i="4"/>
  <c r="H541" i="4"/>
  <c r="H534" i="4"/>
  <c r="I534" i="4"/>
  <c r="I565" i="4"/>
  <c r="H565" i="4"/>
  <c r="H458" i="4"/>
  <c r="I112" i="4"/>
  <c r="H273" i="4"/>
  <c r="H46" i="4"/>
  <c r="H337" i="4"/>
  <c r="I337" i="4"/>
  <c r="I243" i="4"/>
  <c r="H243" i="4"/>
  <c r="I557" i="4"/>
  <c r="H557" i="4"/>
  <c r="H229" i="4"/>
  <c r="H449" i="4"/>
  <c r="H392" i="4"/>
  <c r="H531" i="4"/>
  <c r="I361" i="4"/>
  <c r="I506" i="4"/>
  <c r="H506" i="4"/>
  <c r="H447" i="4"/>
  <c r="I447" i="4"/>
  <c r="I174" i="4"/>
  <c r="H174" i="4"/>
  <c r="H556" i="4"/>
  <c r="I556" i="4"/>
  <c r="I166" i="4"/>
  <c r="H166" i="4"/>
  <c r="I380" i="4"/>
  <c r="H380" i="4"/>
  <c r="I481" i="4"/>
  <c r="H481" i="4"/>
  <c r="H349" i="4"/>
  <c r="I349" i="4"/>
  <c r="I239" i="4"/>
  <c r="H239" i="4"/>
  <c r="H341" i="4"/>
  <c r="I341" i="4"/>
  <c r="H393" i="4"/>
  <c r="I393" i="4"/>
  <c r="I420" i="4"/>
  <c r="H420" i="4"/>
  <c r="H414" i="4"/>
  <c r="I414" i="4"/>
  <c r="H320" i="4"/>
  <c r="I320" i="4"/>
  <c r="H532" i="4"/>
  <c r="H47" i="4"/>
  <c r="I313" i="4"/>
  <c r="H313" i="4"/>
  <c r="I235" i="4"/>
  <c r="H235" i="4"/>
  <c r="I423" i="4"/>
  <c r="H423" i="4"/>
  <c r="I405" i="4"/>
  <c r="H405" i="4"/>
  <c r="H566" i="4"/>
  <c r="I566" i="4"/>
  <c r="I329" i="4"/>
  <c r="H329" i="4"/>
  <c r="I533" i="4"/>
  <c r="H533" i="4"/>
  <c r="I321" i="4"/>
  <c r="H321" i="4"/>
  <c r="H558" i="4"/>
  <c r="I558" i="4"/>
  <c r="H538" i="4"/>
  <c r="I538" i="4"/>
  <c r="I363" i="4"/>
  <c r="H363" i="4"/>
  <c r="I379" i="4"/>
  <c r="H379" i="4"/>
  <c r="I375" i="4"/>
  <c r="H375" i="4"/>
  <c r="I471" i="4"/>
  <c r="H471" i="4"/>
  <c r="I529" i="4"/>
  <c r="H529" i="4"/>
  <c r="I516" i="4"/>
  <c r="H516" i="4"/>
  <c r="I515" i="4"/>
  <c r="H515" i="4"/>
  <c r="I486" i="4"/>
  <c r="H486" i="4"/>
  <c r="I409" i="4"/>
  <c r="H409" i="4"/>
  <c r="I407" i="4"/>
  <c r="H407" i="4"/>
  <c r="I292" i="4"/>
  <c r="H292" i="4"/>
  <c r="I296" i="4"/>
  <c r="H296" i="4"/>
  <c r="I217" i="4"/>
  <c r="H217" i="4"/>
  <c r="I132" i="4"/>
  <c r="H132" i="4"/>
  <c r="I140" i="4"/>
  <c r="H140" i="4"/>
  <c r="I150" i="4"/>
  <c r="H150" i="4"/>
  <c r="I80" i="4"/>
  <c r="H80" i="4"/>
  <c r="I127" i="4"/>
  <c r="H127" i="4"/>
  <c r="H97" i="4"/>
  <c r="I97" i="4"/>
  <c r="I115" i="4"/>
  <c r="H115" i="4"/>
  <c r="I514" i="4"/>
  <c r="H514" i="4"/>
  <c r="I518" i="4"/>
  <c r="H518" i="4"/>
  <c r="I463" i="4"/>
  <c r="H463" i="4"/>
  <c r="H318" i="4"/>
  <c r="I318" i="4"/>
  <c r="H350" i="4"/>
  <c r="I350" i="4"/>
  <c r="I287" i="4"/>
  <c r="H287" i="4"/>
  <c r="I203" i="4"/>
  <c r="H203" i="4"/>
  <c r="I185" i="4"/>
  <c r="H185" i="4"/>
  <c r="I325" i="4"/>
  <c r="H325" i="4"/>
  <c r="I289" i="4"/>
  <c r="H289" i="4"/>
  <c r="I191" i="4"/>
  <c r="H191" i="4"/>
  <c r="I178" i="4"/>
  <c r="H178" i="4"/>
  <c r="I131" i="4"/>
  <c r="H131" i="4"/>
  <c r="I223" i="4"/>
  <c r="H223" i="4"/>
  <c r="I121" i="4"/>
  <c r="H121" i="4"/>
  <c r="H107" i="4"/>
  <c r="I107" i="4"/>
  <c r="I77" i="4"/>
  <c r="H77" i="4"/>
  <c r="I85" i="4"/>
  <c r="H85" i="4"/>
  <c r="I117" i="4"/>
  <c r="H117" i="4"/>
  <c r="H87" i="4"/>
  <c r="I87" i="4"/>
  <c r="I126" i="4"/>
  <c r="H126" i="4"/>
  <c r="I75" i="4"/>
  <c r="H75" i="4"/>
  <c r="I473" i="4"/>
  <c r="H473" i="4"/>
  <c r="I454" i="4"/>
  <c r="H454" i="4"/>
  <c r="H435" i="4"/>
  <c r="I435" i="4"/>
  <c r="I397" i="4"/>
  <c r="H397" i="4"/>
  <c r="H330" i="4"/>
  <c r="I330" i="4"/>
  <c r="I513" i="4"/>
  <c r="H513" i="4"/>
  <c r="I488" i="4"/>
  <c r="H488" i="4"/>
  <c r="I476" i="4"/>
  <c r="H476" i="4"/>
  <c r="I465" i="4"/>
  <c r="H465" i="4"/>
  <c r="H429" i="4"/>
  <c r="I429" i="4"/>
  <c r="I406" i="4"/>
  <c r="H406" i="4"/>
  <c r="I391" i="4"/>
  <c r="H391" i="4"/>
  <c r="H340" i="4"/>
  <c r="I340" i="4"/>
  <c r="I358" i="4"/>
  <c r="H358" i="4"/>
  <c r="H322" i="4"/>
  <c r="I322" i="4"/>
  <c r="I284" i="4"/>
  <c r="H284" i="4"/>
  <c r="H326" i="4"/>
  <c r="I326" i="4"/>
  <c r="I282" i="4"/>
  <c r="H282" i="4"/>
  <c r="I290" i="4"/>
  <c r="H290" i="4"/>
  <c r="I215" i="4"/>
  <c r="H215" i="4"/>
  <c r="I130" i="4"/>
  <c r="H130" i="4"/>
  <c r="I198" i="4"/>
  <c r="H198" i="4"/>
  <c r="I142" i="4"/>
  <c r="H142" i="4"/>
  <c r="I124" i="4"/>
  <c r="H124" i="4"/>
  <c r="I61" i="4"/>
  <c r="H61" i="4"/>
  <c r="I82" i="4"/>
  <c r="H82" i="4"/>
  <c r="I136" i="4"/>
  <c r="H136" i="4"/>
  <c r="I62" i="4"/>
  <c r="H62" i="4"/>
  <c r="I45" i="4"/>
  <c r="H45" i="4"/>
  <c r="I129" i="4"/>
  <c r="H129" i="4"/>
  <c r="I78" i="4"/>
  <c r="H78" i="4"/>
  <c r="I474" i="4"/>
  <c r="H474" i="4"/>
  <c r="I484" i="4"/>
  <c r="H484" i="4"/>
  <c r="I494" i="4"/>
  <c r="H494" i="4"/>
  <c r="I457" i="4"/>
  <c r="H457" i="4"/>
  <c r="H450" i="4"/>
  <c r="I450" i="4"/>
  <c r="I413" i="4"/>
  <c r="H413" i="4"/>
  <c r="I419" i="4"/>
  <c r="H419" i="4"/>
  <c r="I390" i="4"/>
  <c r="H390" i="4"/>
  <c r="H348" i="4"/>
  <c r="I348" i="4"/>
  <c r="I378" i="4"/>
  <c r="H378" i="4"/>
  <c r="I308" i="4"/>
  <c r="H308" i="4"/>
  <c r="H333" i="4"/>
  <c r="I333" i="4"/>
  <c r="I362" i="4"/>
  <c r="H362" i="4"/>
  <c r="I346" i="4"/>
  <c r="H346" i="4"/>
  <c r="I306" i="4"/>
  <c r="H306" i="4"/>
  <c r="I199" i="4"/>
  <c r="H199" i="4"/>
  <c r="I138" i="4"/>
  <c r="H138" i="4"/>
  <c r="I128" i="4"/>
  <c r="H128" i="4"/>
  <c r="I175" i="4"/>
  <c r="H175" i="4"/>
  <c r="I182" i="4"/>
  <c r="H182" i="4"/>
  <c r="I73" i="4"/>
  <c r="H73" i="4"/>
  <c r="H95" i="4"/>
  <c r="I95" i="4"/>
  <c r="H67" i="4"/>
  <c r="I67" i="4"/>
  <c r="I56" i="4"/>
  <c r="H56" i="4"/>
  <c r="U11" i="4"/>
  <c r="J11" i="4"/>
  <c r="I270" i="4"/>
  <c r="H270" i="4"/>
  <c r="I119" i="4"/>
  <c r="H119" i="4"/>
  <c r="I510" i="4"/>
  <c r="H510" i="4"/>
  <c r="I500" i="4"/>
  <c r="H500" i="4"/>
  <c r="I490" i="4"/>
  <c r="H490" i="4"/>
  <c r="I467" i="4"/>
  <c r="H467" i="4"/>
  <c r="I459" i="4"/>
  <c r="H459" i="4"/>
  <c r="I412" i="4"/>
  <c r="H412" i="4"/>
  <c r="I422" i="4"/>
  <c r="H422" i="4"/>
  <c r="I416" i="4"/>
  <c r="H416" i="4"/>
  <c r="I404" i="4"/>
  <c r="H404" i="4"/>
  <c r="H338" i="4"/>
  <c r="I338" i="4"/>
  <c r="I319" i="4"/>
  <c r="H319" i="4"/>
  <c r="I334" i="4"/>
  <c r="H334" i="4"/>
  <c r="I312" i="4"/>
  <c r="H312" i="4"/>
  <c r="I298" i="4"/>
  <c r="H298" i="4"/>
  <c r="I262" i="4"/>
  <c r="H262" i="4"/>
  <c r="I219" i="4"/>
  <c r="H219" i="4"/>
  <c r="I187" i="4"/>
  <c r="H187" i="4"/>
  <c r="I225" i="4"/>
  <c r="H225" i="4"/>
  <c r="I201" i="4"/>
  <c r="H201" i="4"/>
  <c r="I167" i="4"/>
  <c r="H167" i="4"/>
  <c r="I135" i="4"/>
  <c r="H135" i="4"/>
  <c r="I206" i="4"/>
  <c r="H206" i="4"/>
  <c r="I57" i="4"/>
  <c r="H57" i="4"/>
  <c r="I116" i="4"/>
  <c r="H116" i="4"/>
  <c r="I94" i="4"/>
  <c r="H94" i="4"/>
  <c r="I64" i="4"/>
  <c r="H64" i="4"/>
  <c r="H93" i="4"/>
  <c r="I93" i="4"/>
  <c r="I122" i="4"/>
  <c r="H122" i="4"/>
  <c r="H91" i="4"/>
  <c r="I91" i="4"/>
  <c r="I71" i="4"/>
  <c r="H71" i="4"/>
  <c r="I120" i="4"/>
  <c r="H120" i="4"/>
  <c r="I123" i="4"/>
  <c r="H123" i="4"/>
  <c r="H105" i="4"/>
  <c r="I105" i="4"/>
  <c r="I209" i="4"/>
  <c r="H209" i="4"/>
  <c r="H101" i="4"/>
  <c r="I101" i="4"/>
  <c r="I58" i="4"/>
  <c r="H58" i="4"/>
  <c r="H536" i="4"/>
  <c r="I536" i="4"/>
  <c r="I498" i="4"/>
  <c r="H498" i="4"/>
  <c r="I492" i="4"/>
  <c r="H492" i="4"/>
  <c r="I469" i="4"/>
  <c r="H469" i="4"/>
  <c r="I461" i="4"/>
  <c r="H461" i="4"/>
  <c r="H427" i="4"/>
  <c r="I427" i="4"/>
  <c r="I411" i="4"/>
  <c r="H411" i="4"/>
  <c r="I403" i="4"/>
  <c r="H403" i="4"/>
  <c r="I331" i="4"/>
  <c r="H331" i="4"/>
  <c r="I374" i="4"/>
  <c r="H374" i="4"/>
  <c r="I342" i="4"/>
  <c r="H342" i="4"/>
  <c r="I344" i="4"/>
  <c r="H344" i="4"/>
  <c r="I396" i="4"/>
  <c r="H396" i="4"/>
  <c r="I323" i="4"/>
  <c r="H323" i="4"/>
  <c r="I398" i="4"/>
  <c r="H398" i="4"/>
  <c r="I300" i="4"/>
  <c r="H300" i="4"/>
  <c r="I183" i="4"/>
  <c r="H183" i="4"/>
  <c r="I134" i="4"/>
  <c r="H134" i="4"/>
  <c r="I92" i="4"/>
  <c r="H92" i="4"/>
  <c r="I68" i="4"/>
  <c r="H68" i="4"/>
  <c r="I125" i="4"/>
  <c r="H125" i="4"/>
  <c r="H99" i="4"/>
  <c r="I99" i="4"/>
  <c r="I59" i="4"/>
  <c r="H59" i="4"/>
  <c r="I118" i="4"/>
  <c r="H118" i="4"/>
  <c r="I195" i="4"/>
  <c r="H195" i="4"/>
  <c r="H113" i="4"/>
  <c r="I113" i="4"/>
  <c r="H109" i="4"/>
  <c r="I109" i="4"/>
  <c r="I69" i="4"/>
  <c r="H69" i="4"/>
  <c r="H544" i="4"/>
  <c r="I544" i="4"/>
  <c r="I511" i="4"/>
  <c r="H511" i="4"/>
  <c r="I496" i="4"/>
  <c r="H496" i="4"/>
  <c r="H437" i="4"/>
  <c r="I437" i="4"/>
  <c r="I410" i="4"/>
  <c r="H410" i="4"/>
  <c r="I408" i="4"/>
  <c r="H408" i="4"/>
  <c r="I327" i="4"/>
  <c r="H327" i="4"/>
  <c r="I359" i="4"/>
  <c r="H359" i="4"/>
  <c r="I354" i="4"/>
  <c r="H354" i="4"/>
  <c r="I310" i="4"/>
  <c r="H310" i="4"/>
  <c r="I299" i="4"/>
  <c r="H299" i="4"/>
  <c r="I291" i="4"/>
  <c r="H291" i="4"/>
  <c r="I211" i="4"/>
  <c r="H211" i="4"/>
  <c r="I193" i="4"/>
  <c r="H193" i="4"/>
  <c r="I280" i="4"/>
  <c r="H280" i="4"/>
  <c r="I254" i="4"/>
  <c r="H254" i="4"/>
  <c r="I279" i="4"/>
  <c r="H279" i="4"/>
  <c r="I207" i="4"/>
  <c r="H207" i="4"/>
  <c r="I133" i="4"/>
  <c r="H133" i="4"/>
  <c r="I190" i="4"/>
  <c r="H190" i="4"/>
  <c r="H111" i="4"/>
  <c r="I111" i="4"/>
  <c r="H83" i="4"/>
  <c r="I83" i="4"/>
  <c r="H103" i="4"/>
  <c r="I103" i="4"/>
  <c r="R6" i="3"/>
  <c r="P7" i="3"/>
  <c r="Q7" i="3" s="1"/>
  <c r="R7" i="3" s="1"/>
  <c r="F39" i="3"/>
  <c r="F79" i="3"/>
  <c r="F6" i="3"/>
  <c r="E80" i="3"/>
  <c r="H16" i="3"/>
  <c r="J16" i="3" s="1"/>
  <c r="F4" i="3"/>
  <c r="J77" i="3"/>
  <c r="E68" i="3"/>
  <c r="E69" i="3" s="1"/>
  <c r="E70" i="3" s="1"/>
  <c r="F70" i="3" s="1"/>
  <c r="F67" i="3"/>
  <c r="J69" i="3"/>
  <c r="J7" i="3"/>
  <c r="F9" i="3"/>
  <c r="J15" i="3"/>
  <c r="I59" i="3"/>
  <c r="J59" i="3" s="1"/>
  <c r="I35" i="3"/>
  <c r="J35" i="3" s="1"/>
  <c r="F63" i="3"/>
  <c r="H17" i="3"/>
  <c r="I17" i="3"/>
  <c r="C16" i="3"/>
  <c r="C17" i="3" s="1"/>
  <c r="I51" i="3"/>
  <c r="J51" i="3" s="1"/>
  <c r="H9" i="3"/>
  <c r="I9" i="3"/>
  <c r="F65" i="3"/>
  <c r="I33" i="3"/>
  <c r="J33" i="3" s="1"/>
  <c r="H10" i="3"/>
  <c r="I10" i="3"/>
  <c r="I75" i="3"/>
  <c r="J75" i="3" s="1"/>
  <c r="F61" i="3"/>
  <c r="F13" i="3"/>
  <c r="I18" i="3"/>
  <c r="H18" i="3"/>
  <c r="I12" i="3"/>
  <c r="H12" i="3"/>
  <c r="F48" i="3"/>
  <c r="I44" i="3"/>
  <c r="J44" i="3" s="1"/>
  <c r="F11" i="3"/>
  <c r="H19" i="3"/>
  <c r="I19" i="3"/>
  <c r="I73" i="3"/>
  <c r="J73" i="3" s="1"/>
  <c r="I20" i="3"/>
  <c r="H20" i="3"/>
  <c r="I60" i="3"/>
  <c r="J60" i="3" s="1"/>
  <c r="H11" i="3"/>
  <c r="I11" i="3"/>
  <c r="C40" i="3"/>
  <c r="C41" i="3" s="1"/>
  <c r="C42" i="3" s="1"/>
  <c r="C43" i="3" s="1"/>
  <c r="C44" i="3" s="1"/>
  <c r="C45" i="3" s="1"/>
  <c r="C46" i="3" s="1"/>
  <c r="C27" i="3"/>
  <c r="C28" i="3" s="1"/>
  <c r="F26" i="3"/>
  <c r="C51" i="3"/>
  <c r="C52" i="3" s="1"/>
  <c r="F50" i="3"/>
  <c r="C75" i="3"/>
  <c r="C76" i="3" s="1"/>
  <c r="F74" i="3"/>
  <c r="E44" i="3"/>
  <c r="E45" i="3" s="1"/>
  <c r="E14" i="3"/>
  <c r="E15" i="3" s="1"/>
  <c r="F15" i="3" s="1"/>
  <c r="E27" i="3"/>
  <c r="E51" i="3"/>
  <c r="E75" i="3"/>
  <c r="R10" i="7" l="1"/>
  <c r="J10" i="7"/>
  <c r="P10" i="5"/>
  <c r="M11" i="5" s="1"/>
  <c r="J11" i="5"/>
  <c r="K10" i="5"/>
  <c r="L10" i="5" s="1"/>
  <c r="J12" i="4"/>
  <c r="K11" i="4"/>
  <c r="L11" i="4" s="1"/>
  <c r="M11" i="4" s="1"/>
  <c r="R11" i="4"/>
  <c r="N12" i="4" s="1"/>
  <c r="J45" i="4"/>
  <c r="P8" i="3"/>
  <c r="Q8" i="3" s="1"/>
  <c r="R8" i="3" s="1"/>
  <c r="J20" i="3"/>
  <c r="J12" i="3"/>
  <c r="J19" i="3"/>
  <c r="J9" i="3"/>
  <c r="J11" i="3"/>
  <c r="J17" i="3"/>
  <c r="J10" i="3"/>
  <c r="J18" i="3"/>
  <c r="C18" i="3"/>
  <c r="C19" i="3" s="1"/>
  <c r="F41" i="3"/>
  <c r="F45" i="3"/>
  <c r="F43" i="3"/>
  <c r="C77" i="3"/>
  <c r="C53" i="3"/>
  <c r="C54" i="3" s="1"/>
  <c r="C29" i="3"/>
  <c r="C30" i="3" s="1"/>
  <c r="E46" i="3"/>
  <c r="E52" i="3"/>
  <c r="F52" i="3" s="1"/>
  <c r="E28" i="3"/>
  <c r="F28" i="3" s="1"/>
  <c r="E16" i="3"/>
  <c r="E17" i="3" s="1"/>
  <c r="F17" i="3" s="1"/>
  <c r="E76" i="3"/>
  <c r="F76" i="3" s="1"/>
  <c r="J11" i="7" l="1"/>
  <c r="K10" i="7"/>
  <c r="L10" i="7" s="1"/>
  <c r="P10" i="7"/>
  <c r="M11" i="7" s="1"/>
  <c r="Q10" i="5"/>
  <c r="N11" i="5" s="1"/>
  <c r="O11" i="5" s="1"/>
  <c r="R11" i="5" s="1"/>
  <c r="K11" i="5"/>
  <c r="L11" i="5" s="1"/>
  <c r="J12" i="5"/>
  <c r="J46" i="4"/>
  <c r="K45" i="4"/>
  <c r="L45" i="4" s="1"/>
  <c r="M45" i="4" s="1"/>
  <c r="K12" i="4"/>
  <c r="L12" i="4" s="1"/>
  <c r="M12" i="4" s="1"/>
  <c r="J13" i="4"/>
  <c r="S11" i="4"/>
  <c r="P9" i="3"/>
  <c r="Q9" i="3" s="1"/>
  <c r="R9" i="3" s="1"/>
  <c r="C20" i="3"/>
  <c r="C21" i="3" s="1"/>
  <c r="C22" i="3" s="1"/>
  <c r="C31" i="3"/>
  <c r="C32" i="3" s="1"/>
  <c r="C55" i="3"/>
  <c r="C56" i="3" s="1"/>
  <c r="E18" i="3"/>
  <c r="E29" i="3"/>
  <c r="E30" i="3" s="1"/>
  <c r="F30" i="3" s="1"/>
  <c r="E77" i="3"/>
  <c r="E53" i="3"/>
  <c r="E54" i="3" s="1"/>
  <c r="F54" i="3" s="1"/>
  <c r="Q10" i="7" l="1"/>
  <c r="N11" i="7" s="1"/>
  <c r="O11" i="7"/>
  <c r="R11" i="7" s="1"/>
  <c r="J12" i="7"/>
  <c r="K11" i="7"/>
  <c r="L11" i="7" s="1"/>
  <c r="P11" i="5"/>
  <c r="M12" i="5" s="1"/>
  <c r="K12" i="5"/>
  <c r="L12" i="5" s="1"/>
  <c r="J13" i="5"/>
  <c r="J47" i="4"/>
  <c r="K46" i="4"/>
  <c r="L46" i="4" s="1"/>
  <c r="M46" i="4" s="1"/>
  <c r="K13" i="4"/>
  <c r="L13" i="4" s="1"/>
  <c r="J14" i="4"/>
  <c r="O12" i="4"/>
  <c r="T11" i="4"/>
  <c r="P12" i="4" s="1"/>
  <c r="P10" i="3"/>
  <c r="Q10" i="3" s="1"/>
  <c r="C57" i="3"/>
  <c r="C58" i="3" s="1"/>
  <c r="C33" i="3"/>
  <c r="C34" i="3" s="1"/>
  <c r="E31" i="3"/>
  <c r="E32" i="3" s="1"/>
  <c r="F32" i="3" s="1"/>
  <c r="E55" i="3"/>
  <c r="E56" i="3" s="1"/>
  <c r="F56" i="3" s="1"/>
  <c r="E19" i="3"/>
  <c r="F19" i="3" s="1"/>
  <c r="J13" i="7" l="1"/>
  <c r="K12" i="7"/>
  <c r="L12" i="7" s="1"/>
  <c r="P11" i="7"/>
  <c r="M12" i="7" s="1"/>
  <c r="J14" i="5"/>
  <c r="K13" i="5"/>
  <c r="L13" i="5" s="1"/>
  <c r="Q11" i="5"/>
  <c r="N12" i="5" s="1"/>
  <c r="O12" i="5" s="1"/>
  <c r="R12" i="5" s="1"/>
  <c r="Q12" i="4"/>
  <c r="U12" i="4" s="1"/>
  <c r="R12" i="4" s="1"/>
  <c r="N13" i="4" s="1"/>
  <c r="K14" i="4"/>
  <c r="L14" i="4" s="1"/>
  <c r="J15" i="4"/>
  <c r="M13" i="4"/>
  <c r="J48" i="4"/>
  <c r="K47" i="4"/>
  <c r="L47" i="4" s="1"/>
  <c r="R10" i="3"/>
  <c r="P11" i="3"/>
  <c r="Q11" i="3" s="1"/>
  <c r="R11" i="3" s="1"/>
  <c r="C59" i="3"/>
  <c r="C35" i="3"/>
  <c r="C36" i="3" s="1"/>
  <c r="E20" i="3"/>
  <c r="E21" i="3" s="1"/>
  <c r="F21" i="3" s="1"/>
  <c r="E57" i="3"/>
  <c r="E58" i="3" s="1"/>
  <c r="F58" i="3" s="1"/>
  <c r="E33" i="3"/>
  <c r="E34" i="3" s="1"/>
  <c r="F34" i="3" s="1"/>
  <c r="Q11" i="7" l="1"/>
  <c r="N12" i="7" s="1"/>
  <c r="O12" i="7" s="1"/>
  <c r="R12" i="7" s="1"/>
  <c r="J14" i="7"/>
  <c r="K13" i="7"/>
  <c r="L13" i="7" s="1"/>
  <c r="P12" i="5"/>
  <c r="M13" i="5" s="1"/>
  <c r="J15" i="5"/>
  <c r="K14" i="5"/>
  <c r="L14" i="5" s="1"/>
  <c r="K15" i="4"/>
  <c r="L15" i="4" s="1"/>
  <c r="J16" i="4"/>
  <c r="M14" i="4"/>
  <c r="M47" i="4"/>
  <c r="S12" i="4"/>
  <c r="O13" i="4" s="1"/>
  <c r="K48" i="4"/>
  <c r="L48" i="4" s="1"/>
  <c r="M48" i="4" s="1"/>
  <c r="J49" i="4"/>
  <c r="P12" i="3"/>
  <c r="Q12" i="3" s="1"/>
  <c r="C37" i="3"/>
  <c r="E22" i="3"/>
  <c r="E59" i="3"/>
  <c r="F59" i="3" s="1"/>
  <c r="E35" i="3"/>
  <c r="E36" i="3" s="1"/>
  <c r="F36" i="3" s="1"/>
  <c r="P12" i="7" l="1"/>
  <c r="M13" i="7" s="1"/>
  <c r="J15" i="7"/>
  <c r="K14" i="7"/>
  <c r="L14" i="7" s="1"/>
  <c r="J16" i="5"/>
  <c r="K15" i="5"/>
  <c r="L15" i="5" s="1"/>
  <c r="Q12" i="5"/>
  <c r="N13" i="5" s="1"/>
  <c r="O13" i="5" s="1"/>
  <c r="R13" i="5" s="1"/>
  <c r="K16" i="4"/>
  <c r="J17" i="4"/>
  <c r="J50" i="4"/>
  <c r="K49" i="4"/>
  <c r="L49" i="4" s="1"/>
  <c r="M49" i="4" s="1"/>
  <c r="M15" i="4"/>
  <c r="T12" i="4"/>
  <c r="P13" i="4" s="1"/>
  <c r="Q13" i="4" s="1"/>
  <c r="U13" i="4" s="1"/>
  <c r="P13" i="3"/>
  <c r="Q13" i="3" s="1"/>
  <c r="R12" i="3"/>
  <c r="E37" i="3"/>
  <c r="Q12" i="7" l="1"/>
  <c r="N13" i="7" s="1"/>
  <c r="O13" i="7" s="1"/>
  <c r="R13" i="7" s="1"/>
  <c r="J16" i="7"/>
  <c r="K15" i="7"/>
  <c r="L15" i="7" s="1"/>
  <c r="P13" i="5"/>
  <c r="M14" i="5" s="1"/>
  <c r="J17" i="5"/>
  <c r="K16" i="5"/>
  <c r="L16" i="5" s="1"/>
  <c r="R13" i="4"/>
  <c r="N14" i="4" s="1"/>
  <c r="K50" i="4"/>
  <c r="J51" i="4"/>
  <c r="J18" i="4"/>
  <c r="K17" i="4"/>
  <c r="L17" i="4" s="1"/>
  <c r="L16" i="4"/>
  <c r="M16" i="4" s="1"/>
  <c r="P14" i="3"/>
  <c r="Q14" i="3" s="1"/>
  <c r="R13" i="3"/>
  <c r="P13" i="7" l="1"/>
  <c r="M14" i="7" s="1"/>
  <c r="J17" i="7"/>
  <c r="K16" i="7"/>
  <c r="L16" i="7" s="1"/>
  <c r="Q13" i="5"/>
  <c r="N14" i="5" s="1"/>
  <c r="J18" i="5"/>
  <c r="K17" i="5"/>
  <c r="L17" i="5" s="1"/>
  <c r="O14" i="5"/>
  <c r="R14" i="5" s="1"/>
  <c r="L50" i="4"/>
  <c r="M50" i="4" s="1"/>
  <c r="J52" i="4"/>
  <c r="K51" i="4"/>
  <c r="M17" i="4"/>
  <c r="K18" i="4"/>
  <c r="L18" i="4" s="1"/>
  <c r="M18" i="4" s="1"/>
  <c r="J19" i="4"/>
  <c r="S13" i="4"/>
  <c r="O14" i="4" s="1"/>
  <c r="P15" i="3"/>
  <c r="Q15" i="3" s="1"/>
  <c r="R14" i="3"/>
  <c r="J18" i="7" l="1"/>
  <c r="K17" i="7"/>
  <c r="L17" i="7" s="1"/>
  <c r="Q13" i="7"/>
  <c r="N14" i="7" s="1"/>
  <c r="O14" i="7" s="1"/>
  <c r="R14" i="7" s="1"/>
  <c r="P14" i="5"/>
  <c r="M15" i="5" s="1"/>
  <c r="J19" i="5"/>
  <c r="K18" i="5"/>
  <c r="L18" i="5" s="1"/>
  <c r="T13" i="4"/>
  <c r="P14" i="4" s="1"/>
  <c r="Q14" i="4" s="1"/>
  <c r="U14" i="4" s="1"/>
  <c r="R14" i="4" s="1"/>
  <c r="N15" i="4" s="1"/>
  <c r="K19" i="4"/>
  <c r="L19" i="4" s="1"/>
  <c r="M19" i="4" s="1"/>
  <c r="J20" i="4"/>
  <c r="L51" i="4"/>
  <c r="M51" i="4" s="1"/>
  <c r="K52" i="4"/>
  <c r="L52" i="4" s="1"/>
  <c r="M52" i="4" s="1"/>
  <c r="J53" i="4"/>
  <c r="R15" i="3"/>
  <c r="P16" i="3"/>
  <c r="Q16" i="3" s="1"/>
  <c r="R16" i="3" s="1"/>
  <c r="P14" i="7" l="1"/>
  <c r="M15" i="7" s="1"/>
  <c r="J19" i="7"/>
  <c r="K18" i="7"/>
  <c r="L18" i="7" s="1"/>
  <c r="K19" i="5"/>
  <c r="J20" i="5"/>
  <c r="L19" i="5"/>
  <c r="Q14" i="5"/>
  <c r="N15" i="5" s="1"/>
  <c r="O15" i="5" s="1"/>
  <c r="R15" i="5" s="1"/>
  <c r="J21" i="4"/>
  <c r="K20" i="4"/>
  <c r="S14" i="4"/>
  <c r="O15" i="4" s="1"/>
  <c r="J54" i="4"/>
  <c r="K53" i="4"/>
  <c r="P17" i="3"/>
  <c r="Q17" i="3" s="1"/>
  <c r="R17" i="3" s="1"/>
  <c r="Q14" i="7" l="1"/>
  <c r="N15" i="7" s="1"/>
  <c r="O15" i="7" s="1"/>
  <c r="R15" i="7" s="1"/>
  <c r="J20" i="7"/>
  <c r="K19" i="7"/>
  <c r="L19" i="7" s="1"/>
  <c r="P15" i="5"/>
  <c r="M16" i="5" s="1"/>
  <c r="K20" i="5"/>
  <c r="L20" i="5" s="1"/>
  <c r="J21" i="5"/>
  <c r="K54" i="4"/>
  <c r="J55" i="4"/>
  <c r="L54" i="4"/>
  <c r="M54" i="4" s="1"/>
  <c r="L20" i="4"/>
  <c r="M20" i="4" s="1"/>
  <c r="T14" i="4"/>
  <c r="P15" i="4" s="1"/>
  <c r="Q15" i="4" s="1"/>
  <c r="U15" i="4" s="1"/>
  <c r="K21" i="4"/>
  <c r="J22" i="4"/>
  <c r="L53" i="4"/>
  <c r="M53" i="4" s="1"/>
  <c r="P18" i="3"/>
  <c r="Q18" i="3" s="1"/>
  <c r="R18" i="3" s="1"/>
  <c r="J21" i="7" l="1"/>
  <c r="K20" i="7"/>
  <c r="L20" i="7" s="1"/>
  <c r="P15" i="7"/>
  <c r="M16" i="7" s="1"/>
  <c r="J22" i="5"/>
  <c r="K21" i="5"/>
  <c r="L21" i="5" s="1"/>
  <c r="Q15" i="5"/>
  <c r="N16" i="5" s="1"/>
  <c r="O16" i="5" s="1"/>
  <c r="R16" i="5" s="1"/>
  <c r="R15" i="4"/>
  <c r="N16" i="4" s="1"/>
  <c r="J56" i="4"/>
  <c r="K55" i="4"/>
  <c r="L21" i="4"/>
  <c r="M21" i="4" s="1"/>
  <c r="J23" i="4"/>
  <c r="K22" i="4"/>
  <c r="P19" i="3"/>
  <c r="Q19" i="3" s="1"/>
  <c r="R19" i="3" s="1"/>
  <c r="Q15" i="7" l="1"/>
  <c r="N16" i="7" s="1"/>
  <c r="O16" i="7" s="1"/>
  <c r="R16" i="7" s="1"/>
  <c r="J22" i="7"/>
  <c r="K21" i="7"/>
  <c r="L21" i="7" s="1"/>
  <c r="P16" i="5"/>
  <c r="M17" i="5" s="1"/>
  <c r="J23" i="5"/>
  <c r="K22" i="5"/>
  <c r="L22" i="5" s="1"/>
  <c r="L22" i="4"/>
  <c r="M22" i="4" s="1"/>
  <c r="S15" i="4"/>
  <c r="O16" i="4" s="1"/>
  <c r="L55" i="4"/>
  <c r="M55" i="4" s="1"/>
  <c r="J57" i="4"/>
  <c r="K56" i="4"/>
  <c r="L56" i="4" s="1"/>
  <c r="M56" i="4" s="1"/>
  <c r="J24" i="4"/>
  <c r="K23" i="4"/>
  <c r="P20" i="3"/>
  <c r="P16" i="7" l="1"/>
  <c r="M17" i="7" s="1"/>
  <c r="J23" i="7"/>
  <c r="K22" i="7"/>
  <c r="L22" i="7" s="1"/>
  <c r="J24" i="5"/>
  <c r="K23" i="5"/>
  <c r="L23" i="5" s="1"/>
  <c r="Q16" i="5"/>
  <c r="N17" i="5" s="1"/>
  <c r="O17" i="5" s="1"/>
  <c r="R17" i="5" s="1"/>
  <c r="T15" i="4"/>
  <c r="P16" i="4" s="1"/>
  <c r="Q16" i="4"/>
  <c r="U16" i="4" s="1"/>
  <c r="R16" i="4"/>
  <c r="N17" i="4" s="1"/>
  <c r="J58" i="4"/>
  <c r="K57" i="4"/>
  <c r="J25" i="4"/>
  <c r="K24" i="4"/>
  <c r="L24" i="4" s="1"/>
  <c r="M24" i="4" s="1"/>
  <c r="L23" i="4"/>
  <c r="M23" i="4" s="1"/>
  <c r="Q20" i="3"/>
  <c r="R20" i="3" s="1"/>
  <c r="P21" i="3"/>
  <c r="Q21" i="3" s="1"/>
  <c r="R21" i="3" s="1"/>
  <c r="J24" i="7" l="1"/>
  <c r="K23" i="7"/>
  <c r="L23" i="7" s="1"/>
  <c r="Q16" i="7"/>
  <c r="N17" i="7" s="1"/>
  <c r="O17" i="7" s="1"/>
  <c r="R17" i="7" s="1"/>
  <c r="P17" i="5"/>
  <c r="M18" i="5" s="1"/>
  <c r="J25" i="5"/>
  <c r="K24" i="5"/>
  <c r="L24" i="5" s="1"/>
  <c r="S16" i="4"/>
  <c r="O17" i="4" s="1"/>
  <c r="L57" i="4"/>
  <c r="M57" i="4" s="1"/>
  <c r="J59" i="4"/>
  <c r="K58" i="4"/>
  <c r="L58" i="4" s="1"/>
  <c r="M58" i="4" s="1"/>
  <c r="K25" i="4"/>
  <c r="L25" i="4" s="1"/>
  <c r="M25" i="4" s="1"/>
  <c r="J26" i="4"/>
  <c r="P22" i="3"/>
  <c r="Q22" i="3" s="1"/>
  <c r="P17" i="7" l="1"/>
  <c r="M18" i="7" s="1"/>
  <c r="J25" i="7"/>
  <c r="K24" i="7"/>
  <c r="L24" i="7" s="1"/>
  <c r="J26" i="5"/>
  <c r="K25" i="5"/>
  <c r="L25" i="5" s="1"/>
  <c r="Q17" i="5"/>
  <c r="N18" i="5" s="1"/>
  <c r="O18" i="5" s="1"/>
  <c r="R18" i="5" s="1"/>
  <c r="T16" i="4"/>
  <c r="P17" i="4" s="1"/>
  <c r="Q17" i="4" s="1"/>
  <c r="U17" i="4" s="1"/>
  <c r="R17" i="4" s="1"/>
  <c r="N18" i="4" s="1"/>
  <c r="J60" i="4"/>
  <c r="K59" i="4"/>
  <c r="L59" i="4" s="1"/>
  <c r="J27" i="4"/>
  <c r="K26" i="4"/>
  <c r="L26" i="4" s="1"/>
  <c r="M26" i="4" s="1"/>
  <c r="R22" i="3"/>
  <c r="P23" i="3"/>
  <c r="Q23" i="3" s="1"/>
  <c r="J26" i="7" l="1"/>
  <c r="K25" i="7"/>
  <c r="L25" i="7" s="1"/>
  <c r="Q17" i="7"/>
  <c r="N18" i="7" s="1"/>
  <c r="O18" i="7" s="1"/>
  <c r="R18" i="7" s="1"/>
  <c r="J27" i="5"/>
  <c r="K26" i="5"/>
  <c r="L26" i="5" s="1"/>
  <c r="P18" i="5"/>
  <c r="M19" i="5" s="1"/>
  <c r="J61" i="4"/>
  <c r="K60" i="4"/>
  <c r="M59" i="4"/>
  <c r="S17" i="4"/>
  <c r="O18" i="4" s="1"/>
  <c r="J28" i="4"/>
  <c r="K27" i="4"/>
  <c r="L27" i="4" s="1"/>
  <c r="P24" i="3"/>
  <c r="Q24" i="3" s="1"/>
  <c r="R24" i="3" s="1"/>
  <c r="R23" i="3"/>
  <c r="P18" i="7" l="1"/>
  <c r="M19" i="7" s="1"/>
  <c r="J27" i="7"/>
  <c r="K26" i="7"/>
  <c r="L26" i="7" s="1"/>
  <c r="Q18" i="5"/>
  <c r="N19" i="5" s="1"/>
  <c r="O19" i="5" s="1"/>
  <c r="R19" i="5" s="1"/>
  <c r="J28" i="5"/>
  <c r="K27" i="5"/>
  <c r="L27" i="5" s="1"/>
  <c r="M27" i="4"/>
  <c r="L60" i="4"/>
  <c r="M60" i="4" s="1"/>
  <c r="J29" i="4"/>
  <c r="K28" i="4"/>
  <c r="T17" i="4"/>
  <c r="P18" i="4" s="1"/>
  <c r="Q18" i="4" s="1"/>
  <c r="U18" i="4" s="1"/>
  <c r="J62" i="4"/>
  <c r="K61" i="4"/>
  <c r="L61" i="4" s="1"/>
  <c r="P25" i="3"/>
  <c r="Q25" i="3" s="1"/>
  <c r="R25" i="3" s="1"/>
  <c r="J28" i="7" l="1"/>
  <c r="K27" i="7"/>
  <c r="L27" i="7" s="1"/>
  <c r="Q18" i="7"/>
  <c r="N19" i="7" s="1"/>
  <c r="O19" i="7" s="1"/>
  <c r="R19" i="7" s="1"/>
  <c r="P19" i="5"/>
  <c r="M20" i="5" s="1"/>
  <c r="K28" i="5"/>
  <c r="L28" i="5" s="1"/>
  <c r="J29" i="5"/>
  <c r="R18" i="4"/>
  <c r="N19" i="4" s="1"/>
  <c r="M61" i="4"/>
  <c r="K29" i="4"/>
  <c r="L29" i="4" s="1"/>
  <c r="J30" i="4"/>
  <c r="L28" i="4"/>
  <c r="M28" i="4" s="1"/>
  <c r="J63" i="4"/>
  <c r="K62" i="4"/>
  <c r="P26" i="3"/>
  <c r="Q26" i="3" s="1"/>
  <c r="P19" i="7" l="1"/>
  <c r="M20" i="7" s="1"/>
  <c r="J29" i="7"/>
  <c r="K28" i="7"/>
  <c r="L28" i="7" s="1"/>
  <c r="K29" i="5"/>
  <c r="L29" i="5" s="1"/>
  <c r="J30" i="5"/>
  <c r="Q19" i="5"/>
  <c r="N20" i="5" s="1"/>
  <c r="O20" i="5" s="1"/>
  <c r="R20" i="5" s="1"/>
  <c r="J31" i="4"/>
  <c r="K30" i="4"/>
  <c r="M29" i="4"/>
  <c r="L62" i="4"/>
  <c r="M62" i="4" s="1"/>
  <c r="J64" i="4"/>
  <c r="K63" i="4"/>
  <c r="S18" i="4"/>
  <c r="T18" i="4" s="1"/>
  <c r="P19" i="4" s="1"/>
  <c r="Q19" i="4" s="1"/>
  <c r="U19" i="4" s="1"/>
  <c r="R26" i="3"/>
  <c r="P27" i="3"/>
  <c r="J30" i="7" l="1"/>
  <c r="K29" i="7"/>
  <c r="L29" i="7" s="1"/>
  <c r="Q19" i="7"/>
  <c r="N20" i="7" s="1"/>
  <c r="O20" i="7" s="1"/>
  <c r="R20" i="7" s="1"/>
  <c r="P20" i="5"/>
  <c r="M21" i="5" s="1"/>
  <c r="J31" i="5"/>
  <c r="K30" i="5"/>
  <c r="L30" i="5" s="1"/>
  <c r="R19" i="4"/>
  <c r="N20" i="4" s="1"/>
  <c r="J65" i="4"/>
  <c r="K64" i="4"/>
  <c r="J32" i="4"/>
  <c r="K31" i="4"/>
  <c r="L63" i="4"/>
  <c r="M63" i="4" s="1"/>
  <c r="L30" i="4"/>
  <c r="M30" i="4" s="1"/>
  <c r="Q27" i="3"/>
  <c r="R27" i="3" s="1"/>
  <c r="P28" i="3"/>
  <c r="Q28" i="3" s="1"/>
  <c r="R28" i="3" s="1"/>
  <c r="P20" i="7" l="1"/>
  <c r="M21" i="7" s="1"/>
  <c r="J31" i="7"/>
  <c r="K30" i="7"/>
  <c r="L30" i="7" s="1"/>
  <c r="J32" i="5"/>
  <c r="K31" i="5"/>
  <c r="L31" i="5" s="1"/>
  <c r="Q20" i="5"/>
  <c r="O21" i="5" s="1"/>
  <c r="R21" i="5" s="1"/>
  <c r="S19" i="4"/>
  <c r="O20" i="4" s="1"/>
  <c r="T19" i="4"/>
  <c r="P20" i="4" s="1"/>
  <c r="Q20" i="4" s="1"/>
  <c r="U20" i="4" s="1"/>
  <c r="L64" i="4"/>
  <c r="M64" i="4" s="1"/>
  <c r="J66" i="4"/>
  <c r="K65" i="4"/>
  <c r="J33" i="4"/>
  <c r="K32" i="4"/>
  <c r="L32" i="4" s="1"/>
  <c r="M32" i="4" s="1"/>
  <c r="L31" i="4"/>
  <c r="M31" i="4" s="1"/>
  <c r="P29" i="3"/>
  <c r="Q29" i="3" s="1"/>
  <c r="R29" i="3" s="1"/>
  <c r="J32" i="7" l="1"/>
  <c r="K31" i="7"/>
  <c r="L31" i="7" s="1"/>
  <c r="Q20" i="7"/>
  <c r="N21" i="7" s="1"/>
  <c r="O21" i="7" s="1"/>
  <c r="R21" i="7" s="1"/>
  <c r="P21" i="5"/>
  <c r="M22" i="5" s="1"/>
  <c r="J33" i="5"/>
  <c r="K32" i="5"/>
  <c r="L32" i="5" s="1"/>
  <c r="L65" i="4"/>
  <c r="M65" i="4" s="1"/>
  <c r="R20" i="4"/>
  <c r="N21" i="4" s="1"/>
  <c r="J67" i="4"/>
  <c r="K66" i="4"/>
  <c r="L66" i="4" s="1"/>
  <c r="M66" i="4" s="1"/>
  <c r="K33" i="4"/>
  <c r="J34" i="4"/>
  <c r="P30" i="3"/>
  <c r="Q30" i="3" s="1"/>
  <c r="P21" i="7" l="1"/>
  <c r="M22" i="7" s="1"/>
  <c r="J33" i="7"/>
  <c r="K32" i="7"/>
  <c r="L32" i="7" s="1"/>
  <c r="J34" i="5"/>
  <c r="K33" i="5"/>
  <c r="L33" i="5" s="1"/>
  <c r="Q21" i="5"/>
  <c r="N22" i="5" s="1"/>
  <c r="O22" i="5" s="1"/>
  <c r="R22" i="5" s="1"/>
  <c r="J35" i="4"/>
  <c r="K34" i="4"/>
  <c r="J68" i="4"/>
  <c r="K67" i="4"/>
  <c r="L67" i="4" s="1"/>
  <c r="M67" i="4" s="1"/>
  <c r="S20" i="4"/>
  <c r="O21" i="4" s="1"/>
  <c r="L33" i="4"/>
  <c r="M33" i="4" s="1"/>
  <c r="R30" i="3"/>
  <c r="P31" i="3"/>
  <c r="J34" i="7" l="1"/>
  <c r="K33" i="7"/>
  <c r="L33" i="7" s="1"/>
  <c r="Q21" i="7"/>
  <c r="N22" i="7" s="1"/>
  <c r="O22" i="7" s="1"/>
  <c r="R22" i="7" s="1"/>
  <c r="P22" i="5"/>
  <c r="M23" i="5" s="1"/>
  <c r="J35" i="5"/>
  <c r="K34" i="5"/>
  <c r="L34" i="5" s="1"/>
  <c r="T20" i="4"/>
  <c r="P21" i="4" s="1"/>
  <c r="Q21" i="4" s="1"/>
  <c r="U21" i="4" s="1"/>
  <c r="R21" i="4" s="1"/>
  <c r="N22" i="4" s="1"/>
  <c r="J69" i="4"/>
  <c r="K68" i="4"/>
  <c r="J36" i="4"/>
  <c r="K35" i="4"/>
  <c r="L34" i="4"/>
  <c r="M34" i="4" s="1"/>
  <c r="P32" i="3"/>
  <c r="Q32" i="3" s="1"/>
  <c r="R32" i="3" s="1"/>
  <c r="Q31" i="3"/>
  <c r="R31" i="3" s="1"/>
  <c r="P22" i="7" l="1"/>
  <c r="M23" i="7" s="1"/>
  <c r="J35" i="7"/>
  <c r="K34" i="7"/>
  <c r="L34" i="7" s="1"/>
  <c r="J36" i="5"/>
  <c r="K35" i="5"/>
  <c r="L35" i="5" s="1"/>
  <c r="Q22" i="5"/>
  <c r="N23" i="5" s="1"/>
  <c r="O23" i="5" s="1"/>
  <c r="R23" i="5" s="1"/>
  <c r="J70" i="4"/>
  <c r="K69" i="4"/>
  <c r="L68" i="4"/>
  <c r="M68" i="4" s="1"/>
  <c r="J37" i="4"/>
  <c r="K36" i="4"/>
  <c r="L36" i="4" s="1"/>
  <c r="M36" i="4" s="1"/>
  <c r="S21" i="4"/>
  <c r="O22" i="4" s="1"/>
  <c r="L35" i="4"/>
  <c r="M35" i="4" s="1"/>
  <c r="P33" i="3"/>
  <c r="Q33" i="3" s="1"/>
  <c r="R33" i="3" s="1"/>
  <c r="Q22" i="7" l="1"/>
  <c r="N23" i="7" s="1"/>
  <c r="J36" i="7"/>
  <c r="K35" i="7"/>
  <c r="L35" i="7" s="1"/>
  <c r="P23" i="5"/>
  <c r="M24" i="5" s="1"/>
  <c r="J37" i="5"/>
  <c r="K36" i="5"/>
  <c r="L36" i="5" s="1"/>
  <c r="L69" i="4"/>
  <c r="M69" i="4" s="1"/>
  <c r="J71" i="4"/>
  <c r="K70" i="4"/>
  <c r="T21" i="4"/>
  <c r="P22" i="4" s="1"/>
  <c r="Q22" i="4" s="1"/>
  <c r="U22" i="4" s="1"/>
  <c r="K37" i="4"/>
  <c r="J38" i="4"/>
  <c r="P34" i="3"/>
  <c r="Q34" i="3" s="1"/>
  <c r="P23" i="7" l="1"/>
  <c r="M24" i="7" s="1"/>
  <c r="J37" i="7"/>
  <c r="K36" i="7"/>
  <c r="L36" i="7" s="1"/>
  <c r="K37" i="5"/>
  <c r="L37" i="5" s="1"/>
  <c r="J38" i="5"/>
  <c r="Q23" i="5"/>
  <c r="N24" i="5" s="1"/>
  <c r="O24" i="5" s="1"/>
  <c r="R24" i="5" s="1"/>
  <c r="R22" i="4"/>
  <c r="N23" i="4" s="1"/>
  <c r="L70" i="4"/>
  <c r="M70" i="4" s="1"/>
  <c r="J39" i="4"/>
  <c r="K38" i="4"/>
  <c r="L38" i="4" s="1"/>
  <c r="M38" i="4" s="1"/>
  <c r="J72" i="4"/>
  <c r="K71" i="4"/>
  <c r="L71" i="4"/>
  <c r="M71" i="4" s="1"/>
  <c r="L37" i="4"/>
  <c r="M37" i="4" s="1"/>
  <c r="R34" i="3"/>
  <c r="P35" i="3"/>
  <c r="Q35" i="3" s="1"/>
  <c r="J38" i="7" l="1"/>
  <c r="K37" i="7"/>
  <c r="L37" i="7" s="1"/>
  <c r="Q23" i="7"/>
  <c r="N24" i="7" s="1"/>
  <c r="O24" i="7" s="1"/>
  <c r="R24" i="7" s="1"/>
  <c r="P24" i="5"/>
  <c r="M25" i="5" s="1"/>
  <c r="J39" i="5"/>
  <c r="K38" i="5"/>
  <c r="L38" i="5" s="1"/>
  <c r="J73" i="4"/>
  <c r="K72" i="4"/>
  <c r="S22" i="4"/>
  <c r="O23" i="4" s="1"/>
  <c r="J40" i="4"/>
  <c r="K39" i="4"/>
  <c r="L39" i="4" s="1"/>
  <c r="M39" i="4" s="1"/>
  <c r="R35" i="3"/>
  <c r="P36" i="3"/>
  <c r="Q36" i="3" s="1"/>
  <c r="P24" i="7" l="1"/>
  <c r="M25" i="7" s="1"/>
  <c r="J39" i="7"/>
  <c r="K38" i="7"/>
  <c r="L38" i="7" s="1"/>
  <c r="Q24" i="5"/>
  <c r="N25" i="5" s="1"/>
  <c r="O25" i="5" s="1"/>
  <c r="R25" i="5" s="1"/>
  <c r="J40" i="5"/>
  <c r="K39" i="5"/>
  <c r="L39" i="5" s="1"/>
  <c r="T22" i="4"/>
  <c r="P23" i="4" s="1"/>
  <c r="Q23" i="4" s="1"/>
  <c r="U23" i="4" s="1"/>
  <c r="L72" i="4"/>
  <c r="M72" i="4" s="1"/>
  <c r="J41" i="4"/>
  <c r="K40" i="4"/>
  <c r="L40" i="4" s="1"/>
  <c r="J74" i="4"/>
  <c r="K73" i="4"/>
  <c r="R36" i="3"/>
  <c r="P37" i="3"/>
  <c r="Q37" i="3" s="1"/>
  <c r="R37" i="3" s="1"/>
  <c r="J40" i="7" l="1"/>
  <c r="K39" i="7"/>
  <c r="L39" i="7" s="1"/>
  <c r="Q24" i="7"/>
  <c r="N25" i="7" s="1"/>
  <c r="O25" i="7" s="1"/>
  <c r="R25" i="7" s="1"/>
  <c r="P25" i="5"/>
  <c r="M26" i="5" s="1"/>
  <c r="J41" i="5"/>
  <c r="K40" i="5"/>
  <c r="L40" i="5" s="1"/>
  <c r="R23" i="4"/>
  <c r="N24" i="4" s="1"/>
  <c r="K41" i="4"/>
  <c r="J42" i="4"/>
  <c r="M40" i="4"/>
  <c r="L73" i="4"/>
  <c r="M73" i="4" s="1"/>
  <c r="J75" i="4"/>
  <c r="K74" i="4"/>
  <c r="P38" i="3"/>
  <c r="Q38" i="3" s="1"/>
  <c r="P25" i="7" l="1"/>
  <c r="M26" i="7" s="1"/>
  <c r="J41" i="7"/>
  <c r="K40" i="7"/>
  <c r="L40" i="7" s="1"/>
  <c r="J42" i="5"/>
  <c r="K41" i="5"/>
  <c r="L41" i="5" s="1"/>
  <c r="Q25" i="5"/>
  <c r="N26" i="5" s="1"/>
  <c r="O26" i="5" s="1"/>
  <c r="R26" i="5" s="1"/>
  <c r="S23" i="4"/>
  <c r="O24" i="4" s="1"/>
  <c r="J76" i="4"/>
  <c r="K75" i="4"/>
  <c r="L75" i="4" s="1"/>
  <c r="J43" i="4"/>
  <c r="K42" i="4"/>
  <c r="L42" i="4" s="1"/>
  <c r="M42" i="4" s="1"/>
  <c r="L74" i="4"/>
  <c r="M74" i="4" s="1"/>
  <c r="T23" i="4"/>
  <c r="P24" i="4" s="1"/>
  <c r="Q24" i="4" s="1"/>
  <c r="U24" i="4" s="1"/>
  <c r="L41" i="4"/>
  <c r="M41" i="4" s="1"/>
  <c r="R38" i="3"/>
  <c r="P39" i="3"/>
  <c r="J42" i="7" l="1"/>
  <c r="K41" i="7"/>
  <c r="L41" i="7" s="1"/>
  <c r="Q25" i="7"/>
  <c r="N26" i="7" s="1"/>
  <c r="O26" i="7" s="1"/>
  <c r="R26" i="7" s="1"/>
  <c r="P26" i="5"/>
  <c r="M27" i="5" s="1"/>
  <c r="J43" i="5"/>
  <c r="K42" i="5"/>
  <c r="L42" i="5" s="1"/>
  <c r="R24" i="4"/>
  <c r="N25" i="4" s="1"/>
  <c r="M75" i="4"/>
  <c r="J77" i="4"/>
  <c r="K76" i="4"/>
  <c r="K43" i="4"/>
  <c r="P40" i="3"/>
  <c r="Q40" i="3" s="1"/>
  <c r="R40" i="3" s="1"/>
  <c r="Q39" i="3"/>
  <c r="R39" i="3" s="1"/>
  <c r="P26" i="7" l="1"/>
  <c r="M27" i="7" s="1"/>
  <c r="J43" i="7"/>
  <c r="K42" i="7"/>
  <c r="L42" i="7" s="1"/>
  <c r="K43" i="5"/>
  <c r="L43" i="5" s="1"/>
  <c r="J44" i="5"/>
  <c r="Q26" i="5"/>
  <c r="N27" i="5" s="1"/>
  <c r="O27" i="5" s="1"/>
  <c r="R27" i="5" s="1"/>
  <c r="L76" i="4"/>
  <c r="M76" i="4" s="1"/>
  <c r="J78" i="4"/>
  <c r="K77" i="4"/>
  <c r="L77" i="4" s="1"/>
  <c r="S24" i="4"/>
  <c r="O25" i="4" s="1"/>
  <c r="L43" i="4"/>
  <c r="M43" i="4" s="1"/>
  <c r="P41" i="3"/>
  <c r="Q41" i="3" s="1"/>
  <c r="R41" i="3" s="1"/>
  <c r="J44" i="7" l="1"/>
  <c r="K43" i="7"/>
  <c r="L43" i="7" s="1"/>
  <c r="Q26" i="7"/>
  <c r="N27" i="7" s="1"/>
  <c r="O27" i="7" s="1"/>
  <c r="P27" i="5"/>
  <c r="M28" i="5" s="1"/>
  <c r="J45" i="5"/>
  <c r="K44" i="5"/>
  <c r="L44" i="5" s="1"/>
  <c r="M77" i="4"/>
  <c r="J79" i="4"/>
  <c r="K78" i="4"/>
  <c r="T24" i="4"/>
  <c r="P25" i="4" s="1"/>
  <c r="Q25" i="4" s="1"/>
  <c r="U25" i="4" s="1"/>
  <c r="P42" i="3"/>
  <c r="Q42" i="3" s="1"/>
  <c r="P27" i="7" l="1"/>
  <c r="M28" i="7" s="1"/>
  <c r="K44" i="7"/>
  <c r="L44" i="7" s="1"/>
  <c r="J45" i="7"/>
  <c r="Q27" i="5"/>
  <c r="N28" i="5" s="1"/>
  <c r="O28" i="5" s="1"/>
  <c r="R28" i="5" s="1"/>
  <c r="J46" i="5"/>
  <c r="K45" i="5"/>
  <c r="L45" i="5" s="1"/>
  <c r="R25" i="4"/>
  <c r="N26" i="4" s="1"/>
  <c r="J80" i="4"/>
  <c r="K79" i="4"/>
  <c r="L78" i="4"/>
  <c r="M78" i="4" s="1"/>
  <c r="R42" i="3"/>
  <c r="P43" i="3"/>
  <c r="Q43" i="3" s="1"/>
  <c r="J46" i="7" l="1"/>
  <c r="K45" i="7"/>
  <c r="L45" i="7" s="1"/>
  <c r="Q27" i="7"/>
  <c r="N28" i="7" s="1"/>
  <c r="O28" i="7" s="1"/>
  <c r="R28" i="7" s="1"/>
  <c r="P28" i="5"/>
  <c r="M29" i="5" s="1"/>
  <c r="J47" i="5"/>
  <c r="K46" i="5"/>
  <c r="L46" i="5" s="1"/>
  <c r="L79" i="4"/>
  <c r="M79" i="4" s="1"/>
  <c r="S25" i="4"/>
  <c r="O26" i="4" s="1"/>
  <c r="J81" i="4"/>
  <c r="K80" i="4"/>
  <c r="P44" i="3"/>
  <c r="Q44" i="3" s="1"/>
  <c r="R44" i="3" s="1"/>
  <c r="R43" i="3"/>
  <c r="P28" i="7" l="1"/>
  <c r="M29" i="7" s="1"/>
  <c r="J47" i="7"/>
  <c r="K46" i="7"/>
  <c r="L46" i="7" s="1"/>
  <c r="J48" i="5"/>
  <c r="K47" i="5"/>
  <c r="L47" i="5" s="1"/>
  <c r="Q28" i="5"/>
  <c r="N29" i="5" s="1"/>
  <c r="O29" i="5" s="1"/>
  <c r="R29" i="5" s="1"/>
  <c r="L80" i="4"/>
  <c r="M80" i="4" s="1"/>
  <c r="J82" i="4"/>
  <c r="K81" i="4"/>
  <c r="T25" i="4"/>
  <c r="P26" i="4" s="1"/>
  <c r="Q26" i="4" s="1"/>
  <c r="U26" i="4" s="1"/>
  <c r="P45" i="3"/>
  <c r="Q45" i="3" s="1"/>
  <c r="R45" i="3" s="1"/>
  <c r="J48" i="7" l="1"/>
  <c r="K47" i="7"/>
  <c r="L47" i="7" s="1"/>
  <c r="Q28" i="7"/>
  <c r="N29" i="7" s="1"/>
  <c r="O29" i="7" s="1"/>
  <c r="R29" i="7" s="1"/>
  <c r="P29" i="5"/>
  <c r="M30" i="5" s="1"/>
  <c r="J49" i="5"/>
  <c r="K48" i="5"/>
  <c r="L48" i="5" s="1"/>
  <c r="R26" i="4"/>
  <c r="N27" i="4" s="1"/>
  <c r="L81" i="4"/>
  <c r="M81" i="4" s="1"/>
  <c r="J83" i="4"/>
  <c r="K82" i="4"/>
  <c r="L82" i="4" s="1"/>
  <c r="M82" i="4" s="1"/>
  <c r="P46" i="3"/>
  <c r="Q46" i="3" s="1"/>
  <c r="P29" i="7" l="1"/>
  <c r="M30" i="7" s="1"/>
  <c r="J49" i="7"/>
  <c r="K48" i="7"/>
  <c r="L48" i="7" s="1"/>
  <c r="Q29" i="5"/>
  <c r="N30" i="5" s="1"/>
  <c r="O30" i="5" s="1"/>
  <c r="R30" i="5" s="1"/>
  <c r="J50" i="5"/>
  <c r="K49" i="5"/>
  <c r="L49" i="5" s="1"/>
  <c r="S26" i="4"/>
  <c r="O27" i="4" s="1"/>
  <c r="J84" i="4"/>
  <c r="K83" i="4"/>
  <c r="R46" i="3"/>
  <c r="P47" i="3"/>
  <c r="J50" i="7" l="1"/>
  <c r="K49" i="7"/>
  <c r="L49" i="7" s="1"/>
  <c r="Q29" i="7"/>
  <c r="N30" i="7" s="1"/>
  <c r="O30" i="7" s="1"/>
  <c r="R30" i="7" s="1"/>
  <c r="J51" i="5"/>
  <c r="K50" i="5"/>
  <c r="L50" i="5" s="1"/>
  <c r="P30" i="5"/>
  <c r="M31" i="5" s="1"/>
  <c r="L83" i="4"/>
  <c r="M83" i="4" s="1"/>
  <c r="J85" i="4"/>
  <c r="K84" i="4"/>
  <c r="T26" i="4"/>
  <c r="P27" i="4" s="1"/>
  <c r="Q27" i="4" s="1"/>
  <c r="U27" i="4" s="1"/>
  <c r="Q47" i="3"/>
  <c r="R47" i="3" s="1"/>
  <c r="P48" i="3"/>
  <c r="Q48" i="3" s="1"/>
  <c r="R48" i="3" s="1"/>
  <c r="P30" i="7" l="1"/>
  <c r="M31" i="7" s="1"/>
  <c r="J51" i="7"/>
  <c r="K50" i="7"/>
  <c r="L50" i="7" s="1"/>
  <c r="Q30" i="5"/>
  <c r="N31" i="5" s="1"/>
  <c r="O31" i="5" s="1"/>
  <c r="R31" i="5" s="1"/>
  <c r="K51" i="5"/>
  <c r="L51" i="5" s="1"/>
  <c r="J52" i="5"/>
  <c r="R27" i="4"/>
  <c r="N28" i="4" s="1"/>
  <c r="J86" i="4"/>
  <c r="K85" i="4"/>
  <c r="L85" i="4" s="1"/>
  <c r="L84" i="4"/>
  <c r="M84" i="4" s="1"/>
  <c r="P49" i="3"/>
  <c r="Q49" i="3" s="1"/>
  <c r="R49" i="3" s="1"/>
  <c r="J52" i="7" l="1"/>
  <c r="K51" i="7"/>
  <c r="L51" i="7" s="1"/>
  <c r="Q30" i="7"/>
  <c r="O31" i="7" s="1"/>
  <c r="R31" i="7" s="1"/>
  <c r="P31" i="5"/>
  <c r="M32" i="5" s="1"/>
  <c r="K52" i="5"/>
  <c r="L52" i="5" s="1"/>
  <c r="J53" i="5"/>
  <c r="S27" i="4"/>
  <c r="O28" i="4" s="1"/>
  <c r="M85" i="4"/>
  <c r="J87" i="4"/>
  <c r="K86" i="4"/>
  <c r="T27" i="4"/>
  <c r="P28" i="4" s="1"/>
  <c r="Q28" i="4" s="1"/>
  <c r="U28" i="4" s="1"/>
  <c r="P50" i="3"/>
  <c r="Q50" i="3" s="1"/>
  <c r="P31" i="7" l="1"/>
  <c r="M32" i="7" s="1"/>
  <c r="J53" i="7"/>
  <c r="K52" i="7"/>
  <c r="L52" i="7" s="1"/>
  <c r="J54" i="5"/>
  <c r="K53" i="5"/>
  <c r="L53" i="5" s="1"/>
  <c r="Q31" i="5"/>
  <c r="N32" i="5" s="1"/>
  <c r="O32" i="5" s="1"/>
  <c r="R32" i="5" s="1"/>
  <c r="R28" i="4"/>
  <c r="N29" i="4" s="1"/>
  <c r="L86" i="4"/>
  <c r="M86" i="4" s="1"/>
  <c r="J88" i="4"/>
  <c r="K87" i="4"/>
  <c r="L87" i="4" s="1"/>
  <c r="M87" i="4" s="1"/>
  <c r="R50" i="3"/>
  <c r="P51" i="3"/>
  <c r="J54" i="7" l="1"/>
  <c r="K53" i="7"/>
  <c r="L53" i="7" s="1"/>
  <c r="Q31" i="7"/>
  <c r="N32" i="7" s="1"/>
  <c r="O32" i="7" s="1"/>
  <c r="R32" i="7" s="1"/>
  <c r="P32" i="5"/>
  <c r="M33" i="5" s="1"/>
  <c r="J55" i="5"/>
  <c r="K54" i="5"/>
  <c r="L54" i="5" s="1"/>
  <c r="S28" i="4"/>
  <c r="O29" i="4" s="1"/>
  <c r="J89" i="4"/>
  <c r="K88" i="4"/>
  <c r="L88" i="4" s="1"/>
  <c r="P52" i="3"/>
  <c r="Q52" i="3" s="1"/>
  <c r="Q51" i="3"/>
  <c r="R51" i="3" s="1"/>
  <c r="P32" i="7" l="1"/>
  <c r="M33" i="7" s="1"/>
  <c r="J55" i="7"/>
  <c r="K54" i="7"/>
  <c r="L54" i="7" s="1"/>
  <c r="Q32" i="5"/>
  <c r="N33" i="5" s="1"/>
  <c r="O33" i="5" s="1"/>
  <c r="R33" i="5" s="1"/>
  <c r="J56" i="5"/>
  <c r="K55" i="5"/>
  <c r="L55" i="5" s="1"/>
  <c r="M88" i="4"/>
  <c r="J90" i="4"/>
  <c r="K89" i="4"/>
  <c r="L89" i="4" s="1"/>
  <c r="T28" i="4"/>
  <c r="P29" i="4" s="1"/>
  <c r="Q29" i="4" s="1"/>
  <c r="U29" i="4" s="1"/>
  <c r="R52" i="3"/>
  <c r="P53" i="3"/>
  <c r="Q53" i="3" s="1"/>
  <c r="R53" i="3" s="1"/>
  <c r="J56" i="7" l="1"/>
  <c r="K55" i="7"/>
  <c r="L55" i="7" s="1"/>
  <c r="Q32" i="7"/>
  <c r="N33" i="7" s="1"/>
  <c r="O33" i="7" s="1"/>
  <c r="R33" i="7" s="1"/>
  <c r="P33" i="5"/>
  <c r="M34" i="5" s="1"/>
  <c r="J57" i="5"/>
  <c r="K56" i="5"/>
  <c r="L56" i="5" s="1"/>
  <c r="R29" i="4"/>
  <c r="N30" i="4" s="1"/>
  <c r="M89" i="4"/>
  <c r="J91" i="4"/>
  <c r="K90" i="4"/>
  <c r="L90" i="4" s="1"/>
  <c r="P54" i="3"/>
  <c r="Q54" i="3" s="1"/>
  <c r="P33" i="7" l="1"/>
  <c r="M34" i="7" s="1"/>
  <c r="J57" i="7"/>
  <c r="K56" i="7"/>
  <c r="L56" i="7" s="1"/>
  <c r="J58" i="5"/>
  <c r="K57" i="5"/>
  <c r="L57" i="5" s="1"/>
  <c r="Q33" i="5"/>
  <c r="N34" i="5" s="1"/>
  <c r="O34" i="5" s="1"/>
  <c r="R34" i="5" s="1"/>
  <c r="J92" i="4"/>
  <c r="K91" i="4"/>
  <c r="S29" i="4"/>
  <c r="O30" i="4" s="1"/>
  <c r="M90" i="4"/>
  <c r="R54" i="3"/>
  <c r="P55" i="3"/>
  <c r="J58" i="7" l="1"/>
  <c r="K57" i="7"/>
  <c r="L57" i="7" s="1"/>
  <c r="Q33" i="7"/>
  <c r="N34" i="7" s="1"/>
  <c r="O34" i="7" s="1"/>
  <c r="R34" i="7" s="1"/>
  <c r="P34" i="5"/>
  <c r="M35" i="5" s="1"/>
  <c r="J59" i="5"/>
  <c r="K58" i="5"/>
  <c r="L58" i="5" s="1"/>
  <c r="L91" i="4"/>
  <c r="M91" i="4" s="1"/>
  <c r="T29" i="4"/>
  <c r="P30" i="4" s="1"/>
  <c r="Q30" i="4" s="1"/>
  <c r="U30" i="4" s="1"/>
  <c r="J93" i="4"/>
  <c r="K92" i="4"/>
  <c r="L92" i="4" s="1"/>
  <c r="P56" i="3"/>
  <c r="Q56" i="3" s="1"/>
  <c r="R56" i="3" s="1"/>
  <c r="Q55" i="3"/>
  <c r="R55" i="3" s="1"/>
  <c r="P34" i="7" l="1"/>
  <c r="M35" i="7" s="1"/>
  <c r="J59" i="7"/>
  <c r="K58" i="7"/>
  <c r="L58" i="7" s="1"/>
  <c r="J60" i="5"/>
  <c r="K59" i="5"/>
  <c r="L59" i="5" s="1"/>
  <c r="Q34" i="5"/>
  <c r="N35" i="5" s="1"/>
  <c r="O35" i="5" s="1"/>
  <c r="R35" i="5" s="1"/>
  <c r="R30" i="4"/>
  <c r="N31" i="4" s="1"/>
  <c r="M92" i="4"/>
  <c r="J94" i="4"/>
  <c r="K93" i="4"/>
  <c r="P57" i="3"/>
  <c r="Q57" i="3" s="1"/>
  <c r="R57" i="3" s="1"/>
  <c r="J60" i="7" l="1"/>
  <c r="K59" i="7"/>
  <c r="L59" i="7" s="1"/>
  <c r="Q34" i="7"/>
  <c r="N35" i="7" s="1"/>
  <c r="O35" i="7" s="1"/>
  <c r="R35" i="7" s="1"/>
  <c r="P35" i="5"/>
  <c r="M36" i="5" s="1"/>
  <c r="K60" i="5"/>
  <c r="L60" i="5" s="1"/>
  <c r="J61" i="5"/>
  <c r="L93" i="4"/>
  <c r="M93" i="4" s="1"/>
  <c r="J95" i="4"/>
  <c r="K94" i="4"/>
  <c r="L94" i="4" s="1"/>
  <c r="S30" i="4"/>
  <c r="O31" i="4" s="1"/>
  <c r="P58" i="3"/>
  <c r="Q58" i="3" s="1"/>
  <c r="P35" i="7" l="1"/>
  <c r="M36" i="7" s="1"/>
  <c r="J61" i="7"/>
  <c r="K60" i="7"/>
  <c r="L60" i="7" s="1"/>
  <c r="Q35" i="5"/>
  <c r="N36" i="5" s="1"/>
  <c r="O36" i="5" s="1"/>
  <c r="R36" i="5" s="1"/>
  <c r="J62" i="5"/>
  <c r="K61" i="5"/>
  <c r="L61" i="5" s="1"/>
  <c r="M94" i="4"/>
  <c r="J96" i="4"/>
  <c r="K95" i="4"/>
  <c r="T30" i="4"/>
  <c r="P31" i="4" s="1"/>
  <c r="Q31" i="4" s="1"/>
  <c r="U31" i="4" s="1"/>
  <c r="R58" i="3"/>
  <c r="P59" i="3"/>
  <c r="Q59" i="3" s="1"/>
  <c r="J62" i="7" l="1"/>
  <c r="K61" i="7"/>
  <c r="L61" i="7" s="1"/>
  <c r="Q35" i="7"/>
  <c r="N36" i="7" s="1"/>
  <c r="O36" i="7" s="1"/>
  <c r="R36" i="7" s="1"/>
  <c r="J63" i="5"/>
  <c r="K62" i="5"/>
  <c r="L62" i="5" s="1"/>
  <c r="P36" i="5"/>
  <c r="M37" i="5" s="1"/>
  <c r="R31" i="4"/>
  <c r="N32" i="4" s="1"/>
  <c r="L95" i="4"/>
  <c r="M95" i="4" s="1"/>
  <c r="K96" i="4"/>
  <c r="J97" i="4"/>
  <c r="R59" i="3"/>
  <c r="P60" i="3"/>
  <c r="P36" i="7" l="1"/>
  <c r="M37" i="7" s="1"/>
  <c r="J63" i="7"/>
  <c r="K62" i="7"/>
  <c r="L62" i="7" s="1"/>
  <c r="Q36" i="5"/>
  <c r="N37" i="5" s="1"/>
  <c r="O37" i="5" s="1"/>
  <c r="R37" i="5" s="1"/>
  <c r="J64" i="5"/>
  <c r="K63" i="5"/>
  <c r="L63" i="5" s="1"/>
  <c r="L96" i="4"/>
  <c r="M96" i="4" s="1"/>
  <c r="J98" i="4"/>
  <c r="K97" i="4"/>
  <c r="S31" i="4"/>
  <c r="Q60" i="3"/>
  <c r="R60" i="3" s="1"/>
  <c r="P61" i="3"/>
  <c r="Q61" i="3" s="1"/>
  <c r="R61" i="3" s="1"/>
  <c r="J64" i="7" l="1"/>
  <c r="K63" i="7"/>
  <c r="L63" i="7" s="1"/>
  <c r="Q36" i="7"/>
  <c r="N37" i="7" s="1"/>
  <c r="O37" i="7" s="1"/>
  <c r="R37" i="7" s="1"/>
  <c r="P37" i="5"/>
  <c r="M38" i="5" s="1"/>
  <c r="J65" i="5"/>
  <c r="K64" i="5"/>
  <c r="L64" i="5" s="1"/>
  <c r="K98" i="4"/>
  <c r="L98" i="4" s="1"/>
  <c r="M98" i="4" s="1"/>
  <c r="J99" i="4"/>
  <c r="L97" i="4"/>
  <c r="M97" i="4" s="1"/>
  <c r="T31" i="4"/>
  <c r="P32" i="4" s="1"/>
  <c r="Q32" i="4" s="1"/>
  <c r="U32" i="4" s="1"/>
  <c r="P62" i="3"/>
  <c r="Q62" i="3" s="1"/>
  <c r="P37" i="7" l="1"/>
  <c r="M38" i="7" s="1"/>
  <c r="J65" i="7"/>
  <c r="K64" i="7"/>
  <c r="L64" i="7" s="1"/>
  <c r="J66" i="5"/>
  <c r="K65" i="5"/>
  <c r="L65" i="5" s="1"/>
  <c r="Q37" i="5"/>
  <c r="N38" i="5" s="1"/>
  <c r="O38" i="5" s="1"/>
  <c r="R38" i="5" s="1"/>
  <c r="R32" i="4"/>
  <c r="N33" i="4" s="1"/>
  <c r="J100" i="4"/>
  <c r="K99" i="4"/>
  <c r="R62" i="3"/>
  <c r="P63" i="3"/>
  <c r="Q63" i="3" s="1"/>
  <c r="J66" i="7" l="1"/>
  <c r="K65" i="7"/>
  <c r="L65" i="7" s="1"/>
  <c r="Q37" i="7"/>
  <c r="N38" i="7" s="1"/>
  <c r="O38" i="7" s="1"/>
  <c r="R38" i="7" s="1"/>
  <c r="P38" i="5"/>
  <c r="M39" i="5" s="1"/>
  <c r="J67" i="5"/>
  <c r="K66" i="5"/>
  <c r="L66" i="5" s="1"/>
  <c r="L99" i="4"/>
  <c r="M99" i="4" s="1"/>
  <c r="K100" i="4"/>
  <c r="J101" i="4"/>
  <c r="S32" i="4"/>
  <c r="O33" i="4" s="1"/>
  <c r="R63" i="3"/>
  <c r="P64" i="3"/>
  <c r="Q64" i="3" s="1"/>
  <c r="R64" i="3" s="1"/>
  <c r="P38" i="7" l="1"/>
  <c r="M39" i="7" s="1"/>
  <c r="J67" i="7"/>
  <c r="K66" i="7"/>
  <c r="L66" i="7" s="1"/>
  <c r="J68" i="5"/>
  <c r="K67" i="5"/>
  <c r="L67" i="5" s="1"/>
  <c r="Q38" i="5"/>
  <c r="N39" i="5" s="1"/>
  <c r="O39" i="5" s="1"/>
  <c r="R39" i="5" s="1"/>
  <c r="L100" i="4"/>
  <c r="M100" i="4" s="1"/>
  <c r="J102" i="4"/>
  <c r="K101" i="4"/>
  <c r="T32" i="4"/>
  <c r="P33" i="4" s="1"/>
  <c r="Q33" i="4" s="1"/>
  <c r="U33" i="4" s="1"/>
  <c r="P65" i="3"/>
  <c r="Q65" i="3" s="1"/>
  <c r="R65" i="3" s="1"/>
  <c r="J68" i="7" l="1"/>
  <c r="K67" i="7"/>
  <c r="L67" i="7" s="1"/>
  <c r="Q38" i="7"/>
  <c r="N39" i="7" s="1"/>
  <c r="O39" i="7" s="1"/>
  <c r="R39" i="7" s="1"/>
  <c r="P39" i="5"/>
  <c r="M40" i="5" s="1"/>
  <c r="K68" i="5"/>
  <c r="L68" i="5" s="1"/>
  <c r="J69" i="5"/>
  <c r="R33" i="4"/>
  <c r="N34" i="4" s="1"/>
  <c r="L101" i="4"/>
  <c r="M101" i="4" s="1"/>
  <c r="K102" i="4"/>
  <c r="J103" i="4"/>
  <c r="P66" i="3"/>
  <c r="Q66" i="3" s="1"/>
  <c r="P39" i="7" l="1"/>
  <c r="M40" i="7" s="1"/>
  <c r="J69" i="7"/>
  <c r="K68" i="7"/>
  <c r="L68" i="7" s="1"/>
  <c r="J70" i="5"/>
  <c r="K69" i="5"/>
  <c r="L69" i="5" s="1"/>
  <c r="Q39" i="5"/>
  <c r="N40" i="5" s="1"/>
  <c r="O40" i="5" s="1"/>
  <c r="R40" i="5" s="1"/>
  <c r="L102" i="4"/>
  <c r="M102" i="4" s="1"/>
  <c r="J104" i="4"/>
  <c r="K103" i="4"/>
  <c r="L103" i="4" s="1"/>
  <c r="S33" i="4"/>
  <c r="O34" i="4" s="1"/>
  <c r="R66" i="3"/>
  <c r="P67" i="3"/>
  <c r="J70" i="7" l="1"/>
  <c r="K69" i="7"/>
  <c r="L69" i="7" s="1"/>
  <c r="Q39" i="7"/>
  <c r="N40" i="7" s="1"/>
  <c r="O40" i="7" s="1"/>
  <c r="R40" i="7" s="1"/>
  <c r="P40" i="5"/>
  <c r="M41" i="5" s="1"/>
  <c r="J71" i="5"/>
  <c r="K70" i="5"/>
  <c r="L70" i="5" s="1"/>
  <c r="T33" i="4"/>
  <c r="P34" i="4" s="1"/>
  <c r="Q34" i="4" s="1"/>
  <c r="U34" i="4" s="1"/>
  <c r="R34" i="4" s="1"/>
  <c r="N35" i="4" s="1"/>
  <c r="M103" i="4"/>
  <c r="K104" i="4"/>
  <c r="L104" i="4" s="1"/>
  <c r="M104" i="4" s="1"/>
  <c r="J105" i="4"/>
  <c r="Q67" i="3"/>
  <c r="R67" i="3" s="1"/>
  <c r="P68" i="3"/>
  <c r="P40" i="7" l="1"/>
  <c r="M41" i="7" s="1"/>
  <c r="K70" i="7"/>
  <c r="L70" i="7" s="1"/>
  <c r="J71" i="7"/>
  <c r="Q40" i="5"/>
  <c r="N41" i="5" s="1"/>
  <c r="O41" i="5" s="1"/>
  <c r="R41" i="5" s="1"/>
  <c r="J72" i="5"/>
  <c r="K71" i="5"/>
  <c r="L71" i="5" s="1"/>
  <c r="S34" i="4"/>
  <c r="O35" i="4" s="1"/>
  <c r="J106" i="4"/>
  <c r="K105" i="4"/>
  <c r="T34" i="4"/>
  <c r="P35" i="4" s="1"/>
  <c r="Q35" i="4" s="1"/>
  <c r="U35" i="4" s="1"/>
  <c r="Q68" i="3"/>
  <c r="R68" i="3" s="1"/>
  <c r="P69" i="3"/>
  <c r="Q69" i="3" s="1"/>
  <c r="R69" i="3" s="1"/>
  <c r="J72" i="7" l="1"/>
  <c r="K71" i="7"/>
  <c r="L71" i="7" s="1"/>
  <c r="Q40" i="7"/>
  <c r="N41" i="7" s="1"/>
  <c r="O41" i="7" s="1"/>
  <c r="R41" i="7" s="1"/>
  <c r="P41" i="5"/>
  <c r="M42" i="5" s="1"/>
  <c r="J73" i="5"/>
  <c r="K72" i="5"/>
  <c r="L72" i="5" s="1"/>
  <c r="R35" i="4"/>
  <c r="N36" i="4" s="1"/>
  <c r="L105" i="4"/>
  <c r="M105" i="4" s="1"/>
  <c r="K106" i="4"/>
  <c r="J107" i="4"/>
  <c r="P70" i="3"/>
  <c r="Q70" i="3" s="1"/>
  <c r="P41" i="7" l="1"/>
  <c r="M42" i="7" s="1"/>
  <c r="K72" i="7"/>
  <c r="L72" i="7" s="1"/>
  <c r="J73" i="7"/>
  <c r="J74" i="5"/>
  <c r="K73" i="5"/>
  <c r="L73" i="5" s="1"/>
  <c r="Q41" i="5"/>
  <c r="N42" i="5" s="1"/>
  <c r="O42" i="5" s="1"/>
  <c r="R42" i="5" s="1"/>
  <c r="L106" i="4"/>
  <c r="M106" i="4" s="1"/>
  <c r="S35" i="4"/>
  <c r="O36" i="4" s="1"/>
  <c r="J108" i="4"/>
  <c r="K107" i="4"/>
  <c r="L107" i="4" s="1"/>
  <c r="R70" i="3"/>
  <c r="P71" i="3"/>
  <c r="J74" i="7" l="1"/>
  <c r="K73" i="7"/>
  <c r="L73" i="7" s="1"/>
  <c r="Q41" i="7"/>
  <c r="O42" i="7" s="1"/>
  <c r="R42" i="7" s="1"/>
  <c r="P42" i="5"/>
  <c r="M43" i="5" s="1"/>
  <c r="J75" i="5"/>
  <c r="K74" i="5"/>
  <c r="L74" i="5" s="1"/>
  <c r="M107" i="4"/>
  <c r="K108" i="4"/>
  <c r="L108" i="4" s="1"/>
  <c r="M108" i="4" s="1"/>
  <c r="J109" i="4"/>
  <c r="T35" i="4"/>
  <c r="P36" i="4" s="1"/>
  <c r="Q36" i="4" s="1"/>
  <c r="U36" i="4" s="1"/>
  <c r="Q71" i="3"/>
  <c r="R71" i="3" s="1"/>
  <c r="P72" i="3"/>
  <c r="Q72" i="3" s="1"/>
  <c r="R72" i="3" s="1"/>
  <c r="P42" i="7" l="1"/>
  <c r="M43" i="7" s="1"/>
  <c r="J75" i="7"/>
  <c r="K74" i="7"/>
  <c r="L74" i="7" s="1"/>
  <c r="J76" i="5"/>
  <c r="K75" i="5"/>
  <c r="L75" i="5" s="1"/>
  <c r="Q42" i="5"/>
  <c r="N43" i="5" s="1"/>
  <c r="O43" i="5" s="1"/>
  <c r="R43" i="5" s="1"/>
  <c r="R36" i="4"/>
  <c r="N37" i="4" s="1"/>
  <c r="J110" i="4"/>
  <c r="K109" i="4"/>
  <c r="P73" i="3"/>
  <c r="Q73" i="3" s="1"/>
  <c r="R73" i="3" s="1"/>
  <c r="J76" i="7" l="1"/>
  <c r="K75" i="7"/>
  <c r="L75" i="7" s="1"/>
  <c r="Q42" i="7"/>
  <c r="N43" i="7" s="1"/>
  <c r="O43" i="7" s="1"/>
  <c r="R43" i="7" s="1"/>
  <c r="P43" i="5"/>
  <c r="M44" i="5" s="1"/>
  <c r="K76" i="5"/>
  <c r="L76" i="5" s="1"/>
  <c r="J77" i="5"/>
  <c r="K110" i="4"/>
  <c r="L110" i="4" s="1"/>
  <c r="M110" i="4" s="1"/>
  <c r="J111" i="4"/>
  <c r="L109" i="4"/>
  <c r="M109" i="4" s="1"/>
  <c r="S36" i="4"/>
  <c r="O37" i="4" s="1"/>
  <c r="P74" i="3"/>
  <c r="Q74" i="3" s="1"/>
  <c r="P43" i="7" l="1"/>
  <c r="M44" i="7" s="1"/>
  <c r="J77" i="7"/>
  <c r="K76" i="7"/>
  <c r="L76" i="7" s="1"/>
  <c r="K77" i="5"/>
  <c r="L77" i="5" s="1"/>
  <c r="J78" i="5"/>
  <c r="Q43" i="5"/>
  <c r="N44" i="5" s="1"/>
  <c r="O44" i="5" s="1"/>
  <c r="R44" i="5" s="1"/>
  <c r="J112" i="4"/>
  <c r="K111" i="4"/>
  <c r="T36" i="4"/>
  <c r="P37" i="4" s="1"/>
  <c r="Q37" i="4" s="1"/>
  <c r="U37" i="4" s="1"/>
  <c r="R74" i="3"/>
  <c r="P75" i="3"/>
  <c r="Q75" i="3" s="1"/>
  <c r="J78" i="7" l="1"/>
  <c r="K77" i="7"/>
  <c r="L77" i="7" s="1"/>
  <c r="Q43" i="7"/>
  <c r="N44" i="7" s="1"/>
  <c r="O44" i="7" s="1"/>
  <c r="R44" i="7" s="1"/>
  <c r="P44" i="5"/>
  <c r="M45" i="5" s="1"/>
  <c r="J79" i="5"/>
  <c r="K78" i="5"/>
  <c r="L78" i="5" s="1"/>
  <c r="R37" i="4"/>
  <c r="N38" i="4" s="1"/>
  <c r="K112" i="4"/>
  <c r="L112" i="4" s="1"/>
  <c r="M112" i="4" s="1"/>
  <c r="J113" i="4"/>
  <c r="L111" i="4"/>
  <c r="M111" i="4" s="1"/>
  <c r="P76" i="3"/>
  <c r="Q76" i="3" s="1"/>
  <c r="R75" i="3"/>
  <c r="P44" i="7" l="1"/>
  <c r="M45" i="7" s="1"/>
  <c r="J79" i="7"/>
  <c r="K78" i="7"/>
  <c r="L78" i="7" s="1"/>
  <c r="J80" i="5"/>
  <c r="K79" i="5"/>
  <c r="L79" i="5" s="1"/>
  <c r="Q44" i="5"/>
  <c r="N45" i="5" s="1"/>
  <c r="O45" i="5" s="1"/>
  <c r="R45" i="5" s="1"/>
  <c r="J114" i="4"/>
  <c r="K113" i="4"/>
  <c r="L113" i="4" s="1"/>
  <c r="S37" i="4"/>
  <c r="O38" i="4" s="1"/>
  <c r="R76" i="3"/>
  <c r="P77" i="3"/>
  <c r="Q77" i="3" s="1"/>
  <c r="R77" i="3" s="1"/>
  <c r="J80" i="7" l="1"/>
  <c r="K79" i="7"/>
  <c r="L79" i="7" s="1"/>
  <c r="Q44" i="7"/>
  <c r="N45" i="7" s="1"/>
  <c r="O45" i="7" s="1"/>
  <c r="R45" i="7" s="1"/>
  <c r="P45" i="5"/>
  <c r="M46" i="5" s="1"/>
  <c r="J81" i="5"/>
  <c r="K80" i="5"/>
  <c r="L80" i="5" s="1"/>
  <c r="T37" i="4"/>
  <c r="P38" i="4" s="1"/>
  <c r="Q38" i="4" s="1"/>
  <c r="U38" i="4" s="1"/>
  <c r="R38" i="4" s="1"/>
  <c r="N39" i="4" s="1"/>
  <c r="M113" i="4"/>
  <c r="J115" i="4"/>
  <c r="K114" i="4"/>
  <c r="L114" i="4" s="1"/>
  <c r="P78" i="3"/>
  <c r="Q78" i="3" s="1"/>
  <c r="P45" i="7" l="1"/>
  <c r="M46" i="7" s="1"/>
  <c r="J81" i="7"/>
  <c r="K80" i="7"/>
  <c r="L80" i="7" s="1"/>
  <c r="J82" i="5"/>
  <c r="K81" i="5"/>
  <c r="L81" i="5" s="1"/>
  <c r="Q45" i="5"/>
  <c r="N46" i="5" s="1"/>
  <c r="O46" i="5" s="1"/>
  <c r="R46" i="5" s="1"/>
  <c r="M114" i="4"/>
  <c r="J116" i="4"/>
  <c r="K115" i="4"/>
  <c r="L115" i="4" s="1"/>
  <c r="S38" i="4"/>
  <c r="O39" i="4" s="1"/>
  <c r="R78" i="3"/>
  <c r="P80" i="3"/>
  <c r="Q80" i="3" s="1"/>
  <c r="R80" i="3" s="1"/>
  <c r="P79" i="3"/>
  <c r="Q79" i="3" s="1"/>
  <c r="J82" i="7" l="1"/>
  <c r="K81" i="7"/>
  <c r="L81" i="7" s="1"/>
  <c r="Q45" i="7"/>
  <c r="N46" i="7" s="1"/>
  <c r="O46" i="7" s="1"/>
  <c r="R46" i="7" s="1"/>
  <c r="J83" i="5"/>
  <c r="K82" i="5"/>
  <c r="L82" i="5" s="1"/>
  <c r="P46" i="5"/>
  <c r="M47" i="5" s="1"/>
  <c r="T38" i="4"/>
  <c r="P39" i="4" s="1"/>
  <c r="Q39" i="4" s="1"/>
  <c r="U39" i="4" s="1"/>
  <c r="M115" i="4"/>
  <c r="J117" i="4"/>
  <c r="K116" i="4"/>
  <c r="L116" i="4" s="1"/>
  <c r="R79" i="3"/>
  <c r="P46" i="7" l="1"/>
  <c r="M47" i="7" s="1"/>
  <c r="J83" i="7"/>
  <c r="K82" i="7"/>
  <c r="L82" i="7" s="1"/>
  <c r="Q46" i="5"/>
  <c r="N47" i="5" s="1"/>
  <c r="O47" i="5" s="1"/>
  <c r="R47" i="5" s="1"/>
  <c r="K83" i="5"/>
  <c r="L83" i="5" s="1"/>
  <c r="J84" i="5"/>
  <c r="R39" i="4"/>
  <c r="N40" i="4" s="1"/>
  <c r="M116" i="4"/>
  <c r="J118" i="4"/>
  <c r="K117" i="4"/>
  <c r="L117" i="4" s="1"/>
  <c r="Q46" i="7" l="1"/>
  <c r="N47" i="7" s="1"/>
  <c r="J84" i="7"/>
  <c r="K83" i="7"/>
  <c r="L83" i="7" s="1"/>
  <c r="O47" i="7"/>
  <c r="R47" i="7" s="1"/>
  <c r="J85" i="5"/>
  <c r="K84" i="5"/>
  <c r="L84" i="5" s="1"/>
  <c r="P47" i="5"/>
  <c r="M48" i="5" s="1"/>
  <c r="M117" i="4"/>
  <c r="J119" i="4"/>
  <c r="K118" i="4"/>
  <c r="L118" i="4" s="1"/>
  <c r="S39" i="4"/>
  <c r="O40" i="4" s="1"/>
  <c r="P47" i="7" l="1"/>
  <c r="M48" i="7" s="1"/>
  <c r="J85" i="7"/>
  <c r="K84" i="7"/>
  <c r="L84" i="7" s="1"/>
  <c r="Q47" i="5"/>
  <c r="N48" i="5" s="1"/>
  <c r="O48" i="5" s="1"/>
  <c r="R48" i="5" s="1"/>
  <c r="J86" i="5"/>
  <c r="K85" i="5"/>
  <c r="L85" i="5" s="1"/>
  <c r="T39" i="4"/>
  <c r="P40" i="4" s="1"/>
  <c r="Q40" i="4" s="1"/>
  <c r="U40" i="4" s="1"/>
  <c r="M118" i="4"/>
  <c r="J120" i="4"/>
  <c r="K119" i="4"/>
  <c r="L119" i="4" s="1"/>
  <c r="J86" i="7" l="1"/>
  <c r="K85" i="7"/>
  <c r="L85" i="7" s="1"/>
  <c r="Q47" i="7"/>
  <c r="N48" i="7" s="1"/>
  <c r="O48" i="7" s="1"/>
  <c r="R48" i="7" s="1"/>
  <c r="P48" i="5"/>
  <c r="M49" i="5" s="1"/>
  <c r="J87" i="5"/>
  <c r="K86" i="5"/>
  <c r="L86" i="5" s="1"/>
  <c r="R40" i="4"/>
  <c r="N41" i="4" s="1"/>
  <c r="J121" i="4"/>
  <c r="K120" i="4"/>
  <c r="L120" i="4" s="1"/>
  <c r="M119" i="4"/>
  <c r="P48" i="7" l="1"/>
  <c r="M49" i="7" s="1"/>
  <c r="J87" i="7"/>
  <c r="K86" i="7"/>
  <c r="L86" i="7" s="1"/>
  <c r="Q48" i="5"/>
  <c r="N49" i="5" s="1"/>
  <c r="O49" i="5" s="1"/>
  <c r="R49" i="5" s="1"/>
  <c r="J88" i="5"/>
  <c r="K87" i="5"/>
  <c r="L87" i="5" s="1"/>
  <c r="J122" i="4"/>
  <c r="K121" i="4"/>
  <c r="L121" i="4" s="1"/>
  <c r="S40" i="4"/>
  <c r="O41" i="4" s="1"/>
  <c r="M120" i="4"/>
  <c r="Q48" i="7" l="1"/>
  <c r="N49" i="7" s="1"/>
  <c r="O49" i="7" s="1"/>
  <c r="R49" i="7" s="1"/>
  <c r="J88" i="7"/>
  <c r="K87" i="7"/>
  <c r="L87" i="7" s="1"/>
  <c r="P49" i="5"/>
  <c r="M50" i="5" s="1"/>
  <c r="J89" i="5"/>
  <c r="K88" i="5"/>
  <c r="L88" i="5" s="1"/>
  <c r="T40" i="4"/>
  <c r="P41" i="4" s="1"/>
  <c r="Q41" i="4"/>
  <c r="U41" i="4" s="1"/>
  <c r="R41" i="4" s="1"/>
  <c r="N42" i="4" s="1"/>
  <c r="M121" i="4"/>
  <c r="J123" i="4"/>
  <c r="K122" i="4"/>
  <c r="L122" i="4" s="1"/>
  <c r="P49" i="7" l="1"/>
  <c r="M50" i="7" s="1"/>
  <c r="J89" i="7"/>
  <c r="K88" i="7"/>
  <c r="L88" i="7" s="1"/>
  <c r="J90" i="5"/>
  <c r="K89" i="5"/>
  <c r="L89" i="5" s="1"/>
  <c r="Q49" i="5"/>
  <c r="N50" i="5" s="1"/>
  <c r="O50" i="5" s="1"/>
  <c r="R50" i="5" s="1"/>
  <c r="J124" i="4"/>
  <c r="K123" i="4"/>
  <c r="L123" i="4" s="1"/>
  <c r="M122" i="4"/>
  <c r="S41" i="4"/>
  <c r="J90" i="7" l="1"/>
  <c r="K89" i="7"/>
  <c r="L89" i="7" s="1"/>
  <c r="Q49" i="7"/>
  <c r="N50" i="7" s="1"/>
  <c r="O50" i="7" s="1"/>
  <c r="R50" i="7" s="1"/>
  <c r="P50" i="5"/>
  <c r="M51" i="5" s="1"/>
  <c r="J91" i="5"/>
  <c r="K90" i="5"/>
  <c r="L90" i="5" s="1"/>
  <c r="T41" i="4"/>
  <c r="P42" i="4" s="1"/>
  <c r="Q42" i="4" s="1"/>
  <c r="U42" i="4" s="1"/>
  <c r="M123" i="4"/>
  <c r="J125" i="4"/>
  <c r="K124" i="4"/>
  <c r="P50" i="7" l="1"/>
  <c r="M51" i="7" s="1"/>
  <c r="J91" i="7"/>
  <c r="K90" i="7"/>
  <c r="L90" i="7" s="1"/>
  <c r="K91" i="5"/>
  <c r="L91" i="5" s="1"/>
  <c r="J92" i="5"/>
  <c r="Q50" i="5"/>
  <c r="N51" i="5" s="1"/>
  <c r="O51" i="5" s="1"/>
  <c r="R51" i="5" s="1"/>
  <c r="R42" i="4"/>
  <c r="N43" i="4" s="1"/>
  <c r="L124" i="4"/>
  <c r="M124" i="4" s="1"/>
  <c r="J126" i="4"/>
  <c r="K125" i="4"/>
  <c r="L125" i="4" s="1"/>
  <c r="M125" i="4" s="1"/>
  <c r="Q50" i="7" l="1"/>
  <c r="N51" i="7" s="1"/>
  <c r="O51" i="7" s="1"/>
  <c r="R51" i="7" s="1"/>
  <c r="J92" i="7"/>
  <c r="K91" i="7"/>
  <c r="L91" i="7" s="1"/>
  <c r="P51" i="5"/>
  <c r="M52" i="5" s="1"/>
  <c r="J93" i="5"/>
  <c r="K92" i="5"/>
  <c r="L92" i="5" s="1"/>
  <c r="S42" i="4"/>
  <c r="O43" i="4" s="1"/>
  <c r="J127" i="4"/>
  <c r="K126" i="4"/>
  <c r="P51" i="7" l="1"/>
  <c r="M52" i="7" s="1"/>
  <c r="J93" i="7"/>
  <c r="K92" i="7"/>
  <c r="L92" i="7" s="1"/>
  <c r="T42" i="4"/>
  <c r="P43" i="4" s="1"/>
  <c r="J94" i="5"/>
  <c r="K93" i="5"/>
  <c r="L93" i="5" s="1"/>
  <c r="Q51" i="5"/>
  <c r="N52" i="5" s="1"/>
  <c r="O52" i="5" s="1"/>
  <c r="R52" i="5" s="1"/>
  <c r="Q43" i="4"/>
  <c r="U43" i="4" s="1"/>
  <c r="R43" i="4"/>
  <c r="N44" i="4" s="1"/>
  <c r="L126" i="4"/>
  <c r="M126" i="4" s="1"/>
  <c r="J128" i="4"/>
  <c r="K127" i="4"/>
  <c r="L127" i="4" s="1"/>
  <c r="M127" i="4" s="1"/>
  <c r="J94" i="7" l="1"/>
  <c r="K93" i="7"/>
  <c r="L93" i="7" s="1"/>
  <c r="Q51" i="7"/>
  <c r="N52" i="7" s="1"/>
  <c r="O52" i="7" s="1"/>
  <c r="R52" i="7" s="1"/>
  <c r="P52" i="5"/>
  <c r="M53" i="5" s="1"/>
  <c r="K94" i="5"/>
  <c r="L94" i="5" s="1"/>
  <c r="J95" i="5"/>
  <c r="J129" i="4"/>
  <c r="K128" i="4"/>
  <c r="S43" i="4"/>
  <c r="O44" i="4" s="1"/>
  <c r="P52" i="7" l="1"/>
  <c r="M53" i="7" s="1"/>
  <c r="J95" i="7"/>
  <c r="K94" i="7"/>
  <c r="L94" i="7" s="1"/>
  <c r="J96" i="5"/>
  <c r="K95" i="5"/>
  <c r="L95" i="5" s="1"/>
  <c r="Q52" i="5"/>
  <c r="N53" i="5" s="1"/>
  <c r="O53" i="5" s="1"/>
  <c r="R53" i="5" s="1"/>
  <c r="T43" i="4"/>
  <c r="P44" i="4" s="1"/>
  <c r="Q44" i="4" s="1"/>
  <c r="U44" i="4" s="1"/>
  <c r="L128" i="4"/>
  <c r="M128" i="4" s="1"/>
  <c r="J130" i="4"/>
  <c r="K129" i="4"/>
  <c r="J96" i="7" l="1"/>
  <c r="K95" i="7"/>
  <c r="L95" i="7" s="1"/>
  <c r="Q52" i="7"/>
  <c r="N53" i="7" s="1"/>
  <c r="O53" i="7" s="1"/>
  <c r="R53" i="7" s="1"/>
  <c r="P53" i="5"/>
  <c r="M54" i="5" s="1"/>
  <c r="K96" i="5"/>
  <c r="L96" i="5" s="1"/>
  <c r="J97" i="5"/>
  <c r="R44" i="4"/>
  <c r="N45" i="4" s="1"/>
  <c r="L129" i="4"/>
  <c r="M129" i="4" s="1"/>
  <c r="J131" i="4"/>
  <c r="K130" i="4"/>
  <c r="L130" i="4" s="1"/>
  <c r="M130" i="4" s="1"/>
  <c r="P53" i="7" l="1"/>
  <c r="M54" i="7" s="1"/>
  <c r="J97" i="7"/>
  <c r="K96" i="7"/>
  <c r="L96" i="7" s="1"/>
  <c r="Q53" i="5"/>
  <c r="N54" i="5" s="1"/>
  <c r="O54" i="5" s="1"/>
  <c r="R54" i="5" s="1"/>
  <c r="K97" i="5"/>
  <c r="L97" i="5" s="1"/>
  <c r="J98" i="5"/>
  <c r="S44" i="4"/>
  <c r="O45" i="4" s="1"/>
  <c r="J132" i="4"/>
  <c r="K131" i="4"/>
  <c r="J98" i="7" l="1"/>
  <c r="K97" i="7"/>
  <c r="L97" i="7" s="1"/>
  <c r="Q53" i="7"/>
  <c r="N54" i="7" s="1"/>
  <c r="O54" i="7" s="1"/>
  <c r="R54" i="7" s="1"/>
  <c r="T44" i="4"/>
  <c r="P45" i="4" s="1"/>
  <c r="Q45" i="4" s="1"/>
  <c r="U45" i="4" s="1"/>
  <c r="R45" i="4" s="1"/>
  <c r="N46" i="4" s="1"/>
  <c r="J99" i="5"/>
  <c r="K98" i="5"/>
  <c r="L98" i="5" s="1"/>
  <c r="P54" i="5"/>
  <c r="M55" i="5" s="1"/>
  <c r="L131" i="4"/>
  <c r="M131" i="4" s="1"/>
  <c r="J133" i="4"/>
  <c r="K132" i="4"/>
  <c r="L132" i="4" s="1"/>
  <c r="M132" i="4" s="1"/>
  <c r="P54" i="7" l="1"/>
  <c r="M55" i="7" s="1"/>
  <c r="J99" i="7"/>
  <c r="K98" i="7"/>
  <c r="L98" i="7" s="1"/>
  <c r="S45" i="4"/>
  <c r="O46" i="4" s="1"/>
  <c r="Q54" i="5"/>
  <c r="N55" i="5" s="1"/>
  <c r="O55" i="5" s="1"/>
  <c r="R55" i="5" s="1"/>
  <c r="K99" i="5"/>
  <c r="L99" i="5" s="1"/>
  <c r="J100" i="5"/>
  <c r="J134" i="4"/>
  <c r="K133" i="4"/>
  <c r="T45" i="4"/>
  <c r="P46" i="4" s="1"/>
  <c r="J100" i="7" l="1"/>
  <c r="K99" i="7"/>
  <c r="L99" i="7" s="1"/>
  <c r="Q54" i="7"/>
  <c r="N55" i="7" s="1"/>
  <c r="O55" i="7" s="1"/>
  <c r="R55" i="7" s="1"/>
  <c r="Q46" i="4"/>
  <c r="U46" i="4" s="1"/>
  <c r="R46" i="4" s="1"/>
  <c r="N47" i="4" s="1"/>
  <c r="K100" i="5"/>
  <c r="L100" i="5" s="1"/>
  <c r="J101" i="5"/>
  <c r="P55" i="5"/>
  <c r="M56" i="5" s="1"/>
  <c r="L133" i="4"/>
  <c r="M133" i="4" s="1"/>
  <c r="J135" i="4"/>
  <c r="K134" i="4"/>
  <c r="L134" i="4" s="1"/>
  <c r="M134" i="4" s="1"/>
  <c r="P55" i="7" l="1"/>
  <c r="M56" i="7" s="1"/>
  <c r="J101" i="7"/>
  <c r="K100" i="7"/>
  <c r="L100" i="7" s="1"/>
  <c r="S46" i="4"/>
  <c r="O47" i="4" s="1"/>
  <c r="Q55" i="5"/>
  <c r="N56" i="5" s="1"/>
  <c r="O56" i="5" s="1"/>
  <c r="R56" i="5" s="1"/>
  <c r="J102" i="5"/>
  <c r="K101" i="5"/>
  <c r="L101" i="5" s="1"/>
  <c r="J136" i="4"/>
  <c r="K135" i="4"/>
  <c r="J102" i="7" l="1"/>
  <c r="K101" i="7"/>
  <c r="L101" i="7" s="1"/>
  <c r="Q55" i="7"/>
  <c r="N56" i="7" s="1"/>
  <c r="O56" i="7" s="1"/>
  <c r="R56" i="7" s="1"/>
  <c r="T46" i="4"/>
  <c r="P47" i="4" s="1"/>
  <c r="Q47" i="4" s="1"/>
  <c r="U47" i="4" s="1"/>
  <c r="R47" i="4" s="1"/>
  <c r="N48" i="4" s="1"/>
  <c r="K102" i="5"/>
  <c r="L102" i="5" s="1"/>
  <c r="J103" i="5"/>
  <c r="P56" i="5"/>
  <c r="M57" i="5" s="1"/>
  <c r="L135" i="4"/>
  <c r="M135" i="4" s="1"/>
  <c r="J137" i="4"/>
  <c r="K136" i="4"/>
  <c r="L136" i="4" s="1"/>
  <c r="M136" i="4" s="1"/>
  <c r="P56" i="7" l="1"/>
  <c r="M57" i="7" s="1"/>
  <c r="J103" i="7"/>
  <c r="K102" i="7"/>
  <c r="L102" i="7" s="1"/>
  <c r="K103" i="5"/>
  <c r="L103" i="5" s="1"/>
  <c r="J104" i="5"/>
  <c r="Q56" i="5"/>
  <c r="N57" i="5" s="1"/>
  <c r="O57" i="5" s="1"/>
  <c r="R57" i="5" s="1"/>
  <c r="J138" i="4"/>
  <c r="K137" i="4"/>
  <c r="L137" i="4" s="1"/>
  <c r="S47" i="4"/>
  <c r="O48" i="4" s="1"/>
  <c r="J104" i="7" l="1"/>
  <c r="K103" i="7"/>
  <c r="L103" i="7" s="1"/>
  <c r="Q56" i="7"/>
  <c r="N57" i="7" s="1"/>
  <c r="O57" i="7" s="1"/>
  <c r="R57" i="7" s="1"/>
  <c r="P57" i="5"/>
  <c r="M58" i="5" s="1"/>
  <c r="K104" i="5"/>
  <c r="L104" i="5" s="1"/>
  <c r="J105" i="5"/>
  <c r="M137" i="4"/>
  <c r="T47" i="4"/>
  <c r="P48" i="4" s="1"/>
  <c r="Q48" i="4" s="1"/>
  <c r="U48" i="4" s="1"/>
  <c r="J139" i="4"/>
  <c r="K138" i="4"/>
  <c r="P57" i="7" l="1"/>
  <c r="M58" i="7" s="1"/>
  <c r="J105" i="7"/>
  <c r="K104" i="7"/>
  <c r="L104" i="7" s="1"/>
  <c r="K105" i="5"/>
  <c r="L105" i="5" s="1"/>
  <c r="J106" i="5"/>
  <c r="Q57" i="5"/>
  <c r="N58" i="5" s="1"/>
  <c r="O58" i="5" s="1"/>
  <c r="R58" i="5" s="1"/>
  <c r="R48" i="4"/>
  <c r="N49" i="4" s="1"/>
  <c r="K139" i="4"/>
  <c r="J140" i="4"/>
  <c r="L139" i="4"/>
  <c r="M139" i="4" s="1"/>
  <c r="L138" i="4"/>
  <c r="M138" i="4" s="1"/>
  <c r="J106" i="7" l="1"/>
  <c r="K105" i="7"/>
  <c r="L105" i="7" s="1"/>
  <c r="Q57" i="7"/>
  <c r="N58" i="7" s="1"/>
  <c r="O58" i="7" s="1"/>
  <c r="R58" i="7" s="1"/>
  <c r="P58" i="5"/>
  <c r="M59" i="5" s="1"/>
  <c r="J107" i="5"/>
  <c r="K106" i="5"/>
  <c r="L106" i="5" s="1"/>
  <c r="J141" i="4"/>
  <c r="K140" i="4"/>
  <c r="S48" i="4"/>
  <c r="O49" i="4" s="1"/>
  <c r="P58" i="7" l="1"/>
  <c r="M59" i="7" s="1"/>
  <c r="J107" i="7"/>
  <c r="K106" i="7"/>
  <c r="L106" i="7" s="1"/>
  <c r="K107" i="5"/>
  <c r="L107" i="5" s="1"/>
  <c r="J108" i="5"/>
  <c r="Q58" i="5"/>
  <c r="N59" i="5" s="1"/>
  <c r="O59" i="5" s="1"/>
  <c r="R59" i="5" s="1"/>
  <c r="L140" i="4"/>
  <c r="M140" i="4" s="1"/>
  <c r="T48" i="4"/>
  <c r="P49" i="4" s="1"/>
  <c r="Q49" i="4" s="1"/>
  <c r="U49" i="4" s="1"/>
  <c r="K141" i="4"/>
  <c r="J142" i="4"/>
  <c r="J108" i="7" l="1"/>
  <c r="K107" i="7"/>
  <c r="L107" i="7" s="1"/>
  <c r="Q58" i="7"/>
  <c r="N59" i="7" s="1"/>
  <c r="O59" i="7" s="1"/>
  <c r="R59" i="7" s="1"/>
  <c r="P59" i="5"/>
  <c r="M60" i="5" s="1"/>
  <c r="J109" i="5"/>
  <c r="K108" i="5"/>
  <c r="L108" i="5" s="1"/>
  <c r="R49" i="4"/>
  <c r="N50" i="4" s="1"/>
  <c r="L141" i="4"/>
  <c r="M141" i="4" s="1"/>
  <c r="J143" i="4"/>
  <c r="K142" i="4"/>
  <c r="L142" i="4" s="1"/>
  <c r="M142" i="4" s="1"/>
  <c r="P59" i="7" l="1"/>
  <c r="M60" i="7" s="1"/>
  <c r="J109" i="7"/>
  <c r="K108" i="7"/>
  <c r="L108" i="7" s="1"/>
  <c r="J110" i="5"/>
  <c r="K109" i="5"/>
  <c r="L109" i="5" s="1"/>
  <c r="Q59" i="5"/>
  <c r="N60" i="5" s="1"/>
  <c r="O60" i="5" s="1"/>
  <c r="R60" i="5" s="1"/>
  <c r="S49" i="4"/>
  <c r="O50" i="4" s="1"/>
  <c r="K143" i="4"/>
  <c r="J144" i="4"/>
  <c r="L143" i="4"/>
  <c r="M143" i="4" s="1"/>
  <c r="J110" i="7" l="1"/>
  <c r="K109" i="7"/>
  <c r="L109" i="7" s="1"/>
  <c r="Q59" i="7"/>
  <c r="N60" i="7" s="1"/>
  <c r="O60" i="7" s="1"/>
  <c r="R60" i="7" s="1"/>
  <c r="P60" i="5"/>
  <c r="M61" i="5" s="1"/>
  <c r="J111" i="5"/>
  <c r="K110" i="5"/>
  <c r="L110" i="5" s="1"/>
  <c r="T49" i="4"/>
  <c r="P50" i="4" s="1"/>
  <c r="Q50" i="4" s="1"/>
  <c r="U50" i="4" s="1"/>
  <c r="J145" i="4"/>
  <c r="K144" i="4"/>
  <c r="P60" i="7" l="1"/>
  <c r="M61" i="7" s="1"/>
  <c r="J111" i="7"/>
  <c r="K110" i="7"/>
  <c r="L110" i="7" s="1"/>
  <c r="J112" i="5"/>
  <c r="K111" i="5"/>
  <c r="L111" i="5" s="1"/>
  <c r="Q60" i="5"/>
  <c r="N61" i="5" s="1"/>
  <c r="O61" i="5" s="1"/>
  <c r="R61" i="5" s="1"/>
  <c r="R50" i="4"/>
  <c r="N51" i="4" s="1"/>
  <c r="L144" i="4"/>
  <c r="M144" i="4" s="1"/>
  <c r="K145" i="4"/>
  <c r="L145" i="4" s="1"/>
  <c r="J146" i="4"/>
  <c r="J112" i="7" l="1"/>
  <c r="K111" i="7"/>
  <c r="L111" i="7" s="1"/>
  <c r="Q60" i="7"/>
  <c r="N61" i="7" s="1"/>
  <c r="O61" i="7" s="1"/>
  <c r="R61" i="7" s="1"/>
  <c r="P61" i="5"/>
  <c r="M62" i="5" s="1"/>
  <c r="J113" i="5"/>
  <c r="K112" i="5"/>
  <c r="L112" i="5" s="1"/>
  <c r="M145" i="4"/>
  <c r="S50" i="4"/>
  <c r="O51" i="4" s="1"/>
  <c r="J147" i="4"/>
  <c r="K146" i="4"/>
  <c r="P61" i="7" l="1"/>
  <c r="M62" i="7" s="1"/>
  <c r="J113" i="7"/>
  <c r="K112" i="7"/>
  <c r="L112" i="7" s="1"/>
  <c r="Q61" i="5"/>
  <c r="N62" i="5" s="1"/>
  <c r="K113" i="5"/>
  <c r="L113" i="5" s="1"/>
  <c r="J114" i="5"/>
  <c r="O62" i="5"/>
  <c r="R62" i="5" s="1"/>
  <c r="L146" i="4"/>
  <c r="M146" i="4" s="1"/>
  <c r="T50" i="4"/>
  <c r="P51" i="4" s="1"/>
  <c r="Q51" i="4" s="1"/>
  <c r="U51" i="4" s="1"/>
  <c r="J148" i="4"/>
  <c r="K147" i="4"/>
  <c r="L147" i="4" s="1"/>
  <c r="J114" i="7" l="1"/>
  <c r="K113" i="7"/>
  <c r="L113" i="7" s="1"/>
  <c r="Q61" i="7"/>
  <c r="N62" i="7" s="1"/>
  <c r="O62" i="7" s="1"/>
  <c r="R62" i="7" s="1"/>
  <c r="P62" i="5"/>
  <c r="M63" i="5" s="1"/>
  <c r="J115" i="5"/>
  <c r="K114" i="5"/>
  <c r="L114" i="5" s="1"/>
  <c r="R51" i="4"/>
  <c r="N52" i="4" s="1"/>
  <c r="M147" i="4"/>
  <c r="J149" i="4"/>
  <c r="K148" i="4"/>
  <c r="P62" i="7" l="1"/>
  <c r="M63" i="7" s="1"/>
  <c r="J115" i="7"/>
  <c r="K114" i="7"/>
  <c r="L114" i="7" s="1"/>
  <c r="K115" i="5"/>
  <c r="L115" i="5" s="1"/>
  <c r="J116" i="5"/>
  <c r="Q62" i="5"/>
  <c r="N63" i="5" s="1"/>
  <c r="O63" i="5" s="1"/>
  <c r="R63" i="5" s="1"/>
  <c r="L148" i="4"/>
  <c r="M148" i="4" s="1"/>
  <c r="J150" i="4"/>
  <c r="K149" i="4"/>
  <c r="S51" i="4"/>
  <c r="O52" i="4" s="1"/>
  <c r="J116" i="7" l="1"/>
  <c r="K115" i="7"/>
  <c r="L115" i="7" s="1"/>
  <c r="Q62" i="7"/>
  <c r="N63" i="7" s="1"/>
  <c r="O63" i="7" s="1"/>
  <c r="R63" i="7" s="1"/>
  <c r="P63" i="5"/>
  <c r="M64" i="5" s="1"/>
  <c r="J117" i="5"/>
  <c r="K116" i="5"/>
  <c r="L116" i="5" s="1"/>
  <c r="L149" i="4"/>
  <c r="M149" i="4" s="1"/>
  <c r="J151" i="4"/>
  <c r="K150" i="4"/>
  <c r="L150" i="4" s="1"/>
  <c r="T51" i="4"/>
  <c r="P52" i="4" s="1"/>
  <c r="Q52" i="4" s="1"/>
  <c r="U52" i="4" s="1"/>
  <c r="P63" i="7" l="1"/>
  <c r="M64" i="7" s="1"/>
  <c r="J117" i="7"/>
  <c r="K116" i="7"/>
  <c r="L116" i="7" s="1"/>
  <c r="J118" i="5"/>
  <c r="K117" i="5"/>
  <c r="L117" i="5" s="1"/>
  <c r="Q63" i="5"/>
  <c r="N64" i="5" s="1"/>
  <c r="O64" i="5" s="1"/>
  <c r="R64" i="5" s="1"/>
  <c r="R52" i="4"/>
  <c r="N53" i="4" s="1"/>
  <c r="J152" i="4"/>
  <c r="K151" i="4"/>
  <c r="M150" i="4"/>
  <c r="J118" i="7" l="1"/>
  <c r="K117" i="7"/>
  <c r="L117" i="7" s="1"/>
  <c r="Q63" i="7"/>
  <c r="N64" i="7" s="1"/>
  <c r="O64" i="7" s="1"/>
  <c r="R64" i="7" s="1"/>
  <c r="P64" i="5"/>
  <c r="M65" i="5" s="1"/>
  <c r="J119" i="5"/>
  <c r="K118" i="5"/>
  <c r="L118" i="5" s="1"/>
  <c r="L151" i="4"/>
  <c r="M151" i="4" s="1"/>
  <c r="J153" i="4"/>
  <c r="K152" i="4"/>
  <c r="L152" i="4" s="1"/>
  <c r="S52" i="4"/>
  <c r="O53" i="4" s="1"/>
  <c r="P64" i="7" l="1"/>
  <c r="M65" i="7" s="1"/>
  <c r="J119" i="7"/>
  <c r="K118" i="7"/>
  <c r="L118" i="7" s="1"/>
  <c r="Q64" i="5"/>
  <c r="N65" i="5" s="1"/>
  <c r="O65" i="5" s="1"/>
  <c r="R65" i="5" s="1"/>
  <c r="J120" i="5"/>
  <c r="K119" i="5"/>
  <c r="L119" i="5" s="1"/>
  <c r="T52" i="4"/>
  <c r="P53" i="4" s="1"/>
  <c r="Q53" i="4" s="1"/>
  <c r="U53" i="4" s="1"/>
  <c r="R53" i="4" s="1"/>
  <c r="N54" i="4" s="1"/>
  <c r="J154" i="4"/>
  <c r="K153" i="4"/>
  <c r="M152" i="4"/>
  <c r="J120" i="7" l="1"/>
  <c r="K119" i="7"/>
  <c r="L119" i="7" s="1"/>
  <c r="Q64" i="7"/>
  <c r="N65" i="7" s="1"/>
  <c r="O65" i="7" s="1"/>
  <c r="R65" i="7" s="1"/>
  <c r="P65" i="5"/>
  <c r="M66" i="5" s="1"/>
  <c r="K120" i="5"/>
  <c r="L120" i="5" s="1"/>
  <c r="J121" i="5"/>
  <c r="L153" i="4"/>
  <c r="M153" i="4" s="1"/>
  <c r="K154" i="4"/>
  <c r="J155" i="4"/>
  <c r="S53" i="4"/>
  <c r="O54" i="4" s="1"/>
  <c r="P65" i="7" l="1"/>
  <c r="M66" i="7" s="1"/>
  <c r="K120" i="7"/>
  <c r="L120" i="7" s="1"/>
  <c r="J121" i="7"/>
  <c r="J122" i="5"/>
  <c r="K121" i="5"/>
  <c r="L121" i="5" s="1"/>
  <c r="Q65" i="5"/>
  <c r="N66" i="5" s="1"/>
  <c r="O66" i="5" s="1"/>
  <c r="R66" i="5" s="1"/>
  <c r="L154" i="4"/>
  <c r="M154" i="4" s="1"/>
  <c r="J156" i="4"/>
  <c r="K155" i="4"/>
  <c r="L155" i="4" s="1"/>
  <c r="T53" i="4"/>
  <c r="P54" i="4" s="1"/>
  <c r="Q54" i="4" s="1"/>
  <c r="U54" i="4" s="1"/>
  <c r="K121" i="7" l="1"/>
  <c r="L121" i="7" s="1"/>
  <c r="J122" i="7"/>
  <c r="Q65" i="7"/>
  <c r="N66" i="7" s="1"/>
  <c r="O66" i="7" s="1"/>
  <c r="R66" i="7" s="1"/>
  <c r="P66" i="5"/>
  <c r="M67" i="5" s="1"/>
  <c r="J123" i="5"/>
  <c r="K122" i="5"/>
  <c r="L122" i="5" s="1"/>
  <c r="R54" i="4"/>
  <c r="N55" i="4" s="1"/>
  <c r="M155" i="4"/>
  <c r="J157" i="4"/>
  <c r="K156" i="4"/>
  <c r="P66" i="7" l="1"/>
  <c r="M67" i="7" s="1"/>
  <c r="J123" i="7"/>
  <c r="K122" i="7"/>
  <c r="L122" i="7" s="1"/>
  <c r="J124" i="5"/>
  <c r="K123" i="5"/>
  <c r="L123" i="5" s="1"/>
  <c r="Q66" i="5"/>
  <c r="N67" i="5" s="1"/>
  <c r="O67" i="5" s="1"/>
  <c r="R67" i="5" s="1"/>
  <c r="L156" i="4"/>
  <c r="M156" i="4" s="1"/>
  <c r="J158" i="4"/>
  <c r="K157" i="4"/>
  <c r="S54" i="4"/>
  <c r="J124" i="7" l="1"/>
  <c r="K123" i="7"/>
  <c r="L123" i="7" s="1"/>
  <c r="Q66" i="7"/>
  <c r="N67" i="7" s="1"/>
  <c r="O67" i="7" s="1"/>
  <c r="R67" i="7" s="1"/>
  <c r="P67" i="5"/>
  <c r="M68" i="5" s="1"/>
  <c r="J125" i="5"/>
  <c r="K124" i="5"/>
  <c r="L124" i="5" s="1"/>
  <c r="O55" i="4"/>
  <c r="T54" i="4"/>
  <c r="P55" i="4" s="1"/>
  <c r="L157" i="4"/>
  <c r="M157" i="4" s="1"/>
  <c r="J159" i="4"/>
  <c r="K158" i="4"/>
  <c r="P67" i="7" l="1"/>
  <c r="M68" i="7" s="1"/>
  <c r="K124" i="7"/>
  <c r="L124" i="7" s="1"/>
  <c r="J125" i="7"/>
  <c r="J126" i="5"/>
  <c r="K125" i="5"/>
  <c r="L125" i="5" s="1"/>
  <c r="Q67" i="5"/>
  <c r="N68" i="5" s="1"/>
  <c r="O68" i="5" s="1"/>
  <c r="R68" i="5" s="1"/>
  <c r="J160" i="4"/>
  <c r="K159" i="4"/>
  <c r="L159" i="4" s="1"/>
  <c r="M159" i="4" s="1"/>
  <c r="L158" i="4"/>
  <c r="M158" i="4" s="1"/>
  <c r="Q55" i="4"/>
  <c r="U55" i="4" s="1"/>
  <c r="J126" i="7" l="1"/>
  <c r="K125" i="7"/>
  <c r="L125" i="7" s="1"/>
  <c r="Q67" i="7"/>
  <c r="N68" i="7" s="1"/>
  <c r="O68" i="7" s="1"/>
  <c r="R68" i="7" s="1"/>
  <c r="P68" i="5"/>
  <c r="M69" i="5" s="1"/>
  <c r="J127" i="5"/>
  <c r="K126" i="5"/>
  <c r="L126" i="5" s="1"/>
  <c r="R55" i="4"/>
  <c r="N56" i="4" s="1"/>
  <c r="J161" i="4"/>
  <c r="K160" i="4"/>
  <c r="L160" i="4" s="1"/>
  <c r="P68" i="7" l="1"/>
  <c r="M69" i="7" s="1"/>
  <c r="J127" i="7"/>
  <c r="K126" i="7"/>
  <c r="L126" i="7" s="1"/>
  <c r="J128" i="5"/>
  <c r="K127" i="5"/>
  <c r="L127" i="5" s="1"/>
  <c r="Q68" i="5"/>
  <c r="N69" i="5" s="1"/>
  <c r="O69" i="5" s="1"/>
  <c r="R69" i="5" s="1"/>
  <c r="K161" i="4"/>
  <c r="L161" i="4" s="1"/>
  <c r="J162" i="4"/>
  <c r="M160" i="4"/>
  <c r="S55" i="4"/>
  <c r="O56" i="4" s="1"/>
  <c r="J128" i="7" l="1"/>
  <c r="K127" i="7"/>
  <c r="L127" i="7" s="1"/>
  <c r="Q68" i="7"/>
  <c r="N69" i="7" s="1"/>
  <c r="O69" i="7" s="1"/>
  <c r="R69" i="7" s="1"/>
  <c r="P69" i="5"/>
  <c r="M70" i="5" s="1"/>
  <c r="J129" i="5"/>
  <c r="K128" i="5"/>
  <c r="L128" i="5" s="1"/>
  <c r="T55" i="4"/>
  <c r="P56" i="4" s="1"/>
  <c r="Q56" i="4" s="1"/>
  <c r="U56" i="4" s="1"/>
  <c r="M161" i="4"/>
  <c r="K162" i="4"/>
  <c r="J163" i="4"/>
  <c r="P69" i="7" l="1"/>
  <c r="M70" i="7" s="1"/>
  <c r="J129" i="7"/>
  <c r="K128" i="7"/>
  <c r="L128" i="7" s="1"/>
  <c r="Q69" i="5"/>
  <c r="N70" i="5" s="1"/>
  <c r="O70" i="5" s="1"/>
  <c r="R70" i="5" s="1"/>
  <c r="K129" i="5"/>
  <c r="L129" i="5" s="1"/>
  <c r="J130" i="5"/>
  <c r="R56" i="4"/>
  <c r="N57" i="4" s="1"/>
  <c r="L162" i="4"/>
  <c r="M162" i="4" s="1"/>
  <c r="K163" i="4"/>
  <c r="L163" i="4" s="1"/>
  <c r="J164" i="4"/>
  <c r="J130" i="7" l="1"/>
  <c r="K129" i="7"/>
  <c r="L129" i="7" s="1"/>
  <c r="Q69" i="7"/>
  <c r="N70" i="7" s="1"/>
  <c r="O70" i="7" s="1"/>
  <c r="R70" i="7" s="1"/>
  <c r="P70" i="5"/>
  <c r="M71" i="5" s="1"/>
  <c r="J131" i="5"/>
  <c r="K130" i="5"/>
  <c r="L130" i="5" s="1"/>
  <c r="S56" i="4"/>
  <c r="K164" i="4"/>
  <c r="J165" i="4"/>
  <c r="M163" i="4"/>
  <c r="P70" i="7" l="1"/>
  <c r="M71" i="7" s="1"/>
  <c r="J131" i="7"/>
  <c r="K130" i="7"/>
  <c r="L130" i="7" s="1"/>
  <c r="J132" i="5"/>
  <c r="K131" i="5"/>
  <c r="L131" i="5" s="1"/>
  <c r="Q70" i="5"/>
  <c r="N71" i="5" s="1"/>
  <c r="O71" i="5" s="1"/>
  <c r="R71" i="5" s="1"/>
  <c r="O57" i="4"/>
  <c r="T56" i="4"/>
  <c r="P57" i="4" s="1"/>
  <c r="Q57" i="4" s="1"/>
  <c r="U57" i="4" s="1"/>
  <c r="J166" i="4"/>
  <c r="K165" i="4"/>
  <c r="L164" i="4"/>
  <c r="M164" i="4" s="1"/>
  <c r="J132" i="7" l="1"/>
  <c r="K131" i="7"/>
  <c r="L131" i="7" s="1"/>
  <c r="Q70" i="7"/>
  <c r="N71" i="7" s="1"/>
  <c r="O71" i="7" s="1"/>
  <c r="R71" i="7" s="1"/>
  <c r="P71" i="5"/>
  <c r="M72" i="5" s="1"/>
  <c r="J133" i="5"/>
  <c r="K132" i="5"/>
  <c r="L132" i="5" s="1"/>
  <c r="R57" i="4"/>
  <c r="N58" i="4" s="1"/>
  <c r="K166" i="4"/>
  <c r="L166" i="4" s="1"/>
  <c r="J167" i="4"/>
  <c r="L165" i="4"/>
  <c r="M165" i="4" s="1"/>
  <c r="P71" i="7" l="1"/>
  <c r="M72" i="7" s="1"/>
  <c r="J133" i="7"/>
  <c r="K132" i="7"/>
  <c r="L132" i="7" s="1"/>
  <c r="J134" i="5"/>
  <c r="K133" i="5"/>
  <c r="L133" i="5" s="1"/>
  <c r="Q71" i="5"/>
  <c r="N72" i="5" s="1"/>
  <c r="O72" i="5" s="1"/>
  <c r="R72" i="5" s="1"/>
  <c r="S57" i="4"/>
  <c r="O58" i="4" s="1"/>
  <c r="J168" i="4"/>
  <c r="K167" i="4"/>
  <c r="M166" i="4"/>
  <c r="J134" i="7" l="1"/>
  <c r="K133" i="7"/>
  <c r="L133" i="7" s="1"/>
  <c r="Q71" i="7"/>
  <c r="N72" i="7" s="1"/>
  <c r="O72" i="7" s="1"/>
  <c r="R72" i="7" s="1"/>
  <c r="T57" i="4"/>
  <c r="P58" i="4" s="1"/>
  <c r="P72" i="5"/>
  <c r="M73" i="5" s="1"/>
  <c r="K134" i="5"/>
  <c r="L134" i="5" s="1"/>
  <c r="J135" i="5"/>
  <c r="Q58" i="4"/>
  <c r="U58" i="4" s="1"/>
  <c r="R58" i="4" s="1"/>
  <c r="N59" i="4" s="1"/>
  <c r="L167" i="4"/>
  <c r="M167" i="4" s="1"/>
  <c r="J169" i="4"/>
  <c r="K168" i="4"/>
  <c r="L168" i="4" s="1"/>
  <c r="P72" i="7" l="1"/>
  <c r="M73" i="7" s="1"/>
  <c r="J135" i="7"/>
  <c r="K134" i="7"/>
  <c r="L134" i="7" s="1"/>
  <c r="J136" i="5"/>
  <c r="K135" i="5"/>
  <c r="L135" i="5" s="1"/>
  <c r="Q72" i="5"/>
  <c r="N73" i="5" s="1"/>
  <c r="O73" i="5" s="1"/>
  <c r="R73" i="5" s="1"/>
  <c r="S58" i="4"/>
  <c r="K169" i="4"/>
  <c r="J170" i="4"/>
  <c r="M168" i="4"/>
  <c r="Q72" i="7" l="1"/>
  <c r="N73" i="7" s="1"/>
  <c r="J136" i="7"/>
  <c r="K135" i="7"/>
  <c r="L135" i="7" s="1"/>
  <c r="O73" i="7"/>
  <c r="R73" i="7" s="1"/>
  <c r="P73" i="5"/>
  <c r="M74" i="5" s="1"/>
  <c r="K136" i="5"/>
  <c r="L136" i="5" s="1"/>
  <c r="J137" i="5"/>
  <c r="O59" i="4"/>
  <c r="T58" i="4"/>
  <c r="P59" i="4" s="1"/>
  <c r="Q59" i="4" s="1"/>
  <c r="U59" i="4" s="1"/>
  <c r="L169" i="4"/>
  <c r="M169" i="4" s="1"/>
  <c r="K170" i="4"/>
  <c r="J171" i="4"/>
  <c r="P73" i="7" l="1"/>
  <c r="M74" i="7" s="1"/>
  <c r="K136" i="7"/>
  <c r="L136" i="7" s="1"/>
  <c r="J137" i="7"/>
  <c r="J138" i="5"/>
  <c r="K137" i="5"/>
  <c r="L137" i="5" s="1"/>
  <c r="Q73" i="5"/>
  <c r="N74" i="5" s="1"/>
  <c r="O74" i="5" s="1"/>
  <c r="R74" i="5" s="1"/>
  <c r="R59" i="4"/>
  <c r="S59" i="4" s="1"/>
  <c r="O60" i="4" s="1"/>
  <c r="K171" i="4"/>
  <c r="J172" i="4"/>
  <c r="L170" i="4"/>
  <c r="M170" i="4" s="1"/>
  <c r="J138" i="7" l="1"/>
  <c r="K137" i="7"/>
  <c r="L137" i="7" s="1"/>
  <c r="Q73" i="7"/>
  <c r="N74" i="7" s="1"/>
  <c r="O74" i="7" s="1"/>
  <c r="R74" i="7" s="1"/>
  <c r="P74" i="5"/>
  <c r="M75" i="5" s="1"/>
  <c r="J139" i="5"/>
  <c r="K138" i="5"/>
  <c r="L138" i="5" s="1"/>
  <c r="N60" i="4"/>
  <c r="T59" i="4"/>
  <c r="P60" i="4" s="1"/>
  <c r="L171" i="4"/>
  <c r="M171" i="4" s="1"/>
  <c r="K172" i="4"/>
  <c r="J173" i="4"/>
  <c r="P74" i="7" l="1"/>
  <c r="M75" i="7" s="1"/>
  <c r="J139" i="7"/>
  <c r="K138" i="7"/>
  <c r="L138" i="7" s="1"/>
  <c r="J140" i="5"/>
  <c r="K139" i="5"/>
  <c r="L139" i="5" s="1"/>
  <c r="Q74" i="5"/>
  <c r="N75" i="5" s="1"/>
  <c r="O75" i="5" s="1"/>
  <c r="R75" i="5" s="1"/>
  <c r="Q60" i="4"/>
  <c r="U60" i="4" s="1"/>
  <c r="L172" i="4"/>
  <c r="M172" i="4" s="1"/>
  <c r="J174" i="4"/>
  <c r="K173" i="4"/>
  <c r="L173" i="4" s="1"/>
  <c r="M173" i="4" s="1"/>
  <c r="J140" i="7" l="1"/>
  <c r="K139" i="7"/>
  <c r="L139" i="7" s="1"/>
  <c r="Q74" i="7"/>
  <c r="N75" i="7" s="1"/>
  <c r="O75" i="7" s="1"/>
  <c r="R75" i="7" s="1"/>
  <c r="P75" i="5"/>
  <c r="M76" i="5" s="1"/>
  <c r="J141" i="5"/>
  <c r="K140" i="5"/>
  <c r="L140" i="5" s="1"/>
  <c r="R60" i="4"/>
  <c r="N61" i="4" s="1"/>
  <c r="K174" i="4"/>
  <c r="L174" i="4" s="1"/>
  <c r="J175" i="4"/>
  <c r="P75" i="7" l="1"/>
  <c r="M76" i="7" s="1"/>
  <c r="J141" i="7"/>
  <c r="K140" i="7"/>
  <c r="L140" i="7" s="1"/>
  <c r="J142" i="5"/>
  <c r="K141" i="5"/>
  <c r="L141" i="5" s="1"/>
  <c r="Q75" i="5"/>
  <c r="N76" i="5" s="1"/>
  <c r="O76" i="5" s="1"/>
  <c r="R76" i="5" s="1"/>
  <c r="S60" i="4"/>
  <c r="J176" i="4"/>
  <c r="K175" i="4"/>
  <c r="M174" i="4"/>
  <c r="J142" i="7" l="1"/>
  <c r="K141" i="7"/>
  <c r="L141" i="7" s="1"/>
  <c r="Q75" i="7"/>
  <c r="N76" i="7" s="1"/>
  <c r="O76" i="7" s="1"/>
  <c r="R76" i="7" s="1"/>
  <c r="P76" i="5"/>
  <c r="M77" i="5" s="1"/>
  <c r="J143" i="5"/>
  <c r="K142" i="5"/>
  <c r="L142" i="5" s="1"/>
  <c r="O61" i="4"/>
  <c r="T60" i="4"/>
  <c r="P61" i="4" s="1"/>
  <c r="Q61" i="4" s="1"/>
  <c r="U61" i="4" s="1"/>
  <c r="L175" i="4"/>
  <c r="M175" i="4" s="1"/>
  <c r="J177" i="4"/>
  <c r="K176" i="4"/>
  <c r="P76" i="7" l="1"/>
  <c r="M77" i="7" s="1"/>
  <c r="J143" i="7"/>
  <c r="K142" i="7"/>
  <c r="L142" i="7" s="1"/>
  <c r="Q76" i="5"/>
  <c r="N77" i="5" s="1"/>
  <c r="O77" i="5" s="1"/>
  <c r="R77" i="5" s="1"/>
  <c r="K143" i="5"/>
  <c r="L143" i="5" s="1"/>
  <c r="J144" i="5"/>
  <c r="R61" i="4"/>
  <c r="N62" i="4" s="1"/>
  <c r="L176" i="4"/>
  <c r="M176" i="4" s="1"/>
  <c r="K177" i="4"/>
  <c r="J178" i="4"/>
  <c r="Q76" i="7" l="1"/>
  <c r="N77" i="7" s="1"/>
  <c r="O77" i="7" s="1"/>
  <c r="R77" i="7" s="1"/>
  <c r="J144" i="7"/>
  <c r="K143" i="7"/>
  <c r="L143" i="7" s="1"/>
  <c r="P77" i="5"/>
  <c r="M78" i="5" s="1"/>
  <c r="K144" i="5"/>
  <c r="L144" i="5" s="1"/>
  <c r="J145" i="5"/>
  <c r="L177" i="4"/>
  <c r="M177" i="4" s="1"/>
  <c r="S61" i="4"/>
  <c r="K178" i="4"/>
  <c r="L178" i="4" s="1"/>
  <c r="J179" i="4"/>
  <c r="P77" i="7" l="1"/>
  <c r="M78" i="7" s="1"/>
  <c r="J145" i="7"/>
  <c r="K144" i="7"/>
  <c r="L144" i="7" s="1"/>
  <c r="Q77" i="5"/>
  <c r="N78" i="5" s="1"/>
  <c r="J146" i="5"/>
  <c r="K145" i="5"/>
  <c r="L145" i="5" s="1"/>
  <c r="O78" i="5"/>
  <c r="R78" i="5" s="1"/>
  <c r="O62" i="4"/>
  <c r="T61" i="4"/>
  <c r="P62" i="4" s="1"/>
  <c r="K179" i="4"/>
  <c r="J180" i="4"/>
  <c r="M178" i="4"/>
  <c r="J146" i="7" l="1"/>
  <c r="K145" i="7"/>
  <c r="L145" i="7" s="1"/>
  <c r="Q77" i="7"/>
  <c r="N78" i="7" s="1"/>
  <c r="O78" i="7" s="1"/>
  <c r="R78" i="7" s="1"/>
  <c r="P78" i="5"/>
  <c r="M79" i="5" s="1"/>
  <c r="J147" i="5"/>
  <c r="K146" i="5"/>
  <c r="L146" i="5" s="1"/>
  <c r="Q62" i="4"/>
  <c r="U62" i="4" s="1"/>
  <c r="L179" i="4"/>
  <c r="M179" i="4" s="1"/>
  <c r="K180" i="4"/>
  <c r="J181" i="4"/>
  <c r="P78" i="7" l="1"/>
  <c r="M79" i="7" s="1"/>
  <c r="J147" i="7"/>
  <c r="K146" i="7"/>
  <c r="L146" i="7" s="1"/>
  <c r="J148" i="5"/>
  <c r="K147" i="5"/>
  <c r="L147" i="5" s="1"/>
  <c r="Q78" i="5"/>
  <c r="N79" i="5" s="1"/>
  <c r="O79" i="5" s="1"/>
  <c r="R79" i="5" s="1"/>
  <c r="R62" i="4"/>
  <c r="N63" i="4" s="1"/>
  <c r="L180" i="4"/>
  <c r="M180" i="4" s="1"/>
  <c r="J182" i="4"/>
  <c r="K181" i="4"/>
  <c r="J148" i="7" l="1"/>
  <c r="K147" i="7"/>
  <c r="L147" i="7" s="1"/>
  <c r="Q78" i="7"/>
  <c r="N79" i="7" s="1"/>
  <c r="O79" i="7" s="1"/>
  <c r="R79" i="7" s="1"/>
  <c r="P79" i="5"/>
  <c r="M80" i="5" s="1"/>
  <c r="J149" i="5"/>
  <c r="K148" i="5"/>
  <c r="L148" i="5" s="1"/>
  <c r="S62" i="4"/>
  <c r="J183" i="4"/>
  <c r="K182" i="4"/>
  <c r="L181" i="4"/>
  <c r="M181" i="4" s="1"/>
  <c r="P79" i="7" l="1"/>
  <c r="M80" i="7" s="1"/>
  <c r="J149" i="7"/>
  <c r="K148" i="7"/>
  <c r="L148" i="7" s="1"/>
  <c r="J150" i="5"/>
  <c r="K149" i="5"/>
  <c r="L149" i="5" s="1"/>
  <c r="Q79" i="5"/>
  <c r="N80" i="5" s="1"/>
  <c r="O80" i="5" s="1"/>
  <c r="R80" i="5" s="1"/>
  <c r="O63" i="4"/>
  <c r="T62" i="4"/>
  <c r="P63" i="4" s="1"/>
  <c r="Q63" i="4" s="1"/>
  <c r="U63" i="4" s="1"/>
  <c r="J184" i="4"/>
  <c r="K183" i="4"/>
  <c r="L182" i="4"/>
  <c r="M182" i="4" s="1"/>
  <c r="J150" i="7" l="1"/>
  <c r="K149" i="7"/>
  <c r="L149" i="7" s="1"/>
  <c r="Q79" i="7"/>
  <c r="N80" i="7" s="1"/>
  <c r="O80" i="7" s="1"/>
  <c r="R80" i="7" s="1"/>
  <c r="P80" i="5"/>
  <c r="M81" i="5" s="1"/>
  <c r="J151" i="5"/>
  <c r="K150" i="5"/>
  <c r="L150" i="5" s="1"/>
  <c r="R63" i="4"/>
  <c r="N64" i="4" s="1"/>
  <c r="L183" i="4"/>
  <c r="M183" i="4" s="1"/>
  <c r="J185" i="4"/>
  <c r="K184" i="4"/>
  <c r="L184" i="4" s="1"/>
  <c r="P80" i="7" l="1"/>
  <c r="M81" i="7" s="1"/>
  <c r="J151" i="7"/>
  <c r="K150" i="7"/>
  <c r="L150" i="7" s="1"/>
  <c r="J152" i="5"/>
  <c r="K151" i="5"/>
  <c r="L151" i="5" s="1"/>
  <c r="Q80" i="5"/>
  <c r="N81" i="5" s="1"/>
  <c r="O81" i="5" s="1"/>
  <c r="R81" i="5" s="1"/>
  <c r="S63" i="4"/>
  <c r="J186" i="4"/>
  <c r="K185" i="4"/>
  <c r="L185" i="4" s="1"/>
  <c r="M184" i="4"/>
  <c r="J152" i="7" l="1"/>
  <c r="K151" i="7"/>
  <c r="L151" i="7" s="1"/>
  <c r="Q80" i="7"/>
  <c r="N81" i="7" s="1"/>
  <c r="O81" i="7" s="1"/>
  <c r="R81" i="7" s="1"/>
  <c r="P81" i="5"/>
  <c r="M82" i="5" s="1"/>
  <c r="J153" i="5"/>
  <c r="K152" i="5"/>
  <c r="L152" i="5" s="1"/>
  <c r="M185" i="4"/>
  <c r="O64" i="4"/>
  <c r="T63" i="4"/>
  <c r="P64" i="4" s="1"/>
  <c r="Q64" i="4" s="1"/>
  <c r="U64" i="4" s="1"/>
  <c r="K186" i="4"/>
  <c r="L186" i="4" s="1"/>
  <c r="J187" i="4"/>
  <c r="P81" i="7" l="1"/>
  <c r="M82" i="7" s="1"/>
  <c r="J153" i="7"/>
  <c r="K152" i="7"/>
  <c r="L152" i="7" s="1"/>
  <c r="J154" i="5"/>
  <c r="K153" i="5"/>
  <c r="L153" i="5" s="1"/>
  <c r="Q81" i="5"/>
  <c r="N82" i="5" s="1"/>
  <c r="O82" i="5" s="1"/>
  <c r="R82" i="5" s="1"/>
  <c r="R64" i="4"/>
  <c r="N65" i="4" s="1"/>
  <c r="M186" i="4"/>
  <c r="J188" i="4"/>
  <c r="K187" i="4"/>
  <c r="L187" i="4" s="1"/>
  <c r="J154" i="7" l="1"/>
  <c r="K153" i="7"/>
  <c r="L153" i="7" s="1"/>
  <c r="Q81" i="7"/>
  <c r="N82" i="7" s="1"/>
  <c r="O82" i="7" s="1"/>
  <c r="R82" i="7" s="1"/>
  <c r="P82" i="5"/>
  <c r="M83" i="5" s="1"/>
  <c r="J155" i="5"/>
  <c r="K154" i="5"/>
  <c r="L154" i="5" s="1"/>
  <c r="S64" i="4"/>
  <c r="O65" i="4" s="1"/>
  <c r="M187" i="4"/>
  <c r="K188" i="4"/>
  <c r="L188" i="4" s="1"/>
  <c r="J189" i="4"/>
  <c r="P82" i="7" l="1"/>
  <c r="M83" i="7" s="1"/>
  <c r="K154" i="7"/>
  <c r="L154" i="7" s="1"/>
  <c r="J155" i="7"/>
  <c r="J156" i="5"/>
  <c r="K155" i="5"/>
  <c r="L155" i="5" s="1"/>
  <c r="Q82" i="5"/>
  <c r="N83" i="5" s="1"/>
  <c r="O83" i="5" s="1"/>
  <c r="R83" i="5" s="1"/>
  <c r="T64" i="4"/>
  <c r="P65" i="4" s="1"/>
  <c r="Q65" i="4" s="1"/>
  <c r="U65" i="4" s="1"/>
  <c r="M188" i="4"/>
  <c r="J190" i="4"/>
  <c r="K189" i="4"/>
  <c r="L189" i="4" s="1"/>
  <c r="K155" i="7" l="1"/>
  <c r="L155" i="7" s="1"/>
  <c r="J156" i="7"/>
  <c r="Q82" i="7"/>
  <c r="N83" i="7" s="1"/>
  <c r="O83" i="7" s="1"/>
  <c r="R83" i="7" s="1"/>
  <c r="P83" i="5"/>
  <c r="M84" i="5" s="1"/>
  <c r="J157" i="5"/>
  <c r="K156" i="5"/>
  <c r="L156" i="5" s="1"/>
  <c r="R65" i="4"/>
  <c r="N66" i="4" s="1"/>
  <c r="J191" i="4"/>
  <c r="K190" i="4"/>
  <c r="L190" i="4" s="1"/>
  <c r="M189" i="4"/>
  <c r="P83" i="7" l="1"/>
  <c r="M84" i="7" s="1"/>
  <c r="J157" i="7"/>
  <c r="K156" i="7"/>
  <c r="L156" i="7" s="1"/>
  <c r="J158" i="5"/>
  <c r="K157" i="5"/>
  <c r="L157" i="5" s="1"/>
  <c r="Q83" i="5"/>
  <c r="N84" i="5" s="1"/>
  <c r="O84" i="5" s="1"/>
  <c r="R84" i="5" s="1"/>
  <c r="S65" i="4"/>
  <c r="M190" i="4"/>
  <c r="J192" i="4"/>
  <c r="K191" i="4"/>
  <c r="L191" i="4" s="1"/>
  <c r="K157" i="7" l="1"/>
  <c r="J158" i="7"/>
  <c r="L157" i="7"/>
  <c r="Q83" i="7"/>
  <c r="N84" i="7" s="1"/>
  <c r="O84" i="7" s="1"/>
  <c r="R84" i="7" s="1"/>
  <c r="P84" i="5"/>
  <c r="M85" i="5" s="1"/>
  <c r="J159" i="5"/>
  <c r="K158" i="5"/>
  <c r="L158" i="5" s="1"/>
  <c r="O66" i="4"/>
  <c r="T65" i="4"/>
  <c r="P66" i="4" s="1"/>
  <c r="M191" i="4"/>
  <c r="J193" i="4"/>
  <c r="K192" i="4"/>
  <c r="L192" i="4" s="1"/>
  <c r="P84" i="7" l="1"/>
  <c r="M85" i="7" s="1"/>
  <c r="J159" i="7"/>
  <c r="K158" i="7"/>
  <c r="L158" i="7" s="1"/>
  <c r="Q84" i="5"/>
  <c r="N85" i="5" s="1"/>
  <c r="O85" i="5" s="1"/>
  <c r="R85" i="5" s="1"/>
  <c r="K159" i="5"/>
  <c r="L159" i="5" s="1"/>
  <c r="J160" i="5"/>
  <c r="M192" i="4"/>
  <c r="Q66" i="4"/>
  <c r="U66" i="4" s="1"/>
  <c r="J194" i="4"/>
  <c r="K193" i="4"/>
  <c r="L193" i="4" s="1"/>
  <c r="Q84" i="7" l="1"/>
  <c r="N85" i="7" s="1"/>
  <c r="O85" i="7" s="1"/>
  <c r="R85" i="7" s="1"/>
  <c r="J160" i="7"/>
  <c r="K159" i="7"/>
  <c r="L159" i="7" s="1"/>
  <c r="P85" i="5"/>
  <c r="M86" i="5" s="1"/>
  <c r="K160" i="5"/>
  <c r="L160" i="5" s="1"/>
  <c r="J161" i="5"/>
  <c r="R66" i="4"/>
  <c r="N67" i="4" s="1"/>
  <c r="M193" i="4"/>
  <c r="K194" i="4"/>
  <c r="J195" i="4"/>
  <c r="P85" i="7" l="1"/>
  <c r="M86" i="7" s="1"/>
  <c r="K160" i="7"/>
  <c r="L160" i="7" s="1"/>
  <c r="J161" i="7"/>
  <c r="Q85" i="5"/>
  <c r="N86" i="5" s="1"/>
  <c r="K161" i="5"/>
  <c r="L161" i="5" s="1"/>
  <c r="J162" i="5"/>
  <c r="O86" i="5"/>
  <c r="R86" i="5" s="1"/>
  <c r="S66" i="4"/>
  <c r="L194" i="4"/>
  <c r="M194" i="4" s="1"/>
  <c r="J196" i="4"/>
  <c r="K195" i="4"/>
  <c r="J162" i="7" l="1"/>
  <c r="K161" i="7"/>
  <c r="L161" i="7" s="1"/>
  <c r="Q85" i="7"/>
  <c r="N86" i="7" s="1"/>
  <c r="O86" i="7" s="1"/>
  <c r="R86" i="7" s="1"/>
  <c r="J163" i="5"/>
  <c r="K162" i="5"/>
  <c r="L162" i="5" s="1"/>
  <c r="P86" i="5"/>
  <c r="M87" i="5" s="1"/>
  <c r="O67" i="4"/>
  <c r="T66" i="4"/>
  <c r="P67" i="4" s="1"/>
  <c r="Q67" i="4" s="1"/>
  <c r="U67" i="4" s="1"/>
  <c r="K196" i="4"/>
  <c r="L196" i="4" s="1"/>
  <c r="J197" i="4"/>
  <c r="L195" i="4"/>
  <c r="M195" i="4" s="1"/>
  <c r="P86" i="7" l="1"/>
  <c r="M87" i="7" s="1"/>
  <c r="J163" i="7"/>
  <c r="K162" i="7"/>
  <c r="L162" i="7" s="1"/>
  <c r="Q86" i="5"/>
  <c r="N87" i="5" s="1"/>
  <c r="O87" i="5" s="1"/>
  <c r="R87" i="5" s="1"/>
  <c r="J164" i="5"/>
  <c r="K163" i="5"/>
  <c r="L163" i="5" s="1"/>
  <c r="R67" i="4"/>
  <c r="N68" i="4" s="1"/>
  <c r="J198" i="4"/>
  <c r="K197" i="4"/>
  <c r="M196" i="4"/>
  <c r="J164" i="7" l="1"/>
  <c r="K163" i="7"/>
  <c r="L163" i="7" s="1"/>
  <c r="Q86" i="7"/>
  <c r="N87" i="7" s="1"/>
  <c r="O87" i="7" s="1"/>
  <c r="R87" i="7" s="1"/>
  <c r="P87" i="5"/>
  <c r="M88" i="5" s="1"/>
  <c r="J165" i="5"/>
  <c r="K164" i="5"/>
  <c r="L164" i="5" s="1"/>
  <c r="S67" i="4"/>
  <c r="L197" i="4"/>
  <c r="M197" i="4" s="1"/>
  <c r="J199" i="4"/>
  <c r="K198" i="4"/>
  <c r="L198" i="4" s="1"/>
  <c r="M198" i="4" s="1"/>
  <c r="P87" i="7" l="1"/>
  <c r="M88" i="7" s="1"/>
  <c r="J165" i="7"/>
  <c r="K164" i="7"/>
  <c r="L164" i="7" s="1"/>
  <c r="J166" i="5"/>
  <c r="K165" i="5"/>
  <c r="L165" i="5" s="1"/>
  <c r="Q87" i="5"/>
  <c r="N88" i="5" s="1"/>
  <c r="O88" i="5" s="1"/>
  <c r="R88" i="5" s="1"/>
  <c r="O68" i="4"/>
  <c r="T67" i="4"/>
  <c r="P68" i="4" s="1"/>
  <c r="Q68" i="4" s="1"/>
  <c r="U68" i="4" s="1"/>
  <c r="J200" i="4"/>
  <c r="K199" i="4"/>
  <c r="J166" i="7" l="1"/>
  <c r="K165" i="7"/>
  <c r="L165" i="7" s="1"/>
  <c r="Q87" i="7"/>
  <c r="N88" i="7" s="1"/>
  <c r="O88" i="7" s="1"/>
  <c r="R88" i="7" s="1"/>
  <c r="P88" i="5"/>
  <c r="M89" i="5" s="1"/>
  <c r="J167" i="5"/>
  <c r="K166" i="5"/>
  <c r="L166" i="5" s="1"/>
  <c r="R68" i="4"/>
  <c r="N69" i="4" s="1"/>
  <c r="L199" i="4"/>
  <c r="M199" i="4" s="1"/>
  <c r="J201" i="4"/>
  <c r="K200" i="4"/>
  <c r="P88" i="7" l="1"/>
  <c r="M89" i="7" s="1"/>
  <c r="J167" i="7"/>
  <c r="K166" i="7"/>
  <c r="L166" i="7" s="1"/>
  <c r="Q88" i="5"/>
  <c r="N89" i="5" s="1"/>
  <c r="O89" i="5" s="1"/>
  <c r="R89" i="5" s="1"/>
  <c r="K167" i="5"/>
  <c r="L167" i="5" s="1"/>
  <c r="J168" i="5"/>
  <c r="S68" i="4"/>
  <c r="L200" i="4"/>
  <c r="M200" i="4" s="1"/>
  <c r="J202" i="4"/>
  <c r="K201" i="4"/>
  <c r="L201" i="4" s="1"/>
  <c r="J168" i="7" l="1"/>
  <c r="K167" i="7"/>
  <c r="L167" i="7" s="1"/>
  <c r="Q88" i="7"/>
  <c r="N89" i="7" s="1"/>
  <c r="O89" i="7" s="1"/>
  <c r="R89" i="7" s="1"/>
  <c r="P89" i="5"/>
  <c r="M90" i="5" s="1"/>
  <c r="J169" i="5"/>
  <c r="K168" i="5"/>
  <c r="L168" i="5" s="1"/>
  <c r="O69" i="4"/>
  <c r="T68" i="4"/>
  <c r="P69" i="4" s="1"/>
  <c r="M201" i="4"/>
  <c r="K202" i="4"/>
  <c r="J203" i="4"/>
  <c r="P89" i="7" l="1"/>
  <c r="M90" i="7" s="1"/>
  <c r="J169" i="7"/>
  <c r="K168" i="7"/>
  <c r="L168" i="7" s="1"/>
  <c r="J170" i="5"/>
  <c r="K169" i="5"/>
  <c r="L169" i="5" s="1"/>
  <c r="Q89" i="5"/>
  <c r="N90" i="5" s="1"/>
  <c r="O90" i="5" s="1"/>
  <c r="R90" i="5" s="1"/>
  <c r="Q69" i="4"/>
  <c r="U69" i="4" s="1"/>
  <c r="L202" i="4"/>
  <c r="M202" i="4" s="1"/>
  <c r="J204" i="4"/>
  <c r="K203" i="4"/>
  <c r="L203" i="4" s="1"/>
  <c r="M203" i="4" s="1"/>
  <c r="J170" i="7" l="1"/>
  <c r="K169" i="7"/>
  <c r="L169" i="7" s="1"/>
  <c r="Q89" i="7"/>
  <c r="N90" i="7" s="1"/>
  <c r="O90" i="7" s="1"/>
  <c r="R90" i="7" s="1"/>
  <c r="P90" i="5"/>
  <c r="M91" i="5" s="1"/>
  <c r="K170" i="5"/>
  <c r="L170" i="5" s="1"/>
  <c r="J171" i="5"/>
  <c r="R69" i="4"/>
  <c r="N70" i="4" s="1"/>
  <c r="K204" i="4"/>
  <c r="J205" i="4"/>
  <c r="P90" i="7" l="1"/>
  <c r="M91" i="7" s="1"/>
  <c r="K170" i="7"/>
  <c r="L170" i="7" s="1"/>
  <c r="J171" i="7"/>
  <c r="J172" i="5"/>
  <c r="K171" i="5"/>
  <c r="L171" i="5" s="1"/>
  <c r="Q90" i="5"/>
  <c r="N91" i="5" s="1"/>
  <c r="O91" i="5" s="1"/>
  <c r="R91" i="5" s="1"/>
  <c r="S69" i="4"/>
  <c r="O70" i="4" s="1"/>
  <c r="L204" i="4"/>
  <c r="M204" i="4" s="1"/>
  <c r="J206" i="4"/>
  <c r="K205" i="4"/>
  <c r="L205" i="4" s="1"/>
  <c r="J172" i="7" l="1"/>
  <c r="K171" i="7"/>
  <c r="L171" i="7" s="1"/>
  <c r="Q90" i="7"/>
  <c r="N91" i="7" s="1"/>
  <c r="O91" i="7" s="1"/>
  <c r="R91" i="7" s="1"/>
  <c r="P91" i="5"/>
  <c r="M92" i="5" s="1"/>
  <c r="J173" i="5"/>
  <c r="K172" i="5"/>
  <c r="L172" i="5" s="1"/>
  <c r="T69" i="4"/>
  <c r="P70" i="4" s="1"/>
  <c r="Q70" i="4" s="1"/>
  <c r="U70" i="4" s="1"/>
  <c r="M205" i="4"/>
  <c r="J207" i="4"/>
  <c r="K206" i="4"/>
  <c r="L206" i="4" s="1"/>
  <c r="P91" i="7" l="1"/>
  <c r="J173" i="7"/>
  <c r="K172" i="7"/>
  <c r="L172" i="7" s="1"/>
  <c r="J174" i="5"/>
  <c r="K173" i="5"/>
  <c r="L173" i="5" s="1"/>
  <c r="Q91" i="5"/>
  <c r="N92" i="5" s="1"/>
  <c r="O92" i="5" s="1"/>
  <c r="R92" i="5" s="1"/>
  <c r="R70" i="4"/>
  <c r="N71" i="4" s="1"/>
  <c r="J208" i="4"/>
  <c r="K207" i="4"/>
  <c r="M206" i="4"/>
  <c r="J174" i="7" l="1"/>
  <c r="K173" i="7"/>
  <c r="L173" i="7" s="1"/>
  <c r="Q91" i="7"/>
  <c r="O92" i="7" s="1"/>
  <c r="R92" i="7" s="1"/>
  <c r="P92" i="5"/>
  <c r="M93" i="5" s="1"/>
  <c r="J175" i="5"/>
  <c r="K174" i="5"/>
  <c r="L174" i="5" s="1"/>
  <c r="S70" i="4"/>
  <c r="L207" i="4"/>
  <c r="M207" i="4" s="1"/>
  <c r="J209" i="4"/>
  <c r="K208" i="4"/>
  <c r="L208" i="4" s="1"/>
  <c r="P92" i="7" l="1"/>
  <c r="M93" i="7" s="1"/>
  <c r="J175" i="7"/>
  <c r="K174" i="7"/>
  <c r="L174" i="7" s="1"/>
  <c r="K175" i="5"/>
  <c r="L175" i="5" s="1"/>
  <c r="J176" i="5"/>
  <c r="Q92" i="5"/>
  <c r="N93" i="5" s="1"/>
  <c r="O93" i="5" s="1"/>
  <c r="R93" i="5" s="1"/>
  <c r="O71" i="4"/>
  <c r="T70" i="4"/>
  <c r="P71" i="4" s="1"/>
  <c r="Q71" i="4" s="1"/>
  <c r="U71" i="4" s="1"/>
  <c r="M208" i="4"/>
  <c r="J210" i="4"/>
  <c r="K209" i="4"/>
  <c r="L209" i="4" s="1"/>
  <c r="J176" i="7" l="1"/>
  <c r="K175" i="7"/>
  <c r="L175" i="7" s="1"/>
  <c r="Q92" i="7"/>
  <c r="N93" i="7" s="1"/>
  <c r="O93" i="7" s="1"/>
  <c r="R93" i="7" s="1"/>
  <c r="P93" i="5"/>
  <c r="M94" i="5" s="1"/>
  <c r="J177" i="5"/>
  <c r="K176" i="5"/>
  <c r="L176" i="5" s="1"/>
  <c r="M209" i="4"/>
  <c r="R71" i="4"/>
  <c r="N72" i="4" s="1"/>
  <c r="K210" i="4"/>
  <c r="J211" i="4"/>
  <c r="P93" i="7" l="1"/>
  <c r="M94" i="7" s="1"/>
  <c r="J177" i="7"/>
  <c r="K176" i="7"/>
  <c r="L176" i="7" s="1"/>
  <c r="Q93" i="5"/>
  <c r="N94" i="5" s="1"/>
  <c r="O94" i="5" s="1"/>
  <c r="R94" i="5" s="1"/>
  <c r="J178" i="5"/>
  <c r="K177" i="5"/>
  <c r="L177" i="5" s="1"/>
  <c r="S71" i="4"/>
  <c r="J212" i="4"/>
  <c r="K211" i="4"/>
  <c r="L211" i="4" s="1"/>
  <c r="L210" i="4"/>
  <c r="M210" i="4" s="1"/>
  <c r="J178" i="7" l="1"/>
  <c r="K177" i="7"/>
  <c r="L177" i="7" s="1"/>
  <c r="Q93" i="7"/>
  <c r="N94" i="7" s="1"/>
  <c r="O94" i="7" s="1"/>
  <c r="R94" i="7" s="1"/>
  <c r="P94" i="5"/>
  <c r="M95" i="5" s="1"/>
  <c r="J179" i="5"/>
  <c r="K178" i="5"/>
  <c r="L178" i="5" s="1"/>
  <c r="O72" i="4"/>
  <c r="T71" i="4"/>
  <c r="P72" i="4" s="1"/>
  <c r="M211" i="4"/>
  <c r="K212" i="4"/>
  <c r="L212" i="4" s="1"/>
  <c r="J213" i="4"/>
  <c r="P94" i="7" l="1"/>
  <c r="M95" i="7" s="1"/>
  <c r="J179" i="7"/>
  <c r="K178" i="7"/>
  <c r="L178" i="7" s="1"/>
  <c r="J180" i="5"/>
  <c r="K179" i="5"/>
  <c r="L179" i="5" s="1"/>
  <c r="Q94" i="5"/>
  <c r="N95" i="5" s="1"/>
  <c r="O95" i="5" s="1"/>
  <c r="R95" i="5" s="1"/>
  <c r="Q72" i="4"/>
  <c r="U72" i="4" s="1"/>
  <c r="J214" i="4"/>
  <c r="K213" i="4"/>
  <c r="L213" i="4" s="1"/>
  <c r="M212" i="4"/>
  <c r="J180" i="7" l="1"/>
  <c r="K179" i="7"/>
  <c r="L179" i="7" s="1"/>
  <c r="Q94" i="7"/>
  <c r="N95" i="7" s="1"/>
  <c r="O95" i="7" s="1"/>
  <c r="R95" i="7" s="1"/>
  <c r="P95" i="5"/>
  <c r="M96" i="5" s="1"/>
  <c r="J181" i="5"/>
  <c r="K180" i="5"/>
  <c r="L180" i="5" s="1"/>
  <c r="R72" i="4"/>
  <c r="N73" i="4" s="1"/>
  <c r="M213" i="4"/>
  <c r="J215" i="4"/>
  <c r="K214" i="4"/>
  <c r="P95" i="7" l="1"/>
  <c r="M96" i="7" s="1"/>
  <c r="J181" i="7"/>
  <c r="K180" i="7"/>
  <c r="L180" i="7" s="1"/>
  <c r="S72" i="4"/>
  <c r="O73" i="4" s="1"/>
  <c r="J182" i="5"/>
  <c r="K181" i="5"/>
  <c r="L181" i="5" s="1"/>
  <c r="Q95" i="5"/>
  <c r="N96" i="5" s="1"/>
  <c r="O96" i="5" s="1"/>
  <c r="R96" i="5" s="1"/>
  <c r="L214" i="4"/>
  <c r="M214" i="4" s="1"/>
  <c r="J216" i="4"/>
  <c r="K215" i="4"/>
  <c r="J182" i="7" l="1"/>
  <c r="K181" i="7"/>
  <c r="L181" i="7" s="1"/>
  <c r="Q95" i="7"/>
  <c r="N96" i="7" s="1"/>
  <c r="O96" i="7" s="1"/>
  <c r="R96" i="7" s="1"/>
  <c r="T72" i="4"/>
  <c r="P73" i="4" s="1"/>
  <c r="Q73" i="4" s="1"/>
  <c r="U73" i="4" s="1"/>
  <c r="R73" i="4" s="1"/>
  <c r="N74" i="4" s="1"/>
  <c r="P96" i="5"/>
  <c r="M97" i="5" s="1"/>
  <c r="J183" i="5"/>
  <c r="K182" i="5"/>
  <c r="L182" i="5" s="1"/>
  <c r="L215" i="4"/>
  <c r="M215" i="4" s="1"/>
  <c r="J217" i="4"/>
  <c r="K216" i="4"/>
  <c r="L216" i="4" s="1"/>
  <c r="M216" i="4" s="1"/>
  <c r="P96" i="7" l="1"/>
  <c r="M97" i="7" s="1"/>
  <c r="J183" i="7"/>
  <c r="K182" i="7"/>
  <c r="L182" i="7" s="1"/>
  <c r="S73" i="4"/>
  <c r="O74" i="4" s="1"/>
  <c r="J184" i="5"/>
  <c r="K183" i="5"/>
  <c r="L183" i="5" s="1"/>
  <c r="Q96" i="5"/>
  <c r="N97" i="5" s="1"/>
  <c r="O97" i="5" s="1"/>
  <c r="R97" i="5" s="1"/>
  <c r="J218" i="4"/>
  <c r="K217" i="4"/>
  <c r="L217" i="4"/>
  <c r="Q96" i="7" l="1"/>
  <c r="N97" i="7" s="1"/>
  <c r="O97" i="7" s="1"/>
  <c r="R97" i="7" s="1"/>
  <c r="J184" i="7"/>
  <c r="K183" i="7"/>
  <c r="L183" i="7" s="1"/>
  <c r="T73" i="4"/>
  <c r="P74" i="4" s="1"/>
  <c r="Q74" i="4" s="1"/>
  <c r="U74" i="4" s="1"/>
  <c r="R74" i="4" s="1"/>
  <c r="N75" i="4" s="1"/>
  <c r="P97" i="5"/>
  <c r="M98" i="5" s="1"/>
  <c r="J185" i="5"/>
  <c r="K184" i="5"/>
  <c r="L184" i="5" s="1"/>
  <c r="M217" i="4"/>
  <c r="K218" i="4"/>
  <c r="J219" i="4"/>
  <c r="P97" i="7" l="1"/>
  <c r="M98" i="7" s="1"/>
  <c r="J185" i="7"/>
  <c r="K184" i="7"/>
  <c r="L184" i="7" s="1"/>
  <c r="Q97" i="5"/>
  <c r="N98" i="5" s="1"/>
  <c r="O98" i="5" s="1"/>
  <c r="R98" i="5" s="1"/>
  <c r="J186" i="5"/>
  <c r="K185" i="5"/>
  <c r="L185" i="5" s="1"/>
  <c r="S74" i="4"/>
  <c r="L218" i="4"/>
  <c r="M218" i="4" s="1"/>
  <c r="J220" i="4"/>
  <c r="K219" i="4"/>
  <c r="L219" i="4" s="1"/>
  <c r="J186" i="7" l="1"/>
  <c r="K185" i="7"/>
  <c r="L185" i="7" s="1"/>
  <c r="Q97" i="7"/>
  <c r="N98" i="7" s="1"/>
  <c r="O98" i="7" s="1"/>
  <c r="R98" i="7" s="1"/>
  <c r="P98" i="5"/>
  <c r="M99" i="5" s="1"/>
  <c r="J187" i="5"/>
  <c r="K186" i="5"/>
  <c r="L186" i="5" s="1"/>
  <c r="O75" i="4"/>
  <c r="T74" i="4"/>
  <c r="P75" i="4" s="1"/>
  <c r="K220" i="4"/>
  <c r="L220" i="4" s="1"/>
  <c r="J221" i="4"/>
  <c r="M219" i="4"/>
  <c r="P98" i="7" l="1"/>
  <c r="M99" i="7" s="1"/>
  <c r="K186" i="7"/>
  <c r="L186" i="7" s="1"/>
  <c r="J187" i="7"/>
  <c r="J188" i="5"/>
  <c r="K187" i="5"/>
  <c r="L187" i="5" s="1"/>
  <c r="Q98" i="5"/>
  <c r="N99" i="5" s="1"/>
  <c r="O99" i="5" s="1"/>
  <c r="R99" i="5" s="1"/>
  <c r="Q75" i="4"/>
  <c r="U75" i="4" s="1"/>
  <c r="J222" i="4"/>
  <c r="K221" i="4"/>
  <c r="L221" i="4" s="1"/>
  <c r="M220" i="4"/>
  <c r="J188" i="7" l="1"/>
  <c r="K187" i="7"/>
  <c r="L187" i="7" s="1"/>
  <c r="Q98" i="7"/>
  <c r="N99" i="7" s="1"/>
  <c r="O99" i="7" s="1"/>
  <c r="R99" i="7" s="1"/>
  <c r="P99" i="5"/>
  <c r="M100" i="5" s="1"/>
  <c r="J189" i="5"/>
  <c r="K188" i="5"/>
  <c r="L188" i="5" s="1"/>
  <c r="R75" i="4"/>
  <c r="N76" i="4" s="1"/>
  <c r="M221" i="4"/>
  <c r="J223" i="4"/>
  <c r="K222" i="4"/>
  <c r="L222" i="4" s="1"/>
  <c r="P99" i="7" l="1"/>
  <c r="M100" i="7" s="1"/>
  <c r="J189" i="7"/>
  <c r="K188" i="7"/>
  <c r="L188" i="7" s="1"/>
  <c r="S75" i="4"/>
  <c r="O76" i="4" s="1"/>
  <c r="K189" i="5"/>
  <c r="L189" i="5" s="1"/>
  <c r="J190" i="5"/>
  <c r="Q99" i="5"/>
  <c r="N100" i="5" s="1"/>
  <c r="O100" i="5" s="1"/>
  <c r="R100" i="5" s="1"/>
  <c r="J224" i="4"/>
  <c r="K223" i="4"/>
  <c r="M222" i="4"/>
  <c r="J190" i="7" l="1"/>
  <c r="K189" i="7"/>
  <c r="L189" i="7" s="1"/>
  <c r="Q99" i="7"/>
  <c r="N100" i="7" s="1"/>
  <c r="O100" i="7" s="1"/>
  <c r="R100" i="7" s="1"/>
  <c r="T75" i="4"/>
  <c r="P76" i="4" s="1"/>
  <c r="Q76" i="4" s="1"/>
  <c r="U76" i="4" s="1"/>
  <c r="R76" i="4" s="1"/>
  <c r="N77" i="4" s="1"/>
  <c r="P100" i="5"/>
  <c r="M101" i="5" s="1"/>
  <c r="J191" i="5"/>
  <c r="K190" i="5"/>
  <c r="L190" i="5" s="1"/>
  <c r="L223" i="4"/>
  <c r="M223" i="4" s="1"/>
  <c r="J225" i="4"/>
  <c r="K224" i="4"/>
  <c r="P100" i="7" l="1"/>
  <c r="M101" i="7" s="1"/>
  <c r="K190" i="7"/>
  <c r="L190" i="7" s="1"/>
  <c r="J191" i="7"/>
  <c r="J192" i="5"/>
  <c r="K191" i="5"/>
  <c r="L191" i="5" s="1"/>
  <c r="Q100" i="5"/>
  <c r="N101" i="5" s="1"/>
  <c r="O101" i="5" s="1"/>
  <c r="R101" i="5" s="1"/>
  <c r="S76" i="4"/>
  <c r="L224" i="4"/>
  <c r="M224" i="4" s="1"/>
  <c r="J226" i="4"/>
  <c r="K225" i="4"/>
  <c r="L225" i="4" s="1"/>
  <c r="Q100" i="7" l="1"/>
  <c r="N101" i="7" s="1"/>
  <c r="O101" i="7" s="1"/>
  <c r="R101" i="7" s="1"/>
  <c r="J192" i="7"/>
  <c r="K191" i="7"/>
  <c r="L191" i="7" s="1"/>
  <c r="P101" i="5"/>
  <c r="M102" i="5" s="1"/>
  <c r="J193" i="5"/>
  <c r="K192" i="5"/>
  <c r="L192" i="5" s="1"/>
  <c r="O77" i="4"/>
  <c r="T76" i="4"/>
  <c r="P77" i="4" s="1"/>
  <c r="M225" i="4"/>
  <c r="K226" i="4"/>
  <c r="L226" i="4" s="1"/>
  <c r="J227" i="4"/>
  <c r="J193" i="7" l="1"/>
  <c r="K192" i="7"/>
  <c r="L192" i="7" s="1"/>
  <c r="P101" i="7"/>
  <c r="M102" i="7" s="1"/>
  <c r="J194" i="5"/>
  <c r="K193" i="5"/>
  <c r="L193" i="5" s="1"/>
  <c r="Q101" i="5"/>
  <c r="N102" i="5" s="1"/>
  <c r="O102" i="5" s="1"/>
  <c r="R102" i="5" s="1"/>
  <c r="Q77" i="4"/>
  <c r="U77" i="4" s="1"/>
  <c r="J228" i="4"/>
  <c r="K227" i="4"/>
  <c r="M226" i="4"/>
  <c r="Q101" i="7" l="1"/>
  <c r="N102" i="7" s="1"/>
  <c r="O102" i="7" s="1"/>
  <c r="R102" i="7" s="1"/>
  <c r="J194" i="7"/>
  <c r="K193" i="7"/>
  <c r="L193" i="7" s="1"/>
  <c r="P102" i="5"/>
  <c r="M103" i="5" s="1"/>
  <c r="J195" i="5"/>
  <c r="K194" i="5"/>
  <c r="L194" i="5" s="1"/>
  <c r="R77" i="4"/>
  <c r="N78" i="4" s="1"/>
  <c r="J229" i="4"/>
  <c r="K228" i="4"/>
  <c r="L228" i="4" s="1"/>
  <c r="L227" i="4"/>
  <c r="M227" i="4" s="1"/>
  <c r="J195" i="7" l="1"/>
  <c r="K194" i="7"/>
  <c r="L194" i="7" s="1"/>
  <c r="P102" i="7"/>
  <c r="M103" i="7" s="1"/>
  <c r="K195" i="5"/>
  <c r="L195" i="5" s="1"/>
  <c r="J196" i="5"/>
  <c r="Q102" i="5"/>
  <c r="N103" i="5" s="1"/>
  <c r="O103" i="5" s="1"/>
  <c r="R103" i="5" s="1"/>
  <c r="S77" i="4"/>
  <c r="M228" i="4"/>
  <c r="J230" i="4"/>
  <c r="K229" i="4"/>
  <c r="Q102" i="7" l="1"/>
  <c r="N103" i="7" s="1"/>
  <c r="O103" i="7" s="1"/>
  <c r="R103" i="7" s="1"/>
  <c r="J196" i="7"/>
  <c r="K195" i="7"/>
  <c r="L195" i="7" s="1"/>
  <c r="P103" i="5"/>
  <c r="M104" i="5" s="1"/>
  <c r="J197" i="5"/>
  <c r="K196" i="5"/>
  <c r="L196" i="5" s="1"/>
  <c r="O78" i="4"/>
  <c r="T77" i="4"/>
  <c r="P78" i="4" s="1"/>
  <c r="Q78" i="4" s="1"/>
  <c r="U78" i="4" s="1"/>
  <c r="J231" i="4"/>
  <c r="K230" i="4"/>
  <c r="L229" i="4"/>
  <c r="M229" i="4" s="1"/>
  <c r="J197" i="7" l="1"/>
  <c r="K196" i="7"/>
  <c r="L196" i="7" s="1"/>
  <c r="P103" i="7"/>
  <c r="M104" i="7" s="1"/>
  <c r="J198" i="5"/>
  <c r="K197" i="5"/>
  <c r="L197" i="5" s="1"/>
  <c r="Q103" i="5"/>
  <c r="N104" i="5" s="1"/>
  <c r="O104" i="5" s="1"/>
  <c r="R104" i="5" s="1"/>
  <c r="R78" i="4"/>
  <c r="N79" i="4" s="1"/>
  <c r="L230" i="4"/>
  <c r="M230" i="4" s="1"/>
  <c r="J232" i="4"/>
  <c r="K231" i="4"/>
  <c r="L231" i="4" s="1"/>
  <c r="M231" i="4" s="1"/>
  <c r="Q103" i="7" l="1"/>
  <c r="N104" i="7" s="1"/>
  <c r="O104" i="7" s="1"/>
  <c r="R104" i="7" s="1"/>
  <c r="J198" i="7"/>
  <c r="K197" i="7"/>
  <c r="L197" i="7" s="1"/>
  <c r="P104" i="5"/>
  <c r="M105" i="5" s="1"/>
  <c r="J199" i="5"/>
  <c r="K198" i="5"/>
  <c r="L198" i="5" s="1"/>
  <c r="S78" i="4"/>
  <c r="J233" i="4"/>
  <c r="K232" i="4"/>
  <c r="P104" i="7" l="1"/>
  <c r="M105" i="7" s="1"/>
  <c r="K198" i="7"/>
  <c r="L198" i="7" s="1"/>
  <c r="J199" i="7"/>
  <c r="Q104" i="5"/>
  <c r="N105" i="5" s="1"/>
  <c r="J200" i="5"/>
  <c r="K199" i="5"/>
  <c r="L199" i="5" s="1"/>
  <c r="O105" i="5"/>
  <c r="R105" i="5" s="1"/>
  <c r="O79" i="4"/>
  <c r="T78" i="4"/>
  <c r="P79" i="4" s="1"/>
  <c r="Q79" i="4" s="1"/>
  <c r="U79" i="4" s="1"/>
  <c r="L232" i="4"/>
  <c r="M232" i="4" s="1"/>
  <c r="J234" i="4"/>
  <c r="K233" i="4"/>
  <c r="J200" i="7" l="1"/>
  <c r="K199" i="7"/>
  <c r="L199" i="7" s="1"/>
  <c r="Q104" i="7"/>
  <c r="N105" i="7" s="1"/>
  <c r="O105" i="7" s="1"/>
  <c r="R105" i="7" s="1"/>
  <c r="P105" i="5"/>
  <c r="M106" i="5" s="1"/>
  <c r="J201" i="5"/>
  <c r="K200" i="5"/>
  <c r="L200" i="5" s="1"/>
  <c r="R79" i="4"/>
  <c r="N80" i="4" s="1"/>
  <c r="L233" i="4"/>
  <c r="M233" i="4" s="1"/>
  <c r="K234" i="4"/>
  <c r="L234" i="4" s="1"/>
  <c r="J235" i="4"/>
  <c r="P105" i="7" l="1"/>
  <c r="M106" i="7" s="1"/>
  <c r="J201" i="7"/>
  <c r="K200" i="7"/>
  <c r="L200" i="7" s="1"/>
  <c r="Q105" i="5"/>
  <c r="N106" i="5" s="1"/>
  <c r="J202" i="5"/>
  <c r="K201" i="5"/>
  <c r="L201" i="5" s="1"/>
  <c r="O106" i="5"/>
  <c r="R106" i="5" s="1"/>
  <c r="S79" i="4"/>
  <c r="M234" i="4"/>
  <c r="J236" i="4"/>
  <c r="K235" i="4"/>
  <c r="Q105" i="7" l="1"/>
  <c r="N106" i="7" s="1"/>
  <c r="J202" i="7"/>
  <c r="K201" i="7"/>
  <c r="L201" i="7" s="1"/>
  <c r="O106" i="7"/>
  <c r="R106" i="7" s="1"/>
  <c r="P106" i="5"/>
  <c r="M107" i="5" s="1"/>
  <c r="J203" i="5"/>
  <c r="K202" i="5"/>
  <c r="L202" i="5" s="1"/>
  <c r="O80" i="4"/>
  <c r="T79" i="4"/>
  <c r="P80" i="4" s="1"/>
  <c r="Q80" i="4" s="1"/>
  <c r="U80" i="4" s="1"/>
  <c r="K236" i="4"/>
  <c r="L236" i="4" s="1"/>
  <c r="J237" i="4"/>
  <c r="L235" i="4"/>
  <c r="M235" i="4" s="1"/>
  <c r="P106" i="7" l="1"/>
  <c r="M107" i="7" s="1"/>
  <c r="K202" i="7"/>
  <c r="L202" i="7" s="1"/>
  <c r="J203" i="7"/>
  <c r="J204" i="5"/>
  <c r="K203" i="5"/>
  <c r="L203" i="5" s="1"/>
  <c r="Q106" i="5"/>
  <c r="N107" i="5" s="1"/>
  <c r="O107" i="5" s="1"/>
  <c r="R107" i="5" s="1"/>
  <c r="R80" i="4"/>
  <c r="N81" i="4" s="1"/>
  <c r="M236" i="4"/>
  <c r="J238" i="4"/>
  <c r="K237" i="4"/>
  <c r="L237" i="4" s="1"/>
  <c r="J204" i="7" l="1"/>
  <c r="K203" i="7"/>
  <c r="L203" i="7" s="1"/>
  <c r="Q106" i="7"/>
  <c r="N107" i="7" s="1"/>
  <c r="O107" i="7" s="1"/>
  <c r="R107" i="7" s="1"/>
  <c r="P107" i="5"/>
  <c r="M108" i="5" s="1"/>
  <c r="J205" i="5"/>
  <c r="K204" i="5"/>
  <c r="L204" i="5" s="1"/>
  <c r="S80" i="4"/>
  <c r="O81" i="4" s="1"/>
  <c r="K238" i="4"/>
  <c r="L238" i="4" s="1"/>
  <c r="J239" i="4"/>
  <c r="M237" i="4"/>
  <c r="P107" i="7" l="1"/>
  <c r="M108" i="7" s="1"/>
  <c r="J205" i="7"/>
  <c r="K204" i="7"/>
  <c r="L204" i="7" s="1"/>
  <c r="K205" i="5"/>
  <c r="L205" i="5" s="1"/>
  <c r="J206" i="5"/>
  <c r="Q107" i="5"/>
  <c r="N108" i="5" s="1"/>
  <c r="O108" i="5" s="1"/>
  <c r="R108" i="5" s="1"/>
  <c r="M238" i="4"/>
  <c r="T80" i="4"/>
  <c r="P81" i="4" s="1"/>
  <c r="Q81" i="4" s="1"/>
  <c r="U81" i="4" s="1"/>
  <c r="J240" i="4"/>
  <c r="K239" i="4"/>
  <c r="Q107" i="7" l="1"/>
  <c r="N108" i="7" s="1"/>
  <c r="O108" i="7" s="1"/>
  <c r="R108" i="7" s="1"/>
  <c r="J206" i="7"/>
  <c r="K205" i="7"/>
  <c r="L205" i="7" s="1"/>
  <c r="P108" i="5"/>
  <c r="M109" i="5" s="1"/>
  <c r="J207" i="5"/>
  <c r="K206" i="5"/>
  <c r="L206" i="5" s="1"/>
  <c r="R81" i="4"/>
  <c r="N82" i="4" s="1"/>
  <c r="L239" i="4"/>
  <c r="M239" i="4" s="1"/>
  <c r="K240" i="4"/>
  <c r="L240" i="4" s="1"/>
  <c r="M240" i="4" s="1"/>
  <c r="J241" i="4"/>
  <c r="P108" i="7" l="1"/>
  <c r="M109" i="7" s="1"/>
  <c r="K206" i="7"/>
  <c r="L206" i="7" s="1"/>
  <c r="J207" i="7"/>
  <c r="K207" i="5"/>
  <c r="L207" i="5" s="1"/>
  <c r="J208" i="5"/>
  <c r="Q108" i="5"/>
  <c r="N109" i="5" s="1"/>
  <c r="O109" i="5" s="1"/>
  <c r="R109" i="5" s="1"/>
  <c r="S81" i="4"/>
  <c r="J242" i="4"/>
  <c r="K241" i="4"/>
  <c r="L241" i="4" s="1"/>
  <c r="Q108" i="7" l="1"/>
  <c r="N109" i="7" s="1"/>
  <c r="O109" i="7" s="1"/>
  <c r="R109" i="7" s="1"/>
  <c r="P109" i="7" s="1"/>
  <c r="M110" i="7" s="1"/>
  <c r="J208" i="7"/>
  <c r="K207" i="7"/>
  <c r="L207" i="7" s="1"/>
  <c r="P109" i="5"/>
  <c r="M110" i="5" s="1"/>
  <c r="J209" i="5"/>
  <c r="K208" i="5"/>
  <c r="L208" i="5" s="1"/>
  <c r="O82" i="4"/>
  <c r="T81" i="4"/>
  <c r="P82" i="4" s="1"/>
  <c r="Q82" i="4" s="1"/>
  <c r="U82" i="4" s="1"/>
  <c r="M241" i="4"/>
  <c r="K242" i="4"/>
  <c r="J243" i="4"/>
  <c r="J209" i="7" l="1"/>
  <c r="K208" i="7"/>
  <c r="L208" i="7" s="1"/>
  <c r="Q109" i="7"/>
  <c r="N110" i="7" s="1"/>
  <c r="O110" i="7" s="1"/>
  <c r="R110" i="7" s="1"/>
  <c r="Q109" i="5"/>
  <c r="N110" i="5" s="1"/>
  <c r="J210" i="5"/>
  <c r="K209" i="5"/>
  <c r="L209" i="5" s="1"/>
  <c r="O110" i="5"/>
  <c r="R110" i="5" s="1"/>
  <c r="R82" i="4"/>
  <c r="N83" i="4" s="1"/>
  <c r="J244" i="4"/>
  <c r="K243" i="4"/>
  <c r="L243" i="4" s="1"/>
  <c r="L242" i="4"/>
  <c r="M242" i="4" s="1"/>
  <c r="P110" i="7" l="1"/>
  <c r="M111" i="7" s="1"/>
  <c r="J210" i="7"/>
  <c r="K209" i="7"/>
  <c r="L209" i="7" s="1"/>
  <c r="S82" i="4"/>
  <c r="O83" i="4" s="1"/>
  <c r="P110" i="5"/>
  <c r="M111" i="5" s="1"/>
  <c r="J211" i="5"/>
  <c r="K210" i="5"/>
  <c r="L210" i="5" s="1"/>
  <c r="M243" i="4"/>
  <c r="K244" i="4"/>
  <c r="L244" i="4" s="1"/>
  <c r="J245" i="4"/>
  <c r="Q110" i="7" l="1"/>
  <c r="N111" i="7" s="1"/>
  <c r="O111" i="7" s="1"/>
  <c r="R111" i="7" s="1"/>
  <c r="J211" i="7"/>
  <c r="K210" i="7"/>
  <c r="L210" i="7" s="1"/>
  <c r="T82" i="4"/>
  <c r="P83" i="4" s="1"/>
  <c r="Q83" i="4" s="1"/>
  <c r="U83" i="4" s="1"/>
  <c r="R83" i="4" s="1"/>
  <c r="N84" i="4" s="1"/>
  <c r="J212" i="5"/>
  <c r="K211" i="5"/>
  <c r="L211" i="5" s="1"/>
  <c r="Q110" i="5"/>
  <c r="N111" i="5" s="1"/>
  <c r="O111" i="5" s="1"/>
  <c r="R111" i="5" s="1"/>
  <c r="M244" i="4"/>
  <c r="J246" i="4"/>
  <c r="K245" i="4"/>
  <c r="L245" i="4" s="1"/>
  <c r="P111" i="7" l="1"/>
  <c r="M112" i="7" s="1"/>
  <c r="J212" i="7"/>
  <c r="K211" i="7"/>
  <c r="L211" i="7" s="1"/>
  <c r="P111" i="5"/>
  <c r="M112" i="5" s="1"/>
  <c r="J213" i="5"/>
  <c r="K212" i="5"/>
  <c r="L212" i="5" s="1"/>
  <c r="S83" i="4"/>
  <c r="O84" i="4" s="1"/>
  <c r="M245" i="4"/>
  <c r="K246" i="4"/>
  <c r="L246" i="4" s="1"/>
  <c r="J247" i="4"/>
  <c r="Q111" i="7" l="1"/>
  <c r="N112" i="7" s="1"/>
  <c r="O112" i="7" s="1"/>
  <c r="R112" i="7" s="1"/>
  <c r="J213" i="7"/>
  <c r="K212" i="7"/>
  <c r="L212" i="7" s="1"/>
  <c r="J214" i="5"/>
  <c r="K213" i="5"/>
  <c r="L213" i="5" s="1"/>
  <c r="Q111" i="5"/>
  <c r="N112" i="5" s="1"/>
  <c r="O112" i="5" s="1"/>
  <c r="R112" i="5" s="1"/>
  <c r="T83" i="4"/>
  <c r="P84" i="4" s="1"/>
  <c r="Q84" i="4" s="1"/>
  <c r="U84" i="4" s="1"/>
  <c r="K247" i="4"/>
  <c r="L247" i="4" s="1"/>
  <c r="J248" i="4"/>
  <c r="M246" i="4"/>
  <c r="P112" i="7" l="1"/>
  <c r="M113" i="7" s="1"/>
  <c r="J214" i="7"/>
  <c r="K213" i="7"/>
  <c r="L213" i="7" s="1"/>
  <c r="P112" i="5"/>
  <c r="M113" i="5" s="1"/>
  <c r="J215" i="5"/>
  <c r="K214" i="5"/>
  <c r="L214" i="5" s="1"/>
  <c r="R84" i="4"/>
  <c r="N85" i="4" s="1"/>
  <c r="M247" i="4"/>
  <c r="K248" i="4"/>
  <c r="J249" i="4"/>
  <c r="J215" i="7" l="1"/>
  <c r="K214" i="7"/>
  <c r="L214" i="7" s="1"/>
  <c r="Q112" i="7"/>
  <c r="N113" i="7" s="1"/>
  <c r="O113" i="7" s="1"/>
  <c r="R113" i="7" s="1"/>
  <c r="S84" i="4"/>
  <c r="O85" i="4" s="1"/>
  <c r="K215" i="5"/>
  <c r="L215" i="5" s="1"/>
  <c r="J216" i="5"/>
  <c r="Q112" i="5"/>
  <c r="N113" i="5" s="1"/>
  <c r="O113" i="5" s="1"/>
  <c r="R113" i="5" s="1"/>
  <c r="T84" i="4"/>
  <c r="P85" i="4" s="1"/>
  <c r="Q85" i="4" s="1"/>
  <c r="U85" i="4" s="1"/>
  <c r="R85" i="4" s="1"/>
  <c r="N86" i="4" s="1"/>
  <c r="K249" i="4"/>
  <c r="J250" i="4"/>
  <c r="L248" i="4"/>
  <c r="M248" i="4" s="1"/>
  <c r="P113" i="7" l="1"/>
  <c r="M114" i="7" s="1"/>
  <c r="J216" i="7"/>
  <c r="K215" i="7"/>
  <c r="L215" i="7" s="1"/>
  <c r="P113" i="5"/>
  <c r="M114" i="5" s="1"/>
  <c r="J217" i="5"/>
  <c r="K216" i="5"/>
  <c r="L216" i="5" s="1"/>
  <c r="S85" i="4"/>
  <c r="O86" i="4" s="1"/>
  <c r="K250" i="4"/>
  <c r="J251" i="4"/>
  <c r="L249" i="4"/>
  <c r="M249" i="4" s="1"/>
  <c r="J217" i="7" l="1"/>
  <c r="K216" i="7"/>
  <c r="L216" i="7" s="1"/>
  <c r="Q113" i="7"/>
  <c r="N114" i="7" s="1"/>
  <c r="O114" i="7" s="1"/>
  <c r="R114" i="7" s="1"/>
  <c r="J218" i="5"/>
  <c r="K217" i="5"/>
  <c r="L217" i="5" s="1"/>
  <c r="Q113" i="5"/>
  <c r="N114" i="5" s="1"/>
  <c r="O114" i="5" s="1"/>
  <c r="R114" i="5" s="1"/>
  <c r="T85" i="4"/>
  <c r="P86" i="4" s="1"/>
  <c r="Q86" i="4" s="1"/>
  <c r="U86" i="4" s="1"/>
  <c r="R86" i="4" s="1"/>
  <c r="N87" i="4" s="1"/>
  <c r="J252" i="4"/>
  <c r="K251" i="4"/>
  <c r="L251" i="4" s="1"/>
  <c r="L250" i="4"/>
  <c r="M250" i="4" s="1"/>
  <c r="P114" i="7" l="1"/>
  <c r="M115" i="7" s="1"/>
  <c r="J218" i="7"/>
  <c r="K217" i="7"/>
  <c r="L217" i="7" s="1"/>
  <c r="P114" i="5"/>
  <c r="M115" i="5" s="1"/>
  <c r="J219" i="5"/>
  <c r="K218" i="5"/>
  <c r="L218" i="5" s="1"/>
  <c r="S86" i="4"/>
  <c r="O87" i="4" s="1"/>
  <c r="J253" i="4"/>
  <c r="K252" i="4"/>
  <c r="M251" i="4"/>
  <c r="J219" i="7" l="1"/>
  <c r="K218" i="7"/>
  <c r="L218" i="7" s="1"/>
  <c r="Q114" i="7"/>
  <c r="N115" i="7" s="1"/>
  <c r="O115" i="7" s="1"/>
  <c r="R115" i="7" s="1"/>
  <c r="T86" i="4"/>
  <c r="P87" i="4" s="1"/>
  <c r="Q87" i="4" s="1"/>
  <c r="U87" i="4" s="1"/>
  <c r="J220" i="5"/>
  <c r="K219" i="5"/>
  <c r="L219" i="5" s="1"/>
  <c r="Q114" i="5"/>
  <c r="N115" i="5" s="1"/>
  <c r="O115" i="5" s="1"/>
  <c r="R115" i="5" s="1"/>
  <c r="K253" i="4"/>
  <c r="J254" i="4"/>
  <c r="L253" i="4"/>
  <c r="L252" i="4"/>
  <c r="M252" i="4" s="1"/>
  <c r="P115" i="7" l="1"/>
  <c r="M116" i="7" s="1"/>
  <c r="J220" i="7"/>
  <c r="K219" i="7"/>
  <c r="L219" i="7" s="1"/>
  <c r="R87" i="4"/>
  <c r="N88" i="4" s="1"/>
  <c r="P115" i="5"/>
  <c r="M116" i="5" s="1"/>
  <c r="J221" i="5"/>
  <c r="K220" i="5"/>
  <c r="L220" i="5" s="1"/>
  <c r="M253" i="4"/>
  <c r="K254" i="4"/>
  <c r="L254" i="4" s="1"/>
  <c r="J255" i="4"/>
  <c r="Q115" i="7" l="1"/>
  <c r="N116" i="7" s="1"/>
  <c r="O116" i="7" s="1"/>
  <c r="R116" i="7" s="1"/>
  <c r="J221" i="7"/>
  <c r="K220" i="7"/>
  <c r="L220" i="7" s="1"/>
  <c r="S87" i="4"/>
  <c r="O88" i="4" s="1"/>
  <c r="Q115" i="5"/>
  <c r="N116" i="5" s="1"/>
  <c r="K221" i="5"/>
  <c r="L221" i="5" s="1"/>
  <c r="J222" i="5"/>
  <c r="O116" i="5"/>
  <c r="R116" i="5" s="1"/>
  <c r="M254" i="4"/>
  <c r="K255" i="4"/>
  <c r="L255" i="4" s="1"/>
  <c r="J256" i="4"/>
  <c r="P116" i="7" l="1"/>
  <c r="M117" i="7" s="1"/>
  <c r="J222" i="7"/>
  <c r="K221" i="7"/>
  <c r="L221" i="7" s="1"/>
  <c r="T87" i="4"/>
  <c r="P88" i="4" s="1"/>
  <c r="Q88" i="4" s="1"/>
  <c r="U88" i="4" s="1"/>
  <c r="P116" i="5"/>
  <c r="M117" i="5" s="1"/>
  <c r="J223" i="5"/>
  <c r="K222" i="5"/>
  <c r="L222" i="5" s="1"/>
  <c r="K256" i="4"/>
  <c r="L256" i="4" s="1"/>
  <c r="J257" i="4"/>
  <c r="M255" i="4"/>
  <c r="K222" i="7" l="1"/>
  <c r="L222" i="7" s="1"/>
  <c r="J223" i="7"/>
  <c r="Q116" i="7"/>
  <c r="N117" i="7" s="1"/>
  <c r="O117" i="7" s="1"/>
  <c r="R117" i="7" s="1"/>
  <c r="R88" i="4"/>
  <c r="S88" i="4"/>
  <c r="O89" i="4" s="1"/>
  <c r="Q116" i="5"/>
  <c r="N117" i="5" s="1"/>
  <c r="K223" i="5"/>
  <c r="L223" i="5" s="1"/>
  <c r="J224" i="5"/>
  <c r="O117" i="5"/>
  <c r="R117" i="5" s="1"/>
  <c r="K257" i="4"/>
  <c r="J258" i="4"/>
  <c r="M256" i="4"/>
  <c r="P117" i="7" l="1"/>
  <c r="M118" i="7" s="1"/>
  <c r="J224" i="7"/>
  <c r="K223" i="7"/>
  <c r="L223" i="7" s="1"/>
  <c r="N89" i="4"/>
  <c r="T88" i="4"/>
  <c r="P89" i="4" s="1"/>
  <c r="J225" i="5"/>
  <c r="K224" i="5"/>
  <c r="L224" i="5" s="1"/>
  <c r="P117" i="5"/>
  <c r="M118" i="5" s="1"/>
  <c r="L257" i="4"/>
  <c r="M257" i="4" s="1"/>
  <c r="K258" i="4"/>
  <c r="J259" i="4"/>
  <c r="Q117" i="7" l="1"/>
  <c r="N118" i="7" s="1"/>
  <c r="O118" i="7" s="1"/>
  <c r="R118" i="7" s="1"/>
  <c r="J225" i="7"/>
  <c r="K224" i="7"/>
  <c r="L224" i="7" s="1"/>
  <c r="Q89" i="4"/>
  <c r="U89" i="4" s="1"/>
  <c r="J226" i="5"/>
  <c r="K225" i="5"/>
  <c r="L225" i="5" s="1"/>
  <c r="Q117" i="5"/>
  <c r="N118" i="5" s="1"/>
  <c r="O118" i="5" s="1"/>
  <c r="R118" i="5" s="1"/>
  <c r="L258" i="4"/>
  <c r="M258" i="4" s="1"/>
  <c r="J260" i="4"/>
  <c r="K259" i="4"/>
  <c r="P118" i="7" l="1"/>
  <c r="M119" i="7" s="1"/>
  <c r="K225" i="7"/>
  <c r="L225" i="7" s="1"/>
  <c r="J226" i="7"/>
  <c r="R89" i="4"/>
  <c r="N90" i="4" s="1"/>
  <c r="P118" i="5"/>
  <c r="M119" i="5" s="1"/>
  <c r="J227" i="5"/>
  <c r="K226" i="5"/>
  <c r="L226" i="5" s="1"/>
  <c r="L259" i="4"/>
  <c r="M259" i="4" s="1"/>
  <c r="J261" i="4"/>
  <c r="K260" i="4"/>
  <c r="L260" i="4" s="1"/>
  <c r="M260" i="4" s="1"/>
  <c r="J227" i="7" l="1"/>
  <c r="K226" i="7"/>
  <c r="L226" i="7" s="1"/>
  <c r="Q118" i="7"/>
  <c r="N119" i="7" s="1"/>
  <c r="O119" i="7" s="1"/>
  <c r="R119" i="7" s="1"/>
  <c r="S89" i="4"/>
  <c r="Q118" i="5"/>
  <c r="N119" i="5" s="1"/>
  <c r="K227" i="5"/>
  <c r="L227" i="5" s="1"/>
  <c r="J228" i="5"/>
  <c r="O119" i="5"/>
  <c r="R119" i="5" s="1"/>
  <c r="K261" i="4"/>
  <c r="J262" i="4"/>
  <c r="P119" i="7" l="1"/>
  <c r="M120" i="7" s="1"/>
  <c r="K227" i="7"/>
  <c r="L227" i="7" s="1"/>
  <c r="J228" i="7"/>
  <c r="O90" i="4"/>
  <c r="T89" i="4"/>
  <c r="P90" i="4" s="1"/>
  <c r="Q90" i="4" s="1"/>
  <c r="U90" i="4" s="1"/>
  <c r="J229" i="5"/>
  <c r="K228" i="5"/>
  <c r="L228" i="5" s="1"/>
  <c r="P119" i="5"/>
  <c r="M120" i="5" s="1"/>
  <c r="L261" i="4"/>
  <c r="M261" i="4" s="1"/>
  <c r="K262" i="4"/>
  <c r="J263" i="4"/>
  <c r="J229" i="7" l="1"/>
  <c r="K228" i="7"/>
  <c r="L228" i="7" s="1"/>
  <c r="Q119" i="7"/>
  <c r="N120" i="7" s="1"/>
  <c r="O120" i="7" s="1"/>
  <c r="R120" i="7" s="1"/>
  <c r="R90" i="4"/>
  <c r="N91" i="4" s="1"/>
  <c r="Q119" i="5"/>
  <c r="N120" i="5" s="1"/>
  <c r="O120" i="5" s="1"/>
  <c r="R120" i="5" s="1"/>
  <c r="J230" i="5"/>
  <c r="K229" i="5"/>
  <c r="L229" i="5" s="1"/>
  <c r="L262" i="4"/>
  <c r="M262" i="4" s="1"/>
  <c r="K263" i="4"/>
  <c r="L263" i="4" s="1"/>
  <c r="J264" i="4"/>
  <c r="P120" i="7" l="1"/>
  <c r="M121" i="7" s="1"/>
  <c r="J230" i="7"/>
  <c r="K229" i="7"/>
  <c r="L229" i="7" s="1"/>
  <c r="S90" i="4"/>
  <c r="O91" i="4" s="1"/>
  <c r="P120" i="5"/>
  <c r="M121" i="5" s="1"/>
  <c r="J231" i="5"/>
  <c r="K230" i="5"/>
  <c r="L230" i="5" s="1"/>
  <c r="M263" i="4"/>
  <c r="K264" i="4"/>
  <c r="J265" i="4"/>
  <c r="K230" i="7" l="1"/>
  <c r="L230" i="7" s="1"/>
  <c r="J231" i="7"/>
  <c r="Q120" i="7"/>
  <c r="N121" i="7" s="1"/>
  <c r="O121" i="7" s="1"/>
  <c r="R121" i="7" s="1"/>
  <c r="T90" i="4"/>
  <c r="P91" i="4" s="1"/>
  <c r="Q91" i="4" s="1"/>
  <c r="U91" i="4" s="1"/>
  <c r="Q120" i="5"/>
  <c r="N121" i="5" s="1"/>
  <c r="J232" i="5"/>
  <c r="K231" i="5"/>
  <c r="L231" i="5" s="1"/>
  <c r="O121" i="5"/>
  <c r="R121" i="5" s="1"/>
  <c r="L264" i="4"/>
  <c r="M264" i="4" s="1"/>
  <c r="K265" i="4"/>
  <c r="L265" i="4" s="1"/>
  <c r="J266" i="4"/>
  <c r="P121" i="7" l="1"/>
  <c r="M122" i="7" s="1"/>
  <c r="J232" i="7"/>
  <c r="K231" i="7"/>
  <c r="L231" i="7" s="1"/>
  <c r="R91" i="4"/>
  <c r="N92" i="4" s="1"/>
  <c r="P121" i="5"/>
  <c r="M122" i="5" s="1"/>
  <c r="J233" i="5"/>
  <c r="K232" i="5"/>
  <c r="L232" i="5" s="1"/>
  <c r="M265" i="4"/>
  <c r="K266" i="4"/>
  <c r="J267" i="4"/>
  <c r="J233" i="7" l="1"/>
  <c r="K232" i="7"/>
  <c r="L232" i="7" s="1"/>
  <c r="Q121" i="7"/>
  <c r="N122" i="7" s="1"/>
  <c r="O122" i="7" s="1"/>
  <c r="R122" i="7" s="1"/>
  <c r="S91" i="4"/>
  <c r="O92" i="4" s="1"/>
  <c r="J234" i="5"/>
  <c r="K233" i="5"/>
  <c r="L233" i="5" s="1"/>
  <c r="Q121" i="5"/>
  <c r="N122" i="5" s="1"/>
  <c r="O122" i="5" s="1"/>
  <c r="R122" i="5" s="1"/>
  <c r="J268" i="4"/>
  <c r="K267" i="4"/>
  <c r="L266" i="4"/>
  <c r="M266" i="4" s="1"/>
  <c r="P122" i="7" l="1"/>
  <c r="M123" i="7" s="1"/>
  <c r="J234" i="7"/>
  <c r="K233" i="7"/>
  <c r="L233" i="7" s="1"/>
  <c r="T91" i="4"/>
  <c r="P92" i="4" s="1"/>
  <c r="Q92" i="4" s="1"/>
  <c r="U92" i="4" s="1"/>
  <c r="P122" i="5"/>
  <c r="M123" i="5" s="1"/>
  <c r="J235" i="5"/>
  <c r="K234" i="5"/>
  <c r="L234" i="5" s="1"/>
  <c r="L267" i="4"/>
  <c r="M267" i="4" s="1"/>
  <c r="J269" i="4"/>
  <c r="K268" i="4"/>
  <c r="J235" i="7" l="1"/>
  <c r="K234" i="7"/>
  <c r="L234" i="7" s="1"/>
  <c r="Q122" i="7"/>
  <c r="N123" i="7" s="1"/>
  <c r="O123" i="7" s="1"/>
  <c r="R123" i="7" s="1"/>
  <c r="R92" i="4"/>
  <c r="N93" i="4" s="1"/>
  <c r="K235" i="5"/>
  <c r="L235" i="5" s="1"/>
  <c r="J236" i="5"/>
  <c r="Q122" i="5"/>
  <c r="N123" i="5" s="1"/>
  <c r="O123" i="5" s="1"/>
  <c r="R123" i="5" s="1"/>
  <c r="K269" i="4"/>
  <c r="J270" i="4"/>
  <c r="L268" i="4"/>
  <c r="M268" i="4" s="1"/>
  <c r="P123" i="7" l="1"/>
  <c r="M124" i="7" s="1"/>
  <c r="J236" i="7"/>
  <c r="K235" i="7"/>
  <c r="L235" i="7" s="1"/>
  <c r="S92" i="4"/>
  <c r="O93" i="4" s="1"/>
  <c r="P123" i="5"/>
  <c r="M124" i="5" s="1"/>
  <c r="J237" i="5"/>
  <c r="K236" i="5"/>
  <c r="L236" i="5" s="1"/>
  <c r="K270" i="4"/>
  <c r="J271" i="4"/>
  <c r="L269" i="4"/>
  <c r="M269" i="4" s="1"/>
  <c r="Q123" i="7" l="1"/>
  <c r="N124" i="7" s="1"/>
  <c r="J237" i="7"/>
  <c r="K236" i="7"/>
  <c r="L236" i="7" s="1"/>
  <c r="O124" i="7"/>
  <c r="R124" i="7" s="1"/>
  <c r="T92" i="4"/>
  <c r="P93" i="4" s="1"/>
  <c r="Q93" i="4" s="1"/>
  <c r="U93" i="4" s="1"/>
  <c r="J238" i="5"/>
  <c r="K237" i="5"/>
  <c r="L237" i="5" s="1"/>
  <c r="Q123" i="5"/>
  <c r="N124" i="5" s="1"/>
  <c r="O124" i="5" s="1"/>
  <c r="R124" i="5" s="1"/>
  <c r="L270" i="4"/>
  <c r="M270" i="4" s="1"/>
  <c r="K271" i="4"/>
  <c r="J272" i="4"/>
  <c r="P124" i="7" l="1"/>
  <c r="M125" i="7" s="1"/>
  <c r="K237" i="7"/>
  <c r="L237" i="7" s="1"/>
  <c r="J238" i="7"/>
  <c r="R93" i="4"/>
  <c r="N94" i="4" s="1"/>
  <c r="P124" i="5"/>
  <c r="M125" i="5" s="1"/>
  <c r="J239" i="5"/>
  <c r="K238" i="5"/>
  <c r="L238" i="5" s="1"/>
  <c r="K272" i="4"/>
  <c r="J273" i="4"/>
  <c r="L271" i="4"/>
  <c r="M271" i="4" s="1"/>
  <c r="J239" i="7" l="1"/>
  <c r="K238" i="7"/>
  <c r="L238" i="7" s="1"/>
  <c r="Q124" i="7"/>
  <c r="N125" i="7" s="1"/>
  <c r="O125" i="7" s="1"/>
  <c r="R125" i="7" s="1"/>
  <c r="S93" i="4"/>
  <c r="J240" i="5"/>
  <c r="K239" i="5"/>
  <c r="L239" i="5" s="1"/>
  <c r="Q124" i="5"/>
  <c r="N125" i="5" s="1"/>
  <c r="O125" i="5" s="1"/>
  <c r="R125" i="5" s="1"/>
  <c r="K273" i="4"/>
  <c r="J274" i="4"/>
  <c r="L272" i="4"/>
  <c r="M272" i="4" s="1"/>
  <c r="P125" i="7" l="1"/>
  <c r="M126" i="7" s="1"/>
  <c r="J240" i="7"/>
  <c r="K239" i="7"/>
  <c r="L239" i="7" s="1"/>
  <c r="O94" i="4"/>
  <c r="T93" i="4"/>
  <c r="P94" i="4" s="1"/>
  <c r="Q94" i="4" s="1"/>
  <c r="U94" i="4" s="1"/>
  <c r="P125" i="5"/>
  <c r="M126" i="5" s="1"/>
  <c r="J241" i="5"/>
  <c r="K240" i="5"/>
  <c r="L240" i="5" s="1"/>
  <c r="K274" i="4"/>
  <c r="J275" i="4"/>
  <c r="L273" i="4"/>
  <c r="M273" i="4" s="1"/>
  <c r="J241" i="7" l="1"/>
  <c r="K240" i="7"/>
  <c r="L240" i="7" s="1"/>
  <c r="Q125" i="7"/>
  <c r="N126" i="7" s="1"/>
  <c r="O126" i="7" s="1"/>
  <c r="R126" i="7" s="1"/>
  <c r="R94" i="4"/>
  <c r="N95" i="4" s="1"/>
  <c r="J242" i="5"/>
  <c r="K241" i="5"/>
  <c r="L241" i="5" s="1"/>
  <c r="Q125" i="5"/>
  <c r="N126" i="5" s="1"/>
  <c r="O126" i="5" s="1"/>
  <c r="R126" i="5" s="1"/>
  <c r="L274" i="4"/>
  <c r="M274" i="4" s="1"/>
  <c r="J276" i="4"/>
  <c r="K275" i="4"/>
  <c r="L275" i="4" s="1"/>
  <c r="M275" i="4" s="1"/>
  <c r="P126" i="7" l="1"/>
  <c r="M127" i="7" s="1"/>
  <c r="J242" i="7"/>
  <c r="K241" i="7"/>
  <c r="L241" i="7" s="1"/>
  <c r="S94" i="4"/>
  <c r="P126" i="5"/>
  <c r="M127" i="5" s="1"/>
  <c r="J243" i="5"/>
  <c r="K242" i="5"/>
  <c r="L242" i="5" s="1"/>
  <c r="J277" i="4"/>
  <c r="K276" i="4"/>
  <c r="J243" i="7" l="1"/>
  <c r="K242" i="7"/>
  <c r="L242" i="7" s="1"/>
  <c r="Q126" i="7"/>
  <c r="N127" i="7" s="1"/>
  <c r="O127" i="7" s="1"/>
  <c r="R127" i="7" s="1"/>
  <c r="O95" i="4"/>
  <c r="T94" i="4"/>
  <c r="P95" i="4" s="1"/>
  <c r="K243" i="5"/>
  <c r="L243" i="5" s="1"/>
  <c r="J244" i="5"/>
  <c r="Q126" i="5"/>
  <c r="N127" i="5" s="1"/>
  <c r="O127" i="5" s="1"/>
  <c r="R127" i="5" s="1"/>
  <c r="K277" i="4"/>
  <c r="L277" i="4" s="1"/>
  <c r="J278" i="4"/>
  <c r="L276" i="4"/>
  <c r="M276" i="4" s="1"/>
  <c r="P127" i="7" l="1"/>
  <c r="M128" i="7" s="1"/>
  <c r="K243" i="7"/>
  <c r="L243" i="7" s="1"/>
  <c r="J244" i="7"/>
  <c r="Q95" i="4"/>
  <c r="U95" i="4" s="1"/>
  <c r="R95" i="4" s="1"/>
  <c r="N96" i="4" s="1"/>
  <c r="P127" i="5"/>
  <c r="M128" i="5" s="1"/>
  <c r="J245" i="5"/>
  <c r="K244" i="5"/>
  <c r="L244" i="5" s="1"/>
  <c r="M277" i="4"/>
  <c r="J279" i="4"/>
  <c r="K278" i="4"/>
  <c r="L278" i="4" s="1"/>
  <c r="J245" i="7" l="1"/>
  <c r="K244" i="7"/>
  <c r="L244" i="7" s="1"/>
  <c r="Q127" i="7"/>
  <c r="N128" i="7" s="1"/>
  <c r="O128" i="7" s="1"/>
  <c r="R128" i="7" s="1"/>
  <c r="S95" i="4"/>
  <c r="O96" i="4" s="1"/>
  <c r="T95" i="4"/>
  <c r="P96" i="4" s="1"/>
  <c r="J246" i="5"/>
  <c r="K245" i="5"/>
  <c r="L245" i="5" s="1"/>
  <c r="Q127" i="5"/>
  <c r="N128" i="5" s="1"/>
  <c r="O128" i="5" s="1"/>
  <c r="R128" i="5" s="1"/>
  <c r="M278" i="4"/>
  <c r="J280" i="4"/>
  <c r="K279" i="4"/>
  <c r="L279" i="4" s="1"/>
  <c r="P128" i="7" l="1"/>
  <c r="M129" i="7" s="1"/>
  <c r="K245" i="7"/>
  <c r="L245" i="7" s="1"/>
  <c r="J246" i="7"/>
  <c r="Q96" i="4"/>
  <c r="U96" i="4" s="1"/>
  <c r="R96" i="4" s="1"/>
  <c r="P128" i="5"/>
  <c r="M129" i="5" s="1"/>
  <c r="K246" i="5"/>
  <c r="L246" i="5" s="1"/>
  <c r="J247" i="5"/>
  <c r="M279" i="4"/>
  <c r="J281" i="4"/>
  <c r="K280" i="4"/>
  <c r="J247" i="7" l="1"/>
  <c r="K246" i="7"/>
  <c r="L246" i="7" s="1"/>
  <c r="Q128" i="7"/>
  <c r="N129" i="7" s="1"/>
  <c r="O129" i="7" s="1"/>
  <c r="R129" i="7" s="1"/>
  <c r="N97" i="4"/>
  <c r="S96" i="4"/>
  <c r="O97" i="4" s="1"/>
  <c r="Q128" i="5"/>
  <c r="N129" i="5" s="1"/>
  <c r="J248" i="5"/>
  <c r="K247" i="5"/>
  <c r="L247" i="5" s="1"/>
  <c r="O129" i="5"/>
  <c r="R129" i="5" s="1"/>
  <c r="L280" i="4"/>
  <c r="M280" i="4" s="1"/>
  <c r="J282" i="4"/>
  <c r="K281" i="4"/>
  <c r="L281" i="4" s="1"/>
  <c r="M281" i="4" s="1"/>
  <c r="P129" i="7" l="1"/>
  <c r="M130" i="7" s="1"/>
  <c r="J248" i="7"/>
  <c r="K247" i="7"/>
  <c r="L247" i="7" s="1"/>
  <c r="T96" i="4"/>
  <c r="P97" i="4" s="1"/>
  <c r="Q97" i="4" s="1"/>
  <c r="U97" i="4" s="1"/>
  <c r="R97" i="4"/>
  <c r="N98" i="4" s="1"/>
  <c r="P129" i="5"/>
  <c r="M130" i="5" s="1"/>
  <c r="K248" i="5"/>
  <c r="L248" i="5" s="1"/>
  <c r="J249" i="5"/>
  <c r="J283" i="4"/>
  <c r="K282" i="4"/>
  <c r="J249" i="7" l="1"/>
  <c r="K248" i="7"/>
  <c r="L248" i="7" s="1"/>
  <c r="Q129" i="7"/>
  <c r="N130" i="7" s="1"/>
  <c r="O130" i="7" s="1"/>
  <c r="R130" i="7" s="1"/>
  <c r="S97" i="4"/>
  <c r="O98" i="4" s="1"/>
  <c r="Q129" i="5"/>
  <c r="N130" i="5" s="1"/>
  <c r="O130" i="5" s="1"/>
  <c r="R130" i="5" s="1"/>
  <c r="J250" i="5"/>
  <c r="K249" i="5"/>
  <c r="L249" i="5" s="1"/>
  <c r="L282" i="4"/>
  <c r="M282" i="4" s="1"/>
  <c r="K283" i="4"/>
  <c r="J284" i="4"/>
  <c r="P130" i="7" l="1"/>
  <c r="M131" i="7" s="1"/>
  <c r="J250" i="7"/>
  <c r="K249" i="7"/>
  <c r="L249" i="7" s="1"/>
  <c r="T97" i="4"/>
  <c r="P98" i="4" s="1"/>
  <c r="Q98" i="4" s="1"/>
  <c r="U98" i="4" s="1"/>
  <c r="P130" i="5"/>
  <c r="M131" i="5" s="1"/>
  <c r="J251" i="5"/>
  <c r="K250" i="5"/>
  <c r="L250" i="5" s="1"/>
  <c r="J285" i="4"/>
  <c r="K284" i="4"/>
  <c r="L283" i="4"/>
  <c r="M283" i="4" s="1"/>
  <c r="J251" i="7" l="1"/>
  <c r="K250" i="7"/>
  <c r="L250" i="7" s="1"/>
  <c r="Q130" i="7"/>
  <c r="N131" i="7" s="1"/>
  <c r="O131" i="7" s="1"/>
  <c r="R131" i="7" s="1"/>
  <c r="R98" i="4"/>
  <c r="S98" i="4" s="1"/>
  <c r="O99" i="4" s="1"/>
  <c r="Q130" i="5"/>
  <c r="N131" i="5" s="1"/>
  <c r="J252" i="5"/>
  <c r="K251" i="5"/>
  <c r="L251" i="5" s="1"/>
  <c r="O131" i="5"/>
  <c r="R131" i="5" s="1"/>
  <c r="K285" i="4"/>
  <c r="J286" i="4"/>
  <c r="L284" i="4"/>
  <c r="M284" i="4" s="1"/>
  <c r="P131" i="7" l="1"/>
  <c r="M132" i="7" s="1"/>
  <c r="K251" i="7"/>
  <c r="L251" i="7" s="1"/>
  <c r="J252" i="7"/>
  <c r="N99" i="4"/>
  <c r="T98" i="4"/>
  <c r="P99" i="4" s="1"/>
  <c r="Q99" i="4" s="1"/>
  <c r="U99" i="4" s="1"/>
  <c r="R99" i="4" s="1"/>
  <c r="N100" i="4" s="1"/>
  <c r="P131" i="5"/>
  <c r="M132" i="5" s="1"/>
  <c r="K252" i="5"/>
  <c r="L252" i="5" s="1"/>
  <c r="J253" i="5"/>
  <c r="L285" i="4"/>
  <c r="M285" i="4" s="1"/>
  <c r="J287" i="4"/>
  <c r="K286" i="4"/>
  <c r="L286" i="4" s="1"/>
  <c r="M286" i="4" s="1"/>
  <c r="Q131" i="7" l="1"/>
  <c r="N132" i="7" s="1"/>
  <c r="O132" i="7" s="1"/>
  <c r="R132" i="7" s="1"/>
  <c r="J253" i="7"/>
  <c r="K252" i="7"/>
  <c r="L252" i="7" s="1"/>
  <c r="S99" i="4"/>
  <c r="O100" i="4" s="1"/>
  <c r="J254" i="5"/>
  <c r="K253" i="5"/>
  <c r="L253" i="5" s="1"/>
  <c r="Q131" i="5"/>
  <c r="N132" i="5" s="1"/>
  <c r="O132" i="5" s="1"/>
  <c r="R132" i="5" s="1"/>
  <c r="J288" i="4"/>
  <c r="K287" i="4"/>
  <c r="L287" i="4" s="1"/>
  <c r="P132" i="7" l="1"/>
  <c r="M133" i="7" s="1"/>
  <c r="K253" i="7"/>
  <c r="L253" i="7" s="1"/>
  <c r="J254" i="7"/>
  <c r="T99" i="4"/>
  <c r="P100" i="4" s="1"/>
  <c r="Q100" i="4" s="1"/>
  <c r="U100" i="4" s="1"/>
  <c r="R100" i="4" s="1"/>
  <c r="N101" i="4" s="1"/>
  <c r="P132" i="5"/>
  <c r="M133" i="5" s="1"/>
  <c r="J255" i="5"/>
  <c r="K254" i="5"/>
  <c r="L254" i="5" s="1"/>
  <c r="J289" i="4"/>
  <c r="K288" i="4"/>
  <c r="M287" i="4"/>
  <c r="J255" i="7" l="1"/>
  <c r="K254" i="7"/>
  <c r="L254" i="7" s="1"/>
  <c r="Q132" i="7"/>
  <c r="N133" i="7" s="1"/>
  <c r="O133" i="7" s="1"/>
  <c r="R133" i="7" s="1"/>
  <c r="S100" i="4"/>
  <c r="O101" i="4" s="1"/>
  <c r="J256" i="5"/>
  <c r="K255" i="5"/>
  <c r="L255" i="5" s="1"/>
  <c r="Q132" i="5"/>
  <c r="N133" i="5" s="1"/>
  <c r="O133" i="5" s="1"/>
  <c r="R133" i="5" s="1"/>
  <c r="L288" i="4"/>
  <c r="M288" i="4" s="1"/>
  <c r="J290" i="4"/>
  <c r="K289" i="4"/>
  <c r="P133" i="7" l="1"/>
  <c r="M134" i="7" s="1"/>
  <c r="J256" i="7"/>
  <c r="K255" i="7"/>
  <c r="L255" i="7" s="1"/>
  <c r="T100" i="4"/>
  <c r="P101" i="4" s="1"/>
  <c r="Q101" i="4" s="1"/>
  <c r="U101" i="4" s="1"/>
  <c r="R101" i="4" s="1"/>
  <c r="N102" i="4" s="1"/>
  <c r="P133" i="5"/>
  <c r="M134" i="5" s="1"/>
  <c r="J257" i="5"/>
  <c r="K256" i="5"/>
  <c r="L256" i="5" s="1"/>
  <c r="L289" i="4"/>
  <c r="M289" i="4" s="1"/>
  <c r="J291" i="4"/>
  <c r="K290" i="4"/>
  <c r="L290" i="4" s="1"/>
  <c r="M290" i="4" s="1"/>
  <c r="J257" i="7" l="1"/>
  <c r="K256" i="7"/>
  <c r="L256" i="7" s="1"/>
  <c r="Q133" i="7"/>
  <c r="N134" i="7" s="1"/>
  <c r="O134" i="7" s="1"/>
  <c r="R134" i="7" s="1"/>
  <c r="J258" i="5"/>
  <c r="K257" i="5"/>
  <c r="L257" i="5" s="1"/>
  <c r="Q133" i="5"/>
  <c r="N134" i="5" s="1"/>
  <c r="O134" i="5" s="1"/>
  <c r="R134" i="5" s="1"/>
  <c r="S101" i="4"/>
  <c r="K291" i="4"/>
  <c r="J292" i="4"/>
  <c r="P134" i="7" l="1"/>
  <c r="M135" i="7" s="1"/>
  <c r="J258" i="7"/>
  <c r="K257" i="7"/>
  <c r="L257" i="7" s="1"/>
  <c r="P134" i="5"/>
  <c r="M135" i="5" s="1"/>
  <c r="J259" i="5"/>
  <c r="K258" i="5"/>
  <c r="L258" i="5" s="1"/>
  <c r="L291" i="4"/>
  <c r="M291" i="4" s="1"/>
  <c r="O102" i="4"/>
  <c r="T101" i="4"/>
  <c r="P102" i="4" s="1"/>
  <c r="Q102" i="4" s="1"/>
  <c r="U102" i="4" s="1"/>
  <c r="J293" i="4"/>
  <c r="K292" i="4"/>
  <c r="J259" i="7" l="1"/>
  <c r="K258" i="7"/>
  <c r="L258" i="7" s="1"/>
  <c r="Q134" i="7"/>
  <c r="N135" i="7" s="1"/>
  <c r="O135" i="7" s="1"/>
  <c r="R135" i="7" s="1"/>
  <c r="J260" i="5"/>
  <c r="K259" i="5"/>
  <c r="L259" i="5" s="1"/>
  <c r="Q134" i="5"/>
  <c r="N135" i="5" s="1"/>
  <c r="O135" i="5" s="1"/>
  <c r="R135" i="5" s="1"/>
  <c r="R102" i="4"/>
  <c r="N103" i="4" s="1"/>
  <c r="L292" i="4"/>
  <c r="M292" i="4" s="1"/>
  <c r="K293" i="4"/>
  <c r="L293" i="4" s="1"/>
  <c r="J294" i="4"/>
  <c r="P135" i="7" l="1"/>
  <c r="M136" i="7" s="1"/>
  <c r="K259" i="7"/>
  <c r="L259" i="7" s="1"/>
  <c r="J260" i="7"/>
  <c r="P135" i="5"/>
  <c r="M136" i="5" s="1"/>
  <c r="K260" i="5"/>
  <c r="L260" i="5" s="1"/>
  <c r="J261" i="5"/>
  <c r="S102" i="4"/>
  <c r="O103" i="4" s="1"/>
  <c r="J295" i="4"/>
  <c r="K294" i="4"/>
  <c r="M293" i="4"/>
  <c r="J261" i="7" l="1"/>
  <c r="K260" i="7"/>
  <c r="L260" i="7" s="1"/>
  <c r="Q135" i="7"/>
  <c r="N136" i="7" s="1"/>
  <c r="O136" i="7" s="1"/>
  <c r="R136" i="7" s="1"/>
  <c r="K261" i="5"/>
  <c r="L261" i="5" s="1"/>
  <c r="J262" i="5"/>
  <c r="Q135" i="5"/>
  <c r="N136" i="5" s="1"/>
  <c r="O136" i="5" s="1"/>
  <c r="R136" i="5" s="1"/>
  <c r="T102" i="4"/>
  <c r="P103" i="4" s="1"/>
  <c r="Q103" i="4" s="1"/>
  <c r="U103" i="4" s="1"/>
  <c r="R103" i="4" s="1"/>
  <c r="N104" i="4" s="1"/>
  <c r="J296" i="4"/>
  <c r="K295" i="4"/>
  <c r="L294" i="4"/>
  <c r="M294" i="4" s="1"/>
  <c r="P136" i="7" l="1"/>
  <c r="M137" i="7" s="1"/>
  <c r="J262" i="7"/>
  <c r="K261" i="7"/>
  <c r="L261" i="7" s="1"/>
  <c r="P136" i="5"/>
  <c r="M137" i="5" s="1"/>
  <c r="J263" i="5"/>
  <c r="K262" i="5"/>
  <c r="L262" i="5" s="1"/>
  <c r="S103" i="4"/>
  <c r="J297" i="4"/>
  <c r="K296" i="4"/>
  <c r="L296" i="4" s="1"/>
  <c r="L295" i="4"/>
  <c r="M295" i="4" s="1"/>
  <c r="J263" i="7" l="1"/>
  <c r="K262" i="7"/>
  <c r="L262" i="7" s="1"/>
  <c r="Q136" i="7"/>
  <c r="N137" i="7" s="1"/>
  <c r="O137" i="7" s="1"/>
  <c r="R137" i="7" s="1"/>
  <c r="Q136" i="5"/>
  <c r="N137" i="5" s="1"/>
  <c r="J264" i="5"/>
  <c r="K263" i="5"/>
  <c r="L263" i="5" s="1"/>
  <c r="O137" i="5"/>
  <c r="R137" i="5" s="1"/>
  <c r="O104" i="4"/>
  <c r="T103" i="4"/>
  <c r="P104" i="4" s="1"/>
  <c r="Q104" i="4" s="1"/>
  <c r="U104" i="4" s="1"/>
  <c r="M296" i="4"/>
  <c r="J298" i="4"/>
  <c r="K297" i="4"/>
  <c r="P137" i="7" l="1"/>
  <c r="M138" i="7" s="1"/>
  <c r="J264" i="7"/>
  <c r="K263" i="7"/>
  <c r="L263" i="7" s="1"/>
  <c r="P137" i="5"/>
  <c r="M138" i="5" s="1"/>
  <c r="J265" i="5"/>
  <c r="K264" i="5"/>
  <c r="L264" i="5" s="1"/>
  <c r="R104" i="4"/>
  <c r="N105" i="4" s="1"/>
  <c r="L297" i="4"/>
  <c r="M297" i="4" s="1"/>
  <c r="J299" i="4"/>
  <c r="K298" i="4"/>
  <c r="J265" i="7" l="1"/>
  <c r="K264" i="7"/>
  <c r="L264" i="7" s="1"/>
  <c r="Q137" i="7"/>
  <c r="N138" i="7" s="1"/>
  <c r="O138" i="7" s="1"/>
  <c r="R138" i="7" s="1"/>
  <c r="J266" i="5"/>
  <c r="K265" i="5"/>
  <c r="L265" i="5" s="1"/>
  <c r="Q137" i="5"/>
  <c r="N138" i="5" s="1"/>
  <c r="O138" i="5" s="1"/>
  <c r="R138" i="5" s="1"/>
  <c r="S104" i="4"/>
  <c r="L298" i="4"/>
  <c r="M298" i="4" s="1"/>
  <c r="K299" i="4"/>
  <c r="J300" i="4"/>
  <c r="P138" i="7" l="1"/>
  <c r="M139" i="7" s="1"/>
  <c r="J266" i="7"/>
  <c r="K265" i="7"/>
  <c r="L265" i="7" s="1"/>
  <c r="P138" i="5"/>
  <c r="M139" i="5" s="1"/>
  <c r="J267" i="5"/>
  <c r="K266" i="5"/>
  <c r="L266" i="5" s="1"/>
  <c r="O105" i="4"/>
  <c r="T104" i="4"/>
  <c r="P105" i="4" s="1"/>
  <c r="Q105" i="4" s="1"/>
  <c r="U105" i="4" s="1"/>
  <c r="J301" i="4"/>
  <c r="K300" i="4"/>
  <c r="L300" i="4" s="1"/>
  <c r="L299" i="4"/>
  <c r="M299" i="4" s="1"/>
  <c r="Q138" i="7" l="1"/>
  <c r="N139" i="7" s="1"/>
  <c r="O139" i="7" s="1"/>
  <c r="R139" i="7" s="1"/>
  <c r="J267" i="7"/>
  <c r="K266" i="7"/>
  <c r="L266" i="7" s="1"/>
  <c r="J268" i="5"/>
  <c r="K267" i="5"/>
  <c r="L267" i="5" s="1"/>
  <c r="Q138" i="5"/>
  <c r="N139" i="5" s="1"/>
  <c r="O139" i="5" s="1"/>
  <c r="R139" i="5" s="1"/>
  <c r="R105" i="4"/>
  <c r="N106" i="4" s="1"/>
  <c r="M300" i="4"/>
  <c r="K301" i="4"/>
  <c r="J302" i="4"/>
  <c r="P139" i="7" l="1"/>
  <c r="M140" i="7" s="1"/>
  <c r="K267" i="7"/>
  <c r="L267" i="7" s="1"/>
  <c r="J268" i="7"/>
  <c r="S105" i="4"/>
  <c r="O106" i="4" s="1"/>
  <c r="P139" i="5"/>
  <c r="M140" i="5" s="1"/>
  <c r="K268" i="5"/>
  <c r="L268" i="5" s="1"/>
  <c r="J269" i="5"/>
  <c r="T105" i="4"/>
  <c r="P106" i="4" s="1"/>
  <c r="Q106" i="4" s="1"/>
  <c r="U106" i="4" s="1"/>
  <c r="J303" i="4"/>
  <c r="K302" i="4"/>
  <c r="L301" i="4"/>
  <c r="M301" i="4" s="1"/>
  <c r="J269" i="7" l="1"/>
  <c r="K268" i="7"/>
  <c r="L268" i="7" s="1"/>
  <c r="Q139" i="7"/>
  <c r="N140" i="7" s="1"/>
  <c r="O140" i="7" s="1"/>
  <c r="R140" i="7" s="1"/>
  <c r="Q139" i="5"/>
  <c r="N140" i="5" s="1"/>
  <c r="O140" i="5" s="1"/>
  <c r="R140" i="5" s="1"/>
  <c r="K269" i="5"/>
  <c r="L269" i="5" s="1"/>
  <c r="J270" i="5"/>
  <c r="R106" i="4"/>
  <c r="N107" i="4" s="1"/>
  <c r="L302" i="4"/>
  <c r="M302" i="4" s="1"/>
  <c r="J304" i="4"/>
  <c r="K303" i="4"/>
  <c r="P140" i="7" l="1"/>
  <c r="M141" i="7" s="1"/>
  <c r="J270" i="7"/>
  <c r="K269" i="7"/>
  <c r="L269" i="7" s="1"/>
  <c r="J271" i="5"/>
  <c r="K270" i="5"/>
  <c r="L270" i="5" s="1"/>
  <c r="P140" i="5"/>
  <c r="M141" i="5" s="1"/>
  <c r="S106" i="4"/>
  <c r="O107" i="4" s="1"/>
  <c r="J305" i="4"/>
  <c r="K304" i="4"/>
  <c r="L303" i="4"/>
  <c r="M303" i="4" s="1"/>
  <c r="J271" i="7" l="1"/>
  <c r="K270" i="7"/>
  <c r="L270" i="7" s="1"/>
  <c r="Q140" i="7"/>
  <c r="N141" i="7" s="1"/>
  <c r="O141" i="7" s="1"/>
  <c r="R141" i="7" s="1"/>
  <c r="Q140" i="5"/>
  <c r="N141" i="5" s="1"/>
  <c r="O141" i="5" s="1"/>
  <c r="R141" i="5" s="1"/>
  <c r="J272" i="5"/>
  <c r="K271" i="5"/>
  <c r="L271" i="5" s="1"/>
  <c r="T106" i="4"/>
  <c r="P107" i="4" s="1"/>
  <c r="Q107" i="4" s="1"/>
  <c r="U107" i="4" s="1"/>
  <c r="R107" i="4" s="1"/>
  <c r="N108" i="4" s="1"/>
  <c r="J306" i="4"/>
  <c r="K305" i="4"/>
  <c r="L304" i="4"/>
  <c r="M304" i="4" s="1"/>
  <c r="P141" i="7" l="1"/>
  <c r="M142" i="7" s="1"/>
  <c r="J272" i="7"/>
  <c r="K271" i="7"/>
  <c r="L271" i="7" s="1"/>
  <c r="P141" i="5"/>
  <c r="M142" i="5" s="1"/>
  <c r="J273" i="5"/>
  <c r="K272" i="5"/>
  <c r="L272" i="5" s="1"/>
  <c r="S107" i="4"/>
  <c r="O108" i="4" s="1"/>
  <c r="L305" i="4"/>
  <c r="M305" i="4" s="1"/>
  <c r="J307" i="4"/>
  <c r="K306" i="4"/>
  <c r="J273" i="7" l="1"/>
  <c r="K272" i="7"/>
  <c r="L272" i="7" s="1"/>
  <c r="Q141" i="7"/>
  <c r="N142" i="7" s="1"/>
  <c r="O142" i="7" s="1"/>
  <c r="R142" i="7" s="1"/>
  <c r="J274" i="5"/>
  <c r="K273" i="5"/>
  <c r="L273" i="5" s="1"/>
  <c r="Q141" i="5"/>
  <c r="N142" i="5" s="1"/>
  <c r="O142" i="5" s="1"/>
  <c r="R142" i="5" s="1"/>
  <c r="T107" i="4"/>
  <c r="P108" i="4" s="1"/>
  <c r="Q108" i="4" s="1"/>
  <c r="U108" i="4" s="1"/>
  <c r="L306" i="4"/>
  <c r="M306" i="4" s="1"/>
  <c r="K307" i="4"/>
  <c r="L307" i="4" s="1"/>
  <c r="J308" i="4"/>
  <c r="P142" i="7" l="1"/>
  <c r="M143" i="7" s="1"/>
  <c r="J274" i="7"/>
  <c r="K273" i="7"/>
  <c r="L273" i="7" s="1"/>
  <c r="P142" i="5"/>
  <c r="M143" i="5" s="1"/>
  <c r="J275" i="5"/>
  <c r="K274" i="5"/>
  <c r="L274" i="5" s="1"/>
  <c r="R108" i="4"/>
  <c r="N109" i="4" s="1"/>
  <c r="M307" i="4"/>
  <c r="J309" i="4"/>
  <c r="K308" i="4"/>
  <c r="J275" i="7" l="1"/>
  <c r="K274" i="7"/>
  <c r="L274" i="7" s="1"/>
  <c r="Q142" i="7"/>
  <c r="N143" i="7" s="1"/>
  <c r="O143" i="7" s="1"/>
  <c r="R143" i="7" s="1"/>
  <c r="J276" i="5"/>
  <c r="K275" i="5"/>
  <c r="L275" i="5" s="1"/>
  <c r="Q142" i="5"/>
  <c r="N143" i="5" s="1"/>
  <c r="O143" i="5" s="1"/>
  <c r="R143" i="5" s="1"/>
  <c r="S108" i="4"/>
  <c r="L308" i="4"/>
  <c r="M308" i="4" s="1"/>
  <c r="K309" i="4"/>
  <c r="L309" i="4" s="1"/>
  <c r="J310" i="4"/>
  <c r="P143" i="7" l="1"/>
  <c r="M144" i="7" s="1"/>
  <c r="K275" i="7"/>
  <c r="L275" i="7" s="1"/>
  <c r="J276" i="7"/>
  <c r="P143" i="5"/>
  <c r="M144" i="5" s="1"/>
  <c r="K276" i="5"/>
  <c r="L276" i="5" s="1"/>
  <c r="J277" i="5"/>
  <c r="O109" i="4"/>
  <c r="T108" i="4"/>
  <c r="P109" i="4" s="1"/>
  <c r="M309" i="4"/>
  <c r="J311" i="4"/>
  <c r="K310" i="4"/>
  <c r="J277" i="7" l="1"/>
  <c r="K276" i="7"/>
  <c r="L276" i="7" s="1"/>
  <c r="Q143" i="7"/>
  <c r="N144" i="7" s="1"/>
  <c r="O144" i="7" s="1"/>
  <c r="R144" i="7" s="1"/>
  <c r="J278" i="5"/>
  <c r="K277" i="5"/>
  <c r="L277" i="5" s="1"/>
  <c r="Q143" i="5"/>
  <c r="N144" i="5" s="1"/>
  <c r="O144" i="5" s="1"/>
  <c r="R144" i="5" s="1"/>
  <c r="Q109" i="4"/>
  <c r="U109" i="4" s="1"/>
  <c r="R109" i="4" s="1"/>
  <c r="N110" i="4" s="1"/>
  <c r="K311" i="4"/>
  <c r="J312" i="4"/>
  <c r="L310" i="4"/>
  <c r="M310" i="4" s="1"/>
  <c r="P144" i="7" l="1"/>
  <c r="M145" i="7" s="1"/>
  <c r="J278" i="7"/>
  <c r="K277" i="7"/>
  <c r="L277" i="7" s="1"/>
  <c r="P144" i="5"/>
  <c r="M145" i="5" s="1"/>
  <c r="K278" i="5"/>
  <c r="L278" i="5" s="1"/>
  <c r="J279" i="5"/>
  <c r="S109" i="4"/>
  <c r="O110" i="4" s="1"/>
  <c r="J313" i="4"/>
  <c r="K312" i="4"/>
  <c r="L312" i="4" s="1"/>
  <c r="L311" i="4"/>
  <c r="M311" i="4" s="1"/>
  <c r="J279" i="7" l="1"/>
  <c r="K278" i="7"/>
  <c r="L278" i="7" s="1"/>
  <c r="Q144" i="7"/>
  <c r="N145" i="7" s="1"/>
  <c r="O145" i="7" s="1"/>
  <c r="R145" i="7" s="1"/>
  <c r="J280" i="5"/>
  <c r="K279" i="5"/>
  <c r="L279" i="5" s="1"/>
  <c r="Q144" i="5"/>
  <c r="N145" i="5" s="1"/>
  <c r="O145" i="5" s="1"/>
  <c r="R145" i="5" s="1"/>
  <c r="M312" i="4"/>
  <c r="T109" i="4"/>
  <c r="P110" i="4" s="1"/>
  <c r="Q110" i="4" s="1"/>
  <c r="U110" i="4" s="1"/>
  <c r="K313" i="4"/>
  <c r="L313" i="4" s="1"/>
  <c r="J314" i="4"/>
  <c r="P145" i="7" l="1"/>
  <c r="M146" i="7" s="1"/>
  <c r="J280" i="7"/>
  <c r="K279" i="7"/>
  <c r="L279" i="7" s="1"/>
  <c r="P145" i="5"/>
  <c r="M146" i="5" s="1"/>
  <c r="J281" i="5"/>
  <c r="K280" i="5"/>
  <c r="L280" i="5" s="1"/>
  <c r="R110" i="4"/>
  <c r="N111" i="4" s="1"/>
  <c r="M313" i="4"/>
  <c r="J315" i="4"/>
  <c r="K314" i="4"/>
  <c r="L314" i="4" s="1"/>
  <c r="J281" i="7" l="1"/>
  <c r="K280" i="7"/>
  <c r="L280" i="7" s="1"/>
  <c r="Q145" i="7"/>
  <c r="N146" i="7" s="1"/>
  <c r="O146" i="7" s="1"/>
  <c r="R146" i="7" s="1"/>
  <c r="S110" i="4"/>
  <c r="O111" i="4" s="1"/>
  <c r="J282" i="5"/>
  <c r="K281" i="5"/>
  <c r="L281" i="5" s="1"/>
  <c r="Q145" i="5"/>
  <c r="N146" i="5" s="1"/>
  <c r="O146" i="5" s="1"/>
  <c r="R146" i="5" s="1"/>
  <c r="T110" i="4"/>
  <c r="P111" i="4" s="1"/>
  <c r="Q111" i="4" s="1"/>
  <c r="U111" i="4" s="1"/>
  <c r="M314" i="4"/>
  <c r="K315" i="4"/>
  <c r="J316" i="4"/>
  <c r="P146" i="7" l="1"/>
  <c r="M147" i="7" s="1"/>
  <c r="J282" i="7"/>
  <c r="K281" i="7"/>
  <c r="L281" i="7" s="1"/>
  <c r="P146" i="5"/>
  <c r="M147" i="5" s="1"/>
  <c r="J283" i="5"/>
  <c r="K282" i="5"/>
  <c r="L282" i="5" s="1"/>
  <c r="R111" i="4"/>
  <c r="N112" i="4" s="1"/>
  <c r="L315" i="4"/>
  <c r="M315" i="4" s="1"/>
  <c r="J317" i="4"/>
  <c r="K316" i="4"/>
  <c r="Q146" i="7" l="1"/>
  <c r="N147" i="7" s="1"/>
  <c r="J283" i="7"/>
  <c r="K282" i="7"/>
  <c r="L282" i="7" s="1"/>
  <c r="O147" i="7"/>
  <c r="R147" i="7" s="1"/>
  <c r="J284" i="5"/>
  <c r="K283" i="5"/>
  <c r="L283" i="5" s="1"/>
  <c r="Q146" i="5"/>
  <c r="N147" i="5" s="1"/>
  <c r="O147" i="5" s="1"/>
  <c r="R147" i="5" s="1"/>
  <c r="S111" i="4"/>
  <c r="O112" i="4" s="1"/>
  <c r="L316" i="4"/>
  <c r="M316" i="4" s="1"/>
  <c r="J318" i="4"/>
  <c r="K317" i="4"/>
  <c r="P147" i="7" l="1"/>
  <c r="M148" i="7" s="1"/>
  <c r="J284" i="7"/>
  <c r="K283" i="7"/>
  <c r="L283" i="7" s="1"/>
  <c r="P147" i="5"/>
  <c r="M148" i="5" s="1"/>
  <c r="K284" i="5"/>
  <c r="L284" i="5" s="1"/>
  <c r="J285" i="5"/>
  <c r="T111" i="4"/>
  <c r="P112" i="4" s="1"/>
  <c r="Q112" i="4" s="1"/>
  <c r="U112" i="4" s="1"/>
  <c r="L317" i="4"/>
  <c r="M317" i="4" s="1"/>
  <c r="K318" i="4"/>
  <c r="J319" i="4"/>
  <c r="J285" i="7" l="1"/>
  <c r="K284" i="7"/>
  <c r="L284" i="7" s="1"/>
  <c r="Q147" i="7"/>
  <c r="N148" i="7" s="1"/>
  <c r="O148" i="7" s="1"/>
  <c r="R148" i="7" s="1"/>
  <c r="K285" i="5"/>
  <c r="J286" i="5"/>
  <c r="L285" i="5"/>
  <c r="Q147" i="5"/>
  <c r="N148" i="5" s="1"/>
  <c r="O148" i="5" s="1"/>
  <c r="R148" i="5" s="1"/>
  <c r="L318" i="4"/>
  <c r="M318" i="4" s="1"/>
  <c r="R112" i="4"/>
  <c r="N113" i="4" s="1"/>
  <c r="J320" i="4"/>
  <c r="K319" i="4"/>
  <c r="P148" i="7" l="1"/>
  <c r="M149" i="7" s="1"/>
  <c r="J286" i="7"/>
  <c r="K285" i="7"/>
  <c r="L285" i="7" s="1"/>
  <c r="P148" i="5"/>
  <c r="M149" i="5" s="1"/>
  <c r="J287" i="5"/>
  <c r="K286" i="5"/>
  <c r="L286" i="5" s="1"/>
  <c r="S112" i="4"/>
  <c r="O113" i="4" s="1"/>
  <c r="L319" i="4"/>
  <c r="M319" i="4" s="1"/>
  <c r="J321" i="4"/>
  <c r="K320" i="4"/>
  <c r="L320" i="4" s="1"/>
  <c r="M320" i="4" s="1"/>
  <c r="J287" i="7" l="1"/>
  <c r="K286" i="7"/>
  <c r="L286" i="7" s="1"/>
  <c r="Q148" i="7"/>
  <c r="N149" i="7" s="1"/>
  <c r="O149" i="7" s="1"/>
  <c r="R149" i="7" s="1"/>
  <c r="J288" i="5"/>
  <c r="K287" i="5"/>
  <c r="L287" i="5" s="1"/>
  <c r="Q148" i="5"/>
  <c r="N149" i="5" s="1"/>
  <c r="O149" i="5" s="1"/>
  <c r="R149" i="5" s="1"/>
  <c r="T112" i="4"/>
  <c r="P113" i="4" s="1"/>
  <c r="Q113" i="4" s="1"/>
  <c r="U113" i="4" s="1"/>
  <c r="J322" i="4"/>
  <c r="K321" i="4"/>
  <c r="L321" i="4" s="1"/>
  <c r="P149" i="7" l="1"/>
  <c r="M150" i="7" s="1"/>
  <c r="J288" i="7"/>
  <c r="K287" i="7"/>
  <c r="L287" i="7" s="1"/>
  <c r="P149" i="5"/>
  <c r="M150" i="5" s="1"/>
  <c r="J289" i="5"/>
  <c r="K288" i="5"/>
  <c r="L288" i="5" s="1"/>
  <c r="R113" i="4"/>
  <c r="N114" i="4" s="1"/>
  <c r="M321" i="4"/>
  <c r="K322" i="4"/>
  <c r="J323" i="4"/>
  <c r="J289" i="7" l="1"/>
  <c r="K288" i="7"/>
  <c r="L288" i="7" s="1"/>
  <c r="Q149" i="7"/>
  <c r="N150" i="7" s="1"/>
  <c r="O150" i="7" s="1"/>
  <c r="R150" i="7" s="1"/>
  <c r="Q149" i="5"/>
  <c r="N150" i="5" s="1"/>
  <c r="O150" i="5" s="1"/>
  <c r="R150" i="5" s="1"/>
  <c r="J290" i="5"/>
  <c r="K289" i="5"/>
  <c r="L289" i="5" s="1"/>
  <c r="S113" i="4"/>
  <c r="O114" i="4" s="1"/>
  <c r="L322" i="4"/>
  <c r="M322" i="4" s="1"/>
  <c r="J324" i="4"/>
  <c r="K323" i="4"/>
  <c r="P150" i="7" l="1"/>
  <c r="M151" i="7" s="1"/>
  <c r="J290" i="7"/>
  <c r="K289" i="7"/>
  <c r="L289" i="7" s="1"/>
  <c r="J291" i="5"/>
  <c r="K290" i="5"/>
  <c r="L290" i="5" s="1"/>
  <c r="P150" i="5"/>
  <c r="M151" i="5" s="1"/>
  <c r="L323" i="4"/>
  <c r="M323" i="4" s="1"/>
  <c r="T113" i="4"/>
  <c r="P114" i="4" s="1"/>
  <c r="Q114" i="4" s="1"/>
  <c r="U114" i="4" s="1"/>
  <c r="J325" i="4"/>
  <c r="K324" i="4"/>
  <c r="Q150" i="7" l="1"/>
  <c r="N151" i="7" s="1"/>
  <c r="J291" i="7"/>
  <c r="K290" i="7"/>
  <c r="L290" i="7" s="1"/>
  <c r="O151" i="7"/>
  <c r="R151" i="7" s="1"/>
  <c r="Q150" i="5"/>
  <c r="N151" i="5" s="1"/>
  <c r="O151" i="5" s="1"/>
  <c r="R151" i="5" s="1"/>
  <c r="J292" i="5"/>
  <c r="K291" i="5"/>
  <c r="L291" i="5" s="1"/>
  <c r="R114" i="4"/>
  <c r="N115" i="4" s="1"/>
  <c r="L324" i="4"/>
  <c r="M324" i="4" s="1"/>
  <c r="J326" i="4"/>
  <c r="K325" i="4"/>
  <c r="P151" i="7" l="1"/>
  <c r="M152" i="7" s="1"/>
  <c r="K291" i="7"/>
  <c r="L291" i="7" s="1"/>
  <c r="J292" i="7"/>
  <c r="P151" i="5"/>
  <c r="M152" i="5" s="1"/>
  <c r="K292" i="5"/>
  <c r="L292" i="5" s="1"/>
  <c r="J293" i="5"/>
  <c r="S114" i="4"/>
  <c r="O115" i="4" s="1"/>
  <c r="L325" i="4"/>
  <c r="M325" i="4" s="1"/>
  <c r="K326" i="4"/>
  <c r="J327" i="4"/>
  <c r="J293" i="7" l="1"/>
  <c r="K292" i="7"/>
  <c r="L292" i="7" s="1"/>
  <c r="Q151" i="7"/>
  <c r="N152" i="7" s="1"/>
  <c r="O152" i="7" s="1"/>
  <c r="R152" i="7" s="1"/>
  <c r="J294" i="5"/>
  <c r="K293" i="5"/>
  <c r="L293" i="5" s="1"/>
  <c r="Q151" i="5"/>
  <c r="N152" i="5" s="1"/>
  <c r="O152" i="5" s="1"/>
  <c r="R152" i="5" s="1"/>
  <c r="T114" i="4"/>
  <c r="P115" i="4" s="1"/>
  <c r="Q115" i="4" s="1"/>
  <c r="U115" i="4" s="1"/>
  <c r="L326" i="4"/>
  <c r="M326" i="4" s="1"/>
  <c r="J328" i="4"/>
  <c r="K327" i="4"/>
  <c r="L327" i="4" s="1"/>
  <c r="P152" i="7" l="1"/>
  <c r="M153" i="7" s="1"/>
  <c r="J294" i="7"/>
  <c r="K293" i="7"/>
  <c r="L293" i="7" s="1"/>
  <c r="P152" i="5"/>
  <c r="M153" i="5" s="1"/>
  <c r="J295" i="5"/>
  <c r="K294" i="5"/>
  <c r="L294" i="5" s="1"/>
  <c r="R115" i="4"/>
  <c r="N116" i="4" s="1"/>
  <c r="M327" i="4"/>
  <c r="J329" i="4"/>
  <c r="K328" i="4"/>
  <c r="L328" i="4" s="1"/>
  <c r="M328" i="4" s="1"/>
  <c r="J295" i="7" l="1"/>
  <c r="K294" i="7"/>
  <c r="L294" i="7" s="1"/>
  <c r="Q152" i="7"/>
  <c r="N153" i="7" s="1"/>
  <c r="O153" i="7" s="1"/>
  <c r="R153" i="7" s="1"/>
  <c r="J296" i="5"/>
  <c r="K295" i="5"/>
  <c r="L295" i="5" s="1"/>
  <c r="Q152" i="5"/>
  <c r="N153" i="5" s="1"/>
  <c r="O153" i="5" s="1"/>
  <c r="R153" i="5" s="1"/>
  <c r="S115" i="4"/>
  <c r="O116" i="4" s="1"/>
  <c r="J330" i="4"/>
  <c r="K329" i="4"/>
  <c r="P153" i="7" l="1"/>
  <c r="M154" i="7" s="1"/>
  <c r="J296" i="7"/>
  <c r="K295" i="7"/>
  <c r="L295" i="7" s="1"/>
  <c r="P153" i="5"/>
  <c r="M154" i="5" s="1"/>
  <c r="J297" i="5"/>
  <c r="K296" i="5"/>
  <c r="L296" i="5" s="1"/>
  <c r="T115" i="4"/>
  <c r="P116" i="4" s="1"/>
  <c r="Q116" i="4" s="1"/>
  <c r="U116" i="4" s="1"/>
  <c r="L329" i="4"/>
  <c r="M329" i="4" s="1"/>
  <c r="K330" i="4"/>
  <c r="L330" i="4" s="1"/>
  <c r="J331" i="4"/>
  <c r="J297" i="7" l="1"/>
  <c r="K296" i="7"/>
  <c r="L296" i="7" s="1"/>
  <c r="Q153" i="7"/>
  <c r="N154" i="7" s="1"/>
  <c r="O154" i="7" s="1"/>
  <c r="R154" i="7" s="1"/>
  <c r="Q153" i="5"/>
  <c r="N154" i="5" s="1"/>
  <c r="J298" i="5"/>
  <c r="K297" i="5"/>
  <c r="L297" i="5" s="1"/>
  <c r="O154" i="5"/>
  <c r="R154" i="5" s="1"/>
  <c r="R116" i="4"/>
  <c r="N117" i="4" s="1"/>
  <c r="M330" i="4"/>
  <c r="J332" i="4"/>
  <c r="K331" i="4"/>
  <c r="P154" i="7" l="1"/>
  <c r="M155" i="7" s="1"/>
  <c r="K297" i="7"/>
  <c r="L297" i="7" s="1"/>
  <c r="J298" i="7"/>
  <c r="S116" i="4"/>
  <c r="O117" i="4" s="1"/>
  <c r="P154" i="5"/>
  <c r="M155" i="5" s="1"/>
  <c r="J299" i="5"/>
  <c r="K298" i="5"/>
  <c r="L298" i="5" s="1"/>
  <c r="T116" i="4"/>
  <c r="P117" i="4" s="1"/>
  <c r="Q117" i="4" s="1"/>
  <c r="U117" i="4" s="1"/>
  <c r="L331" i="4"/>
  <c r="M331" i="4" s="1"/>
  <c r="J333" i="4"/>
  <c r="K332" i="4"/>
  <c r="L332" i="4" s="1"/>
  <c r="M332" i="4" s="1"/>
  <c r="J299" i="7" l="1"/>
  <c r="K298" i="7"/>
  <c r="L298" i="7" s="1"/>
  <c r="Q154" i="7"/>
  <c r="N155" i="7" s="1"/>
  <c r="O155" i="7" s="1"/>
  <c r="R155" i="7" s="1"/>
  <c r="K299" i="5"/>
  <c r="L299" i="5" s="1"/>
  <c r="J300" i="5"/>
  <c r="Q154" i="5"/>
  <c r="N155" i="5" s="1"/>
  <c r="O155" i="5" s="1"/>
  <c r="R155" i="5" s="1"/>
  <c r="R117" i="4"/>
  <c r="N118" i="4" s="1"/>
  <c r="J334" i="4"/>
  <c r="K333" i="4"/>
  <c r="L333" i="4" s="1"/>
  <c r="P155" i="7" l="1"/>
  <c r="M156" i="7" s="1"/>
  <c r="J300" i="7"/>
  <c r="K299" i="7"/>
  <c r="L299" i="7" s="1"/>
  <c r="P155" i="5"/>
  <c r="M156" i="5" s="1"/>
  <c r="J301" i="5"/>
  <c r="K300" i="5"/>
  <c r="L300" i="5" s="1"/>
  <c r="S117" i="4"/>
  <c r="O118" i="4" s="1"/>
  <c r="M333" i="4"/>
  <c r="K334" i="4"/>
  <c r="J335" i="4"/>
  <c r="J301" i="7" l="1"/>
  <c r="K300" i="7"/>
  <c r="L300" i="7" s="1"/>
  <c r="Q155" i="7"/>
  <c r="N156" i="7" s="1"/>
  <c r="O156" i="7" s="1"/>
  <c r="R156" i="7" s="1"/>
  <c r="J302" i="5"/>
  <c r="K301" i="5"/>
  <c r="L301" i="5" s="1"/>
  <c r="Q155" i="5"/>
  <c r="N156" i="5" s="1"/>
  <c r="O156" i="5" s="1"/>
  <c r="R156" i="5" s="1"/>
  <c r="T117" i="4"/>
  <c r="P118" i="4" s="1"/>
  <c r="Q118" i="4" s="1"/>
  <c r="U118" i="4" s="1"/>
  <c r="J336" i="4"/>
  <c r="K335" i="4"/>
  <c r="L335" i="4" s="1"/>
  <c r="L334" i="4"/>
  <c r="M334" i="4" s="1"/>
  <c r="P156" i="7" l="1"/>
  <c r="M157" i="7" s="1"/>
  <c r="J302" i="7"/>
  <c r="K301" i="7"/>
  <c r="L301" i="7" s="1"/>
  <c r="P156" i="5"/>
  <c r="M157" i="5" s="1"/>
  <c r="J303" i="5"/>
  <c r="K302" i="5"/>
  <c r="L302" i="5" s="1"/>
  <c r="R118" i="4"/>
  <c r="N119" i="4" s="1"/>
  <c r="J337" i="4"/>
  <c r="K336" i="4"/>
  <c r="M335" i="4"/>
  <c r="Q156" i="7" l="1"/>
  <c r="N157" i="7" s="1"/>
  <c r="O157" i="7" s="1"/>
  <c r="R157" i="7" s="1"/>
  <c r="J303" i="7"/>
  <c r="K302" i="7"/>
  <c r="L302" i="7" s="1"/>
  <c r="S118" i="4"/>
  <c r="O119" i="4" s="1"/>
  <c r="J304" i="5"/>
  <c r="K303" i="5"/>
  <c r="L303" i="5" s="1"/>
  <c r="Q156" i="5"/>
  <c r="N157" i="5" s="1"/>
  <c r="O157" i="5" s="1"/>
  <c r="R157" i="5" s="1"/>
  <c r="T118" i="4"/>
  <c r="P119" i="4" s="1"/>
  <c r="Q119" i="4" s="1"/>
  <c r="U119" i="4" s="1"/>
  <c r="R119" i="4" s="1"/>
  <c r="N120" i="4" s="1"/>
  <c r="L336" i="4"/>
  <c r="M336" i="4" s="1"/>
  <c r="J338" i="4"/>
  <c r="K337" i="4"/>
  <c r="L337" i="4" s="1"/>
  <c r="M337" i="4" s="1"/>
  <c r="P157" i="7" l="1"/>
  <c r="M158" i="7" s="1"/>
  <c r="J304" i="7"/>
  <c r="K303" i="7"/>
  <c r="L303" i="7" s="1"/>
  <c r="P157" i="5"/>
  <c r="M158" i="5" s="1"/>
  <c r="J305" i="5"/>
  <c r="K304" i="5"/>
  <c r="L304" i="5" s="1"/>
  <c r="S119" i="4"/>
  <c r="O120" i="4" s="1"/>
  <c r="J339" i="4"/>
  <c r="K338" i="4"/>
  <c r="L338" i="4" s="1"/>
  <c r="J305" i="7" l="1"/>
  <c r="K304" i="7"/>
  <c r="L304" i="7" s="1"/>
  <c r="Q157" i="7"/>
  <c r="N158" i="7" s="1"/>
  <c r="O158" i="7" s="1"/>
  <c r="R158" i="7" s="1"/>
  <c r="T119" i="4"/>
  <c r="P120" i="4" s="1"/>
  <c r="Q120" i="4" s="1"/>
  <c r="U120" i="4" s="1"/>
  <c r="R120" i="4" s="1"/>
  <c r="N121" i="4" s="1"/>
  <c r="J306" i="5"/>
  <c r="K305" i="5"/>
  <c r="L305" i="5" s="1"/>
  <c r="Q157" i="5"/>
  <c r="N158" i="5" s="1"/>
  <c r="O158" i="5" s="1"/>
  <c r="R158" i="5" s="1"/>
  <c r="M338" i="4"/>
  <c r="K339" i="4"/>
  <c r="L339" i="4" s="1"/>
  <c r="M339" i="4" s="1"/>
  <c r="J340" i="4"/>
  <c r="P158" i="7" l="1"/>
  <c r="M159" i="7" s="1"/>
  <c r="J306" i="7"/>
  <c r="K305" i="7"/>
  <c r="L305" i="7" s="1"/>
  <c r="P158" i="5"/>
  <c r="M159" i="5" s="1"/>
  <c r="K306" i="5"/>
  <c r="L306" i="5" s="1"/>
  <c r="J307" i="5"/>
  <c r="S120" i="4"/>
  <c r="J341" i="4"/>
  <c r="K340" i="4"/>
  <c r="L340" i="4" s="1"/>
  <c r="M340" i="4" s="1"/>
  <c r="J307" i="7" l="1"/>
  <c r="K306" i="7"/>
  <c r="L306" i="7" s="1"/>
  <c r="Q158" i="7"/>
  <c r="N159" i="7" s="1"/>
  <c r="O159" i="7" s="1"/>
  <c r="R159" i="7" s="1"/>
  <c r="J308" i="5"/>
  <c r="K307" i="5"/>
  <c r="L307" i="5" s="1"/>
  <c r="Q158" i="5"/>
  <c r="N159" i="5" s="1"/>
  <c r="O159" i="5" s="1"/>
  <c r="R159" i="5" s="1"/>
  <c r="O121" i="4"/>
  <c r="T120" i="4"/>
  <c r="P121" i="4" s="1"/>
  <c r="Q121" i="4" s="1"/>
  <c r="U121" i="4" s="1"/>
  <c r="K341" i="4"/>
  <c r="J342" i="4"/>
  <c r="P159" i="7" l="1"/>
  <c r="M160" i="7" s="1"/>
  <c r="K307" i="7"/>
  <c r="L307" i="7" s="1"/>
  <c r="J308" i="7"/>
  <c r="P159" i="5"/>
  <c r="M160" i="5" s="1"/>
  <c r="J309" i="5"/>
  <c r="K308" i="5"/>
  <c r="L308" i="5" s="1"/>
  <c r="R121" i="4"/>
  <c r="N122" i="4" s="1"/>
  <c r="L341" i="4"/>
  <c r="M341" i="4" s="1"/>
  <c r="J343" i="4"/>
  <c r="K342" i="4"/>
  <c r="L342" i="4" s="1"/>
  <c r="Q159" i="7" l="1"/>
  <c r="N160" i="7" s="1"/>
  <c r="O160" i="7" s="1"/>
  <c r="R160" i="7" s="1"/>
  <c r="J309" i="7"/>
  <c r="K308" i="7"/>
  <c r="L308" i="7" s="1"/>
  <c r="J310" i="5"/>
  <c r="K309" i="5"/>
  <c r="L309" i="5" s="1"/>
  <c r="Q159" i="5"/>
  <c r="N160" i="5" s="1"/>
  <c r="O160" i="5" s="1"/>
  <c r="R160" i="5" s="1"/>
  <c r="S121" i="4"/>
  <c r="M342" i="4"/>
  <c r="K343" i="4"/>
  <c r="L343" i="4" s="1"/>
  <c r="J344" i="4"/>
  <c r="P160" i="7" l="1"/>
  <c r="M161" i="7" s="1"/>
  <c r="J310" i="7"/>
  <c r="K309" i="7"/>
  <c r="L309" i="7" s="1"/>
  <c r="P160" i="5"/>
  <c r="M161" i="5" s="1"/>
  <c r="J311" i="5"/>
  <c r="K310" i="5"/>
  <c r="L310" i="5" s="1"/>
  <c r="M343" i="4"/>
  <c r="O122" i="4"/>
  <c r="T121" i="4"/>
  <c r="P122" i="4" s="1"/>
  <c r="Q122" i="4" s="1"/>
  <c r="U122" i="4" s="1"/>
  <c r="J345" i="4"/>
  <c r="K344" i="4"/>
  <c r="L344" i="4" s="1"/>
  <c r="M344" i="4" s="1"/>
  <c r="K310" i="7" l="1"/>
  <c r="L310" i="7" s="1"/>
  <c r="J311" i="7"/>
  <c r="Q160" i="7"/>
  <c r="N161" i="7" s="1"/>
  <c r="O161" i="7" s="1"/>
  <c r="R161" i="7" s="1"/>
  <c r="J312" i="5"/>
  <c r="K311" i="5"/>
  <c r="L311" i="5" s="1"/>
  <c r="Q160" i="5"/>
  <c r="N161" i="5" s="1"/>
  <c r="O161" i="5" s="1"/>
  <c r="R161" i="5" s="1"/>
  <c r="R122" i="4"/>
  <c r="N123" i="4" s="1"/>
  <c r="K345" i="4"/>
  <c r="L345" i="4" s="1"/>
  <c r="M345" i="4" s="1"/>
  <c r="J346" i="4"/>
  <c r="P161" i="7" l="1"/>
  <c r="M162" i="7" s="1"/>
  <c r="K311" i="7"/>
  <c r="L311" i="7" s="1"/>
  <c r="J312" i="7"/>
  <c r="P161" i="5"/>
  <c r="M162" i="5" s="1"/>
  <c r="J313" i="5"/>
  <c r="K312" i="5"/>
  <c r="L312" i="5" s="1"/>
  <c r="S122" i="4"/>
  <c r="J347" i="4"/>
  <c r="K346" i="4"/>
  <c r="L346" i="4" s="1"/>
  <c r="J313" i="7" l="1"/>
  <c r="K312" i="7"/>
  <c r="L312" i="7" s="1"/>
  <c r="Q161" i="7"/>
  <c r="N162" i="7" s="1"/>
  <c r="O162" i="7" s="1"/>
  <c r="R162" i="7" s="1"/>
  <c r="Q161" i="5"/>
  <c r="N162" i="5" s="1"/>
  <c r="K313" i="5"/>
  <c r="L313" i="5" s="1"/>
  <c r="J314" i="5"/>
  <c r="O162" i="5"/>
  <c r="R162" i="5" s="1"/>
  <c r="O123" i="4"/>
  <c r="T122" i="4"/>
  <c r="P123" i="4" s="1"/>
  <c r="Q123" i="4" s="1"/>
  <c r="U123" i="4" s="1"/>
  <c r="K347" i="4"/>
  <c r="L347" i="4" s="1"/>
  <c r="M347" i="4" s="1"/>
  <c r="J348" i="4"/>
  <c r="M346" i="4"/>
  <c r="P162" i="7" l="1"/>
  <c r="M163" i="7" s="1"/>
  <c r="J314" i="7"/>
  <c r="K313" i="7"/>
  <c r="L313" i="7" s="1"/>
  <c r="P162" i="5"/>
  <c r="M163" i="5" s="1"/>
  <c r="J315" i="5"/>
  <c r="K314" i="5"/>
  <c r="L314" i="5" s="1"/>
  <c r="R123" i="4"/>
  <c r="N124" i="4" s="1"/>
  <c r="J349" i="4"/>
  <c r="K348" i="4"/>
  <c r="L348" i="4" s="1"/>
  <c r="J315" i="7" l="1"/>
  <c r="K314" i="7"/>
  <c r="L314" i="7" s="1"/>
  <c r="Q162" i="7"/>
  <c r="N163" i="7" s="1"/>
  <c r="O163" i="7" s="1"/>
  <c r="R163" i="7" s="1"/>
  <c r="J316" i="5"/>
  <c r="K315" i="5"/>
  <c r="L315" i="5" s="1"/>
  <c r="Q162" i="5"/>
  <c r="N163" i="5" s="1"/>
  <c r="O163" i="5" s="1"/>
  <c r="R163" i="5" s="1"/>
  <c r="S123" i="4"/>
  <c r="O124" i="4" s="1"/>
  <c r="M348" i="4"/>
  <c r="K349" i="4"/>
  <c r="L349" i="4" s="1"/>
  <c r="J350" i="4"/>
  <c r="P163" i="7" l="1"/>
  <c r="M164" i="7" s="1"/>
  <c r="J316" i="7"/>
  <c r="K315" i="7"/>
  <c r="L315" i="7" s="1"/>
  <c r="P163" i="5"/>
  <c r="M164" i="5" s="1"/>
  <c r="K316" i="5"/>
  <c r="L316" i="5" s="1"/>
  <c r="J317" i="5"/>
  <c r="T123" i="4"/>
  <c r="P124" i="4" s="1"/>
  <c r="Q124" i="4" s="1"/>
  <c r="U124" i="4" s="1"/>
  <c r="M349" i="4"/>
  <c r="J351" i="4"/>
  <c r="K350" i="4"/>
  <c r="L350" i="4" s="1"/>
  <c r="J317" i="7" l="1"/>
  <c r="K316" i="7"/>
  <c r="L316" i="7" s="1"/>
  <c r="Q163" i="7"/>
  <c r="N164" i="7" s="1"/>
  <c r="O164" i="7" s="1"/>
  <c r="R164" i="7" s="1"/>
  <c r="J318" i="5"/>
  <c r="K317" i="5"/>
  <c r="L317" i="5" s="1"/>
  <c r="Q163" i="5"/>
  <c r="N164" i="5" s="1"/>
  <c r="O164" i="5" s="1"/>
  <c r="R164" i="5" s="1"/>
  <c r="R124" i="4"/>
  <c r="N125" i="4" s="1"/>
  <c r="M350" i="4"/>
  <c r="J352" i="4"/>
  <c r="K351" i="4"/>
  <c r="P164" i="7" l="1"/>
  <c r="M165" i="7" s="1"/>
  <c r="J318" i="7"/>
  <c r="K317" i="7"/>
  <c r="L317" i="7" s="1"/>
  <c r="P164" i="5"/>
  <c r="M165" i="5" s="1"/>
  <c r="K318" i="5"/>
  <c r="L318" i="5" s="1"/>
  <c r="J319" i="5"/>
  <c r="S124" i="4"/>
  <c r="L351" i="4"/>
  <c r="M351" i="4" s="1"/>
  <c r="J353" i="4"/>
  <c r="K352" i="4"/>
  <c r="L352" i="4" s="1"/>
  <c r="M352" i="4" s="1"/>
  <c r="J319" i="7" l="1"/>
  <c r="K318" i="7"/>
  <c r="L318" i="7" s="1"/>
  <c r="Q164" i="7"/>
  <c r="N165" i="7" s="1"/>
  <c r="O165" i="7" s="1"/>
  <c r="R165" i="7" s="1"/>
  <c r="J320" i="5"/>
  <c r="K319" i="5"/>
  <c r="L319" i="5" s="1"/>
  <c r="Q164" i="5"/>
  <c r="N165" i="5" s="1"/>
  <c r="O165" i="5" s="1"/>
  <c r="R165" i="5" s="1"/>
  <c r="O125" i="4"/>
  <c r="T124" i="4"/>
  <c r="P125" i="4" s="1"/>
  <c r="K353" i="4"/>
  <c r="J354" i="4"/>
  <c r="P165" i="7" l="1"/>
  <c r="M166" i="7" s="1"/>
  <c r="J320" i="7"/>
  <c r="K319" i="7"/>
  <c r="L319" i="7" s="1"/>
  <c r="P165" i="5"/>
  <c r="M166" i="5" s="1"/>
  <c r="J321" i="5"/>
  <c r="K320" i="5"/>
  <c r="L320" i="5" s="1"/>
  <c r="Q125" i="4"/>
  <c r="U125" i="4" s="1"/>
  <c r="L353" i="4"/>
  <c r="M353" i="4" s="1"/>
  <c r="K354" i="4"/>
  <c r="L354" i="4" s="1"/>
  <c r="J355" i="4"/>
  <c r="J321" i="7" l="1"/>
  <c r="K320" i="7"/>
  <c r="L320" i="7" s="1"/>
  <c r="Q165" i="7"/>
  <c r="N166" i="7" s="1"/>
  <c r="O166" i="7" s="1"/>
  <c r="R166" i="7" s="1"/>
  <c r="J322" i="5"/>
  <c r="K321" i="5"/>
  <c r="L321" i="5" s="1"/>
  <c r="Q165" i="5"/>
  <c r="N166" i="5" s="1"/>
  <c r="O166" i="5" s="1"/>
  <c r="R166" i="5" s="1"/>
  <c r="R125" i="4"/>
  <c r="N126" i="4" s="1"/>
  <c r="J356" i="4"/>
  <c r="K355" i="4"/>
  <c r="M354" i="4"/>
  <c r="P166" i="7" l="1"/>
  <c r="M167" i="7" s="1"/>
  <c r="J322" i="7"/>
  <c r="K321" i="7"/>
  <c r="L321" i="7" s="1"/>
  <c r="P166" i="5"/>
  <c r="M167" i="5" s="1"/>
  <c r="J323" i="5"/>
  <c r="K322" i="5"/>
  <c r="L322" i="5" s="1"/>
  <c r="S125" i="4"/>
  <c r="O126" i="4" s="1"/>
  <c r="J357" i="4"/>
  <c r="K356" i="4"/>
  <c r="L355" i="4"/>
  <c r="M355" i="4" s="1"/>
  <c r="J323" i="7" l="1"/>
  <c r="K322" i="7"/>
  <c r="L322" i="7" s="1"/>
  <c r="Q166" i="7"/>
  <c r="N167" i="7" s="1"/>
  <c r="O167" i="7" s="1"/>
  <c r="R167" i="7" s="1"/>
  <c r="J324" i="5"/>
  <c r="K323" i="5"/>
  <c r="L323" i="5" s="1"/>
  <c r="Q166" i="5"/>
  <c r="N167" i="5" s="1"/>
  <c r="O167" i="5" s="1"/>
  <c r="R167" i="5" s="1"/>
  <c r="T125" i="4"/>
  <c r="P126" i="4" s="1"/>
  <c r="Q126" i="4" s="1"/>
  <c r="U126" i="4" s="1"/>
  <c r="L356" i="4"/>
  <c r="M356" i="4" s="1"/>
  <c r="K357" i="4"/>
  <c r="L357" i="4" s="1"/>
  <c r="J358" i="4"/>
  <c r="P167" i="7" l="1"/>
  <c r="M168" i="7" s="1"/>
  <c r="J324" i="7"/>
  <c r="K323" i="7"/>
  <c r="L323" i="7" s="1"/>
  <c r="P167" i="5"/>
  <c r="M168" i="5" s="1"/>
  <c r="J325" i="5"/>
  <c r="K324" i="5"/>
  <c r="L324" i="5" s="1"/>
  <c r="R126" i="4"/>
  <c r="N127" i="4" s="1"/>
  <c r="K358" i="4"/>
  <c r="J359" i="4"/>
  <c r="M357" i="4"/>
  <c r="Q167" i="7" l="1"/>
  <c r="N168" i="7" s="1"/>
  <c r="J325" i="7"/>
  <c r="K324" i="7"/>
  <c r="L324" i="7" s="1"/>
  <c r="O168" i="7"/>
  <c r="R168" i="7" s="1"/>
  <c r="S126" i="4"/>
  <c r="O127" i="4" s="1"/>
  <c r="J326" i="5"/>
  <c r="K325" i="5"/>
  <c r="L325" i="5" s="1"/>
  <c r="Q167" i="5"/>
  <c r="N168" i="5" s="1"/>
  <c r="O168" i="5" s="1"/>
  <c r="R168" i="5" s="1"/>
  <c r="L358" i="4"/>
  <c r="M358" i="4" s="1"/>
  <c r="J360" i="4"/>
  <c r="K359" i="4"/>
  <c r="L359" i="4" s="1"/>
  <c r="P168" i="7" l="1"/>
  <c r="M169" i="7" s="1"/>
  <c r="J326" i="7"/>
  <c r="K325" i="7"/>
  <c r="L325" i="7" s="1"/>
  <c r="T126" i="4"/>
  <c r="P127" i="4" s="1"/>
  <c r="Q127" i="4" s="1"/>
  <c r="U127" i="4" s="1"/>
  <c r="R127" i="4" s="1"/>
  <c r="N128" i="4" s="1"/>
  <c r="P168" i="5"/>
  <c r="M169" i="5" s="1"/>
  <c r="J327" i="5"/>
  <c r="K326" i="5"/>
  <c r="L326" i="5" s="1"/>
  <c r="M359" i="4"/>
  <c r="J361" i="4"/>
  <c r="K360" i="4"/>
  <c r="J327" i="7" l="1"/>
  <c r="K326" i="7"/>
  <c r="L326" i="7" s="1"/>
  <c r="Q168" i="7"/>
  <c r="N169" i="7" s="1"/>
  <c r="O169" i="7" s="1"/>
  <c r="R169" i="7" s="1"/>
  <c r="S127" i="4"/>
  <c r="O128" i="4" s="1"/>
  <c r="J328" i="5"/>
  <c r="K327" i="5"/>
  <c r="L327" i="5" s="1"/>
  <c r="Q168" i="5"/>
  <c r="N169" i="5" s="1"/>
  <c r="O169" i="5" s="1"/>
  <c r="R169" i="5" s="1"/>
  <c r="T127" i="4"/>
  <c r="P128" i="4" s="1"/>
  <c r="Q128" i="4" s="1"/>
  <c r="U128" i="4" s="1"/>
  <c r="J362" i="4"/>
  <c r="K361" i="4"/>
  <c r="L360" i="4"/>
  <c r="M360" i="4" s="1"/>
  <c r="P169" i="7" l="1"/>
  <c r="M170" i="7" s="1"/>
  <c r="J328" i="7"/>
  <c r="K327" i="7"/>
  <c r="L327" i="7" s="1"/>
  <c r="P169" i="5"/>
  <c r="M170" i="5" s="1"/>
  <c r="J329" i="5"/>
  <c r="K328" i="5"/>
  <c r="L328" i="5" s="1"/>
  <c r="R128" i="4"/>
  <c r="N129" i="4" s="1"/>
  <c r="K362" i="4"/>
  <c r="L362" i="4" s="1"/>
  <c r="J363" i="4"/>
  <c r="L361" i="4"/>
  <c r="M361" i="4" s="1"/>
  <c r="J329" i="7" l="1"/>
  <c r="K328" i="7"/>
  <c r="L328" i="7" s="1"/>
  <c r="Q169" i="7"/>
  <c r="N170" i="7" s="1"/>
  <c r="O170" i="7" s="1"/>
  <c r="R170" i="7" s="1"/>
  <c r="S128" i="4"/>
  <c r="O129" i="4" s="1"/>
  <c r="J330" i="5"/>
  <c r="K329" i="5"/>
  <c r="L329" i="5" s="1"/>
  <c r="Q169" i="5"/>
  <c r="N170" i="5" s="1"/>
  <c r="O170" i="5" s="1"/>
  <c r="R170" i="5" s="1"/>
  <c r="M362" i="4"/>
  <c r="J364" i="4"/>
  <c r="K363" i="4"/>
  <c r="P170" i="7" l="1"/>
  <c r="M171" i="7" s="1"/>
  <c r="J330" i="7"/>
  <c r="K329" i="7"/>
  <c r="L329" i="7" s="1"/>
  <c r="T128" i="4"/>
  <c r="P129" i="4" s="1"/>
  <c r="Q129" i="4" s="1"/>
  <c r="U129" i="4" s="1"/>
  <c r="R129" i="4" s="1"/>
  <c r="N130" i="4" s="1"/>
  <c r="P170" i="5"/>
  <c r="M171" i="5" s="1"/>
  <c r="K330" i="5"/>
  <c r="L330" i="5" s="1"/>
  <c r="J331" i="5"/>
  <c r="L363" i="4"/>
  <c r="M363" i="4" s="1"/>
  <c r="J365" i="4"/>
  <c r="K364" i="4"/>
  <c r="L364" i="4" s="1"/>
  <c r="J331" i="7" l="1"/>
  <c r="K330" i="7"/>
  <c r="L330" i="7" s="1"/>
  <c r="Q170" i="7"/>
  <c r="N171" i="7" s="1"/>
  <c r="O171" i="7" s="1"/>
  <c r="R171" i="7" s="1"/>
  <c r="K331" i="5"/>
  <c r="L331" i="5" s="1"/>
  <c r="J332" i="5"/>
  <c r="Q170" i="5"/>
  <c r="N171" i="5" s="1"/>
  <c r="O171" i="5" s="1"/>
  <c r="R171" i="5" s="1"/>
  <c r="S129" i="4"/>
  <c r="J366" i="4"/>
  <c r="K365" i="4"/>
  <c r="M364" i="4"/>
  <c r="P171" i="7" l="1"/>
  <c r="M172" i="7" s="1"/>
  <c r="J332" i="7"/>
  <c r="K331" i="7"/>
  <c r="L331" i="7" s="1"/>
  <c r="P171" i="5"/>
  <c r="M172" i="5" s="1"/>
  <c r="J333" i="5"/>
  <c r="K332" i="5"/>
  <c r="L332" i="5" s="1"/>
  <c r="O130" i="4"/>
  <c r="T129" i="4"/>
  <c r="P130" i="4" s="1"/>
  <c r="Q130" i="4" s="1"/>
  <c r="U130" i="4" s="1"/>
  <c r="J367" i="4"/>
  <c r="K366" i="4"/>
  <c r="L366" i="4" s="1"/>
  <c r="L365" i="4"/>
  <c r="M365" i="4" s="1"/>
  <c r="J333" i="7" l="1"/>
  <c r="K332" i="7"/>
  <c r="L332" i="7" s="1"/>
  <c r="Q171" i="7"/>
  <c r="N172" i="7" s="1"/>
  <c r="O172" i="7" s="1"/>
  <c r="R172" i="7" s="1"/>
  <c r="J334" i="5"/>
  <c r="K333" i="5"/>
  <c r="L333" i="5" s="1"/>
  <c r="Q171" i="5"/>
  <c r="N172" i="5" s="1"/>
  <c r="O172" i="5" s="1"/>
  <c r="R172" i="5" s="1"/>
  <c r="R130" i="4"/>
  <c r="N131" i="4" s="1"/>
  <c r="J368" i="4"/>
  <c r="K367" i="4"/>
  <c r="M366" i="4"/>
  <c r="P172" i="7" l="1"/>
  <c r="M173" i="7" s="1"/>
  <c r="J334" i="7"/>
  <c r="K333" i="7"/>
  <c r="L333" i="7" s="1"/>
  <c r="P172" i="5"/>
  <c r="M173" i="5" s="1"/>
  <c r="J335" i="5"/>
  <c r="K334" i="5"/>
  <c r="L334" i="5" s="1"/>
  <c r="S130" i="4"/>
  <c r="O131" i="4" s="1"/>
  <c r="L367" i="4"/>
  <c r="M367" i="4" s="1"/>
  <c r="J369" i="4"/>
  <c r="K368" i="4"/>
  <c r="L368" i="4" s="1"/>
  <c r="M368" i="4" s="1"/>
  <c r="Q172" i="7" l="1"/>
  <c r="N173" i="7" s="1"/>
  <c r="J335" i="7"/>
  <c r="K334" i="7"/>
  <c r="L334" i="7" s="1"/>
  <c r="O173" i="7"/>
  <c r="R173" i="7" s="1"/>
  <c r="Q172" i="5"/>
  <c r="N173" i="5" s="1"/>
  <c r="O173" i="5" s="1"/>
  <c r="R173" i="5" s="1"/>
  <c r="J336" i="5"/>
  <c r="K335" i="5"/>
  <c r="L335" i="5" s="1"/>
  <c r="T130" i="4"/>
  <c r="P131" i="4" s="1"/>
  <c r="Q131" i="4" s="1"/>
  <c r="U131" i="4" s="1"/>
  <c r="K369" i="4"/>
  <c r="J370" i="4"/>
  <c r="P173" i="7" l="1"/>
  <c r="M174" i="7" s="1"/>
  <c r="J336" i="7"/>
  <c r="K335" i="7"/>
  <c r="L335" i="7" s="1"/>
  <c r="P173" i="5"/>
  <c r="M174" i="5" s="1"/>
  <c r="J337" i="5"/>
  <c r="K336" i="5"/>
  <c r="L336" i="5" s="1"/>
  <c r="R131" i="4"/>
  <c r="N132" i="4" s="1"/>
  <c r="S131" i="4"/>
  <c r="O132" i="4" s="1"/>
  <c r="K370" i="4"/>
  <c r="J371" i="4"/>
  <c r="L369" i="4"/>
  <c r="M369" i="4" s="1"/>
  <c r="J337" i="7" l="1"/>
  <c r="K336" i="7"/>
  <c r="L336" i="7" s="1"/>
  <c r="Q173" i="7"/>
  <c r="N174" i="7" s="1"/>
  <c r="O174" i="7" s="1"/>
  <c r="R174" i="7" s="1"/>
  <c r="J338" i="5"/>
  <c r="K337" i="5"/>
  <c r="L337" i="5" s="1"/>
  <c r="Q173" i="5"/>
  <c r="N174" i="5" s="1"/>
  <c r="O174" i="5" s="1"/>
  <c r="R174" i="5" s="1"/>
  <c r="L370" i="4"/>
  <c r="M370" i="4" s="1"/>
  <c r="T131" i="4"/>
  <c r="P132" i="4" s="1"/>
  <c r="Q132" i="4" s="1"/>
  <c r="U132" i="4" s="1"/>
  <c r="J372" i="4"/>
  <c r="K371" i="4"/>
  <c r="L371" i="4" s="1"/>
  <c r="P174" i="7" l="1"/>
  <c r="M175" i="7" s="1"/>
  <c r="J338" i="7"/>
  <c r="K337" i="7"/>
  <c r="L337" i="7" s="1"/>
  <c r="P174" i="5"/>
  <c r="M175" i="5" s="1"/>
  <c r="K338" i="5"/>
  <c r="L338" i="5" s="1"/>
  <c r="J339" i="5"/>
  <c r="R132" i="4"/>
  <c r="N133" i="4" s="1"/>
  <c r="M371" i="4"/>
  <c r="J373" i="4"/>
  <c r="K372" i="4"/>
  <c r="J339" i="7" l="1"/>
  <c r="K338" i="7"/>
  <c r="L338" i="7" s="1"/>
  <c r="Q174" i="7"/>
  <c r="N175" i="7" s="1"/>
  <c r="O175" i="7" s="1"/>
  <c r="R175" i="7" s="1"/>
  <c r="K339" i="5"/>
  <c r="L339" i="5" s="1"/>
  <c r="J340" i="5"/>
  <c r="Q174" i="5"/>
  <c r="N175" i="5" s="1"/>
  <c r="O175" i="5" s="1"/>
  <c r="R175" i="5" s="1"/>
  <c r="S132" i="4"/>
  <c r="O133" i="4" s="1"/>
  <c r="L372" i="4"/>
  <c r="M372" i="4" s="1"/>
  <c r="K373" i="4"/>
  <c r="J374" i="4"/>
  <c r="P175" i="7" l="1"/>
  <c r="M176" i="7" s="1"/>
  <c r="J340" i="7"/>
  <c r="K339" i="7"/>
  <c r="L339" i="7" s="1"/>
  <c r="P175" i="5"/>
  <c r="M176" i="5" s="1"/>
  <c r="J341" i="5"/>
  <c r="K340" i="5"/>
  <c r="L340" i="5" s="1"/>
  <c r="T132" i="4"/>
  <c r="P133" i="4" s="1"/>
  <c r="Q133" i="4" s="1"/>
  <c r="U133" i="4" s="1"/>
  <c r="L373" i="4"/>
  <c r="M373" i="4" s="1"/>
  <c r="K374" i="4"/>
  <c r="L374" i="4" s="1"/>
  <c r="J375" i="4"/>
  <c r="J341" i="7" l="1"/>
  <c r="K340" i="7"/>
  <c r="L340" i="7" s="1"/>
  <c r="Q175" i="7"/>
  <c r="N176" i="7" s="1"/>
  <c r="O176" i="7" s="1"/>
  <c r="R176" i="7" s="1"/>
  <c r="J342" i="5"/>
  <c r="K341" i="5"/>
  <c r="L341" i="5" s="1"/>
  <c r="Q175" i="5"/>
  <c r="N176" i="5" s="1"/>
  <c r="O176" i="5" s="1"/>
  <c r="R176" i="5" s="1"/>
  <c r="R133" i="4"/>
  <c r="N134" i="4" s="1"/>
  <c r="M374" i="4"/>
  <c r="J376" i="4"/>
  <c r="K375" i="4"/>
  <c r="P176" i="7" l="1"/>
  <c r="M177" i="7" s="1"/>
  <c r="J342" i="7"/>
  <c r="K341" i="7"/>
  <c r="L341" i="7" s="1"/>
  <c r="P176" i="5"/>
  <c r="M177" i="5" s="1"/>
  <c r="J343" i="5"/>
  <c r="K342" i="5"/>
  <c r="L342" i="5" s="1"/>
  <c r="S133" i="4"/>
  <c r="J377" i="4"/>
  <c r="K376" i="4"/>
  <c r="L375" i="4"/>
  <c r="M375" i="4" s="1"/>
  <c r="J343" i="7" l="1"/>
  <c r="K342" i="7"/>
  <c r="L342" i="7" s="1"/>
  <c r="Q176" i="7"/>
  <c r="N177" i="7" s="1"/>
  <c r="O177" i="7" s="1"/>
  <c r="R177" i="7" s="1"/>
  <c r="J344" i="5"/>
  <c r="K343" i="5"/>
  <c r="L343" i="5" s="1"/>
  <c r="Q176" i="5"/>
  <c r="N177" i="5" s="1"/>
  <c r="O177" i="5" s="1"/>
  <c r="R177" i="5" s="1"/>
  <c r="O134" i="4"/>
  <c r="T133" i="4"/>
  <c r="P134" i="4" s="1"/>
  <c r="Q134" i="4" s="1"/>
  <c r="U134" i="4" s="1"/>
  <c r="J378" i="4"/>
  <c r="K377" i="4"/>
  <c r="L377" i="4" s="1"/>
  <c r="L376" i="4"/>
  <c r="M376" i="4" s="1"/>
  <c r="P177" i="7" l="1"/>
  <c r="M178" i="7" s="1"/>
  <c r="J344" i="7"/>
  <c r="K343" i="7"/>
  <c r="L343" i="7" s="1"/>
  <c r="P177" i="5"/>
  <c r="M178" i="5" s="1"/>
  <c r="J345" i="5"/>
  <c r="K344" i="5"/>
  <c r="L344" i="5" s="1"/>
  <c r="R134" i="4"/>
  <c r="N135" i="4" s="1"/>
  <c r="M377" i="4"/>
  <c r="K378" i="4"/>
  <c r="J379" i="4"/>
  <c r="J345" i="7" l="1"/>
  <c r="K344" i="7"/>
  <c r="L344" i="7" s="1"/>
  <c r="Q177" i="7"/>
  <c r="N178" i="7" s="1"/>
  <c r="O178" i="7" s="1"/>
  <c r="R178" i="7" s="1"/>
  <c r="J346" i="5"/>
  <c r="K345" i="5"/>
  <c r="L345" i="5" s="1"/>
  <c r="Q177" i="5"/>
  <c r="N178" i="5" s="1"/>
  <c r="O178" i="5" s="1"/>
  <c r="R178" i="5" s="1"/>
  <c r="S134" i="4"/>
  <c r="L378" i="4"/>
  <c r="M378" i="4" s="1"/>
  <c r="J380" i="4"/>
  <c r="K379" i="4"/>
  <c r="L379" i="4" s="1"/>
  <c r="P178" i="7" l="1"/>
  <c r="M179" i="7" s="1"/>
  <c r="J346" i="7"/>
  <c r="K345" i="7"/>
  <c r="L345" i="7" s="1"/>
  <c r="P178" i="5"/>
  <c r="M179" i="5" s="1"/>
  <c r="K346" i="5"/>
  <c r="L346" i="5" s="1"/>
  <c r="J347" i="5"/>
  <c r="O135" i="4"/>
  <c r="T134" i="4"/>
  <c r="P135" i="4" s="1"/>
  <c r="Q135" i="4" s="1"/>
  <c r="U135" i="4" s="1"/>
  <c r="M379" i="4"/>
  <c r="J381" i="4"/>
  <c r="K380" i="4"/>
  <c r="L380" i="4" s="1"/>
  <c r="Q178" i="7" l="1"/>
  <c r="N179" i="7" s="1"/>
  <c r="J347" i="7"/>
  <c r="K346" i="7"/>
  <c r="L346" i="7" s="1"/>
  <c r="O179" i="7"/>
  <c r="R179" i="7" s="1"/>
  <c r="K347" i="5"/>
  <c r="L347" i="5" s="1"/>
  <c r="J348" i="5"/>
  <c r="Q178" i="5"/>
  <c r="N179" i="5" s="1"/>
  <c r="O179" i="5" s="1"/>
  <c r="R179" i="5" s="1"/>
  <c r="R135" i="4"/>
  <c r="N136" i="4" s="1"/>
  <c r="J382" i="4"/>
  <c r="K381" i="4"/>
  <c r="M380" i="4"/>
  <c r="J348" i="7" l="1"/>
  <c r="K347" i="7"/>
  <c r="L347" i="7" s="1"/>
  <c r="P179" i="7"/>
  <c r="M180" i="7" s="1"/>
  <c r="S135" i="4"/>
  <c r="O136" i="4" s="1"/>
  <c r="P179" i="5"/>
  <c r="M180" i="5" s="1"/>
  <c r="J349" i="5"/>
  <c r="K348" i="5"/>
  <c r="L348" i="5" s="1"/>
  <c r="J383" i="4"/>
  <c r="K382" i="4"/>
  <c r="L381" i="4"/>
  <c r="M381" i="4" s="1"/>
  <c r="Q179" i="7" l="1"/>
  <c r="N180" i="7" s="1"/>
  <c r="O180" i="7" s="1"/>
  <c r="R180" i="7" s="1"/>
  <c r="J349" i="7"/>
  <c r="K348" i="7"/>
  <c r="L348" i="7" s="1"/>
  <c r="T135" i="4"/>
  <c r="P136" i="4" s="1"/>
  <c r="Q136" i="4" s="1"/>
  <c r="U136" i="4" s="1"/>
  <c r="R136" i="4" s="1"/>
  <c r="N137" i="4" s="1"/>
  <c r="J350" i="5"/>
  <c r="K349" i="5"/>
  <c r="L349" i="5" s="1"/>
  <c r="Q179" i="5"/>
  <c r="N180" i="5" s="1"/>
  <c r="O180" i="5" s="1"/>
  <c r="R180" i="5" s="1"/>
  <c r="J384" i="4"/>
  <c r="K383" i="4"/>
  <c r="L382" i="4"/>
  <c r="M382" i="4" s="1"/>
  <c r="P180" i="7" l="1"/>
  <c r="M181" i="7" s="1"/>
  <c r="J350" i="7"/>
  <c r="K349" i="7"/>
  <c r="L349" i="7" s="1"/>
  <c r="P180" i="5"/>
  <c r="M181" i="5" s="1"/>
  <c r="J351" i="5"/>
  <c r="K350" i="5"/>
  <c r="L350" i="5" s="1"/>
  <c r="L383" i="4"/>
  <c r="M383" i="4" s="1"/>
  <c r="S136" i="4"/>
  <c r="O137" i="4" s="1"/>
  <c r="J385" i="4"/>
  <c r="K384" i="4"/>
  <c r="L384" i="4" s="1"/>
  <c r="J351" i="7" l="1"/>
  <c r="K350" i="7"/>
  <c r="L350" i="7" s="1"/>
  <c r="Q180" i="7"/>
  <c r="N181" i="7" s="1"/>
  <c r="O181" i="7" s="1"/>
  <c r="R181" i="7" s="1"/>
  <c r="Q180" i="5"/>
  <c r="N181" i="5" s="1"/>
  <c r="J352" i="5"/>
  <c r="K351" i="5"/>
  <c r="L351" i="5" s="1"/>
  <c r="O181" i="5"/>
  <c r="R181" i="5" s="1"/>
  <c r="T136" i="4"/>
  <c r="P137" i="4" s="1"/>
  <c r="Q137" i="4" s="1"/>
  <c r="U137" i="4" s="1"/>
  <c r="M384" i="4"/>
  <c r="J386" i="4"/>
  <c r="K385" i="4"/>
  <c r="L385" i="4" s="1"/>
  <c r="J352" i="7" l="1"/>
  <c r="K351" i="7"/>
  <c r="L351" i="7" s="1"/>
  <c r="P181" i="7"/>
  <c r="M182" i="7" s="1"/>
  <c r="P181" i="5"/>
  <c r="M182" i="5" s="1"/>
  <c r="J353" i="5"/>
  <c r="K352" i="5"/>
  <c r="L352" i="5" s="1"/>
  <c r="R137" i="4"/>
  <c r="N138" i="4" s="1"/>
  <c r="J387" i="4"/>
  <c r="K386" i="4"/>
  <c r="M385" i="4"/>
  <c r="Q181" i="7" l="1"/>
  <c r="N182" i="7" s="1"/>
  <c r="O182" i="7" s="1"/>
  <c r="R182" i="7" s="1"/>
  <c r="J353" i="7"/>
  <c r="K352" i="7"/>
  <c r="L352" i="7" s="1"/>
  <c r="Q181" i="5"/>
  <c r="N182" i="5" s="1"/>
  <c r="O182" i="5" s="1"/>
  <c r="R182" i="5" s="1"/>
  <c r="J354" i="5"/>
  <c r="K353" i="5"/>
  <c r="L353" i="5" s="1"/>
  <c r="S137" i="4"/>
  <c r="O138" i="4" s="1"/>
  <c r="J388" i="4"/>
  <c r="K387" i="4"/>
  <c r="L387" i="4" s="1"/>
  <c r="L386" i="4"/>
  <c r="M386" i="4" s="1"/>
  <c r="P182" i="7" l="1"/>
  <c r="M183" i="7" s="1"/>
  <c r="J354" i="7"/>
  <c r="K353" i="7"/>
  <c r="L353" i="7" s="1"/>
  <c r="P182" i="5"/>
  <c r="M183" i="5" s="1"/>
  <c r="K354" i="5"/>
  <c r="L354" i="5" s="1"/>
  <c r="J355" i="5"/>
  <c r="T137" i="4"/>
  <c r="P138" i="4" s="1"/>
  <c r="Q138" i="4" s="1"/>
  <c r="U138" i="4" s="1"/>
  <c r="M387" i="4"/>
  <c r="J389" i="4"/>
  <c r="K388" i="4"/>
  <c r="L388" i="4" s="1"/>
  <c r="M388" i="4" s="1"/>
  <c r="K354" i="7" l="1"/>
  <c r="L354" i="7" s="1"/>
  <c r="J355" i="7"/>
  <c r="Q182" i="7"/>
  <c r="N183" i="7" s="1"/>
  <c r="O183" i="7" s="1"/>
  <c r="R183" i="7" s="1"/>
  <c r="K355" i="5"/>
  <c r="L355" i="5" s="1"/>
  <c r="J356" i="5"/>
  <c r="Q182" i="5"/>
  <c r="N183" i="5" s="1"/>
  <c r="O183" i="5" s="1"/>
  <c r="R183" i="5" s="1"/>
  <c r="R138" i="4"/>
  <c r="N139" i="4" s="1"/>
  <c r="J390" i="4"/>
  <c r="K389" i="4"/>
  <c r="P183" i="7" l="1"/>
  <c r="M184" i="7" s="1"/>
  <c r="J356" i="7"/>
  <c r="K355" i="7"/>
  <c r="L355" i="7" s="1"/>
  <c r="S138" i="4"/>
  <c r="O139" i="4" s="1"/>
  <c r="P183" i="5"/>
  <c r="M184" i="5" s="1"/>
  <c r="J357" i="5"/>
  <c r="K356" i="5"/>
  <c r="L356" i="5" s="1"/>
  <c r="K390" i="4"/>
  <c r="J391" i="4"/>
  <c r="L389" i="4"/>
  <c r="M389" i="4" s="1"/>
  <c r="J357" i="7" l="1"/>
  <c r="K356" i="7"/>
  <c r="L356" i="7" s="1"/>
  <c r="Q183" i="7"/>
  <c r="N184" i="7" s="1"/>
  <c r="O184" i="7" s="1"/>
  <c r="R184" i="7" s="1"/>
  <c r="T138" i="4"/>
  <c r="P139" i="4" s="1"/>
  <c r="Q139" i="4" s="1"/>
  <c r="U139" i="4" s="1"/>
  <c r="R139" i="4" s="1"/>
  <c r="N140" i="4" s="1"/>
  <c r="J358" i="5"/>
  <c r="K357" i="5"/>
  <c r="L357" i="5" s="1"/>
  <c r="Q183" i="5"/>
  <c r="N184" i="5" s="1"/>
  <c r="O184" i="5" s="1"/>
  <c r="R184" i="5" s="1"/>
  <c r="L390" i="4"/>
  <c r="M390" i="4" s="1"/>
  <c r="K391" i="4"/>
  <c r="J392" i="4"/>
  <c r="P184" i="7" l="1"/>
  <c r="M185" i="7" s="1"/>
  <c r="J358" i="7"/>
  <c r="K357" i="7"/>
  <c r="L357" i="7" s="1"/>
  <c r="P184" i="5"/>
  <c r="M185" i="5" s="1"/>
  <c r="J359" i="5"/>
  <c r="K358" i="5"/>
  <c r="L358" i="5" s="1"/>
  <c r="S139" i="4"/>
  <c r="O140" i="4" s="1"/>
  <c r="L391" i="4"/>
  <c r="M391" i="4" s="1"/>
  <c r="K392" i="4"/>
  <c r="L392" i="4" s="1"/>
  <c r="J393" i="4"/>
  <c r="J359" i="7" l="1"/>
  <c r="K358" i="7"/>
  <c r="L358" i="7" s="1"/>
  <c r="Q184" i="7"/>
  <c r="N185" i="7" s="1"/>
  <c r="O185" i="7" s="1"/>
  <c r="R185" i="7" s="1"/>
  <c r="J360" i="5"/>
  <c r="K359" i="5"/>
  <c r="L359" i="5" s="1"/>
  <c r="Q184" i="5"/>
  <c r="N185" i="5" s="1"/>
  <c r="O185" i="5" s="1"/>
  <c r="R185" i="5" s="1"/>
  <c r="T139" i="4"/>
  <c r="P140" i="4" s="1"/>
  <c r="Q140" i="4" s="1"/>
  <c r="U140" i="4" s="1"/>
  <c r="M392" i="4"/>
  <c r="K393" i="4"/>
  <c r="L393" i="4" s="1"/>
  <c r="J394" i="4"/>
  <c r="P185" i="7" l="1"/>
  <c r="M186" i="7" s="1"/>
  <c r="J360" i="7"/>
  <c r="K359" i="7"/>
  <c r="L359" i="7" s="1"/>
  <c r="P185" i="5"/>
  <c r="M186" i="5" s="1"/>
  <c r="J361" i="5"/>
  <c r="K360" i="5"/>
  <c r="L360" i="5" s="1"/>
  <c r="R140" i="4"/>
  <c r="N141" i="4" s="1"/>
  <c r="M393" i="4"/>
  <c r="J395" i="4"/>
  <c r="K394" i="4"/>
  <c r="L394" i="4" s="1"/>
  <c r="K360" i="7" l="1"/>
  <c r="L360" i="7" s="1"/>
  <c r="J361" i="7"/>
  <c r="Q185" i="7"/>
  <c r="N186" i="7" s="1"/>
  <c r="O186" i="7" s="1"/>
  <c r="R186" i="7" s="1"/>
  <c r="Q185" i="5"/>
  <c r="N186" i="5" s="1"/>
  <c r="J362" i="5"/>
  <c r="K361" i="5"/>
  <c r="L361" i="5" s="1"/>
  <c r="O186" i="5"/>
  <c r="R186" i="5" s="1"/>
  <c r="S140" i="4"/>
  <c r="O141" i="4" s="1"/>
  <c r="J396" i="4"/>
  <c r="K395" i="4"/>
  <c r="L395" i="4" s="1"/>
  <c r="M394" i="4"/>
  <c r="P186" i="7" l="1"/>
  <c r="M187" i="7" s="1"/>
  <c r="J362" i="7"/>
  <c r="K361" i="7"/>
  <c r="L361" i="7" s="1"/>
  <c r="P186" i="5"/>
  <c r="M187" i="5" s="1"/>
  <c r="J363" i="5"/>
  <c r="K362" i="5"/>
  <c r="L362" i="5" s="1"/>
  <c r="T140" i="4"/>
  <c r="P141" i="4" s="1"/>
  <c r="Q141" i="4" s="1"/>
  <c r="U141" i="4" s="1"/>
  <c r="R141" i="4" s="1"/>
  <c r="N142" i="4" s="1"/>
  <c r="J397" i="4"/>
  <c r="K396" i="4"/>
  <c r="L396" i="4" s="1"/>
  <c r="M395" i="4"/>
  <c r="J363" i="7" l="1"/>
  <c r="K362" i="7"/>
  <c r="L362" i="7" s="1"/>
  <c r="Q186" i="7"/>
  <c r="N187" i="7" s="1"/>
  <c r="O187" i="7" s="1"/>
  <c r="R187" i="7" s="1"/>
  <c r="K363" i="5"/>
  <c r="L363" i="5" s="1"/>
  <c r="J364" i="5"/>
  <c r="Q186" i="5"/>
  <c r="N187" i="5" s="1"/>
  <c r="O187" i="5" s="1"/>
  <c r="R187" i="5" s="1"/>
  <c r="S141" i="4"/>
  <c r="M396" i="4"/>
  <c r="J398" i="4"/>
  <c r="K397" i="4"/>
  <c r="L397" i="4" s="1"/>
  <c r="P187" i="7" l="1"/>
  <c r="M188" i="7" s="1"/>
  <c r="J364" i="7"/>
  <c r="K363" i="7"/>
  <c r="L363" i="7" s="1"/>
  <c r="P187" i="5"/>
  <c r="M188" i="5" s="1"/>
  <c r="J365" i="5"/>
  <c r="K364" i="5"/>
  <c r="L364" i="5" s="1"/>
  <c r="O142" i="4"/>
  <c r="T141" i="4"/>
  <c r="P142" i="4" s="1"/>
  <c r="Q142" i="4" s="1"/>
  <c r="U142" i="4" s="1"/>
  <c r="K398" i="4"/>
  <c r="L398" i="4" s="1"/>
  <c r="M398" i="4" s="1"/>
  <c r="J399" i="4"/>
  <c r="M397" i="4"/>
  <c r="Q187" i="7" l="1"/>
  <c r="N188" i="7" s="1"/>
  <c r="J365" i="7"/>
  <c r="K364" i="7"/>
  <c r="L364" i="7" s="1"/>
  <c r="O188" i="7"/>
  <c r="R188" i="7" s="1"/>
  <c r="J366" i="5"/>
  <c r="K365" i="5"/>
  <c r="L365" i="5" s="1"/>
  <c r="Q187" i="5"/>
  <c r="N188" i="5" s="1"/>
  <c r="O188" i="5" s="1"/>
  <c r="R188" i="5" s="1"/>
  <c r="R142" i="4"/>
  <c r="N143" i="4" s="1"/>
  <c r="K399" i="4"/>
  <c r="J400" i="4"/>
  <c r="P188" i="7" l="1"/>
  <c r="M189" i="7" s="1"/>
  <c r="J366" i="7"/>
  <c r="K365" i="7"/>
  <c r="L365" i="7" s="1"/>
  <c r="S142" i="4"/>
  <c r="O143" i="4" s="1"/>
  <c r="P188" i="5"/>
  <c r="M189" i="5" s="1"/>
  <c r="J367" i="5"/>
  <c r="K366" i="5"/>
  <c r="L366" i="5" s="1"/>
  <c r="T142" i="4"/>
  <c r="P143" i="4" s="1"/>
  <c r="Q143" i="4" s="1"/>
  <c r="U143" i="4" s="1"/>
  <c r="L399" i="4"/>
  <c r="M399" i="4" s="1"/>
  <c r="J401" i="4"/>
  <c r="K400" i="4"/>
  <c r="L400" i="4" s="1"/>
  <c r="Q188" i="7" l="1"/>
  <c r="N189" i="7" s="1"/>
  <c r="J367" i="7"/>
  <c r="K366" i="7"/>
  <c r="L366" i="7" s="1"/>
  <c r="O189" i="7"/>
  <c r="R189" i="7" s="1"/>
  <c r="K367" i="5"/>
  <c r="L367" i="5" s="1"/>
  <c r="J368" i="5"/>
  <c r="Q188" i="5"/>
  <c r="N189" i="5" s="1"/>
  <c r="O189" i="5" s="1"/>
  <c r="R189" i="5" s="1"/>
  <c r="R143" i="4"/>
  <c r="N144" i="4" s="1"/>
  <c r="M400" i="4"/>
  <c r="J402" i="4"/>
  <c r="K401" i="4"/>
  <c r="J368" i="7" l="1"/>
  <c r="K367" i="7"/>
  <c r="L367" i="7" s="1"/>
  <c r="P189" i="7"/>
  <c r="M190" i="7" s="1"/>
  <c r="P189" i="5"/>
  <c r="M190" i="5" s="1"/>
  <c r="J369" i="5"/>
  <c r="K368" i="5"/>
  <c r="L368" i="5" s="1"/>
  <c r="S143" i="4"/>
  <c r="O144" i="4" s="1"/>
  <c r="L401" i="4"/>
  <c r="M401" i="4" s="1"/>
  <c r="J403" i="4"/>
  <c r="K402" i="4"/>
  <c r="Q189" i="7" l="1"/>
  <c r="N190" i="7" s="1"/>
  <c r="O190" i="7" s="1"/>
  <c r="R190" i="7" s="1"/>
  <c r="J369" i="7"/>
  <c r="K368" i="7"/>
  <c r="L368" i="7" s="1"/>
  <c r="T143" i="4"/>
  <c r="P144" i="4" s="1"/>
  <c r="Q144" i="4" s="1"/>
  <c r="U144" i="4" s="1"/>
  <c r="R144" i="4" s="1"/>
  <c r="N145" i="4" s="1"/>
  <c r="Q189" i="5"/>
  <c r="N190" i="5" s="1"/>
  <c r="K369" i="5"/>
  <c r="L369" i="5" s="1"/>
  <c r="J370" i="5"/>
  <c r="O190" i="5"/>
  <c r="R190" i="5" s="1"/>
  <c r="L402" i="4"/>
  <c r="M402" i="4" s="1"/>
  <c r="J404" i="4"/>
  <c r="K403" i="4"/>
  <c r="P190" i="7" l="1"/>
  <c r="M191" i="7" s="1"/>
  <c r="J370" i="7"/>
  <c r="K369" i="7"/>
  <c r="L369" i="7" s="1"/>
  <c r="P190" i="5"/>
  <c r="M191" i="5" s="1"/>
  <c r="J371" i="5"/>
  <c r="K370" i="5"/>
  <c r="L370" i="5" s="1"/>
  <c r="S144" i="4"/>
  <c r="O145" i="4" s="1"/>
  <c r="J405" i="4"/>
  <c r="K404" i="4"/>
  <c r="L403" i="4"/>
  <c r="M403" i="4" s="1"/>
  <c r="J371" i="7" l="1"/>
  <c r="K370" i="7"/>
  <c r="L370" i="7" s="1"/>
  <c r="Q190" i="7"/>
  <c r="N191" i="7" s="1"/>
  <c r="O191" i="7" s="1"/>
  <c r="R191" i="7" s="1"/>
  <c r="K371" i="5"/>
  <c r="L371" i="5" s="1"/>
  <c r="J372" i="5"/>
  <c r="Q190" i="5"/>
  <c r="N191" i="5" s="1"/>
  <c r="O191" i="5" s="1"/>
  <c r="R191" i="5" s="1"/>
  <c r="T144" i="4"/>
  <c r="P145" i="4" s="1"/>
  <c r="Q145" i="4" s="1"/>
  <c r="U145" i="4" s="1"/>
  <c r="R145" i="4" s="1"/>
  <c r="N146" i="4" s="1"/>
  <c r="L404" i="4"/>
  <c r="M404" i="4" s="1"/>
  <c r="J406" i="4"/>
  <c r="K405" i="4"/>
  <c r="L405" i="4" s="1"/>
  <c r="P191" i="7" l="1"/>
  <c r="M192" i="7" s="1"/>
  <c r="J372" i="7"/>
  <c r="K371" i="7"/>
  <c r="L371" i="7" s="1"/>
  <c r="P191" i="5"/>
  <c r="M192" i="5" s="1"/>
  <c r="J373" i="5"/>
  <c r="K372" i="5"/>
  <c r="L372" i="5" s="1"/>
  <c r="S145" i="4"/>
  <c r="J407" i="4"/>
  <c r="K406" i="4"/>
  <c r="L406" i="4" s="1"/>
  <c r="M406" i="4" s="1"/>
  <c r="M405" i="4"/>
  <c r="J373" i="7" l="1"/>
  <c r="K372" i="7"/>
  <c r="L372" i="7" s="1"/>
  <c r="Q191" i="7"/>
  <c r="N192" i="7" s="1"/>
  <c r="O192" i="7" s="1"/>
  <c r="R192" i="7" s="1"/>
  <c r="J374" i="5"/>
  <c r="K373" i="5"/>
  <c r="L373" i="5" s="1"/>
  <c r="Q191" i="5"/>
  <c r="N192" i="5" s="1"/>
  <c r="O192" i="5" s="1"/>
  <c r="R192" i="5" s="1"/>
  <c r="O146" i="4"/>
  <c r="T145" i="4"/>
  <c r="P146" i="4" s="1"/>
  <c r="Q146" i="4" s="1"/>
  <c r="U146" i="4" s="1"/>
  <c r="J408" i="4"/>
  <c r="K407" i="4"/>
  <c r="L407" i="4" s="1"/>
  <c r="M407" i="4" s="1"/>
  <c r="P192" i="7" l="1"/>
  <c r="M193" i="7" s="1"/>
  <c r="J374" i="7"/>
  <c r="K373" i="7"/>
  <c r="L373" i="7" s="1"/>
  <c r="P192" i="5"/>
  <c r="M193" i="5" s="1"/>
  <c r="J375" i="5"/>
  <c r="K374" i="5"/>
  <c r="L374" i="5" s="1"/>
  <c r="R146" i="4"/>
  <c r="N147" i="4" s="1"/>
  <c r="J409" i="4"/>
  <c r="K408" i="4"/>
  <c r="Q192" i="7" l="1"/>
  <c r="N193" i="7" s="1"/>
  <c r="O193" i="7" s="1"/>
  <c r="R193" i="7" s="1"/>
  <c r="J375" i="7"/>
  <c r="K374" i="7"/>
  <c r="L374" i="7" s="1"/>
  <c r="J376" i="5"/>
  <c r="K375" i="5"/>
  <c r="L375" i="5" s="1"/>
  <c r="Q192" i="5"/>
  <c r="N193" i="5" s="1"/>
  <c r="O193" i="5" s="1"/>
  <c r="R193" i="5" s="1"/>
  <c r="S146" i="4"/>
  <c r="J410" i="4"/>
  <c r="K409" i="4"/>
  <c r="L408" i="4"/>
  <c r="M408" i="4" s="1"/>
  <c r="J376" i="7" l="1"/>
  <c r="K375" i="7"/>
  <c r="L375" i="7" s="1"/>
  <c r="P193" i="7"/>
  <c r="M194" i="7" s="1"/>
  <c r="P193" i="5"/>
  <c r="M194" i="5" s="1"/>
  <c r="J377" i="5"/>
  <c r="K376" i="5"/>
  <c r="L376" i="5" s="1"/>
  <c r="O147" i="4"/>
  <c r="T146" i="4"/>
  <c r="P147" i="4" s="1"/>
  <c r="Q147" i="4" s="1"/>
  <c r="U147" i="4" s="1"/>
  <c r="L409" i="4"/>
  <c r="M409" i="4" s="1"/>
  <c r="J411" i="4"/>
  <c r="K410" i="4"/>
  <c r="L410" i="4" s="1"/>
  <c r="M410" i="4" s="1"/>
  <c r="Q193" i="7" l="1"/>
  <c r="N194" i="7" s="1"/>
  <c r="O194" i="7" s="1"/>
  <c r="R194" i="7" s="1"/>
  <c r="J377" i="7"/>
  <c r="K376" i="7"/>
  <c r="L376" i="7" s="1"/>
  <c r="J378" i="5"/>
  <c r="K377" i="5"/>
  <c r="L377" i="5" s="1"/>
  <c r="Q193" i="5"/>
  <c r="N194" i="5" s="1"/>
  <c r="O194" i="5" s="1"/>
  <c r="R194" i="5" s="1"/>
  <c r="R147" i="4"/>
  <c r="N148" i="4" s="1"/>
  <c r="J412" i="4"/>
  <c r="K411" i="4"/>
  <c r="P194" i="7" l="1"/>
  <c r="M195" i="7" s="1"/>
  <c r="J378" i="7"/>
  <c r="K377" i="7"/>
  <c r="L377" i="7" s="1"/>
  <c r="S147" i="4"/>
  <c r="O148" i="4" s="1"/>
  <c r="P194" i="5"/>
  <c r="M195" i="5" s="1"/>
  <c r="J379" i="5"/>
  <c r="K378" i="5"/>
  <c r="L378" i="5" s="1"/>
  <c r="T147" i="4"/>
  <c r="P148" i="4" s="1"/>
  <c r="Q148" i="4" s="1"/>
  <c r="U148" i="4" s="1"/>
  <c r="J413" i="4"/>
  <c r="K412" i="4"/>
  <c r="L412" i="4" s="1"/>
  <c r="L411" i="4"/>
  <c r="M411" i="4" s="1"/>
  <c r="K378" i="7" l="1"/>
  <c r="L378" i="7" s="1"/>
  <c r="J379" i="7"/>
  <c r="Q194" i="7"/>
  <c r="N195" i="7" s="1"/>
  <c r="O195" i="7" s="1"/>
  <c r="R195" i="7" s="1"/>
  <c r="J380" i="5"/>
  <c r="K379" i="5"/>
  <c r="L379" i="5" s="1"/>
  <c r="Q194" i="5"/>
  <c r="N195" i="5" s="1"/>
  <c r="O195" i="5" s="1"/>
  <c r="R195" i="5" s="1"/>
  <c r="R148" i="4"/>
  <c r="N149" i="4" s="1"/>
  <c r="M412" i="4"/>
  <c r="J414" i="4"/>
  <c r="K413" i="4"/>
  <c r="L413" i="4" s="1"/>
  <c r="M413" i="4" s="1"/>
  <c r="P195" i="7" l="1"/>
  <c r="M196" i="7" s="1"/>
  <c r="J380" i="7"/>
  <c r="K379" i="7"/>
  <c r="L379" i="7" s="1"/>
  <c r="P195" i="5"/>
  <c r="M196" i="5" s="1"/>
  <c r="J381" i="5"/>
  <c r="K380" i="5"/>
  <c r="L380" i="5" s="1"/>
  <c r="S148" i="4"/>
  <c r="J415" i="4"/>
  <c r="K414" i="4"/>
  <c r="J381" i="7" l="1"/>
  <c r="K380" i="7"/>
  <c r="L380" i="7" s="1"/>
  <c r="Q195" i="7"/>
  <c r="N196" i="7" s="1"/>
  <c r="O196" i="7" s="1"/>
  <c r="R196" i="7" s="1"/>
  <c r="J382" i="5"/>
  <c r="K381" i="5"/>
  <c r="L381" i="5" s="1"/>
  <c r="Q195" i="5"/>
  <c r="N196" i="5" s="1"/>
  <c r="O196" i="5" s="1"/>
  <c r="R196" i="5" s="1"/>
  <c r="O149" i="4"/>
  <c r="T148" i="4"/>
  <c r="P149" i="4" s="1"/>
  <c r="L414" i="4"/>
  <c r="M414" i="4" s="1"/>
  <c r="J416" i="4"/>
  <c r="K415" i="4"/>
  <c r="P196" i="7" l="1"/>
  <c r="M197" i="7" s="1"/>
  <c r="J382" i="7"/>
  <c r="K381" i="7"/>
  <c r="L381" i="7" s="1"/>
  <c r="P196" i="5"/>
  <c r="M197" i="5" s="1"/>
  <c r="J383" i="5"/>
  <c r="K382" i="5"/>
  <c r="L382" i="5" s="1"/>
  <c r="Q149" i="4"/>
  <c r="U149" i="4" s="1"/>
  <c r="L415" i="4"/>
  <c r="M415" i="4" s="1"/>
  <c r="J417" i="4"/>
  <c r="K416" i="4"/>
  <c r="Q196" i="7" l="1"/>
  <c r="N197" i="7" s="1"/>
  <c r="O197" i="7" s="1"/>
  <c r="R197" i="7" s="1"/>
  <c r="J383" i="7"/>
  <c r="K382" i="7"/>
  <c r="L382" i="7" s="1"/>
  <c r="J384" i="5"/>
  <c r="K383" i="5"/>
  <c r="L383" i="5" s="1"/>
  <c r="Q196" i="5"/>
  <c r="N197" i="5" s="1"/>
  <c r="O197" i="5" s="1"/>
  <c r="R197" i="5" s="1"/>
  <c r="R149" i="4"/>
  <c r="N150" i="4" s="1"/>
  <c r="L416" i="4"/>
  <c r="M416" i="4" s="1"/>
  <c r="J418" i="4"/>
  <c r="K417" i="4"/>
  <c r="L417" i="4" s="1"/>
  <c r="P197" i="7" l="1"/>
  <c r="M198" i="7" s="1"/>
  <c r="J384" i="7"/>
  <c r="K383" i="7"/>
  <c r="L383" i="7" s="1"/>
  <c r="P197" i="5"/>
  <c r="M198" i="5" s="1"/>
  <c r="K384" i="5"/>
  <c r="L384" i="5" s="1"/>
  <c r="J385" i="5"/>
  <c r="M417" i="4"/>
  <c r="S149" i="4"/>
  <c r="O150" i="4" s="1"/>
  <c r="J419" i="4"/>
  <c r="K418" i="4"/>
  <c r="L418" i="4" s="1"/>
  <c r="M418" i="4" s="1"/>
  <c r="J385" i="7" l="1"/>
  <c r="K384" i="7"/>
  <c r="L384" i="7" s="1"/>
  <c r="Q197" i="7"/>
  <c r="N198" i="7" s="1"/>
  <c r="O198" i="7" s="1"/>
  <c r="R198" i="7" s="1"/>
  <c r="J386" i="5"/>
  <c r="K385" i="5"/>
  <c r="L385" i="5" s="1"/>
  <c r="Q197" i="5"/>
  <c r="N198" i="5" s="1"/>
  <c r="O198" i="5" s="1"/>
  <c r="R198" i="5" s="1"/>
  <c r="T149" i="4"/>
  <c r="P150" i="4" s="1"/>
  <c r="Q150" i="4" s="1"/>
  <c r="U150" i="4" s="1"/>
  <c r="J420" i="4"/>
  <c r="K419" i="4"/>
  <c r="L419" i="4" s="1"/>
  <c r="P198" i="7" l="1"/>
  <c r="M199" i="7" s="1"/>
  <c r="J386" i="7"/>
  <c r="K385" i="7"/>
  <c r="L385" i="7" s="1"/>
  <c r="P198" i="5"/>
  <c r="M199" i="5" s="1"/>
  <c r="J387" i="5"/>
  <c r="K386" i="5"/>
  <c r="L386" i="5" s="1"/>
  <c r="R150" i="4"/>
  <c r="N151" i="4" s="1"/>
  <c r="M419" i="4"/>
  <c r="J421" i="4"/>
  <c r="K420" i="4"/>
  <c r="L420" i="4" s="1"/>
  <c r="J387" i="7" l="1"/>
  <c r="K386" i="7"/>
  <c r="L386" i="7" s="1"/>
  <c r="Q198" i="7"/>
  <c r="N199" i="7" s="1"/>
  <c r="O199" i="7" s="1"/>
  <c r="R199" i="7" s="1"/>
  <c r="Q198" i="5"/>
  <c r="N199" i="5" s="1"/>
  <c r="O199" i="5" s="1"/>
  <c r="R199" i="5" s="1"/>
  <c r="J388" i="5"/>
  <c r="K387" i="5"/>
  <c r="L387" i="5" s="1"/>
  <c r="S150" i="4"/>
  <c r="O151" i="4" s="1"/>
  <c r="J422" i="4"/>
  <c r="K421" i="4"/>
  <c r="M420" i="4"/>
  <c r="P199" i="7" l="1"/>
  <c r="M200" i="7" s="1"/>
  <c r="K387" i="7"/>
  <c r="L387" i="7" s="1"/>
  <c r="J388" i="7"/>
  <c r="P199" i="5"/>
  <c r="M200" i="5" s="1"/>
  <c r="K388" i="5"/>
  <c r="L388" i="5" s="1"/>
  <c r="J389" i="5"/>
  <c r="T150" i="4"/>
  <c r="P151" i="4" s="1"/>
  <c r="Q151" i="4" s="1"/>
  <c r="U151" i="4" s="1"/>
  <c r="R151" i="4" s="1"/>
  <c r="L421" i="4"/>
  <c r="M421" i="4" s="1"/>
  <c r="J423" i="4"/>
  <c r="K422" i="4"/>
  <c r="L422" i="4" s="1"/>
  <c r="K388" i="7" l="1"/>
  <c r="L388" i="7" s="1"/>
  <c r="J389" i="7"/>
  <c r="Q199" i="7"/>
  <c r="N200" i="7" s="1"/>
  <c r="O200" i="7" s="1"/>
  <c r="R200" i="7" s="1"/>
  <c r="K389" i="5"/>
  <c r="L389" i="5" s="1"/>
  <c r="J390" i="5"/>
  <c r="Q199" i="5"/>
  <c r="N200" i="5" s="1"/>
  <c r="O200" i="5" s="1"/>
  <c r="R200" i="5" s="1"/>
  <c r="N152" i="4"/>
  <c r="S151" i="4"/>
  <c r="O152" i="4" s="1"/>
  <c r="M422" i="4"/>
  <c r="J424" i="4"/>
  <c r="K423" i="4"/>
  <c r="L423" i="4" s="1"/>
  <c r="P200" i="7" l="1"/>
  <c r="M201" i="7" s="1"/>
  <c r="J390" i="7"/>
  <c r="K389" i="7"/>
  <c r="L389" i="7" s="1"/>
  <c r="T151" i="4"/>
  <c r="P152" i="4" s="1"/>
  <c r="Q152" i="4" s="1"/>
  <c r="U152" i="4" s="1"/>
  <c r="R152" i="4" s="1"/>
  <c r="N153" i="4" s="1"/>
  <c r="P200" i="5"/>
  <c r="M201" i="5" s="1"/>
  <c r="J391" i="5"/>
  <c r="K390" i="5"/>
  <c r="L390" i="5" s="1"/>
  <c r="M423" i="4"/>
  <c r="K424" i="4"/>
  <c r="L424" i="4" s="1"/>
  <c r="M424" i="4" s="1"/>
  <c r="J425" i="4"/>
  <c r="J391" i="7" l="1"/>
  <c r="K390" i="7"/>
  <c r="L390" i="7" s="1"/>
  <c r="Q200" i="7"/>
  <c r="N201" i="7" s="1"/>
  <c r="O201" i="7" s="1"/>
  <c r="R201" i="7" s="1"/>
  <c r="J392" i="5"/>
  <c r="K391" i="5"/>
  <c r="L391" i="5" s="1"/>
  <c r="Q200" i="5"/>
  <c r="N201" i="5" s="1"/>
  <c r="O201" i="5" s="1"/>
  <c r="R201" i="5" s="1"/>
  <c r="S152" i="4"/>
  <c r="O153" i="4" s="1"/>
  <c r="J426" i="4"/>
  <c r="K425" i="4"/>
  <c r="P201" i="7" l="1"/>
  <c r="M202" i="7" s="1"/>
  <c r="J392" i="7"/>
  <c r="K391" i="7"/>
  <c r="L391" i="7" s="1"/>
  <c r="P201" i="5"/>
  <c r="M202" i="5" s="1"/>
  <c r="K392" i="5"/>
  <c r="L392" i="5" s="1"/>
  <c r="J393" i="5"/>
  <c r="T152" i="4"/>
  <c r="P153" i="4" s="1"/>
  <c r="Q153" i="4" s="1"/>
  <c r="U153" i="4" s="1"/>
  <c r="R153" i="4" s="1"/>
  <c r="N154" i="4" s="1"/>
  <c r="L425" i="4"/>
  <c r="M425" i="4" s="1"/>
  <c r="J427" i="4"/>
  <c r="K426" i="4"/>
  <c r="L426" i="4" s="1"/>
  <c r="J393" i="7" l="1"/>
  <c r="K392" i="7"/>
  <c r="L392" i="7" s="1"/>
  <c r="Q201" i="7"/>
  <c r="N202" i="7" s="1"/>
  <c r="O202" i="7" s="1"/>
  <c r="R202" i="7" s="1"/>
  <c r="J394" i="5"/>
  <c r="K393" i="5"/>
  <c r="L393" i="5" s="1"/>
  <c r="Q201" i="5"/>
  <c r="N202" i="5" s="1"/>
  <c r="O202" i="5" s="1"/>
  <c r="R202" i="5" s="1"/>
  <c r="M426" i="4"/>
  <c r="S153" i="4"/>
  <c r="O154" i="4" s="1"/>
  <c r="K427" i="4"/>
  <c r="J428" i="4"/>
  <c r="P202" i="7" l="1"/>
  <c r="M203" i="7" s="1"/>
  <c r="J394" i="7"/>
  <c r="K393" i="7"/>
  <c r="L393" i="7" s="1"/>
  <c r="P202" i="5"/>
  <c r="M203" i="5" s="1"/>
  <c r="J395" i="5"/>
  <c r="K394" i="5"/>
  <c r="L394" i="5" s="1"/>
  <c r="T153" i="4"/>
  <c r="P154" i="4" s="1"/>
  <c r="Q154" i="4" s="1"/>
  <c r="U154" i="4" s="1"/>
  <c r="K428" i="4"/>
  <c r="J429" i="4"/>
  <c r="L427" i="4"/>
  <c r="M427" i="4" s="1"/>
  <c r="K394" i="7" l="1"/>
  <c r="L394" i="7" s="1"/>
  <c r="J395" i="7"/>
  <c r="Q202" i="7"/>
  <c r="N203" i="7" s="1"/>
  <c r="O203" i="7" s="1"/>
  <c r="R203" i="7" s="1"/>
  <c r="J396" i="5"/>
  <c r="K395" i="5"/>
  <c r="L395" i="5" s="1"/>
  <c r="Q202" i="5"/>
  <c r="N203" i="5" s="1"/>
  <c r="O203" i="5" s="1"/>
  <c r="R203" i="5" s="1"/>
  <c r="R154" i="4"/>
  <c r="N155" i="4" s="1"/>
  <c r="K429" i="4"/>
  <c r="L429" i="4" s="1"/>
  <c r="J430" i="4"/>
  <c r="L428" i="4"/>
  <c r="M428" i="4" s="1"/>
  <c r="P203" i="7" l="1"/>
  <c r="M204" i="7" s="1"/>
  <c r="J396" i="7"/>
  <c r="K395" i="7"/>
  <c r="L395" i="7" s="1"/>
  <c r="P203" i="5"/>
  <c r="M204" i="5" s="1"/>
  <c r="J397" i="5"/>
  <c r="K396" i="5"/>
  <c r="L396" i="5" s="1"/>
  <c r="S154" i="4"/>
  <c r="O155" i="4" s="1"/>
  <c r="K430" i="4"/>
  <c r="L430" i="4" s="1"/>
  <c r="J431" i="4"/>
  <c r="M429" i="4"/>
  <c r="Q203" i="7" l="1"/>
  <c r="N204" i="7" s="1"/>
  <c r="K396" i="7"/>
  <c r="L396" i="7" s="1"/>
  <c r="J397" i="7"/>
  <c r="O204" i="7"/>
  <c r="R204" i="7" s="1"/>
  <c r="J398" i="5"/>
  <c r="K397" i="5"/>
  <c r="L397" i="5" s="1"/>
  <c r="Q203" i="5"/>
  <c r="N204" i="5" s="1"/>
  <c r="O204" i="5" s="1"/>
  <c r="R204" i="5" s="1"/>
  <c r="T154" i="4"/>
  <c r="P155" i="4" s="1"/>
  <c r="Q155" i="4" s="1"/>
  <c r="U155" i="4" s="1"/>
  <c r="K431" i="4"/>
  <c r="J432" i="4"/>
  <c r="M430" i="4"/>
  <c r="P204" i="7" l="1"/>
  <c r="M205" i="7" s="1"/>
  <c r="J398" i="7"/>
  <c r="K397" i="7"/>
  <c r="L397" i="7" s="1"/>
  <c r="P204" i="5"/>
  <c r="M205" i="5" s="1"/>
  <c r="K398" i="5"/>
  <c r="L398" i="5" s="1"/>
  <c r="J399" i="5"/>
  <c r="R155" i="4"/>
  <c r="N156" i="4" s="1"/>
  <c r="J433" i="4"/>
  <c r="K432" i="4"/>
  <c r="L432" i="4" s="1"/>
  <c r="L431" i="4"/>
  <c r="M431" i="4" s="1"/>
  <c r="J399" i="7" l="1"/>
  <c r="K398" i="7"/>
  <c r="L398" i="7" s="1"/>
  <c r="Q204" i="7"/>
  <c r="N205" i="7" s="1"/>
  <c r="O205" i="7" s="1"/>
  <c r="R205" i="7" s="1"/>
  <c r="K399" i="5"/>
  <c r="L399" i="5" s="1"/>
  <c r="J400" i="5"/>
  <c r="Q204" i="5"/>
  <c r="N205" i="5" s="1"/>
  <c r="O205" i="5" s="1"/>
  <c r="R205" i="5" s="1"/>
  <c r="S155" i="4"/>
  <c r="O156" i="4" s="1"/>
  <c r="M432" i="4"/>
  <c r="J434" i="4"/>
  <c r="K433" i="4"/>
  <c r="P205" i="7" l="1"/>
  <c r="M206" i="7" s="1"/>
  <c r="J400" i="7"/>
  <c r="K399" i="7"/>
  <c r="L399" i="7" s="1"/>
  <c r="P205" i="5"/>
  <c r="M206" i="5" s="1"/>
  <c r="K400" i="5"/>
  <c r="L400" i="5" s="1"/>
  <c r="J401" i="5"/>
  <c r="T155" i="4"/>
  <c r="P156" i="4" s="1"/>
  <c r="Q156" i="4" s="1"/>
  <c r="U156" i="4" s="1"/>
  <c r="L433" i="4"/>
  <c r="M433" i="4" s="1"/>
  <c r="K434" i="4"/>
  <c r="J435" i="4"/>
  <c r="J401" i="7" l="1"/>
  <c r="K400" i="7"/>
  <c r="L400" i="7" s="1"/>
  <c r="Q205" i="7"/>
  <c r="N206" i="7" s="1"/>
  <c r="O206" i="7" s="1"/>
  <c r="R206" i="7" s="1"/>
  <c r="Q205" i="5"/>
  <c r="N206" i="5" s="1"/>
  <c r="O206" i="5" s="1"/>
  <c r="R206" i="5" s="1"/>
  <c r="J402" i="5"/>
  <c r="K401" i="5"/>
  <c r="L401" i="5" s="1"/>
  <c r="R156" i="4"/>
  <c r="N157" i="4" s="1"/>
  <c r="K435" i="4"/>
  <c r="J436" i="4"/>
  <c r="L434" i="4"/>
  <c r="M434" i="4" s="1"/>
  <c r="P206" i="7" l="1"/>
  <c r="M207" i="7" s="1"/>
  <c r="J402" i="7"/>
  <c r="K401" i="7"/>
  <c r="L401" i="7" s="1"/>
  <c r="P206" i="5"/>
  <c r="M207" i="5" s="1"/>
  <c r="J403" i="5"/>
  <c r="K402" i="5"/>
  <c r="L402" i="5" s="1"/>
  <c r="S156" i="4"/>
  <c r="O157" i="4" s="1"/>
  <c r="L435" i="4"/>
  <c r="M435" i="4" s="1"/>
  <c r="K436" i="4"/>
  <c r="J437" i="4"/>
  <c r="J403" i="7" l="1"/>
  <c r="K402" i="7"/>
  <c r="L402" i="7" s="1"/>
  <c r="Q206" i="7"/>
  <c r="N207" i="7" s="1"/>
  <c r="O207" i="7" s="1"/>
  <c r="R207" i="7" s="1"/>
  <c r="K403" i="5"/>
  <c r="L403" i="5" s="1"/>
  <c r="J404" i="5"/>
  <c r="Q206" i="5"/>
  <c r="N207" i="5" s="1"/>
  <c r="O207" i="5" s="1"/>
  <c r="R207" i="5" s="1"/>
  <c r="T156" i="4"/>
  <c r="P157" i="4" s="1"/>
  <c r="Q157" i="4" s="1"/>
  <c r="U157" i="4" s="1"/>
  <c r="L436" i="4"/>
  <c r="M436" i="4" s="1"/>
  <c r="K437" i="4"/>
  <c r="J438" i="4"/>
  <c r="P207" i="7" l="1"/>
  <c r="M208" i="7" s="1"/>
  <c r="J404" i="7"/>
  <c r="K403" i="7"/>
  <c r="L403" i="7" s="1"/>
  <c r="P207" i="5"/>
  <c r="M208" i="5" s="1"/>
  <c r="J405" i="5"/>
  <c r="K404" i="5"/>
  <c r="L404" i="5" s="1"/>
  <c r="R157" i="4"/>
  <c r="N158" i="4" s="1"/>
  <c r="S157" i="4"/>
  <c r="O158" i="4" s="1"/>
  <c r="L437" i="4"/>
  <c r="M437" i="4" s="1"/>
  <c r="K438" i="4"/>
  <c r="L438" i="4" s="1"/>
  <c r="J439" i="4"/>
  <c r="K404" i="7" l="1"/>
  <c r="L404" i="7" s="1"/>
  <c r="J405" i="7"/>
  <c r="Q207" i="7"/>
  <c r="N208" i="7" s="1"/>
  <c r="O208" i="7" s="1"/>
  <c r="R208" i="7" s="1"/>
  <c r="Q207" i="5"/>
  <c r="N208" i="5" s="1"/>
  <c r="O208" i="5" s="1"/>
  <c r="R208" i="5" s="1"/>
  <c r="J406" i="5"/>
  <c r="K405" i="5"/>
  <c r="L405" i="5" s="1"/>
  <c r="T157" i="4"/>
  <c r="P158" i="4" s="1"/>
  <c r="Q158" i="4" s="1"/>
  <c r="U158" i="4" s="1"/>
  <c r="K439" i="4"/>
  <c r="L439" i="4" s="1"/>
  <c r="J440" i="4"/>
  <c r="M438" i="4"/>
  <c r="P208" i="7" l="1"/>
  <c r="M209" i="7" s="1"/>
  <c r="J406" i="7"/>
  <c r="K405" i="7"/>
  <c r="L405" i="7" s="1"/>
  <c r="P208" i="5"/>
  <c r="M209" i="5" s="1"/>
  <c r="K406" i="5"/>
  <c r="L406" i="5" s="1"/>
  <c r="J407" i="5"/>
  <c r="R158" i="4"/>
  <c r="N159" i="4" s="1"/>
  <c r="M439" i="4"/>
  <c r="K440" i="4"/>
  <c r="J441" i="4"/>
  <c r="J407" i="7" l="1"/>
  <c r="K406" i="7"/>
  <c r="L406" i="7" s="1"/>
  <c r="Q208" i="7"/>
  <c r="N209" i="7" s="1"/>
  <c r="O209" i="7" s="1"/>
  <c r="R209" i="7" s="1"/>
  <c r="J408" i="5"/>
  <c r="K407" i="5"/>
  <c r="L407" i="5" s="1"/>
  <c r="Q208" i="5"/>
  <c r="N209" i="5" s="1"/>
  <c r="O209" i="5" s="1"/>
  <c r="R209" i="5" s="1"/>
  <c r="S158" i="4"/>
  <c r="O159" i="4" s="1"/>
  <c r="K441" i="4"/>
  <c r="L441" i="4" s="1"/>
  <c r="J442" i="4"/>
  <c r="L440" i="4"/>
  <c r="M440" i="4" s="1"/>
  <c r="P209" i="7" l="1"/>
  <c r="M210" i="7" s="1"/>
  <c r="J408" i="7"/>
  <c r="K407" i="7"/>
  <c r="L407" i="7" s="1"/>
  <c r="P209" i="5"/>
  <c r="M210" i="5" s="1"/>
  <c r="J409" i="5"/>
  <c r="K408" i="5"/>
  <c r="L408" i="5" s="1"/>
  <c r="T158" i="4"/>
  <c r="P159" i="4" s="1"/>
  <c r="Q159" i="4" s="1"/>
  <c r="U159" i="4" s="1"/>
  <c r="R159" i="4" s="1"/>
  <c r="M441" i="4"/>
  <c r="J443" i="4"/>
  <c r="K442" i="4"/>
  <c r="L442" i="4" s="1"/>
  <c r="J409" i="7" l="1"/>
  <c r="K408" i="7"/>
  <c r="L408" i="7" s="1"/>
  <c r="Q209" i="7"/>
  <c r="N210" i="7" s="1"/>
  <c r="O210" i="7" s="1"/>
  <c r="R210" i="7" s="1"/>
  <c r="K409" i="5"/>
  <c r="L409" i="5" s="1"/>
  <c r="J410" i="5"/>
  <c r="Q209" i="5"/>
  <c r="N210" i="5" s="1"/>
  <c r="O210" i="5" s="1"/>
  <c r="R210" i="5" s="1"/>
  <c r="N160" i="4"/>
  <c r="S159" i="4"/>
  <c r="O160" i="4" s="1"/>
  <c r="M442" i="4"/>
  <c r="K443" i="4"/>
  <c r="L443" i="4" s="1"/>
  <c r="J444" i="4"/>
  <c r="P210" i="7" l="1"/>
  <c r="M211" i="7" s="1"/>
  <c r="J410" i="7"/>
  <c r="K409" i="7"/>
  <c r="L409" i="7" s="1"/>
  <c r="T159" i="4"/>
  <c r="P160" i="4" s="1"/>
  <c r="Q160" i="4" s="1"/>
  <c r="U160" i="4" s="1"/>
  <c r="R160" i="4" s="1"/>
  <c r="N161" i="4" s="1"/>
  <c r="P210" i="5"/>
  <c r="M211" i="5" s="1"/>
  <c r="J411" i="5"/>
  <c r="K410" i="5"/>
  <c r="L410" i="5" s="1"/>
  <c r="K444" i="4"/>
  <c r="J445" i="4"/>
  <c r="M443" i="4"/>
  <c r="J411" i="7" l="1"/>
  <c r="K410" i="7"/>
  <c r="L410" i="7" s="1"/>
  <c r="Q210" i="7"/>
  <c r="N211" i="7" s="1"/>
  <c r="O211" i="7" s="1"/>
  <c r="R211" i="7" s="1"/>
  <c r="K411" i="5"/>
  <c r="L411" i="5" s="1"/>
  <c r="J412" i="5"/>
  <c r="Q210" i="5"/>
  <c r="N211" i="5" s="1"/>
  <c r="O211" i="5" s="1"/>
  <c r="R211" i="5" s="1"/>
  <c r="S160" i="4"/>
  <c r="O161" i="4" s="1"/>
  <c r="K445" i="4"/>
  <c r="J446" i="4"/>
  <c r="L444" i="4"/>
  <c r="M444" i="4" s="1"/>
  <c r="P211" i="7" l="1"/>
  <c r="M212" i="7" s="1"/>
  <c r="J412" i="7"/>
  <c r="K411" i="7"/>
  <c r="L411" i="7" s="1"/>
  <c r="P211" i="5"/>
  <c r="M212" i="5" s="1"/>
  <c r="J413" i="5"/>
  <c r="K412" i="5"/>
  <c r="L412" i="5" s="1"/>
  <c r="L445" i="4"/>
  <c r="M445" i="4" s="1"/>
  <c r="T160" i="4"/>
  <c r="P161" i="4" s="1"/>
  <c r="Q161" i="4" s="1"/>
  <c r="U161" i="4" s="1"/>
  <c r="K446" i="4"/>
  <c r="L446" i="4" s="1"/>
  <c r="J447" i="4"/>
  <c r="J413" i="7" l="1"/>
  <c r="K412" i="7"/>
  <c r="L412" i="7" s="1"/>
  <c r="Q211" i="7"/>
  <c r="N212" i="7" s="1"/>
  <c r="O212" i="7" s="1"/>
  <c r="R212" i="7" s="1"/>
  <c r="K413" i="5"/>
  <c r="L413" i="5" s="1"/>
  <c r="J414" i="5"/>
  <c r="Q211" i="5"/>
  <c r="N212" i="5" s="1"/>
  <c r="O212" i="5" s="1"/>
  <c r="R212" i="5" s="1"/>
  <c r="R161" i="4"/>
  <c r="N162" i="4" s="1"/>
  <c r="K447" i="4"/>
  <c r="J448" i="4"/>
  <c r="M446" i="4"/>
  <c r="J414" i="7" l="1"/>
  <c r="K413" i="7"/>
  <c r="L413" i="7" s="1"/>
  <c r="P212" i="7"/>
  <c r="M213" i="7" s="1"/>
  <c r="P212" i="5"/>
  <c r="M213" i="5" s="1"/>
  <c r="J415" i="5"/>
  <c r="K414" i="5"/>
  <c r="L414" i="5" s="1"/>
  <c r="S161" i="4"/>
  <c r="O162" i="4" s="1"/>
  <c r="L447" i="4"/>
  <c r="M447" i="4" s="1"/>
  <c r="J449" i="4"/>
  <c r="K448" i="4"/>
  <c r="L448" i="4" s="1"/>
  <c r="Q212" i="7" l="1"/>
  <c r="N213" i="7" s="1"/>
  <c r="O213" i="7" s="1"/>
  <c r="R213" i="7" s="1"/>
  <c r="J415" i="7"/>
  <c r="K414" i="7"/>
  <c r="L414" i="7" s="1"/>
  <c r="K415" i="5"/>
  <c r="L415" i="5" s="1"/>
  <c r="J416" i="5"/>
  <c r="Q212" i="5"/>
  <c r="N213" i="5" s="1"/>
  <c r="O213" i="5" s="1"/>
  <c r="R213" i="5" s="1"/>
  <c r="T161" i="4"/>
  <c r="P162" i="4" s="1"/>
  <c r="Q162" i="4" s="1"/>
  <c r="U162" i="4" s="1"/>
  <c r="R162" i="4" s="1"/>
  <c r="N163" i="4" s="1"/>
  <c r="M448" i="4"/>
  <c r="K449" i="4"/>
  <c r="L449" i="4" s="1"/>
  <c r="J450" i="4"/>
  <c r="J416" i="7" l="1"/>
  <c r="K415" i="7"/>
  <c r="L415" i="7" s="1"/>
  <c r="P213" i="7"/>
  <c r="M214" i="7" s="1"/>
  <c r="P213" i="5"/>
  <c r="M214" i="5" s="1"/>
  <c r="J417" i="5"/>
  <c r="K416" i="5"/>
  <c r="L416" i="5" s="1"/>
  <c r="S162" i="4"/>
  <c r="O163" i="4" s="1"/>
  <c r="M449" i="4"/>
  <c r="K450" i="4"/>
  <c r="J451" i="4"/>
  <c r="L450" i="4"/>
  <c r="Q213" i="7" l="1"/>
  <c r="N214" i="7" s="1"/>
  <c r="O214" i="7" s="1"/>
  <c r="R214" i="7" s="1"/>
  <c r="J417" i="7"/>
  <c r="K416" i="7"/>
  <c r="L416" i="7" s="1"/>
  <c r="J418" i="5"/>
  <c r="K417" i="5"/>
  <c r="L417" i="5" s="1"/>
  <c r="Q213" i="5"/>
  <c r="N214" i="5" s="1"/>
  <c r="O214" i="5" s="1"/>
  <c r="R214" i="5" s="1"/>
  <c r="M450" i="4"/>
  <c r="T162" i="4"/>
  <c r="P163" i="4" s="1"/>
  <c r="Q163" i="4" s="1"/>
  <c r="U163" i="4" s="1"/>
  <c r="J452" i="4"/>
  <c r="K451" i="4"/>
  <c r="L451" i="4" s="1"/>
  <c r="J418" i="7" l="1"/>
  <c r="K417" i="7"/>
  <c r="L417" i="7" s="1"/>
  <c r="P214" i="7"/>
  <c r="M215" i="7" s="1"/>
  <c r="P214" i="5"/>
  <c r="M215" i="5" s="1"/>
  <c r="J419" i="5"/>
  <c r="K418" i="5"/>
  <c r="L418" i="5" s="1"/>
  <c r="R163" i="4"/>
  <c r="N164" i="4" s="1"/>
  <c r="M451" i="4"/>
  <c r="K452" i="4"/>
  <c r="J453" i="4"/>
  <c r="Q214" i="7" l="1"/>
  <c r="N215" i="7" s="1"/>
  <c r="O215" i="7" s="1"/>
  <c r="R215" i="7" s="1"/>
  <c r="J419" i="7"/>
  <c r="K418" i="7"/>
  <c r="L418" i="7" s="1"/>
  <c r="K419" i="5"/>
  <c r="L419" i="5" s="1"/>
  <c r="J420" i="5"/>
  <c r="Q214" i="5"/>
  <c r="N215" i="5" s="1"/>
  <c r="O215" i="5" s="1"/>
  <c r="R215" i="5" s="1"/>
  <c r="S163" i="4"/>
  <c r="J454" i="4"/>
  <c r="K453" i="4"/>
  <c r="L453" i="4" s="1"/>
  <c r="L452" i="4"/>
  <c r="M452" i="4" s="1"/>
  <c r="P215" i="7" l="1"/>
  <c r="M216" i="7" s="1"/>
  <c r="J420" i="7"/>
  <c r="K419" i="7"/>
  <c r="L419" i="7" s="1"/>
  <c r="P215" i="5"/>
  <c r="M216" i="5" s="1"/>
  <c r="J421" i="5"/>
  <c r="K420" i="5"/>
  <c r="L420" i="5" s="1"/>
  <c r="O164" i="4"/>
  <c r="T163" i="4"/>
  <c r="P164" i="4" s="1"/>
  <c r="Q164" i="4" s="1"/>
  <c r="U164" i="4" s="1"/>
  <c r="M453" i="4"/>
  <c r="J455" i="4"/>
  <c r="K454" i="4"/>
  <c r="K420" i="7" l="1"/>
  <c r="L420" i="7" s="1"/>
  <c r="J421" i="7"/>
  <c r="Q215" i="7"/>
  <c r="N216" i="7" s="1"/>
  <c r="O216" i="7" s="1"/>
  <c r="R216" i="7" s="1"/>
  <c r="Q215" i="5"/>
  <c r="N216" i="5" s="1"/>
  <c r="K421" i="5"/>
  <c r="L421" i="5" s="1"/>
  <c r="J422" i="5"/>
  <c r="O216" i="5"/>
  <c r="R216" i="5" s="1"/>
  <c r="R164" i="4"/>
  <c r="N165" i="4" s="1"/>
  <c r="L454" i="4"/>
  <c r="M454" i="4" s="1"/>
  <c r="J456" i="4"/>
  <c r="K455" i="4"/>
  <c r="P216" i="7" l="1"/>
  <c r="M217" i="7" s="1"/>
  <c r="J422" i="7"/>
  <c r="K421" i="7"/>
  <c r="L421" i="7" s="1"/>
  <c r="S164" i="4"/>
  <c r="O165" i="4" s="1"/>
  <c r="J423" i="5"/>
  <c r="K422" i="5"/>
  <c r="L422" i="5" s="1"/>
  <c r="P216" i="5"/>
  <c r="M217" i="5" s="1"/>
  <c r="L455" i="4"/>
  <c r="M455" i="4" s="1"/>
  <c r="K456" i="4"/>
  <c r="L456" i="4" s="1"/>
  <c r="J457" i="4"/>
  <c r="J423" i="7" l="1"/>
  <c r="K422" i="7"/>
  <c r="L422" i="7" s="1"/>
  <c r="Q216" i="7"/>
  <c r="N217" i="7" s="1"/>
  <c r="O217" i="7" s="1"/>
  <c r="R217" i="7" s="1"/>
  <c r="T164" i="4"/>
  <c r="P165" i="4" s="1"/>
  <c r="Q165" i="4" s="1"/>
  <c r="U165" i="4" s="1"/>
  <c r="Q216" i="5"/>
  <c r="N217" i="5" s="1"/>
  <c r="O217" i="5" s="1"/>
  <c r="R217" i="5" s="1"/>
  <c r="J424" i="5"/>
  <c r="K423" i="5"/>
  <c r="L423" i="5" s="1"/>
  <c r="J458" i="4"/>
  <c r="K457" i="4"/>
  <c r="M456" i="4"/>
  <c r="P217" i="7" l="1"/>
  <c r="M218" i="7" s="1"/>
  <c r="J424" i="7"/>
  <c r="K423" i="7"/>
  <c r="L423" i="7" s="1"/>
  <c r="R165" i="4"/>
  <c r="N166" i="4" s="1"/>
  <c r="P217" i="5"/>
  <c r="M218" i="5" s="1"/>
  <c r="J425" i="5"/>
  <c r="K424" i="5"/>
  <c r="L424" i="5" s="1"/>
  <c r="L457" i="4"/>
  <c r="M457" i="4" s="1"/>
  <c r="K458" i="4"/>
  <c r="J459" i="4"/>
  <c r="J425" i="7" l="1"/>
  <c r="K424" i="7"/>
  <c r="L424" i="7" s="1"/>
  <c r="Q217" i="7"/>
  <c r="N218" i="7" s="1"/>
  <c r="O218" i="7" s="1"/>
  <c r="R218" i="7" s="1"/>
  <c r="S165" i="4"/>
  <c r="O166" i="4" s="1"/>
  <c r="K425" i="5"/>
  <c r="L425" i="5" s="1"/>
  <c r="J426" i="5"/>
  <c r="Q217" i="5"/>
  <c r="N218" i="5" s="1"/>
  <c r="O218" i="5" s="1"/>
  <c r="R218" i="5" s="1"/>
  <c r="J460" i="4"/>
  <c r="K459" i="4"/>
  <c r="L459" i="4" s="1"/>
  <c r="L458" i="4"/>
  <c r="M458" i="4" s="1"/>
  <c r="P218" i="7" l="1"/>
  <c r="M219" i="7" s="1"/>
  <c r="J426" i="7"/>
  <c r="K425" i="7"/>
  <c r="L425" i="7" s="1"/>
  <c r="T165" i="4"/>
  <c r="P166" i="4" s="1"/>
  <c r="Q166" i="4" s="1"/>
  <c r="U166" i="4" s="1"/>
  <c r="R166" i="4" s="1"/>
  <c r="N167" i="4" s="1"/>
  <c r="P218" i="5"/>
  <c r="M219" i="5" s="1"/>
  <c r="J427" i="5"/>
  <c r="K426" i="5"/>
  <c r="L426" i="5" s="1"/>
  <c r="M459" i="4"/>
  <c r="K460" i="4"/>
  <c r="L460" i="4" s="1"/>
  <c r="J461" i="4"/>
  <c r="J427" i="7" l="1"/>
  <c r="K426" i="7"/>
  <c r="L426" i="7" s="1"/>
  <c r="Q218" i="7"/>
  <c r="N219" i="7" s="1"/>
  <c r="O219" i="7" s="1"/>
  <c r="R219" i="7" s="1"/>
  <c r="S166" i="4"/>
  <c r="O167" i="4" s="1"/>
  <c r="J428" i="5"/>
  <c r="K427" i="5"/>
  <c r="L427" i="5" s="1"/>
  <c r="Q218" i="5"/>
  <c r="N219" i="5" s="1"/>
  <c r="O219" i="5" s="1"/>
  <c r="R219" i="5" s="1"/>
  <c r="M460" i="4"/>
  <c r="J462" i="4"/>
  <c r="K461" i="4"/>
  <c r="P219" i="7" l="1"/>
  <c r="M220" i="7" s="1"/>
  <c r="J428" i="7"/>
  <c r="K427" i="7"/>
  <c r="L427" i="7" s="1"/>
  <c r="T166" i="4"/>
  <c r="P167" i="4" s="1"/>
  <c r="Q167" i="4" s="1"/>
  <c r="U167" i="4" s="1"/>
  <c r="P219" i="5"/>
  <c r="M220" i="5" s="1"/>
  <c r="K428" i="5"/>
  <c r="L428" i="5" s="1"/>
  <c r="J429" i="5"/>
  <c r="L461" i="4"/>
  <c r="M461" i="4" s="1"/>
  <c r="K462" i="4"/>
  <c r="L462" i="4" s="1"/>
  <c r="J463" i="4"/>
  <c r="K428" i="7" l="1"/>
  <c r="L428" i="7" s="1"/>
  <c r="J429" i="7"/>
  <c r="Q219" i="7"/>
  <c r="N220" i="7" s="1"/>
  <c r="O220" i="7" s="1"/>
  <c r="R220" i="7" s="1"/>
  <c r="K429" i="5"/>
  <c r="L429" i="5" s="1"/>
  <c r="J430" i="5"/>
  <c r="Q219" i="5"/>
  <c r="N220" i="5" s="1"/>
  <c r="O220" i="5" s="1"/>
  <c r="R220" i="5" s="1"/>
  <c r="R167" i="4"/>
  <c r="N168" i="4" s="1"/>
  <c r="M462" i="4"/>
  <c r="J464" i="4"/>
  <c r="K463" i="4"/>
  <c r="L463" i="4" s="1"/>
  <c r="P220" i="7" l="1"/>
  <c r="M221" i="7" s="1"/>
  <c r="J430" i="7"/>
  <c r="K429" i="7"/>
  <c r="L429" i="7" s="1"/>
  <c r="S167" i="4"/>
  <c r="O168" i="4" s="1"/>
  <c r="P220" i="5"/>
  <c r="M221" i="5" s="1"/>
  <c r="K430" i="5"/>
  <c r="L430" i="5" s="1"/>
  <c r="J431" i="5"/>
  <c r="T167" i="4"/>
  <c r="P168" i="4" s="1"/>
  <c r="Q168" i="4" s="1"/>
  <c r="U168" i="4" s="1"/>
  <c r="M463" i="4"/>
  <c r="K464" i="4"/>
  <c r="L464" i="4" s="1"/>
  <c r="J465" i="4"/>
  <c r="Q220" i="7" l="1"/>
  <c r="N221" i="7" s="1"/>
  <c r="O221" i="7" s="1"/>
  <c r="R221" i="7" s="1"/>
  <c r="K430" i="7"/>
  <c r="L430" i="7" s="1"/>
  <c r="J431" i="7"/>
  <c r="J432" i="5"/>
  <c r="K431" i="5"/>
  <c r="L431" i="5" s="1"/>
  <c r="Q220" i="5"/>
  <c r="N221" i="5" s="1"/>
  <c r="O221" i="5" s="1"/>
  <c r="R221" i="5" s="1"/>
  <c r="R168" i="4"/>
  <c r="N169" i="4" s="1"/>
  <c r="M464" i="4"/>
  <c r="J466" i="4"/>
  <c r="K465" i="4"/>
  <c r="P221" i="7" l="1"/>
  <c r="M222" i="7" s="1"/>
  <c r="J432" i="7"/>
  <c r="K431" i="7"/>
  <c r="L431" i="7" s="1"/>
  <c r="P221" i="5"/>
  <c r="M222" i="5" s="1"/>
  <c r="J433" i="5"/>
  <c r="K432" i="5"/>
  <c r="L432" i="5" s="1"/>
  <c r="S168" i="4"/>
  <c r="O169" i="4" s="1"/>
  <c r="L465" i="4"/>
  <c r="M465" i="4" s="1"/>
  <c r="K466" i="4"/>
  <c r="J467" i="4"/>
  <c r="K432" i="7" l="1"/>
  <c r="L432" i="7" s="1"/>
  <c r="J433" i="7"/>
  <c r="Q221" i="7"/>
  <c r="N222" i="7" s="1"/>
  <c r="O222" i="7" s="1"/>
  <c r="R222" i="7" s="1"/>
  <c r="T168" i="4"/>
  <c r="P169" i="4" s="1"/>
  <c r="Q169" i="4" s="1"/>
  <c r="U169" i="4" s="1"/>
  <c r="R169" i="4" s="1"/>
  <c r="N170" i="4" s="1"/>
  <c r="K433" i="5"/>
  <c r="L433" i="5" s="1"/>
  <c r="J434" i="5"/>
  <c r="Q221" i="5"/>
  <c r="N222" i="5" s="1"/>
  <c r="O222" i="5" s="1"/>
  <c r="R222" i="5" s="1"/>
  <c r="L466" i="4"/>
  <c r="M466" i="4" s="1"/>
  <c r="J468" i="4"/>
  <c r="K467" i="4"/>
  <c r="L467" i="4" s="1"/>
  <c r="P222" i="7" l="1"/>
  <c r="M223" i="7" s="1"/>
  <c r="J434" i="7"/>
  <c r="K433" i="7"/>
  <c r="L433" i="7" s="1"/>
  <c r="P222" i="5"/>
  <c r="M223" i="5" s="1"/>
  <c r="J435" i="5"/>
  <c r="K434" i="5"/>
  <c r="L434" i="5" s="1"/>
  <c r="S169" i="4"/>
  <c r="O170" i="4" s="1"/>
  <c r="K468" i="4"/>
  <c r="J469" i="4"/>
  <c r="M467" i="4"/>
  <c r="J435" i="7" l="1"/>
  <c r="K434" i="7"/>
  <c r="L434" i="7" s="1"/>
  <c r="Q222" i="7"/>
  <c r="N223" i="7" s="1"/>
  <c r="O223" i="7" s="1"/>
  <c r="R223" i="7" s="1"/>
  <c r="J436" i="5"/>
  <c r="K435" i="5"/>
  <c r="L435" i="5" s="1"/>
  <c r="Q222" i="5"/>
  <c r="N223" i="5" s="1"/>
  <c r="O223" i="5" s="1"/>
  <c r="R223" i="5" s="1"/>
  <c r="T169" i="4"/>
  <c r="P170" i="4" s="1"/>
  <c r="Q170" i="4" s="1"/>
  <c r="U170" i="4" s="1"/>
  <c r="J470" i="4"/>
  <c r="K469" i="4"/>
  <c r="L468" i="4"/>
  <c r="M468" i="4" s="1"/>
  <c r="P223" i="7" l="1"/>
  <c r="M224" i="7" s="1"/>
  <c r="J436" i="7"/>
  <c r="K435" i="7"/>
  <c r="L435" i="7" s="1"/>
  <c r="P223" i="5"/>
  <c r="M224" i="5" s="1"/>
  <c r="J437" i="5"/>
  <c r="K436" i="5"/>
  <c r="L436" i="5" s="1"/>
  <c r="R170" i="4"/>
  <c r="N171" i="4" s="1"/>
  <c r="L469" i="4"/>
  <c r="M469" i="4" s="1"/>
  <c r="J471" i="4"/>
  <c r="K470" i="4"/>
  <c r="Q223" i="7" l="1"/>
  <c r="N224" i="7" s="1"/>
  <c r="O224" i="7" s="1"/>
  <c r="R224" i="7" s="1"/>
  <c r="K436" i="7"/>
  <c r="L436" i="7" s="1"/>
  <c r="J437" i="7"/>
  <c r="J438" i="5"/>
  <c r="K437" i="5"/>
  <c r="L437" i="5" s="1"/>
  <c r="Q223" i="5"/>
  <c r="N224" i="5" s="1"/>
  <c r="O224" i="5" s="1"/>
  <c r="R224" i="5" s="1"/>
  <c r="S170" i="4"/>
  <c r="J472" i="4"/>
  <c r="K471" i="4"/>
  <c r="L470" i="4"/>
  <c r="M470" i="4" s="1"/>
  <c r="P224" i="7" l="1"/>
  <c r="M225" i="7" s="1"/>
  <c r="K437" i="7"/>
  <c r="L437" i="7" s="1"/>
  <c r="J438" i="7"/>
  <c r="P224" i="5"/>
  <c r="M225" i="5" s="1"/>
  <c r="J439" i="5"/>
  <c r="K438" i="5"/>
  <c r="L438" i="5" s="1"/>
  <c r="O171" i="4"/>
  <c r="T170" i="4"/>
  <c r="P171" i="4" s="1"/>
  <c r="Q171" i="4" s="1"/>
  <c r="U171" i="4" s="1"/>
  <c r="L471" i="4"/>
  <c r="M471" i="4" s="1"/>
  <c r="J473" i="4"/>
  <c r="K472" i="4"/>
  <c r="J439" i="7" l="1"/>
  <c r="K438" i="7"/>
  <c r="L438" i="7" s="1"/>
  <c r="Q224" i="7"/>
  <c r="N225" i="7" s="1"/>
  <c r="O225" i="7" s="1"/>
  <c r="R225" i="7" s="1"/>
  <c r="K439" i="5"/>
  <c r="L439" i="5" s="1"/>
  <c r="J440" i="5"/>
  <c r="Q224" i="5"/>
  <c r="N225" i="5" s="1"/>
  <c r="O225" i="5" s="1"/>
  <c r="R225" i="5" s="1"/>
  <c r="R171" i="4"/>
  <c r="N172" i="4" s="1"/>
  <c r="K473" i="4"/>
  <c r="J474" i="4"/>
  <c r="L472" i="4"/>
  <c r="M472" i="4" s="1"/>
  <c r="P225" i="7" l="1"/>
  <c r="M226" i="7" s="1"/>
  <c r="J440" i="7"/>
  <c r="K439" i="7"/>
  <c r="L439" i="7" s="1"/>
  <c r="S171" i="4"/>
  <c r="O172" i="4" s="1"/>
  <c r="P225" i="5"/>
  <c r="M226" i="5" s="1"/>
  <c r="J441" i="5"/>
  <c r="K440" i="5"/>
  <c r="L440" i="5" s="1"/>
  <c r="J475" i="4"/>
  <c r="K474" i="4"/>
  <c r="L473" i="4"/>
  <c r="M473" i="4" s="1"/>
  <c r="J441" i="7" l="1"/>
  <c r="K440" i="7"/>
  <c r="L440" i="7" s="1"/>
  <c r="Q225" i="7"/>
  <c r="N226" i="7" s="1"/>
  <c r="O226" i="7" s="1"/>
  <c r="R226" i="7" s="1"/>
  <c r="T171" i="4"/>
  <c r="P172" i="4" s="1"/>
  <c r="Q172" i="4" s="1"/>
  <c r="U172" i="4" s="1"/>
  <c r="Q225" i="5"/>
  <c r="N226" i="5" s="1"/>
  <c r="O226" i="5"/>
  <c r="R226" i="5" s="1"/>
  <c r="J442" i="5"/>
  <c r="K441" i="5"/>
  <c r="L441" i="5" s="1"/>
  <c r="R172" i="4"/>
  <c r="N173" i="4" s="1"/>
  <c r="L474" i="4"/>
  <c r="M474" i="4" s="1"/>
  <c r="J476" i="4"/>
  <c r="K475" i="4"/>
  <c r="P226" i="7" l="1"/>
  <c r="M227" i="7" s="1"/>
  <c r="J442" i="7"/>
  <c r="K441" i="7"/>
  <c r="L441" i="7" s="1"/>
  <c r="J443" i="5"/>
  <c r="K442" i="5"/>
  <c r="L442" i="5" s="1"/>
  <c r="P226" i="5"/>
  <c r="M227" i="5" s="1"/>
  <c r="S172" i="4"/>
  <c r="O173" i="4" s="1"/>
  <c r="J477" i="4"/>
  <c r="K476" i="4"/>
  <c r="L475" i="4"/>
  <c r="M475" i="4" s="1"/>
  <c r="J443" i="7" l="1"/>
  <c r="K442" i="7"/>
  <c r="L442" i="7" s="1"/>
  <c r="Q226" i="7"/>
  <c r="N227" i="7" s="1"/>
  <c r="O227" i="7" s="1"/>
  <c r="R227" i="7" s="1"/>
  <c r="T172" i="4"/>
  <c r="P173" i="4" s="1"/>
  <c r="Q173" i="4" s="1"/>
  <c r="U173" i="4" s="1"/>
  <c r="R173" i="4" s="1"/>
  <c r="N174" i="4" s="1"/>
  <c r="Q226" i="5"/>
  <c r="N227" i="5" s="1"/>
  <c r="O227" i="5" s="1"/>
  <c r="R227" i="5" s="1"/>
  <c r="J444" i="5"/>
  <c r="K443" i="5"/>
  <c r="L443" i="5" s="1"/>
  <c r="L476" i="4"/>
  <c r="M476" i="4" s="1"/>
  <c r="J478" i="4"/>
  <c r="K477" i="4"/>
  <c r="L477" i="4" s="1"/>
  <c r="P227" i="7" l="1"/>
  <c r="M228" i="7" s="1"/>
  <c r="J444" i="7"/>
  <c r="K443" i="7"/>
  <c r="L443" i="7" s="1"/>
  <c r="P227" i="5"/>
  <c r="M228" i="5" s="1"/>
  <c r="J445" i="5"/>
  <c r="K444" i="5"/>
  <c r="L444" i="5" s="1"/>
  <c r="S173" i="4"/>
  <c r="M477" i="4"/>
  <c r="J479" i="4"/>
  <c r="K478" i="4"/>
  <c r="L478" i="4" s="1"/>
  <c r="J445" i="7" l="1"/>
  <c r="K444" i="7"/>
  <c r="L444" i="7" s="1"/>
  <c r="Q227" i="7"/>
  <c r="N228" i="7" s="1"/>
  <c r="O228" i="7" s="1"/>
  <c r="R228" i="7" s="1"/>
  <c r="J446" i="5"/>
  <c r="K445" i="5"/>
  <c r="L445" i="5" s="1"/>
  <c r="Q227" i="5"/>
  <c r="N228" i="5" s="1"/>
  <c r="O228" i="5" s="1"/>
  <c r="R228" i="5" s="1"/>
  <c r="O174" i="4"/>
  <c r="T173" i="4"/>
  <c r="P174" i="4" s="1"/>
  <c r="Q174" i="4" s="1"/>
  <c r="U174" i="4" s="1"/>
  <c r="R174" i="4" s="1"/>
  <c r="N175" i="4" s="1"/>
  <c r="K479" i="4"/>
  <c r="J480" i="4"/>
  <c r="M478" i="4"/>
  <c r="P228" i="7" l="1"/>
  <c r="M229" i="7" s="1"/>
  <c r="K445" i="7"/>
  <c r="L445" i="7" s="1"/>
  <c r="J446" i="7"/>
  <c r="P228" i="5"/>
  <c r="M229" i="5" s="1"/>
  <c r="K446" i="5"/>
  <c r="L446" i="5" s="1"/>
  <c r="J447" i="5"/>
  <c r="S174" i="4"/>
  <c r="O175" i="4" s="1"/>
  <c r="L479" i="4"/>
  <c r="M479" i="4" s="1"/>
  <c r="J481" i="4"/>
  <c r="K480" i="4"/>
  <c r="L480" i="4" s="1"/>
  <c r="M480" i="4" s="1"/>
  <c r="K446" i="7" l="1"/>
  <c r="L446" i="7" s="1"/>
  <c r="J447" i="7"/>
  <c r="Q228" i="7"/>
  <c r="N229" i="7" s="1"/>
  <c r="O229" i="7" s="1"/>
  <c r="R229" i="7" s="1"/>
  <c r="J448" i="5"/>
  <c r="K447" i="5"/>
  <c r="L447" i="5" s="1"/>
  <c r="Q228" i="5"/>
  <c r="N229" i="5" s="1"/>
  <c r="O229" i="5" s="1"/>
  <c r="R229" i="5" s="1"/>
  <c r="T174" i="4"/>
  <c r="P175" i="4" s="1"/>
  <c r="Q175" i="4" s="1"/>
  <c r="U175" i="4" s="1"/>
  <c r="R175" i="4" s="1"/>
  <c r="N176" i="4" s="1"/>
  <c r="J482" i="4"/>
  <c r="K481" i="4"/>
  <c r="P229" i="7" l="1"/>
  <c r="M230" i="7" s="1"/>
  <c r="J448" i="7"/>
  <c r="K447" i="7"/>
  <c r="L447" i="7" s="1"/>
  <c r="P229" i="5"/>
  <c r="M230" i="5" s="1"/>
  <c r="J449" i="5"/>
  <c r="K448" i="5"/>
  <c r="L448" i="5" s="1"/>
  <c r="S175" i="4"/>
  <c r="O176" i="4" s="1"/>
  <c r="J483" i="4"/>
  <c r="K482" i="4"/>
  <c r="L481" i="4"/>
  <c r="M481" i="4" s="1"/>
  <c r="J449" i="7" l="1"/>
  <c r="K448" i="7"/>
  <c r="L448" i="7" s="1"/>
  <c r="Q229" i="7"/>
  <c r="N230" i="7" s="1"/>
  <c r="O230" i="7" s="1"/>
  <c r="R230" i="7" s="1"/>
  <c r="K449" i="5"/>
  <c r="L449" i="5" s="1"/>
  <c r="J450" i="5"/>
  <c r="Q229" i="5"/>
  <c r="N230" i="5" s="1"/>
  <c r="O230" i="5" s="1"/>
  <c r="R230" i="5" s="1"/>
  <c r="T175" i="4"/>
  <c r="P176" i="4" s="1"/>
  <c r="Q176" i="4" s="1"/>
  <c r="U176" i="4" s="1"/>
  <c r="L482" i="4"/>
  <c r="M482" i="4" s="1"/>
  <c r="J484" i="4"/>
  <c r="K483" i="4"/>
  <c r="P230" i="7" l="1"/>
  <c r="M231" i="7" s="1"/>
  <c r="J450" i="7"/>
  <c r="K449" i="7"/>
  <c r="L449" i="7" s="1"/>
  <c r="P230" i="5"/>
  <c r="M231" i="5" s="1"/>
  <c r="J451" i="5"/>
  <c r="K450" i="5"/>
  <c r="L450" i="5" s="1"/>
  <c r="R176" i="4"/>
  <c r="N177" i="4" s="1"/>
  <c r="J485" i="4"/>
  <c r="K484" i="4"/>
  <c r="L483" i="4"/>
  <c r="M483" i="4" s="1"/>
  <c r="J451" i="7" l="1"/>
  <c r="K450" i="7"/>
  <c r="L450" i="7" s="1"/>
  <c r="Q230" i="7"/>
  <c r="N231" i="7" s="1"/>
  <c r="O231" i="7" s="1"/>
  <c r="R231" i="7" s="1"/>
  <c r="J452" i="5"/>
  <c r="K451" i="5"/>
  <c r="L451" i="5" s="1"/>
  <c r="Q230" i="5"/>
  <c r="N231" i="5" s="1"/>
  <c r="O231" i="5" s="1"/>
  <c r="R231" i="5" s="1"/>
  <c r="S176" i="4"/>
  <c r="J486" i="4"/>
  <c r="K485" i="4"/>
  <c r="L484" i="4"/>
  <c r="M484" i="4" s="1"/>
  <c r="P231" i="7" l="1"/>
  <c r="M232" i="7" s="1"/>
  <c r="J452" i="7"/>
  <c r="K451" i="7"/>
  <c r="L451" i="7" s="1"/>
  <c r="P231" i="5"/>
  <c r="M232" i="5" s="1"/>
  <c r="J453" i="5"/>
  <c r="K452" i="5"/>
  <c r="L452" i="5" s="1"/>
  <c r="O177" i="4"/>
  <c r="T176" i="4"/>
  <c r="P177" i="4" s="1"/>
  <c r="J487" i="4"/>
  <c r="K486" i="4"/>
  <c r="L485" i="4"/>
  <c r="M485" i="4" s="1"/>
  <c r="Q231" i="7" l="1"/>
  <c r="N232" i="7" s="1"/>
  <c r="O232" i="7" s="1"/>
  <c r="R232" i="7" s="1"/>
  <c r="J453" i="7"/>
  <c r="K452" i="7"/>
  <c r="L452" i="7" s="1"/>
  <c r="K453" i="5"/>
  <c r="L453" i="5" s="1"/>
  <c r="J454" i="5"/>
  <c r="Q231" i="5"/>
  <c r="N232" i="5" s="1"/>
  <c r="O232" i="5" s="1"/>
  <c r="R232" i="5" s="1"/>
  <c r="Q177" i="4"/>
  <c r="U177" i="4" s="1"/>
  <c r="L486" i="4"/>
  <c r="M486" i="4" s="1"/>
  <c r="J488" i="4"/>
  <c r="K487" i="4"/>
  <c r="P232" i="7" l="1"/>
  <c r="M233" i="7" s="1"/>
  <c r="K453" i="7"/>
  <c r="L453" i="7" s="1"/>
  <c r="J454" i="7"/>
  <c r="P232" i="5"/>
  <c r="M233" i="5" s="1"/>
  <c r="J455" i="5"/>
  <c r="K454" i="5"/>
  <c r="L454" i="5" s="1"/>
  <c r="R177" i="4"/>
  <c r="N178" i="4" s="1"/>
  <c r="J489" i="4"/>
  <c r="K488" i="4"/>
  <c r="L488" i="4" s="1"/>
  <c r="L487" i="4"/>
  <c r="M487" i="4" s="1"/>
  <c r="K454" i="7" l="1"/>
  <c r="L454" i="7" s="1"/>
  <c r="J455" i="7"/>
  <c r="Q232" i="7"/>
  <c r="N233" i="7" s="1"/>
  <c r="O233" i="7" s="1"/>
  <c r="R233" i="7" s="1"/>
  <c r="J456" i="5"/>
  <c r="K455" i="5"/>
  <c r="L455" i="5" s="1"/>
  <c r="Q232" i="5"/>
  <c r="N233" i="5" s="1"/>
  <c r="O233" i="5" s="1"/>
  <c r="R233" i="5" s="1"/>
  <c r="S177" i="4"/>
  <c r="M488" i="4"/>
  <c r="J490" i="4"/>
  <c r="K489" i="4"/>
  <c r="P233" i="7" l="1"/>
  <c r="M234" i="7" s="1"/>
  <c r="J456" i="7"/>
  <c r="K455" i="7"/>
  <c r="L455" i="7" s="1"/>
  <c r="P233" i="5"/>
  <c r="M234" i="5" s="1"/>
  <c r="K456" i="5"/>
  <c r="L456" i="5" s="1"/>
  <c r="J457" i="5"/>
  <c r="O178" i="4"/>
  <c r="T177" i="4"/>
  <c r="P178" i="4" s="1"/>
  <c r="L489" i="4"/>
  <c r="M489" i="4" s="1"/>
  <c r="J491" i="4"/>
  <c r="K490" i="4"/>
  <c r="J457" i="7" l="1"/>
  <c r="K456" i="7"/>
  <c r="L456" i="7" s="1"/>
  <c r="Q233" i="7"/>
  <c r="N234" i="7" s="1"/>
  <c r="O234" i="7" s="1"/>
  <c r="R234" i="7" s="1"/>
  <c r="J458" i="5"/>
  <c r="K457" i="5"/>
  <c r="L457" i="5" s="1"/>
  <c r="Q233" i="5"/>
  <c r="N234" i="5" s="1"/>
  <c r="O234" i="5" s="1"/>
  <c r="R234" i="5" s="1"/>
  <c r="Q178" i="4"/>
  <c r="U178" i="4" s="1"/>
  <c r="L490" i="4"/>
  <c r="M490" i="4" s="1"/>
  <c r="J492" i="4"/>
  <c r="K491" i="4"/>
  <c r="L491" i="4" s="1"/>
  <c r="M491" i="4" s="1"/>
  <c r="P234" i="7" l="1"/>
  <c r="M235" i="7" s="1"/>
  <c r="J458" i="7"/>
  <c r="K457" i="7"/>
  <c r="L457" i="7" s="1"/>
  <c r="P234" i="5"/>
  <c r="M235" i="5" s="1"/>
  <c r="J459" i="5"/>
  <c r="K458" i="5"/>
  <c r="L458" i="5" s="1"/>
  <c r="R178" i="4"/>
  <c r="N179" i="4" s="1"/>
  <c r="J493" i="4"/>
  <c r="K492" i="4"/>
  <c r="J459" i="7" l="1"/>
  <c r="K458" i="7"/>
  <c r="L458" i="7" s="1"/>
  <c r="Q234" i="7"/>
  <c r="N235" i="7" s="1"/>
  <c r="O235" i="7" s="1"/>
  <c r="R235" i="7" s="1"/>
  <c r="J460" i="5"/>
  <c r="K459" i="5"/>
  <c r="L459" i="5" s="1"/>
  <c r="Q234" i="5"/>
  <c r="N235" i="5" s="1"/>
  <c r="O235" i="5" s="1"/>
  <c r="R235" i="5" s="1"/>
  <c r="S178" i="4"/>
  <c r="O179" i="4" s="1"/>
  <c r="J494" i="4"/>
  <c r="K493" i="4"/>
  <c r="L493" i="4" s="1"/>
  <c r="L492" i="4"/>
  <c r="M492" i="4" s="1"/>
  <c r="P235" i="7" l="1"/>
  <c r="M236" i="7" s="1"/>
  <c r="J460" i="7"/>
  <c r="K459" i="7"/>
  <c r="L459" i="7" s="1"/>
  <c r="P235" i="5"/>
  <c r="M236" i="5" s="1"/>
  <c r="J461" i="5"/>
  <c r="K460" i="5"/>
  <c r="L460" i="5" s="1"/>
  <c r="T178" i="4"/>
  <c r="P179" i="4" s="1"/>
  <c r="Q179" i="4" s="1"/>
  <c r="U179" i="4" s="1"/>
  <c r="R179" i="4" s="1"/>
  <c r="M493" i="4"/>
  <c r="J495" i="4"/>
  <c r="K494" i="4"/>
  <c r="L494" i="4" s="1"/>
  <c r="K460" i="7" l="1"/>
  <c r="L460" i="7" s="1"/>
  <c r="J461" i="7"/>
  <c r="Q235" i="7"/>
  <c r="N236" i="7" s="1"/>
  <c r="O236" i="7" s="1"/>
  <c r="R236" i="7" s="1"/>
  <c r="J462" i="5"/>
  <c r="K461" i="5"/>
  <c r="L461" i="5" s="1"/>
  <c r="Q235" i="5"/>
  <c r="N236" i="5" s="1"/>
  <c r="O236" i="5" s="1"/>
  <c r="R236" i="5" s="1"/>
  <c r="N180" i="4"/>
  <c r="S179" i="4"/>
  <c r="O180" i="4" s="1"/>
  <c r="J496" i="4"/>
  <c r="K495" i="4"/>
  <c r="L495" i="4" s="1"/>
  <c r="M494" i="4"/>
  <c r="P236" i="7" l="1"/>
  <c r="M237" i="7" s="1"/>
  <c r="J462" i="7"/>
  <c r="K461" i="7"/>
  <c r="L461" i="7" s="1"/>
  <c r="T179" i="4"/>
  <c r="P180" i="4" s="1"/>
  <c r="Q180" i="4" s="1"/>
  <c r="U180" i="4" s="1"/>
  <c r="R180" i="4" s="1"/>
  <c r="N181" i="4" s="1"/>
  <c r="P236" i="5"/>
  <c r="M237" i="5" s="1"/>
  <c r="J463" i="5"/>
  <c r="K462" i="5"/>
  <c r="L462" i="5" s="1"/>
  <c r="M495" i="4"/>
  <c r="J497" i="4"/>
  <c r="K496" i="4"/>
  <c r="K462" i="7" l="1"/>
  <c r="L462" i="7" s="1"/>
  <c r="J463" i="7"/>
  <c r="Q236" i="7"/>
  <c r="N237" i="7" s="1"/>
  <c r="O237" i="7" s="1"/>
  <c r="R237" i="7" s="1"/>
  <c r="K463" i="5"/>
  <c r="L463" i="5" s="1"/>
  <c r="J464" i="5"/>
  <c r="Q236" i="5"/>
  <c r="N237" i="5" s="1"/>
  <c r="O237" i="5" s="1"/>
  <c r="R237" i="5" s="1"/>
  <c r="S180" i="4"/>
  <c r="O181" i="4" s="1"/>
  <c r="L496" i="4"/>
  <c r="M496" i="4" s="1"/>
  <c r="J498" i="4"/>
  <c r="K497" i="4"/>
  <c r="L497" i="4" s="1"/>
  <c r="M497" i="4" s="1"/>
  <c r="P237" i="7" l="1"/>
  <c r="M238" i="7" s="1"/>
  <c r="J464" i="7"/>
  <c r="K463" i="7"/>
  <c r="L463" i="7" s="1"/>
  <c r="T180" i="4"/>
  <c r="P181" i="4" s="1"/>
  <c r="Q181" i="4" s="1"/>
  <c r="U181" i="4" s="1"/>
  <c r="R181" i="4" s="1"/>
  <c r="N182" i="4" s="1"/>
  <c r="P237" i="5"/>
  <c r="M238" i="5" s="1"/>
  <c r="J465" i="5"/>
  <c r="K464" i="5"/>
  <c r="L464" i="5" s="1"/>
  <c r="K498" i="4"/>
  <c r="J499" i="4"/>
  <c r="Q237" i="7" l="1"/>
  <c r="N238" i="7" s="1"/>
  <c r="O238" i="7" s="1"/>
  <c r="R238" i="7" s="1"/>
  <c r="J465" i="7"/>
  <c r="K464" i="7"/>
  <c r="L464" i="7" s="1"/>
  <c r="S181" i="4"/>
  <c r="O182" i="4" s="1"/>
  <c r="Q237" i="5"/>
  <c r="N238" i="5" s="1"/>
  <c r="O238" i="5" s="1"/>
  <c r="R238" i="5" s="1"/>
  <c r="J466" i="5"/>
  <c r="K465" i="5"/>
  <c r="L465" i="5" s="1"/>
  <c r="T181" i="4"/>
  <c r="P182" i="4" s="1"/>
  <c r="Q182" i="4" s="1"/>
  <c r="U182" i="4" s="1"/>
  <c r="L498" i="4"/>
  <c r="M498" i="4" s="1"/>
  <c r="J500" i="4"/>
  <c r="K499" i="4"/>
  <c r="L499" i="4" s="1"/>
  <c r="P238" i="7" l="1"/>
  <c r="M239" i="7" s="1"/>
  <c r="J466" i="7"/>
  <c r="K465" i="7"/>
  <c r="L465" i="7" s="1"/>
  <c r="P238" i="5"/>
  <c r="M239" i="5" s="1"/>
  <c r="J467" i="5"/>
  <c r="K466" i="5"/>
  <c r="L466" i="5" s="1"/>
  <c r="R182" i="4"/>
  <c r="N183" i="4" s="1"/>
  <c r="M499" i="4"/>
  <c r="K500" i="4"/>
  <c r="J501" i="4"/>
  <c r="J467" i="7" l="1"/>
  <c r="K466" i="7"/>
  <c r="L466" i="7" s="1"/>
  <c r="Q238" i="7"/>
  <c r="N239" i="7" s="1"/>
  <c r="O239" i="7" s="1"/>
  <c r="R239" i="7" s="1"/>
  <c r="J468" i="5"/>
  <c r="K467" i="5"/>
  <c r="L467" i="5" s="1"/>
  <c r="Q238" i="5"/>
  <c r="N239" i="5" s="1"/>
  <c r="O239" i="5" s="1"/>
  <c r="R239" i="5" s="1"/>
  <c r="S182" i="4"/>
  <c r="O183" i="4" s="1"/>
  <c r="K501" i="4"/>
  <c r="J502" i="4"/>
  <c r="L500" i="4"/>
  <c r="M500" i="4" s="1"/>
  <c r="P239" i="7" l="1"/>
  <c r="M240" i="7" s="1"/>
  <c r="J468" i="7"/>
  <c r="K467" i="7"/>
  <c r="L467" i="7" s="1"/>
  <c r="P239" i="5"/>
  <c r="M240" i="5" s="1"/>
  <c r="J469" i="5"/>
  <c r="K468" i="5"/>
  <c r="L468" i="5" s="1"/>
  <c r="T182" i="4"/>
  <c r="P183" i="4" s="1"/>
  <c r="Q183" i="4" s="1"/>
  <c r="U183" i="4" s="1"/>
  <c r="J503" i="4"/>
  <c r="K502" i="4"/>
  <c r="L501" i="4"/>
  <c r="M501" i="4" s="1"/>
  <c r="Q239" i="7" l="1"/>
  <c r="N240" i="7" s="1"/>
  <c r="O240" i="7" s="1"/>
  <c r="R240" i="7" s="1"/>
  <c r="K468" i="7"/>
  <c r="L468" i="7" s="1"/>
  <c r="J469" i="7"/>
  <c r="K469" i="5"/>
  <c r="L469" i="5" s="1"/>
  <c r="J470" i="5"/>
  <c r="Q239" i="5"/>
  <c r="N240" i="5" s="1"/>
  <c r="O240" i="5" s="1"/>
  <c r="R240" i="5" s="1"/>
  <c r="R183" i="4"/>
  <c r="N184" i="4" s="1"/>
  <c r="L502" i="4"/>
  <c r="M502" i="4" s="1"/>
  <c r="J504" i="4"/>
  <c r="K503" i="4"/>
  <c r="K469" i="7" l="1"/>
  <c r="L469" i="7" s="1"/>
  <c r="J470" i="7"/>
  <c r="P240" i="7"/>
  <c r="M241" i="7" s="1"/>
  <c r="P240" i="5"/>
  <c r="M241" i="5" s="1"/>
  <c r="J471" i="5"/>
  <c r="K470" i="5"/>
  <c r="L470" i="5" s="1"/>
  <c r="S183" i="4"/>
  <c r="J505" i="4"/>
  <c r="K504" i="4"/>
  <c r="L504" i="4" s="1"/>
  <c r="L503" i="4"/>
  <c r="M503" i="4" s="1"/>
  <c r="Q240" i="7" l="1"/>
  <c r="N241" i="7" s="1"/>
  <c r="O241" i="7" s="1"/>
  <c r="R241" i="7" s="1"/>
  <c r="K470" i="7"/>
  <c r="L470" i="7" s="1"/>
  <c r="J471" i="7"/>
  <c r="J472" i="5"/>
  <c r="K471" i="5"/>
  <c r="L471" i="5" s="1"/>
  <c r="Q240" i="5"/>
  <c r="N241" i="5" s="1"/>
  <c r="O241" i="5" s="1"/>
  <c r="R241" i="5" s="1"/>
  <c r="O184" i="4"/>
  <c r="T183" i="4"/>
  <c r="P184" i="4" s="1"/>
  <c r="M504" i="4"/>
  <c r="J506" i="4"/>
  <c r="K505" i="4"/>
  <c r="L505" i="4" s="1"/>
  <c r="J472" i="7" l="1"/>
  <c r="K471" i="7"/>
  <c r="L471" i="7" s="1"/>
  <c r="P241" i="7"/>
  <c r="M242" i="7" s="1"/>
  <c r="P241" i="5"/>
  <c r="M242" i="5" s="1"/>
  <c r="K472" i="5"/>
  <c r="L472" i="5" s="1"/>
  <c r="J473" i="5"/>
  <c r="M505" i="4"/>
  <c r="Q184" i="4"/>
  <c r="U184" i="4" s="1"/>
  <c r="J507" i="4"/>
  <c r="K506" i="4"/>
  <c r="Q241" i="7" l="1"/>
  <c r="N242" i="7" s="1"/>
  <c r="O242" i="7" s="1"/>
  <c r="R242" i="7" s="1"/>
  <c r="J473" i="7"/>
  <c r="K472" i="7"/>
  <c r="L472" i="7" s="1"/>
  <c r="Q241" i="5"/>
  <c r="N242" i="5" s="1"/>
  <c r="O242" i="5" s="1"/>
  <c r="R242" i="5" s="1"/>
  <c r="J474" i="5"/>
  <c r="K473" i="5"/>
  <c r="L473" i="5" s="1"/>
  <c r="R184" i="4"/>
  <c r="N185" i="4" s="1"/>
  <c r="L506" i="4"/>
  <c r="M506" i="4" s="1"/>
  <c r="J508" i="4"/>
  <c r="K507" i="4"/>
  <c r="J474" i="7" l="1"/>
  <c r="K473" i="7"/>
  <c r="L473" i="7" s="1"/>
  <c r="P242" i="7"/>
  <c r="M243" i="7" s="1"/>
  <c r="S184" i="4"/>
  <c r="O185" i="4" s="1"/>
  <c r="P242" i="5"/>
  <c r="M243" i="5" s="1"/>
  <c r="J475" i="5"/>
  <c r="K474" i="5"/>
  <c r="L474" i="5" s="1"/>
  <c r="T184" i="4"/>
  <c r="P185" i="4" s="1"/>
  <c r="Q185" i="4" s="1"/>
  <c r="U185" i="4" s="1"/>
  <c r="L507" i="4"/>
  <c r="M507" i="4" s="1"/>
  <c r="J509" i="4"/>
  <c r="K508" i="4"/>
  <c r="Q242" i="7" l="1"/>
  <c r="N243" i="7" s="1"/>
  <c r="O243" i="7" s="1"/>
  <c r="R243" i="7" s="1"/>
  <c r="J475" i="7"/>
  <c r="K474" i="7"/>
  <c r="L474" i="7" s="1"/>
  <c r="J476" i="5"/>
  <c r="K475" i="5"/>
  <c r="L475" i="5" s="1"/>
  <c r="Q242" i="5"/>
  <c r="N243" i="5" s="1"/>
  <c r="O243" i="5" s="1"/>
  <c r="R243" i="5" s="1"/>
  <c r="R185" i="4"/>
  <c r="N186" i="4" s="1"/>
  <c r="L508" i="4"/>
  <c r="M508" i="4" s="1"/>
  <c r="J510" i="4"/>
  <c r="K509" i="4"/>
  <c r="L509" i="4" s="1"/>
  <c r="M509" i="4" s="1"/>
  <c r="J476" i="7" l="1"/>
  <c r="K475" i="7"/>
  <c r="L475" i="7" s="1"/>
  <c r="P243" i="7"/>
  <c r="M244" i="7" s="1"/>
  <c r="S185" i="4"/>
  <c r="O186" i="4" s="1"/>
  <c r="P243" i="5"/>
  <c r="M244" i="5" s="1"/>
  <c r="J477" i="5"/>
  <c r="K476" i="5"/>
  <c r="L476" i="5" s="1"/>
  <c r="J511" i="4"/>
  <c r="K510" i="4"/>
  <c r="Q243" i="7" l="1"/>
  <c r="N244" i="7" s="1"/>
  <c r="O244" i="7" s="1"/>
  <c r="R244" i="7" s="1"/>
  <c r="J477" i="7"/>
  <c r="K476" i="7"/>
  <c r="L476" i="7" s="1"/>
  <c r="T185" i="4"/>
  <c r="P186" i="4" s="1"/>
  <c r="Q186" i="4" s="1"/>
  <c r="U186" i="4" s="1"/>
  <c r="R186" i="4" s="1"/>
  <c r="N187" i="4" s="1"/>
  <c r="J478" i="5"/>
  <c r="K477" i="5"/>
  <c r="L477" i="5" s="1"/>
  <c r="Q243" i="5"/>
  <c r="N244" i="5" s="1"/>
  <c r="O244" i="5" s="1"/>
  <c r="R244" i="5" s="1"/>
  <c r="L510" i="4"/>
  <c r="M510" i="4" s="1"/>
  <c r="J512" i="4"/>
  <c r="K511" i="4"/>
  <c r="P244" i="7" l="1"/>
  <c r="M245" i="7" s="1"/>
  <c r="K477" i="7"/>
  <c r="L477" i="7" s="1"/>
  <c r="J478" i="7"/>
  <c r="P244" i="5"/>
  <c r="M245" i="5" s="1"/>
  <c r="K478" i="5"/>
  <c r="L478" i="5" s="1"/>
  <c r="J479" i="5"/>
  <c r="S186" i="4"/>
  <c r="O187" i="4" s="1"/>
  <c r="L511" i="4"/>
  <c r="M511" i="4" s="1"/>
  <c r="J513" i="4"/>
  <c r="K512" i="4"/>
  <c r="Q244" i="7" l="1"/>
  <c r="N245" i="7" s="1"/>
  <c r="O245" i="7" s="1"/>
  <c r="R245" i="7" s="1"/>
  <c r="J479" i="7"/>
  <c r="K478" i="7"/>
  <c r="L478" i="7" s="1"/>
  <c r="J480" i="5"/>
  <c r="K479" i="5"/>
  <c r="L479" i="5" s="1"/>
  <c r="Q244" i="5"/>
  <c r="N245" i="5" s="1"/>
  <c r="O245" i="5" s="1"/>
  <c r="R245" i="5" s="1"/>
  <c r="T186" i="4"/>
  <c r="P187" i="4" s="1"/>
  <c r="Q187" i="4" s="1"/>
  <c r="U187" i="4" s="1"/>
  <c r="J514" i="4"/>
  <c r="K513" i="4"/>
  <c r="L513" i="4" s="1"/>
  <c r="L512" i="4"/>
  <c r="M512" i="4" s="1"/>
  <c r="P245" i="7" l="1"/>
  <c r="M246" i="7" s="1"/>
  <c r="J480" i="7"/>
  <c r="K479" i="7"/>
  <c r="L479" i="7" s="1"/>
  <c r="P245" i="5"/>
  <c r="M246" i="5" s="1"/>
  <c r="J481" i="5"/>
  <c r="K480" i="5"/>
  <c r="L480" i="5" s="1"/>
  <c r="R187" i="4"/>
  <c r="N188" i="4" s="1"/>
  <c r="M513" i="4"/>
  <c r="J515" i="4"/>
  <c r="K514" i="4"/>
  <c r="L514" i="4" s="1"/>
  <c r="Q245" i="7" l="1"/>
  <c r="N246" i="7" s="1"/>
  <c r="J481" i="7"/>
  <c r="K480" i="7"/>
  <c r="L480" i="7" s="1"/>
  <c r="O246" i="7"/>
  <c r="R246" i="7" s="1"/>
  <c r="J482" i="5"/>
  <c r="K481" i="5"/>
  <c r="L481" i="5" s="1"/>
  <c r="Q245" i="5"/>
  <c r="N246" i="5" s="1"/>
  <c r="O246" i="5" s="1"/>
  <c r="R246" i="5" s="1"/>
  <c r="S187" i="4"/>
  <c r="J516" i="4"/>
  <c r="K515" i="4"/>
  <c r="M514" i="4"/>
  <c r="P246" i="7" l="1"/>
  <c r="M247" i="7" s="1"/>
  <c r="J482" i="7"/>
  <c r="K481" i="7"/>
  <c r="L481" i="7" s="1"/>
  <c r="P246" i="5"/>
  <c r="M247" i="5" s="1"/>
  <c r="J483" i="5"/>
  <c r="K482" i="5"/>
  <c r="L482" i="5" s="1"/>
  <c r="O188" i="4"/>
  <c r="T187" i="4"/>
  <c r="P188" i="4" s="1"/>
  <c r="J517" i="4"/>
  <c r="K516" i="4"/>
  <c r="L515" i="4"/>
  <c r="M515" i="4" s="1"/>
  <c r="J483" i="7" l="1"/>
  <c r="K482" i="7"/>
  <c r="L482" i="7" s="1"/>
  <c r="Q246" i="7"/>
  <c r="N247" i="7" s="1"/>
  <c r="O247" i="7" s="1"/>
  <c r="R247" i="7" s="1"/>
  <c r="K483" i="5"/>
  <c r="L483" i="5" s="1"/>
  <c r="J484" i="5"/>
  <c r="Q246" i="5"/>
  <c r="N247" i="5" s="1"/>
  <c r="O247" i="5" s="1"/>
  <c r="R247" i="5" s="1"/>
  <c r="Q188" i="4"/>
  <c r="U188" i="4" s="1"/>
  <c r="R188" i="4" s="1"/>
  <c r="N189" i="4" s="1"/>
  <c r="L516" i="4"/>
  <c r="M516" i="4" s="1"/>
  <c r="K517" i="4"/>
  <c r="L517" i="4" s="1"/>
  <c r="J518" i="4"/>
  <c r="P247" i="7" l="1"/>
  <c r="M248" i="7" s="1"/>
  <c r="J484" i="7"/>
  <c r="K483" i="7"/>
  <c r="L483" i="7" s="1"/>
  <c r="P247" i="5"/>
  <c r="M248" i="5" s="1"/>
  <c r="J485" i="5"/>
  <c r="K484" i="5"/>
  <c r="L484" i="5" s="1"/>
  <c r="S188" i="4"/>
  <c r="O189" i="4" s="1"/>
  <c r="M517" i="4"/>
  <c r="J519" i="4"/>
  <c r="K518" i="4"/>
  <c r="Q247" i="7" l="1"/>
  <c r="N248" i="7" s="1"/>
  <c r="O248" i="7" s="1"/>
  <c r="R248" i="7" s="1"/>
  <c r="J485" i="7"/>
  <c r="K484" i="7"/>
  <c r="L484" i="7" s="1"/>
  <c r="K485" i="5"/>
  <c r="L485" i="5" s="1"/>
  <c r="J486" i="5"/>
  <c r="Q247" i="5"/>
  <c r="N248" i="5" s="1"/>
  <c r="O248" i="5" s="1"/>
  <c r="R248" i="5" s="1"/>
  <c r="T188" i="4"/>
  <c r="P189" i="4" s="1"/>
  <c r="Q189" i="4" s="1"/>
  <c r="U189" i="4" s="1"/>
  <c r="R189" i="4" s="1"/>
  <c r="N190" i="4" s="1"/>
  <c r="L518" i="4"/>
  <c r="M518" i="4" s="1"/>
  <c r="K519" i="4"/>
  <c r="J520" i="4"/>
  <c r="P248" i="7" l="1"/>
  <c r="M249" i="7" s="1"/>
  <c r="K485" i="7"/>
  <c r="L485" i="7" s="1"/>
  <c r="J486" i="7"/>
  <c r="P248" i="5"/>
  <c r="M249" i="5" s="1"/>
  <c r="J487" i="5"/>
  <c r="K486" i="5"/>
  <c r="L486" i="5" s="1"/>
  <c r="S189" i="4"/>
  <c r="O190" i="4" s="1"/>
  <c r="L519" i="4"/>
  <c r="M519" i="4" s="1"/>
  <c r="J521" i="4"/>
  <c r="K520" i="4"/>
  <c r="L520" i="4" s="1"/>
  <c r="M520" i="4" s="1"/>
  <c r="J487" i="7" l="1"/>
  <c r="K486" i="7"/>
  <c r="L486" i="7" s="1"/>
  <c r="Q248" i="7"/>
  <c r="N249" i="7" s="1"/>
  <c r="O249" i="7" s="1"/>
  <c r="R249" i="7" s="1"/>
  <c r="Q248" i="5"/>
  <c r="N249" i="5" s="1"/>
  <c r="J488" i="5"/>
  <c r="K487" i="5"/>
  <c r="L487" i="5" s="1"/>
  <c r="O249" i="5"/>
  <c r="R249" i="5" s="1"/>
  <c r="T189" i="4"/>
  <c r="P190" i="4" s="1"/>
  <c r="Q190" i="4" s="1"/>
  <c r="U190" i="4" s="1"/>
  <c r="K521" i="4"/>
  <c r="J522" i="4"/>
  <c r="P249" i="7" l="1"/>
  <c r="M250" i="7" s="1"/>
  <c r="K487" i="7"/>
  <c r="L487" i="7" s="1"/>
  <c r="J488" i="7"/>
  <c r="P249" i="5"/>
  <c r="M250" i="5" s="1"/>
  <c r="J489" i="5"/>
  <c r="K488" i="5"/>
  <c r="L488" i="5" s="1"/>
  <c r="R190" i="4"/>
  <c r="N191" i="4" s="1"/>
  <c r="L521" i="4"/>
  <c r="M521" i="4" s="1"/>
  <c r="J523" i="4"/>
  <c r="K522" i="4"/>
  <c r="L522" i="4" s="1"/>
  <c r="M522" i="4" s="1"/>
  <c r="K488" i="7" l="1"/>
  <c r="L488" i="7" s="1"/>
  <c r="J489" i="7"/>
  <c r="Q249" i="7"/>
  <c r="N250" i="7" s="1"/>
  <c r="O250" i="7" s="1"/>
  <c r="R250" i="7" s="1"/>
  <c r="J490" i="5"/>
  <c r="K489" i="5"/>
  <c r="L489" i="5" s="1"/>
  <c r="Q249" i="5"/>
  <c r="N250" i="5" s="1"/>
  <c r="O250" i="5" s="1"/>
  <c r="R250" i="5" s="1"/>
  <c r="S190" i="4"/>
  <c r="O191" i="4" s="1"/>
  <c r="K523" i="4"/>
  <c r="J524" i="4"/>
  <c r="P250" i="7" l="1"/>
  <c r="M251" i="7" s="1"/>
  <c r="J490" i="7"/>
  <c r="K489" i="7"/>
  <c r="L489" i="7" s="1"/>
  <c r="P250" i="5"/>
  <c r="M251" i="5" s="1"/>
  <c r="J491" i="5"/>
  <c r="K490" i="5"/>
  <c r="L490" i="5" s="1"/>
  <c r="T190" i="4"/>
  <c r="P191" i="4" s="1"/>
  <c r="Q191" i="4" s="1"/>
  <c r="U191" i="4" s="1"/>
  <c r="R191" i="4" s="1"/>
  <c r="N192" i="4" s="1"/>
  <c r="L523" i="4"/>
  <c r="M523" i="4" s="1"/>
  <c r="J525" i="4"/>
  <c r="K524" i="4"/>
  <c r="L524" i="4" s="1"/>
  <c r="M524" i="4" s="1"/>
  <c r="J491" i="7" l="1"/>
  <c r="K490" i="7"/>
  <c r="L490" i="7" s="1"/>
  <c r="Q250" i="7"/>
  <c r="N251" i="7" s="1"/>
  <c r="O251" i="7" s="1"/>
  <c r="R251" i="7" s="1"/>
  <c r="K491" i="5"/>
  <c r="L491" i="5" s="1"/>
  <c r="J492" i="5"/>
  <c r="Q250" i="5"/>
  <c r="N251" i="5" s="1"/>
  <c r="O251" i="5" s="1"/>
  <c r="R251" i="5" s="1"/>
  <c r="S191" i="4"/>
  <c r="O192" i="4" s="1"/>
  <c r="J526" i="4"/>
  <c r="K525" i="4"/>
  <c r="P251" i="7" l="1"/>
  <c r="M252" i="7" s="1"/>
  <c r="K491" i="7"/>
  <c r="L491" i="7" s="1"/>
  <c r="J492" i="7"/>
  <c r="P251" i="5"/>
  <c r="M252" i="5" s="1"/>
  <c r="J493" i="5"/>
  <c r="K492" i="5"/>
  <c r="L492" i="5" s="1"/>
  <c r="T191" i="4"/>
  <c r="P192" i="4" s="1"/>
  <c r="Q192" i="4" s="1"/>
  <c r="U192" i="4" s="1"/>
  <c r="R192" i="4" s="1"/>
  <c r="N193" i="4" s="1"/>
  <c r="K526" i="4"/>
  <c r="J527" i="4"/>
  <c r="L525" i="4"/>
  <c r="M525" i="4" s="1"/>
  <c r="J493" i="7" l="1"/>
  <c r="K492" i="7"/>
  <c r="L492" i="7" s="1"/>
  <c r="Q251" i="7"/>
  <c r="N252" i="7" s="1"/>
  <c r="O252" i="7" s="1"/>
  <c r="R252" i="7" s="1"/>
  <c r="J494" i="5"/>
  <c r="K493" i="5"/>
  <c r="L493" i="5" s="1"/>
  <c r="Q251" i="5"/>
  <c r="N252" i="5" s="1"/>
  <c r="O252" i="5" s="1"/>
  <c r="R252" i="5" s="1"/>
  <c r="S192" i="4"/>
  <c r="O193" i="4" s="1"/>
  <c r="L526" i="4"/>
  <c r="M526" i="4" s="1"/>
  <c r="J528" i="4"/>
  <c r="K527" i="4"/>
  <c r="P252" i="7" l="1"/>
  <c r="M253" i="7" s="1"/>
  <c r="J494" i="7"/>
  <c r="K493" i="7"/>
  <c r="L493" i="7" s="1"/>
  <c r="P252" i="5"/>
  <c r="M253" i="5" s="1"/>
  <c r="J495" i="5"/>
  <c r="K494" i="5"/>
  <c r="L494" i="5" s="1"/>
  <c r="T192" i="4"/>
  <c r="P193" i="4" s="1"/>
  <c r="Q193" i="4" s="1"/>
  <c r="U193" i="4" s="1"/>
  <c r="L527" i="4"/>
  <c r="M527" i="4" s="1"/>
  <c r="K528" i="4"/>
  <c r="J529" i="4"/>
  <c r="Q252" i="7" l="1"/>
  <c r="N253" i="7" s="1"/>
  <c r="O253" i="7" s="1"/>
  <c r="R253" i="7" s="1"/>
  <c r="J495" i="7"/>
  <c r="K494" i="7"/>
  <c r="L494" i="7" s="1"/>
  <c r="K495" i="5"/>
  <c r="L495" i="5" s="1"/>
  <c r="J496" i="5"/>
  <c r="Q252" i="5"/>
  <c r="N253" i="5" s="1"/>
  <c r="O253" i="5" s="1"/>
  <c r="R253" i="5" s="1"/>
  <c r="R193" i="4"/>
  <c r="N194" i="4" s="1"/>
  <c r="L528" i="4"/>
  <c r="M528" i="4" s="1"/>
  <c r="J530" i="4"/>
  <c r="K529" i="4"/>
  <c r="P253" i="7" l="1"/>
  <c r="M254" i="7" s="1"/>
  <c r="J496" i="7"/>
  <c r="K495" i="7"/>
  <c r="L495" i="7" s="1"/>
  <c r="S193" i="4"/>
  <c r="O194" i="4" s="1"/>
  <c r="P253" i="5"/>
  <c r="M254" i="5" s="1"/>
  <c r="J497" i="5"/>
  <c r="K496" i="5"/>
  <c r="L496" i="5" s="1"/>
  <c r="T193" i="4"/>
  <c r="P194" i="4" s="1"/>
  <c r="Q194" i="4" s="1"/>
  <c r="U194" i="4" s="1"/>
  <c r="L529" i="4"/>
  <c r="M529" i="4" s="1"/>
  <c r="J531" i="4"/>
  <c r="K530" i="4"/>
  <c r="L530" i="4" s="1"/>
  <c r="Q253" i="7" l="1"/>
  <c r="N254" i="7" s="1"/>
  <c r="O254" i="7" s="1"/>
  <c r="R254" i="7" s="1"/>
  <c r="J497" i="7"/>
  <c r="K496" i="7"/>
  <c r="L496" i="7" s="1"/>
  <c r="Q253" i="5"/>
  <c r="N254" i="5" s="1"/>
  <c r="O254" i="5" s="1"/>
  <c r="R254" i="5" s="1"/>
  <c r="K497" i="5"/>
  <c r="L497" i="5" s="1"/>
  <c r="J498" i="5"/>
  <c r="R194" i="4"/>
  <c r="N195" i="4" s="1"/>
  <c r="M530" i="4"/>
  <c r="J532" i="4"/>
  <c r="K531" i="4"/>
  <c r="P254" i="7" l="1"/>
  <c r="M255" i="7" s="1"/>
  <c r="J498" i="7"/>
  <c r="K497" i="7"/>
  <c r="L497" i="7" s="1"/>
  <c r="S194" i="4"/>
  <c r="O195" i="4" s="1"/>
  <c r="P254" i="5"/>
  <c r="M255" i="5" s="1"/>
  <c r="K498" i="5"/>
  <c r="L498" i="5" s="1"/>
  <c r="J499" i="5"/>
  <c r="L531" i="4"/>
  <c r="M531" i="4" s="1"/>
  <c r="J533" i="4"/>
  <c r="K532" i="4"/>
  <c r="J499" i="7" l="1"/>
  <c r="K498" i="7"/>
  <c r="L498" i="7" s="1"/>
  <c r="Q254" i="7"/>
  <c r="N255" i="7" s="1"/>
  <c r="O255" i="7" s="1"/>
  <c r="R255" i="7" s="1"/>
  <c r="T194" i="4"/>
  <c r="P195" i="4" s="1"/>
  <c r="Q195" i="4" s="1"/>
  <c r="U195" i="4" s="1"/>
  <c r="R195" i="4" s="1"/>
  <c r="N196" i="4" s="1"/>
  <c r="Q254" i="5"/>
  <c r="N255" i="5" s="1"/>
  <c r="O255" i="5" s="1"/>
  <c r="R255" i="5" s="1"/>
  <c r="K499" i="5"/>
  <c r="L499" i="5" s="1"/>
  <c r="J500" i="5"/>
  <c r="L532" i="4"/>
  <c r="M532" i="4" s="1"/>
  <c r="K533" i="4"/>
  <c r="J534" i="4"/>
  <c r="P255" i="7" l="1"/>
  <c r="M256" i="7" s="1"/>
  <c r="J500" i="7"/>
  <c r="K499" i="7"/>
  <c r="L499" i="7" s="1"/>
  <c r="K500" i="5"/>
  <c r="L500" i="5" s="1"/>
  <c r="J501" i="5"/>
  <c r="P255" i="5"/>
  <c r="M256" i="5" s="1"/>
  <c r="S195" i="4"/>
  <c r="O196" i="4" s="1"/>
  <c r="J535" i="4"/>
  <c r="K534" i="4"/>
  <c r="L533" i="4"/>
  <c r="M533" i="4" s="1"/>
  <c r="Q255" i="7" l="1"/>
  <c r="N256" i="7" s="1"/>
  <c r="O256" i="7" s="1"/>
  <c r="R256" i="7" s="1"/>
  <c r="J501" i="7"/>
  <c r="K500" i="7"/>
  <c r="L500" i="7" s="1"/>
  <c r="Q255" i="5"/>
  <c r="N256" i="5" s="1"/>
  <c r="O256" i="5" s="1"/>
  <c r="R256" i="5" s="1"/>
  <c r="K501" i="5"/>
  <c r="L501" i="5" s="1"/>
  <c r="J502" i="5"/>
  <c r="T195" i="4"/>
  <c r="P196" i="4" s="1"/>
  <c r="Q196" i="4" s="1"/>
  <c r="U196" i="4" s="1"/>
  <c r="R196" i="4" s="1"/>
  <c r="N197" i="4" s="1"/>
  <c r="L534" i="4"/>
  <c r="M534" i="4" s="1"/>
  <c r="J536" i="4"/>
  <c r="K535" i="4"/>
  <c r="L535" i="4" s="1"/>
  <c r="M535" i="4" s="1"/>
  <c r="P256" i="7" l="1"/>
  <c r="M257" i="7" s="1"/>
  <c r="J502" i="7"/>
  <c r="K501" i="7"/>
  <c r="L501" i="7" s="1"/>
  <c r="P256" i="5"/>
  <c r="M257" i="5" s="1"/>
  <c r="J503" i="5"/>
  <c r="K502" i="5"/>
  <c r="L502" i="5" s="1"/>
  <c r="S196" i="4"/>
  <c r="O197" i="4" s="1"/>
  <c r="K536" i="4"/>
  <c r="L536" i="4" s="1"/>
  <c r="M536" i="4" s="1"/>
  <c r="J537" i="4"/>
  <c r="J503" i="7" l="1"/>
  <c r="K502" i="7"/>
  <c r="L502" i="7" s="1"/>
  <c r="Q256" i="7"/>
  <c r="N257" i="7" s="1"/>
  <c r="O257" i="7" s="1"/>
  <c r="R257" i="7" s="1"/>
  <c r="T196" i="4"/>
  <c r="P197" i="4" s="1"/>
  <c r="Q197" i="4" s="1"/>
  <c r="U197" i="4" s="1"/>
  <c r="R197" i="4" s="1"/>
  <c r="N198" i="4" s="1"/>
  <c r="Q256" i="5"/>
  <c r="N257" i="5" s="1"/>
  <c r="O257" i="5" s="1"/>
  <c r="R257" i="5" s="1"/>
  <c r="J504" i="5"/>
  <c r="K503" i="5"/>
  <c r="L503" i="5" s="1"/>
  <c r="J538" i="4"/>
  <c r="K537" i="4"/>
  <c r="L537" i="4" s="1"/>
  <c r="P257" i="7" l="1"/>
  <c r="M258" i="7" s="1"/>
  <c r="J504" i="7"/>
  <c r="K503" i="7"/>
  <c r="L503" i="7" s="1"/>
  <c r="P257" i="5"/>
  <c r="M258" i="5" s="1"/>
  <c r="J505" i="5"/>
  <c r="K504" i="5"/>
  <c r="L504" i="5" s="1"/>
  <c r="S197" i="4"/>
  <c r="O198" i="4" s="1"/>
  <c r="M537" i="4"/>
  <c r="K538" i="4"/>
  <c r="L538" i="4" s="1"/>
  <c r="J539" i="4"/>
  <c r="K504" i="7" l="1"/>
  <c r="L504" i="7" s="1"/>
  <c r="J505" i="7"/>
  <c r="Q257" i="7"/>
  <c r="N258" i="7" s="1"/>
  <c r="O258" i="7" s="1"/>
  <c r="R258" i="7" s="1"/>
  <c r="T197" i="4"/>
  <c r="P198" i="4" s="1"/>
  <c r="Q198" i="4" s="1"/>
  <c r="U198" i="4" s="1"/>
  <c r="R198" i="4" s="1"/>
  <c r="N199" i="4" s="1"/>
  <c r="K505" i="5"/>
  <c r="L505" i="5" s="1"/>
  <c r="J506" i="5"/>
  <c r="Q257" i="5"/>
  <c r="N258" i="5" s="1"/>
  <c r="O258" i="5" s="1"/>
  <c r="R258" i="5" s="1"/>
  <c r="M538" i="4"/>
  <c r="J540" i="4"/>
  <c r="K539" i="4"/>
  <c r="L539" i="4" s="1"/>
  <c r="P258" i="7" l="1"/>
  <c r="M259" i="7" s="1"/>
  <c r="J506" i="7"/>
  <c r="K505" i="7"/>
  <c r="L505" i="7" s="1"/>
  <c r="P258" i="5"/>
  <c r="M259" i="5" s="1"/>
  <c r="K506" i="5"/>
  <c r="L506" i="5" s="1"/>
  <c r="J507" i="5"/>
  <c r="S198" i="4"/>
  <c r="M539" i="4"/>
  <c r="J541" i="4"/>
  <c r="K540" i="4"/>
  <c r="J507" i="7" l="1"/>
  <c r="K506" i="7"/>
  <c r="L506" i="7" s="1"/>
  <c r="Q258" i="7"/>
  <c r="N259" i="7" s="1"/>
  <c r="O259" i="7" s="1"/>
  <c r="R259" i="7" s="1"/>
  <c r="K507" i="5"/>
  <c r="L507" i="5" s="1"/>
  <c r="J508" i="5"/>
  <c r="Q258" i="5"/>
  <c r="N259" i="5" s="1"/>
  <c r="O259" i="5" s="1"/>
  <c r="R259" i="5" s="1"/>
  <c r="O199" i="4"/>
  <c r="T198" i="4"/>
  <c r="P199" i="4" s="1"/>
  <c r="L540" i="4"/>
  <c r="M540" i="4" s="1"/>
  <c r="J542" i="4"/>
  <c r="K541" i="4"/>
  <c r="L541" i="4" s="1"/>
  <c r="P259" i="7" l="1"/>
  <c r="M260" i="7" s="1"/>
  <c r="J508" i="7"/>
  <c r="K507" i="7"/>
  <c r="L507" i="7" s="1"/>
  <c r="P259" i="5"/>
  <c r="M260" i="5" s="1"/>
  <c r="J509" i="5"/>
  <c r="K508" i="5"/>
  <c r="L508" i="5" s="1"/>
  <c r="Q199" i="4"/>
  <c r="U199" i="4" s="1"/>
  <c r="M541" i="4"/>
  <c r="K542" i="4"/>
  <c r="J543" i="4"/>
  <c r="J509" i="7" l="1"/>
  <c r="K508" i="7"/>
  <c r="L508" i="7" s="1"/>
  <c r="Q259" i="7"/>
  <c r="N260" i="7" s="1"/>
  <c r="O260" i="7" s="1"/>
  <c r="R260" i="7" s="1"/>
  <c r="J510" i="5"/>
  <c r="K509" i="5"/>
  <c r="L509" i="5" s="1"/>
  <c r="Q259" i="5"/>
  <c r="N260" i="5" s="1"/>
  <c r="O260" i="5" s="1"/>
  <c r="R260" i="5" s="1"/>
  <c r="R199" i="4"/>
  <c r="N200" i="4" s="1"/>
  <c r="J544" i="4"/>
  <c r="K543" i="4"/>
  <c r="L543" i="4" s="1"/>
  <c r="L542" i="4"/>
  <c r="M542" i="4" s="1"/>
  <c r="P260" i="7" l="1"/>
  <c r="M261" i="7" s="1"/>
  <c r="J510" i="7"/>
  <c r="K509" i="7"/>
  <c r="L509" i="7" s="1"/>
  <c r="S199" i="4"/>
  <c r="O200" i="4" s="1"/>
  <c r="P260" i="5"/>
  <c r="M261" i="5" s="1"/>
  <c r="K510" i="5"/>
  <c r="L510" i="5" s="1"/>
  <c r="J511" i="5"/>
  <c r="M543" i="4"/>
  <c r="K544" i="4"/>
  <c r="L544" i="4" s="1"/>
  <c r="J545" i="4"/>
  <c r="Q260" i="7" l="1"/>
  <c r="N261" i="7" s="1"/>
  <c r="O261" i="7" s="1"/>
  <c r="R261" i="7" s="1"/>
  <c r="J511" i="7"/>
  <c r="K510" i="7"/>
  <c r="L510" i="7" s="1"/>
  <c r="T199" i="4"/>
  <c r="P200" i="4" s="1"/>
  <c r="Q200" i="4" s="1"/>
  <c r="U200" i="4" s="1"/>
  <c r="R200" i="4" s="1"/>
  <c r="N201" i="4" s="1"/>
  <c r="K511" i="5"/>
  <c r="L511" i="5" s="1"/>
  <c r="J512" i="5"/>
  <c r="Q260" i="5"/>
  <c r="N261" i="5" s="1"/>
  <c r="O261" i="5" s="1"/>
  <c r="R261" i="5" s="1"/>
  <c r="M544" i="4"/>
  <c r="J546" i="4"/>
  <c r="K545" i="4"/>
  <c r="P261" i="7" l="1"/>
  <c r="M262" i="7" s="1"/>
  <c r="J512" i="7"/>
  <c r="K511" i="7"/>
  <c r="L511" i="7" s="1"/>
  <c r="P261" i="5"/>
  <c r="M262" i="5" s="1"/>
  <c r="J513" i="5"/>
  <c r="K512" i="5"/>
  <c r="L512" i="5" s="1"/>
  <c r="S200" i="4"/>
  <c r="O201" i="4" s="1"/>
  <c r="L545" i="4"/>
  <c r="M545" i="4" s="1"/>
  <c r="J547" i="4"/>
  <c r="K546" i="4"/>
  <c r="L546" i="4" s="1"/>
  <c r="K512" i="7" l="1"/>
  <c r="L512" i="7" s="1"/>
  <c r="J513" i="7"/>
  <c r="Q261" i="7"/>
  <c r="N262" i="7" s="1"/>
  <c r="O262" i="7" s="1"/>
  <c r="R262" i="7" s="1"/>
  <c r="J514" i="5"/>
  <c r="K513" i="5"/>
  <c r="L513" i="5" s="1"/>
  <c r="Q261" i="5"/>
  <c r="N262" i="5" s="1"/>
  <c r="O262" i="5" s="1"/>
  <c r="R262" i="5" s="1"/>
  <c r="T200" i="4"/>
  <c r="P201" i="4" s="1"/>
  <c r="Q201" i="4" s="1"/>
  <c r="U201" i="4" s="1"/>
  <c r="M546" i="4"/>
  <c r="J548" i="4"/>
  <c r="K547" i="4"/>
  <c r="L547" i="4" s="1"/>
  <c r="P262" i="7" l="1"/>
  <c r="M263" i="7" s="1"/>
  <c r="J514" i="7"/>
  <c r="K513" i="7"/>
  <c r="L513" i="7" s="1"/>
  <c r="P262" i="5"/>
  <c r="M263" i="5" s="1"/>
  <c r="K514" i="5"/>
  <c r="L514" i="5" s="1"/>
  <c r="J515" i="5"/>
  <c r="R201" i="4"/>
  <c r="N202" i="4" s="1"/>
  <c r="M547" i="4"/>
  <c r="J549" i="4"/>
  <c r="K548" i="4"/>
  <c r="J515" i="7" l="1"/>
  <c r="K514" i="7"/>
  <c r="L514" i="7" s="1"/>
  <c r="Q262" i="7"/>
  <c r="N263" i="7" s="1"/>
  <c r="O263" i="7" s="1"/>
  <c r="R263" i="7" s="1"/>
  <c r="Q262" i="5"/>
  <c r="N263" i="5" s="1"/>
  <c r="O263" i="5" s="1"/>
  <c r="R263" i="5" s="1"/>
  <c r="K515" i="5"/>
  <c r="L515" i="5" s="1"/>
  <c r="J516" i="5"/>
  <c r="S201" i="4"/>
  <c r="O202" i="4" s="1"/>
  <c r="L548" i="4"/>
  <c r="M548" i="4" s="1"/>
  <c r="J550" i="4"/>
  <c r="K549" i="4"/>
  <c r="L549" i="4" s="1"/>
  <c r="M549" i="4" s="1"/>
  <c r="P263" i="7" l="1"/>
  <c r="M264" i="7" s="1"/>
  <c r="J516" i="7"/>
  <c r="K515" i="7"/>
  <c r="L515" i="7" s="1"/>
  <c r="K516" i="5"/>
  <c r="L516" i="5" s="1"/>
  <c r="J517" i="5"/>
  <c r="P263" i="5"/>
  <c r="M264" i="5" s="1"/>
  <c r="T201" i="4"/>
  <c r="P202" i="4" s="1"/>
  <c r="Q202" i="4" s="1"/>
  <c r="U202" i="4" s="1"/>
  <c r="K550" i="4"/>
  <c r="J551" i="4"/>
  <c r="J517" i="7" l="1"/>
  <c r="K516" i="7"/>
  <c r="L516" i="7" s="1"/>
  <c r="Q263" i="7"/>
  <c r="N264" i="7" s="1"/>
  <c r="O264" i="7" s="1"/>
  <c r="R264" i="7" s="1"/>
  <c r="Q263" i="5"/>
  <c r="N264" i="5" s="1"/>
  <c r="O264" i="5" s="1"/>
  <c r="R264" i="5" s="1"/>
  <c r="J518" i="5"/>
  <c r="K517" i="5"/>
  <c r="L517" i="5" s="1"/>
  <c r="R202" i="4"/>
  <c r="N203" i="4" s="1"/>
  <c r="L550" i="4"/>
  <c r="M550" i="4" s="1"/>
  <c r="J552" i="4"/>
  <c r="K551" i="4"/>
  <c r="P264" i="7" l="1"/>
  <c r="M265" i="7" s="1"/>
  <c r="J518" i="7"/>
  <c r="K517" i="7"/>
  <c r="L517" i="7" s="1"/>
  <c r="S202" i="4"/>
  <c r="P264" i="5"/>
  <c r="M265" i="5" s="1"/>
  <c r="J519" i="5"/>
  <c r="K518" i="5"/>
  <c r="L518" i="5" s="1"/>
  <c r="J553" i="4"/>
  <c r="K552" i="4"/>
  <c r="L551" i="4"/>
  <c r="M551" i="4" s="1"/>
  <c r="J519" i="7" l="1"/>
  <c r="K518" i="7"/>
  <c r="L518" i="7" s="1"/>
  <c r="Q264" i="7"/>
  <c r="N265" i="7" s="1"/>
  <c r="O265" i="7" s="1"/>
  <c r="R265" i="7" s="1"/>
  <c r="O203" i="4"/>
  <c r="T202" i="4"/>
  <c r="P203" i="4" s="1"/>
  <c r="J520" i="5"/>
  <c r="K519" i="5"/>
  <c r="L519" i="5" s="1"/>
  <c r="Q264" i="5"/>
  <c r="N265" i="5" s="1"/>
  <c r="O265" i="5" s="1"/>
  <c r="R265" i="5" s="1"/>
  <c r="L552" i="4"/>
  <c r="M552" i="4" s="1"/>
  <c r="J554" i="4"/>
  <c r="K553" i="4"/>
  <c r="L553" i="4" s="1"/>
  <c r="P265" i="7" l="1"/>
  <c r="M266" i="7" s="1"/>
  <c r="J520" i="7"/>
  <c r="K519" i="7"/>
  <c r="L519" i="7" s="1"/>
  <c r="Q203" i="4"/>
  <c r="U203" i="4" s="1"/>
  <c r="P265" i="5"/>
  <c r="M266" i="5" s="1"/>
  <c r="K520" i="5"/>
  <c r="L520" i="5" s="1"/>
  <c r="J521" i="5"/>
  <c r="M553" i="4"/>
  <c r="J555" i="4"/>
  <c r="K554" i="4"/>
  <c r="J521" i="7" l="1"/>
  <c r="K520" i="7"/>
  <c r="L520" i="7" s="1"/>
  <c r="Q265" i="7"/>
  <c r="N266" i="7" s="1"/>
  <c r="O266" i="7" s="1"/>
  <c r="R266" i="7" s="1"/>
  <c r="R203" i="4"/>
  <c r="N204" i="4" s="1"/>
  <c r="J522" i="5"/>
  <c r="K521" i="5"/>
  <c r="L521" i="5" s="1"/>
  <c r="Q265" i="5"/>
  <c r="N266" i="5" s="1"/>
  <c r="O266" i="5" s="1"/>
  <c r="R266" i="5" s="1"/>
  <c r="J556" i="4"/>
  <c r="K555" i="4"/>
  <c r="L555" i="4" s="1"/>
  <c r="L554" i="4"/>
  <c r="M554" i="4" s="1"/>
  <c r="P266" i="7" l="1"/>
  <c r="M267" i="7" s="1"/>
  <c r="J522" i="7"/>
  <c r="K521" i="7"/>
  <c r="L521" i="7" s="1"/>
  <c r="S203" i="4"/>
  <c r="O204" i="4" s="1"/>
  <c r="P266" i="5"/>
  <c r="M267" i="5" s="1"/>
  <c r="J523" i="5"/>
  <c r="K522" i="5"/>
  <c r="L522" i="5" s="1"/>
  <c r="M555" i="4"/>
  <c r="J557" i="4"/>
  <c r="K556" i="4"/>
  <c r="J523" i="7" l="1"/>
  <c r="K522" i="7"/>
  <c r="L522" i="7" s="1"/>
  <c r="Q266" i="7"/>
  <c r="N267" i="7" s="1"/>
  <c r="O267" i="7" s="1"/>
  <c r="R267" i="7" s="1"/>
  <c r="T203" i="4"/>
  <c r="P204" i="4" s="1"/>
  <c r="Q204" i="4" s="1"/>
  <c r="U204" i="4" s="1"/>
  <c r="K523" i="5"/>
  <c r="L523" i="5" s="1"/>
  <c r="J524" i="5"/>
  <c r="Q266" i="5"/>
  <c r="N267" i="5" s="1"/>
  <c r="O267" i="5" s="1"/>
  <c r="R267" i="5" s="1"/>
  <c r="L556" i="4"/>
  <c r="M556" i="4" s="1"/>
  <c r="J558" i="4"/>
  <c r="K557" i="4"/>
  <c r="L557" i="4" s="1"/>
  <c r="M557" i="4" s="1"/>
  <c r="P267" i="7" l="1"/>
  <c r="M268" i="7" s="1"/>
  <c r="J524" i="7"/>
  <c r="K523" i="7"/>
  <c r="L523" i="7" s="1"/>
  <c r="R204" i="4"/>
  <c r="N205" i="4" s="1"/>
  <c r="P267" i="5"/>
  <c r="M268" i="5" s="1"/>
  <c r="J525" i="5"/>
  <c r="K524" i="5"/>
  <c r="L524" i="5" s="1"/>
  <c r="J559" i="4"/>
  <c r="K558" i="4"/>
  <c r="Q267" i="7" l="1"/>
  <c r="N268" i="7" s="1"/>
  <c r="K524" i="7"/>
  <c r="L524" i="7" s="1"/>
  <c r="J525" i="7"/>
  <c r="O268" i="7"/>
  <c r="R268" i="7" s="1"/>
  <c r="S204" i="4"/>
  <c r="J526" i="5"/>
  <c r="K525" i="5"/>
  <c r="L525" i="5" s="1"/>
  <c r="Q267" i="5"/>
  <c r="N268" i="5" s="1"/>
  <c r="O268" i="5" s="1"/>
  <c r="R268" i="5" s="1"/>
  <c r="L558" i="4"/>
  <c r="M558" i="4" s="1"/>
  <c r="J560" i="4"/>
  <c r="K559" i="4"/>
  <c r="L559" i="4" s="1"/>
  <c r="M559" i="4" s="1"/>
  <c r="P268" i="7" l="1"/>
  <c r="M269" i="7" s="1"/>
  <c r="J526" i="7"/>
  <c r="K525" i="7"/>
  <c r="L525" i="7" s="1"/>
  <c r="O205" i="4"/>
  <c r="T204" i="4"/>
  <c r="P205" i="4" s="1"/>
  <c r="P268" i="5"/>
  <c r="M269" i="5" s="1"/>
  <c r="J527" i="5"/>
  <c r="K526" i="5"/>
  <c r="L526" i="5" s="1"/>
  <c r="J561" i="4"/>
  <c r="K560" i="4"/>
  <c r="L560" i="4" s="1"/>
  <c r="Q268" i="7" l="1"/>
  <c r="N269" i="7" s="1"/>
  <c r="O269" i="7" s="1"/>
  <c r="R269" i="7" s="1"/>
  <c r="J527" i="7"/>
  <c r="K526" i="7"/>
  <c r="L526" i="7" s="1"/>
  <c r="Q205" i="4"/>
  <c r="U205" i="4" s="1"/>
  <c r="R205" i="4" s="1"/>
  <c r="J528" i="5"/>
  <c r="K527" i="5"/>
  <c r="L527" i="5" s="1"/>
  <c r="Q268" i="5"/>
  <c r="N269" i="5" s="1"/>
  <c r="O269" i="5" s="1"/>
  <c r="R269" i="5" s="1"/>
  <c r="J562" i="4"/>
  <c r="K561" i="4"/>
  <c r="L561" i="4" s="1"/>
  <c r="M560" i="4"/>
  <c r="P269" i="7" l="1"/>
  <c r="M270" i="7" s="1"/>
  <c r="J528" i="7"/>
  <c r="K527" i="7"/>
  <c r="L527" i="7" s="1"/>
  <c r="N206" i="4"/>
  <c r="S205" i="4"/>
  <c r="O206" i="4" s="1"/>
  <c r="P269" i="5"/>
  <c r="M270" i="5" s="1"/>
  <c r="K528" i="5"/>
  <c r="L528" i="5" s="1"/>
  <c r="J529" i="5"/>
  <c r="J563" i="4"/>
  <c r="K562" i="4"/>
  <c r="M561" i="4"/>
  <c r="K528" i="7" l="1"/>
  <c r="L528" i="7" s="1"/>
  <c r="J529" i="7"/>
  <c r="Q269" i="7"/>
  <c r="N270" i="7" s="1"/>
  <c r="O270" i="7" s="1"/>
  <c r="R270" i="7" s="1"/>
  <c r="T205" i="4"/>
  <c r="P206" i="4" s="1"/>
  <c r="Q206" i="4" s="1"/>
  <c r="U206" i="4" s="1"/>
  <c r="R206" i="4" s="1"/>
  <c r="N207" i="4" s="1"/>
  <c r="S206" i="4"/>
  <c r="O207" i="4" s="1"/>
  <c r="J530" i="5"/>
  <c r="K529" i="5"/>
  <c r="L529" i="5" s="1"/>
  <c r="Q269" i="5"/>
  <c r="N270" i="5" s="1"/>
  <c r="O270" i="5" s="1"/>
  <c r="R270" i="5" s="1"/>
  <c r="L562" i="4"/>
  <c r="M562" i="4" s="1"/>
  <c r="J564" i="4"/>
  <c r="K563" i="4"/>
  <c r="L563" i="4" s="1"/>
  <c r="M563" i="4" s="1"/>
  <c r="P270" i="7" l="1"/>
  <c r="M271" i="7" s="1"/>
  <c r="J530" i="7"/>
  <c r="K529" i="7"/>
  <c r="L529" i="7" s="1"/>
  <c r="T206" i="4"/>
  <c r="P207" i="4" s="1"/>
  <c r="P270" i="5"/>
  <c r="M271" i="5" s="1"/>
  <c r="J531" i="5"/>
  <c r="K530" i="5"/>
  <c r="L530" i="5" s="1"/>
  <c r="Q207" i="4"/>
  <c r="U207" i="4" s="1"/>
  <c r="J565" i="4"/>
  <c r="K564" i="4"/>
  <c r="J531" i="7" l="1"/>
  <c r="K530" i="7"/>
  <c r="L530" i="7" s="1"/>
  <c r="Q270" i="7"/>
  <c r="N271" i="7" s="1"/>
  <c r="O271" i="7" s="1"/>
  <c r="R271" i="7" s="1"/>
  <c r="Q270" i="5"/>
  <c r="N271" i="5" s="1"/>
  <c r="O271" i="5" s="1"/>
  <c r="R271" i="5" s="1"/>
  <c r="J532" i="5"/>
  <c r="K531" i="5"/>
  <c r="L531" i="5" s="1"/>
  <c r="R207" i="4"/>
  <c r="N208" i="4" s="1"/>
  <c r="L564" i="4"/>
  <c r="M564" i="4" s="1"/>
  <c r="K565" i="4"/>
  <c r="L565" i="4" s="1"/>
  <c r="J566" i="4"/>
  <c r="P271" i="7" l="1"/>
  <c r="M272" i="7" s="1"/>
  <c r="J532" i="7"/>
  <c r="K531" i="7"/>
  <c r="L531" i="7" s="1"/>
  <c r="S207" i="4"/>
  <c r="O208" i="4" s="1"/>
  <c r="P271" i="5"/>
  <c r="M272" i="5" s="1"/>
  <c r="J533" i="5"/>
  <c r="K532" i="5"/>
  <c r="L532" i="5" s="1"/>
  <c r="K566" i="4"/>
  <c r="L566" i="4" s="1"/>
  <c r="M565" i="4"/>
  <c r="Q271" i="7" l="1"/>
  <c r="N272" i="7" s="1"/>
  <c r="O272" i="7" s="1"/>
  <c r="R272" i="7" s="1"/>
  <c r="J533" i="7"/>
  <c r="K532" i="7"/>
  <c r="L532" i="7" s="1"/>
  <c r="T207" i="4"/>
  <c r="P208" i="4" s="1"/>
  <c r="Q208" i="4" s="1"/>
  <c r="U208" i="4" s="1"/>
  <c r="R208" i="4" s="1"/>
  <c r="N209" i="4" s="1"/>
  <c r="J534" i="5"/>
  <c r="K533" i="5"/>
  <c r="L533" i="5" s="1"/>
  <c r="Q271" i="5"/>
  <c r="N272" i="5" s="1"/>
  <c r="O272" i="5" s="1"/>
  <c r="R272" i="5" s="1"/>
  <c r="M566" i="4"/>
  <c r="P272" i="7" l="1"/>
  <c r="M273" i="7" s="1"/>
  <c r="J534" i="7"/>
  <c r="K533" i="7"/>
  <c r="L533" i="7" s="1"/>
  <c r="S208" i="4"/>
  <c r="O209" i="4" s="1"/>
  <c r="P272" i="5"/>
  <c r="M273" i="5" s="1"/>
  <c r="J535" i="5"/>
  <c r="K534" i="5"/>
  <c r="L534" i="5" s="1"/>
  <c r="T208" i="4"/>
  <c r="P209" i="4" s="1"/>
  <c r="Q272" i="7" l="1"/>
  <c r="N273" i="7" s="1"/>
  <c r="O273" i="7" s="1"/>
  <c r="R273" i="7" s="1"/>
  <c r="J535" i="7"/>
  <c r="K534" i="7"/>
  <c r="L534" i="7" s="1"/>
  <c r="J536" i="5"/>
  <c r="K535" i="5"/>
  <c r="L535" i="5" s="1"/>
  <c r="Q272" i="5"/>
  <c r="N273" i="5" s="1"/>
  <c r="O273" i="5" s="1"/>
  <c r="R273" i="5" s="1"/>
  <c r="Q209" i="4"/>
  <c r="U209" i="4" s="1"/>
  <c r="P273" i="7" l="1"/>
  <c r="M274" i="7" s="1"/>
  <c r="J536" i="7"/>
  <c r="K535" i="7"/>
  <c r="L535" i="7" s="1"/>
  <c r="P273" i="5"/>
  <c r="M274" i="5" s="1"/>
  <c r="K536" i="5"/>
  <c r="L536" i="5" s="1"/>
  <c r="J537" i="5"/>
  <c r="R209" i="4"/>
  <c r="N210" i="4" s="1"/>
  <c r="J537" i="7" l="1"/>
  <c r="K536" i="7"/>
  <c r="L536" i="7" s="1"/>
  <c r="Q273" i="7"/>
  <c r="N274" i="7" s="1"/>
  <c r="O274" i="7" s="1"/>
  <c r="R274" i="7" s="1"/>
  <c r="K537" i="5"/>
  <c r="L537" i="5" s="1"/>
  <c r="J538" i="5"/>
  <c r="Q273" i="5"/>
  <c r="N274" i="5" s="1"/>
  <c r="O274" i="5" s="1"/>
  <c r="R274" i="5" s="1"/>
  <c r="S209" i="4"/>
  <c r="O210" i="4" s="1"/>
  <c r="P274" i="7" l="1"/>
  <c r="M275" i="7" s="1"/>
  <c r="K537" i="7"/>
  <c r="L537" i="7" s="1"/>
  <c r="J538" i="7"/>
  <c r="P274" i="5"/>
  <c r="M275" i="5" s="1"/>
  <c r="K538" i="5"/>
  <c r="L538" i="5" s="1"/>
  <c r="J539" i="5"/>
  <c r="T209" i="4"/>
  <c r="P210" i="4" s="1"/>
  <c r="Q210" i="4" s="1"/>
  <c r="U210" i="4" s="1"/>
  <c r="Q274" i="7" l="1"/>
  <c r="N275" i="7" s="1"/>
  <c r="O275" i="7" s="1"/>
  <c r="R275" i="7" s="1"/>
  <c r="J539" i="7"/>
  <c r="K538" i="7"/>
  <c r="L538" i="7" s="1"/>
  <c r="J540" i="5"/>
  <c r="K539" i="5"/>
  <c r="L539" i="5" s="1"/>
  <c r="Q274" i="5"/>
  <c r="N275" i="5" s="1"/>
  <c r="O275" i="5" s="1"/>
  <c r="R275" i="5" s="1"/>
  <c r="R210" i="4"/>
  <c r="N211" i="4" s="1"/>
  <c r="P275" i="7" l="1"/>
  <c r="M276" i="7" s="1"/>
  <c r="J540" i="7"/>
  <c r="K539" i="7"/>
  <c r="L539" i="7" s="1"/>
  <c r="P275" i="5"/>
  <c r="M276" i="5" s="1"/>
  <c r="J541" i="5"/>
  <c r="K540" i="5"/>
  <c r="L540" i="5" s="1"/>
  <c r="S210" i="4"/>
  <c r="O211" i="4" s="1"/>
  <c r="J541" i="7" l="1"/>
  <c r="K540" i="7"/>
  <c r="L540" i="7" s="1"/>
  <c r="Q275" i="7"/>
  <c r="N276" i="7" s="1"/>
  <c r="O276" i="7" s="1"/>
  <c r="R276" i="7" s="1"/>
  <c r="J542" i="5"/>
  <c r="K541" i="5"/>
  <c r="L541" i="5" s="1"/>
  <c r="Q275" i="5"/>
  <c r="N276" i="5" s="1"/>
  <c r="O276" i="5" s="1"/>
  <c r="R276" i="5" s="1"/>
  <c r="T210" i="4"/>
  <c r="P211" i="4" s="1"/>
  <c r="Q211" i="4" s="1"/>
  <c r="U211" i="4" s="1"/>
  <c r="P276" i="7" l="1"/>
  <c r="M277" i="7" s="1"/>
  <c r="J542" i="7"/>
  <c r="K541" i="7"/>
  <c r="L541" i="7" s="1"/>
  <c r="P276" i="5"/>
  <c r="M277" i="5" s="1"/>
  <c r="J543" i="5"/>
  <c r="K542" i="5"/>
  <c r="L542" i="5" s="1"/>
  <c r="R211" i="4"/>
  <c r="N212" i="4" s="1"/>
  <c r="J543" i="7" l="1"/>
  <c r="K542" i="7"/>
  <c r="L542" i="7" s="1"/>
  <c r="Q276" i="7"/>
  <c r="N277" i="7" s="1"/>
  <c r="O277" i="7" s="1"/>
  <c r="R277" i="7" s="1"/>
  <c r="J544" i="5"/>
  <c r="K543" i="5"/>
  <c r="L543" i="5" s="1"/>
  <c r="Q276" i="5"/>
  <c r="N277" i="5" s="1"/>
  <c r="O277" i="5" s="1"/>
  <c r="R277" i="5" s="1"/>
  <c r="S211" i="4"/>
  <c r="O212" i="4" s="1"/>
  <c r="P277" i="7" l="1"/>
  <c r="M278" i="7" s="1"/>
  <c r="J544" i="7"/>
  <c r="K543" i="7"/>
  <c r="L543" i="7" s="1"/>
  <c r="T211" i="4"/>
  <c r="P212" i="4" s="1"/>
  <c r="Q212" i="4" s="1"/>
  <c r="U212" i="4" s="1"/>
  <c r="R212" i="4" s="1"/>
  <c r="N213" i="4" s="1"/>
  <c r="P277" i="5"/>
  <c r="M278" i="5" s="1"/>
  <c r="K544" i="5"/>
  <c r="L544" i="5" s="1"/>
  <c r="J545" i="5"/>
  <c r="J545" i="7" l="1"/>
  <c r="K544" i="7"/>
  <c r="L544" i="7" s="1"/>
  <c r="Q277" i="7"/>
  <c r="N278" i="7" s="1"/>
  <c r="O278" i="7" s="1"/>
  <c r="R278" i="7" s="1"/>
  <c r="J546" i="5"/>
  <c r="K545" i="5"/>
  <c r="L545" i="5" s="1"/>
  <c r="Q277" i="5"/>
  <c r="N278" i="5" s="1"/>
  <c r="O278" i="5" s="1"/>
  <c r="R278" i="5" s="1"/>
  <c r="S212" i="4"/>
  <c r="P278" i="7" l="1"/>
  <c r="M279" i="7" s="1"/>
  <c r="K545" i="7"/>
  <c r="L545" i="7" s="1"/>
  <c r="J546" i="7"/>
  <c r="P278" i="5"/>
  <c r="M279" i="5" s="1"/>
  <c r="K546" i="5"/>
  <c r="L546" i="5" s="1"/>
  <c r="J547" i="5"/>
  <c r="O213" i="4"/>
  <c r="T212" i="4"/>
  <c r="P213" i="4" s="1"/>
  <c r="Q213" i="4" s="1"/>
  <c r="U213" i="4" s="1"/>
  <c r="Q278" i="7" l="1"/>
  <c r="N279" i="7" s="1"/>
  <c r="O279" i="7" s="1"/>
  <c r="R279" i="7" s="1"/>
  <c r="J547" i="7"/>
  <c r="K546" i="7"/>
  <c r="L546" i="7" s="1"/>
  <c r="J548" i="5"/>
  <c r="K547" i="5"/>
  <c r="L547" i="5" s="1"/>
  <c r="Q278" i="5"/>
  <c r="N279" i="5" s="1"/>
  <c r="O279" i="5" s="1"/>
  <c r="R279" i="5" s="1"/>
  <c r="R213" i="4"/>
  <c r="N214" i="4" s="1"/>
  <c r="P279" i="7" l="1"/>
  <c r="M280" i="7" s="1"/>
  <c r="J548" i="7"/>
  <c r="K547" i="7"/>
  <c r="L547" i="7" s="1"/>
  <c r="P279" i="5"/>
  <c r="M280" i="5" s="1"/>
  <c r="J549" i="5"/>
  <c r="K548" i="5"/>
  <c r="L548" i="5" s="1"/>
  <c r="S213" i="4"/>
  <c r="O214" i="4" s="1"/>
  <c r="Q279" i="7" l="1"/>
  <c r="N280" i="7" s="1"/>
  <c r="J549" i="7"/>
  <c r="K548" i="7"/>
  <c r="L548" i="7" s="1"/>
  <c r="O280" i="7"/>
  <c r="R280" i="7" s="1"/>
  <c r="J550" i="5"/>
  <c r="K549" i="5"/>
  <c r="L549" i="5" s="1"/>
  <c r="Q279" i="5"/>
  <c r="N280" i="5" s="1"/>
  <c r="O280" i="5" s="1"/>
  <c r="R280" i="5" s="1"/>
  <c r="T213" i="4"/>
  <c r="P214" i="4" s="1"/>
  <c r="Q214" i="4" s="1"/>
  <c r="U214" i="4" s="1"/>
  <c r="P280" i="7" l="1"/>
  <c r="M281" i="7" s="1"/>
  <c r="J550" i="7"/>
  <c r="K549" i="7"/>
  <c r="L549" i="7" s="1"/>
  <c r="P280" i="5"/>
  <c r="M281" i="5" s="1"/>
  <c r="J551" i="5"/>
  <c r="K550" i="5"/>
  <c r="L550" i="5" s="1"/>
  <c r="R214" i="4"/>
  <c r="N215" i="4" s="1"/>
  <c r="J551" i="7" l="1"/>
  <c r="K550" i="7"/>
  <c r="L550" i="7" s="1"/>
  <c r="Q280" i="7"/>
  <c r="N281" i="7" s="1"/>
  <c r="O281" i="7" s="1"/>
  <c r="R281" i="7" s="1"/>
  <c r="J552" i="5"/>
  <c r="K551" i="5"/>
  <c r="L551" i="5" s="1"/>
  <c r="Q280" i="5"/>
  <c r="N281" i="5" s="1"/>
  <c r="O281" i="5" s="1"/>
  <c r="R281" i="5" s="1"/>
  <c r="S214" i="4"/>
  <c r="O215" i="4" s="1"/>
  <c r="P281" i="7" l="1"/>
  <c r="M282" i="7" s="1"/>
  <c r="J552" i="7"/>
  <c r="K551" i="7"/>
  <c r="L551" i="7" s="1"/>
  <c r="P281" i="5"/>
  <c r="M282" i="5" s="1"/>
  <c r="K552" i="5"/>
  <c r="L552" i="5" s="1"/>
  <c r="J553" i="5"/>
  <c r="T214" i="4"/>
  <c r="P215" i="4" s="1"/>
  <c r="Q215" i="4" s="1"/>
  <c r="U215" i="4" s="1"/>
  <c r="J553" i="7" l="1"/>
  <c r="K552" i="7"/>
  <c r="L552" i="7" s="1"/>
  <c r="Q281" i="7"/>
  <c r="N282" i="7" s="1"/>
  <c r="O282" i="7" s="1"/>
  <c r="R282" i="7" s="1"/>
  <c r="J554" i="5"/>
  <c r="K553" i="5"/>
  <c r="L553" i="5" s="1"/>
  <c r="Q281" i="5"/>
  <c r="N282" i="5" s="1"/>
  <c r="O282" i="5" s="1"/>
  <c r="R282" i="5" s="1"/>
  <c r="R215" i="4"/>
  <c r="N216" i="4" s="1"/>
  <c r="P282" i="7" l="1"/>
  <c r="M283" i="7" s="1"/>
  <c r="K553" i="7"/>
  <c r="L553" i="7" s="1"/>
  <c r="J554" i="7"/>
  <c r="P282" i="5"/>
  <c r="M283" i="5" s="1"/>
  <c r="J555" i="5"/>
  <c r="K554" i="5"/>
  <c r="L554" i="5" s="1"/>
  <c r="S215" i="4"/>
  <c r="O216" i="4" s="1"/>
  <c r="J555" i="7" l="1"/>
  <c r="K554" i="7"/>
  <c r="L554" i="7" s="1"/>
  <c r="Q282" i="7"/>
  <c r="N283" i="7" s="1"/>
  <c r="O283" i="7" s="1"/>
  <c r="R283" i="7" s="1"/>
  <c r="J556" i="5"/>
  <c r="K555" i="5"/>
  <c r="L555" i="5" s="1"/>
  <c r="Q282" i="5"/>
  <c r="N283" i="5" s="1"/>
  <c r="O283" i="5" s="1"/>
  <c r="R283" i="5" s="1"/>
  <c r="T215" i="4"/>
  <c r="P216" i="4" s="1"/>
  <c r="Q216" i="4" s="1"/>
  <c r="U216" i="4" s="1"/>
  <c r="P283" i="7" l="1"/>
  <c r="M284" i="7" s="1"/>
  <c r="J556" i="7"/>
  <c r="K555" i="7"/>
  <c r="L555" i="7" s="1"/>
  <c r="P283" i="5"/>
  <c r="M284" i="5" s="1"/>
  <c r="J557" i="5"/>
  <c r="K556" i="5"/>
  <c r="L556" i="5" s="1"/>
  <c r="R216" i="4"/>
  <c r="N217" i="4" s="1"/>
  <c r="J557" i="7" l="1"/>
  <c r="K556" i="7"/>
  <c r="L556" i="7" s="1"/>
  <c r="Q283" i="7"/>
  <c r="N284" i="7" s="1"/>
  <c r="O284" i="7" s="1"/>
  <c r="R284" i="7" s="1"/>
  <c r="J558" i="5"/>
  <c r="K557" i="5"/>
  <c r="L557" i="5" s="1"/>
  <c r="Q283" i="5"/>
  <c r="N284" i="5" s="1"/>
  <c r="O284" i="5" s="1"/>
  <c r="R284" i="5" s="1"/>
  <c r="S216" i="4"/>
  <c r="O217" i="4" s="1"/>
  <c r="P284" i="7" l="1"/>
  <c r="M285" i="7" s="1"/>
  <c r="J558" i="7"/>
  <c r="K557" i="7"/>
  <c r="L557" i="7" s="1"/>
  <c r="P284" i="5"/>
  <c r="M285" i="5" s="1"/>
  <c r="J559" i="5"/>
  <c r="K558" i="5"/>
  <c r="L558" i="5" s="1"/>
  <c r="T216" i="4"/>
  <c r="P217" i="4" s="1"/>
  <c r="Q217" i="4" s="1"/>
  <c r="U217" i="4" s="1"/>
  <c r="J559" i="7" l="1"/>
  <c r="K558" i="7"/>
  <c r="L558" i="7" s="1"/>
  <c r="Q284" i="7"/>
  <c r="N285" i="7" s="1"/>
  <c r="O285" i="7" s="1"/>
  <c r="R285" i="7" s="1"/>
  <c r="J560" i="5"/>
  <c r="K559" i="5"/>
  <c r="L559" i="5" s="1"/>
  <c r="Q284" i="5"/>
  <c r="N285" i="5" s="1"/>
  <c r="O285" i="5" s="1"/>
  <c r="R285" i="5" s="1"/>
  <c r="R217" i="4"/>
  <c r="N218" i="4" s="1"/>
  <c r="P285" i="7" l="1"/>
  <c r="M286" i="7" s="1"/>
  <c r="J560" i="7"/>
  <c r="K559" i="7"/>
  <c r="L559" i="7" s="1"/>
  <c r="P285" i="5"/>
  <c r="M286" i="5" s="1"/>
  <c r="J561" i="5"/>
  <c r="K560" i="5"/>
  <c r="L560" i="5" s="1"/>
  <c r="S217" i="4"/>
  <c r="O218" i="4" s="1"/>
  <c r="J561" i="7" l="1"/>
  <c r="K560" i="7"/>
  <c r="L560" i="7" s="1"/>
  <c r="Q285" i="7"/>
  <c r="N286" i="7" s="1"/>
  <c r="O286" i="7" s="1"/>
  <c r="R286" i="7" s="1"/>
  <c r="J562" i="5"/>
  <c r="K561" i="5"/>
  <c r="L561" i="5" s="1"/>
  <c r="Q285" i="5"/>
  <c r="N286" i="5" s="1"/>
  <c r="O286" i="5" s="1"/>
  <c r="R286" i="5" s="1"/>
  <c r="T217" i="4"/>
  <c r="P218" i="4" s="1"/>
  <c r="Q218" i="4" s="1"/>
  <c r="U218" i="4" s="1"/>
  <c r="P286" i="7" l="1"/>
  <c r="M287" i="7" s="1"/>
  <c r="J562" i="7"/>
  <c r="K561" i="7"/>
  <c r="L561" i="7" s="1"/>
  <c r="P286" i="5"/>
  <c r="M287" i="5" s="1"/>
  <c r="J563" i="5"/>
  <c r="K562" i="5"/>
  <c r="L562" i="5" s="1"/>
  <c r="R218" i="4"/>
  <c r="N219" i="4" s="1"/>
  <c r="J563" i="7" l="1"/>
  <c r="K562" i="7"/>
  <c r="L562" i="7" s="1"/>
  <c r="Q286" i="7"/>
  <c r="N287" i="7" s="1"/>
  <c r="O287" i="7" s="1"/>
  <c r="R287" i="7" s="1"/>
  <c r="J564" i="5"/>
  <c r="K563" i="5"/>
  <c r="L563" i="5" s="1"/>
  <c r="Q286" i="5"/>
  <c r="N287" i="5" s="1"/>
  <c r="O287" i="5" s="1"/>
  <c r="R287" i="5" s="1"/>
  <c r="S218" i="4"/>
  <c r="O219" i="4" s="1"/>
  <c r="P287" i="7" l="1"/>
  <c r="M288" i="7" s="1"/>
  <c r="J564" i="7"/>
  <c r="K563" i="7"/>
  <c r="L563" i="7" s="1"/>
  <c r="P287" i="5"/>
  <c r="M288" i="5" s="1"/>
  <c r="J565" i="5"/>
  <c r="K564" i="5"/>
  <c r="L564" i="5" s="1"/>
  <c r="T218" i="4"/>
  <c r="P219" i="4" s="1"/>
  <c r="Q219" i="4" s="1"/>
  <c r="U219" i="4" s="1"/>
  <c r="J565" i="7" l="1"/>
  <c r="K564" i="7"/>
  <c r="L564" i="7" s="1"/>
  <c r="Q287" i="7"/>
  <c r="N288" i="7" s="1"/>
  <c r="O288" i="7" s="1"/>
  <c r="R288" i="7" s="1"/>
  <c r="K565" i="5"/>
  <c r="L565" i="5" s="1"/>
  <c r="Q287" i="5"/>
  <c r="N288" i="5" s="1"/>
  <c r="O288" i="5" s="1"/>
  <c r="R288" i="5" s="1"/>
  <c r="R219" i="4"/>
  <c r="N220" i="4" s="1"/>
  <c r="P288" i="7" l="1"/>
  <c r="M289" i="7" s="1"/>
  <c r="K565" i="7"/>
  <c r="L565" i="7" s="1"/>
  <c r="P288" i="5"/>
  <c r="M289" i="5" s="1"/>
  <c r="S219" i="4"/>
  <c r="O220" i="4" s="1"/>
  <c r="Q288" i="7" l="1"/>
  <c r="N289" i="7" s="1"/>
  <c r="O289" i="7" s="1"/>
  <c r="R289" i="7" s="1"/>
  <c r="Q288" i="5"/>
  <c r="N289" i="5" s="1"/>
  <c r="O289" i="5" s="1"/>
  <c r="R289" i="5" s="1"/>
  <c r="T219" i="4"/>
  <c r="P220" i="4" s="1"/>
  <c r="Q220" i="4" s="1"/>
  <c r="U220" i="4" s="1"/>
  <c r="P289" i="7" l="1"/>
  <c r="M290" i="7" s="1"/>
  <c r="P289" i="5"/>
  <c r="M290" i="5" s="1"/>
  <c r="R220" i="4"/>
  <c r="N221" i="4" s="1"/>
  <c r="Q289" i="7" l="1"/>
  <c r="N290" i="7" s="1"/>
  <c r="O290" i="7" s="1"/>
  <c r="R290" i="7" s="1"/>
  <c r="Q289" i="5"/>
  <c r="N290" i="5" s="1"/>
  <c r="O290" i="5" s="1"/>
  <c r="R290" i="5" s="1"/>
  <c r="S220" i="4"/>
  <c r="O221" i="4" s="1"/>
  <c r="P290" i="7" l="1"/>
  <c r="M291" i="7" s="1"/>
  <c r="P290" i="5"/>
  <c r="M291" i="5" s="1"/>
  <c r="T220" i="4"/>
  <c r="P221" i="4" s="1"/>
  <c r="Q221" i="4" s="1"/>
  <c r="U221" i="4" s="1"/>
  <c r="Q290" i="7" l="1"/>
  <c r="N291" i="7" s="1"/>
  <c r="O291" i="7" s="1"/>
  <c r="R291" i="7" s="1"/>
  <c r="Q290" i="5"/>
  <c r="N291" i="5" s="1"/>
  <c r="O291" i="5" s="1"/>
  <c r="R291" i="5" s="1"/>
  <c r="R221" i="4"/>
  <c r="N222" i="4" s="1"/>
  <c r="P291" i="7" l="1"/>
  <c r="M292" i="7" s="1"/>
  <c r="P291" i="5"/>
  <c r="M292" i="5" s="1"/>
  <c r="S221" i="4"/>
  <c r="Q291" i="7" l="1"/>
  <c r="N292" i="7" s="1"/>
  <c r="O292" i="7" s="1"/>
  <c r="R292" i="7" s="1"/>
  <c r="Q291" i="5"/>
  <c r="N292" i="5" s="1"/>
  <c r="O292" i="5" s="1"/>
  <c r="R292" i="5" s="1"/>
  <c r="O222" i="4"/>
  <c r="T221" i="4"/>
  <c r="P222" i="4" s="1"/>
  <c r="P292" i="7" l="1"/>
  <c r="M293" i="7" s="1"/>
  <c r="P292" i="5"/>
  <c r="M293" i="5" s="1"/>
  <c r="Q222" i="4"/>
  <c r="U222" i="4" s="1"/>
  <c r="Q292" i="7" l="1"/>
  <c r="N293" i="7" s="1"/>
  <c r="O293" i="7" s="1"/>
  <c r="R293" i="7" s="1"/>
  <c r="Q292" i="5"/>
  <c r="N293" i="5" s="1"/>
  <c r="O293" i="5" s="1"/>
  <c r="R293" i="5" s="1"/>
  <c r="R222" i="4"/>
  <c r="N223" i="4" s="1"/>
  <c r="P293" i="7" l="1"/>
  <c r="M294" i="7" s="1"/>
  <c r="P293" i="5"/>
  <c r="M294" i="5" s="1"/>
  <c r="S222" i="4"/>
  <c r="O223" i="4" s="1"/>
  <c r="Q293" i="7" l="1"/>
  <c r="N294" i="7" s="1"/>
  <c r="O294" i="7" s="1"/>
  <c r="R294" i="7" s="1"/>
  <c r="Q293" i="5"/>
  <c r="N294" i="5" s="1"/>
  <c r="O294" i="5" s="1"/>
  <c r="R294" i="5" s="1"/>
  <c r="T222" i="4"/>
  <c r="P223" i="4" s="1"/>
  <c r="Q223" i="4" s="1"/>
  <c r="U223" i="4" s="1"/>
  <c r="P294" i="7" l="1"/>
  <c r="M295" i="7" s="1"/>
  <c r="P294" i="5"/>
  <c r="M295" i="5" s="1"/>
  <c r="R223" i="4"/>
  <c r="N224" i="4" s="1"/>
  <c r="Q294" i="7" l="1"/>
  <c r="N295" i="7" s="1"/>
  <c r="O295" i="7" s="1"/>
  <c r="R295" i="7" s="1"/>
  <c r="Q294" i="5"/>
  <c r="N295" i="5" s="1"/>
  <c r="O295" i="5" s="1"/>
  <c r="R295" i="5" s="1"/>
  <c r="S223" i="4"/>
  <c r="O224" i="4" s="1"/>
  <c r="P295" i="7" l="1"/>
  <c r="M296" i="7" s="1"/>
  <c r="P295" i="5"/>
  <c r="M296" i="5" s="1"/>
  <c r="T223" i="4"/>
  <c r="P224" i="4" s="1"/>
  <c r="Q224" i="4" s="1"/>
  <c r="U224" i="4" s="1"/>
  <c r="Q295" i="7" l="1"/>
  <c r="N296" i="7" s="1"/>
  <c r="O296" i="7" s="1"/>
  <c r="R296" i="7" s="1"/>
  <c r="Q295" i="5"/>
  <c r="N296" i="5" s="1"/>
  <c r="O296" i="5" s="1"/>
  <c r="R296" i="5" s="1"/>
  <c r="R224" i="4"/>
  <c r="N225" i="4" s="1"/>
  <c r="P296" i="7" l="1"/>
  <c r="M297" i="7" s="1"/>
  <c r="P296" i="5"/>
  <c r="M297" i="5" s="1"/>
  <c r="S224" i="4"/>
  <c r="Q296" i="7" l="1"/>
  <c r="N297" i="7" s="1"/>
  <c r="O297" i="7" s="1"/>
  <c r="R297" i="7" s="1"/>
  <c r="Q296" i="5"/>
  <c r="N297" i="5" s="1"/>
  <c r="O297" i="5" s="1"/>
  <c r="R297" i="5" s="1"/>
  <c r="O225" i="4"/>
  <c r="T224" i="4"/>
  <c r="P225" i="4" s="1"/>
  <c r="P297" i="7" l="1"/>
  <c r="M298" i="7" s="1"/>
  <c r="P297" i="5"/>
  <c r="M298" i="5" s="1"/>
  <c r="Q225" i="4"/>
  <c r="U225" i="4" s="1"/>
  <c r="Q297" i="7" l="1"/>
  <c r="N298" i="7" s="1"/>
  <c r="O298" i="7" s="1"/>
  <c r="R298" i="7" s="1"/>
  <c r="Q297" i="5"/>
  <c r="N298" i="5" s="1"/>
  <c r="O298" i="5" s="1"/>
  <c r="R298" i="5" s="1"/>
  <c r="R225" i="4"/>
  <c r="N226" i="4" s="1"/>
  <c r="S225" i="4"/>
  <c r="O226" i="4" s="1"/>
  <c r="P298" i="7" l="1"/>
  <c r="M299" i="7" s="1"/>
  <c r="P298" i="5"/>
  <c r="M299" i="5" s="1"/>
  <c r="T225" i="4"/>
  <c r="P226" i="4" s="1"/>
  <c r="Q226" i="4" s="1"/>
  <c r="U226" i="4" s="1"/>
  <c r="Q298" i="7" l="1"/>
  <c r="N299" i="7" s="1"/>
  <c r="O299" i="7" s="1"/>
  <c r="R299" i="7" s="1"/>
  <c r="Q298" i="5"/>
  <c r="N299" i="5" s="1"/>
  <c r="O299" i="5" s="1"/>
  <c r="R299" i="5" s="1"/>
  <c r="R226" i="4"/>
  <c r="N227" i="4" s="1"/>
  <c r="P299" i="7" l="1"/>
  <c r="M300" i="7" s="1"/>
  <c r="P299" i="5"/>
  <c r="M300" i="5" s="1"/>
  <c r="S226" i="4"/>
  <c r="O227" i="4" s="1"/>
  <c r="Q299" i="7" l="1"/>
  <c r="N300" i="7" s="1"/>
  <c r="O300" i="7" s="1"/>
  <c r="R300" i="7" s="1"/>
  <c r="Q299" i="5"/>
  <c r="N300" i="5" s="1"/>
  <c r="O300" i="5" s="1"/>
  <c r="R300" i="5" s="1"/>
  <c r="T226" i="4"/>
  <c r="P227" i="4" s="1"/>
  <c r="Q227" i="4" s="1"/>
  <c r="U227" i="4" s="1"/>
  <c r="P300" i="7" l="1"/>
  <c r="M301" i="7" s="1"/>
  <c r="P300" i="5"/>
  <c r="M301" i="5" s="1"/>
  <c r="R227" i="4"/>
  <c r="N228" i="4" s="1"/>
  <c r="Q300" i="7" l="1"/>
  <c r="N301" i="7" s="1"/>
  <c r="O301" i="7" s="1"/>
  <c r="R301" i="7" s="1"/>
  <c r="S227" i="4"/>
  <c r="Q300" i="5"/>
  <c r="N301" i="5" s="1"/>
  <c r="O301" i="5" s="1"/>
  <c r="R301" i="5" s="1"/>
  <c r="P301" i="7" l="1"/>
  <c r="M302" i="7" s="1"/>
  <c r="O228" i="4"/>
  <c r="T227" i="4"/>
  <c r="P228" i="4" s="1"/>
  <c r="Q228" i="4" s="1"/>
  <c r="U228" i="4" s="1"/>
  <c r="P301" i="5"/>
  <c r="M302" i="5" s="1"/>
  <c r="Q301" i="7" l="1"/>
  <c r="N302" i="7" s="1"/>
  <c r="O302" i="7" s="1"/>
  <c r="R302" i="7" s="1"/>
  <c r="R228" i="4"/>
  <c r="N229" i="4" s="1"/>
  <c r="S228" i="4"/>
  <c r="O229" i="4" s="1"/>
  <c r="Q301" i="5"/>
  <c r="N302" i="5" s="1"/>
  <c r="O302" i="5" s="1"/>
  <c r="R302" i="5" s="1"/>
  <c r="P302" i="7" l="1"/>
  <c r="M303" i="7" s="1"/>
  <c r="T228" i="4"/>
  <c r="P229" i="4" s="1"/>
  <c r="Q229" i="4" s="1"/>
  <c r="U229" i="4" s="1"/>
  <c r="P302" i="5"/>
  <c r="M303" i="5" s="1"/>
  <c r="Q302" i="7" l="1"/>
  <c r="N303" i="7" s="1"/>
  <c r="O303" i="7" s="1"/>
  <c r="R303" i="7" s="1"/>
  <c r="R229" i="4"/>
  <c r="N230" i="4" s="1"/>
  <c r="Q302" i="5"/>
  <c r="N303" i="5" s="1"/>
  <c r="O303" i="5" s="1"/>
  <c r="R303" i="5" s="1"/>
  <c r="P303" i="7" l="1"/>
  <c r="M304" i="7" s="1"/>
  <c r="S229" i="4"/>
  <c r="O230" i="4" s="1"/>
  <c r="P303" i="5"/>
  <c r="M304" i="5" s="1"/>
  <c r="Q303" i="7" l="1"/>
  <c r="N304" i="7" s="1"/>
  <c r="O304" i="7" s="1"/>
  <c r="R304" i="7" s="1"/>
  <c r="T229" i="4"/>
  <c r="P230" i="4" s="1"/>
  <c r="Q230" i="4" s="1"/>
  <c r="U230" i="4" s="1"/>
  <c r="Q303" i="5"/>
  <c r="N304" i="5" s="1"/>
  <c r="O304" i="5" s="1"/>
  <c r="R304" i="5" s="1"/>
  <c r="P304" i="7" l="1"/>
  <c r="M305" i="7" s="1"/>
  <c r="R230" i="4"/>
  <c r="N231" i="4" s="1"/>
  <c r="P304" i="5"/>
  <c r="M305" i="5" s="1"/>
  <c r="Q304" i="7" l="1"/>
  <c r="N305" i="7" s="1"/>
  <c r="O305" i="7" s="1"/>
  <c r="R305" i="7" s="1"/>
  <c r="S230" i="4"/>
  <c r="O231" i="4" s="1"/>
  <c r="Q304" i="5"/>
  <c r="N305" i="5" s="1"/>
  <c r="O305" i="5" s="1"/>
  <c r="R305" i="5" s="1"/>
  <c r="P305" i="7" l="1"/>
  <c r="M306" i="7" s="1"/>
  <c r="T230" i="4"/>
  <c r="P231" i="4" s="1"/>
  <c r="Q231" i="4" s="1"/>
  <c r="U231" i="4" s="1"/>
  <c r="R231" i="4" s="1"/>
  <c r="N232" i="4" s="1"/>
  <c r="P305" i="5"/>
  <c r="M306" i="5" s="1"/>
  <c r="Q305" i="7" l="1"/>
  <c r="N306" i="7" s="1"/>
  <c r="O306" i="7" s="1"/>
  <c r="R306" i="7" s="1"/>
  <c r="S231" i="4"/>
  <c r="O232" i="4" s="1"/>
  <c r="Q305" i="5"/>
  <c r="N306" i="5" s="1"/>
  <c r="O306" i="5" s="1"/>
  <c r="R306" i="5" s="1"/>
  <c r="P306" i="7" l="1"/>
  <c r="M307" i="7" s="1"/>
  <c r="T231" i="4"/>
  <c r="P232" i="4" s="1"/>
  <c r="Q232" i="4" s="1"/>
  <c r="U232" i="4" s="1"/>
  <c r="P306" i="5"/>
  <c r="M307" i="5" s="1"/>
  <c r="Q306" i="7" l="1"/>
  <c r="N307" i="7" s="1"/>
  <c r="O307" i="7" s="1"/>
  <c r="R307" i="7" s="1"/>
  <c r="R232" i="4"/>
  <c r="N233" i="4" s="1"/>
  <c r="Q306" i="5"/>
  <c r="N307" i="5" s="1"/>
  <c r="O307" i="5" s="1"/>
  <c r="R307" i="5" s="1"/>
  <c r="P307" i="7" l="1"/>
  <c r="M308" i="7" s="1"/>
  <c r="S232" i="4"/>
  <c r="O233" i="4" s="1"/>
  <c r="P307" i="5"/>
  <c r="M308" i="5" s="1"/>
  <c r="Q307" i="7" l="1"/>
  <c r="N308" i="7" s="1"/>
  <c r="O308" i="7" s="1"/>
  <c r="R308" i="7" s="1"/>
  <c r="T232" i="4"/>
  <c r="P233" i="4" s="1"/>
  <c r="Q233" i="4" s="1"/>
  <c r="U233" i="4" s="1"/>
  <c r="Q307" i="5"/>
  <c r="N308" i="5" s="1"/>
  <c r="O308" i="5" s="1"/>
  <c r="R308" i="5" s="1"/>
  <c r="P308" i="7" l="1"/>
  <c r="M309" i="7" s="1"/>
  <c r="R233" i="4"/>
  <c r="N234" i="4" s="1"/>
  <c r="S233" i="4"/>
  <c r="O234" i="4" s="1"/>
  <c r="P308" i="5"/>
  <c r="M309" i="5" s="1"/>
  <c r="Q308" i="7" l="1"/>
  <c r="N309" i="7" s="1"/>
  <c r="O309" i="7" s="1"/>
  <c r="R309" i="7" s="1"/>
  <c r="T233" i="4"/>
  <c r="P234" i="4" s="1"/>
  <c r="Q234" i="4" s="1"/>
  <c r="U234" i="4" s="1"/>
  <c r="Q308" i="5"/>
  <c r="N309" i="5" s="1"/>
  <c r="O309" i="5" s="1"/>
  <c r="R309" i="5" s="1"/>
  <c r="P309" i="7" l="1"/>
  <c r="M310" i="7" s="1"/>
  <c r="R234" i="4"/>
  <c r="N235" i="4" s="1"/>
  <c r="P309" i="5"/>
  <c r="M310" i="5" s="1"/>
  <c r="Q309" i="7" l="1"/>
  <c r="N310" i="7" s="1"/>
  <c r="O310" i="7" s="1"/>
  <c r="R310" i="7" s="1"/>
  <c r="S234" i="4"/>
  <c r="O235" i="4" s="1"/>
  <c r="Q309" i="5"/>
  <c r="N310" i="5" s="1"/>
  <c r="O310" i="5" s="1"/>
  <c r="R310" i="5" s="1"/>
  <c r="P310" i="7" l="1"/>
  <c r="M311" i="7" s="1"/>
  <c r="T234" i="4"/>
  <c r="P235" i="4" s="1"/>
  <c r="Q235" i="4" s="1"/>
  <c r="U235" i="4" s="1"/>
  <c r="P310" i="5"/>
  <c r="M311" i="5" s="1"/>
  <c r="Q310" i="7" l="1"/>
  <c r="N311" i="7" s="1"/>
  <c r="O311" i="7" s="1"/>
  <c r="R311" i="7" s="1"/>
  <c r="R235" i="4"/>
  <c r="N236" i="4" s="1"/>
  <c r="S235" i="4"/>
  <c r="O236" i="4" s="1"/>
  <c r="Q310" i="5"/>
  <c r="N311" i="5" s="1"/>
  <c r="O311" i="5" s="1"/>
  <c r="R311" i="5" s="1"/>
  <c r="P311" i="7" l="1"/>
  <c r="M312" i="7" s="1"/>
  <c r="T235" i="4"/>
  <c r="P236" i="4" s="1"/>
  <c r="Q236" i="4" s="1"/>
  <c r="U236" i="4" s="1"/>
  <c r="P311" i="5"/>
  <c r="M312" i="5" s="1"/>
  <c r="Q311" i="7" l="1"/>
  <c r="N312" i="7" s="1"/>
  <c r="O312" i="7" s="1"/>
  <c r="R312" i="7" s="1"/>
  <c r="R236" i="4"/>
  <c r="N237" i="4" s="1"/>
  <c r="Q311" i="5"/>
  <c r="N312" i="5" s="1"/>
  <c r="O312" i="5" s="1"/>
  <c r="R312" i="5" s="1"/>
  <c r="P312" i="7" l="1"/>
  <c r="M313" i="7" s="1"/>
  <c r="T236" i="4"/>
  <c r="P237" i="4" s="1"/>
  <c r="Q237" i="4" s="1"/>
  <c r="U237" i="4" s="1"/>
  <c r="S236" i="4"/>
  <c r="O237" i="4" s="1"/>
  <c r="P312" i="5"/>
  <c r="M313" i="5" s="1"/>
  <c r="Q312" i="7" l="1"/>
  <c r="N313" i="7" s="1"/>
  <c r="O313" i="7" s="1"/>
  <c r="R313" i="7" s="1"/>
  <c r="R237" i="4"/>
  <c r="N238" i="4" s="1"/>
  <c r="Q312" i="5"/>
  <c r="N313" i="5" s="1"/>
  <c r="O313" i="5" s="1"/>
  <c r="R313" i="5" s="1"/>
  <c r="P313" i="7" l="1"/>
  <c r="M314" i="7" s="1"/>
  <c r="S237" i="4"/>
  <c r="P313" i="5"/>
  <c r="M314" i="5" s="1"/>
  <c r="Q313" i="7" l="1"/>
  <c r="N314" i="7" s="1"/>
  <c r="O314" i="7" s="1"/>
  <c r="R314" i="7" s="1"/>
  <c r="O238" i="4"/>
  <c r="T237" i="4"/>
  <c r="P238" i="4" s="1"/>
  <c r="Q313" i="5"/>
  <c r="N314" i="5" s="1"/>
  <c r="O314" i="5" s="1"/>
  <c r="R314" i="5" s="1"/>
  <c r="P314" i="7" l="1"/>
  <c r="M315" i="7" s="1"/>
  <c r="Q238" i="4"/>
  <c r="U238" i="4" s="1"/>
  <c r="P314" i="5"/>
  <c r="M315" i="5" s="1"/>
  <c r="Q314" i="7" l="1"/>
  <c r="N315" i="7" s="1"/>
  <c r="O315" i="7" s="1"/>
  <c r="R315" i="7" s="1"/>
  <c r="R238" i="4"/>
  <c r="N239" i="4" s="1"/>
  <c r="S238" i="4"/>
  <c r="O239" i="4" s="1"/>
  <c r="Q314" i="5"/>
  <c r="N315" i="5" s="1"/>
  <c r="O315" i="5" s="1"/>
  <c r="R315" i="5" s="1"/>
  <c r="P315" i="7" l="1"/>
  <c r="M316" i="7" s="1"/>
  <c r="T238" i="4"/>
  <c r="P239" i="4" s="1"/>
  <c r="Q239" i="4"/>
  <c r="U239" i="4" s="1"/>
  <c r="P315" i="5"/>
  <c r="M316" i="5" s="1"/>
  <c r="Q315" i="7" l="1"/>
  <c r="N316" i="7" s="1"/>
  <c r="O316" i="7" s="1"/>
  <c r="R316" i="7" s="1"/>
  <c r="R239" i="4"/>
  <c r="N240" i="4" s="1"/>
  <c r="Q315" i="5"/>
  <c r="N316" i="5" s="1"/>
  <c r="O316" i="5"/>
  <c r="R316" i="5" s="1"/>
  <c r="P316" i="5" s="1"/>
  <c r="M317" i="5" s="1"/>
  <c r="P316" i="7" l="1"/>
  <c r="M317" i="7" s="1"/>
  <c r="S239" i="4"/>
  <c r="Q316" i="5"/>
  <c r="N317" i="5" s="1"/>
  <c r="O317" i="5" s="1"/>
  <c r="R317" i="5" s="1"/>
  <c r="Q316" i="7" l="1"/>
  <c r="N317" i="7" s="1"/>
  <c r="O317" i="7" s="1"/>
  <c r="R317" i="7" s="1"/>
  <c r="O240" i="4"/>
  <c r="T239" i="4"/>
  <c r="P240" i="4" s="1"/>
  <c r="Q240" i="4" s="1"/>
  <c r="U240" i="4" s="1"/>
  <c r="P317" i="5"/>
  <c r="M318" i="5" s="1"/>
  <c r="P317" i="7" l="1"/>
  <c r="M318" i="7" s="1"/>
  <c r="R240" i="4"/>
  <c r="N241" i="4" s="1"/>
  <c r="Q317" i="5"/>
  <c r="N318" i="5" s="1"/>
  <c r="O318" i="5" s="1"/>
  <c r="R318" i="5" s="1"/>
  <c r="Q317" i="7" l="1"/>
  <c r="N318" i="7" s="1"/>
  <c r="O318" i="7"/>
  <c r="R318" i="7" s="1"/>
  <c r="S240" i="4"/>
  <c r="O241" i="4" s="1"/>
  <c r="P318" i="5"/>
  <c r="M319" i="5" s="1"/>
  <c r="P318" i="7" l="1"/>
  <c r="M319" i="7" s="1"/>
  <c r="T240" i="4"/>
  <c r="P241" i="4" s="1"/>
  <c r="Q241" i="4" s="1"/>
  <c r="U241" i="4" s="1"/>
  <c r="Q318" i="5"/>
  <c r="N319" i="5" s="1"/>
  <c r="O319" i="5" s="1"/>
  <c r="R319" i="5" s="1"/>
  <c r="Q318" i="7" l="1"/>
  <c r="N319" i="7" s="1"/>
  <c r="O319" i="7" s="1"/>
  <c r="R319" i="7" s="1"/>
  <c r="R241" i="4"/>
  <c r="N242" i="4" s="1"/>
  <c r="P319" i="5"/>
  <c r="M320" i="5" s="1"/>
  <c r="P319" i="7" l="1"/>
  <c r="M320" i="7" s="1"/>
  <c r="S241" i="4"/>
  <c r="Q319" i="5"/>
  <c r="N320" i="5" s="1"/>
  <c r="O320" i="5" s="1"/>
  <c r="R320" i="5" s="1"/>
  <c r="Q319" i="7" l="1"/>
  <c r="N320" i="7" s="1"/>
  <c r="O320" i="7" s="1"/>
  <c r="R320" i="7" s="1"/>
  <c r="O242" i="4"/>
  <c r="T241" i="4"/>
  <c r="P242" i="4" s="1"/>
  <c r="P320" i="5"/>
  <c r="M321" i="5" s="1"/>
  <c r="P320" i="7" l="1"/>
  <c r="M321" i="7" s="1"/>
  <c r="Q242" i="4"/>
  <c r="U242" i="4" s="1"/>
  <c r="Q320" i="5"/>
  <c r="N321" i="5" s="1"/>
  <c r="O321" i="5" s="1"/>
  <c r="R321" i="5" s="1"/>
  <c r="Q320" i="7" l="1"/>
  <c r="N321" i="7" s="1"/>
  <c r="O321" i="7" s="1"/>
  <c r="R321" i="7" s="1"/>
  <c r="R242" i="4"/>
  <c r="N243" i="4" s="1"/>
  <c r="P321" i="5"/>
  <c r="M322" i="5" s="1"/>
  <c r="P321" i="7" l="1"/>
  <c r="M322" i="7" s="1"/>
  <c r="S242" i="4"/>
  <c r="O243" i="4" s="1"/>
  <c r="Q321" i="5"/>
  <c r="N322" i="5" s="1"/>
  <c r="O322" i="5" s="1"/>
  <c r="R322" i="5" s="1"/>
  <c r="Q321" i="7" l="1"/>
  <c r="N322" i="7" s="1"/>
  <c r="O322" i="7" s="1"/>
  <c r="R322" i="7" s="1"/>
  <c r="T242" i="4"/>
  <c r="P243" i="4" s="1"/>
  <c r="Q243" i="4" s="1"/>
  <c r="U243" i="4" s="1"/>
  <c r="P322" i="5"/>
  <c r="M323" i="5" s="1"/>
  <c r="P322" i="7" l="1"/>
  <c r="M323" i="7" s="1"/>
  <c r="R243" i="4"/>
  <c r="N244" i="4" s="1"/>
  <c r="Q322" i="5"/>
  <c r="N323" i="5" s="1"/>
  <c r="O323" i="5" s="1"/>
  <c r="R323" i="5" s="1"/>
  <c r="Q322" i="7" l="1"/>
  <c r="N323" i="7" s="1"/>
  <c r="O323" i="7" s="1"/>
  <c r="R323" i="7" s="1"/>
  <c r="S243" i="4"/>
  <c r="O244" i="4" s="1"/>
  <c r="P323" i="5"/>
  <c r="M324" i="5" s="1"/>
  <c r="P323" i="7" l="1"/>
  <c r="M324" i="7" s="1"/>
  <c r="T243" i="4"/>
  <c r="P244" i="4" s="1"/>
  <c r="Q244" i="4" s="1"/>
  <c r="U244" i="4" s="1"/>
  <c r="Q323" i="5"/>
  <c r="N324" i="5" s="1"/>
  <c r="O324" i="5" s="1"/>
  <c r="R324" i="5" s="1"/>
  <c r="Q323" i="7" l="1"/>
  <c r="N324" i="7" s="1"/>
  <c r="O324" i="7" s="1"/>
  <c r="R324" i="7" s="1"/>
  <c r="R244" i="4"/>
  <c r="N245" i="4" s="1"/>
  <c r="P324" i="5"/>
  <c r="M325" i="5" s="1"/>
  <c r="P324" i="7" l="1"/>
  <c r="M325" i="7" s="1"/>
  <c r="S244" i="4"/>
  <c r="O245" i="4" s="1"/>
  <c r="Q324" i="5"/>
  <c r="N325" i="5" s="1"/>
  <c r="O325" i="5" s="1"/>
  <c r="R325" i="5" s="1"/>
  <c r="Q324" i="7" l="1"/>
  <c r="N325" i="7" s="1"/>
  <c r="O325" i="7" s="1"/>
  <c r="R325" i="7" s="1"/>
  <c r="T244" i="4"/>
  <c r="P245" i="4" s="1"/>
  <c r="Q245" i="4" s="1"/>
  <c r="U245" i="4" s="1"/>
  <c r="P325" i="5"/>
  <c r="M326" i="5" s="1"/>
  <c r="P325" i="7" l="1"/>
  <c r="M326" i="7" s="1"/>
  <c r="R245" i="4"/>
  <c r="N246" i="4" s="1"/>
  <c r="Q325" i="5"/>
  <c r="N326" i="5" s="1"/>
  <c r="O326" i="5" s="1"/>
  <c r="R326" i="5" s="1"/>
  <c r="Q325" i="7" l="1"/>
  <c r="N326" i="7" s="1"/>
  <c r="O326" i="7" s="1"/>
  <c r="R326" i="7" s="1"/>
  <c r="S245" i="4"/>
  <c r="O246" i="4" s="1"/>
  <c r="P326" i="5"/>
  <c r="M327" i="5" s="1"/>
  <c r="P326" i="7" l="1"/>
  <c r="M327" i="7" s="1"/>
  <c r="T245" i="4"/>
  <c r="P246" i="4" s="1"/>
  <c r="Q246" i="4" s="1"/>
  <c r="U246" i="4" s="1"/>
  <c r="Q326" i="5"/>
  <c r="N327" i="5" s="1"/>
  <c r="O327" i="5" s="1"/>
  <c r="R327" i="5" s="1"/>
  <c r="Q326" i="7" l="1"/>
  <c r="N327" i="7" s="1"/>
  <c r="O327" i="7" s="1"/>
  <c r="R327" i="7" s="1"/>
  <c r="R246" i="4"/>
  <c r="N247" i="4" s="1"/>
  <c r="P327" i="5"/>
  <c r="M328" i="5" s="1"/>
  <c r="P327" i="7" l="1"/>
  <c r="M328" i="7" s="1"/>
  <c r="S246" i="4"/>
  <c r="O247" i="4" s="1"/>
  <c r="Q327" i="5"/>
  <c r="N328" i="5" s="1"/>
  <c r="O328" i="5" s="1"/>
  <c r="R328" i="5" s="1"/>
  <c r="Q327" i="7" l="1"/>
  <c r="N328" i="7" s="1"/>
  <c r="O328" i="7" s="1"/>
  <c r="R328" i="7" s="1"/>
  <c r="T246" i="4"/>
  <c r="P247" i="4" s="1"/>
  <c r="Q247" i="4" s="1"/>
  <c r="U247" i="4" s="1"/>
  <c r="P328" i="5"/>
  <c r="M329" i="5" s="1"/>
  <c r="P328" i="7" l="1"/>
  <c r="M329" i="7" s="1"/>
  <c r="R247" i="4"/>
  <c r="N248" i="4" s="1"/>
  <c r="S247" i="4"/>
  <c r="O248" i="4" s="1"/>
  <c r="Q328" i="5"/>
  <c r="N329" i="5" s="1"/>
  <c r="O329" i="5" s="1"/>
  <c r="R329" i="5" s="1"/>
  <c r="Q328" i="7" l="1"/>
  <c r="N329" i="7" s="1"/>
  <c r="O329" i="7" s="1"/>
  <c r="R329" i="7" s="1"/>
  <c r="T247" i="4"/>
  <c r="P248" i="4" s="1"/>
  <c r="Q248" i="4" s="1"/>
  <c r="U248" i="4" s="1"/>
  <c r="P329" i="5"/>
  <c r="M330" i="5" s="1"/>
  <c r="P329" i="7" l="1"/>
  <c r="M330" i="7" s="1"/>
  <c r="R248" i="4"/>
  <c r="N249" i="4" s="1"/>
  <c r="S248" i="4"/>
  <c r="O249" i="4" s="1"/>
  <c r="Q329" i="5"/>
  <c r="N330" i="5" s="1"/>
  <c r="O330" i="5" s="1"/>
  <c r="R330" i="5" s="1"/>
  <c r="Q329" i="7" l="1"/>
  <c r="N330" i="7" s="1"/>
  <c r="O330" i="7" s="1"/>
  <c r="R330" i="7" s="1"/>
  <c r="T248" i="4"/>
  <c r="P249" i="4" s="1"/>
  <c r="Q249" i="4" s="1"/>
  <c r="U249" i="4" s="1"/>
  <c r="P330" i="5"/>
  <c r="M331" i="5" s="1"/>
  <c r="P330" i="7" l="1"/>
  <c r="M331" i="7" s="1"/>
  <c r="R249" i="4"/>
  <c r="N250" i="4" s="1"/>
  <c r="Q330" i="5"/>
  <c r="N331" i="5" s="1"/>
  <c r="O331" i="5" s="1"/>
  <c r="R331" i="5" s="1"/>
  <c r="Q330" i="7" l="1"/>
  <c r="N331" i="7" s="1"/>
  <c r="O331" i="7" s="1"/>
  <c r="R331" i="7" s="1"/>
  <c r="S249" i="4"/>
  <c r="O250" i="4" s="1"/>
  <c r="P331" i="5"/>
  <c r="M332" i="5" s="1"/>
  <c r="P331" i="7" l="1"/>
  <c r="M332" i="7" s="1"/>
  <c r="T249" i="4"/>
  <c r="P250" i="4" s="1"/>
  <c r="Q250" i="4" s="1"/>
  <c r="U250" i="4" s="1"/>
  <c r="Q331" i="5"/>
  <c r="N332" i="5" s="1"/>
  <c r="O332" i="5" s="1"/>
  <c r="R332" i="5" s="1"/>
  <c r="Q331" i="7" l="1"/>
  <c r="N332" i="7" s="1"/>
  <c r="O332" i="7" s="1"/>
  <c r="R332" i="7" s="1"/>
  <c r="R250" i="4"/>
  <c r="N251" i="4" s="1"/>
  <c r="P332" i="5"/>
  <c r="M333" i="5" s="1"/>
  <c r="P332" i="7" l="1"/>
  <c r="M333" i="7" s="1"/>
  <c r="S250" i="4"/>
  <c r="O251" i="4" s="1"/>
  <c r="Q332" i="5"/>
  <c r="N333" i="5" s="1"/>
  <c r="O333" i="5" s="1"/>
  <c r="R333" i="5" s="1"/>
  <c r="Q332" i="7" l="1"/>
  <c r="N333" i="7" s="1"/>
  <c r="O333" i="7" s="1"/>
  <c r="R333" i="7" s="1"/>
  <c r="T250" i="4"/>
  <c r="P251" i="4" s="1"/>
  <c r="Q251" i="4" s="1"/>
  <c r="U251" i="4" s="1"/>
  <c r="P333" i="5"/>
  <c r="M334" i="5" s="1"/>
  <c r="P333" i="7" l="1"/>
  <c r="M334" i="7" s="1"/>
  <c r="R251" i="4"/>
  <c r="N252" i="4" s="1"/>
  <c r="S251" i="4"/>
  <c r="O252" i="4" s="1"/>
  <c r="Q333" i="5"/>
  <c r="N334" i="5" s="1"/>
  <c r="O334" i="5" s="1"/>
  <c r="R334" i="5" s="1"/>
  <c r="Q333" i="7" l="1"/>
  <c r="N334" i="7" s="1"/>
  <c r="O334" i="7" s="1"/>
  <c r="R334" i="7" s="1"/>
  <c r="T251" i="4"/>
  <c r="P252" i="4" s="1"/>
  <c r="Q252" i="4"/>
  <c r="U252" i="4" s="1"/>
  <c r="P334" i="5"/>
  <c r="M335" i="5" s="1"/>
  <c r="P334" i="7" l="1"/>
  <c r="M335" i="7" s="1"/>
  <c r="R252" i="4"/>
  <c r="N253" i="4" s="1"/>
  <c r="Q334" i="5"/>
  <c r="N335" i="5" s="1"/>
  <c r="O335" i="5"/>
  <c r="R335" i="5" s="1"/>
  <c r="Q334" i="7" l="1"/>
  <c r="N335" i="7" s="1"/>
  <c r="O335" i="7" s="1"/>
  <c r="R335" i="7" s="1"/>
  <c r="S252" i="4"/>
  <c r="P335" i="5"/>
  <c r="M336" i="5" s="1"/>
  <c r="P335" i="7" l="1"/>
  <c r="M336" i="7" s="1"/>
  <c r="O253" i="4"/>
  <c r="T252" i="4"/>
  <c r="P253" i="4" s="1"/>
  <c r="Q253" i="4" s="1"/>
  <c r="U253" i="4" s="1"/>
  <c r="Q335" i="5"/>
  <c r="N336" i="5" s="1"/>
  <c r="O336" i="5" s="1"/>
  <c r="R336" i="5" s="1"/>
  <c r="Q335" i="7" l="1"/>
  <c r="N336" i="7" s="1"/>
  <c r="O336" i="7" s="1"/>
  <c r="R336" i="7" s="1"/>
  <c r="R253" i="4"/>
  <c r="N254" i="4" s="1"/>
  <c r="P336" i="5"/>
  <c r="M337" i="5" s="1"/>
  <c r="P336" i="7" l="1"/>
  <c r="M337" i="7" s="1"/>
  <c r="S253" i="4"/>
  <c r="O254" i="4" s="1"/>
  <c r="Q336" i="5"/>
  <c r="N337" i="5" s="1"/>
  <c r="O337" i="5" s="1"/>
  <c r="R337" i="5" s="1"/>
  <c r="Q336" i="7" l="1"/>
  <c r="N337" i="7" s="1"/>
  <c r="O337" i="7" s="1"/>
  <c r="R337" i="7" s="1"/>
  <c r="T253" i="4"/>
  <c r="P254" i="4" s="1"/>
  <c r="Q254" i="4" s="1"/>
  <c r="U254" i="4" s="1"/>
  <c r="P337" i="5"/>
  <c r="M338" i="5" s="1"/>
  <c r="P337" i="7" l="1"/>
  <c r="M338" i="7" s="1"/>
  <c r="R254" i="4"/>
  <c r="N255" i="4" s="1"/>
  <c r="Q337" i="5"/>
  <c r="N338" i="5" s="1"/>
  <c r="O338" i="5" s="1"/>
  <c r="R338" i="5" s="1"/>
  <c r="Q337" i="7" l="1"/>
  <c r="N338" i="7" s="1"/>
  <c r="O338" i="7" s="1"/>
  <c r="R338" i="7" s="1"/>
  <c r="S254" i="4"/>
  <c r="O255" i="4" s="1"/>
  <c r="P338" i="5"/>
  <c r="M339" i="5" s="1"/>
  <c r="P338" i="7" l="1"/>
  <c r="M339" i="7" s="1"/>
  <c r="T254" i="4"/>
  <c r="P255" i="4" s="1"/>
  <c r="Q255" i="4" s="1"/>
  <c r="U255" i="4" s="1"/>
  <c r="Q338" i="5"/>
  <c r="N339" i="5" s="1"/>
  <c r="O339" i="5" s="1"/>
  <c r="R339" i="5" s="1"/>
  <c r="Q338" i="7" l="1"/>
  <c r="N339" i="7" s="1"/>
  <c r="O339" i="7" s="1"/>
  <c r="R339" i="7" s="1"/>
  <c r="R255" i="4"/>
  <c r="N256" i="4" s="1"/>
  <c r="P339" i="5"/>
  <c r="M340" i="5" s="1"/>
  <c r="P339" i="7" l="1"/>
  <c r="M340" i="7" s="1"/>
  <c r="S255" i="4"/>
  <c r="Q339" i="5"/>
  <c r="N340" i="5" s="1"/>
  <c r="O340" i="5" s="1"/>
  <c r="R340" i="5" s="1"/>
  <c r="Q339" i="7" l="1"/>
  <c r="N340" i="7" s="1"/>
  <c r="O340" i="7" s="1"/>
  <c r="R340" i="7" s="1"/>
  <c r="O256" i="4"/>
  <c r="T255" i="4"/>
  <c r="P256" i="4" s="1"/>
  <c r="Q256" i="4" s="1"/>
  <c r="U256" i="4" s="1"/>
  <c r="P340" i="5"/>
  <c r="M341" i="5" s="1"/>
  <c r="P340" i="7" l="1"/>
  <c r="M341" i="7" s="1"/>
  <c r="R256" i="4"/>
  <c r="N257" i="4" s="1"/>
  <c r="Q340" i="5"/>
  <c r="N341" i="5" s="1"/>
  <c r="O341" i="5" s="1"/>
  <c r="R341" i="5" s="1"/>
  <c r="Q340" i="7" l="1"/>
  <c r="N341" i="7" s="1"/>
  <c r="O341" i="7" s="1"/>
  <c r="R341" i="7" s="1"/>
  <c r="S256" i="4"/>
  <c r="P341" i="5"/>
  <c r="M342" i="5" s="1"/>
  <c r="P341" i="7" l="1"/>
  <c r="M342" i="7" s="1"/>
  <c r="O257" i="4"/>
  <c r="Q257" i="4" s="1"/>
  <c r="U257" i="4" s="1"/>
  <c r="T256" i="4"/>
  <c r="P257" i="4" s="1"/>
  <c r="Q341" i="5"/>
  <c r="N342" i="5" s="1"/>
  <c r="O342" i="5" s="1"/>
  <c r="R342" i="5" s="1"/>
  <c r="Q341" i="7" l="1"/>
  <c r="N342" i="7" s="1"/>
  <c r="O342" i="7" s="1"/>
  <c r="R342" i="7" s="1"/>
  <c r="R257" i="4"/>
  <c r="N258" i="4" s="1"/>
  <c r="P342" i="5"/>
  <c r="M343" i="5" s="1"/>
  <c r="P342" i="7" l="1"/>
  <c r="M343" i="7" s="1"/>
  <c r="S257" i="4"/>
  <c r="Q342" i="5"/>
  <c r="N343" i="5" s="1"/>
  <c r="O343" i="5" s="1"/>
  <c r="R343" i="5" s="1"/>
  <c r="Q342" i="7" l="1"/>
  <c r="N343" i="7" s="1"/>
  <c r="O343" i="7" s="1"/>
  <c r="R343" i="7" s="1"/>
  <c r="O258" i="4"/>
  <c r="T257" i="4"/>
  <c r="P258" i="4" s="1"/>
  <c r="P343" i="5"/>
  <c r="M344" i="5" s="1"/>
  <c r="P343" i="7" l="1"/>
  <c r="M344" i="7" s="1"/>
  <c r="Q258" i="4"/>
  <c r="U258" i="4" s="1"/>
  <c r="Q343" i="5"/>
  <c r="N344" i="5" s="1"/>
  <c r="O344" i="5" s="1"/>
  <c r="R344" i="5" s="1"/>
  <c r="Q343" i="7" l="1"/>
  <c r="N344" i="7" s="1"/>
  <c r="O344" i="7" s="1"/>
  <c r="R344" i="7" s="1"/>
  <c r="R258" i="4"/>
  <c r="N259" i="4" s="1"/>
  <c r="S258" i="4"/>
  <c r="O259" i="4" s="1"/>
  <c r="T258" i="4"/>
  <c r="P259" i="4" s="1"/>
  <c r="P344" i="5"/>
  <c r="M345" i="5" s="1"/>
  <c r="P344" i="7" l="1"/>
  <c r="M345" i="7" s="1"/>
  <c r="Q259" i="4"/>
  <c r="U259" i="4" s="1"/>
  <c r="Q344" i="5"/>
  <c r="N345" i="5" s="1"/>
  <c r="O345" i="5" s="1"/>
  <c r="R345" i="5" s="1"/>
  <c r="Q344" i="7" l="1"/>
  <c r="N345" i="7" s="1"/>
  <c r="O345" i="7" s="1"/>
  <c r="R345" i="7" s="1"/>
  <c r="R259" i="4"/>
  <c r="N260" i="4" s="1"/>
  <c r="P345" i="5"/>
  <c r="M346" i="5" s="1"/>
  <c r="P345" i="7" l="1"/>
  <c r="M346" i="7" s="1"/>
  <c r="S259" i="4"/>
  <c r="Q345" i="5"/>
  <c r="N346" i="5" s="1"/>
  <c r="O346" i="5" s="1"/>
  <c r="R346" i="5" s="1"/>
  <c r="Q345" i="7" l="1"/>
  <c r="N346" i="7" s="1"/>
  <c r="O346" i="7" s="1"/>
  <c r="R346" i="7" s="1"/>
  <c r="O260" i="4"/>
  <c r="T259" i="4"/>
  <c r="P260" i="4" s="1"/>
  <c r="Q260" i="4" s="1"/>
  <c r="U260" i="4" s="1"/>
  <c r="P346" i="5"/>
  <c r="M347" i="5" s="1"/>
  <c r="P346" i="7" l="1"/>
  <c r="M347" i="7" s="1"/>
  <c r="R260" i="4"/>
  <c r="N261" i="4" s="1"/>
  <c r="Q346" i="5"/>
  <c r="N347" i="5" s="1"/>
  <c r="O347" i="5" s="1"/>
  <c r="R347" i="5" s="1"/>
  <c r="Q346" i="7" l="1"/>
  <c r="N347" i="7" s="1"/>
  <c r="O347" i="7" s="1"/>
  <c r="R347" i="7" s="1"/>
  <c r="S260" i="4"/>
  <c r="P347" i="5"/>
  <c r="M348" i="5" s="1"/>
  <c r="P347" i="7" l="1"/>
  <c r="M348" i="7" s="1"/>
  <c r="O261" i="4"/>
  <c r="T260" i="4"/>
  <c r="P261" i="4" s="1"/>
  <c r="Q347" i="5"/>
  <c r="N348" i="5" s="1"/>
  <c r="O348" i="5" s="1"/>
  <c r="R348" i="5" s="1"/>
  <c r="Q347" i="7" l="1"/>
  <c r="N348" i="7" s="1"/>
  <c r="O348" i="7"/>
  <c r="R348" i="7" s="1"/>
  <c r="Q261" i="4"/>
  <c r="U261" i="4" s="1"/>
  <c r="P348" i="5"/>
  <c r="M349" i="5" s="1"/>
  <c r="P348" i="7" l="1"/>
  <c r="M349" i="7" s="1"/>
  <c r="R261" i="4"/>
  <c r="N262" i="4" s="1"/>
  <c r="Q348" i="5"/>
  <c r="N349" i="5" s="1"/>
  <c r="O349" i="5" s="1"/>
  <c r="R349" i="5" s="1"/>
  <c r="Q348" i="7" l="1"/>
  <c r="N349" i="7" s="1"/>
  <c r="O349" i="7" s="1"/>
  <c r="R349" i="7" s="1"/>
  <c r="S261" i="4"/>
  <c r="O262" i="4" s="1"/>
  <c r="P349" i="5"/>
  <c r="M350" i="5" s="1"/>
  <c r="P349" i="7" l="1"/>
  <c r="M350" i="7" s="1"/>
  <c r="Q262" i="4"/>
  <c r="U262" i="4" s="1"/>
  <c r="T261" i="4"/>
  <c r="P262" i="4" s="1"/>
  <c r="Q349" i="5"/>
  <c r="N350" i="5" s="1"/>
  <c r="O350" i="5" s="1"/>
  <c r="R350" i="5" s="1"/>
  <c r="Q349" i="7" l="1"/>
  <c r="N350" i="7" s="1"/>
  <c r="O350" i="7" s="1"/>
  <c r="R350" i="7" s="1"/>
  <c r="R262" i="4"/>
  <c r="N263" i="4" s="1"/>
  <c r="S262" i="4"/>
  <c r="O263" i="4" s="1"/>
  <c r="T262" i="4"/>
  <c r="P263" i="4" s="1"/>
  <c r="Q263" i="4" s="1"/>
  <c r="U263" i="4" s="1"/>
  <c r="P350" i="5"/>
  <c r="M351" i="5" s="1"/>
  <c r="P350" i="7" l="1"/>
  <c r="M351" i="7" s="1"/>
  <c r="R263" i="4"/>
  <c r="N264" i="4" s="1"/>
  <c r="Q350" i="5"/>
  <c r="N351" i="5" s="1"/>
  <c r="O351" i="5" s="1"/>
  <c r="R351" i="5" s="1"/>
  <c r="Q350" i="7" l="1"/>
  <c r="N351" i="7" s="1"/>
  <c r="O351" i="7" s="1"/>
  <c r="R351" i="7" s="1"/>
  <c r="S263" i="4"/>
  <c r="O264" i="4" s="1"/>
  <c r="P351" i="5"/>
  <c r="M352" i="5" s="1"/>
  <c r="P351" i="7" l="1"/>
  <c r="M352" i="7" s="1"/>
  <c r="T263" i="4"/>
  <c r="P264" i="4" s="1"/>
  <c r="Q264" i="4" s="1"/>
  <c r="U264" i="4" s="1"/>
  <c r="Q351" i="5"/>
  <c r="N352" i="5" s="1"/>
  <c r="O352" i="5" s="1"/>
  <c r="R352" i="5" s="1"/>
  <c r="Q351" i="7" l="1"/>
  <c r="N352" i="7" s="1"/>
  <c r="O352" i="7" s="1"/>
  <c r="R352" i="7" s="1"/>
  <c r="R264" i="4"/>
  <c r="N265" i="4" s="1"/>
  <c r="P352" i="5"/>
  <c r="M353" i="5" s="1"/>
  <c r="P352" i="7" l="1"/>
  <c r="M353" i="7" s="1"/>
  <c r="S264" i="4"/>
  <c r="Q352" i="5"/>
  <c r="N353" i="5" s="1"/>
  <c r="O353" i="5" s="1"/>
  <c r="R353" i="5" s="1"/>
  <c r="Q352" i="7" l="1"/>
  <c r="N353" i="7" s="1"/>
  <c r="O353" i="7" s="1"/>
  <c r="R353" i="7" s="1"/>
  <c r="O265" i="4"/>
  <c r="T264" i="4"/>
  <c r="P265" i="4" s="1"/>
  <c r="Q265" i="4" s="1"/>
  <c r="U265" i="4" s="1"/>
  <c r="P353" i="5"/>
  <c r="M354" i="5" s="1"/>
  <c r="P353" i="7" l="1"/>
  <c r="M354" i="7" s="1"/>
  <c r="R265" i="4"/>
  <c r="N266" i="4" s="1"/>
  <c r="Q353" i="5"/>
  <c r="N354" i="5" s="1"/>
  <c r="O354" i="5" s="1"/>
  <c r="R354" i="5" s="1"/>
  <c r="Q353" i="7" l="1"/>
  <c r="N354" i="7" s="1"/>
  <c r="O354" i="7" s="1"/>
  <c r="R354" i="7" s="1"/>
  <c r="S265" i="4"/>
  <c r="P354" i="5"/>
  <c r="M355" i="5" s="1"/>
  <c r="P354" i="7" l="1"/>
  <c r="M355" i="7" s="1"/>
  <c r="O266" i="4"/>
  <c r="Q266" i="4" s="1"/>
  <c r="U266" i="4" s="1"/>
  <c r="T265" i="4"/>
  <c r="P266" i="4" s="1"/>
  <c r="Q354" i="5"/>
  <c r="N355" i="5" s="1"/>
  <c r="O355" i="5" s="1"/>
  <c r="R355" i="5" s="1"/>
  <c r="Q354" i="7" l="1"/>
  <c r="N355" i="7" s="1"/>
  <c r="O355" i="7" s="1"/>
  <c r="R355" i="7" s="1"/>
  <c r="R266" i="4"/>
  <c r="N267" i="4" s="1"/>
  <c r="P355" i="5"/>
  <c r="M356" i="5" s="1"/>
  <c r="P355" i="7" l="1"/>
  <c r="M356" i="7" s="1"/>
  <c r="S266" i="4"/>
  <c r="Q355" i="5"/>
  <c r="N356" i="5" s="1"/>
  <c r="O356" i="5" s="1"/>
  <c r="R356" i="5" s="1"/>
  <c r="Q355" i="7" l="1"/>
  <c r="N356" i="7" s="1"/>
  <c r="O356" i="7" s="1"/>
  <c r="R356" i="7" s="1"/>
  <c r="O267" i="4"/>
  <c r="T266" i="4"/>
  <c r="P267" i="4" s="1"/>
  <c r="P356" i="5"/>
  <c r="M357" i="5" s="1"/>
  <c r="P356" i="7" l="1"/>
  <c r="M357" i="7" s="1"/>
  <c r="Q267" i="4"/>
  <c r="U267" i="4" s="1"/>
  <c r="Q356" i="5"/>
  <c r="N357" i="5" s="1"/>
  <c r="O357" i="5" s="1"/>
  <c r="R357" i="5" s="1"/>
  <c r="Q356" i="7" l="1"/>
  <c r="N357" i="7" s="1"/>
  <c r="O357" i="7" s="1"/>
  <c r="R357" i="7" s="1"/>
  <c r="R267" i="4"/>
  <c r="N268" i="4" s="1"/>
  <c r="S267" i="4"/>
  <c r="O268" i="4" s="1"/>
  <c r="P357" i="5"/>
  <c r="M358" i="5" s="1"/>
  <c r="P357" i="7" l="1"/>
  <c r="M358" i="7" s="1"/>
  <c r="T267" i="4"/>
  <c r="P268" i="4" s="1"/>
  <c r="Q268" i="4" s="1"/>
  <c r="U268" i="4" s="1"/>
  <c r="Q357" i="5"/>
  <c r="N358" i="5" s="1"/>
  <c r="O358" i="5" s="1"/>
  <c r="R358" i="5" s="1"/>
  <c r="Q357" i="7" l="1"/>
  <c r="N358" i="7" s="1"/>
  <c r="O358" i="7" s="1"/>
  <c r="R358" i="7" s="1"/>
  <c r="R268" i="4"/>
  <c r="N269" i="4" s="1"/>
  <c r="P358" i="5"/>
  <c r="M359" i="5" s="1"/>
  <c r="P358" i="7" l="1"/>
  <c r="M359" i="7" s="1"/>
  <c r="S268" i="4"/>
  <c r="O269" i="4" s="1"/>
  <c r="Q358" i="5"/>
  <c r="N359" i="5" s="1"/>
  <c r="O359" i="5" s="1"/>
  <c r="R359" i="5" s="1"/>
  <c r="Q358" i="7" l="1"/>
  <c r="N359" i="7" s="1"/>
  <c r="O359" i="7" s="1"/>
  <c r="R359" i="7" s="1"/>
  <c r="T268" i="4"/>
  <c r="P269" i="4" s="1"/>
  <c r="Q269" i="4" s="1"/>
  <c r="U269" i="4" s="1"/>
  <c r="P359" i="5"/>
  <c r="M360" i="5" s="1"/>
  <c r="P359" i="7" l="1"/>
  <c r="M360" i="7" s="1"/>
  <c r="R269" i="4"/>
  <c r="N270" i="4" s="1"/>
  <c r="Q359" i="5"/>
  <c r="N360" i="5" s="1"/>
  <c r="O360" i="5" s="1"/>
  <c r="R360" i="5" s="1"/>
  <c r="Q359" i="7" l="1"/>
  <c r="N360" i="7" s="1"/>
  <c r="O360" i="7" s="1"/>
  <c r="R360" i="7" s="1"/>
  <c r="S269" i="4"/>
  <c r="O270" i="4" s="1"/>
  <c r="P360" i="5"/>
  <c r="M361" i="5" s="1"/>
  <c r="P360" i="7" l="1"/>
  <c r="M361" i="7" s="1"/>
  <c r="T269" i="4"/>
  <c r="P270" i="4" s="1"/>
  <c r="Q270" i="4" s="1"/>
  <c r="U270" i="4" s="1"/>
  <c r="Q360" i="5"/>
  <c r="N361" i="5" s="1"/>
  <c r="O361" i="5" s="1"/>
  <c r="R361" i="5" s="1"/>
  <c r="Q360" i="7" l="1"/>
  <c r="N361" i="7" s="1"/>
  <c r="O361" i="7" s="1"/>
  <c r="R361" i="7" s="1"/>
  <c r="R270" i="4"/>
  <c r="N271" i="4" s="1"/>
  <c r="P361" i="5"/>
  <c r="M362" i="5" s="1"/>
  <c r="P361" i="7" l="1"/>
  <c r="M362" i="7" s="1"/>
  <c r="S270" i="4"/>
  <c r="O271" i="4" s="1"/>
  <c r="Q361" i="5"/>
  <c r="N362" i="5" s="1"/>
  <c r="O362" i="5" s="1"/>
  <c r="R362" i="5" s="1"/>
  <c r="Q361" i="7" l="1"/>
  <c r="N362" i="7" s="1"/>
  <c r="O362" i="7" s="1"/>
  <c r="R362" i="7" s="1"/>
  <c r="T270" i="4"/>
  <c r="P271" i="4" s="1"/>
  <c r="Q271" i="4" s="1"/>
  <c r="U271" i="4" s="1"/>
  <c r="P362" i="5"/>
  <c r="M363" i="5" s="1"/>
  <c r="P362" i="7" l="1"/>
  <c r="M363" i="7" s="1"/>
  <c r="R271" i="4"/>
  <c r="N272" i="4" s="1"/>
  <c r="Q362" i="5"/>
  <c r="N363" i="5" s="1"/>
  <c r="O363" i="5" s="1"/>
  <c r="R363" i="5" s="1"/>
  <c r="Q362" i="7" l="1"/>
  <c r="N363" i="7" s="1"/>
  <c r="O363" i="7" s="1"/>
  <c r="R363" i="7" s="1"/>
  <c r="S271" i="4"/>
  <c r="P363" i="5"/>
  <c r="M364" i="5" s="1"/>
  <c r="P363" i="7" l="1"/>
  <c r="M364" i="7" s="1"/>
  <c r="O272" i="4"/>
  <c r="T271" i="4"/>
  <c r="P272" i="4" s="1"/>
  <c r="Q363" i="5"/>
  <c r="N364" i="5" s="1"/>
  <c r="O364" i="5" s="1"/>
  <c r="R364" i="5" s="1"/>
  <c r="Q363" i="7" l="1"/>
  <c r="N364" i="7" s="1"/>
  <c r="O364" i="7" s="1"/>
  <c r="R364" i="7" s="1"/>
  <c r="Q272" i="4"/>
  <c r="U272" i="4" s="1"/>
  <c r="P364" i="5"/>
  <c r="M365" i="5" s="1"/>
  <c r="P364" i="7" l="1"/>
  <c r="M365" i="7" s="1"/>
  <c r="R272" i="4"/>
  <c r="N273" i="4" s="1"/>
  <c r="Q364" i="5"/>
  <c r="N365" i="5" s="1"/>
  <c r="O365" i="5" s="1"/>
  <c r="R365" i="5" s="1"/>
  <c r="Q364" i="7" l="1"/>
  <c r="N365" i="7" s="1"/>
  <c r="O365" i="7" s="1"/>
  <c r="R365" i="7" s="1"/>
  <c r="S272" i="4"/>
  <c r="P365" i="5"/>
  <c r="M366" i="5" s="1"/>
  <c r="P365" i="7" l="1"/>
  <c r="M366" i="7" s="1"/>
  <c r="O273" i="4"/>
  <c r="T272" i="4"/>
  <c r="P273" i="4" s="1"/>
  <c r="Q365" i="5"/>
  <c r="N366" i="5" s="1"/>
  <c r="O366" i="5" s="1"/>
  <c r="R366" i="5" s="1"/>
  <c r="Q365" i="7" l="1"/>
  <c r="N366" i="7" s="1"/>
  <c r="O366" i="7" s="1"/>
  <c r="R366" i="7" s="1"/>
  <c r="Q273" i="4"/>
  <c r="U273" i="4" s="1"/>
  <c r="P366" i="5"/>
  <c r="M367" i="5" s="1"/>
  <c r="P366" i="7" l="1"/>
  <c r="M367" i="7" s="1"/>
  <c r="R273" i="4"/>
  <c r="N274" i="4" s="1"/>
  <c r="Q366" i="5"/>
  <c r="N367" i="5" s="1"/>
  <c r="O367" i="5" s="1"/>
  <c r="R367" i="5" s="1"/>
  <c r="Q366" i="7" l="1"/>
  <c r="N367" i="7" s="1"/>
  <c r="O367" i="7" s="1"/>
  <c r="R367" i="7" s="1"/>
  <c r="S273" i="4"/>
  <c r="P367" i="5"/>
  <c r="M368" i="5" s="1"/>
  <c r="P367" i="7" l="1"/>
  <c r="M368" i="7" s="1"/>
  <c r="O274" i="4"/>
  <c r="T273" i="4"/>
  <c r="P274" i="4" s="1"/>
  <c r="Q274" i="4" s="1"/>
  <c r="U274" i="4" s="1"/>
  <c r="Q367" i="5"/>
  <c r="N368" i="5" s="1"/>
  <c r="O368" i="5" s="1"/>
  <c r="R368" i="5" s="1"/>
  <c r="Q367" i="7" l="1"/>
  <c r="N368" i="7" s="1"/>
  <c r="O368" i="7" s="1"/>
  <c r="R368" i="7" s="1"/>
  <c r="R274" i="4"/>
  <c r="N275" i="4" s="1"/>
  <c r="P368" i="5"/>
  <c r="M369" i="5" s="1"/>
  <c r="P368" i="7" l="1"/>
  <c r="M369" i="7" s="1"/>
  <c r="S274" i="4"/>
  <c r="Q368" i="5"/>
  <c r="N369" i="5" s="1"/>
  <c r="O369" i="5" s="1"/>
  <c r="R369" i="5" s="1"/>
  <c r="Q368" i="7" l="1"/>
  <c r="N369" i="7" s="1"/>
  <c r="O369" i="7" s="1"/>
  <c r="R369" i="7" s="1"/>
  <c r="O275" i="4"/>
  <c r="T274" i="4"/>
  <c r="P275" i="4" s="1"/>
  <c r="Q275" i="4" s="1"/>
  <c r="U275" i="4" s="1"/>
  <c r="P369" i="5"/>
  <c r="M370" i="5" s="1"/>
  <c r="P369" i="7" l="1"/>
  <c r="M370" i="7" s="1"/>
  <c r="R275" i="4"/>
  <c r="N276" i="4" s="1"/>
  <c r="Q369" i="5"/>
  <c r="N370" i="5" s="1"/>
  <c r="O370" i="5" s="1"/>
  <c r="R370" i="5" s="1"/>
  <c r="Q369" i="7" l="1"/>
  <c r="N370" i="7" s="1"/>
  <c r="O370" i="7" s="1"/>
  <c r="R370" i="7" s="1"/>
  <c r="S275" i="4"/>
  <c r="O276" i="4" s="1"/>
  <c r="P370" i="5"/>
  <c r="M371" i="5" s="1"/>
  <c r="P370" i="7" l="1"/>
  <c r="M371" i="7" s="1"/>
  <c r="T275" i="4"/>
  <c r="P276" i="4" s="1"/>
  <c r="Q276" i="4" s="1"/>
  <c r="U276" i="4" s="1"/>
  <c r="Q370" i="5"/>
  <c r="N371" i="5" s="1"/>
  <c r="O371" i="5" s="1"/>
  <c r="R371" i="5" s="1"/>
  <c r="Q370" i="7" l="1"/>
  <c r="N371" i="7" s="1"/>
  <c r="O371" i="7" s="1"/>
  <c r="R371" i="7" s="1"/>
  <c r="R276" i="4"/>
  <c r="N277" i="4" s="1"/>
  <c r="P371" i="5"/>
  <c r="M372" i="5" s="1"/>
  <c r="P371" i="7" l="1"/>
  <c r="M372" i="7" s="1"/>
  <c r="T276" i="4"/>
  <c r="P277" i="4" s="1"/>
  <c r="Q277" i="4" s="1"/>
  <c r="U277" i="4" s="1"/>
  <c r="S276" i="4"/>
  <c r="O277" i="4" s="1"/>
  <c r="Q371" i="5"/>
  <c r="N372" i="5" s="1"/>
  <c r="O372" i="5" s="1"/>
  <c r="R372" i="5" s="1"/>
  <c r="Q371" i="7" l="1"/>
  <c r="N372" i="7" s="1"/>
  <c r="O372" i="7" s="1"/>
  <c r="R372" i="7" s="1"/>
  <c r="R277" i="4"/>
  <c r="N278" i="4" s="1"/>
  <c r="S277" i="4"/>
  <c r="O278" i="4" s="1"/>
  <c r="P372" i="5"/>
  <c r="M373" i="5" s="1"/>
  <c r="P372" i="7" l="1"/>
  <c r="M373" i="7" s="1"/>
  <c r="T277" i="4"/>
  <c r="P278" i="4" s="1"/>
  <c r="Q278" i="4" s="1"/>
  <c r="U278" i="4" s="1"/>
  <c r="Q372" i="5"/>
  <c r="N373" i="5" s="1"/>
  <c r="O373" i="5" s="1"/>
  <c r="R373" i="5" s="1"/>
  <c r="Q372" i="7" l="1"/>
  <c r="N373" i="7" s="1"/>
  <c r="O373" i="7"/>
  <c r="R373" i="7" s="1"/>
  <c r="R278" i="4"/>
  <c r="N279" i="4" s="1"/>
  <c r="P373" i="5"/>
  <c r="M374" i="5" s="1"/>
  <c r="P373" i="7" l="1"/>
  <c r="M374" i="7" s="1"/>
  <c r="S278" i="4"/>
  <c r="O279" i="4" s="1"/>
  <c r="Q373" i="5"/>
  <c r="N374" i="5" s="1"/>
  <c r="O374" i="5" s="1"/>
  <c r="R374" i="5" s="1"/>
  <c r="Q373" i="7" l="1"/>
  <c r="N374" i="7" s="1"/>
  <c r="O374" i="7" s="1"/>
  <c r="R374" i="7" s="1"/>
  <c r="T278" i="4"/>
  <c r="P279" i="4" s="1"/>
  <c r="Q279" i="4" s="1"/>
  <c r="U279" i="4" s="1"/>
  <c r="P374" i="5"/>
  <c r="M375" i="5" s="1"/>
  <c r="P374" i="7" l="1"/>
  <c r="M375" i="7" s="1"/>
  <c r="R279" i="4"/>
  <c r="N280" i="4" s="1"/>
  <c r="S279" i="4"/>
  <c r="O280" i="4" s="1"/>
  <c r="Q374" i="5"/>
  <c r="N375" i="5" s="1"/>
  <c r="O375" i="5" s="1"/>
  <c r="R375" i="5" s="1"/>
  <c r="Q374" i="7" l="1"/>
  <c r="N375" i="7" s="1"/>
  <c r="O375" i="7" s="1"/>
  <c r="R375" i="7" s="1"/>
  <c r="T279" i="4"/>
  <c r="P280" i="4" s="1"/>
  <c r="Q280" i="4" s="1"/>
  <c r="U280" i="4" s="1"/>
  <c r="P375" i="5"/>
  <c r="M376" i="5" s="1"/>
  <c r="P375" i="7" l="1"/>
  <c r="M376" i="7" s="1"/>
  <c r="R280" i="4"/>
  <c r="N281" i="4" s="1"/>
  <c r="Q375" i="5"/>
  <c r="N376" i="5" s="1"/>
  <c r="O376" i="5" s="1"/>
  <c r="R376" i="5" s="1"/>
  <c r="Q375" i="7" l="1"/>
  <c r="N376" i="7" s="1"/>
  <c r="O376" i="7" s="1"/>
  <c r="R376" i="7" s="1"/>
  <c r="S280" i="4"/>
  <c r="O281" i="4" s="1"/>
  <c r="P376" i="5"/>
  <c r="M377" i="5" s="1"/>
  <c r="P376" i="7" l="1"/>
  <c r="M377" i="7" s="1"/>
  <c r="T280" i="4"/>
  <c r="P281" i="4" s="1"/>
  <c r="Q281" i="4" s="1"/>
  <c r="U281" i="4" s="1"/>
  <c r="Q376" i="5"/>
  <c r="N377" i="5" s="1"/>
  <c r="O377" i="5" s="1"/>
  <c r="R377" i="5" s="1"/>
  <c r="Q376" i="7" l="1"/>
  <c r="N377" i="7" s="1"/>
  <c r="O377" i="7" s="1"/>
  <c r="R377" i="7" s="1"/>
  <c r="R281" i="4"/>
  <c r="N282" i="4" s="1"/>
  <c r="P377" i="5"/>
  <c r="M378" i="5" s="1"/>
  <c r="P377" i="7" l="1"/>
  <c r="M378" i="7" s="1"/>
  <c r="S281" i="4"/>
  <c r="O282" i="4" s="1"/>
  <c r="Q377" i="5"/>
  <c r="N378" i="5" s="1"/>
  <c r="O378" i="5" s="1"/>
  <c r="R378" i="5" s="1"/>
  <c r="Q377" i="7" l="1"/>
  <c r="N378" i="7" s="1"/>
  <c r="O378" i="7" s="1"/>
  <c r="R378" i="7" s="1"/>
  <c r="T281" i="4"/>
  <c r="P282" i="4" s="1"/>
  <c r="Q282" i="4" s="1"/>
  <c r="U282" i="4" s="1"/>
  <c r="P378" i="5"/>
  <c r="M379" i="5" s="1"/>
  <c r="P378" i="7" l="1"/>
  <c r="M379" i="7" s="1"/>
  <c r="R282" i="4"/>
  <c r="N283" i="4" s="1"/>
  <c r="S282" i="4"/>
  <c r="O283" i="4" s="1"/>
  <c r="Q378" i="5"/>
  <c r="N379" i="5" s="1"/>
  <c r="O379" i="5" s="1"/>
  <c r="R379" i="5" s="1"/>
  <c r="Q378" i="7" l="1"/>
  <c r="N379" i="7" s="1"/>
  <c r="O379" i="7" s="1"/>
  <c r="R379" i="7" s="1"/>
  <c r="T282" i="4"/>
  <c r="P283" i="4" s="1"/>
  <c r="Q283" i="4" s="1"/>
  <c r="U283" i="4" s="1"/>
  <c r="P379" i="5"/>
  <c r="M380" i="5" s="1"/>
  <c r="P379" i="7" l="1"/>
  <c r="M380" i="7" s="1"/>
  <c r="R283" i="4"/>
  <c r="N284" i="4" s="1"/>
  <c r="Q379" i="5"/>
  <c r="N380" i="5" s="1"/>
  <c r="O380" i="5" s="1"/>
  <c r="R380" i="5" s="1"/>
  <c r="Q379" i="7" l="1"/>
  <c r="N380" i="7" s="1"/>
  <c r="O380" i="7" s="1"/>
  <c r="R380" i="7" s="1"/>
  <c r="S283" i="4"/>
  <c r="P380" i="5"/>
  <c r="M381" i="5" s="1"/>
  <c r="P380" i="7" l="1"/>
  <c r="M381" i="7" s="1"/>
  <c r="O284" i="4"/>
  <c r="T283" i="4"/>
  <c r="P284" i="4" s="1"/>
  <c r="Q284" i="4" s="1"/>
  <c r="U284" i="4" s="1"/>
  <c r="Q380" i="5"/>
  <c r="N381" i="5" s="1"/>
  <c r="O381" i="5" s="1"/>
  <c r="R381" i="5" s="1"/>
  <c r="Q380" i="7" l="1"/>
  <c r="N381" i="7" s="1"/>
  <c r="O381" i="7" s="1"/>
  <c r="R381" i="7" s="1"/>
  <c r="R284" i="4"/>
  <c r="N285" i="4" s="1"/>
  <c r="P381" i="5"/>
  <c r="M382" i="5" s="1"/>
  <c r="P381" i="7" l="1"/>
  <c r="M382" i="7" s="1"/>
  <c r="S284" i="4"/>
  <c r="O285" i="4" s="1"/>
  <c r="Q381" i="5"/>
  <c r="N382" i="5" s="1"/>
  <c r="O382" i="5" s="1"/>
  <c r="R382" i="5" s="1"/>
  <c r="Q381" i="7" l="1"/>
  <c r="N382" i="7" s="1"/>
  <c r="O382" i="7" s="1"/>
  <c r="R382" i="7" s="1"/>
  <c r="T284" i="4"/>
  <c r="P285" i="4" s="1"/>
  <c r="Q285" i="4" s="1"/>
  <c r="U285" i="4" s="1"/>
  <c r="P382" i="5"/>
  <c r="M383" i="5" s="1"/>
  <c r="P382" i="7" l="1"/>
  <c r="M383" i="7" s="1"/>
  <c r="R285" i="4"/>
  <c r="N286" i="4" s="1"/>
  <c r="Q382" i="5"/>
  <c r="N383" i="5" s="1"/>
  <c r="O383" i="5" s="1"/>
  <c r="R383" i="5" s="1"/>
  <c r="Q382" i="7" l="1"/>
  <c r="N383" i="7" s="1"/>
  <c r="O383" i="7" s="1"/>
  <c r="R383" i="7" s="1"/>
  <c r="S285" i="4"/>
  <c r="O286" i="4" s="1"/>
  <c r="P383" i="5"/>
  <c r="M384" i="5" s="1"/>
  <c r="P383" i="7" l="1"/>
  <c r="M384" i="7" s="1"/>
  <c r="T285" i="4"/>
  <c r="P286" i="4" s="1"/>
  <c r="Q286" i="4" s="1"/>
  <c r="U286" i="4" s="1"/>
  <c r="Q383" i="5"/>
  <c r="N384" i="5" s="1"/>
  <c r="O384" i="5" s="1"/>
  <c r="R384" i="5" s="1"/>
  <c r="Q383" i="7" l="1"/>
  <c r="N384" i="7" s="1"/>
  <c r="O384" i="7" s="1"/>
  <c r="R384" i="7" s="1"/>
  <c r="R286" i="4"/>
  <c r="N287" i="4" s="1"/>
  <c r="P384" i="5"/>
  <c r="M385" i="5" s="1"/>
  <c r="P384" i="7" l="1"/>
  <c r="M385" i="7" s="1"/>
  <c r="S286" i="4"/>
  <c r="O287" i="4" s="1"/>
  <c r="Q384" i="5"/>
  <c r="N385" i="5" s="1"/>
  <c r="O385" i="5" s="1"/>
  <c r="R385" i="5" s="1"/>
  <c r="Q384" i="7" l="1"/>
  <c r="N385" i="7" s="1"/>
  <c r="O385" i="7" s="1"/>
  <c r="R385" i="7" s="1"/>
  <c r="T286" i="4"/>
  <c r="P287" i="4" s="1"/>
  <c r="Q287" i="4" s="1"/>
  <c r="U287" i="4" s="1"/>
  <c r="P385" i="5"/>
  <c r="M386" i="5" s="1"/>
  <c r="P385" i="7" l="1"/>
  <c r="M386" i="7" s="1"/>
  <c r="R287" i="4"/>
  <c r="N288" i="4" s="1"/>
  <c r="Q385" i="5"/>
  <c r="N386" i="5" s="1"/>
  <c r="O386" i="5" s="1"/>
  <c r="R386" i="5" s="1"/>
  <c r="Q385" i="7" l="1"/>
  <c r="N386" i="7" s="1"/>
  <c r="O386" i="7" s="1"/>
  <c r="R386" i="7" s="1"/>
  <c r="S287" i="4"/>
  <c r="O288" i="4" s="1"/>
  <c r="P386" i="5"/>
  <c r="M387" i="5" s="1"/>
  <c r="P386" i="7" l="1"/>
  <c r="M387" i="7" s="1"/>
  <c r="T287" i="4"/>
  <c r="P288" i="4" s="1"/>
  <c r="Q288" i="4" s="1"/>
  <c r="U288" i="4" s="1"/>
  <c r="Q386" i="5"/>
  <c r="N387" i="5" s="1"/>
  <c r="O387" i="5" s="1"/>
  <c r="R387" i="5" s="1"/>
  <c r="Q386" i="7" l="1"/>
  <c r="N387" i="7" s="1"/>
  <c r="O387" i="7" s="1"/>
  <c r="R387" i="7" s="1"/>
  <c r="R288" i="4"/>
  <c r="N289" i="4" s="1"/>
  <c r="P387" i="5"/>
  <c r="M388" i="5" s="1"/>
  <c r="P387" i="7" l="1"/>
  <c r="M388" i="7" s="1"/>
  <c r="S288" i="4"/>
  <c r="O289" i="4" s="1"/>
  <c r="Q387" i="5"/>
  <c r="N388" i="5" s="1"/>
  <c r="O388" i="5" s="1"/>
  <c r="R388" i="5" s="1"/>
  <c r="Q387" i="7" l="1"/>
  <c r="N388" i="7" s="1"/>
  <c r="O388" i="7" s="1"/>
  <c r="R388" i="7" s="1"/>
  <c r="T288" i="4"/>
  <c r="P289" i="4" s="1"/>
  <c r="Q289" i="4" s="1"/>
  <c r="U289" i="4" s="1"/>
  <c r="P388" i="5"/>
  <c r="M389" i="5" s="1"/>
  <c r="P388" i="7" l="1"/>
  <c r="M389" i="7" s="1"/>
  <c r="R289" i="4"/>
  <c r="N290" i="4" s="1"/>
  <c r="Q388" i="5"/>
  <c r="N389" i="5" s="1"/>
  <c r="O389" i="5" s="1"/>
  <c r="R389" i="5" s="1"/>
  <c r="Q388" i="7" l="1"/>
  <c r="N389" i="7" s="1"/>
  <c r="O389" i="7" s="1"/>
  <c r="R389" i="7" s="1"/>
  <c r="S289" i="4"/>
  <c r="O290" i="4" s="1"/>
  <c r="P389" i="5"/>
  <c r="M390" i="5" s="1"/>
  <c r="P389" i="7" l="1"/>
  <c r="M390" i="7" s="1"/>
  <c r="T289" i="4"/>
  <c r="P290" i="4" s="1"/>
  <c r="Q290" i="4" s="1"/>
  <c r="U290" i="4" s="1"/>
  <c r="Q389" i="5"/>
  <c r="N390" i="5" s="1"/>
  <c r="O390" i="5" s="1"/>
  <c r="R390" i="5" s="1"/>
  <c r="Q389" i="7" l="1"/>
  <c r="N390" i="7" s="1"/>
  <c r="O390" i="7" s="1"/>
  <c r="R390" i="7" s="1"/>
  <c r="R290" i="4"/>
  <c r="N291" i="4" s="1"/>
  <c r="P390" i="5"/>
  <c r="M391" i="5" s="1"/>
  <c r="P390" i="7" l="1"/>
  <c r="M391" i="7" s="1"/>
  <c r="S290" i="4"/>
  <c r="Q390" i="5"/>
  <c r="N391" i="5" s="1"/>
  <c r="O391" i="5" s="1"/>
  <c r="R391" i="5" s="1"/>
  <c r="Q390" i="7" l="1"/>
  <c r="N391" i="7" s="1"/>
  <c r="O391" i="7" s="1"/>
  <c r="R391" i="7" s="1"/>
  <c r="O291" i="4"/>
  <c r="T290" i="4"/>
  <c r="P291" i="4" s="1"/>
  <c r="Q291" i="4" s="1"/>
  <c r="U291" i="4" s="1"/>
  <c r="P391" i="5"/>
  <c r="M392" i="5" s="1"/>
  <c r="P391" i="7" l="1"/>
  <c r="M392" i="7" s="1"/>
  <c r="R291" i="4"/>
  <c r="N292" i="4" s="1"/>
  <c r="Q391" i="5"/>
  <c r="N392" i="5" s="1"/>
  <c r="O392" i="5" s="1"/>
  <c r="R392" i="5" s="1"/>
  <c r="Q391" i="7" l="1"/>
  <c r="N392" i="7" s="1"/>
  <c r="O392" i="7" s="1"/>
  <c r="R392" i="7" s="1"/>
  <c r="S291" i="4"/>
  <c r="O292" i="4" s="1"/>
  <c r="P392" i="5"/>
  <c r="M393" i="5" s="1"/>
  <c r="P392" i="7" l="1"/>
  <c r="M393" i="7" s="1"/>
  <c r="T291" i="4"/>
  <c r="P292" i="4" s="1"/>
  <c r="Q292" i="4" s="1"/>
  <c r="U292" i="4" s="1"/>
  <c r="Q392" i="5"/>
  <c r="N393" i="5" s="1"/>
  <c r="O393" i="5" s="1"/>
  <c r="R393" i="5" s="1"/>
  <c r="Q392" i="7" l="1"/>
  <c r="N393" i="7" s="1"/>
  <c r="O393" i="7" s="1"/>
  <c r="R393" i="7" s="1"/>
  <c r="R292" i="4"/>
  <c r="N293" i="4" s="1"/>
  <c r="P393" i="5"/>
  <c r="M394" i="5" s="1"/>
  <c r="P393" i="7" l="1"/>
  <c r="M394" i="7" s="1"/>
  <c r="S292" i="4"/>
  <c r="Q393" i="5"/>
  <c r="N394" i="5" s="1"/>
  <c r="O394" i="5" s="1"/>
  <c r="R394" i="5" s="1"/>
  <c r="Q393" i="7" l="1"/>
  <c r="N394" i="7" s="1"/>
  <c r="O394" i="7" s="1"/>
  <c r="R394" i="7" s="1"/>
  <c r="O293" i="4"/>
  <c r="T292" i="4"/>
  <c r="P293" i="4" s="1"/>
  <c r="Q293" i="4" s="1"/>
  <c r="U293" i="4" s="1"/>
  <c r="P394" i="5"/>
  <c r="M395" i="5" s="1"/>
  <c r="P394" i="7" l="1"/>
  <c r="M395" i="7" s="1"/>
  <c r="R293" i="4"/>
  <c r="N294" i="4" s="1"/>
  <c r="S293" i="4"/>
  <c r="O294" i="4" s="1"/>
  <c r="Q394" i="5"/>
  <c r="N395" i="5" s="1"/>
  <c r="O395" i="5" s="1"/>
  <c r="R395" i="5" s="1"/>
  <c r="Q394" i="7" l="1"/>
  <c r="N395" i="7" s="1"/>
  <c r="O395" i="7" s="1"/>
  <c r="R395" i="7" s="1"/>
  <c r="T293" i="4"/>
  <c r="P294" i="4" s="1"/>
  <c r="Q294" i="4" s="1"/>
  <c r="U294" i="4" s="1"/>
  <c r="P395" i="5"/>
  <c r="M396" i="5" s="1"/>
  <c r="P395" i="7" l="1"/>
  <c r="M396" i="7" s="1"/>
  <c r="R294" i="4"/>
  <c r="N295" i="4" s="1"/>
  <c r="Q395" i="5"/>
  <c r="N396" i="5" s="1"/>
  <c r="O396" i="5" s="1"/>
  <c r="R396" i="5" s="1"/>
  <c r="Q395" i="7" l="1"/>
  <c r="N396" i="7" s="1"/>
  <c r="O396" i="7" s="1"/>
  <c r="R396" i="7" s="1"/>
  <c r="S294" i="4"/>
  <c r="O295" i="4" s="1"/>
  <c r="P396" i="5"/>
  <c r="M397" i="5" s="1"/>
  <c r="P396" i="7" l="1"/>
  <c r="M397" i="7" s="1"/>
  <c r="T294" i="4"/>
  <c r="P295" i="4" s="1"/>
  <c r="Q295" i="4" s="1"/>
  <c r="U295" i="4" s="1"/>
  <c r="Q396" i="5"/>
  <c r="N397" i="5" s="1"/>
  <c r="O397" i="5" s="1"/>
  <c r="R397" i="5" s="1"/>
  <c r="Q396" i="7" l="1"/>
  <c r="N397" i="7" s="1"/>
  <c r="O397" i="7" s="1"/>
  <c r="R397" i="7" s="1"/>
  <c r="R295" i="4"/>
  <c r="N296" i="4" s="1"/>
  <c r="S295" i="4"/>
  <c r="O296" i="4" s="1"/>
  <c r="T295" i="4"/>
  <c r="P296" i="4" s="1"/>
  <c r="Q296" i="4" s="1"/>
  <c r="U296" i="4" s="1"/>
  <c r="P397" i="5"/>
  <c r="M398" i="5" s="1"/>
  <c r="P397" i="7" l="1"/>
  <c r="M398" i="7" s="1"/>
  <c r="R296" i="4"/>
  <c r="N297" i="4" s="1"/>
  <c r="S296" i="4"/>
  <c r="O297" i="4" s="1"/>
  <c r="Q397" i="5"/>
  <c r="N398" i="5" s="1"/>
  <c r="O398" i="5" s="1"/>
  <c r="R398" i="5" s="1"/>
  <c r="Q397" i="7" l="1"/>
  <c r="N398" i="7" s="1"/>
  <c r="O398" i="7" s="1"/>
  <c r="R398" i="7" s="1"/>
  <c r="T296" i="4"/>
  <c r="P297" i="4" s="1"/>
  <c r="Q297" i="4" s="1"/>
  <c r="U297" i="4" s="1"/>
  <c r="P398" i="5"/>
  <c r="M399" i="5" s="1"/>
  <c r="P398" i="7" l="1"/>
  <c r="M399" i="7" s="1"/>
  <c r="R297" i="4"/>
  <c r="N298" i="4" s="1"/>
  <c r="S297" i="4"/>
  <c r="O298" i="4" s="1"/>
  <c r="Q398" i="5"/>
  <c r="N399" i="5" s="1"/>
  <c r="O399" i="5" s="1"/>
  <c r="R399" i="5" s="1"/>
  <c r="Q398" i="7" l="1"/>
  <c r="N399" i="7" s="1"/>
  <c r="O399" i="7" s="1"/>
  <c r="R399" i="7" s="1"/>
  <c r="T297" i="4"/>
  <c r="P298" i="4" s="1"/>
  <c r="Q298" i="4" s="1"/>
  <c r="U298" i="4" s="1"/>
  <c r="P399" i="5"/>
  <c r="M400" i="5" s="1"/>
  <c r="P399" i="7" l="1"/>
  <c r="M400" i="7" s="1"/>
  <c r="R298" i="4"/>
  <c r="N299" i="4" s="1"/>
  <c r="Q399" i="5"/>
  <c r="N400" i="5" s="1"/>
  <c r="O400" i="5" s="1"/>
  <c r="R400" i="5" s="1"/>
  <c r="Q399" i="7" l="1"/>
  <c r="N400" i="7" s="1"/>
  <c r="O400" i="7" s="1"/>
  <c r="R400" i="7" s="1"/>
  <c r="S298" i="4"/>
  <c r="O299" i="4" s="1"/>
  <c r="Q299" i="4"/>
  <c r="U299" i="4" s="1"/>
  <c r="R299" i="4" s="1"/>
  <c r="N300" i="4" s="1"/>
  <c r="T298" i="4"/>
  <c r="P299" i="4" s="1"/>
  <c r="P400" i="5"/>
  <c r="M401" i="5" s="1"/>
  <c r="P400" i="7" l="1"/>
  <c r="M401" i="7" s="1"/>
  <c r="S299" i="4"/>
  <c r="O300" i="4" s="1"/>
  <c r="Q400" i="5"/>
  <c r="N401" i="5" s="1"/>
  <c r="O401" i="5" s="1"/>
  <c r="R401" i="5" s="1"/>
  <c r="Q400" i="7" l="1"/>
  <c r="N401" i="7" s="1"/>
  <c r="O401" i="7" s="1"/>
  <c r="R401" i="7" s="1"/>
  <c r="T299" i="4"/>
  <c r="P300" i="4" s="1"/>
  <c r="Q300" i="4" s="1"/>
  <c r="U300" i="4" s="1"/>
  <c r="R300" i="4" s="1"/>
  <c r="N301" i="4" s="1"/>
  <c r="P401" i="5"/>
  <c r="M402" i="5" s="1"/>
  <c r="P401" i="7" l="1"/>
  <c r="M402" i="7" s="1"/>
  <c r="S300" i="4"/>
  <c r="O301" i="4" s="1"/>
  <c r="Q401" i="5"/>
  <c r="N402" i="5" s="1"/>
  <c r="O402" i="5" s="1"/>
  <c r="R402" i="5" s="1"/>
  <c r="Q401" i="7" l="1"/>
  <c r="N402" i="7" s="1"/>
  <c r="O402" i="7" s="1"/>
  <c r="R402" i="7" s="1"/>
  <c r="T300" i="4"/>
  <c r="P301" i="4" s="1"/>
  <c r="Q301" i="4" s="1"/>
  <c r="U301" i="4" s="1"/>
  <c r="R301" i="4" s="1"/>
  <c r="N302" i="4" s="1"/>
  <c r="P402" i="5"/>
  <c r="M403" i="5" s="1"/>
  <c r="P402" i="7" l="1"/>
  <c r="M403" i="7" s="1"/>
  <c r="S301" i="4"/>
  <c r="O302" i="4" s="1"/>
  <c r="Q402" i="5"/>
  <c r="N403" i="5" s="1"/>
  <c r="O403" i="5" s="1"/>
  <c r="R403" i="5" s="1"/>
  <c r="Q402" i="7" l="1"/>
  <c r="N403" i="7" s="1"/>
  <c r="O403" i="7" s="1"/>
  <c r="R403" i="7" s="1"/>
  <c r="T301" i="4"/>
  <c r="P302" i="4" s="1"/>
  <c r="Q302" i="4" s="1"/>
  <c r="U302" i="4" s="1"/>
  <c r="P403" i="5"/>
  <c r="M404" i="5" s="1"/>
  <c r="R302" i="4"/>
  <c r="N303" i="4" s="1"/>
  <c r="P403" i="7" l="1"/>
  <c r="M404" i="7" s="1"/>
  <c r="Q403" i="5"/>
  <c r="N404" i="5" s="1"/>
  <c r="O404" i="5" s="1"/>
  <c r="R404" i="5" s="1"/>
  <c r="S302" i="4"/>
  <c r="O303" i="4" s="1"/>
  <c r="Q403" i="7" l="1"/>
  <c r="N404" i="7" s="1"/>
  <c r="O404" i="7" s="1"/>
  <c r="R404" i="7" s="1"/>
  <c r="P404" i="5"/>
  <c r="M405" i="5" s="1"/>
  <c r="T302" i="4"/>
  <c r="P303" i="4" s="1"/>
  <c r="Q303" i="4" s="1"/>
  <c r="U303" i="4" s="1"/>
  <c r="P404" i="7" l="1"/>
  <c r="M405" i="7" s="1"/>
  <c r="Q404" i="5"/>
  <c r="N405" i="5" s="1"/>
  <c r="O405" i="5" s="1"/>
  <c r="R405" i="5" s="1"/>
  <c r="R303" i="4"/>
  <c r="N304" i="4" s="1"/>
  <c r="Q404" i="7" l="1"/>
  <c r="N405" i="7" s="1"/>
  <c r="O405" i="7" s="1"/>
  <c r="R405" i="7" s="1"/>
  <c r="P405" i="5"/>
  <c r="M406" i="5" s="1"/>
  <c r="S303" i="4"/>
  <c r="O304" i="4" s="1"/>
  <c r="P405" i="7" l="1"/>
  <c r="M406" i="7" s="1"/>
  <c r="T303" i="4"/>
  <c r="P304" i="4" s="1"/>
  <c r="Q304" i="4" s="1"/>
  <c r="U304" i="4" s="1"/>
  <c r="R304" i="4" s="1"/>
  <c r="N305" i="4" s="1"/>
  <c r="Q405" i="5"/>
  <c r="N406" i="5" s="1"/>
  <c r="O406" i="5" s="1"/>
  <c r="R406" i="5" s="1"/>
  <c r="Q405" i="7" l="1"/>
  <c r="N406" i="7" s="1"/>
  <c r="O406" i="7" s="1"/>
  <c r="R406" i="7" s="1"/>
  <c r="S304" i="4"/>
  <c r="O305" i="4" s="1"/>
  <c r="P406" i="5"/>
  <c r="M407" i="5" s="1"/>
  <c r="P406" i="7" l="1"/>
  <c r="M407" i="7" s="1"/>
  <c r="T304" i="4"/>
  <c r="P305" i="4" s="1"/>
  <c r="Q305" i="4" s="1"/>
  <c r="U305" i="4" s="1"/>
  <c r="R305" i="4" s="1"/>
  <c r="N306" i="4" s="1"/>
  <c r="Q406" i="5"/>
  <c r="N407" i="5" s="1"/>
  <c r="O407" i="5" s="1"/>
  <c r="R407" i="5" s="1"/>
  <c r="Q406" i="7" l="1"/>
  <c r="N407" i="7" s="1"/>
  <c r="O407" i="7" s="1"/>
  <c r="R407" i="7" s="1"/>
  <c r="S305" i="4"/>
  <c r="O306" i="4" s="1"/>
  <c r="P407" i="5"/>
  <c r="M408" i="5" s="1"/>
  <c r="P407" i="7" l="1"/>
  <c r="M408" i="7" s="1"/>
  <c r="T305" i="4"/>
  <c r="P306" i="4" s="1"/>
  <c r="Q306" i="4" s="1"/>
  <c r="U306" i="4" s="1"/>
  <c r="R306" i="4" s="1"/>
  <c r="N307" i="4" s="1"/>
  <c r="Q407" i="5"/>
  <c r="N408" i="5" s="1"/>
  <c r="O408" i="5" s="1"/>
  <c r="R408" i="5" s="1"/>
  <c r="Q407" i="7" l="1"/>
  <c r="N408" i="7" s="1"/>
  <c r="O408" i="7" s="1"/>
  <c r="R408" i="7" s="1"/>
  <c r="S306" i="4"/>
  <c r="P408" i="5"/>
  <c r="M409" i="5" s="1"/>
  <c r="O307" i="4"/>
  <c r="T306" i="4"/>
  <c r="P307" i="4" s="1"/>
  <c r="Q307" i="4" s="1"/>
  <c r="U307" i="4" s="1"/>
  <c r="P408" i="7" l="1"/>
  <c r="M409" i="7" s="1"/>
  <c r="Q408" i="5"/>
  <c r="N409" i="5" s="1"/>
  <c r="O409" i="5" s="1"/>
  <c r="R409" i="5" s="1"/>
  <c r="R307" i="4"/>
  <c r="N308" i="4" s="1"/>
  <c r="Q408" i="7" l="1"/>
  <c r="N409" i="7" s="1"/>
  <c r="O409" i="7" s="1"/>
  <c r="R409" i="7" s="1"/>
  <c r="S307" i="4"/>
  <c r="O308" i="4" s="1"/>
  <c r="P409" i="5"/>
  <c r="M410" i="5" s="1"/>
  <c r="P409" i="7" l="1"/>
  <c r="M410" i="7" s="1"/>
  <c r="T307" i="4"/>
  <c r="P308" i="4" s="1"/>
  <c r="Q308" i="4" s="1"/>
  <c r="U308" i="4" s="1"/>
  <c r="R308" i="4" s="1"/>
  <c r="N309" i="4" s="1"/>
  <c r="Q409" i="5"/>
  <c r="N410" i="5" s="1"/>
  <c r="O410" i="5" s="1"/>
  <c r="R410" i="5" s="1"/>
  <c r="Q409" i="7" l="1"/>
  <c r="N410" i="7" s="1"/>
  <c r="O410" i="7" s="1"/>
  <c r="R410" i="7" s="1"/>
  <c r="S308" i="4"/>
  <c r="O309" i="4" s="1"/>
  <c r="P410" i="5"/>
  <c r="M411" i="5" s="1"/>
  <c r="P410" i="7" l="1"/>
  <c r="M411" i="7" s="1"/>
  <c r="T308" i="4"/>
  <c r="P309" i="4" s="1"/>
  <c r="Q309" i="4" s="1"/>
  <c r="U309" i="4" s="1"/>
  <c r="R309" i="4" s="1"/>
  <c r="N310" i="4" s="1"/>
  <c r="Q410" i="5"/>
  <c r="N411" i="5" s="1"/>
  <c r="O411" i="5" s="1"/>
  <c r="R411" i="5" s="1"/>
  <c r="Q410" i="7" l="1"/>
  <c r="N411" i="7" s="1"/>
  <c r="O411" i="7" s="1"/>
  <c r="R411" i="7" s="1"/>
  <c r="S309" i="4"/>
  <c r="O310" i="4" s="1"/>
  <c r="P411" i="5"/>
  <c r="M412" i="5" s="1"/>
  <c r="P411" i="7" l="1"/>
  <c r="M412" i="7" s="1"/>
  <c r="Q310" i="4"/>
  <c r="U310" i="4" s="1"/>
  <c r="R310" i="4" s="1"/>
  <c r="N311" i="4" s="1"/>
  <c r="T309" i="4"/>
  <c r="P310" i="4" s="1"/>
  <c r="Q411" i="5"/>
  <c r="N412" i="5" s="1"/>
  <c r="O412" i="5" s="1"/>
  <c r="R412" i="5" s="1"/>
  <c r="Q411" i="7" l="1"/>
  <c r="N412" i="7" s="1"/>
  <c r="O412" i="7" s="1"/>
  <c r="R412" i="7" s="1"/>
  <c r="S310" i="4"/>
  <c r="O311" i="4" s="1"/>
  <c r="P412" i="5"/>
  <c r="M413" i="5" s="1"/>
  <c r="P412" i="7" l="1"/>
  <c r="M413" i="7" s="1"/>
  <c r="T310" i="4"/>
  <c r="P311" i="4" s="1"/>
  <c r="Q311" i="4" s="1"/>
  <c r="U311" i="4" s="1"/>
  <c r="R311" i="4" s="1"/>
  <c r="N312" i="4" s="1"/>
  <c r="Q412" i="5"/>
  <c r="N413" i="5" s="1"/>
  <c r="O413" i="5" s="1"/>
  <c r="R413" i="5" s="1"/>
  <c r="Q412" i="7" l="1"/>
  <c r="N413" i="7" s="1"/>
  <c r="O413" i="7" s="1"/>
  <c r="R413" i="7" s="1"/>
  <c r="P413" i="5"/>
  <c r="M414" i="5" s="1"/>
  <c r="S311" i="4"/>
  <c r="O312" i="4" s="1"/>
  <c r="P413" i="7" l="1"/>
  <c r="M414" i="7" s="1"/>
  <c r="Q413" i="5"/>
  <c r="N414" i="5" s="1"/>
  <c r="O414" i="5"/>
  <c r="R414" i="5" s="1"/>
  <c r="T311" i="4"/>
  <c r="P312" i="4" s="1"/>
  <c r="Q312" i="4" s="1"/>
  <c r="U312" i="4" s="1"/>
  <c r="R312" i="4" s="1"/>
  <c r="Q413" i="7" l="1"/>
  <c r="N414" i="7" s="1"/>
  <c r="O414" i="7" s="1"/>
  <c r="R414" i="7" s="1"/>
  <c r="P414" i="5"/>
  <c r="M415" i="5" s="1"/>
  <c r="N313" i="4"/>
  <c r="S312" i="4"/>
  <c r="O313" i="4" s="1"/>
  <c r="P414" i="7" l="1"/>
  <c r="M415" i="7" s="1"/>
  <c r="T312" i="4"/>
  <c r="P313" i="4" s="1"/>
  <c r="Q313" i="4" s="1"/>
  <c r="U313" i="4" s="1"/>
  <c r="R313" i="4" s="1"/>
  <c r="N314" i="4" s="1"/>
  <c r="Q414" i="5"/>
  <c r="N415" i="5" s="1"/>
  <c r="O415" i="5" s="1"/>
  <c r="R415" i="5" s="1"/>
  <c r="Q414" i="7" l="1"/>
  <c r="N415" i="7" s="1"/>
  <c r="O415" i="7" s="1"/>
  <c r="R415" i="7" s="1"/>
  <c r="P415" i="5"/>
  <c r="M416" i="5" s="1"/>
  <c r="S313" i="4"/>
  <c r="O314" i="4" s="1"/>
  <c r="P415" i="7" l="1"/>
  <c r="M416" i="7" s="1"/>
  <c r="Q415" i="5"/>
  <c r="N416" i="5" s="1"/>
  <c r="O416" i="5" s="1"/>
  <c r="R416" i="5" s="1"/>
  <c r="T313" i="4"/>
  <c r="P314" i="4" s="1"/>
  <c r="Q314" i="4" s="1"/>
  <c r="U314" i="4" s="1"/>
  <c r="R314" i="4" s="1"/>
  <c r="N315" i="4" s="1"/>
  <c r="Q415" i="7" l="1"/>
  <c r="N416" i="7" s="1"/>
  <c r="O416" i="7" s="1"/>
  <c r="R416" i="7" s="1"/>
  <c r="P416" i="5"/>
  <c r="M417" i="5" s="1"/>
  <c r="S314" i="4"/>
  <c r="O315" i="4" s="1"/>
  <c r="P416" i="7" l="1"/>
  <c r="M417" i="7" s="1"/>
  <c r="T314" i="4"/>
  <c r="P315" i="4" s="1"/>
  <c r="Q315" i="4" s="1"/>
  <c r="U315" i="4" s="1"/>
  <c r="R315" i="4" s="1"/>
  <c r="N316" i="4" s="1"/>
  <c r="Q416" i="5"/>
  <c r="N417" i="5" s="1"/>
  <c r="O417" i="5" s="1"/>
  <c r="R417" i="5" s="1"/>
  <c r="Q416" i="7" l="1"/>
  <c r="N417" i="7" s="1"/>
  <c r="O417" i="7" s="1"/>
  <c r="R417" i="7" s="1"/>
  <c r="S315" i="4"/>
  <c r="O316" i="4" s="1"/>
  <c r="P417" i="5"/>
  <c r="M418" i="5" s="1"/>
  <c r="P417" i="7" l="1"/>
  <c r="M418" i="7" s="1"/>
  <c r="T315" i="4"/>
  <c r="P316" i="4" s="1"/>
  <c r="Q316" i="4" s="1"/>
  <c r="U316" i="4" s="1"/>
  <c r="R316" i="4" s="1"/>
  <c r="N317" i="4" s="1"/>
  <c r="Q417" i="5"/>
  <c r="N418" i="5" s="1"/>
  <c r="O418" i="5" s="1"/>
  <c r="R418" i="5" s="1"/>
  <c r="Q417" i="7" l="1"/>
  <c r="N418" i="7" s="1"/>
  <c r="O418" i="7" s="1"/>
  <c r="R418" i="7" s="1"/>
  <c r="P418" i="5"/>
  <c r="M419" i="5" s="1"/>
  <c r="S316" i="4"/>
  <c r="P418" i="7" l="1"/>
  <c r="M419" i="7" s="1"/>
  <c r="Q418" i="5"/>
  <c r="N419" i="5" s="1"/>
  <c r="O419" i="5" s="1"/>
  <c r="R419" i="5" s="1"/>
  <c r="O317" i="4"/>
  <c r="T316" i="4"/>
  <c r="P317" i="4" s="1"/>
  <c r="Q317" i="4" s="1"/>
  <c r="U317" i="4" s="1"/>
  <c r="R317" i="4" s="1"/>
  <c r="N318" i="4" s="1"/>
  <c r="Q418" i="7" l="1"/>
  <c r="N419" i="7" s="1"/>
  <c r="O419" i="7" s="1"/>
  <c r="R419" i="7" s="1"/>
  <c r="P419" i="5"/>
  <c r="M420" i="5" s="1"/>
  <c r="S317" i="4"/>
  <c r="O318" i="4" s="1"/>
  <c r="P419" i="7" l="1"/>
  <c r="M420" i="7" s="1"/>
  <c r="Q419" i="5"/>
  <c r="N420" i="5" s="1"/>
  <c r="O420" i="5" s="1"/>
  <c r="R420" i="5" s="1"/>
  <c r="T317" i="4"/>
  <c r="P318" i="4" s="1"/>
  <c r="Q318" i="4" s="1"/>
  <c r="U318" i="4" s="1"/>
  <c r="R318" i="4" s="1"/>
  <c r="N319" i="4" s="1"/>
  <c r="Q419" i="7" l="1"/>
  <c r="N420" i="7" s="1"/>
  <c r="O420" i="7" s="1"/>
  <c r="R420" i="7" s="1"/>
  <c r="P420" i="5"/>
  <c r="M421" i="5" s="1"/>
  <c r="S318" i="4"/>
  <c r="O319" i="4" s="1"/>
  <c r="P420" i="7" l="1"/>
  <c r="M421" i="7" s="1"/>
  <c r="T318" i="4"/>
  <c r="P319" i="4" s="1"/>
  <c r="Q319" i="4" s="1"/>
  <c r="U319" i="4" s="1"/>
  <c r="R319" i="4" s="1"/>
  <c r="N320" i="4" s="1"/>
  <c r="Q420" i="5"/>
  <c r="N421" i="5" s="1"/>
  <c r="O421" i="5" s="1"/>
  <c r="R421" i="5" s="1"/>
  <c r="Q420" i="7" l="1"/>
  <c r="N421" i="7" s="1"/>
  <c r="O421" i="7" s="1"/>
  <c r="R421" i="7" s="1"/>
  <c r="S319" i="4"/>
  <c r="O320" i="4" s="1"/>
  <c r="P421" i="5"/>
  <c r="M422" i="5" s="1"/>
  <c r="P421" i="7" l="1"/>
  <c r="M422" i="7" s="1"/>
  <c r="T319" i="4"/>
  <c r="P320" i="4" s="1"/>
  <c r="Q320" i="4" s="1"/>
  <c r="U320" i="4" s="1"/>
  <c r="R320" i="4" s="1"/>
  <c r="N321" i="4" s="1"/>
  <c r="Q421" i="5"/>
  <c r="N422" i="5" s="1"/>
  <c r="O422" i="5"/>
  <c r="R422" i="5" s="1"/>
  <c r="Q421" i="7" l="1"/>
  <c r="N422" i="7" s="1"/>
  <c r="O422" i="7" s="1"/>
  <c r="R422" i="7" s="1"/>
  <c r="S320" i="4"/>
  <c r="O321" i="4" s="1"/>
  <c r="P422" i="5"/>
  <c r="M423" i="5" s="1"/>
  <c r="P422" i="7" l="1"/>
  <c r="M423" i="7" s="1"/>
  <c r="T320" i="4"/>
  <c r="P321" i="4" s="1"/>
  <c r="Q321" i="4" s="1"/>
  <c r="U321" i="4" s="1"/>
  <c r="R321" i="4" s="1"/>
  <c r="N322" i="4" s="1"/>
  <c r="Q422" i="5"/>
  <c r="N423" i="5" s="1"/>
  <c r="O423" i="5" s="1"/>
  <c r="R423" i="5" s="1"/>
  <c r="Q422" i="7" l="1"/>
  <c r="N423" i="7" s="1"/>
  <c r="O423" i="7" s="1"/>
  <c r="R423" i="7" s="1"/>
  <c r="P423" i="5"/>
  <c r="M424" i="5" s="1"/>
  <c r="S321" i="4"/>
  <c r="O322" i="4" s="1"/>
  <c r="P423" i="7" l="1"/>
  <c r="M424" i="7" s="1"/>
  <c r="Q423" i="5"/>
  <c r="N424" i="5" s="1"/>
  <c r="O424" i="5" s="1"/>
  <c r="R424" i="5" s="1"/>
  <c r="T321" i="4"/>
  <c r="P322" i="4" s="1"/>
  <c r="Q322" i="4" s="1"/>
  <c r="U322" i="4" s="1"/>
  <c r="R322" i="4" s="1"/>
  <c r="N323" i="4" s="1"/>
  <c r="Q423" i="7" l="1"/>
  <c r="N424" i="7" s="1"/>
  <c r="O424" i="7" s="1"/>
  <c r="R424" i="7" s="1"/>
  <c r="P424" i="5"/>
  <c r="M425" i="5" s="1"/>
  <c r="S322" i="4"/>
  <c r="O323" i="4" s="1"/>
  <c r="P424" i="7" l="1"/>
  <c r="M425" i="7" s="1"/>
  <c r="Q424" i="5"/>
  <c r="N425" i="5" s="1"/>
  <c r="O425" i="5" s="1"/>
  <c r="R425" i="5" s="1"/>
  <c r="T322" i="4"/>
  <c r="P323" i="4" s="1"/>
  <c r="Q323" i="4" s="1"/>
  <c r="U323" i="4" s="1"/>
  <c r="R323" i="4" s="1"/>
  <c r="N324" i="4" s="1"/>
  <c r="Q424" i="7" l="1"/>
  <c r="N425" i="7" s="1"/>
  <c r="O425" i="7" s="1"/>
  <c r="R425" i="7" s="1"/>
  <c r="P425" i="5"/>
  <c r="M426" i="5" s="1"/>
  <c r="S323" i="4"/>
  <c r="P425" i="7" l="1"/>
  <c r="M426" i="7" s="1"/>
  <c r="Q425" i="5"/>
  <c r="N426" i="5" s="1"/>
  <c r="O426" i="5" s="1"/>
  <c r="R426" i="5" s="1"/>
  <c r="O324" i="4"/>
  <c r="T323" i="4"/>
  <c r="P324" i="4" s="1"/>
  <c r="Q324" i="4" s="1"/>
  <c r="U324" i="4" s="1"/>
  <c r="Q425" i="7" l="1"/>
  <c r="N426" i="7" s="1"/>
  <c r="O426" i="7" s="1"/>
  <c r="R426" i="7" s="1"/>
  <c r="P426" i="5"/>
  <c r="M427" i="5" s="1"/>
  <c r="R324" i="4"/>
  <c r="N325" i="4" s="1"/>
  <c r="S324" i="4"/>
  <c r="O325" i="4" s="1"/>
  <c r="P426" i="7" l="1"/>
  <c r="M427" i="7" s="1"/>
  <c r="T324" i="4"/>
  <c r="P325" i="4" s="1"/>
  <c r="Q426" i="5"/>
  <c r="N427" i="5" s="1"/>
  <c r="O427" i="5" s="1"/>
  <c r="R427" i="5" s="1"/>
  <c r="Q325" i="4"/>
  <c r="U325" i="4" s="1"/>
  <c r="Q426" i="7" l="1"/>
  <c r="N427" i="7" s="1"/>
  <c r="O427" i="7" s="1"/>
  <c r="R427" i="7" s="1"/>
  <c r="P427" i="5"/>
  <c r="M428" i="5" s="1"/>
  <c r="R325" i="4"/>
  <c r="N326" i="4" s="1"/>
  <c r="P427" i="7" l="1"/>
  <c r="M428" i="7" s="1"/>
  <c r="Q427" i="5"/>
  <c r="N428" i="5" s="1"/>
  <c r="O428" i="5" s="1"/>
  <c r="R428" i="5" s="1"/>
  <c r="S325" i="4"/>
  <c r="O326" i="4" s="1"/>
  <c r="Q427" i="7" l="1"/>
  <c r="N428" i="7" s="1"/>
  <c r="O428" i="7" s="1"/>
  <c r="R428" i="7" s="1"/>
  <c r="T325" i="4"/>
  <c r="P326" i="4" s="1"/>
  <c r="Q326" i="4" s="1"/>
  <c r="U326" i="4" s="1"/>
  <c r="R326" i="4" s="1"/>
  <c r="N327" i="4" s="1"/>
  <c r="P428" i="5"/>
  <c r="M429" i="5" s="1"/>
  <c r="P428" i="7" l="1"/>
  <c r="M429" i="7" s="1"/>
  <c r="Q428" i="5"/>
  <c r="N429" i="5" s="1"/>
  <c r="O429" i="5" s="1"/>
  <c r="R429" i="5" s="1"/>
  <c r="S326" i="4"/>
  <c r="O327" i="4" s="1"/>
  <c r="Q428" i="7" l="1"/>
  <c r="N429" i="7" s="1"/>
  <c r="O429" i="7" s="1"/>
  <c r="R429" i="7" s="1"/>
  <c r="P429" i="5"/>
  <c r="M430" i="5" s="1"/>
  <c r="T326" i="4"/>
  <c r="P327" i="4" s="1"/>
  <c r="Q327" i="4" s="1"/>
  <c r="U327" i="4" s="1"/>
  <c r="P429" i="7" l="1"/>
  <c r="M430" i="7" s="1"/>
  <c r="Q429" i="5"/>
  <c r="N430" i="5" s="1"/>
  <c r="O430" i="5" s="1"/>
  <c r="R430" i="5" s="1"/>
  <c r="R327" i="4"/>
  <c r="N328" i="4" s="1"/>
  <c r="Q429" i="7" l="1"/>
  <c r="N430" i="7" s="1"/>
  <c r="O430" i="7" s="1"/>
  <c r="R430" i="7" s="1"/>
  <c r="P430" i="5"/>
  <c r="M431" i="5" s="1"/>
  <c r="S327" i="4"/>
  <c r="O328" i="4" s="1"/>
  <c r="P430" i="7" l="1"/>
  <c r="M431" i="7" s="1"/>
  <c r="Q430" i="5"/>
  <c r="N431" i="5" s="1"/>
  <c r="O431" i="5" s="1"/>
  <c r="R431" i="5" s="1"/>
  <c r="T327" i="4"/>
  <c r="P328" i="4" s="1"/>
  <c r="Q328" i="4" s="1"/>
  <c r="U328" i="4" s="1"/>
  <c r="Q430" i="7" l="1"/>
  <c r="N431" i="7" s="1"/>
  <c r="O431" i="7" s="1"/>
  <c r="R431" i="7" s="1"/>
  <c r="P431" i="5"/>
  <c r="M432" i="5" s="1"/>
  <c r="R328" i="4"/>
  <c r="N329" i="4" s="1"/>
  <c r="P431" i="7" l="1"/>
  <c r="M432" i="7" s="1"/>
  <c r="Q431" i="5"/>
  <c r="N432" i="5" s="1"/>
  <c r="O432" i="5" s="1"/>
  <c r="R432" i="5" s="1"/>
  <c r="S328" i="4"/>
  <c r="O329" i="4" s="1"/>
  <c r="Q431" i="7" l="1"/>
  <c r="N432" i="7" s="1"/>
  <c r="O432" i="7" s="1"/>
  <c r="R432" i="7" s="1"/>
  <c r="P432" i="5"/>
  <c r="M433" i="5" s="1"/>
  <c r="T328" i="4"/>
  <c r="P329" i="4" s="1"/>
  <c r="Q329" i="4" s="1"/>
  <c r="U329" i="4" s="1"/>
  <c r="R329" i="4" s="1"/>
  <c r="N330" i="4" s="1"/>
  <c r="P432" i="7" l="1"/>
  <c r="M433" i="7" s="1"/>
  <c r="Q432" i="5"/>
  <c r="N433" i="5" s="1"/>
  <c r="O433" i="5" s="1"/>
  <c r="R433" i="5" s="1"/>
  <c r="S329" i="4"/>
  <c r="O330" i="4" s="1"/>
  <c r="Q432" i="7" l="1"/>
  <c r="N433" i="7" s="1"/>
  <c r="O433" i="7" s="1"/>
  <c r="R433" i="7" s="1"/>
  <c r="P433" i="5"/>
  <c r="M434" i="5" s="1"/>
  <c r="T329" i="4"/>
  <c r="P330" i="4" s="1"/>
  <c r="Q330" i="4" s="1"/>
  <c r="U330" i="4" s="1"/>
  <c r="P433" i="7" l="1"/>
  <c r="M434" i="7" s="1"/>
  <c r="Q433" i="5"/>
  <c r="N434" i="5" s="1"/>
  <c r="O434" i="5" s="1"/>
  <c r="R434" i="5" s="1"/>
  <c r="R330" i="4"/>
  <c r="N331" i="4" s="1"/>
  <c r="Q433" i="7" l="1"/>
  <c r="N434" i="7" s="1"/>
  <c r="O434" i="7" s="1"/>
  <c r="R434" i="7" s="1"/>
  <c r="P434" i="5"/>
  <c r="M435" i="5" s="1"/>
  <c r="S330" i="4"/>
  <c r="O331" i="4" s="1"/>
  <c r="P434" i="7" l="1"/>
  <c r="M435" i="7" s="1"/>
  <c r="T330" i="4"/>
  <c r="P331" i="4" s="1"/>
  <c r="Q331" i="4" s="1"/>
  <c r="U331" i="4" s="1"/>
  <c r="R331" i="4" s="1"/>
  <c r="N332" i="4" s="1"/>
  <c r="Q434" i="5"/>
  <c r="N435" i="5" s="1"/>
  <c r="O435" i="5" s="1"/>
  <c r="R435" i="5" s="1"/>
  <c r="Q434" i="7" l="1"/>
  <c r="N435" i="7" s="1"/>
  <c r="O435" i="7" s="1"/>
  <c r="R435" i="7" s="1"/>
  <c r="P435" i="5"/>
  <c r="M436" i="5" s="1"/>
  <c r="S331" i="4"/>
  <c r="P435" i="7" l="1"/>
  <c r="M436" i="7" s="1"/>
  <c r="Q435" i="5"/>
  <c r="N436" i="5" s="1"/>
  <c r="O436" i="5"/>
  <c r="R436" i="5" s="1"/>
  <c r="O332" i="4"/>
  <c r="T331" i="4"/>
  <c r="P332" i="4" s="1"/>
  <c r="Q332" i="4" s="1"/>
  <c r="U332" i="4" s="1"/>
  <c r="Q435" i="7" l="1"/>
  <c r="N436" i="7" s="1"/>
  <c r="O436" i="7" s="1"/>
  <c r="R436" i="7" s="1"/>
  <c r="P436" i="5"/>
  <c r="M437" i="5" s="1"/>
  <c r="R332" i="4"/>
  <c r="N333" i="4" s="1"/>
  <c r="P436" i="7" l="1"/>
  <c r="M437" i="7" s="1"/>
  <c r="Q436" i="5"/>
  <c r="N437" i="5" s="1"/>
  <c r="O437" i="5" s="1"/>
  <c r="R437" i="5" s="1"/>
  <c r="S332" i="4"/>
  <c r="O333" i="4" s="1"/>
  <c r="Q436" i="7" l="1"/>
  <c r="N437" i="7" s="1"/>
  <c r="O437" i="7" s="1"/>
  <c r="R437" i="7" s="1"/>
  <c r="P437" i="5"/>
  <c r="M438" i="5" s="1"/>
  <c r="T332" i="4"/>
  <c r="P333" i="4" s="1"/>
  <c r="Q333" i="4" s="1"/>
  <c r="U333" i="4" s="1"/>
  <c r="P437" i="7" l="1"/>
  <c r="M438" i="7" s="1"/>
  <c r="Q437" i="5"/>
  <c r="N438" i="5" s="1"/>
  <c r="O438" i="5" s="1"/>
  <c r="R438" i="5" s="1"/>
  <c r="R333" i="4"/>
  <c r="N334" i="4" s="1"/>
  <c r="Q437" i="7" l="1"/>
  <c r="N438" i="7" s="1"/>
  <c r="O438" i="7" s="1"/>
  <c r="R438" i="7" s="1"/>
  <c r="P438" i="5"/>
  <c r="M439" i="5" s="1"/>
  <c r="S333" i="4"/>
  <c r="O334" i="4" s="1"/>
  <c r="P438" i="7" l="1"/>
  <c r="M439" i="7" s="1"/>
  <c r="Q438" i="5"/>
  <c r="N439" i="5" s="1"/>
  <c r="O439" i="5" s="1"/>
  <c r="R439" i="5" s="1"/>
  <c r="T333" i="4"/>
  <c r="P334" i="4" s="1"/>
  <c r="Q334" i="4" s="1"/>
  <c r="U334" i="4" s="1"/>
  <c r="Q438" i="7" l="1"/>
  <c r="N439" i="7" s="1"/>
  <c r="O439" i="7" s="1"/>
  <c r="R439" i="7" s="1"/>
  <c r="P439" i="5"/>
  <c r="M440" i="5" s="1"/>
  <c r="R334" i="4"/>
  <c r="N335" i="4" s="1"/>
  <c r="P439" i="7" l="1"/>
  <c r="M440" i="7" s="1"/>
  <c r="Q439" i="5"/>
  <c r="N440" i="5" s="1"/>
  <c r="O440" i="5" s="1"/>
  <c r="R440" i="5" s="1"/>
  <c r="S334" i="4"/>
  <c r="O335" i="4" s="1"/>
  <c r="Q439" i="7" l="1"/>
  <c r="N440" i="7" s="1"/>
  <c r="O440" i="7" s="1"/>
  <c r="R440" i="7" s="1"/>
  <c r="P440" i="5"/>
  <c r="M441" i="5" s="1"/>
  <c r="T334" i="4"/>
  <c r="P335" i="4" s="1"/>
  <c r="Q335" i="4" s="1"/>
  <c r="U335" i="4" s="1"/>
  <c r="P440" i="7" l="1"/>
  <c r="M441" i="7" s="1"/>
  <c r="Q440" i="5"/>
  <c r="N441" i="5" s="1"/>
  <c r="O441" i="5" s="1"/>
  <c r="R441" i="5" s="1"/>
  <c r="R335" i="4"/>
  <c r="N336" i="4" s="1"/>
  <c r="Q440" i="7" l="1"/>
  <c r="N441" i="7" s="1"/>
  <c r="O441" i="7" s="1"/>
  <c r="R441" i="7" s="1"/>
  <c r="P441" i="5"/>
  <c r="M442" i="5" s="1"/>
  <c r="S335" i="4"/>
  <c r="P441" i="7" l="1"/>
  <c r="M442" i="7" s="1"/>
  <c r="Q441" i="5"/>
  <c r="N442" i="5" s="1"/>
  <c r="O442" i="5" s="1"/>
  <c r="R442" i="5" s="1"/>
  <c r="O336" i="4"/>
  <c r="T335" i="4"/>
  <c r="P336" i="4" s="1"/>
  <c r="Q336" i="4" s="1"/>
  <c r="U336" i="4" s="1"/>
  <c r="Q441" i="7" l="1"/>
  <c r="N442" i="7" s="1"/>
  <c r="O442" i="7" s="1"/>
  <c r="R442" i="7" s="1"/>
  <c r="P442" i="5"/>
  <c r="M443" i="5" s="1"/>
  <c r="R336" i="4"/>
  <c r="N337" i="4" s="1"/>
  <c r="P442" i="7" l="1"/>
  <c r="M443" i="7" s="1"/>
  <c r="Q442" i="5"/>
  <c r="N443" i="5" s="1"/>
  <c r="O443" i="5" s="1"/>
  <c r="R443" i="5" s="1"/>
  <c r="S336" i="4"/>
  <c r="Q442" i="7" l="1"/>
  <c r="N443" i="7" s="1"/>
  <c r="O443" i="7" s="1"/>
  <c r="R443" i="7" s="1"/>
  <c r="P443" i="5"/>
  <c r="M444" i="5" s="1"/>
  <c r="O337" i="4"/>
  <c r="T336" i="4"/>
  <c r="P337" i="4" s="1"/>
  <c r="Q337" i="4" s="1"/>
  <c r="U337" i="4" s="1"/>
  <c r="P443" i="7" l="1"/>
  <c r="M444" i="7" s="1"/>
  <c r="Q443" i="5"/>
  <c r="N444" i="5" s="1"/>
  <c r="O444" i="5" s="1"/>
  <c r="R444" i="5" s="1"/>
  <c r="R337" i="4"/>
  <c r="N338" i="4" s="1"/>
  <c r="Q443" i="7" l="1"/>
  <c r="N444" i="7" s="1"/>
  <c r="O444" i="7" s="1"/>
  <c r="R444" i="7" s="1"/>
  <c r="P444" i="5"/>
  <c r="M445" i="5" s="1"/>
  <c r="S337" i="4"/>
  <c r="P444" i="7" l="1"/>
  <c r="M445" i="7" s="1"/>
  <c r="Q444" i="5"/>
  <c r="N445" i="5" s="1"/>
  <c r="O445" i="5" s="1"/>
  <c r="R445" i="5" s="1"/>
  <c r="O338" i="4"/>
  <c r="T337" i="4"/>
  <c r="P338" i="4" s="1"/>
  <c r="Q444" i="7" l="1"/>
  <c r="N445" i="7" s="1"/>
  <c r="O445" i="7" s="1"/>
  <c r="R445" i="7" s="1"/>
  <c r="P445" i="5"/>
  <c r="M446" i="5" s="1"/>
  <c r="Q338" i="4"/>
  <c r="U338" i="4" s="1"/>
  <c r="R338" i="4" s="1"/>
  <c r="N339" i="4" s="1"/>
  <c r="P445" i="7" l="1"/>
  <c r="M446" i="7" s="1"/>
  <c r="S338" i="4"/>
  <c r="O339" i="4" s="1"/>
  <c r="Q445" i="5"/>
  <c r="N446" i="5" s="1"/>
  <c r="O446" i="5" s="1"/>
  <c r="R446" i="5" s="1"/>
  <c r="Q445" i="7" l="1"/>
  <c r="N446" i="7" s="1"/>
  <c r="O446" i="7" s="1"/>
  <c r="R446" i="7" s="1"/>
  <c r="T338" i="4"/>
  <c r="P339" i="4" s="1"/>
  <c r="Q339" i="4" s="1"/>
  <c r="U339" i="4" s="1"/>
  <c r="R339" i="4" s="1"/>
  <c r="N340" i="4" s="1"/>
  <c r="P446" i="5"/>
  <c r="M447" i="5" s="1"/>
  <c r="P446" i="7" l="1"/>
  <c r="M447" i="7" s="1"/>
  <c r="S339" i="4"/>
  <c r="O340" i="4" s="1"/>
  <c r="Q446" i="5"/>
  <c r="N447" i="5" s="1"/>
  <c r="O447" i="5" s="1"/>
  <c r="R447" i="5" s="1"/>
  <c r="Q446" i="7" l="1"/>
  <c r="N447" i="7" s="1"/>
  <c r="O447" i="7" s="1"/>
  <c r="R447" i="7" s="1"/>
  <c r="T339" i="4"/>
  <c r="P340" i="4" s="1"/>
  <c r="Q340" i="4" s="1"/>
  <c r="U340" i="4" s="1"/>
  <c r="R340" i="4" s="1"/>
  <c r="N341" i="4" s="1"/>
  <c r="P447" i="5"/>
  <c r="M448" i="5" s="1"/>
  <c r="P447" i="7" l="1"/>
  <c r="M448" i="7" s="1"/>
  <c r="Q447" i="5"/>
  <c r="N448" i="5" s="1"/>
  <c r="O448" i="5" s="1"/>
  <c r="R448" i="5" s="1"/>
  <c r="S340" i="4"/>
  <c r="Q447" i="7" l="1"/>
  <c r="N448" i="7" s="1"/>
  <c r="O448" i="7" s="1"/>
  <c r="R448" i="7" s="1"/>
  <c r="P448" i="5"/>
  <c r="M449" i="5" s="1"/>
  <c r="O341" i="4"/>
  <c r="T340" i="4"/>
  <c r="P341" i="4" s="1"/>
  <c r="Q341" i="4" s="1"/>
  <c r="U341" i="4" s="1"/>
  <c r="P448" i="7" l="1"/>
  <c r="M449" i="7" s="1"/>
  <c r="Q448" i="5"/>
  <c r="N449" i="5" s="1"/>
  <c r="O449" i="5" s="1"/>
  <c r="R449" i="5" s="1"/>
  <c r="R341" i="4"/>
  <c r="N342" i="4" s="1"/>
  <c r="Q448" i="7" l="1"/>
  <c r="N449" i="7" s="1"/>
  <c r="O449" i="7" s="1"/>
  <c r="R449" i="7" s="1"/>
  <c r="P449" i="5"/>
  <c r="M450" i="5" s="1"/>
  <c r="S341" i="4"/>
  <c r="P449" i="7" l="1"/>
  <c r="M450" i="7" s="1"/>
  <c r="Q449" i="5"/>
  <c r="N450" i="5" s="1"/>
  <c r="O450" i="5" s="1"/>
  <c r="R450" i="5" s="1"/>
  <c r="O342" i="4"/>
  <c r="T341" i="4"/>
  <c r="P342" i="4" s="1"/>
  <c r="Q449" i="7" l="1"/>
  <c r="N450" i="7" s="1"/>
  <c r="O450" i="7" s="1"/>
  <c r="R450" i="7" s="1"/>
  <c r="P450" i="5"/>
  <c r="M451" i="5" s="1"/>
  <c r="Q342" i="4"/>
  <c r="U342" i="4" s="1"/>
  <c r="P450" i="7" l="1"/>
  <c r="M451" i="7" s="1"/>
  <c r="Q450" i="5"/>
  <c r="N451" i="5" s="1"/>
  <c r="O451" i="5" s="1"/>
  <c r="R451" i="5" s="1"/>
  <c r="R342" i="4"/>
  <c r="N343" i="4" s="1"/>
  <c r="Q450" i="7" l="1"/>
  <c r="N451" i="7" s="1"/>
  <c r="O451" i="7" s="1"/>
  <c r="R451" i="7" s="1"/>
  <c r="S342" i="4"/>
  <c r="O343" i="4" s="1"/>
  <c r="P451" i="5"/>
  <c r="M452" i="5" s="1"/>
  <c r="T342" i="4"/>
  <c r="P343" i="4" s="1"/>
  <c r="Q343" i="4" s="1"/>
  <c r="U343" i="4" s="1"/>
  <c r="P451" i="7" l="1"/>
  <c r="M452" i="7" s="1"/>
  <c r="Q451" i="5"/>
  <c r="N452" i="5" s="1"/>
  <c r="O452" i="5" s="1"/>
  <c r="R452" i="5" s="1"/>
  <c r="R343" i="4"/>
  <c r="N344" i="4" s="1"/>
  <c r="Q451" i="7" l="1"/>
  <c r="N452" i="7" s="1"/>
  <c r="O452" i="7" s="1"/>
  <c r="R452" i="7" s="1"/>
  <c r="P452" i="5"/>
  <c r="M453" i="5" s="1"/>
  <c r="S343" i="4"/>
  <c r="P452" i="7" l="1"/>
  <c r="M453" i="7" s="1"/>
  <c r="Q452" i="5"/>
  <c r="N453" i="5" s="1"/>
  <c r="O453" i="5" s="1"/>
  <c r="R453" i="5" s="1"/>
  <c r="O344" i="4"/>
  <c r="T343" i="4"/>
  <c r="P344" i="4" s="1"/>
  <c r="Q452" i="7" l="1"/>
  <c r="N453" i="7" s="1"/>
  <c r="O453" i="7" s="1"/>
  <c r="R453" i="7" s="1"/>
  <c r="P453" i="5"/>
  <c r="M454" i="5" s="1"/>
  <c r="Q344" i="4"/>
  <c r="U344" i="4" s="1"/>
  <c r="P453" i="7" l="1"/>
  <c r="M454" i="7" s="1"/>
  <c r="Q453" i="5"/>
  <c r="N454" i="5" s="1"/>
  <c r="O454" i="5" s="1"/>
  <c r="R454" i="5" s="1"/>
  <c r="R344" i="4"/>
  <c r="N345" i="4" s="1"/>
  <c r="Q453" i="7" l="1"/>
  <c r="N454" i="7" s="1"/>
  <c r="O454" i="7" s="1"/>
  <c r="R454" i="7" s="1"/>
  <c r="P454" i="5"/>
  <c r="M455" i="5" s="1"/>
  <c r="S344" i="4"/>
  <c r="P454" i="7" l="1"/>
  <c r="M455" i="7" s="1"/>
  <c r="Q454" i="5"/>
  <c r="N455" i="5" s="1"/>
  <c r="O455" i="5" s="1"/>
  <c r="R455" i="5" s="1"/>
  <c r="O345" i="4"/>
  <c r="T344" i="4"/>
  <c r="P345" i="4" s="1"/>
  <c r="Q345" i="4" s="1"/>
  <c r="U345" i="4" s="1"/>
  <c r="Q454" i="7" l="1"/>
  <c r="N455" i="7" s="1"/>
  <c r="O455" i="7" s="1"/>
  <c r="R455" i="7" s="1"/>
  <c r="P455" i="5"/>
  <c r="M456" i="5" s="1"/>
  <c r="R345" i="4"/>
  <c r="N346" i="4" s="1"/>
  <c r="P455" i="7" l="1"/>
  <c r="M456" i="7" s="1"/>
  <c r="Q455" i="5"/>
  <c r="N456" i="5" s="1"/>
  <c r="O456" i="5" s="1"/>
  <c r="R456" i="5" s="1"/>
  <c r="S345" i="4"/>
  <c r="Q455" i="7" l="1"/>
  <c r="N456" i="7" s="1"/>
  <c r="O456" i="7"/>
  <c r="R456" i="7" s="1"/>
  <c r="P456" i="5"/>
  <c r="M457" i="5" s="1"/>
  <c r="O346" i="4"/>
  <c r="T345" i="4"/>
  <c r="P346" i="4" s="1"/>
  <c r="Q346" i="4" s="1"/>
  <c r="U346" i="4" s="1"/>
  <c r="P456" i="7" l="1"/>
  <c r="M457" i="7" s="1"/>
  <c r="Q456" i="5"/>
  <c r="N457" i="5" s="1"/>
  <c r="O457" i="5" s="1"/>
  <c r="R457" i="5" s="1"/>
  <c r="R346" i="4"/>
  <c r="N347" i="4" s="1"/>
  <c r="Q456" i="7" l="1"/>
  <c r="N457" i="7" s="1"/>
  <c r="O457" i="7" s="1"/>
  <c r="R457" i="7" s="1"/>
  <c r="P457" i="5"/>
  <c r="M458" i="5" s="1"/>
  <c r="S346" i="4"/>
  <c r="P457" i="7" l="1"/>
  <c r="M458" i="7" s="1"/>
  <c r="Q457" i="5"/>
  <c r="N458" i="5" s="1"/>
  <c r="O458" i="5" s="1"/>
  <c r="R458" i="5" s="1"/>
  <c r="O347" i="4"/>
  <c r="T346" i="4"/>
  <c r="P347" i="4" s="1"/>
  <c r="Q457" i="7" l="1"/>
  <c r="N458" i="7" s="1"/>
  <c r="O458" i="7" s="1"/>
  <c r="R458" i="7" s="1"/>
  <c r="P458" i="5"/>
  <c r="M459" i="5" s="1"/>
  <c r="Q347" i="4"/>
  <c r="U347" i="4" s="1"/>
  <c r="R347" i="4" s="1"/>
  <c r="P458" i="7" l="1"/>
  <c r="M459" i="7" s="1"/>
  <c r="Q458" i="5"/>
  <c r="N459" i="5" s="1"/>
  <c r="O459" i="5" s="1"/>
  <c r="R459" i="5" s="1"/>
  <c r="P459" i="5" s="1"/>
  <c r="M460" i="5" s="1"/>
  <c r="N348" i="4"/>
  <c r="S347" i="4"/>
  <c r="O348" i="4" s="1"/>
  <c r="Q458" i="7" l="1"/>
  <c r="N459" i="7" s="1"/>
  <c r="O459" i="7" s="1"/>
  <c r="R459" i="7" s="1"/>
  <c r="T347" i="4"/>
  <c r="P348" i="4" s="1"/>
  <c r="Q348" i="4" s="1"/>
  <c r="U348" i="4" s="1"/>
  <c r="R348" i="4" s="1"/>
  <c r="N349" i="4" s="1"/>
  <c r="Q459" i="5"/>
  <c r="N460" i="5" s="1"/>
  <c r="O460" i="5" s="1"/>
  <c r="R460" i="5" s="1"/>
  <c r="P459" i="7" l="1"/>
  <c r="M460" i="7" s="1"/>
  <c r="P460" i="5"/>
  <c r="M461" i="5" s="1"/>
  <c r="S348" i="4"/>
  <c r="Q459" i="7" l="1"/>
  <c r="N460" i="7" s="1"/>
  <c r="O460" i="7" s="1"/>
  <c r="R460" i="7" s="1"/>
  <c r="Q460" i="5"/>
  <c r="N461" i="5" s="1"/>
  <c r="O461" i="5" s="1"/>
  <c r="R461" i="5" s="1"/>
  <c r="O349" i="4"/>
  <c r="T348" i="4"/>
  <c r="P349" i="4" s="1"/>
  <c r="Q349" i="4" s="1"/>
  <c r="U349" i="4" s="1"/>
  <c r="P460" i="7" l="1"/>
  <c r="M461" i="7" s="1"/>
  <c r="P461" i="5"/>
  <c r="M462" i="5" s="1"/>
  <c r="R349" i="4"/>
  <c r="N350" i="4" s="1"/>
  <c r="Q460" i="7" l="1"/>
  <c r="N461" i="7" s="1"/>
  <c r="O461" i="7" s="1"/>
  <c r="R461" i="7" s="1"/>
  <c r="Q461" i="5"/>
  <c r="N462" i="5" s="1"/>
  <c r="O462" i="5" s="1"/>
  <c r="R462" i="5" s="1"/>
  <c r="S349" i="4"/>
  <c r="P461" i="7" l="1"/>
  <c r="M462" i="7" s="1"/>
  <c r="P462" i="5"/>
  <c r="M463" i="5" s="1"/>
  <c r="O350" i="4"/>
  <c r="T349" i="4"/>
  <c r="P350" i="4" s="1"/>
  <c r="Q461" i="7" l="1"/>
  <c r="N462" i="7" s="1"/>
  <c r="O462" i="7" s="1"/>
  <c r="R462" i="7" s="1"/>
  <c r="Q462" i="5"/>
  <c r="N463" i="5" s="1"/>
  <c r="O463" i="5" s="1"/>
  <c r="R463" i="5" s="1"/>
  <c r="Q350" i="4"/>
  <c r="U350" i="4" s="1"/>
  <c r="P462" i="7" l="1"/>
  <c r="M463" i="7" s="1"/>
  <c r="P463" i="5"/>
  <c r="M464" i="5" s="1"/>
  <c r="R350" i="4"/>
  <c r="N351" i="4" s="1"/>
  <c r="Q462" i="7" l="1"/>
  <c r="N463" i="7" s="1"/>
  <c r="O463" i="7" s="1"/>
  <c r="R463" i="7" s="1"/>
  <c r="Q463" i="5"/>
  <c r="N464" i="5" s="1"/>
  <c r="O464" i="5" s="1"/>
  <c r="R464" i="5" s="1"/>
  <c r="S350" i="4"/>
  <c r="P463" i="7" l="1"/>
  <c r="M464" i="7" s="1"/>
  <c r="P464" i="5"/>
  <c r="M465" i="5" s="1"/>
  <c r="O351" i="4"/>
  <c r="T350" i="4"/>
  <c r="P351" i="4" s="1"/>
  <c r="Q463" i="7" l="1"/>
  <c r="N464" i="7" s="1"/>
  <c r="O464" i="7" s="1"/>
  <c r="R464" i="7" s="1"/>
  <c r="Q464" i="5"/>
  <c r="N465" i="5" s="1"/>
  <c r="O465" i="5" s="1"/>
  <c r="R465" i="5" s="1"/>
  <c r="Q351" i="4"/>
  <c r="U351" i="4" s="1"/>
  <c r="P464" i="7" l="1"/>
  <c r="M465" i="7" s="1"/>
  <c r="P465" i="5"/>
  <c r="M466" i="5" s="1"/>
  <c r="R351" i="4"/>
  <c r="N352" i="4" s="1"/>
  <c r="Q464" i="7" l="1"/>
  <c r="N465" i="7" s="1"/>
  <c r="O465" i="7" s="1"/>
  <c r="R465" i="7" s="1"/>
  <c r="Q465" i="5"/>
  <c r="N466" i="5" s="1"/>
  <c r="O466" i="5" s="1"/>
  <c r="R466" i="5" s="1"/>
  <c r="S351" i="4"/>
  <c r="P465" i="7" l="1"/>
  <c r="M466" i="7" s="1"/>
  <c r="P466" i="5"/>
  <c r="M467" i="5" s="1"/>
  <c r="O352" i="4"/>
  <c r="T351" i="4"/>
  <c r="P352" i="4" s="1"/>
  <c r="Q352" i="4" s="1"/>
  <c r="U352" i="4" s="1"/>
  <c r="Q465" i="7" l="1"/>
  <c r="N466" i="7" s="1"/>
  <c r="O466" i="7" s="1"/>
  <c r="R466" i="7" s="1"/>
  <c r="Q466" i="5"/>
  <c r="N467" i="5" s="1"/>
  <c r="O467" i="5" s="1"/>
  <c r="R467" i="5" s="1"/>
  <c r="R352" i="4"/>
  <c r="N353" i="4" s="1"/>
  <c r="P466" i="7" l="1"/>
  <c r="M467" i="7" s="1"/>
  <c r="P467" i="5"/>
  <c r="M468" i="5" s="1"/>
  <c r="S352" i="4"/>
  <c r="Q466" i="7" l="1"/>
  <c r="N467" i="7" s="1"/>
  <c r="O467" i="7" s="1"/>
  <c r="R467" i="7" s="1"/>
  <c r="Q467" i="5"/>
  <c r="N468" i="5" s="1"/>
  <c r="O468" i="5" s="1"/>
  <c r="R468" i="5" s="1"/>
  <c r="O353" i="4"/>
  <c r="T352" i="4"/>
  <c r="P353" i="4" s="1"/>
  <c r="P467" i="7" l="1"/>
  <c r="M468" i="7" s="1"/>
  <c r="P468" i="5"/>
  <c r="M469" i="5" s="1"/>
  <c r="Q353" i="4"/>
  <c r="U353" i="4" s="1"/>
  <c r="Q467" i="7" l="1"/>
  <c r="N468" i="7" s="1"/>
  <c r="O468" i="7" s="1"/>
  <c r="R468" i="7" s="1"/>
  <c r="Q468" i="5"/>
  <c r="N469" i="5" s="1"/>
  <c r="O469" i="5" s="1"/>
  <c r="R469" i="5" s="1"/>
  <c r="R353" i="4"/>
  <c r="N354" i="4" s="1"/>
  <c r="S353" i="4"/>
  <c r="O354" i="4" s="1"/>
  <c r="P468" i="7" l="1"/>
  <c r="M469" i="7" s="1"/>
  <c r="T353" i="4"/>
  <c r="P354" i="4" s="1"/>
  <c r="Q354" i="4" s="1"/>
  <c r="U354" i="4" s="1"/>
  <c r="R354" i="4" s="1"/>
  <c r="P469" i="5"/>
  <c r="M470" i="5" s="1"/>
  <c r="Q468" i="7" l="1"/>
  <c r="N469" i="7" s="1"/>
  <c r="O469" i="7" s="1"/>
  <c r="R469" i="7" s="1"/>
  <c r="N355" i="4"/>
  <c r="S354" i="4"/>
  <c r="O355" i="4" s="1"/>
  <c r="Q469" i="5"/>
  <c r="N470" i="5" s="1"/>
  <c r="O470" i="5" s="1"/>
  <c r="R470" i="5" s="1"/>
  <c r="P469" i="7" l="1"/>
  <c r="M470" i="7" s="1"/>
  <c r="T354" i="4"/>
  <c r="P355" i="4" s="1"/>
  <c r="Q355" i="4" s="1"/>
  <c r="U355" i="4" s="1"/>
  <c r="P470" i="5"/>
  <c r="M471" i="5" s="1"/>
  <c r="Q469" i="7" l="1"/>
  <c r="N470" i="7" s="1"/>
  <c r="O470" i="7" s="1"/>
  <c r="R470" i="7" s="1"/>
  <c r="R355" i="4"/>
  <c r="N356" i="4" s="1"/>
  <c r="Q470" i="5"/>
  <c r="N471" i="5" s="1"/>
  <c r="O471" i="5" s="1"/>
  <c r="R471" i="5" s="1"/>
  <c r="P470" i="7" l="1"/>
  <c r="M471" i="7" s="1"/>
  <c r="S355" i="4"/>
  <c r="P471" i="5"/>
  <c r="M472" i="5" s="1"/>
  <c r="Q470" i="7" l="1"/>
  <c r="N471" i="7" s="1"/>
  <c r="O471" i="7" s="1"/>
  <c r="R471" i="7" s="1"/>
  <c r="O356" i="4"/>
  <c r="T355" i="4"/>
  <c r="P356" i="4" s="1"/>
  <c r="Q356" i="4" s="1"/>
  <c r="U356" i="4" s="1"/>
  <c r="Q471" i="5"/>
  <c r="N472" i="5" s="1"/>
  <c r="O472" i="5" s="1"/>
  <c r="R472" i="5" s="1"/>
  <c r="P471" i="7" l="1"/>
  <c r="M472" i="7" s="1"/>
  <c r="R356" i="4"/>
  <c r="N357" i="4" s="1"/>
  <c r="P472" i="5"/>
  <c r="M473" i="5" s="1"/>
  <c r="Q471" i="7" l="1"/>
  <c r="N472" i="7" s="1"/>
  <c r="O472" i="7" s="1"/>
  <c r="R472" i="7" s="1"/>
  <c r="S356" i="4"/>
  <c r="Q472" i="5"/>
  <c r="N473" i="5" s="1"/>
  <c r="O473" i="5" s="1"/>
  <c r="R473" i="5" s="1"/>
  <c r="P472" i="7" l="1"/>
  <c r="M473" i="7" s="1"/>
  <c r="O357" i="4"/>
  <c r="T356" i="4"/>
  <c r="P357" i="4" s="1"/>
  <c r="Q357" i="4" s="1"/>
  <c r="U357" i="4" s="1"/>
  <c r="P473" i="5"/>
  <c r="M474" i="5" s="1"/>
  <c r="Q472" i="7" l="1"/>
  <c r="N473" i="7" s="1"/>
  <c r="O473" i="7" s="1"/>
  <c r="R473" i="7" s="1"/>
  <c r="R357" i="4"/>
  <c r="N358" i="4" s="1"/>
  <c r="S357" i="4"/>
  <c r="O358" i="4" s="1"/>
  <c r="Q473" i="5"/>
  <c r="N474" i="5" s="1"/>
  <c r="O474" i="5" s="1"/>
  <c r="R474" i="5" s="1"/>
  <c r="P473" i="7" l="1"/>
  <c r="M474" i="7" s="1"/>
  <c r="T357" i="4"/>
  <c r="P358" i="4" s="1"/>
  <c r="Q358" i="4" s="1"/>
  <c r="U358" i="4" s="1"/>
  <c r="P474" i="5"/>
  <c r="M475" i="5" s="1"/>
  <c r="Q473" i="7" l="1"/>
  <c r="N474" i="7" s="1"/>
  <c r="O474" i="7" s="1"/>
  <c r="R474" i="7" s="1"/>
  <c r="R358" i="4"/>
  <c r="N359" i="4" s="1"/>
  <c r="Q474" i="5"/>
  <c r="N475" i="5" s="1"/>
  <c r="O475" i="5" s="1"/>
  <c r="R475" i="5" s="1"/>
  <c r="P474" i="7" l="1"/>
  <c r="M475" i="7" s="1"/>
  <c r="S358" i="4"/>
  <c r="O359" i="4" s="1"/>
  <c r="P475" i="5"/>
  <c r="M476" i="5" s="1"/>
  <c r="Q474" i="7" l="1"/>
  <c r="N475" i="7" s="1"/>
  <c r="O475" i="7" s="1"/>
  <c r="R475" i="7" s="1"/>
  <c r="T358" i="4"/>
  <c r="P359" i="4" s="1"/>
  <c r="Q359" i="4" s="1"/>
  <c r="U359" i="4" s="1"/>
  <c r="R359" i="4" s="1"/>
  <c r="Q475" i="5"/>
  <c r="N476" i="5" s="1"/>
  <c r="O476" i="5" s="1"/>
  <c r="R476" i="5" s="1"/>
  <c r="P475" i="7" l="1"/>
  <c r="M476" i="7" s="1"/>
  <c r="N360" i="4"/>
  <c r="S359" i="4"/>
  <c r="O360" i="4" s="1"/>
  <c r="P476" i="5"/>
  <c r="M477" i="5" s="1"/>
  <c r="Q475" i="7" l="1"/>
  <c r="N476" i="7" s="1"/>
  <c r="O476" i="7" s="1"/>
  <c r="R476" i="7" s="1"/>
  <c r="T359" i="4"/>
  <c r="P360" i="4" s="1"/>
  <c r="Q360" i="4" s="1"/>
  <c r="U360" i="4" s="1"/>
  <c r="Q476" i="5"/>
  <c r="N477" i="5" s="1"/>
  <c r="O477" i="5" s="1"/>
  <c r="R477" i="5" s="1"/>
  <c r="P476" i="7" l="1"/>
  <c r="M477" i="7" s="1"/>
  <c r="R360" i="4"/>
  <c r="N361" i="4" s="1"/>
  <c r="P477" i="5"/>
  <c r="M478" i="5" s="1"/>
  <c r="Q476" i="7" l="1"/>
  <c r="N477" i="7" s="1"/>
  <c r="O477" i="7" s="1"/>
  <c r="R477" i="7" s="1"/>
  <c r="S360" i="4"/>
  <c r="Q477" i="5"/>
  <c r="N478" i="5" s="1"/>
  <c r="O478" i="5" s="1"/>
  <c r="R478" i="5" s="1"/>
  <c r="P477" i="7" l="1"/>
  <c r="M478" i="7" s="1"/>
  <c r="O361" i="4"/>
  <c r="T360" i="4"/>
  <c r="P361" i="4" s="1"/>
  <c r="Q361" i="4" s="1"/>
  <c r="U361" i="4" s="1"/>
  <c r="P478" i="5"/>
  <c r="M479" i="5" s="1"/>
  <c r="Q477" i="7" l="1"/>
  <c r="N478" i="7" s="1"/>
  <c r="O478" i="7" s="1"/>
  <c r="R478" i="7" s="1"/>
  <c r="R361" i="4"/>
  <c r="N362" i="4" s="1"/>
  <c r="Q478" i="5"/>
  <c r="N479" i="5" s="1"/>
  <c r="O479" i="5" s="1"/>
  <c r="R479" i="5" s="1"/>
  <c r="P478" i="7" l="1"/>
  <c r="M479" i="7" s="1"/>
  <c r="S361" i="4"/>
  <c r="O362" i="4" s="1"/>
  <c r="P479" i="5"/>
  <c r="M480" i="5" s="1"/>
  <c r="Q478" i="7" l="1"/>
  <c r="N479" i="7" s="1"/>
  <c r="O479" i="7" s="1"/>
  <c r="R479" i="7" s="1"/>
  <c r="T361" i="4"/>
  <c r="P362" i="4" s="1"/>
  <c r="Q362" i="4" s="1"/>
  <c r="U362" i="4" s="1"/>
  <c r="Q479" i="5"/>
  <c r="N480" i="5" s="1"/>
  <c r="O480" i="5" s="1"/>
  <c r="R480" i="5" s="1"/>
  <c r="P479" i="7" l="1"/>
  <c r="M480" i="7" s="1"/>
  <c r="R362" i="4"/>
  <c r="N363" i="4" s="1"/>
  <c r="P480" i="5"/>
  <c r="M481" i="5" s="1"/>
  <c r="Q479" i="7" l="1"/>
  <c r="N480" i="7" s="1"/>
  <c r="O480" i="7" s="1"/>
  <c r="R480" i="7" s="1"/>
  <c r="S362" i="4"/>
  <c r="O363" i="4" s="1"/>
  <c r="Q480" i="5"/>
  <c r="N481" i="5" s="1"/>
  <c r="O481" i="5" s="1"/>
  <c r="R481" i="5" s="1"/>
  <c r="P480" i="7" l="1"/>
  <c r="M481" i="7" s="1"/>
  <c r="T362" i="4"/>
  <c r="P363" i="4" s="1"/>
  <c r="Q363" i="4" s="1"/>
  <c r="U363" i="4" s="1"/>
  <c r="P481" i="5"/>
  <c r="M482" i="5" s="1"/>
  <c r="Q480" i="7" l="1"/>
  <c r="N481" i="7" s="1"/>
  <c r="O481" i="7" s="1"/>
  <c r="R481" i="7" s="1"/>
  <c r="R363" i="4"/>
  <c r="N364" i="4" s="1"/>
  <c r="S363" i="4"/>
  <c r="O364" i="4" s="1"/>
  <c r="T363" i="4"/>
  <c r="P364" i="4" s="1"/>
  <c r="Q364" i="4" s="1"/>
  <c r="U364" i="4" s="1"/>
  <c r="R364" i="4" s="1"/>
  <c r="N365" i="4" s="1"/>
  <c r="Q481" i="5"/>
  <c r="N482" i="5" s="1"/>
  <c r="O482" i="5" s="1"/>
  <c r="R482" i="5" s="1"/>
  <c r="P481" i="7" l="1"/>
  <c r="M482" i="7" s="1"/>
  <c r="S364" i="4"/>
  <c r="O365" i="4" s="1"/>
  <c r="P482" i="5"/>
  <c r="M483" i="5" s="1"/>
  <c r="Q481" i="7" l="1"/>
  <c r="N482" i="7" s="1"/>
  <c r="O482" i="7" s="1"/>
  <c r="R482" i="7" s="1"/>
  <c r="T364" i="4"/>
  <c r="P365" i="4" s="1"/>
  <c r="Q365" i="4" s="1"/>
  <c r="U365" i="4" s="1"/>
  <c r="R365" i="4" s="1"/>
  <c r="N366" i="4" s="1"/>
  <c r="Q482" i="5"/>
  <c r="N483" i="5" s="1"/>
  <c r="O483" i="5" s="1"/>
  <c r="R483" i="5" s="1"/>
  <c r="P482" i="7" l="1"/>
  <c r="M483" i="7" s="1"/>
  <c r="S365" i="4"/>
  <c r="O366" i="4" s="1"/>
  <c r="P483" i="5"/>
  <c r="M484" i="5" s="1"/>
  <c r="Q482" i="7" l="1"/>
  <c r="N483" i="7" s="1"/>
  <c r="O483" i="7" s="1"/>
  <c r="R483" i="7" s="1"/>
  <c r="T365" i="4"/>
  <c r="P366" i="4" s="1"/>
  <c r="Q366" i="4" s="1"/>
  <c r="U366" i="4" s="1"/>
  <c r="Q483" i="5"/>
  <c r="N484" i="5" s="1"/>
  <c r="O484" i="5" s="1"/>
  <c r="R484" i="5" s="1"/>
  <c r="P483" i="7" l="1"/>
  <c r="M484" i="7" s="1"/>
  <c r="R366" i="4"/>
  <c r="N367" i="4" s="1"/>
  <c r="P484" i="5"/>
  <c r="M485" i="5" s="1"/>
  <c r="Q483" i="7" l="1"/>
  <c r="N484" i="7" s="1"/>
  <c r="O484" i="7" s="1"/>
  <c r="R484" i="7" s="1"/>
  <c r="S366" i="4"/>
  <c r="O367" i="4" s="1"/>
  <c r="Q484" i="5"/>
  <c r="N485" i="5" s="1"/>
  <c r="O485" i="5" s="1"/>
  <c r="R485" i="5" s="1"/>
  <c r="P484" i="7" l="1"/>
  <c r="M485" i="7" s="1"/>
  <c r="T366" i="4"/>
  <c r="P367" i="4" s="1"/>
  <c r="Q367" i="4" s="1"/>
  <c r="U367" i="4" s="1"/>
  <c r="P485" i="5"/>
  <c r="M486" i="5" s="1"/>
  <c r="Q484" i="7" l="1"/>
  <c r="N485" i="7" s="1"/>
  <c r="O485" i="7" s="1"/>
  <c r="R485" i="7" s="1"/>
  <c r="R367" i="4"/>
  <c r="N368" i="4" s="1"/>
  <c r="Q485" i="5"/>
  <c r="N486" i="5" s="1"/>
  <c r="O486" i="5" s="1"/>
  <c r="R486" i="5" s="1"/>
  <c r="P485" i="7" l="1"/>
  <c r="M486" i="7" s="1"/>
  <c r="S367" i="4"/>
  <c r="P486" i="5"/>
  <c r="M487" i="5" s="1"/>
  <c r="Q485" i="7" l="1"/>
  <c r="N486" i="7" s="1"/>
  <c r="O486" i="7" s="1"/>
  <c r="R486" i="7" s="1"/>
  <c r="O368" i="4"/>
  <c r="T367" i="4"/>
  <c r="P368" i="4" s="1"/>
  <c r="Q368" i="4" s="1"/>
  <c r="U368" i="4" s="1"/>
  <c r="Q486" i="5"/>
  <c r="N487" i="5" s="1"/>
  <c r="O487" i="5" s="1"/>
  <c r="R487" i="5" s="1"/>
  <c r="P486" i="7" l="1"/>
  <c r="M487" i="7" s="1"/>
  <c r="R368" i="4"/>
  <c r="N369" i="4" s="1"/>
  <c r="P487" i="5"/>
  <c r="M488" i="5" s="1"/>
  <c r="Q486" i="7" l="1"/>
  <c r="N487" i="7" s="1"/>
  <c r="O487" i="7"/>
  <c r="R487" i="7" s="1"/>
  <c r="S368" i="4"/>
  <c r="O369" i="4" s="1"/>
  <c r="Q487" i="5"/>
  <c r="N488" i="5" s="1"/>
  <c r="O488" i="5" s="1"/>
  <c r="R488" i="5" s="1"/>
  <c r="P487" i="7" l="1"/>
  <c r="M488" i="7" s="1"/>
  <c r="T368" i="4"/>
  <c r="P369" i="4" s="1"/>
  <c r="Q369" i="4" s="1"/>
  <c r="U369" i="4" s="1"/>
  <c r="P488" i="5"/>
  <c r="M489" i="5" s="1"/>
  <c r="Q487" i="7" l="1"/>
  <c r="N488" i="7" s="1"/>
  <c r="O488" i="7" s="1"/>
  <c r="R488" i="7" s="1"/>
  <c r="R369" i="4"/>
  <c r="N370" i="4" s="1"/>
  <c r="S369" i="4"/>
  <c r="O370" i="4" s="1"/>
  <c r="Q488" i="5"/>
  <c r="N489" i="5" s="1"/>
  <c r="O489" i="5" s="1"/>
  <c r="R489" i="5" s="1"/>
  <c r="P488" i="7" l="1"/>
  <c r="M489" i="7" s="1"/>
  <c r="T369" i="4"/>
  <c r="P370" i="4" s="1"/>
  <c r="Q370" i="4" s="1"/>
  <c r="U370" i="4" s="1"/>
  <c r="P489" i="5"/>
  <c r="M490" i="5" s="1"/>
  <c r="Q488" i="7" l="1"/>
  <c r="N489" i="7" s="1"/>
  <c r="O489" i="7" s="1"/>
  <c r="R489" i="7" s="1"/>
  <c r="R370" i="4"/>
  <c r="N371" i="4" s="1"/>
  <c r="Q489" i="5"/>
  <c r="N490" i="5" s="1"/>
  <c r="O490" i="5" s="1"/>
  <c r="R490" i="5" s="1"/>
  <c r="P489" i="7" l="1"/>
  <c r="M490" i="7" s="1"/>
  <c r="S370" i="4"/>
  <c r="O371" i="4" s="1"/>
  <c r="P490" i="5"/>
  <c r="M491" i="5" s="1"/>
  <c r="Q489" i="7" l="1"/>
  <c r="N490" i="7" s="1"/>
  <c r="O490" i="7" s="1"/>
  <c r="R490" i="7" s="1"/>
  <c r="T370" i="4"/>
  <c r="P371" i="4" s="1"/>
  <c r="Q371" i="4" s="1"/>
  <c r="U371" i="4" s="1"/>
  <c r="Q490" i="5"/>
  <c r="N491" i="5" s="1"/>
  <c r="O491" i="5" s="1"/>
  <c r="R491" i="5" s="1"/>
  <c r="P490" i="7" l="1"/>
  <c r="M491" i="7" s="1"/>
  <c r="R371" i="4"/>
  <c r="N372" i="4" s="1"/>
  <c r="P491" i="5"/>
  <c r="M492" i="5" s="1"/>
  <c r="Q490" i="7" l="1"/>
  <c r="N491" i="7" s="1"/>
  <c r="O491" i="7" s="1"/>
  <c r="R491" i="7" s="1"/>
  <c r="S371" i="4"/>
  <c r="Q491" i="5"/>
  <c r="N492" i="5" s="1"/>
  <c r="O492" i="5" s="1"/>
  <c r="R492" i="5" s="1"/>
  <c r="P491" i="7" l="1"/>
  <c r="M492" i="7" s="1"/>
  <c r="O372" i="4"/>
  <c r="T371" i="4"/>
  <c r="P372" i="4" s="1"/>
  <c r="Q372" i="4" s="1"/>
  <c r="U372" i="4" s="1"/>
  <c r="P492" i="5"/>
  <c r="M493" i="5" s="1"/>
  <c r="Q491" i="7" l="1"/>
  <c r="N492" i="7" s="1"/>
  <c r="O492" i="7" s="1"/>
  <c r="R492" i="7" s="1"/>
  <c r="R372" i="4"/>
  <c r="N373" i="4" s="1"/>
  <c r="Q492" i="5"/>
  <c r="N493" i="5" s="1"/>
  <c r="O493" i="5" s="1"/>
  <c r="R493" i="5" s="1"/>
  <c r="P492" i="7" l="1"/>
  <c r="M493" i="7" s="1"/>
  <c r="S372" i="4"/>
  <c r="O373" i="4" s="1"/>
  <c r="P493" i="5"/>
  <c r="M494" i="5" s="1"/>
  <c r="Q492" i="7" l="1"/>
  <c r="N493" i="7" s="1"/>
  <c r="O493" i="7" s="1"/>
  <c r="R493" i="7" s="1"/>
  <c r="T372" i="4"/>
  <c r="P373" i="4" s="1"/>
  <c r="Q373" i="4" s="1"/>
  <c r="U373" i="4" s="1"/>
  <c r="Q493" i="5"/>
  <c r="N494" i="5" s="1"/>
  <c r="O494" i="5" s="1"/>
  <c r="R494" i="5" s="1"/>
  <c r="P493" i="7" l="1"/>
  <c r="M494" i="7" s="1"/>
  <c r="R373" i="4"/>
  <c r="N374" i="4" s="1"/>
  <c r="S373" i="4"/>
  <c r="O374" i="4" s="1"/>
  <c r="P494" i="5"/>
  <c r="M495" i="5" s="1"/>
  <c r="Q493" i="7" l="1"/>
  <c r="N494" i="7" s="1"/>
  <c r="O494" i="7" s="1"/>
  <c r="R494" i="7" s="1"/>
  <c r="T373" i="4"/>
  <c r="P374" i="4" s="1"/>
  <c r="Q374" i="4" s="1"/>
  <c r="U374" i="4" s="1"/>
  <c r="Q494" i="5"/>
  <c r="N495" i="5" s="1"/>
  <c r="O495" i="5" s="1"/>
  <c r="R495" i="5" s="1"/>
  <c r="P494" i="7" l="1"/>
  <c r="M495" i="7" s="1"/>
  <c r="R374" i="4"/>
  <c r="S374" i="4" s="1"/>
  <c r="O375" i="4" s="1"/>
  <c r="P495" i="5"/>
  <c r="M496" i="5" s="1"/>
  <c r="Q494" i="7" l="1"/>
  <c r="N495" i="7" s="1"/>
  <c r="O495" i="7" s="1"/>
  <c r="R495" i="7" s="1"/>
  <c r="N375" i="4"/>
  <c r="T374" i="4"/>
  <c r="P375" i="4" s="1"/>
  <c r="Q495" i="5"/>
  <c r="N496" i="5" s="1"/>
  <c r="O496" i="5" s="1"/>
  <c r="R496" i="5" s="1"/>
  <c r="P495" i="7" l="1"/>
  <c r="M496" i="7" s="1"/>
  <c r="Q375" i="4"/>
  <c r="U375" i="4" s="1"/>
  <c r="R375" i="4" s="1"/>
  <c r="N376" i="4" s="1"/>
  <c r="P496" i="5"/>
  <c r="M497" i="5" s="1"/>
  <c r="Q495" i="7" l="1"/>
  <c r="N496" i="7" s="1"/>
  <c r="O496" i="7" s="1"/>
  <c r="R496" i="7" s="1"/>
  <c r="S375" i="4"/>
  <c r="O376" i="4" s="1"/>
  <c r="Q496" i="5"/>
  <c r="N497" i="5" s="1"/>
  <c r="O497" i="5" s="1"/>
  <c r="R497" i="5" s="1"/>
  <c r="P496" i="7" l="1"/>
  <c r="M497" i="7" s="1"/>
  <c r="T375" i="4"/>
  <c r="P376" i="4" s="1"/>
  <c r="Q376" i="4" s="1"/>
  <c r="U376" i="4" s="1"/>
  <c r="R376" i="4" s="1"/>
  <c r="N377" i="4" s="1"/>
  <c r="P497" i="5"/>
  <c r="M498" i="5" s="1"/>
  <c r="Q496" i="7" l="1"/>
  <c r="N497" i="7" s="1"/>
  <c r="O497" i="7" s="1"/>
  <c r="R497" i="7" s="1"/>
  <c r="S376" i="4"/>
  <c r="O377" i="4" s="1"/>
  <c r="Q497" i="5"/>
  <c r="N498" i="5" s="1"/>
  <c r="O498" i="5" s="1"/>
  <c r="R498" i="5" s="1"/>
  <c r="P497" i="7" l="1"/>
  <c r="M498" i="7" s="1"/>
  <c r="T376" i="4"/>
  <c r="P377" i="4" s="1"/>
  <c r="Q377" i="4" s="1"/>
  <c r="U377" i="4" s="1"/>
  <c r="P498" i="5"/>
  <c r="M499" i="5" s="1"/>
  <c r="Q497" i="7" l="1"/>
  <c r="N498" i="7" s="1"/>
  <c r="O498" i="7" s="1"/>
  <c r="R498" i="7" s="1"/>
  <c r="R377" i="4"/>
  <c r="N378" i="4" s="1"/>
  <c r="Q498" i="5"/>
  <c r="N499" i="5" s="1"/>
  <c r="O499" i="5" s="1"/>
  <c r="R499" i="5" s="1"/>
  <c r="P498" i="7" l="1"/>
  <c r="M499" i="7" s="1"/>
  <c r="S377" i="4"/>
  <c r="O378" i="4" s="1"/>
  <c r="P499" i="5"/>
  <c r="M500" i="5" s="1"/>
  <c r="Q498" i="7" l="1"/>
  <c r="N499" i="7" s="1"/>
  <c r="O499" i="7" s="1"/>
  <c r="R499" i="7" s="1"/>
  <c r="T377" i="4"/>
  <c r="P378" i="4" s="1"/>
  <c r="Q378" i="4" s="1"/>
  <c r="U378" i="4" s="1"/>
  <c r="Q499" i="5"/>
  <c r="N500" i="5" s="1"/>
  <c r="O500" i="5" s="1"/>
  <c r="R500" i="5" s="1"/>
  <c r="P499" i="7" l="1"/>
  <c r="M500" i="7" s="1"/>
  <c r="R378" i="4"/>
  <c r="N379" i="4" s="1"/>
  <c r="P500" i="5"/>
  <c r="M501" i="5" s="1"/>
  <c r="Q499" i="7" l="1"/>
  <c r="N500" i="7" s="1"/>
  <c r="O500" i="7" s="1"/>
  <c r="R500" i="7" s="1"/>
  <c r="S378" i="4"/>
  <c r="O379" i="4" s="1"/>
  <c r="Q500" i="5"/>
  <c r="N501" i="5" s="1"/>
  <c r="O501" i="5" s="1"/>
  <c r="R501" i="5" s="1"/>
  <c r="P500" i="7" l="1"/>
  <c r="M501" i="7" s="1"/>
  <c r="T378" i="4"/>
  <c r="P379" i="4" s="1"/>
  <c r="Q379" i="4" s="1"/>
  <c r="U379" i="4" s="1"/>
  <c r="P501" i="5"/>
  <c r="M502" i="5" s="1"/>
  <c r="Q500" i="7" l="1"/>
  <c r="N501" i="7" s="1"/>
  <c r="O501" i="7" s="1"/>
  <c r="R501" i="7" s="1"/>
  <c r="R379" i="4"/>
  <c r="N380" i="4" s="1"/>
  <c r="Q501" i="5"/>
  <c r="N502" i="5" s="1"/>
  <c r="O502" i="5" s="1"/>
  <c r="R502" i="5" s="1"/>
  <c r="P501" i="7" l="1"/>
  <c r="M502" i="7" s="1"/>
  <c r="S379" i="4"/>
  <c r="O380" i="4" s="1"/>
  <c r="P502" i="5"/>
  <c r="M503" i="5" s="1"/>
  <c r="Q501" i="7" l="1"/>
  <c r="N502" i="7" s="1"/>
  <c r="O502" i="7" s="1"/>
  <c r="R502" i="7" s="1"/>
  <c r="T379" i="4"/>
  <c r="P380" i="4" s="1"/>
  <c r="Q380" i="4" s="1"/>
  <c r="U380" i="4" s="1"/>
  <c r="R380" i="4" s="1"/>
  <c r="N381" i="4" s="1"/>
  <c r="Q502" i="5"/>
  <c r="N503" i="5" s="1"/>
  <c r="O503" i="5" s="1"/>
  <c r="R503" i="5" s="1"/>
  <c r="P502" i="7" l="1"/>
  <c r="M503" i="7" s="1"/>
  <c r="S380" i="4"/>
  <c r="P503" i="5"/>
  <c r="M504" i="5" s="1"/>
  <c r="Q502" i="7" l="1"/>
  <c r="N503" i="7" s="1"/>
  <c r="O503" i="7" s="1"/>
  <c r="R503" i="7" s="1"/>
  <c r="O381" i="4"/>
  <c r="T380" i="4"/>
  <c r="P381" i="4" s="1"/>
  <c r="Q381" i="4" s="1"/>
  <c r="U381" i="4" s="1"/>
  <c r="Q503" i="5"/>
  <c r="N504" i="5" s="1"/>
  <c r="O504" i="5" s="1"/>
  <c r="R504" i="5" s="1"/>
  <c r="P503" i="7" l="1"/>
  <c r="M504" i="7" s="1"/>
  <c r="R381" i="4"/>
  <c r="N382" i="4" s="1"/>
  <c r="P504" i="5"/>
  <c r="M505" i="5" s="1"/>
  <c r="Q503" i="7" l="1"/>
  <c r="N504" i="7" s="1"/>
  <c r="O504" i="7" s="1"/>
  <c r="R504" i="7" s="1"/>
  <c r="S381" i="4"/>
  <c r="Q504" i="5"/>
  <c r="N505" i="5" s="1"/>
  <c r="O505" i="5" s="1"/>
  <c r="R505" i="5" s="1"/>
  <c r="P504" i="7" l="1"/>
  <c r="M505" i="7" s="1"/>
  <c r="O382" i="4"/>
  <c r="T381" i="4"/>
  <c r="P382" i="4" s="1"/>
  <c r="Q382" i="4" s="1"/>
  <c r="U382" i="4" s="1"/>
  <c r="P505" i="5"/>
  <c r="M506" i="5" s="1"/>
  <c r="Q504" i="7" l="1"/>
  <c r="N505" i="7" s="1"/>
  <c r="O505" i="7" s="1"/>
  <c r="R505" i="7" s="1"/>
  <c r="R382" i="4"/>
  <c r="N383" i="4" s="1"/>
  <c r="Q505" i="5"/>
  <c r="N506" i="5" s="1"/>
  <c r="O506" i="5" s="1"/>
  <c r="R506" i="5" s="1"/>
  <c r="P505" i="7" l="1"/>
  <c r="M506" i="7" s="1"/>
  <c r="S382" i="4"/>
  <c r="O383" i="4" s="1"/>
  <c r="P506" i="5"/>
  <c r="M507" i="5" s="1"/>
  <c r="Q505" i="7" l="1"/>
  <c r="N506" i="7" s="1"/>
  <c r="O506" i="7" s="1"/>
  <c r="R506" i="7" s="1"/>
  <c r="T382" i="4"/>
  <c r="P383" i="4" s="1"/>
  <c r="Q383" i="4" s="1"/>
  <c r="U383" i="4" s="1"/>
  <c r="Q506" i="5"/>
  <c r="N507" i="5" s="1"/>
  <c r="O507" i="5" s="1"/>
  <c r="R507" i="5" s="1"/>
  <c r="P506" i="7" l="1"/>
  <c r="M507" i="7" s="1"/>
  <c r="R383" i="4"/>
  <c r="N384" i="4" s="1"/>
  <c r="P507" i="5"/>
  <c r="M508" i="5" s="1"/>
  <c r="Q506" i="7" l="1"/>
  <c r="N507" i="7" s="1"/>
  <c r="O507" i="7" s="1"/>
  <c r="R507" i="7" s="1"/>
  <c r="S383" i="4"/>
  <c r="O384" i="4" s="1"/>
  <c r="Q507" i="5"/>
  <c r="N508" i="5" s="1"/>
  <c r="O508" i="5"/>
  <c r="R508" i="5" s="1"/>
  <c r="P507" i="7" l="1"/>
  <c r="M508" i="7" s="1"/>
  <c r="T383" i="4"/>
  <c r="P384" i="4" s="1"/>
  <c r="Q384" i="4" s="1"/>
  <c r="U384" i="4" s="1"/>
  <c r="P508" i="5"/>
  <c r="M509" i="5" s="1"/>
  <c r="Q507" i="7" l="1"/>
  <c r="N508" i="7" s="1"/>
  <c r="O508" i="7" s="1"/>
  <c r="R508" i="7" s="1"/>
  <c r="R384" i="4"/>
  <c r="N385" i="4" s="1"/>
  <c r="Q508" i="5"/>
  <c r="N509" i="5" s="1"/>
  <c r="O509" i="5" s="1"/>
  <c r="R509" i="5" s="1"/>
  <c r="P508" i="7" l="1"/>
  <c r="M509" i="7" s="1"/>
  <c r="S384" i="4"/>
  <c r="P509" i="5"/>
  <c r="M510" i="5" s="1"/>
  <c r="Q508" i="7" l="1"/>
  <c r="N509" i="7" s="1"/>
  <c r="O509" i="7" s="1"/>
  <c r="R509" i="7" s="1"/>
  <c r="O385" i="4"/>
  <c r="T384" i="4"/>
  <c r="P385" i="4" s="1"/>
  <c r="Q385" i="4" s="1"/>
  <c r="U385" i="4" s="1"/>
  <c r="R385" i="4" s="1"/>
  <c r="N386" i="4" s="1"/>
  <c r="Q509" i="5"/>
  <c r="N510" i="5" s="1"/>
  <c r="O510" i="5" s="1"/>
  <c r="R510" i="5" s="1"/>
  <c r="P509" i="7" l="1"/>
  <c r="M510" i="7" s="1"/>
  <c r="S385" i="4"/>
  <c r="O386" i="4" s="1"/>
  <c r="T385" i="4"/>
  <c r="P386" i="4" s="1"/>
  <c r="Q386" i="4" s="1"/>
  <c r="U386" i="4" s="1"/>
  <c r="P510" i="5"/>
  <c r="M511" i="5" s="1"/>
  <c r="Q509" i="7" l="1"/>
  <c r="N510" i="7" s="1"/>
  <c r="O510" i="7" s="1"/>
  <c r="R510" i="7" s="1"/>
  <c r="R386" i="4"/>
  <c r="N387" i="4" s="1"/>
  <c r="Q510" i="5"/>
  <c r="N511" i="5" s="1"/>
  <c r="O511" i="5" s="1"/>
  <c r="R511" i="5" s="1"/>
  <c r="P510" i="7" l="1"/>
  <c r="M511" i="7" s="1"/>
  <c r="S386" i="4"/>
  <c r="O387" i="4" s="1"/>
  <c r="T386" i="4"/>
  <c r="P387" i="4" s="1"/>
  <c r="Q387" i="4" s="1"/>
  <c r="U387" i="4" s="1"/>
  <c r="P511" i="5"/>
  <c r="M512" i="5" s="1"/>
  <c r="Q510" i="7" l="1"/>
  <c r="N511" i="7" s="1"/>
  <c r="O511" i="7" s="1"/>
  <c r="R511" i="7" s="1"/>
  <c r="R387" i="4"/>
  <c r="N388" i="4" s="1"/>
  <c r="Q511" i="5"/>
  <c r="N512" i="5" s="1"/>
  <c r="O512" i="5" s="1"/>
  <c r="R512" i="5" s="1"/>
  <c r="P511" i="7" l="1"/>
  <c r="M512" i="7" s="1"/>
  <c r="S387" i="4"/>
  <c r="O388" i="4" s="1"/>
  <c r="P512" i="5"/>
  <c r="M513" i="5" s="1"/>
  <c r="Q511" i="7" l="1"/>
  <c r="N512" i="7" s="1"/>
  <c r="O512" i="7" s="1"/>
  <c r="R512" i="7" s="1"/>
  <c r="T387" i="4"/>
  <c r="P388" i="4" s="1"/>
  <c r="Q388" i="4" s="1"/>
  <c r="U388" i="4" s="1"/>
  <c r="Q512" i="5"/>
  <c r="N513" i="5" s="1"/>
  <c r="O513" i="5" s="1"/>
  <c r="R513" i="5" s="1"/>
  <c r="P512" i="7" l="1"/>
  <c r="M513" i="7" s="1"/>
  <c r="R388" i="4"/>
  <c r="N389" i="4" s="1"/>
  <c r="P513" i="5"/>
  <c r="M514" i="5" s="1"/>
  <c r="Q512" i="7" l="1"/>
  <c r="N513" i="7" s="1"/>
  <c r="O513" i="7" s="1"/>
  <c r="R513" i="7" s="1"/>
  <c r="S388" i="4"/>
  <c r="O389" i="4" s="1"/>
  <c r="T388" i="4"/>
  <c r="P389" i="4" s="1"/>
  <c r="Q389" i="4" s="1"/>
  <c r="U389" i="4" s="1"/>
  <c r="Q513" i="5"/>
  <c r="N514" i="5" s="1"/>
  <c r="O514" i="5" s="1"/>
  <c r="R514" i="5" s="1"/>
  <c r="P513" i="7" l="1"/>
  <c r="M514" i="7" s="1"/>
  <c r="R389" i="4"/>
  <c r="N390" i="4" s="1"/>
  <c r="S389" i="4"/>
  <c r="O390" i="4" s="1"/>
  <c r="P514" i="5"/>
  <c r="M515" i="5" s="1"/>
  <c r="Q513" i="7" l="1"/>
  <c r="N514" i="7" s="1"/>
  <c r="O514" i="7" s="1"/>
  <c r="R514" i="7" s="1"/>
  <c r="T389" i="4"/>
  <c r="P390" i="4" s="1"/>
  <c r="Q390" i="4" s="1"/>
  <c r="U390" i="4" s="1"/>
  <c r="Q514" i="5"/>
  <c r="N515" i="5" s="1"/>
  <c r="O515" i="5" s="1"/>
  <c r="R515" i="5" s="1"/>
  <c r="P514" i="7" l="1"/>
  <c r="M515" i="7" s="1"/>
  <c r="R390" i="4"/>
  <c r="N391" i="4" s="1"/>
  <c r="P515" i="5"/>
  <c r="M516" i="5" s="1"/>
  <c r="Q514" i="7" l="1"/>
  <c r="N515" i="7" s="1"/>
  <c r="O515" i="7" s="1"/>
  <c r="R515" i="7" s="1"/>
  <c r="S390" i="4"/>
  <c r="O391" i="4" s="1"/>
  <c r="Q515" i="5"/>
  <c r="N516" i="5" s="1"/>
  <c r="O516" i="5" s="1"/>
  <c r="R516" i="5" s="1"/>
  <c r="P515" i="7" l="1"/>
  <c r="M516" i="7" s="1"/>
  <c r="T390" i="4"/>
  <c r="P391" i="4" s="1"/>
  <c r="Q391" i="4" s="1"/>
  <c r="U391" i="4" s="1"/>
  <c r="R391" i="4" s="1"/>
  <c r="N392" i="4" s="1"/>
  <c r="P516" i="5"/>
  <c r="M517" i="5" s="1"/>
  <c r="Q515" i="7" l="1"/>
  <c r="N516" i="7" s="1"/>
  <c r="O516" i="7" s="1"/>
  <c r="R516" i="7" s="1"/>
  <c r="S391" i="4"/>
  <c r="O392" i="4" s="1"/>
  <c r="Q516" i="5"/>
  <c r="N517" i="5" s="1"/>
  <c r="O517" i="5"/>
  <c r="R517" i="5" s="1"/>
  <c r="P516" i="7" l="1"/>
  <c r="M517" i="7" s="1"/>
  <c r="T391" i="4"/>
  <c r="P392" i="4" s="1"/>
  <c r="Q392" i="4" s="1"/>
  <c r="U392" i="4" s="1"/>
  <c r="P517" i="5"/>
  <c r="M518" i="5" s="1"/>
  <c r="Q516" i="7" l="1"/>
  <c r="N517" i="7" s="1"/>
  <c r="O517" i="7" s="1"/>
  <c r="R517" i="7" s="1"/>
  <c r="R392" i="4"/>
  <c r="N393" i="4" s="1"/>
  <c r="Q517" i="5"/>
  <c r="N518" i="5" s="1"/>
  <c r="O518" i="5" s="1"/>
  <c r="R518" i="5" s="1"/>
  <c r="P517" i="7" l="1"/>
  <c r="M518" i="7" s="1"/>
  <c r="S392" i="4"/>
  <c r="O393" i="4" s="1"/>
  <c r="P518" i="5"/>
  <c r="M519" i="5" s="1"/>
  <c r="Q517" i="7" l="1"/>
  <c r="N518" i="7" s="1"/>
  <c r="O518" i="7" s="1"/>
  <c r="R518" i="7" s="1"/>
  <c r="T392" i="4"/>
  <c r="P393" i="4" s="1"/>
  <c r="Q393" i="4" s="1"/>
  <c r="U393" i="4" s="1"/>
  <c r="R393" i="4" s="1"/>
  <c r="N394" i="4" s="1"/>
  <c r="Q518" i="5"/>
  <c r="N519" i="5" s="1"/>
  <c r="O519" i="5" s="1"/>
  <c r="R519" i="5" s="1"/>
  <c r="P518" i="7" l="1"/>
  <c r="M519" i="7" s="1"/>
  <c r="S393" i="4"/>
  <c r="O394" i="4" s="1"/>
  <c r="P519" i="5"/>
  <c r="M520" i="5" s="1"/>
  <c r="Q518" i="7" l="1"/>
  <c r="N519" i="7" s="1"/>
  <c r="O519" i="7" s="1"/>
  <c r="R519" i="7" s="1"/>
  <c r="T393" i="4"/>
  <c r="P394" i="4" s="1"/>
  <c r="Q394" i="4" s="1"/>
  <c r="U394" i="4" s="1"/>
  <c r="R394" i="4" s="1"/>
  <c r="N395" i="4" s="1"/>
  <c r="Q519" i="5"/>
  <c r="N520" i="5" s="1"/>
  <c r="O520" i="5" s="1"/>
  <c r="R520" i="5" s="1"/>
  <c r="P519" i="7" l="1"/>
  <c r="M520" i="7" s="1"/>
  <c r="S394" i="4"/>
  <c r="O395" i="4" s="1"/>
  <c r="P520" i="5"/>
  <c r="M521" i="5" s="1"/>
  <c r="Q519" i="7" l="1"/>
  <c r="N520" i="7" s="1"/>
  <c r="O520" i="7" s="1"/>
  <c r="R520" i="7" s="1"/>
  <c r="T394" i="4"/>
  <c r="P395" i="4" s="1"/>
  <c r="Q395" i="4" s="1"/>
  <c r="U395" i="4" s="1"/>
  <c r="Q520" i="5"/>
  <c r="N521" i="5" s="1"/>
  <c r="O521" i="5" s="1"/>
  <c r="R521" i="5" s="1"/>
  <c r="P520" i="7" l="1"/>
  <c r="M521" i="7" s="1"/>
  <c r="R395" i="4"/>
  <c r="N396" i="4" s="1"/>
  <c r="P521" i="5"/>
  <c r="M522" i="5" s="1"/>
  <c r="Q520" i="7" l="1"/>
  <c r="N521" i="7" s="1"/>
  <c r="O521" i="7" s="1"/>
  <c r="R521" i="7" s="1"/>
  <c r="S395" i="4"/>
  <c r="O396" i="4" s="1"/>
  <c r="Q521" i="5"/>
  <c r="N522" i="5" s="1"/>
  <c r="O522" i="5" s="1"/>
  <c r="R522" i="5" s="1"/>
  <c r="P521" i="7" l="1"/>
  <c r="M522" i="7" s="1"/>
  <c r="T395" i="4"/>
  <c r="P396" i="4" s="1"/>
  <c r="Q396" i="4" s="1"/>
  <c r="U396" i="4" s="1"/>
  <c r="R396" i="4" s="1"/>
  <c r="N397" i="4" s="1"/>
  <c r="P522" i="5"/>
  <c r="M523" i="5" s="1"/>
  <c r="Q521" i="7" l="1"/>
  <c r="N522" i="7" s="1"/>
  <c r="O522" i="7" s="1"/>
  <c r="R522" i="7" s="1"/>
  <c r="S396" i="4"/>
  <c r="O397" i="4" s="1"/>
  <c r="Q522" i="5"/>
  <c r="N523" i="5" s="1"/>
  <c r="O523" i="5" s="1"/>
  <c r="R523" i="5" s="1"/>
  <c r="P522" i="7" l="1"/>
  <c r="M523" i="7" s="1"/>
  <c r="T396" i="4"/>
  <c r="P397" i="4" s="1"/>
  <c r="Q397" i="4" s="1"/>
  <c r="U397" i="4" s="1"/>
  <c r="P523" i="5"/>
  <c r="M524" i="5" s="1"/>
  <c r="Q522" i="7" l="1"/>
  <c r="N523" i="7" s="1"/>
  <c r="O523" i="7" s="1"/>
  <c r="R523" i="7" s="1"/>
  <c r="R397" i="4"/>
  <c r="N398" i="4" s="1"/>
  <c r="Q523" i="5"/>
  <c r="N524" i="5" s="1"/>
  <c r="O524" i="5" s="1"/>
  <c r="R524" i="5" s="1"/>
  <c r="P523" i="7" l="1"/>
  <c r="M524" i="7" s="1"/>
  <c r="S397" i="4"/>
  <c r="O398" i="4" s="1"/>
  <c r="P524" i="5"/>
  <c r="M525" i="5" s="1"/>
  <c r="Q523" i="7" l="1"/>
  <c r="N524" i="7" s="1"/>
  <c r="O524" i="7" s="1"/>
  <c r="R524" i="7" s="1"/>
  <c r="T397" i="4"/>
  <c r="P398" i="4" s="1"/>
  <c r="Q398" i="4" s="1"/>
  <c r="U398" i="4" s="1"/>
  <c r="Q524" i="5"/>
  <c r="N525" i="5" s="1"/>
  <c r="O525" i="5" s="1"/>
  <c r="R525" i="5" s="1"/>
  <c r="P524" i="7" l="1"/>
  <c r="M525" i="7" s="1"/>
  <c r="R398" i="4"/>
  <c r="N399" i="4" s="1"/>
  <c r="P525" i="5"/>
  <c r="M526" i="5" s="1"/>
  <c r="Q524" i="7" l="1"/>
  <c r="N525" i="7" s="1"/>
  <c r="O525" i="7" s="1"/>
  <c r="R525" i="7" s="1"/>
  <c r="S398" i="4"/>
  <c r="O399" i="4" s="1"/>
  <c r="Q525" i="5"/>
  <c r="N526" i="5" s="1"/>
  <c r="O526" i="5" s="1"/>
  <c r="R526" i="5" s="1"/>
  <c r="P525" i="7" l="1"/>
  <c r="M526" i="7" s="1"/>
  <c r="T398" i="4"/>
  <c r="P399" i="4" s="1"/>
  <c r="Q399" i="4" s="1"/>
  <c r="U399" i="4" s="1"/>
  <c r="P526" i="5"/>
  <c r="M527" i="5" s="1"/>
  <c r="Q525" i="7" l="1"/>
  <c r="N526" i="7" s="1"/>
  <c r="O526" i="7" s="1"/>
  <c r="R526" i="7" s="1"/>
  <c r="R399" i="4"/>
  <c r="N400" i="4" s="1"/>
  <c r="Q526" i="5"/>
  <c r="N527" i="5" s="1"/>
  <c r="O527" i="5"/>
  <c r="R527" i="5" s="1"/>
  <c r="P526" i="7" l="1"/>
  <c r="M527" i="7" s="1"/>
  <c r="S399" i="4"/>
  <c r="O400" i="4" s="1"/>
  <c r="P527" i="5"/>
  <c r="M528" i="5" s="1"/>
  <c r="Q526" i="7" l="1"/>
  <c r="N527" i="7" s="1"/>
  <c r="O527" i="7" s="1"/>
  <c r="R527" i="7" s="1"/>
  <c r="T399" i="4"/>
  <c r="P400" i="4" s="1"/>
  <c r="Q400" i="4" s="1"/>
  <c r="U400" i="4" s="1"/>
  <c r="Q527" i="5"/>
  <c r="N528" i="5" s="1"/>
  <c r="O528" i="5" s="1"/>
  <c r="R528" i="5" s="1"/>
  <c r="P527" i="7" l="1"/>
  <c r="M528" i="7" s="1"/>
  <c r="R400" i="4"/>
  <c r="N401" i="4" s="1"/>
  <c r="P528" i="5"/>
  <c r="M529" i="5" s="1"/>
  <c r="Q527" i="7" l="1"/>
  <c r="N528" i="7" s="1"/>
  <c r="O528" i="7" s="1"/>
  <c r="R528" i="7" s="1"/>
  <c r="S400" i="4"/>
  <c r="Q528" i="5"/>
  <c r="N529" i="5" s="1"/>
  <c r="O529" i="5" s="1"/>
  <c r="R529" i="5" s="1"/>
  <c r="P528" i="7" l="1"/>
  <c r="M529" i="7" s="1"/>
  <c r="O401" i="4"/>
  <c r="T400" i="4"/>
  <c r="P401" i="4" s="1"/>
  <c r="Q401" i="4" s="1"/>
  <c r="U401" i="4" s="1"/>
  <c r="P529" i="5"/>
  <c r="M530" i="5" s="1"/>
  <c r="Q528" i="7" l="1"/>
  <c r="N529" i="7" s="1"/>
  <c r="O529" i="7" s="1"/>
  <c r="R529" i="7" s="1"/>
  <c r="R401" i="4"/>
  <c r="N402" i="4" s="1"/>
  <c r="S401" i="4"/>
  <c r="O402" i="4" s="1"/>
  <c r="Q529" i="5"/>
  <c r="N530" i="5" s="1"/>
  <c r="O530" i="5" s="1"/>
  <c r="R530" i="5" s="1"/>
  <c r="P529" i="7" l="1"/>
  <c r="M530" i="7" s="1"/>
  <c r="T401" i="4"/>
  <c r="P402" i="4" s="1"/>
  <c r="Q402" i="4" s="1"/>
  <c r="U402" i="4" s="1"/>
  <c r="P530" i="5"/>
  <c r="M531" i="5" s="1"/>
  <c r="Q529" i="7" l="1"/>
  <c r="N530" i="7" s="1"/>
  <c r="O530" i="7" s="1"/>
  <c r="R530" i="7" s="1"/>
  <c r="R402" i="4"/>
  <c r="N403" i="4" s="1"/>
  <c r="Q530" i="5"/>
  <c r="N531" i="5" s="1"/>
  <c r="O531" i="5" s="1"/>
  <c r="R531" i="5" s="1"/>
  <c r="P530" i="7" l="1"/>
  <c r="M531" i="7" s="1"/>
  <c r="S402" i="4"/>
  <c r="O403" i="4" s="1"/>
  <c r="P531" i="5"/>
  <c r="M532" i="5" s="1"/>
  <c r="Q530" i="7" l="1"/>
  <c r="N531" i="7" s="1"/>
  <c r="O531" i="7" s="1"/>
  <c r="R531" i="7" s="1"/>
  <c r="T402" i="4"/>
  <c r="P403" i="4" s="1"/>
  <c r="Q403" i="4" s="1"/>
  <c r="U403" i="4" s="1"/>
  <c r="Q531" i="5"/>
  <c r="N532" i="5" s="1"/>
  <c r="O532" i="5" s="1"/>
  <c r="R532" i="5" s="1"/>
  <c r="P531" i="7" l="1"/>
  <c r="M532" i="7" s="1"/>
  <c r="R403" i="4"/>
  <c r="N404" i="4" s="1"/>
  <c r="P532" i="5"/>
  <c r="M533" i="5" s="1"/>
  <c r="Q531" i="7" l="1"/>
  <c r="N532" i="7" s="1"/>
  <c r="O532" i="7" s="1"/>
  <c r="R532" i="7" s="1"/>
  <c r="S403" i="4"/>
  <c r="O404" i="4" s="1"/>
  <c r="Q532" i="5"/>
  <c r="N533" i="5" s="1"/>
  <c r="O533" i="5" s="1"/>
  <c r="R533" i="5" s="1"/>
  <c r="P532" i="7" l="1"/>
  <c r="M533" i="7" s="1"/>
  <c r="T403" i="4"/>
  <c r="P404" i="4" s="1"/>
  <c r="Q404" i="4" s="1"/>
  <c r="U404" i="4" s="1"/>
  <c r="R404" i="4" s="1"/>
  <c r="N405" i="4" s="1"/>
  <c r="P533" i="5"/>
  <c r="M534" i="5" s="1"/>
  <c r="Q532" i="7" l="1"/>
  <c r="N533" i="7" s="1"/>
  <c r="O533" i="7" s="1"/>
  <c r="R533" i="7" s="1"/>
  <c r="S404" i="4"/>
  <c r="O405" i="4" s="1"/>
  <c r="Q533" i="5"/>
  <c r="N534" i="5" s="1"/>
  <c r="O534" i="5" s="1"/>
  <c r="R534" i="5" s="1"/>
  <c r="P533" i="7" l="1"/>
  <c r="M534" i="7" s="1"/>
  <c r="T404" i="4"/>
  <c r="P405" i="4" s="1"/>
  <c r="Q405" i="4" s="1"/>
  <c r="U405" i="4" s="1"/>
  <c r="P534" i="5"/>
  <c r="M535" i="5" s="1"/>
  <c r="Q533" i="7" l="1"/>
  <c r="N534" i="7" s="1"/>
  <c r="O534" i="7" s="1"/>
  <c r="R534" i="7" s="1"/>
  <c r="R405" i="4"/>
  <c r="N406" i="4" s="1"/>
  <c r="Q534" i="5"/>
  <c r="N535" i="5" s="1"/>
  <c r="O535" i="5" s="1"/>
  <c r="R535" i="5" s="1"/>
  <c r="P534" i="7" l="1"/>
  <c r="M535" i="7" s="1"/>
  <c r="S405" i="4"/>
  <c r="O406" i="4" s="1"/>
  <c r="P535" i="5"/>
  <c r="M536" i="5" s="1"/>
  <c r="Q534" i="7" l="1"/>
  <c r="N535" i="7" s="1"/>
  <c r="O535" i="7" s="1"/>
  <c r="R535" i="7" s="1"/>
  <c r="T405" i="4"/>
  <c r="P406" i="4" s="1"/>
  <c r="Q406" i="4" s="1"/>
  <c r="U406" i="4" s="1"/>
  <c r="R406" i="4" s="1"/>
  <c r="N407" i="4" s="1"/>
  <c r="Q535" i="5"/>
  <c r="N536" i="5" s="1"/>
  <c r="O536" i="5" s="1"/>
  <c r="R536" i="5" s="1"/>
  <c r="P535" i="7" l="1"/>
  <c r="M536" i="7" s="1"/>
  <c r="S406" i="4"/>
  <c r="O407" i="4" s="1"/>
  <c r="P536" i="5"/>
  <c r="M537" i="5" s="1"/>
  <c r="Q535" i="7" l="1"/>
  <c r="N536" i="7" s="1"/>
  <c r="O536" i="7" s="1"/>
  <c r="R536" i="7" s="1"/>
  <c r="T406" i="4"/>
  <c r="P407" i="4" s="1"/>
  <c r="Q407" i="4" s="1"/>
  <c r="U407" i="4" s="1"/>
  <c r="Q536" i="5"/>
  <c r="N537" i="5" s="1"/>
  <c r="O537" i="5" s="1"/>
  <c r="R537" i="5" s="1"/>
  <c r="P536" i="7" l="1"/>
  <c r="M537" i="7" s="1"/>
  <c r="R407" i="4"/>
  <c r="N408" i="4" s="1"/>
  <c r="P537" i="5"/>
  <c r="M538" i="5" s="1"/>
  <c r="Q536" i="7" l="1"/>
  <c r="N537" i="7" s="1"/>
  <c r="O537" i="7" s="1"/>
  <c r="R537" i="7" s="1"/>
  <c r="S407" i="4"/>
  <c r="O408" i="4" s="1"/>
  <c r="Q537" i="5"/>
  <c r="N538" i="5" s="1"/>
  <c r="O538" i="5" s="1"/>
  <c r="R538" i="5" s="1"/>
  <c r="P537" i="7" l="1"/>
  <c r="M538" i="7" s="1"/>
  <c r="T407" i="4"/>
  <c r="P408" i="4" s="1"/>
  <c r="Q408" i="4" s="1"/>
  <c r="U408" i="4" s="1"/>
  <c r="P538" i="5"/>
  <c r="M539" i="5" s="1"/>
  <c r="Q537" i="7" l="1"/>
  <c r="N538" i="7" s="1"/>
  <c r="O538" i="7" s="1"/>
  <c r="R538" i="7" s="1"/>
  <c r="R408" i="4"/>
  <c r="N409" i="4" s="1"/>
  <c r="Q538" i="5"/>
  <c r="N539" i="5" s="1"/>
  <c r="O539" i="5" s="1"/>
  <c r="R539" i="5" s="1"/>
  <c r="P538" i="7" l="1"/>
  <c r="M539" i="7" s="1"/>
  <c r="S408" i="4"/>
  <c r="O409" i="4" s="1"/>
  <c r="P539" i="5"/>
  <c r="M540" i="5" s="1"/>
  <c r="Q538" i="7" l="1"/>
  <c r="N539" i="7" s="1"/>
  <c r="O539" i="7" s="1"/>
  <c r="R539" i="7" s="1"/>
  <c r="T408" i="4"/>
  <c r="P409" i="4" s="1"/>
  <c r="Q409" i="4" s="1"/>
  <c r="U409" i="4" s="1"/>
  <c r="R409" i="4" s="1"/>
  <c r="N410" i="4" s="1"/>
  <c r="Q539" i="5"/>
  <c r="N540" i="5" s="1"/>
  <c r="O540" i="5" s="1"/>
  <c r="R540" i="5" s="1"/>
  <c r="P539" i="7" l="1"/>
  <c r="M540" i="7" s="1"/>
  <c r="S409" i="4"/>
  <c r="O410" i="4" s="1"/>
  <c r="P540" i="5"/>
  <c r="M541" i="5" s="1"/>
  <c r="Q539" i="7" l="1"/>
  <c r="N540" i="7" s="1"/>
  <c r="O540" i="7" s="1"/>
  <c r="R540" i="7" s="1"/>
  <c r="T409" i="4"/>
  <c r="P410" i="4" s="1"/>
  <c r="Q410" i="4" s="1"/>
  <c r="U410" i="4" s="1"/>
  <c r="R410" i="4" s="1"/>
  <c r="N411" i="4" s="1"/>
  <c r="Q540" i="5"/>
  <c r="N541" i="5" s="1"/>
  <c r="O541" i="5" s="1"/>
  <c r="R541" i="5" s="1"/>
  <c r="P540" i="7" l="1"/>
  <c r="M541" i="7" s="1"/>
  <c r="S410" i="4"/>
  <c r="O411" i="4" s="1"/>
  <c r="P541" i="5"/>
  <c r="M542" i="5" s="1"/>
  <c r="Q540" i="7" l="1"/>
  <c r="N541" i="7" s="1"/>
  <c r="O541" i="7" s="1"/>
  <c r="R541" i="7" s="1"/>
  <c r="T410" i="4"/>
  <c r="P411" i="4" s="1"/>
  <c r="Q411" i="4" s="1"/>
  <c r="U411" i="4" s="1"/>
  <c r="R411" i="4" s="1"/>
  <c r="N412" i="4" s="1"/>
  <c r="Q541" i="5"/>
  <c r="N542" i="5" s="1"/>
  <c r="O542" i="5" s="1"/>
  <c r="R542" i="5" s="1"/>
  <c r="P541" i="7" l="1"/>
  <c r="M542" i="7" s="1"/>
  <c r="T411" i="4"/>
  <c r="P412" i="4" s="1"/>
  <c r="Q412" i="4" s="1"/>
  <c r="U412" i="4" s="1"/>
  <c r="S411" i="4"/>
  <c r="O412" i="4" s="1"/>
  <c r="P542" i="5"/>
  <c r="M543" i="5" s="1"/>
  <c r="Q541" i="7" l="1"/>
  <c r="N542" i="7" s="1"/>
  <c r="O542" i="7" s="1"/>
  <c r="R542" i="7" s="1"/>
  <c r="R412" i="4"/>
  <c r="N413" i="4" s="1"/>
  <c r="Q542" i="5"/>
  <c r="N543" i="5" s="1"/>
  <c r="O543" i="5" s="1"/>
  <c r="R543" i="5" s="1"/>
  <c r="P542" i="7" l="1"/>
  <c r="M543" i="7" s="1"/>
  <c r="S412" i="4"/>
  <c r="O413" i="4" s="1"/>
  <c r="T412" i="4"/>
  <c r="P413" i="4" s="1"/>
  <c r="Q413" i="4" s="1"/>
  <c r="U413" i="4" s="1"/>
  <c r="P543" i="5"/>
  <c r="M544" i="5" s="1"/>
  <c r="Q542" i="7" l="1"/>
  <c r="N543" i="7" s="1"/>
  <c r="O543" i="7" s="1"/>
  <c r="R543" i="7" s="1"/>
  <c r="R413" i="4"/>
  <c r="N414" i="4" s="1"/>
  <c r="S413" i="4"/>
  <c r="O414" i="4" s="1"/>
  <c r="Q543" i="5"/>
  <c r="N544" i="5" s="1"/>
  <c r="O544" i="5" s="1"/>
  <c r="R544" i="5" s="1"/>
  <c r="P543" i="7" l="1"/>
  <c r="M544" i="7" s="1"/>
  <c r="T413" i="4"/>
  <c r="P414" i="4" s="1"/>
  <c r="Q414" i="4" s="1"/>
  <c r="U414" i="4" s="1"/>
  <c r="P544" i="5"/>
  <c r="M545" i="5" s="1"/>
  <c r="Q543" i="7" l="1"/>
  <c r="N544" i="7" s="1"/>
  <c r="O544" i="7" s="1"/>
  <c r="R544" i="7" s="1"/>
  <c r="R414" i="4"/>
  <c r="N415" i="4" s="1"/>
  <c r="Q544" i="5"/>
  <c r="N545" i="5" s="1"/>
  <c r="O545" i="5" s="1"/>
  <c r="R545" i="5" s="1"/>
  <c r="P544" i="7" l="1"/>
  <c r="M545" i="7" s="1"/>
  <c r="S414" i="4"/>
  <c r="O415" i="4" s="1"/>
  <c r="P545" i="5"/>
  <c r="M546" i="5" s="1"/>
  <c r="Q544" i="7" l="1"/>
  <c r="N545" i="7" s="1"/>
  <c r="O545" i="7" s="1"/>
  <c r="R545" i="7" s="1"/>
  <c r="T414" i="4"/>
  <c r="P415" i="4" s="1"/>
  <c r="Q415" i="4" s="1"/>
  <c r="U415" i="4" s="1"/>
  <c r="Q545" i="5"/>
  <c r="N546" i="5" s="1"/>
  <c r="O546" i="5" s="1"/>
  <c r="R546" i="5" s="1"/>
  <c r="P545" i="7" l="1"/>
  <c r="M546" i="7" s="1"/>
  <c r="R415" i="4"/>
  <c r="N416" i="4" s="1"/>
  <c r="P546" i="5"/>
  <c r="M547" i="5" s="1"/>
  <c r="Q545" i="7" l="1"/>
  <c r="N546" i="7" s="1"/>
  <c r="O546" i="7" s="1"/>
  <c r="R546" i="7" s="1"/>
  <c r="S415" i="4"/>
  <c r="O416" i="4" s="1"/>
  <c r="Q546" i="5"/>
  <c r="N547" i="5" s="1"/>
  <c r="O547" i="5" s="1"/>
  <c r="R547" i="5" s="1"/>
  <c r="P546" i="7" l="1"/>
  <c r="M547" i="7" s="1"/>
  <c r="T415" i="4"/>
  <c r="P416" i="4" s="1"/>
  <c r="Q416" i="4" s="1"/>
  <c r="U416" i="4" s="1"/>
  <c r="P547" i="5"/>
  <c r="M548" i="5" s="1"/>
  <c r="Q546" i="7" l="1"/>
  <c r="N547" i="7" s="1"/>
  <c r="O547" i="7" s="1"/>
  <c r="R547" i="7" s="1"/>
  <c r="R416" i="4"/>
  <c r="N417" i="4" s="1"/>
  <c r="Q547" i="5"/>
  <c r="N548" i="5" s="1"/>
  <c r="O548" i="5" s="1"/>
  <c r="R548" i="5" s="1"/>
  <c r="P547" i="7" l="1"/>
  <c r="M548" i="7" s="1"/>
  <c r="S416" i="4"/>
  <c r="P548" i="5"/>
  <c r="M549" i="5" s="1"/>
  <c r="Q547" i="7" l="1"/>
  <c r="N548" i="7" s="1"/>
  <c r="O548" i="7" s="1"/>
  <c r="R548" i="7" s="1"/>
  <c r="O417" i="4"/>
  <c r="T416" i="4"/>
  <c r="P417" i="4" s="1"/>
  <c r="Q417" i="4" s="1"/>
  <c r="U417" i="4" s="1"/>
  <c r="Q548" i="5"/>
  <c r="N549" i="5" s="1"/>
  <c r="O549" i="5" s="1"/>
  <c r="R549" i="5" s="1"/>
  <c r="P548" i="7" l="1"/>
  <c r="M549" i="7" s="1"/>
  <c r="R417" i="4"/>
  <c r="N418" i="4" s="1"/>
  <c r="P549" i="5"/>
  <c r="M550" i="5" s="1"/>
  <c r="Q548" i="7" l="1"/>
  <c r="N549" i="7" s="1"/>
  <c r="O549" i="7" s="1"/>
  <c r="R549" i="7" s="1"/>
  <c r="S417" i="4"/>
  <c r="Q549" i="5"/>
  <c r="N550" i="5" s="1"/>
  <c r="O550" i="5" s="1"/>
  <c r="R550" i="5" s="1"/>
  <c r="P549" i="7" l="1"/>
  <c r="M550" i="7" s="1"/>
  <c r="O418" i="4"/>
  <c r="T417" i="4"/>
  <c r="P418" i="4" s="1"/>
  <c r="P550" i="5"/>
  <c r="M551" i="5" s="1"/>
  <c r="Q549" i="7" l="1"/>
  <c r="N550" i="7" s="1"/>
  <c r="O550" i="7" s="1"/>
  <c r="R550" i="7" s="1"/>
  <c r="Q418" i="4"/>
  <c r="U418" i="4" s="1"/>
  <c r="Q550" i="5"/>
  <c r="N551" i="5" s="1"/>
  <c r="O551" i="5" s="1"/>
  <c r="R551" i="5" s="1"/>
  <c r="P550" i="7" l="1"/>
  <c r="M551" i="7" s="1"/>
  <c r="R418" i="4"/>
  <c r="N419" i="4" s="1"/>
  <c r="P551" i="5"/>
  <c r="M552" i="5" s="1"/>
  <c r="Q550" i="7" l="1"/>
  <c r="N551" i="7" s="1"/>
  <c r="O551" i="7" s="1"/>
  <c r="R551" i="7" s="1"/>
  <c r="S418" i="4"/>
  <c r="O419" i="4" s="1"/>
  <c r="Q551" i="5"/>
  <c r="N552" i="5" s="1"/>
  <c r="O552" i="5" s="1"/>
  <c r="R552" i="5" s="1"/>
  <c r="P551" i="7" l="1"/>
  <c r="M552" i="7" s="1"/>
  <c r="T418" i="4"/>
  <c r="P419" i="4" s="1"/>
  <c r="Q419" i="4" s="1"/>
  <c r="U419" i="4" s="1"/>
  <c r="P552" i="5"/>
  <c r="M553" i="5" s="1"/>
  <c r="Q551" i="7" l="1"/>
  <c r="N552" i="7" s="1"/>
  <c r="O552" i="7" s="1"/>
  <c r="R552" i="7" s="1"/>
  <c r="R419" i="4"/>
  <c r="N420" i="4" s="1"/>
  <c r="Q552" i="5"/>
  <c r="N553" i="5" s="1"/>
  <c r="O553" i="5" s="1"/>
  <c r="R553" i="5" s="1"/>
  <c r="P552" i="7" l="1"/>
  <c r="M553" i="7" s="1"/>
  <c r="S419" i="4"/>
  <c r="P553" i="5"/>
  <c r="M554" i="5" s="1"/>
  <c r="Q552" i="7" l="1"/>
  <c r="N553" i="7" s="1"/>
  <c r="O553" i="7" s="1"/>
  <c r="R553" i="7" s="1"/>
  <c r="O420" i="4"/>
  <c r="T419" i="4"/>
  <c r="P420" i="4" s="1"/>
  <c r="Q553" i="5"/>
  <c r="N554" i="5" s="1"/>
  <c r="O554" i="5" s="1"/>
  <c r="R554" i="5" s="1"/>
  <c r="P553" i="7" l="1"/>
  <c r="M554" i="7" s="1"/>
  <c r="Q420" i="4"/>
  <c r="U420" i="4" s="1"/>
  <c r="P554" i="5"/>
  <c r="M555" i="5" s="1"/>
  <c r="Q553" i="7" l="1"/>
  <c r="N554" i="7" s="1"/>
  <c r="O554" i="7" s="1"/>
  <c r="R554" i="7" s="1"/>
  <c r="R420" i="4"/>
  <c r="N421" i="4" s="1"/>
  <c r="Q554" i="5"/>
  <c r="N555" i="5" s="1"/>
  <c r="O555" i="5" s="1"/>
  <c r="R555" i="5" s="1"/>
  <c r="P554" i="7" l="1"/>
  <c r="M555" i="7" s="1"/>
  <c r="S420" i="4"/>
  <c r="O421" i="4" s="1"/>
  <c r="P555" i="5"/>
  <c r="M556" i="5" s="1"/>
  <c r="Q554" i="7" l="1"/>
  <c r="N555" i="7" s="1"/>
  <c r="O555" i="7" s="1"/>
  <c r="R555" i="7" s="1"/>
  <c r="T420" i="4"/>
  <c r="P421" i="4" s="1"/>
  <c r="Q421" i="4" s="1"/>
  <c r="U421" i="4" s="1"/>
  <c r="Q555" i="5"/>
  <c r="N556" i="5" s="1"/>
  <c r="O556" i="5" s="1"/>
  <c r="R556" i="5" s="1"/>
  <c r="P555" i="7" l="1"/>
  <c r="M556" i="7" s="1"/>
  <c r="R421" i="4"/>
  <c r="N422" i="4" s="1"/>
  <c r="P556" i="5"/>
  <c r="M557" i="5" s="1"/>
  <c r="Q555" i="7" l="1"/>
  <c r="N556" i="7" s="1"/>
  <c r="O556" i="7" s="1"/>
  <c r="R556" i="7" s="1"/>
  <c r="S421" i="4"/>
  <c r="Q556" i="5"/>
  <c r="N557" i="5" s="1"/>
  <c r="O557" i="5"/>
  <c r="R557" i="5" s="1"/>
  <c r="P556" i="7" l="1"/>
  <c r="M557" i="7" s="1"/>
  <c r="O422" i="4"/>
  <c r="T421" i="4"/>
  <c r="P422" i="4" s="1"/>
  <c r="P557" i="5"/>
  <c r="M558" i="5" s="1"/>
  <c r="Q556" i="7" l="1"/>
  <c r="N557" i="7" s="1"/>
  <c r="O557" i="7" s="1"/>
  <c r="R557" i="7" s="1"/>
  <c r="Q422" i="4"/>
  <c r="U422" i="4" s="1"/>
  <c r="R422" i="4" s="1"/>
  <c r="N423" i="4" s="1"/>
  <c r="Q557" i="5"/>
  <c r="N558" i="5" s="1"/>
  <c r="O558" i="5" s="1"/>
  <c r="R558" i="5" s="1"/>
  <c r="P557" i="7" l="1"/>
  <c r="M558" i="7" s="1"/>
  <c r="S422" i="4"/>
  <c r="O423" i="4" s="1"/>
  <c r="T422" i="4"/>
  <c r="P423" i="4" s="1"/>
  <c r="Q423" i="4" s="1"/>
  <c r="U423" i="4" s="1"/>
  <c r="P558" i="5"/>
  <c r="M559" i="5" s="1"/>
  <c r="Q557" i="7" l="1"/>
  <c r="N558" i="7" s="1"/>
  <c r="O558" i="7" s="1"/>
  <c r="R558" i="7" s="1"/>
  <c r="R423" i="4"/>
  <c r="N424" i="4" s="1"/>
  <c r="Q558" i="5"/>
  <c r="N559" i="5" s="1"/>
  <c r="O559" i="5" s="1"/>
  <c r="R559" i="5" s="1"/>
  <c r="P558" i="7" l="1"/>
  <c r="M559" i="7" s="1"/>
  <c r="S423" i="4"/>
  <c r="O424" i="4" s="1"/>
  <c r="P559" i="5"/>
  <c r="M560" i="5" s="1"/>
  <c r="Q558" i="7" l="1"/>
  <c r="N559" i="7" s="1"/>
  <c r="O559" i="7" s="1"/>
  <c r="R559" i="7" s="1"/>
  <c r="T423" i="4"/>
  <c r="P424" i="4" s="1"/>
  <c r="Q424" i="4" s="1"/>
  <c r="U424" i="4" s="1"/>
  <c r="Q559" i="5"/>
  <c r="N560" i="5" s="1"/>
  <c r="O560" i="5" s="1"/>
  <c r="R560" i="5" s="1"/>
  <c r="P559" i="7" l="1"/>
  <c r="M560" i="7" s="1"/>
  <c r="R424" i="4"/>
  <c r="N425" i="4" s="1"/>
  <c r="S424" i="4"/>
  <c r="O425" i="4" s="1"/>
  <c r="P560" i="5"/>
  <c r="M561" i="5" s="1"/>
  <c r="Q559" i="7" l="1"/>
  <c r="N560" i="7" s="1"/>
  <c r="O560" i="7" s="1"/>
  <c r="R560" i="7" s="1"/>
  <c r="T424" i="4"/>
  <c r="P425" i="4" s="1"/>
  <c r="Q425" i="4" s="1"/>
  <c r="U425" i="4" s="1"/>
  <c r="R425" i="4" s="1"/>
  <c r="N426" i="4" s="1"/>
  <c r="Q560" i="5"/>
  <c r="N561" i="5" s="1"/>
  <c r="O561" i="5" s="1"/>
  <c r="R561" i="5" s="1"/>
  <c r="P560" i="7" l="1"/>
  <c r="M561" i="7" s="1"/>
  <c r="S425" i="4"/>
  <c r="P561" i="5"/>
  <c r="M562" i="5" s="1"/>
  <c r="Q560" i="7" l="1"/>
  <c r="N561" i="7" s="1"/>
  <c r="O561" i="7" s="1"/>
  <c r="R561" i="7" s="1"/>
  <c r="O426" i="4"/>
  <c r="T425" i="4"/>
  <c r="P426" i="4" s="1"/>
  <c r="Q426" i="4" s="1"/>
  <c r="U426" i="4" s="1"/>
  <c r="Q561" i="5"/>
  <c r="N562" i="5" s="1"/>
  <c r="O562" i="5" s="1"/>
  <c r="R562" i="5" s="1"/>
  <c r="P561" i="7" l="1"/>
  <c r="M562" i="7" s="1"/>
  <c r="R426" i="4"/>
  <c r="N427" i="4" s="1"/>
  <c r="P562" i="5"/>
  <c r="M563" i="5" s="1"/>
  <c r="Q561" i="7" l="1"/>
  <c r="N562" i="7" s="1"/>
  <c r="O562" i="7" s="1"/>
  <c r="R562" i="7" s="1"/>
  <c r="S426" i="4"/>
  <c r="Q562" i="5"/>
  <c r="N563" i="5" s="1"/>
  <c r="O563" i="5" s="1"/>
  <c r="R563" i="5" s="1"/>
  <c r="P562" i="7" l="1"/>
  <c r="M563" i="7" s="1"/>
  <c r="O427" i="4"/>
  <c r="T426" i="4"/>
  <c r="P427" i="4" s="1"/>
  <c r="Q427" i="4" s="1"/>
  <c r="U427" i="4" s="1"/>
  <c r="P563" i="5"/>
  <c r="M564" i="5" s="1"/>
  <c r="Q562" i="7" l="1"/>
  <c r="N563" i="7" s="1"/>
  <c r="O563" i="7" s="1"/>
  <c r="R563" i="7" s="1"/>
  <c r="R427" i="4"/>
  <c r="N428" i="4" s="1"/>
  <c r="Q563" i="5"/>
  <c r="N564" i="5" s="1"/>
  <c r="O564" i="5" s="1"/>
  <c r="R564" i="5" s="1"/>
  <c r="P563" i="7" l="1"/>
  <c r="M564" i="7" s="1"/>
  <c r="S427" i="4"/>
  <c r="P564" i="5"/>
  <c r="M565" i="5" s="1"/>
  <c r="Q563" i="7" l="1"/>
  <c r="N564" i="7" s="1"/>
  <c r="O564" i="7" s="1"/>
  <c r="R564" i="7" s="1"/>
  <c r="O428" i="4"/>
  <c r="T427" i="4"/>
  <c r="P428" i="4" s="1"/>
  <c r="Q428" i="4" s="1"/>
  <c r="U428" i="4" s="1"/>
  <c r="Q564" i="5"/>
  <c r="N565" i="5" s="1"/>
  <c r="O565" i="5" s="1"/>
  <c r="R565" i="5" s="1"/>
  <c r="P564" i="7" l="1"/>
  <c r="M565" i="7" s="1"/>
  <c r="R428" i="4"/>
  <c r="N429" i="4" s="1"/>
  <c r="P565" i="5"/>
  <c r="Q565" i="5" s="1"/>
  <c r="Q564" i="7" l="1"/>
  <c r="N565" i="7" s="1"/>
  <c r="O565" i="7" s="1"/>
  <c r="R565" i="7" s="1"/>
  <c r="S428" i="4"/>
  <c r="P565" i="7" l="1"/>
  <c r="Q565" i="7" s="1"/>
  <c r="O429" i="4"/>
  <c r="T428" i="4"/>
  <c r="P429" i="4" s="1"/>
  <c r="Q429" i="4" s="1"/>
  <c r="U429" i="4" s="1"/>
  <c r="R429" i="4" l="1"/>
  <c r="N430" i="4" s="1"/>
  <c r="S429" i="4"/>
  <c r="O430" i="4" s="1"/>
  <c r="T429" i="4" l="1"/>
  <c r="P430" i="4" s="1"/>
  <c r="Q430" i="4" s="1"/>
  <c r="U430" i="4" s="1"/>
  <c r="R430" i="4" s="1"/>
  <c r="N431" i="4" l="1"/>
  <c r="S430" i="4"/>
  <c r="O431" i="4" s="1"/>
  <c r="T430" i="4" l="1"/>
  <c r="P431" i="4" s="1"/>
  <c r="Q431" i="4" s="1"/>
  <c r="U431" i="4" s="1"/>
  <c r="R431" i="4" s="1"/>
  <c r="N432" i="4" s="1"/>
  <c r="S431" i="4" l="1"/>
  <c r="O432" i="4" s="1"/>
  <c r="T431" i="4" l="1"/>
  <c r="P432" i="4" s="1"/>
  <c r="Q432" i="4" s="1"/>
  <c r="U432" i="4" s="1"/>
  <c r="R432" i="4"/>
  <c r="N433" i="4" s="1"/>
  <c r="S432" i="4" l="1"/>
  <c r="O433" i="4" s="1"/>
  <c r="T432" i="4" l="1"/>
  <c r="P433" i="4" s="1"/>
  <c r="Q433" i="4" s="1"/>
  <c r="U433" i="4" s="1"/>
  <c r="R433" i="4" s="1"/>
  <c r="N434" i="4" s="1"/>
  <c r="S433" i="4" l="1"/>
  <c r="O434" i="4" s="1"/>
  <c r="T433" i="4" l="1"/>
  <c r="P434" i="4" s="1"/>
  <c r="Q434" i="4" s="1"/>
  <c r="U434" i="4" s="1"/>
  <c r="R434" i="4" s="1"/>
  <c r="N435" i="4" s="1"/>
  <c r="S434" i="4" l="1"/>
  <c r="O435" i="4" l="1"/>
  <c r="T434" i="4"/>
  <c r="P435" i="4" s="1"/>
  <c r="Q435" i="4" s="1"/>
  <c r="U435" i="4" s="1"/>
  <c r="R435" i="4" l="1"/>
  <c r="N436" i="4" s="1"/>
  <c r="S435" i="4" l="1"/>
  <c r="O436" i="4" s="1"/>
  <c r="T435" i="4" l="1"/>
  <c r="P436" i="4" s="1"/>
  <c r="Q436" i="4" s="1"/>
  <c r="U436" i="4" s="1"/>
  <c r="R436" i="4" l="1"/>
  <c r="N437" i="4" s="1"/>
  <c r="S436" i="4" l="1"/>
  <c r="O437" i="4" l="1"/>
  <c r="T436" i="4"/>
  <c r="P437" i="4" s="1"/>
  <c r="Q437" i="4" s="1"/>
  <c r="U437" i="4" s="1"/>
  <c r="R437" i="4" l="1"/>
  <c r="N438" i="4" s="1"/>
  <c r="S437" i="4" l="1"/>
  <c r="O438" i="4" s="1"/>
  <c r="T437" i="4" l="1"/>
  <c r="P438" i="4" s="1"/>
  <c r="Q438" i="4" s="1"/>
  <c r="U438" i="4" s="1"/>
  <c r="R438" i="4" s="1"/>
  <c r="N439" i="4" s="1"/>
  <c r="S438" i="4" l="1"/>
  <c r="O439" i="4" s="1"/>
  <c r="T438" i="4" l="1"/>
  <c r="P439" i="4" s="1"/>
  <c r="Q439" i="4" s="1"/>
  <c r="U439" i="4" s="1"/>
  <c r="R439" i="4" s="1"/>
  <c r="N440" i="4" s="1"/>
  <c r="S439" i="4" l="1"/>
  <c r="O440" i="4" s="1"/>
  <c r="T439" i="4"/>
  <c r="P440" i="4" s="1"/>
  <c r="Q440" i="4" s="1"/>
  <c r="U440" i="4" s="1"/>
  <c r="R440" i="4" l="1"/>
  <c r="N441" i="4" s="1"/>
  <c r="S440" i="4" l="1"/>
  <c r="O441" i="4" l="1"/>
  <c r="T440" i="4"/>
  <c r="P441" i="4" s="1"/>
  <c r="Q441" i="4" s="1"/>
  <c r="U441" i="4" s="1"/>
  <c r="R441" i="4" l="1"/>
  <c r="N442" i="4" s="1"/>
  <c r="S441" i="4" l="1"/>
  <c r="O442" i="4" l="1"/>
  <c r="T441" i="4"/>
  <c r="P442" i="4" s="1"/>
  <c r="Q442" i="4" s="1"/>
  <c r="U442" i="4" s="1"/>
  <c r="R442" i="4" l="1"/>
  <c r="N443" i="4" s="1"/>
  <c r="S442" i="4" l="1"/>
  <c r="O443" i="4" l="1"/>
  <c r="T442" i="4"/>
  <c r="P443" i="4" s="1"/>
  <c r="Q443" i="4" l="1"/>
  <c r="U443" i="4" s="1"/>
  <c r="R443" i="4" l="1"/>
  <c r="N444" i="4" s="1"/>
  <c r="S443" i="4" l="1"/>
  <c r="O444" i="4" s="1"/>
  <c r="T443" i="4"/>
  <c r="P444" i="4" s="1"/>
  <c r="Q444" i="4" s="1"/>
  <c r="U444" i="4" s="1"/>
  <c r="R444" i="4" l="1"/>
  <c r="N445" i="4" s="1"/>
  <c r="S444" i="4" l="1"/>
  <c r="O445" i="4" s="1"/>
  <c r="T444" i="4" l="1"/>
  <c r="P445" i="4" s="1"/>
  <c r="Q445" i="4" s="1"/>
  <c r="U445" i="4" s="1"/>
  <c r="R445" i="4" l="1"/>
  <c r="N446" i="4" s="1"/>
  <c r="S445" i="4" l="1"/>
  <c r="O446" i="4" l="1"/>
  <c r="T445" i="4"/>
  <c r="P446" i="4" s="1"/>
  <c r="Q446" i="4" s="1"/>
  <c r="U446" i="4" s="1"/>
  <c r="R446" i="4" l="1"/>
  <c r="N447" i="4" s="1"/>
  <c r="S446" i="4" l="1"/>
  <c r="O447" i="4" l="1"/>
  <c r="T446" i="4"/>
  <c r="P447" i="4" s="1"/>
  <c r="Q447" i="4" s="1"/>
  <c r="U447" i="4" s="1"/>
  <c r="R447" i="4" l="1"/>
  <c r="N448" i="4" s="1"/>
  <c r="S447" i="4" l="1"/>
  <c r="O448" i="4" l="1"/>
  <c r="T447" i="4"/>
  <c r="P448" i="4" s="1"/>
  <c r="Q448" i="4" s="1"/>
  <c r="U448" i="4" s="1"/>
  <c r="R448" i="4" l="1"/>
  <c r="N449" i="4" s="1"/>
  <c r="S448" i="4" l="1"/>
  <c r="O449" i="4" l="1"/>
  <c r="T448" i="4"/>
  <c r="P449" i="4" s="1"/>
  <c r="Q449" i="4" s="1"/>
  <c r="U449" i="4" s="1"/>
  <c r="R449" i="4" l="1"/>
  <c r="N450" i="4" s="1"/>
  <c r="S449" i="4" l="1"/>
  <c r="O450" i="4" l="1"/>
  <c r="T449" i="4"/>
  <c r="P450" i="4" s="1"/>
  <c r="Q450" i="4" s="1"/>
  <c r="U450" i="4" s="1"/>
  <c r="R450" i="4" l="1"/>
  <c r="N451" i="4" s="1"/>
  <c r="S450" i="4" l="1"/>
  <c r="O451" i="4" s="1"/>
  <c r="T450" i="4" l="1"/>
  <c r="P451" i="4" s="1"/>
  <c r="Q451" i="4" s="1"/>
  <c r="U451" i="4" s="1"/>
  <c r="R451" i="4" l="1"/>
  <c r="N452" i="4" s="1"/>
  <c r="S451" i="4" l="1"/>
  <c r="O452" i="4" l="1"/>
  <c r="T451" i="4"/>
  <c r="P452" i="4" s="1"/>
  <c r="Q452" i="4" s="1"/>
  <c r="U452" i="4" s="1"/>
  <c r="R452" i="4" l="1"/>
  <c r="N453" i="4" s="1"/>
  <c r="S452" i="4" l="1"/>
  <c r="O453" i="4" l="1"/>
  <c r="T452" i="4"/>
  <c r="P453" i="4" s="1"/>
  <c r="Q453" i="4" s="1"/>
  <c r="U453" i="4" s="1"/>
  <c r="R453" i="4" l="1"/>
  <c r="N454" i="4" s="1"/>
  <c r="S453" i="4" l="1"/>
  <c r="O454" i="4" s="1"/>
  <c r="T453" i="4" l="1"/>
  <c r="P454" i="4" s="1"/>
  <c r="Q454" i="4" s="1"/>
  <c r="U454" i="4" s="1"/>
  <c r="R454" i="4" s="1"/>
  <c r="N455" i="4" s="1"/>
  <c r="S454" i="4" l="1"/>
  <c r="O455" i="4" l="1"/>
  <c r="T454" i="4"/>
  <c r="P455" i="4" s="1"/>
  <c r="Q455" i="4" l="1"/>
  <c r="U455" i="4" s="1"/>
  <c r="R455" i="4" l="1"/>
  <c r="N456" i="4" s="1"/>
  <c r="S455" i="4" l="1"/>
  <c r="O456" i="4" l="1"/>
  <c r="T455" i="4"/>
  <c r="P456" i="4" s="1"/>
  <c r="Q456" i="4" l="1"/>
  <c r="U456" i="4" s="1"/>
  <c r="R456" i="4" l="1"/>
  <c r="N457" i="4" s="1"/>
  <c r="S456" i="4" l="1"/>
  <c r="O457" i="4" s="1"/>
  <c r="T456" i="4" l="1"/>
  <c r="P457" i="4" s="1"/>
  <c r="Q457" i="4" s="1"/>
  <c r="U457" i="4" s="1"/>
  <c r="R457" i="4" l="1"/>
  <c r="N458" i="4" s="1"/>
  <c r="S457" i="4" l="1"/>
  <c r="O458" i="4" s="1"/>
  <c r="T457" i="4" l="1"/>
  <c r="P458" i="4" s="1"/>
  <c r="Q458" i="4" s="1"/>
  <c r="U458" i="4" s="1"/>
  <c r="R458" i="4" s="1"/>
  <c r="N459" i="4" s="1"/>
  <c r="S458" i="4" l="1"/>
  <c r="O459" i="4" l="1"/>
  <c r="T458" i="4"/>
  <c r="P459" i="4" s="1"/>
  <c r="Q459" i="4" s="1"/>
  <c r="U459" i="4" s="1"/>
  <c r="R459" i="4" l="1"/>
  <c r="N460" i="4" s="1"/>
  <c r="S459" i="4" l="1"/>
  <c r="O460" i="4" l="1"/>
  <c r="T459" i="4"/>
  <c r="P460" i="4" s="1"/>
  <c r="Q460" i="4" s="1"/>
  <c r="U460" i="4" s="1"/>
  <c r="R460" i="4" l="1"/>
  <c r="N461" i="4" s="1"/>
  <c r="S460" i="4" l="1"/>
  <c r="O461" i="4" l="1"/>
  <c r="T460" i="4"/>
  <c r="P461" i="4" s="1"/>
  <c r="Q461" i="4" s="1"/>
  <c r="U461" i="4" s="1"/>
  <c r="R461" i="4" l="1"/>
  <c r="N462" i="4" s="1"/>
  <c r="S461" i="4" l="1"/>
  <c r="O462" i="4" l="1"/>
  <c r="T461" i="4"/>
  <c r="P462" i="4" s="1"/>
  <c r="Q462" i="4" l="1"/>
  <c r="U462" i="4" s="1"/>
  <c r="R462" i="4" l="1"/>
  <c r="N463" i="4" s="1"/>
  <c r="S462" i="4" l="1"/>
  <c r="O463" i="4" l="1"/>
  <c r="T462" i="4"/>
  <c r="P463" i="4" s="1"/>
  <c r="Q463" i="4" s="1"/>
  <c r="U463" i="4" s="1"/>
  <c r="R463" i="4" l="1"/>
  <c r="N464" i="4" s="1"/>
  <c r="S463" i="4" l="1"/>
  <c r="O464" i="4" l="1"/>
  <c r="T463" i="4"/>
  <c r="P464" i="4" s="1"/>
  <c r="Q464" i="4" l="1"/>
  <c r="U464" i="4" s="1"/>
  <c r="R464" i="4" l="1"/>
  <c r="N465" i="4" s="1"/>
  <c r="S464" i="4" l="1"/>
  <c r="O465" i="4" l="1"/>
  <c r="T464" i="4"/>
  <c r="P465" i="4" s="1"/>
  <c r="Q465" i="4" s="1"/>
  <c r="U465" i="4" s="1"/>
  <c r="R465" i="4" l="1"/>
  <c r="N466" i="4" s="1"/>
  <c r="S465" i="4" l="1"/>
  <c r="O466" i="4" l="1"/>
  <c r="T465" i="4"/>
  <c r="P466" i="4" s="1"/>
  <c r="Q466" i="4" l="1"/>
  <c r="U466" i="4" s="1"/>
  <c r="R466" i="4" l="1"/>
  <c r="N467" i="4" s="1"/>
  <c r="S466" i="4" l="1"/>
  <c r="O467" i="4" s="1"/>
  <c r="T466" i="4" l="1"/>
  <c r="P467" i="4" s="1"/>
  <c r="Q467" i="4" s="1"/>
  <c r="U467" i="4" s="1"/>
  <c r="R467" i="4" l="1"/>
  <c r="N468" i="4" s="1"/>
  <c r="S467" i="4" l="1"/>
  <c r="O468" i="4" l="1"/>
  <c r="T467" i="4"/>
  <c r="P468" i="4" s="1"/>
  <c r="Q468" i="4" s="1"/>
  <c r="U468" i="4" s="1"/>
  <c r="R468" i="4" l="1"/>
  <c r="N469" i="4" s="1"/>
  <c r="S468" i="4" l="1"/>
  <c r="O469" i="4" l="1"/>
  <c r="T468" i="4"/>
  <c r="P469" i="4" s="1"/>
  <c r="Q469" i="4" s="1"/>
  <c r="U469" i="4" s="1"/>
  <c r="R469" i="4" l="1"/>
  <c r="N470" i="4" s="1"/>
  <c r="S469" i="4" l="1"/>
  <c r="O470" i="4" l="1"/>
  <c r="T469" i="4"/>
  <c r="P470" i="4" s="1"/>
  <c r="Q470" i="4" s="1"/>
  <c r="U470" i="4" s="1"/>
  <c r="R470" i="4" l="1"/>
  <c r="N471" i="4" s="1"/>
  <c r="S470" i="4" l="1"/>
  <c r="O471" i="4" l="1"/>
  <c r="T470" i="4"/>
  <c r="P471" i="4" s="1"/>
  <c r="Q471" i="4" l="1"/>
  <c r="U471" i="4" s="1"/>
  <c r="R471" i="4" l="1"/>
  <c r="N472" i="4" s="1"/>
  <c r="S471" i="4" l="1"/>
  <c r="O472" i="4" l="1"/>
  <c r="T471" i="4"/>
  <c r="P472" i="4" s="1"/>
  <c r="Q472" i="4" l="1"/>
  <c r="U472" i="4" s="1"/>
  <c r="R472" i="4" l="1"/>
  <c r="N473" i="4" s="1"/>
  <c r="S472" i="4" l="1"/>
  <c r="O473" i="4" l="1"/>
  <c r="T472" i="4"/>
  <c r="P473" i="4" s="1"/>
  <c r="Q473" i="4" s="1"/>
  <c r="U473" i="4" s="1"/>
  <c r="R473" i="4" l="1"/>
  <c r="N474" i="4" s="1"/>
  <c r="S473" i="4" l="1"/>
  <c r="O474" i="4" l="1"/>
  <c r="T473" i="4"/>
  <c r="P474" i="4" s="1"/>
  <c r="Q474" i="4" s="1"/>
  <c r="U474" i="4" s="1"/>
  <c r="R474" i="4" l="1"/>
  <c r="N475" i="4" s="1"/>
  <c r="S474" i="4" l="1"/>
  <c r="O475" i="4" l="1"/>
  <c r="T474" i="4"/>
  <c r="P475" i="4" s="1"/>
  <c r="Q475" i="4" l="1"/>
  <c r="U475" i="4" s="1"/>
  <c r="R475" i="4" s="1"/>
  <c r="N476" i="4" s="1"/>
  <c r="S475" i="4" l="1"/>
  <c r="O476" i="4" l="1"/>
  <c r="T475" i="4"/>
  <c r="P476" i="4" s="1"/>
  <c r="Q476" i="4" l="1"/>
  <c r="U476" i="4" s="1"/>
  <c r="R476" i="4" l="1"/>
  <c r="N477" i="4" s="1"/>
  <c r="S476" i="4" l="1"/>
  <c r="O477" i="4" l="1"/>
  <c r="T476" i="4"/>
  <c r="P477" i="4" s="1"/>
  <c r="Q477" i="4" l="1"/>
  <c r="U477" i="4" s="1"/>
  <c r="R477" i="4" l="1"/>
  <c r="N478" i="4" s="1"/>
  <c r="S477" i="4" l="1"/>
  <c r="O478" i="4" l="1"/>
  <c r="T477" i="4"/>
  <c r="P478" i="4" s="1"/>
  <c r="Q478" i="4" s="1"/>
  <c r="U478" i="4" s="1"/>
  <c r="R478" i="4" l="1"/>
  <c r="N479" i="4" s="1"/>
  <c r="S478" i="4" l="1"/>
  <c r="O479" i="4" l="1"/>
  <c r="T478" i="4"/>
  <c r="P479" i="4" s="1"/>
  <c r="Q479" i="4" s="1"/>
  <c r="U479" i="4" s="1"/>
  <c r="R479" i="4" l="1"/>
  <c r="N480" i="4" s="1"/>
  <c r="S479" i="4" l="1"/>
  <c r="O480" i="4" l="1"/>
  <c r="T479" i="4"/>
  <c r="P480" i="4" s="1"/>
  <c r="Q480" i="4" l="1"/>
  <c r="U480" i="4" s="1"/>
  <c r="R480" i="4" l="1"/>
  <c r="N481" i="4" s="1"/>
  <c r="S480" i="4" l="1"/>
  <c r="O481" i="4" s="1"/>
  <c r="T480" i="4" l="1"/>
  <c r="P481" i="4" s="1"/>
  <c r="Q481" i="4" s="1"/>
  <c r="U481" i="4" s="1"/>
  <c r="R481" i="4" s="1"/>
  <c r="N482" i="4" s="1"/>
  <c r="S481" i="4" l="1"/>
  <c r="O482" i="4" l="1"/>
  <c r="T481" i="4"/>
  <c r="P482" i="4" s="1"/>
  <c r="Q482" i="4" s="1"/>
  <c r="U482" i="4" s="1"/>
  <c r="R482" i="4" l="1"/>
  <c r="N483" i="4" s="1"/>
  <c r="S482" i="4" l="1"/>
  <c r="O483" i="4" l="1"/>
  <c r="T482" i="4"/>
  <c r="P483" i="4" s="1"/>
  <c r="Q483" i="4" s="1"/>
  <c r="U483" i="4" s="1"/>
  <c r="R483" i="4" l="1"/>
  <c r="N484" i="4" s="1"/>
  <c r="S483" i="4" l="1"/>
  <c r="O484" i="4" l="1"/>
  <c r="T483" i="4"/>
  <c r="P484" i="4" s="1"/>
  <c r="Q484" i="4" s="1"/>
  <c r="U484" i="4" s="1"/>
  <c r="R484" i="4" l="1"/>
  <c r="N485" i="4" s="1"/>
  <c r="S484" i="4" l="1"/>
  <c r="O485" i="4" l="1"/>
  <c r="T484" i="4"/>
  <c r="P485" i="4" s="1"/>
  <c r="Q485" i="4" s="1"/>
  <c r="U485" i="4" s="1"/>
  <c r="R485" i="4" l="1"/>
  <c r="N486" i="4" s="1"/>
  <c r="S485" i="4" l="1"/>
  <c r="O486" i="4" l="1"/>
  <c r="T485" i="4"/>
  <c r="P486" i="4" s="1"/>
  <c r="Q486" i="4" l="1"/>
  <c r="U486" i="4" s="1"/>
  <c r="R486" i="4" l="1"/>
  <c r="N487" i="4" s="1"/>
  <c r="S486" i="4" l="1"/>
  <c r="O487" i="4" l="1"/>
  <c r="T486" i="4"/>
  <c r="P487" i="4" s="1"/>
  <c r="Q487" i="4" l="1"/>
  <c r="U487" i="4" s="1"/>
  <c r="R487" i="4" l="1"/>
  <c r="N488" i="4" s="1"/>
  <c r="S487" i="4" l="1"/>
  <c r="O488" i="4" s="1"/>
  <c r="T487" i="4" l="1"/>
  <c r="P488" i="4" s="1"/>
  <c r="Q488" i="4" s="1"/>
  <c r="U488" i="4" s="1"/>
  <c r="R488" i="4" l="1"/>
  <c r="N489" i="4" s="1"/>
  <c r="S488" i="4"/>
  <c r="O489" i="4" s="1"/>
  <c r="T488" i="4" l="1"/>
  <c r="P489" i="4" s="1"/>
  <c r="Q489" i="4" s="1"/>
  <c r="U489" i="4" s="1"/>
  <c r="R489" i="4" l="1"/>
  <c r="N490" i="4" s="1"/>
  <c r="S489" i="4" l="1"/>
  <c r="O490" i="4" s="1"/>
  <c r="T489" i="4"/>
  <c r="P490" i="4" s="1"/>
  <c r="Q490" i="4" s="1"/>
  <c r="U490" i="4" s="1"/>
  <c r="R490" i="4" l="1"/>
  <c r="N491" i="4" s="1"/>
  <c r="S490" i="4"/>
  <c r="O491" i="4" s="1"/>
  <c r="T490" i="4" l="1"/>
  <c r="P491" i="4" s="1"/>
  <c r="Q491" i="4" s="1"/>
  <c r="U491" i="4" s="1"/>
  <c r="R491" i="4" l="1"/>
  <c r="N492" i="4" s="1"/>
  <c r="S491" i="4" l="1"/>
  <c r="O492" i="4" s="1"/>
  <c r="T491" i="4" l="1"/>
  <c r="P492" i="4" s="1"/>
  <c r="Q492" i="4" s="1"/>
  <c r="U492" i="4" s="1"/>
  <c r="R492" i="4" s="1"/>
  <c r="N493" i="4" s="1"/>
  <c r="S492" i="4" l="1"/>
  <c r="O493" i="4" l="1"/>
  <c r="T492" i="4"/>
  <c r="P493" i="4" s="1"/>
  <c r="Q493" i="4" s="1"/>
  <c r="U493" i="4" s="1"/>
  <c r="R493" i="4" l="1"/>
  <c r="N494" i="4" s="1"/>
  <c r="S493" i="4" l="1"/>
  <c r="O494" i="4" s="1"/>
  <c r="T493" i="4" l="1"/>
  <c r="P494" i="4" s="1"/>
  <c r="Q494" i="4" s="1"/>
  <c r="U494" i="4" s="1"/>
  <c r="R494" i="4" l="1"/>
  <c r="N495" i="4" s="1"/>
  <c r="S494" i="4" l="1"/>
  <c r="O495" i="4" s="1"/>
  <c r="T494" i="4" l="1"/>
  <c r="P495" i="4" s="1"/>
  <c r="Q495" i="4" s="1"/>
  <c r="U495" i="4" s="1"/>
  <c r="R495" i="4" l="1"/>
  <c r="N496" i="4" s="1"/>
  <c r="S495" i="4" l="1"/>
  <c r="O496" i="4" l="1"/>
  <c r="T495" i="4"/>
  <c r="P496" i="4" s="1"/>
  <c r="Q496" i="4" s="1"/>
  <c r="U496" i="4" s="1"/>
  <c r="R496" i="4" l="1"/>
  <c r="N497" i="4" s="1"/>
  <c r="S496" i="4" l="1"/>
  <c r="O497" i="4" s="1"/>
  <c r="T496" i="4" l="1"/>
  <c r="P497" i="4" s="1"/>
  <c r="Q497" i="4" s="1"/>
  <c r="U497" i="4" s="1"/>
  <c r="R497" i="4" l="1"/>
  <c r="N498" i="4" s="1"/>
  <c r="S497" i="4" l="1"/>
  <c r="O498" i="4" s="1"/>
  <c r="T497" i="4" l="1"/>
  <c r="P498" i="4" s="1"/>
  <c r="Q498" i="4" s="1"/>
  <c r="U498" i="4" s="1"/>
  <c r="R498" i="4" l="1"/>
  <c r="N499" i="4" s="1"/>
  <c r="S498" i="4" l="1"/>
  <c r="O499" i="4" s="1"/>
  <c r="T498" i="4" l="1"/>
  <c r="P499" i="4" s="1"/>
  <c r="Q499" i="4" s="1"/>
  <c r="U499" i="4" s="1"/>
  <c r="R499" i="4" l="1"/>
  <c r="N500" i="4" s="1"/>
  <c r="S499" i="4" l="1"/>
  <c r="O500" i="4" s="1"/>
  <c r="T499" i="4" l="1"/>
  <c r="P500" i="4" s="1"/>
  <c r="Q500" i="4" s="1"/>
  <c r="U500" i="4" s="1"/>
  <c r="R500" i="4" l="1"/>
  <c r="N501" i="4" s="1"/>
  <c r="S500" i="4"/>
  <c r="O501" i="4" s="1"/>
  <c r="T500" i="4" l="1"/>
  <c r="P501" i="4" s="1"/>
  <c r="Q501" i="4"/>
  <c r="U501" i="4" s="1"/>
  <c r="R501" i="4" l="1"/>
  <c r="N502" i="4" s="1"/>
  <c r="T501" i="4" l="1"/>
  <c r="P502" i="4" s="1"/>
  <c r="Q502" i="4" s="1"/>
  <c r="U502" i="4" s="1"/>
  <c r="R502" i="4" s="1"/>
  <c r="N503" i="4" s="1"/>
  <c r="S501" i="4"/>
  <c r="O502" i="4" s="1"/>
  <c r="S502" i="4" l="1"/>
  <c r="O503" i="4" s="1"/>
  <c r="Q503" i="4" l="1"/>
  <c r="U503" i="4" s="1"/>
  <c r="T502" i="4"/>
  <c r="P503" i="4" s="1"/>
  <c r="R503" i="4" l="1"/>
  <c r="N504" i="4" s="1"/>
  <c r="S503" i="4" l="1"/>
  <c r="O504" i="4" s="1"/>
  <c r="T503" i="4" l="1"/>
  <c r="P504" i="4" s="1"/>
  <c r="Q504" i="4" s="1"/>
  <c r="U504" i="4" s="1"/>
  <c r="R504" i="4" l="1"/>
  <c r="N505" i="4" s="1"/>
  <c r="T504" i="4" l="1"/>
  <c r="P505" i="4" s="1"/>
  <c r="Q505" i="4" s="1"/>
  <c r="U505" i="4" s="1"/>
  <c r="R505" i="4" s="1"/>
  <c r="N506" i="4" s="1"/>
  <c r="S504" i="4"/>
  <c r="O505" i="4" s="1"/>
  <c r="S505" i="4" l="1"/>
  <c r="O506" i="4" s="1"/>
  <c r="T505" i="4" l="1"/>
  <c r="P506" i="4" s="1"/>
  <c r="Q506" i="4" s="1"/>
  <c r="U506" i="4" s="1"/>
  <c r="R506" i="4" s="1"/>
  <c r="N507" i="4" s="1"/>
  <c r="S506" i="4" l="1"/>
  <c r="O507" i="4" l="1"/>
  <c r="T506" i="4"/>
  <c r="P507" i="4" s="1"/>
  <c r="Q507" i="4" s="1"/>
  <c r="U507" i="4" s="1"/>
  <c r="R507" i="4" l="1"/>
  <c r="N508" i="4" s="1"/>
  <c r="S507" i="4" l="1"/>
  <c r="O508" i="4" s="1"/>
  <c r="T507" i="4" l="1"/>
  <c r="P508" i="4" s="1"/>
  <c r="Q508" i="4" s="1"/>
  <c r="U508" i="4" s="1"/>
  <c r="R508" i="4"/>
  <c r="N509" i="4" s="1"/>
  <c r="S508" i="4" l="1"/>
  <c r="O509" i="4" l="1"/>
  <c r="T508" i="4"/>
  <c r="P509" i="4" s="1"/>
  <c r="Q509" i="4" s="1"/>
  <c r="U509" i="4" s="1"/>
  <c r="R509" i="4" l="1"/>
  <c r="N510" i="4" s="1"/>
  <c r="S509" i="4"/>
  <c r="O510" i="4" s="1"/>
  <c r="T509" i="4" l="1"/>
  <c r="P510" i="4" s="1"/>
  <c r="Q510" i="4" s="1"/>
  <c r="U510" i="4" s="1"/>
  <c r="R510" i="4" l="1"/>
  <c r="N511" i="4" s="1"/>
  <c r="S510" i="4" l="1"/>
  <c r="O511" i="4" s="1"/>
  <c r="T510" i="4"/>
  <c r="P511" i="4" s="1"/>
  <c r="Q511" i="4" s="1"/>
  <c r="U511" i="4" s="1"/>
  <c r="R511" i="4" l="1"/>
  <c r="N512" i="4" s="1"/>
  <c r="S511" i="4" l="1"/>
  <c r="O512" i="4" l="1"/>
  <c r="T511" i="4"/>
  <c r="P512" i="4" s="1"/>
  <c r="Q512" i="4" s="1"/>
  <c r="U512" i="4" s="1"/>
  <c r="R512" i="4" l="1"/>
  <c r="N513" i="4" s="1"/>
  <c r="S512" i="4" l="1"/>
  <c r="O513" i="4" s="1"/>
  <c r="T512" i="4" l="1"/>
  <c r="P513" i="4" s="1"/>
  <c r="Q513" i="4" s="1"/>
  <c r="U513" i="4" s="1"/>
  <c r="R513" i="4" l="1"/>
  <c r="N514" i="4" s="1"/>
  <c r="S513" i="4"/>
  <c r="O514" i="4" s="1"/>
  <c r="T513" i="4" l="1"/>
  <c r="P514" i="4" s="1"/>
  <c r="Q514" i="4"/>
  <c r="U514" i="4" s="1"/>
  <c r="R514" i="4" l="1"/>
  <c r="N515" i="4" s="1"/>
  <c r="S514" i="4" l="1"/>
  <c r="O515" i="4" l="1"/>
  <c r="T514" i="4"/>
  <c r="P515" i="4" s="1"/>
  <c r="Q515" i="4" s="1"/>
  <c r="U515" i="4" s="1"/>
  <c r="R515" i="4" l="1"/>
  <c r="N516" i="4" s="1"/>
  <c r="S515" i="4" l="1"/>
  <c r="O516" i="4" l="1"/>
  <c r="T515" i="4"/>
  <c r="P516" i="4" s="1"/>
  <c r="Q516" i="4" s="1"/>
  <c r="U516" i="4" s="1"/>
  <c r="R516" i="4" l="1"/>
  <c r="N517" i="4" s="1"/>
  <c r="S516" i="4" l="1"/>
  <c r="O517" i="4" l="1"/>
  <c r="T516" i="4"/>
  <c r="P517" i="4" s="1"/>
  <c r="Q517" i="4" s="1"/>
  <c r="U517" i="4" s="1"/>
  <c r="R517" i="4" l="1"/>
  <c r="N518" i="4" s="1"/>
  <c r="S517" i="4" l="1"/>
  <c r="O518" i="4" l="1"/>
  <c r="T517" i="4"/>
  <c r="P518" i="4" s="1"/>
  <c r="Q518" i="4" s="1"/>
  <c r="U518" i="4" s="1"/>
  <c r="R518" i="4" l="1"/>
  <c r="N519" i="4" s="1"/>
  <c r="S518" i="4" l="1"/>
  <c r="O519" i="4" l="1"/>
  <c r="T518" i="4"/>
  <c r="P519" i="4" s="1"/>
  <c r="Q519" i="4" l="1"/>
  <c r="U519" i="4" s="1"/>
  <c r="R519" i="4" l="1"/>
  <c r="N520" i="4" s="1"/>
  <c r="S519" i="4"/>
  <c r="O520" i="4" s="1"/>
  <c r="T519" i="4" l="1"/>
  <c r="P520" i="4" s="1"/>
  <c r="Q520" i="4" s="1"/>
  <c r="U520" i="4" s="1"/>
  <c r="R520" i="4" l="1"/>
  <c r="N521" i="4" s="1"/>
  <c r="S520" i="4" l="1"/>
  <c r="O521" i="4" l="1"/>
  <c r="T520" i="4"/>
  <c r="P521" i="4" s="1"/>
  <c r="Q521" i="4" s="1"/>
  <c r="U521" i="4" s="1"/>
  <c r="R521" i="4" l="1"/>
  <c r="N522" i="4" s="1"/>
  <c r="S521" i="4" l="1"/>
  <c r="O522" i="4" l="1"/>
  <c r="T521" i="4"/>
  <c r="P522" i="4" s="1"/>
  <c r="Q522" i="4" s="1"/>
  <c r="U522" i="4" s="1"/>
  <c r="R522" i="4" l="1"/>
  <c r="N523" i="4" s="1"/>
  <c r="S522" i="4" l="1"/>
  <c r="O523" i="4" s="1"/>
  <c r="T522" i="4" l="1"/>
  <c r="P523" i="4" s="1"/>
  <c r="Q523" i="4" s="1"/>
  <c r="U523" i="4" s="1"/>
  <c r="R523" i="4" l="1"/>
  <c r="N524" i="4" s="1"/>
  <c r="S523" i="4" l="1"/>
  <c r="O524" i="4" l="1"/>
  <c r="T523" i="4"/>
  <c r="P524" i="4" s="1"/>
  <c r="Q524" i="4" s="1"/>
  <c r="U524" i="4" s="1"/>
  <c r="R524" i="4" l="1"/>
  <c r="N525" i="4" s="1"/>
  <c r="S524" i="4" l="1"/>
  <c r="O525" i="4" s="1"/>
  <c r="T524" i="4" l="1"/>
  <c r="P525" i="4" s="1"/>
  <c r="Q525" i="4" s="1"/>
  <c r="U525" i="4" s="1"/>
  <c r="R525" i="4" l="1"/>
  <c r="N526" i="4" s="1"/>
  <c r="S525" i="4" l="1"/>
  <c r="O526" i="4" l="1"/>
  <c r="T525" i="4"/>
  <c r="P526" i="4" s="1"/>
  <c r="Q526" i="4" l="1"/>
  <c r="U526" i="4" s="1"/>
  <c r="R526" i="4" l="1"/>
  <c r="N527" i="4" s="1"/>
  <c r="S526" i="4"/>
  <c r="O527" i="4" s="1"/>
  <c r="T526" i="4" l="1"/>
  <c r="P527" i="4" s="1"/>
  <c r="Q527" i="4"/>
  <c r="U527" i="4" s="1"/>
  <c r="R527" i="4" l="1"/>
  <c r="N528" i="4" s="1"/>
  <c r="S527" i="4"/>
  <c r="O528" i="4" s="1"/>
  <c r="T527" i="4"/>
  <c r="P528" i="4" s="1"/>
  <c r="Q528" i="4" s="1"/>
  <c r="U528" i="4" s="1"/>
  <c r="R528" i="4" l="1"/>
  <c r="N529" i="4" s="1"/>
  <c r="S528" i="4"/>
  <c r="O529" i="4" s="1"/>
  <c r="T528" i="4" l="1"/>
  <c r="P529" i="4" s="1"/>
  <c r="Q529" i="4"/>
  <c r="U529" i="4" s="1"/>
  <c r="R529" i="4" l="1"/>
  <c r="N530" i="4" s="1"/>
  <c r="S529" i="4"/>
  <c r="O530" i="4" s="1"/>
  <c r="T529" i="4"/>
  <c r="P530" i="4" s="1"/>
  <c r="Q530" i="4" s="1"/>
  <c r="U530" i="4" s="1"/>
  <c r="R530" i="4" l="1"/>
  <c r="N531" i="4" s="1"/>
  <c r="S530" i="4"/>
  <c r="O531" i="4" s="1"/>
  <c r="T530" i="4"/>
  <c r="P531" i="4" s="1"/>
  <c r="Q531" i="4" l="1"/>
  <c r="U531" i="4" s="1"/>
  <c r="R531" i="4" l="1"/>
  <c r="N532" i="4" s="1"/>
  <c r="S531" i="4" l="1"/>
  <c r="O532" i="4" l="1"/>
  <c r="T531" i="4"/>
  <c r="P532" i="4" s="1"/>
  <c r="Q532" i="4" l="1"/>
  <c r="U532" i="4" s="1"/>
  <c r="R532" i="4" l="1"/>
  <c r="N533" i="4" s="1"/>
  <c r="S532" i="4" l="1"/>
  <c r="O533" i="4" l="1"/>
  <c r="T532" i="4"/>
  <c r="P533" i="4" s="1"/>
  <c r="Q533" i="4" l="1"/>
  <c r="U533" i="4" s="1"/>
  <c r="R533" i="4" l="1"/>
  <c r="N534" i="4" s="1"/>
  <c r="S533" i="4" l="1"/>
  <c r="O534" i="4" s="1"/>
  <c r="T533" i="4" l="1"/>
  <c r="P534" i="4" s="1"/>
  <c r="Q534" i="4" s="1"/>
  <c r="U534" i="4" s="1"/>
  <c r="R534" i="4" l="1"/>
  <c r="N535" i="4" s="1"/>
  <c r="S534" i="4" l="1"/>
  <c r="O535" i="4" l="1"/>
  <c r="T534" i="4"/>
  <c r="P535" i="4" s="1"/>
  <c r="Q535" i="4" s="1"/>
  <c r="U535" i="4" s="1"/>
  <c r="R535" i="4" l="1"/>
  <c r="N536" i="4" s="1"/>
  <c r="S535" i="4" l="1"/>
  <c r="O536" i="4" s="1"/>
  <c r="T535" i="4" l="1"/>
  <c r="P536" i="4" s="1"/>
  <c r="Q536" i="4" s="1"/>
  <c r="U536" i="4" s="1"/>
  <c r="R536" i="4" l="1"/>
  <c r="N537" i="4" s="1"/>
  <c r="S536" i="4" l="1"/>
  <c r="O537" i="4" l="1"/>
  <c r="T536" i="4"/>
  <c r="P537" i="4" s="1"/>
  <c r="Q537" i="4" l="1"/>
  <c r="U537" i="4" s="1"/>
  <c r="R537" i="4" l="1"/>
  <c r="N538" i="4" s="1"/>
  <c r="S537" i="4" l="1"/>
  <c r="O538" i="4" l="1"/>
  <c r="T537" i="4"/>
  <c r="P538" i="4" s="1"/>
  <c r="Q538" i="4" l="1"/>
  <c r="U538" i="4" s="1"/>
  <c r="R538" i="4" l="1"/>
  <c r="N539" i="4" s="1"/>
  <c r="S538" i="4" l="1"/>
  <c r="O539" i="4" l="1"/>
  <c r="T538" i="4"/>
  <c r="P539" i="4" s="1"/>
  <c r="Q539" i="4" s="1"/>
  <c r="U539" i="4" s="1"/>
  <c r="R539" i="4" l="1"/>
  <c r="N540" i="4" s="1"/>
  <c r="S539" i="4" l="1"/>
  <c r="O540" i="4" s="1"/>
  <c r="T539" i="4" l="1"/>
  <c r="P540" i="4" s="1"/>
  <c r="Q540" i="4" s="1"/>
  <c r="U540" i="4" s="1"/>
  <c r="R540" i="4" l="1"/>
  <c r="N541" i="4" s="1"/>
  <c r="S540" i="4" l="1"/>
  <c r="O541" i="4" l="1"/>
  <c r="T540" i="4"/>
  <c r="P541" i="4" s="1"/>
  <c r="Q541" i="4" s="1"/>
  <c r="U541" i="4" s="1"/>
  <c r="R541" i="4" l="1"/>
  <c r="N542" i="4" s="1"/>
  <c r="S541" i="4" l="1"/>
  <c r="O542" i="4" l="1"/>
  <c r="T541" i="4"/>
  <c r="P542" i="4" s="1"/>
  <c r="Q542" i="4" s="1"/>
  <c r="U542" i="4" s="1"/>
  <c r="R542" i="4" l="1"/>
  <c r="N543" i="4" s="1"/>
  <c r="S542" i="4"/>
  <c r="O543" i="4" s="1"/>
  <c r="T542" i="4" l="1"/>
  <c r="P543" i="4" s="1"/>
  <c r="Q543" i="4" s="1"/>
  <c r="U543" i="4" s="1"/>
  <c r="R543" i="4" l="1"/>
  <c r="N544" i="4" s="1"/>
  <c r="S543" i="4" l="1"/>
  <c r="O544" i="4" l="1"/>
  <c r="T543" i="4"/>
  <c r="P544" i="4" s="1"/>
  <c r="Q544" i="4" s="1"/>
  <c r="U544" i="4" s="1"/>
  <c r="R544" i="4" l="1"/>
  <c r="N545" i="4" s="1"/>
  <c r="S544" i="4" l="1"/>
  <c r="O545" i="4" l="1"/>
  <c r="T544" i="4"/>
  <c r="P545" i="4" s="1"/>
  <c r="Q545" i="4" l="1"/>
  <c r="U545" i="4" s="1"/>
  <c r="R545" i="4" l="1"/>
  <c r="N546" i="4" s="1"/>
  <c r="S545" i="4"/>
  <c r="O546" i="4" s="1"/>
  <c r="T545" i="4" l="1"/>
  <c r="P546" i="4" s="1"/>
  <c r="Q546" i="4" s="1"/>
  <c r="U546" i="4" s="1"/>
  <c r="R546" i="4" l="1"/>
  <c r="N547" i="4" s="1"/>
  <c r="S546" i="4" l="1"/>
  <c r="O547" i="4" l="1"/>
  <c r="T546" i="4"/>
  <c r="P547" i="4" s="1"/>
  <c r="Q547" i="4" s="1"/>
  <c r="U547" i="4" s="1"/>
  <c r="R547" i="4" l="1"/>
  <c r="N548" i="4" s="1"/>
  <c r="S547" i="4"/>
  <c r="O548" i="4" s="1"/>
  <c r="T547" i="4" l="1"/>
  <c r="P548" i="4" s="1"/>
  <c r="Q548" i="4" s="1"/>
  <c r="U548" i="4" s="1"/>
  <c r="R548" i="4" l="1"/>
  <c r="N549" i="4" s="1"/>
  <c r="S548" i="4" l="1"/>
  <c r="O549" i="4" s="1"/>
  <c r="T548" i="4" l="1"/>
  <c r="P549" i="4" s="1"/>
  <c r="Q549" i="4" s="1"/>
  <c r="U549" i="4" s="1"/>
  <c r="R549" i="4" l="1"/>
  <c r="N550" i="4" s="1"/>
  <c r="S549" i="4" l="1"/>
  <c r="O550" i="4" l="1"/>
  <c r="T549" i="4"/>
  <c r="P550" i="4" s="1"/>
  <c r="Q550" i="4" l="1"/>
  <c r="U550" i="4" s="1"/>
  <c r="R550" i="4" l="1"/>
  <c r="N551" i="4" s="1"/>
  <c r="S550" i="4" l="1"/>
  <c r="O551" i="4" l="1"/>
  <c r="T550" i="4"/>
  <c r="P551" i="4" s="1"/>
  <c r="Q551" i="4" s="1"/>
  <c r="U551" i="4" s="1"/>
  <c r="R551" i="4" l="1"/>
  <c r="N552" i="4" s="1"/>
  <c r="S551" i="4" l="1"/>
  <c r="O552" i="4" l="1"/>
  <c r="T551" i="4"/>
  <c r="P552" i="4" s="1"/>
  <c r="Q552" i="4" s="1"/>
  <c r="U552" i="4" s="1"/>
  <c r="R552" i="4" l="1"/>
  <c r="N553" i="4" s="1"/>
  <c r="S552" i="4" l="1"/>
  <c r="O553" i="4" l="1"/>
  <c r="T552" i="4"/>
  <c r="P553" i="4" s="1"/>
  <c r="Q553" i="4" l="1"/>
  <c r="U553" i="4" s="1"/>
  <c r="R553" i="4" l="1"/>
  <c r="N554" i="4" s="1"/>
  <c r="S553" i="4" l="1"/>
  <c r="O554" i="4" l="1"/>
  <c r="T553" i="4"/>
  <c r="P554" i="4" s="1"/>
  <c r="Q554" i="4" s="1"/>
  <c r="U554" i="4" s="1"/>
  <c r="R554" i="4" l="1"/>
  <c r="N555" i="4" s="1"/>
  <c r="S554" i="4" l="1"/>
  <c r="O555" i="4" l="1"/>
  <c r="T554" i="4"/>
  <c r="P555" i="4" s="1"/>
  <c r="Q555" i="4" s="1"/>
  <c r="U555" i="4" s="1"/>
  <c r="R555" i="4" l="1"/>
  <c r="N556" i="4" s="1"/>
  <c r="S555" i="4" l="1"/>
  <c r="O556" i="4" l="1"/>
  <c r="T555" i="4"/>
  <c r="P556" i="4" s="1"/>
  <c r="Q556" i="4" l="1"/>
  <c r="U556" i="4" s="1"/>
  <c r="R556" i="4" l="1"/>
  <c r="N557" i="4" s="1"/>
  <c r="S556" i="4" l="1"/>
  <c r="O557" i="4" l="1"/>
  <c r="T556" i="4"/>
  <c r="P557" i="4" s="1"/>
  <c r="Q557" i="4" s="1"/>
  <c r="U557" i="4" s="1"/>
  <c r="R557" i="4" l="1"/>
  <c r="N558" i="4" s="1"/>
  <c r="S557" i="4" l="1"/>
  <c r="O558" i="4" l="1"/>
  <c r="T557" i="4"/>
  <c r="P558" i="4" s="1"/>
  <c r="Q558" i="4" s="1"/>
  <c r="U558" i="4" s="1"/>
  <c r="R558" i="4" l="1"/>
  <c r="N559" i="4" s="1"/>
  <c r="S558" i="4"/>
  <c r="O559" i="4" s="1"/>
  <c r="T558" i="4"/>
  <c r="P559" i="4" s="1"/>
  <c r="Q559" i="4" s="1"/>
  <c r="U559" i="4" s="1"/>
  <c r="R559" i="4" l="1"/>
  <c r="N560" i="4" s="1"/>
  <c r="S559" i="4" l="1"/>
  <c r="O560" i="4" s="1"/>
  <c r="T559" i="4" l="1"/>
  <c r="P560" i="4" s="1"/>
  <c r="Q560" i="4" s="1"/>
  <c r="U560" i="4" s="1"/>
  <c r="R560" i="4" l="1"/>
  <c r="N561" i="4" s="1"/>
  <c r="S560" i="4" l="1"/>
  <c r="O561" i="4" s="1"/>
  <c r="T560" i="4" l="1"/>
  <c r="P561" i="4" s="1"/>
  <c r="Q561" i="4" s="1"/>
  <c r="U561" i="4" s="1"/>
  <c r="R561" i="4" l="1"/>
  <c r="N562" i="4" s="1"/>
  <c r="S561" i="4"/>
  <c r="O562" i="4" s="1"/>
  <c r="T561" i="4" l="1"/>
  <c r="P562" i="4" s="1"/>
  <c r="Q562" i="4" s="1"/>
  <c r="U562" i="4" s="1"/>
  <c r="R562" i="4" l="1"/>
  <c r="N563" i="4" s="1"/>
  <c r="S562" i="4" l="1"/>
  <c r="O563" i="4" s="1"/>
  <c r="T562" i="4" l="1"/>
  <c r="P563" i="4" s="1"/>
  <c r="Q563" i="4" s="1"/>
  <c r="U563" i="4" s="1"/>
  <c r="R563" i="4" l="1"/>
  <c r="N564" i="4" s="1"/>
  <c r="S563" i="4"/>
  <c r="O564" i="4" s="1"/>
  <c r="T563" i="4" l="1"/>
  <c r="P564" i="4" s="1"/>
  <c r="Q564" i="4"/>
  <c r="U564" i="4" s="1"/>
  <c r="R564" i="4" l="1"/>
  <c r="N565" i="4" s="1"/>
  <c r="S564" i="4"/>
  <c r="O565" i="4" s="1"/>
  <c r="T564" i="4" l="1"/>
  <c r="P565" i="4" s="1"/>
  <c r="Q565" i="4"/>
  <c r="U565" i="4" s="1"/>
  <c r="R565" i="4" l="1"/>
  <c r="N566" i="4" s="1"/>
  <c r="S565" i="4"/>
  <c r="O566" i="4" s="1"/>
  <c r="T565" i="4" l="1"/>
  <c r="P566" i="4" s="1"/>
  <c r="Q566" i="4" s="1"/>
  <c r="U566" i="4" s="1"/>
  <c r="R566" i="4" s="1"/>
  <c r="S566" i="4" s="1"/>
  <c r="T566" i="4" s="1"/>
</calcChain>
</file>

<file path=xl/sharedStrings.xml><?xml version="1.0" encoding="utf-8"?>
<sst xmlns="http://schemas.openxmlformats.org/spreadsheetml/2006/main" count="664" uniqueCount="303">
  <si>
    <t xml:space="preserve">What you should know </t>
  </si>
  <si>
    <t xml:space="preserve">3m 1s </t>
  </si>
  <si>
    <t xml:space="preserve">6m 41s </t>
  </si>
  <si>
    <t>0. Introduction</t>
  </si>
  <si>
    <t>Chapter</t>
  </si>
  <si>
    <t>Section</t>
  </si>
  <si>
    <t xml:space="preserve">Learn rapid development with Spring Boot </t>
  </si>
  <si>
    <t xml:space="preserve">1m 27s </t>
  </si>
  <si>
    <t xml:space="preserve">6m 13s </t>
  </si>
  <si>
    <t xml:space="preserve">Introduction to Spring </t>
  </si>
  <si>
    <t xml:space="preserve">5m 33s </t>
  </si>
  <si>
    <t xml:space="preserve">Introduction to Spring Boot </t>
  </si>
  <si>
    <t xml:space="preserve">6m 4s </t>
  </si>
  <si>
    <t xml:space="preserve">Create a project with Spring Initializr </t>
  </si>
  <si>
    <t xml:space="preserve">5m 8s </t>
  </si>
  <si>
    <t xml:space="preserve">Examining a Spring Boot skeleton project </t>
  </si>
  <si>
    <t xml:space="preserve">6m 3s </t>
  </si>
  <si>
    <t xml:space="preserve">Inversion of control </t>
  </si>
  <si>
    <t xml:space="preserve">5m 59s </t>
  </si>
  <si>
    <t xml:space="preserve">Annotations everywhere </t>
  </si>
  <si>
    <t xml:space="preserve">4m 7s </t>
  </si>
  <si>
    <t>Chapter Quiz</t>
  </si>
  <si>
    <t>6 questions</t>
  </si>
  <si>
    <t xml:space="preserve">Welcome to Spring Data </t>
  </si>
  <si>
    <t xml:space="preserve">4m 32s </t>
  </si>
  <si>
    <t xml:space="preserve">Embedded databases with Spring Boot </t>
  </si>
  <si>
    <t xml:space="preserve">Repositories with Spring Data </t>
  </si>
  <si>
    <t xml:space="preserve">Using a remote database </t>
  </si>
  <si>
    <t xml:space="preserve">4m 35s </t>
  </si>
  <si>
    <t xml:space="preserve">Challange: Build an additional repository </t>
  </si>
  <si>
    <t xml:space="preserve">1m 10s </t>
  </si>
  <si>
    <t xml:space="preserve">Solution: Build an additional repository </t>
  </si>
  <si>
    <t xml:space="preserve">3m 5s </t>
  </si>
  <si>
    <t>3 questions</t>
  </si>
  <si>
    <t xml:space="preserve">Utilizing IoC </t>
  </si>
  <si>
    <t xml:space="preserve">Build a service abstraction </t>
  </si>
  <si>
    <t xml:space="preserve">3m 41s </t>
  </si>
  <si>
    <t xml:space="preserve">Develop a service object with Spring </t>
  </si>
  <si>
    <t xml:space="preserve">8m 46s </t>
  </si>
  <si>
    <t xml:space="preserve">Introduction to the controller </t>
  </si>
  <si>
    <t xml:space="preserve">5m 22s </t>
  </si>
  <si>
    <t xml:space="preserve">Build your first controller </t>
  </si>
  <si>
    <t xml:space="preserve">5m 12s </t>
  </si>
  <si>
    <t xml:space="preserve">Thymeleaf as a rendering engine </t>
  </si>
  <si>
    <t xml:space="preserve">Challenge: Create a web page </t>
  </si>
  <si>
    <t xml:space="preserve">1m 7s </t>
  </si>
  <si>
    <t xml:space="preserve">Solution: Create a web page </t>
  </si>
  <si>
    <t xml:space="preserve">2m 19s </t>
  </si>
  <si>
    <t xml:space="preserve">Understanding RestController </t>
  </si>
  <si>
    <t xml:space="preserve">2m 1s </t>
  </si>
  <si>
    <t xml:space="preserve">Expose a service layer through REST </t>
  </si>
  <si>
    <t xml:space="preserve">5m 6s </t>
  </si>
  <si>
    <t xml:space="preserve">Challenge: RESTful endpoints </t>
  </si>
  <si>
    <t xml:space="preserve">1m 15s </t>
  </si>
  <si>
    <t xml:space="preserve">Solution: RESTful endpoints </t>
  </si>
  <si>
    <t xml:space="preserve">6m 32s </t>
  </si>
  <si>
    <t>1 question</t>
  </si>
  <si>
    <t xml:space="preserve">Testing Spring Boot applications </t>
  </si>
  <si>
    <t xml:space="preserve">5m 24s </t>
  </si>
  <si>
    <t xml:space="preserve">Spring Security </t>
  </si>
  <si>
    <t xml:space="preserve">1m 35s </t>
  </si>
  <si>
    <t xml:space="preserve">Other projects </t>
  </si>
  <si>
    <t xml:space="preserve">6m 17s </t>
  </si>
  <si>
    <t xml:space="preserve">Next steps </t>
  </si>
  <si>
    <t xml:space="preserve">3m 34s </t>
  </si>
  <si>
    <t>1. Getting Started with Spring Boot</t>
  </si>
  <si>
    <t>2. Data Access in Spring</t>
  </si>
  <si>
    <t>3. Service Tier</t>
  </si>
  <si>
    <t>4. Web Pages with Spring</t>
  </si>
  <si>
    <t>5. Exposing RESTful Endpoints</t>
  </si>
  <si>
    <t>6. Additional Topics</t>
  </si>
  <si>
    <t>7. What's Next</t>
  </si>
  <si>
    <t>Time Remaining</t>
  </si>
  <si>
    <t>Hours</t>
  </si>
  <si>
    <t>Minutes</t>
  </si>
  <si>
    <t>Seconds</t>
  </si>
  <si>
    <t>Total Seconds</t>
  </si>
  <si>
    <t>Duration</t>
  </si>
  <si>
    <t>Filename</t>
  </si>
  <si>
    <t>Source</t>
  </si>
  <si>
    <t>Is Chapter</t>
  </si>
  <si>
    <t>Is  Section</t>
  </si>
  <si>
    <t>Total Sec</t>
  </si>
  <si>
    <t>Time Watched</t>
  </si>
  <si>
    <t>Spring Boot Tricks</t>
  </si>
  <si>
    <t>Certificate link</t>
  </si>
  <si>
    <t>Transcript</t>
  </si>
  <si>
    <t>Yes</t>
  </si>
  <si>
    <t>Certificate Posted</t>
  </si>
  <si>
    <t>No</t>
  </si>
  <si>
    <t>Quiz</t>
  </si>
  <si>
    <t>Exercise Files</t>
  </si>
  <si>
    <t>N/A</t>
  </si>
  <si>
    <t>Certificate Downloaded</t>
  </si>
  <si>
    <t>Converted</t>
  </si>
  <si>
    <t>Course Contents</t>
  </si>
  <si>
    <t>isSection</t>
  </si>
  <si>
    <t>isTitle</t>
  </si>
  <si>
    <t>Count</t>
  </si>
  <si>
    <t>File name</t>
  </si>
  <si>
    <t>Group Duration</t>
  </si>
  <si>
    <t>Start</t>
  </si>
  <si>
    <t>End</t>
  </si>
  <si>
    <t>Learning Log</t>
  </si>
  <si>
    <t>Text</t>
  </si>
  <si>
    <t>Minute</t>
  </si>
  <si>
    <t>Total</t>
  </si>
  <si>
    <t>Hour</t>
  </si>
  <si>
    <t>Date</t>
  </si>
  <si>
    <t>Project</t>
  </si>
  <si>
    <t>File Involved</t>
  </si>
  <si>
    <t>Database</t>
  </si>
  <si>
    <t>Tables</t>
  </si>
  <si>
    <t xml:space="preserve"> </t>
  </si>
  <si>
    <t>Course content</t>
  </si>
  <si>
    <t>Section 1: Introduction</t>
  </si>
  <si>
    <t>1. A basic introduction to the course, and about the instructor.</t>
  </si>
  <si>
    <t>2min</t>
  </si>
  <si>
    <t>Section 2: REST API Basics</t>
  </si>
  <si>
    <t>2. Anatomy of a Spring Boot application</t>
  </si>
  <si>
    <t>5min</t>
  </si>
  <si>
    <t>Play</t>
  </si>
  <si>
    <t>3. Custom Request Annotations Introduction</t>
  </si>
  <si>
    <t>3min</t>
  </si>
  <si>
    <t>4. GET and POST mappings with custom annotations</t>
  </si>
  <si>
    <t>4min</t>
  </si>
  <si>
    <t>Quiz 1: Basics of REST APIs</t>
  </si>
  <si>
    <t>Section 3: Introduction to Data Persistence</t>
  </si>
  <si>
    <t>5. Repositories and Spring Data</t>
  </si>
  <si>
    <t>10min</t>
  </si>
  <si>
    <t>6. Database settings in application.properties</t>
  </si>
  <si>
    <t>Quiz 2: Repositories and Data Quiz</t>
  </si>
  <si>
    <t>Section 4: MVC tests</t>
  </si>
  <si>
    <t>7. MVC tests</t>
  </si>
  <si>
    <t>8min</t>
  </si>
  <si>
    <t>Quiz 3: MVC test quiz</t>
  </si>
  <si>
    <t>Section 5: Next steps</t>
  </si>
  <si>
    <t>8. Where to go from here (online resources)</t>
  </si>
  <si>
    <t>https://www.udemy.com/share/102EgA3@9EiBrSDZMAhUeWDj8AzeYbmL7CSnkB5ukJPJXFECovA5LZvBOwYS6uq4aTzY8MJo/</t>
  </si>
  <si>
    <t>Add to LinkedIn Profile</t>
  </si>
  <si>
    <t xml:space="preserve">Learning Website </t>
  </si>
  <si>
    <t>Udemy</t>
  </si>
  <si>
    <t>hour</t>
  </si>
  <si>
    <t>1. Introduction</t>
  </si>
  <si>
    <t>1min</t>
  </si>
  <si>
    <t>2. Steps to setup</t>
  </si>
  <si>
    <t>3. Setup environment and create java project using Maven</t>
  </si>
  <si>
    <t>29min</t>
  </si>
  <si>
    <t>4. Setup and Create Spring boot project</t>
  </si>
  <si>
    <t>12min</t>
  </si>
  <si>
    <t>5. Docker set-up on local</t>
  </si>
  <si>
    <t>6. Dockerize Spring-boot and java project</t>
  </si>
  <si>
    <t>7. Creating and dockerizing spring-boot microservice</t>
  </si>
  <si>
    <t>6min</t>
  </si>
  <si>
    <t>Section 2: Setup and create Java and spring boot project</t>
  </si>
  <si>
    <t>Section 3: Docker setup and Dockerize java and spring-boot image</t>
  </si>
  <si>
    <t>Section 4: Create spring-boot starter microservice, containerize it and push to DockerHub</t>
  </si>
  <si>
    <t>Getting Started with Java, Maven, Spring Boot, and Docker</t>
  </si>
  <si>
    <t>https://www.udemy.com/share/106sg43@7vGfzmlmpKp_lUXLnA7QrQ-4XLozcNGd2Nn66YFycbPm0pZqWN-j-JgGjxvgcm6R/</t>
  </si>
  <si>
    <t>Spring Boot : Complete guide from development to deployment</t>
  </si>
  <si>
    <t>2. Spring Boot Overview</t>
  </si>
  <si>
    <t>3. Development Setup and Spring boot Initializer</t>
  </si>
  <si>
    <t>4. Demo application overview for this course</t>
  </si>
  <si>
    <t>5. Adding REST GET Controller</t>
  </si>
  <si>
    <t>6. Adding REST POST Controller</t>
  </si>
  <si>
    <t>7. Default Property File - "Application.properties"</t>
  </si>
  <si>
    <t>11min</t>
  </si>
  <si>
    <t>8. Profile-specific and Hierarchical Properties</t>
  </si>
  <si>
    <t>16min</t>
  </si>
  <si>
    <t>9. Using YAML Instead of Properties</t>
  </si>
  <si>
    <t>10. Understand the embedded Tomcat server</t>
  </si>
  <si>
    <t>11. Run spring boot application as war in external tomcat container</t>
  </si>
  <si>
    <t>12. Configure Logback for Logging</t>
  </si>
  <si>
    <t>13. Configure Log4j for Logging</t>
  </si>
  <si>
    <t>14. What is JPA and Spring Data JPA?</t>
  </si>
  <si>
    <t>15. Build Entity Objects for Demo Application</t>
  </si>
  <si>
    <t>13min</t>
  </si>
  <si>
    <t>16. Making CRUD operations with repository and mapped to service</t>
  </si>
  <si>
    <t>9min</t>
  </si>
  <si>
    <t>17. Create restEndpoint for CRUD service to test</t>
  </si>
  <si>
    <t>18. Setup web application using Thymeleaf</t>
  </si>
  <si>
    <t>19. Configure Bootstrap 4 and create static pages for demo application</t>
  </si>
  <si>
    <t>20. Mapped the service to Controller for data passage to View.</t>
  </si>
  <si>
    <t>Assignment 1: Change the static reference of Dashboard Page</t>
  </si>
  <si>
    <t>Quiz 1: Online Spring Boot Test</t>
  </si>
  <si>
    <t>21. Implement Spring security</t>
  </si>
  <si>
    <t>22. Implement actuator for monitoring</t>
  </si>
  <si>
    <t>23. Deploy as jar on Unix platform as service</t>
  </si>
  <si>
    <t>Section 2: Spring Boot - REST API</t>
  </si>
  <si>
    <t>Section 3: Spring Boot - Properties</t>
  </si>
  <si>
    <t>Section 4: Spring Boot - Embedded server tomcat and Properties configuration</t>
  </si>
  <si>
    <t>Section 5: Spring Boot - Logging</t>
  </si>
  <si>
    <t>Section 6: Spring Boot - Spring Data JPA</t>
  </si>
  <si>
    <t>Section 7: Spring Boot - View</t>
  </si>
  <si>
    <t>Section 8: Spring Boot - Security</t>
  </si>
  <si>
    <t>Section 9: Spring Boot - Actuator</t>
  </si>
  <si>
    <t>Section 10: Spring Boot - Deployement</t>
  </si>
  <si>
    <t>Section 1 - Introduction</t>
  </si>
  <si>
    <t>Section 2 - Spring Boot - REST API</t>
  </si>
  <si>
    <t>Section 3 - Spring Boot - Properties</t>
  </si>
  <si>
    <t>Section 4 - Spring Boot - Embedded server tomcat and Properties configuration</t>
  </si>
  <si>
    <t>Section 5 - Spring Boot - Logging</t>
  </si>
  <si>
    <t>Section 6 - Spring Boot - Spring Data JPA</t>
  </si>
  <si>
    <t>Section 7 - Spring Boot - View</t>
  </si>
  <si>
    <t>Section 8 - Spring Boot - Security</t>
  </si>
  <si>
    <t>Section 9 - Spring Boot - Actuator</t>
  </si>
  <si>
    <t>Section 10 - Spring Boot - Deployement</t>
  </si>
  <si>
    <t>2. Creating A New Project</t>
  </si>
  <si>
    <t>3. Hello, World</t>
  </si>
  <si>
    <t>7min</t>
  </si>
  <si>
    <t>4. Setting The Stage</t>
  </si>
  <si>
    <t>5. Dependency Injection - The Basic Concepts</t>
  </si>
  <si>
    <t>6. Injecting Beans</t>
  </si>
  <si>
    <t>7. The Multiple Bean Problem</t>
  </si>
  <si>
    <t>8. Java Configuration Classes</t>
  </si>
  <si>
    <t>9. Externalizing Configuration Using application.properties</t>
  </si>
  <si>
    <t>10. Spring Profiles</t>
  </si>
  <si>
    <t>11. Conditional Annotations</t>
  </si>
  <si>
    <t>12. Sending SMTP Mails</t>
  </si>
  <si>
    <t>13. Java Configuration Classes contd.</t>
  </si>
  <si>
    <t>14. Next Steps, And FREE Coupon For The Next Course</t>
  </si>
  <si>
    <t>Section 2: Hello, World</t>
  </si>
  <si>
    <t>Section 3: Dependency Injection (IoC) Step-By-Step - Part I</t>
  </si>
  <si>
    <t>Section 4: Dependency Injection (IoC) Step-By-Step - Part II</t>
  </si>
  <si>
    <t>Section 5: Conclusion, And FREE Coupon For Next Course</t>
  </si>
  <si>
    <t>Spring Framework And Dependency Injection For Beginners</t>
  </si>
  <si>
    <t>LinkedIn</t>
  </si>
  <si>
    <t>Spring: Framework in Depth</t>
  </si>
  <si>
    <t>1m 6s</t>
  </si>
  <si>
    <t>Save</t>
  </si>
  <si>
    <t>What you should know</t>
  </si>
  <si>
    <t>3m 32s</t>
  </si>
  <si>
    <t>1. Spring Overview</t>
  </si>
  <si>
    <t>Introduction to Spring</t>
  </si>
  <si>
    <t>5m 3s</t>
  </si>
  <si>
    <t>The inversion of control (IoC) container</t>
  </si>
  <si>
    <t>5m 26s</t>
  </si>
  <si>
    <t>2. Configuring the ApplicationContext</t>
  </si>
  <si>
    <t>Introduction to the ApplicationContext</t>
  </si>
  <si>
    <t>4m 22s</t>
  </si>
  <si>
    <t>Configuration of Spring with Java</t>
  </si>
  <si>
    <t>8m 5s</t>
  </si>
  <si>
    <t>Work with the environment</t>
  </si>
  <si>
    <t>5m 57s</t>
  </si>
  <si>
    <t>Profiles</t>
  </si>
  <si>
    <t>4m 3s</t>
  </si>
  <si>
    <t>Spring Expression Language</t>
  </si>
  <si>
    <t>4m 8s</t>
  </si>
  <si>
    <t>Bean scopes</t>
  </si>
  <si>
    <t>3m 34s</t>
  </si>
  <si>
    <t>Proxies</t>
  </si>
  <si>
    <t>1m 53s</t>
  </si>
  <si>
    <t>12 questions</t>
  </si>
  <si>
    <t>3. Component Scanning</t>
  </si>
  <si>
    <t>The component scan</t>
  </si>
  <si>
    <t>2m 58s</t>
  </si>
  <si>
    <t>Implementing component scanning</t>
  </si>
  <si>
    <t>5m 22s</t>
  </si>
  <si>
    <t>Lifecycle methods</t>
  </si>
  <si>
    <t>3m 58s</t>
  </si>
  <si>
    <t>2 questions</t>
  </si>
  <si>
    <t>4. The Bean Lifecycle</t>
  </si>
  <si>
    <t>Why the lifecycle is so important</t>
  </si>
  <si>
    <t>3m 38s</t>
  </si>
  <si>
    <t>The overall picture</t>
  </si>
  <si>
    <t>2m 25s</t>
  </si>
  <si>
    <t>The init phase: Loading bean definitions</t>
  </si>
  <si>
    <t>2m 54s</t>
  </si>
  <si>
    <t>Init: Bean factory post-processing</t>
  </si>
  <si>
    <t>3m 55s</t>
  </si>
  <si>
    <t>Init: Bean instantiation</t>
  </si>
  <si>
    <t>3m</t>
  </si>
  <si>
    <t>Init: Setters</t>
  </si>
  <si>
    <t>1m 54s</t>
  </si>
  <si>
    <t>Init: Bean post-processing</t>
  </si>
  <si>
    <t>3m 25s</t>
  </si>
  <si>
    <t>Init: Differences based on configuration</t>
  </si>
  <si>
    <t>2m 49s</t>
  </si>
  <si>
    <t>The use phase</t>
  </si>
  <si>
    <t>1m 56s</t>
  </si>
  <si>
    <t>The destruction phase</t>
  </si>
  <si>
    <t>2m 6s</t>
  </si>
  <si>
    <t>5. Aspect-Oriented Programming</t>
  </si>
  <si>
    <t>Aspecting in Spring</t>
  </si>
  <si>
    <t>4m 51s</t>
  </si>
  <si>
    <t>Define aspect-oriented programming (AOP) pointcuts</t>
  </si>
  <si>
    <t>6m 6s</t>
  </si>
  <si>
    <t>Implement AOP advice: Before</t>
  </si>
  <si>
    <t>5m 9s</t>
  </si>
  <si>
    <t>Implement AOP advice: After</t>
  </si>
  <si>
    <t>2m 40s</t>
  </si>
  <si>
    <t>Implement AOP advice: Around</t>
  </si>
  <si>
    <t>4m 40s</t>
  </si>
  <si>
    <t>Challenge: Building your own aspect</t>
  </si>
  <si>
    <t>53s</t>
  </si>
  <si>
    <t>Solution: Building your own aspect</t>
  </si>
  <si>
    <t>2m 41s</t>
  </si>
  <si>
    <t>10 questions</t>
  </si>
  <si>
    <t>Next steps</t>
  </si>
  <si>
    <t>2m 42s</t>
  </si>
  <si>
    <t>6. Conclusion</t>
  </si>
  <si>
    <t>https://www.linkedin.com/learning/certificates/ba3c9e32979a574c0732b46d79a4653c3beac0fcc7d8f85b495b5830b6d4d605</t>
  </si>
  <si>
    <t>Building blocks of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</si>
</sst>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64" fontId="0" fillId="0" borderId="0" xfId="0" applyNumberFormat="1"/>
    <xf numFmtId="0" fontId="3" fillId="0" borderId="0" xfId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0" fillId="0" borderId="16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4"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udemy.com/share/102EgA3@9EiBrSDZMAhUeWDj8AzeYbmL7CSnkB5ukJPJXFECovA5LZvBOwYS6uq4aTzY8MJ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udemy.com/share/106sg43@7vGfzmlmpKp_lUXLnA7QrQ-4XLozcNGd2Nn66YFycbPm0pZqWN-j-JgGjxvgcm6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linkedin.com/learning/certificates/ba3c9e32979a574c0732b46d79a4653c3beac0fcc7d8f85b495b5830b6d4d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9950-28E1-44FC-905C-CB7A7C669484}">
  <dimension ref="A1:R80"/>
  <sheetViews>
    <sheetView topLeftCell="B1" workbookViewId="0">
      <selection activeCell="Q19" sqref="Q19"/>
    </sheetView>
  </sheetViews>
  <sheetFormatPr defaultRowHeight="15" x14ac:dyDescent="0.25"/>
  <cols>
    <col min="1" max="1" width="39.7109375" bestFit="1" customWidth="1"/>
    <col min="3" max="3" width="32.140625" bestFit="1" customWidth="1"/>
    <col min="4" max="4" width="9.42578125" bestFit="1" customWidth="1"/>
    <col min="6" max="6" width="73.85546875" bestFit="1" customWidth="1"/>
    <col min="7" max="7" width="27.7109375" bestFit="1" customWidth="1"/>
    <col min="11" max="14" width="9.140625" customWidth="1"/>
  </cols>
  <sheetData>
    <row r="1" spans="1:18" s="1" customFormat="1" x14ac:dyDescent="0.25">
      <c r="A1" s="19" t="s">
        <v>79</v>
      </c>
      <c r="B1" s="22" t="s">
        <v>80</v>
      </c>
      <c r="C1" s="19" t="s">
        <v>4</v>
      </c>
      <c r="D1" s="20" t="s">
        <v>81</v>
      </c>
      <c r="E1" s="19" t="s">
        <v>5</v>
      </c>
      <c r="F1" s="2" t="s">
        <v>78</v>
      </c>
      <c r="G1" s="19" t="s">
        <v>77</v>
      </c>
      <c r="H1" s="21" t="s">
        <v>77</v>
      </c>
      <c r="I1" s="21"/>
      <c r="J1" s="20" t="s">
        <v>76</v>
      </c>
      <c r="K1" s="19" t="s">
        <v>72</v>
      </c>
      <c r="L1" s="19"/>
      <c r="M1" s="19"/>
      <c r="N1" s="19"/>
      <c r="O1" s="19" t="s">
        <v>83</v>
      </c>
      <c r="P1" s="19"/>
      <c r="Q1" s="19"/>
      <c r="R1" s="19"/>
    </row>
    <row r="2" spans="1:18" s="1" customFormat="1" x14ac:dyDescent="0.25">
      <c r="A2" s="19"/>
      <c r="B2" s="22"/>
      <c r="C2" s="19"/>
      <c r="D2" s="20"/>
      <c r="E2" s="19"/>
      <c r="F2" s="3"/>
      <c r="G2" s="19"/>
      <c r="H2" s="3" t="s">
        <v>74</v>
      </c>
      <c r="I2" s="3" t="s">
        <v>75</v>
      </c>
      <c r="J2" s="20"/>
      <c r="K2" s="3" t="s">
        <v>82</v>
      </c>
      <c r="L2" s="3" t="s">
        <v>73</v>
      </c>
      <c r="M2" s="3" t="s">
        <v>74</v>
      </c>
      <c r="N2" s="3" t="s">
        <v>75</v>
      </c>
      <c r="O2" s="3" t="s">
        <v>82</v>
      </c>
      <c r="P2" s="3" t="s">
        <v>73</v>
      </c>
      <c r="Q2" s="3" t="s">
        <v>74</v>
      </c>
      <c r="R2" s="3" t="s">
        <v>75</v>
      </c>
    </row>
    <row r="3" spans="1:18" x14ac:dyDescent="0.25">
      <c r="A3" t="s">
        <v>3</v>
      </c>
      <c r="B3" t="b">
        <f>NOT(ISERROR(FIND(". ",A3)))</f>
        <v>1</v>
      </c>
      <c r="C3" t="str">
        <f t="shared" ref="C3:C66" si="0">IF(B3,A3,C2)</f>
        <v>0. Introduction</v>
      </c>
      <c r="D3" t="b">
        <f t="shared" ref="D3:D65" si="1">OR(NOT(ISERROR(FIND("m ",A4))), NOT(ISERROR(VALUE(LEFT(A3,LEN(A3)-1)))))</f>
        <v>0</v>
      </c>
      <c r="E3">
        <f t="shared" ref="E3:E66" si="2">IF(B3,0,IF(D3,E2+1,E2))</f>
        <v>0</v>
      </c>
      <c r="F3" t="str">
        <f t="shared" ref="F3:F66" si="3">IF(D3,C3&amp;" ("&amp;E3&amp;". "&amp;A3&amp;")","")</f>
        <v/>
      </c>
      <c r="G3" t="str">
        <f>IF(AND(D3, ISERROR(FIND(" questions",A4))),A4,"")</f>
        <v/>
      </c>
      <c r="H3" t="str">
        <f>LEFT(G3,VALUE(IF(D3,FIND("m ",G3)-1,"0")))</f>
        <v/>
      </c>
      <c r="I3" t="str">
        <f>IF(AND(D3,RIGHT(G3,1) ="s"),VALUE(SUBSTITUTE(MID(G3,FIND(" ",G3)+1,100),"s","")),"")</f>
        <v/>
      </c>
    </row>
    <row r="4" spans="1:18" x14ac:dyDescent="0.25">
      <c r="A4" t="s">
        <v>6</v>
      </c>
      <c r="B4" t="b">
        <f t="shared" ref="B4:B67" si="4">NOT(ISERROR(FIND(". ",A4)))</f>
        <v>0</v>
      </c>
      <c r="C4" t="str">
        <f t="shared" si="0"/>
        <v>0. Introduction</v>
      </c>
      <c r="D4" t="b">
        <f t="shared" si="1"/>
        <v>1</v>
      </c>
      <c r="E4">
        <f t="shared" si="2"/>
        <v>1</v>
      </c>
      <c r="F4" t="str">
        <f t="shared" si="3"/>
        <v>0. Introduction (1. Learn rapid development with Spring Boot )</v>
      </c>
      <c r="G4" t="str">
        <f>TRIM(IF(AND(D4, ISERROR(FIND(" questions",A5))),A5,""))</f>
        <v>1m 27s</v>
      </c>
      <c r="H4" t="str">
        <f>LEFT(G4,VALUE(IF(D4,FIND("m ",G4)-1,"0")))</f>
        <v>1</v>
      </c>
      <c r="I4">
        <f>IF(AND(D4,RIGHT(G4,1) ="s"),VALUE(SUBSTITUTE(MID(G4,FIND(" ",G4)+1,100),"s","")),"")</f>
        <v>27</v>
      </c>
      <c r="J4">
        <f>IF(AND(H4&lt;&gt;"",I4&lt;&gt;""),(H4*60)+I4,0)</f>
        <v>87</v>
      </c>
      <c r="K4">
        <f t="shared" ref="K4:K67" si="5">K5+J4</f>
        <v>7982</v>
      </c>
      <c r="L4">
        <f>INT(K4/60/60)</f>
        <v>2</v>
      </c>
      <c r="M4">
        <f>INT((K4-(L4*60*60))/60)</f>
        <v>13</v>
      </c>
      <c r="N4">
        <f>K4-(((L4*60)+M4)*60)</f>
        <v>2</v>
      </c>
      <c r="O4">
        <f>J4</f>
        <v>87</v>
      </c>
      <c r="P4">
        <f>INT(O4/60/60)</f>
        <v>0</v>
      </c>
      <c r="Q4">
        <f>INT((O4-(P4*60*60))/60)</f>
        <v>1</v>
      </c>
      <c r="R4">
        <f>O4-(((P4*60)+Q4)*60)</f>
        <v>27</v>
      </c>
    </row>
    <row r="5" spans="1:18" x14ac:dyDescent="0.25">
      <c r="A5" t="s">
        <v>7</v>
      </c>
      <c r="B5" t="b">
        <f t="shared" si="4"/>
        <v>0</v>
      </c>
      <c r="C5" t="str">
        <f t="shared" si="0"/>
        <v>0. Introduction</v>
      </c>
      <c r="D5" t="b">
        <f t="shared" si="1"/>
        <v>0</v>
      </c>
      <c r="E5">
        <f t="shared" si="2"/>
        <v>1</v>
      </c>
      <c r="F5" t="str">
        <f t="shared" si="3"/>
        <v/>
      </c>
      <c r="G5" t="str">
        <f t="shared" ref="G5:G68" si="6">TRIM(IF(AND(D5, ISERROR(FIND(" questions",A6))),A6,""))</f>
        <v/>
      </c>
      <c r="H5" t="str">
        <f t="shared" ref="H5:H20" si="7">LEFT(G5,VALUE(IF(D5,FIND("m ",G5)-1,"0")))</f>
        <v/>
      </c>
      <c r="I5" t="str">
        <f>IF(AND(D5,RIGHT(G5,1) ="s"),VALUE(SUBSTITUTE(MID(G5,FIND(" ",G5)+1,100),"s","")),"")</f>
        <v/>
      </c>
      <c r="J5">
        <f t="shared" ref="J5:J68" si="8">IF(AND(H5&lt;&gt;"",I5&lt;&gt;""),(H5*60)+I5,0)</f>
        <v>0</v>
      </c>
      <c r="K5">
        <f t="shared" si="5"/>
        <v>7895</v>
      </c>
      <c r="L5">
        <f t="shared" ref="L5:L68" si="9">INT(K5/60/60)</f>
        <v>2</v>
      </c>
      <c r="M5">
        <f t="shared" ref="M5:M68" si="10">INT((K5-(L5*60*60))/60)</f>
        <v>11</v>
      </c>
      <c r="N5">
        <f t="shared" ref="N5:N68" si="11">K5-(((L5*60)+M5)*60)</f>
        <v>35</v>
      </c>
      <c r="O5">
        <f>O4+J5</f>
        <v>87</v>
      </c>
      <c r="P5">
        <f t="shared" ref="P5:P68" si="12">INT(O5/60/60)</f>
        <v>0</v>
      </c>
      <c r="Q5">
        <f t="shared" ref="Q5:Q68" si="13">INT((O5-(P5*60*60))/60)</f>
        <v>1</v>
      </c>
      <c r="R5">
        <f t="shared" ref="R5:R68" si="14">O5-(((P5*60)+Q5)*60)</f>
        <v>27</v>
      </c>
    </row>
    <row r="6" spans="1:18" x14ac:dyDescent="0.25">
      <c r="A6" t="s">
        <v>0</v>
      </c>
      <c r="B6" t="b">
        <f t="shared" si="4"/>
        <v>0</v>
      </c>
      <c r="C6" t="str">
        <f t="shared" si="0"/>
        <v>0. Introduction</v>
      </c>
      <c r="D6" t="b">
        <f t="shared" si="1"/>
        <v>1</v>
      </c>
      <c r="E6">
        <f t="shared" si="2"/>
        <v>2</v>
      </c>
      <c r="F6" t="str">
        <f t="shared" si="3"/>
        <v>0. Introduction (2. What you should know )</v>
      </c>
      <c r="G6" t="str">
        <f t="shared" si="6"/>
        <v>6m 13s</v>
      </c>
      <c r="H6" t="str">
        <f t="shared" si="7"/>
        <v>6</v>
      </c>
      <c r="I6">
        <f t="shared" ref="I6:I69" si="15">IF(AND(D6,RIGHT(G6,1) ="s"),VALUE(SUBSTITUTE(MID(G6,FIND(" ",G6)+1,100),"s","")),"")</f>
        <v>13</v>
      </c>
      <c r="J6">
        <f t="shared" si="8"/>
        <v>373</v>
      </c>
      <c r="K6">
        <f t="shared" si="5"/>
        <v>7895</v>
      </c>
      <c r="L6">
        <f t="shared" si="9"/>
        <v>2</v>
      </c>
      <c r="M6">
        <f t="shared" si="10"/>
        <v>11</v>
      </c>
      <c r="N6">
        <f t="shared" si="11"/>
        <v>35</v>
      </c>
      <c r="O6">
        <f t="shared" ref="O6:O69" si="16">O5+J6</f>
        <v>460</v>
      </c>
      <c r="P6">
        <f t="shared" si="12"/>
        <v>0</v>
      </c>
      <c r="Q6">
        <f t="shared" si="13"/>
        <v>7</v>
      </c>
      <c r="R6">
        <f t="shared" si="14"/>
        <v>40</v>
      </c>
    </row>
    <row r="7" spans="1:18" x14ac:dyDescent="0.25">
      <c r="A7" t="s">
        <v>8</v>
      </c>
      <c r="B7" t="b">
        <f t="shared" si="4"/>
        <v>0</v>
      </c>
      <c r="C7" t="str">
        <f t="shared" si="0"/>
        <v>0. Introduction</v>
      </c>
      <c r="D7" t="b">
        <f t="shared" si="1"/>
        <v>0</v>
      </c>
      <c r="E7">
        <f t="shared" si="2"/>
        <v>2</v>
      </c>
      <c r="F7" t="str">
        <f t="shared" si="3"/>
        <v/>
      </c>
      <c r="G7" t="str">
        <f t="shared" si="6"/>
        <v/>
      </c>
      <c r="H7" t="str">
        <f t="shared" si="7"/>
        <v/>
      </c>
      <c r="I7" t="str">
        <f t="shared" si="15"/>
        <v/>
      </c>
      <c r="J7">
        <f t="shared" si="8"/>
        <v>0</v>
      </c>
      <c r="K7">
        <f t="shared" si="5"/>
        <v>7522</v>
      </c>
      <c r="L7">
        <f t="shared" si="9"/>
        <v>2</v>
      </c>
      <c r="M7">
        <f t="shared" si="10"/>
        <v>5</v>
      </c>
      <c r="N7">
        <f t="shared" si="11"/>
        <v>22</v>
      </c>
      <c r="O7">
        <f t="shared" si="16"/>
        <v>460</v>
      </c>
      <c r="P7">
        <f t="shared" si="12"/>
        <v>0</v>
      </c>
      <c r="Q7">
        <f t="shared" si="13"/>
        <v>7</v>
      </c>
      <c r="R7">
        <f t="shared" si="14"/>
        <v>40</v>
      </c>
    </row>
    <row r="8" spans="1:18" x14ac:dyDescent="0.25">
      <c r="A8" t="s">
        <v>65</v>
      </c>
      <c r="B8" t="b">
        <f t="shared" si="4"/>
        <v>1</v>
      </c>
      <c r="C8" t="str">
        <f t="shared" si="0"/>
        <v>1. Getting Started with Spring Boot</v>
      </c>
      <c r="D8" t="b">
        <f t="shared" si="1"/>
        <v>0</v>
      </c>
      <c r="E8">
        <f t="shared" si="2"/>
        <v>0</v>
      </c>
      <c r="F8" t="str">
        <f t="shared" si="3"/>
        <v/>
      </c>
      <c r="G8" t="str">
        <f t="shared" si="6"/>
        <v/>
      </c>
      <c r="H8" t="str">
        <f t="shared" si="7"/>
        <v/>
      </c>
      <c r="I8" t="str">
        <f t="shared" si="15"/>
        <v/>
      </c>
      <c r="J8">
        <f t="shared" si="8"/>
        <v>0</v>
      </c>
      <c r="K8">
        <f t="shared" si="5"/>
        <v>7522</v>
      </c>
      <c r="L8">
        <f t="shared" si="9"/>
        <v>2</v>
      </c>
      <c r="M8">
        <f t="shared" si="10"/>
        <v>5</v>
      </c>
      <c r="N8">
        <f t="shared" si="11"/>
        <v>22</v>
      </c>
      <c r="O8">
        <f t="shared" si="16"/>
        <v>460</v>
      </c>
      <c r="P8">
        <f t="shared" si="12"/>
        <v>0</v>
      </c>
      <c r="Q8">
        <f t="shared" si="13"/>
        <v>7</v>
      </c>
      <c r="R8">
        <f t="shared" si="14"/>
        <v>40</v>
      </c>
    </row>
    <row r="9" spans="1:18" x14ac:dyDescent="0.25">
      <c r="A9" t="s">
        <v>9</v>
      </c>
      <c r="B9" t="b">
        <f t="shared" si="4"/>
        <v>0</v>
      </c>
      <c r="C9" t="str">
        <f t="shared" si="0"/>
        <v>1. Getting Started with Spring Boot</v>
      </c>
      <c r="D9" t="b">
        <f t="shared" si="1"/>
        <v>1</v>
      </c>
      <c r="E9">
        <f t="shared" si="2"/>
        <v>1</v>
      </c>
      <c r="F9" t="str">
        <f t="shared" si="3"/>
        <v>1. Getting Started with Spring Boot (1. Introduction to Spring )</v>
      </c>
      <c r="G9" t="str">
        <f t="shared" si="6"/>
        <v>5m 33s</v>
      </c>
      <c r="H9" t="str">
        <f t="shared" si="7"/>
        <v>5</v>
      </c>
      <c r="I9">
        <f t="shared" si="15"/>
        <v>33</v>
      </c>
      <c r="J9">
        <f t="shared" si="8"/>
        <v>333</v>
      </c>
      <c r="K9">
        <f t="shared" si="5"/>
        <v>7522</v>
      </c>
      <c r="L9">
        <f t="shared" si="9"/>
        <v>2</v>
      </c>
      <c r="M9">
        <f t="shared" si="10"/>
        <v>5</v>
      </c>
      <c r="N9">
        <f t="shared" si="11"/>
        <v>22</v>
      </c>
      <c r="O9">
        <f t="shared" si="16"/>
        <v>793</v>
      </c>
      <c r="P9">
        <f t="shared" si="12"/>
        <v>0</v>
      </c>
      <c r="Q9">
        <f t="shared" si="13"/>
        <v>13</v>
      </c>
      <c r="R9">
        <f t="shared" si="14"/>
        <v>13</v>
      </c>
    </row>
    <row r="10" spans="1:18" x14ac:dyDescent="0.25">
      <c r="A10" t="s">
        <v>10</v>
      </c>
      <c r="B10" t="b">
        <f t="shared" si="4"/>
        <v>0</v>
      </c>
      <c r="C10" t="str">
        <f t="shared" si="0"/>
        <v>1. Getting Started with Spring Boot</v>
      </c>
      <c r="D10" t="b">
        <f t="shared" si="1"/>
        <v>0</v>
      </c>
      <c r="E10">
        <f t="shared" si="2"/>
        <v>1</v>
      </c>
      <c r="F10" t="str">
        <f t="shared" si="3"/>
        <v/>
      </c>
      <c r="G10" t="str">
        <f t="shared" si="6"/>
        <v/>
      </c>
      <c r="H10" t="str">
        <f t="shared" si="7"/>
        <v/>
      </c>
      <c r="I10" t="str">
        <f t="shared" si="15"/>
        <v/>
      </c>
      <c r="J10">
        <f t="shared" si="8"/>
        <v>0</v>
      </c>
      <c r="K10">
        <f t="shared" si="5"/>
        <v>7189</v>
      </c>
      <c r="L10">
        <f t="shared" si="9"/>
        <v>1</v>
      </c>
      <c r="M10">
        <f t="shared" si="10"/>
        <v>59</v>
      </c>
      <c r="N10">
        <f t="shared" si="11"/>
        <v>49</v>
      </c>
      <c r="O10">
        <f t="shared" si="16"/>
        <v>793</v>
      </c>
      <c r="P10">
        <f t="shared" si="12"/>
        <v>0</v>
      </c>
      <c r="Q10">
        <f t="shared" si="13"/>
        <v>13</v>
      </c>
      <c r="R10">
        <f t="shared" si="14"/>
        <v>13</v>
      </c>
    </row>
    <row r="11" spans="1:18" x14ac:dyDescent="0.25">
      <c r="A11" t="s">
        <v>11</v>
      </c>
      <c r="B11" t="b">
        <f t="shared" si="4"/>
        <v>0</v>
      </c>
      <c r="C11" t="str">
        <f t="shared" si="0"/>
        <v>1. Getting Started with Spring Boot</v>
      </c>
      <c r="D11" t="b">
        <f t="shared" si="1"/>
        <v>1</v>
      </c>
      <c r="E11">
        <f t="shared" si="2"/>
        <v>2</v>
      </c>
      <c r="F11" t="str">
        <f t="shared" si="3"/>
        <v>1. Getting Started with Spring Boot (2. Introduction to Spring Boot )</v>
      </c>
      <c r="G11" t="str">
        <f t="shared" si="6"/>
        <v>6m 4s</v>
      </c>
      <c r="H11" t="str">
        <f t="shared" si="7"/>
        <v>6</v>
      </c>
      <c r="I11">
        <f t="shared" si="15"/>
        <v>4</v>
      </c>
      <c r="J11">
        <f t="shared" si="8"/>
        <v>364</v>
      </c>
      <c r="K11">
        <f t="shared" si="5"/>
        <v>7189</v>
      </c>
      <c r="L11">
        <f t="shared" si="9"/>
        <v>1</v>
      </c>
      <c r="M11">
        <f t="shared" si="10"/>
        <v>59</v>
      </c>
      <c r="N11">
        <f t="shared" si="11"/>
        <v>49</v>
      </c>
      <c r="O11">
        <f t="shared" si="16"/>
        <v>1157</v>
      </c>
      <c r="P11">
        <f t="shared" si="12"/>
        <v>0</v>
      </c>
      <c r="Q11">
        <f t="shared" si="13"/>
        <v>19</v>
      </c>
      <c r="R11">
        <f t="shared" si="14"/>
        <v>17</v>
      </c>
    </row>
    <row r="12" spans="1:18" x14ac:dyDescent="0.25">
      <c r="A12" t="s">
        <v>12</v>
      </c>
      <c r="B12" t="b">
        <f t="shared" si="4"/>
        <v>0</v>
      </c>
      <c r="C12" t="str">
        <f t="shared" si="0"/>
        <v>1. Getting Started with Spring Boot</v>
      </c>
      <c r="D12" t="b">
        <f t="shared" si="1"/>
        <v>0</v>
      </c>
      <c r="E12">
        <f t="shared" si="2"/>
        <v>2</v>
      </c>
      <c r="F12" t="str">
        <f t="shared" si="3"/>
        <v/>
      </c>
      <c r="G12" t="str">
        <f t="shared" si="6"/>
        <v/>
      </c>
      <c r="H12" t="str">
        <f t="shared" si="7"/>
        <v/>
      </c>
      <c r="I12" t="str">
        <f t="shared" si="15"/>
        <v/>
      </c>
      <c r="J12">
        <f t="shared" si="8"/>
        <v>0</v>
      </c>
      <c r="K12">
        <f t="shared" si="5"/>
        <v>6825</v>
      </c>
      <c r="L12">
        <f t="shared" si="9"/>
        <v>1</v>
      </c>
      <c r="M12">
        <f t="shared" si="10"/>
        <v>53</v>
      </c>
      <c r="N12">
        <f t="shared" si="11"/>
        <v>45</v>
      </c>
      <c r="O12">
        <v>0</v>
      </c>
      <c r="P12">
        <f t="shared" si="12"/>
        <v>0</v>
      </c>
      <c r="Q12">
        <f t="shared" si="13"/>
        <v>0</v>
      </c>
      <c r="R12">
        <f t="shared" si="14"/>
        <v>0</v>
      </c>
    </row>
    <row r="13" spans="1:18" x14ac:dyDescent="0.25">
      <c r="A13" t="s">
        <v>13</v>
      </c>
      <c r="B13" t="b">
        <f t="shared" si="4"/>
        <v>0</v>
      </c>
      <c r="C13" t="str">
        <f t="shared" si="0"/>
        <v>1. Getting Started with Spring Boot</v>
      </c>
      <c r="D13" t="b">
        <f t="shared" si="1"/>
        <v>1</v>
      </c>
      <c r="E13">
        <f t="shared" si="2"/>
        <v>3</v>
      </c>
      <c r="F13" t="str">
        <f t="shared" si="3"/>
        <v>1. Getting Started with Spring Boot (3. Create a project with Spring Initializr )</v>
      </c>
      <c r="G13" t="str">
        <f t="shared" si="6"/>
        <v>5m 8s</v>
      </c>
      <c r="H13" t="str">
        <f t="shared" si="7"/>
        <v>5</v>
      </c>
      <c r="I13">
        <f t="shared" si="15"/>
        <v>8</v>
      </c>
      <c r="J13">
        <f t="shared" si="8"/>
        <v>308</v>
      </c>
      <c r="K13">
        <f t="shared" si="5"/>
        <v>6825</v>
      </c>
      <c r="L13">
        <f t="shared" si="9"/>
        <v>1</v>
      </c>
      <c r="M13">
        <f t="shared" si="10"/>
        <v>53</v>
      </c>
      <c r="N13">
        <f t="shared" si="11"/>
        <v>45</v>
      </c>
      <c r="O13">
        <f t="shared" si="16"/>
        <v>308</v>
      </c>
      <c r="P13">
        <f t="shared" si="12"/>
        <v>0</v>
      </c>
      <c r="Q13">
        <f t="shared" si="13"/>
        <v>5</v>
      </c>
      <c r="R13">
        <f t="shared" si="14"/>
        <v>8</v>
      </c>
    </row>
    <row r="14" spans="1:18" x14ac:dyDescent="0.25">
      <c r="A14" t="s">
        <v>14</v>
      </c>
      <c r="B14" t="b">
        <f t="shared" si="4"/>
        <v>0</v>
      </c>
      <c r="C14" t="str">
        <f t="shared" si="0"/>
        <v>1. Getting Started with Spring Boot</v>
      </c>
      <c r="D14" t="b">
        <f t="shared" si="1"/>
        <v>0</v>
      </c>
      <c r="E14">
        <f t="shared" si="2"/>
        <v>3</v>
      </c>
      <c r="F14" t="str">
        <f t="shared" si="3"/>
        <v/>
      </c>
      <c r="G14" t="str">
        <f t="shared" si="6"/>
        <v/>
      </c>
      <c r="H14" t="str">
        <f t="shared" si="7"/>
        <v/>
      </c>
      <c r="I14" t="str">
        <f t="shared" si="15"/>
        <v/>
      </c>
      <c r="J14">
        <f t="shared" si="8"/>
        <v>0</v>
      </c>
      <c r="K14">
        <f t="shared" si="5"/>
        <v>6517</v>
      </c>
      <c r="L14">
        <f t="shared" si="9"/>
        <v>1</v>
      </c>
      <c r="M14">
        <f t="shared" si="10"/>
        <v>48</v>
      </c>
      <c r="N14">
        <f t="shared" si="11"/>
        <v>37</v>
      </c>
      <c r="O14">
        <f t="shared" si="16"/>
        <v>308</v>
      </c>
      <c r="P14">
        <f t="shared" si="12"/>
        <v>0</v>
      </c>
      <c r="Q14">
        <f t="shared" si="13"/>
        <v>5</v>
      </c>
      <c r="R14">
        <f t="shared" si="14"/>
        <v>8</v>
      </c>
    </row>
    <row r="15" spans="1:18" x14ac:dyDescent="0.25">
      <c r="A15" t="s">
        <v>15</v>
      </c>
      <c r="B15" t="b">
        <f t="shared" si="4"/>
        <v>0</v>
      </c>
      <c r="C15" t="str">
        <f t="shared" si="0"/>
        <v>1. Getting Started with Spring Boot</v>
      </c>
      <c r="D15" t="b">
        <f t="shared" si="1"/>
        <v>1</v>
      </c>
      <c r="E15">
        <f t="shared" si="2"/>
        <v>4</v>
      </c>
      <c r="F15" t="str">
        <f t="shared" si="3"/>
        <v>1. Getting Started with Spring Boot (4. Examining a Spring Boot skeleton project )</v>
      </c>
      <c r="G15" t="str">
        <f t="shared" si="6"/>
        <v>6m 3s</v>
      </c>
      <c r="H15" t="str">
        <f t="shared" si="7"/>
        <v>6</v>
      </c>
      <c r="I15">
        <f t="shared" si="15"/>
        <v>3</v>
      </c>
      <c r="J15">
        <f t="shared" si="8"/>
        <v>363</v>
      </c>
      <c r="K15">
        <f t="shared" si="5"/>
        <v>6517</v>
      </c>
      <c r="L15">
        <f t="shared" si="9"/>
        <v>1</v>
      </c>
      <c r="M15">
        <f t="shared" si="10"/>
        <v>48</v>
      </c>
      <c r="N15">
        <f t="shared" si="11"/>
        <v>37</v>
      </c>
      <c r="O15">
        <f t="shared" si="16"/>
        <v>671</v>
      </c>
      <c r="P15">
        <f t="shared" si="12"/>
        <v>0</v>
      </c>
      <c r="Q15">
        <f t="shared" si="13"/>
        <v>11</v>
      </c>
      <c r="R15">
        <f t="shared" si="14"/>
        <v>11</v>
      </c>
    </row>
    <row r="16" spans="1:18" x14ac:dyDescent="0.25">
      <c r="A16" t="s">
        <v>16</v>
      </c>
      <c r="B16" t="b">
        <f t="shared" si="4"/>
        <v>0</v>
      </c>
      <c r="C16" t="str">
        <f t="shared" si="0"/>
        <v>1. Getting Started with Spring Boot</v>
      </c>
      <c r="D16" t="b">
        <f t="shared" si="1"/>
        <v>0</v>
      </c>
      <c r="E16">
        <f t="shared" si="2"/>
        <v>4</v>
      </c>
      <c r="F16" t="str">
        <f t="shared" si="3"/>
        <v/>
      </c>
      <c r="G16" t="str">
        <f t="shared" si="6"/>
        <v/>
      </c>
      <c r="H16" t="str">
        <f t="shared" si="7"/>
        <v/>
      </c>
      <c r="I16" t="str">
        <f t="shared" si="15"/>
        <v/>
      </c>
      <c r="J16">
        <f t="shared" si="8"/>
        <v>0</v>
      </c>
      <c r="K16">
        <f t="shared" si="5"/>
        <v>6154</v>
      </c>
      <c r="L16">
        <f t="shared" si="9"/>
        <v>1</v>
      </c>
      <c r="M16">
        <f t="shared" si="10"/>
        <v>42</v>
      </c>
      <c r="N16">
        <f t="shared" si="11"/>
        <v>34</v>
      </c>
      <c r="O16">
        <f t="shared" si="16"/>
        <v>671</v>
      </c>
      <c r="P16">
        <f t="shared" si="12"/>
        <v>0</v>
      </c>
      <c r="Q16">
        <f t="shared" si="13"/>
        <v>11</v>
      </c>
      <c r="R16">
        <f t="shared" si="14"/>
        <v>11</v>
      </c>
    </row>
    <row r="17" spans="1:18" x14ac:dyDescent="0.25">
      <c r="A17" t="s">
        <v>17</v>
      </c>
      <c r="B17" t="b">
        <f t="shared" si="4"/>
        <v>0</v>
      </c>
      <c r="C17" t="str">
        <f t="shared" si="0"/>
        <v>1. Getting Started with Spring Boot</v>
      </c>
      <c r="D17" t="b">
        <f t="shared" si="1"/>
        <v>1</v>
      </c>
      <c r="E17">
        <f t="shared" si="2"/>
        <v>5</v>
      </c>
      <c r="F17" t="str">
        <f t="shared" si="3"/>
        <v>1. Getting Started with Spring Boot (5. Inversion of control )</v>
      </c>
      <c r="G17" t="str">
        <f t="shared" si="6"/>
        <v>5m 59s</v>
      </c>
      <c r="H17" t="str">
        <f t="shared" si="7"/>
        <v>5</v>
      </c>
      <c r="I17">
        <f t="shared" si="15"/>
        <v>59</v>
      </c>
      <c r="J17">
        <f t="shared" si="8"/>
        <v>359</v>
      </c>
      <c r="K17">
        <f t="shared" si="5"/>
        <v>6154</v>
      </c>
      <c r="L17">
        <f t="shared" si="9"/>
        <v>1</v>
      </c>
      <c r="M17">
        <f t="shared" si="10"/>
        <v>42</v>
      </c>
      <c r="N17">
        <f t="shared" si="11"/>
        <v>34</v>
      </c>
      <c r="O17">
        <f t="shared" si="16"/>
        <v>1030</v>
      </c>
      <c r="P17">
        <f t="shared" si="12"/>
        <v>0</v>
      </c>
      <c r="Q17">
        <f t="shared" si="13"/>
        <v>17</v>
      </c>
      <c r="R17">
        <f t="shared" si="14"/>
        <v>10</v>
      </c>
    </row>
    <row r="18" spans="1:18" x14ac:dyDescent="0.25">
      <c r="A18" t="s">
        <v>18</v>
      </c>
      <c r="B18" t="b">
        <f t="shared" si="4"/>
        <v>0</v>
      </c>
      <c r="C18" t="str">
        <f t="shared" si="0"/>
        <v>1. Getting Started with Spring Boot</v>
      </c>
      <c r="D18" t="b">
        <f t="shared" si="1"/>
        <v>0</v>
      </c>
      <c r="E18">
        <f t="shared" si="2"/>
        <v>5</v>
      </c>
      <c r="F18" t="str">
        <f t="shared" si="3"/>
        <v/>
      </c>
      <c r="G18" t="str">
        <f t="shared" si="6"/>
        <v/>
      </c>
      <c r="H18" t="str">
        <f t="shared" si="7"/>
        <v/>
      </c>
      <c r="I18" t="str">
        <f t="shared" si="15"/>
        <v/>
      </c>
      <c r="J18">
        <f t="shared" si="8"/>
        <v>0</v>
      </c>
      <c r="K18">
        <f t="shared" si="5"/>
        <v>5795</v>
      </c>
      <c r="L18">
        <f t="shared" si="9"/>
        <v>1</v>
      </c>
      <c r="M18">
        <f t="shared" si="10"/>
        <v>36</v>
      </c>
      <c r="N18">
        <f t="shared" si="11"/>
        <v>35</v>
      </c>
      <c r="O18">
        <f t="shared" si="16"/>
        <v>1030</v>
      </c>
      <c r="P18">
        <f t="shared" si="12"/>
        <v>0</v>
      </c>
      <c r="Q18">
        <f t="shared" si="13"/>
        <v>17</v>
      </c>
      <c r="R18">
        <f t="shared" si="14"/>
        <v>10</v>
      </c>
    </row>
    <row r="19" spans="1:18" x14ac:dyDescent="0.25">
      <c r="A19" t="s">
        <v>19</v>
      </c>
      <c r="B19" t="b">
        <f t="shared" si="4"/>
        <v>0</v>
      </c>
      <c r="C19" t="str">
        <f t="shared" si="0"/>
        <v>1. Getting Started with Spring Boot</v>
      </c>
      <c r="D19" t="b">
        <f t="shared" si="1"/>
        <v>1</v>
      </c>
      <c r="E19">
        <f t="shared" si="2"/>
        <v>6</v>
      </c>
      <c r="F19" t="str">
        <f t="shared" si="3"/>
        <v>1. Getting Started with Spring Boot (6. Annotations everywhere )</v>
      </c>
      <c r="G19" t="str">
        <f t="shared" si="6"/>
        <v>4m 7s</v>
      </c>
      <c r="H19" t="str">
        <f t="shared" si="7"/>
        <v>4</v>
      </c>
      <c r="I19">
        <f t="shared" si="15"/>
        <v>7</v>
      </c>
      <c r="J19">
        <f t="shared" si="8"/>
        <v>247</v>
      </c>
      <c r="K19">
        <f t="shared" si="5"/>
        <v>5795</v>
      </c>
      <c r="L19">
        <f t="shared" si="9"/>
        <v>1</v>
      </c>
      <c r="M19">
        <f t="shared" si="10"/>
        <v>36</v>
      </c>
      <c r="N19">
        <f t="shared" si="11"/>
        <v>35</v>
      </c>
      <c r="O19">
        <f t="shared" si="16"/>
        <v>1277</v>
      </c>
      <c r="P19">
        <f t="shared" si="12"/>
        <v>0</v>
      </c>
      <c r="Q19">
        <f t="shared" si="13"/>
        <v>21</v>
      </c>
      <c r="R19">
        <f t="shared" si="14"/>
        <v>17</v>
      </c>
    </row>
    <row r="20" spans="1:18" x14ac:dyDescent="0.25">
      <c r="A20" t="s">
        <v>20</v>
      </c>
      <c r="B20" t="b">
        <f t="shared" si="4"/>
        <v>0</v>
      </c>
      <c r="C20" t="str">
        <f t="shared" si="0"/>
        <v>1. Getting Started with Spring Boot</v>
      </c>
      <c r="D20" t="b">
        <f t="shared" si="1"/>
        <v>0</v>
      </c>
      <c r="E20">
        <f t="shared" si="2"/>
        <v>6</v>
      </c>
      <c r="F20" t="str">
        <f t="shared" si="3"/>
        <v/>
      </c>
      <c r="G20" t="str">
        <f t="shared" si="6"/>
        <v/>
      </c>
      <c r="H20" t="str">
        <f t="shared" si="7"/>
        <v/>
      </c>
      <c r="I20" t="str">
        <f t="shared" si="15"/>
        <v/>
      </c>
      <c r="J20">
        <f t="shared" si="8"/>
        <v>0</v>
      </c>
      <c r="K20">
        <f t="shared" si="5"/>
        <v>5548</v>
      </c>
      <c r="L20">
        <f t="shared" si="9"/>
        <v>1</v>
      </c>
      <c r="M20">
        <f t="shared" si="10"/>
        <v>32</v>
      </c>
      <c r="N20">
        <f t="shared" si="11"/>
        <v>28</v>
      </c>
      <c r="O20">
        <f t="shared" si="16"/>
        <v>1277</v>
      </c>
      <c r="P20">
        <f t="shared" si="12"/>
        <v>0</v>
      </c>
      <c r="Q20">
        <f t="shared" si="13"/>
        <v>21</v>
      </c>
      <c r="R20">
        <f t="shared" si="14"/>
        <v>17</v>
      </c>
    </row>
    <row r="21" spans="1:18" x14ac:dyDescent="0.25">
      <c r="A21" t="s">
        <v>21</v>
      </c>
      <c r="B21" t="b">
        <f t="shared" si="4"/>
        <v>0</v>
      </c>
      <c r="C21" t="str">
        <f t="shared" si="0"/>
        <v>1. Getting Started with Spring Boot</v>
      </c>
      <c r="D21" t="b">
        <f t="shared" si="1"/>
        <v>0</v>
      </c>
      <c r="E21">
        <f t="shared" si="2"/>
        <v>6</v>
      </c>
      <c r="F21" t="str">
        <f t="shared" si="3"/>
        <v/>
      </c>
      <c r="G21" t="str">
        <f t="shared" si="6"/>
        <v/>
      </c>
      <c r="H21" t="str">
        <f>LEFT(G21,IF(AND(D21,G21&lt;&gt;""),FIND("m ",G21)-1,0))</f>
        <v/>
      </c>
      <c r="I21" t="str">
        <f t="shared" si="15"/>
        <v/>
      </c>
      <c r="J21">
        <f t="shared" si="8"/>
        <v>0</v>
      </c>
      <c r="K21">
        <f t="shared" si="5"/>
        <v>5548</v>
      </c>
      <c r="L21">
        <f t="shared" si="9"/>
        <v>1</v>
      </c>
      <c r="M21">
        <f t="shared" si="10"/>
        <v>32</v>
      </c>
      <c r="N21">
        <f t="shared" si="11"/>
        <v>28</v>
      </c>
      <c r="O21">
        <f t="shared" si="16"/>
        <v>1277</v>
      </c>
      <c r="P21">
        <f t="shared" si="12"/>
        <v>0</v>
      </c>
      <c r="Q21">
        <f t="shared" si="13"/>
        <v>21</v>
      </c>
      <c r="R21">
        <f t="shared" si="14"/>
        <v>17</v>
      </c>
    </row>
    <row r="22" spans="1:18" x14ac:dyDescent="0.25">
      <c r="A22" t="s">
        <v>22</v>
      </c>
      <c r="B22" t="b">
        <f t="shared" si="4"/>
        <v>0</v>
      </c>
      <c r="C22" t="str">
        <f t="shared" si="0"/>
        <v>1. Getting Started with Spring Boot</v>
      </c>
      <c r="D22" t="b">
        <f t="shared" si="1"/>
        <v>0</v>
      </c>
      <c r="E22">
        <f t="shared" si="2"/>
        <v>6</v>
      </c>
      <c r="F22" t="str">
        <f t="shared" si="3"/>
        <v/>
      </c>
      <c r="G22" t="str">
        <f t="shared" si="6"/>
        <v/>
      </c>
      <c r="H22" t="str">
        <f t="shared" ref="H22:H80" si="17">LEFT(G22,IF(AND(D22,G22&lt;&gt;""),FIND("m ",G22)-1,0))</f>
        <v/>
      </c>
      <c r="I22" t="str">
        <f t="shared" si="15"/>
        <v/>
      </c>
      <c r="J22">
        <f t="shared" si="8"/>
        <v>0</v>
      </c>
      <c r="K22">
        <f t="shared" si="5"/>
        <v>5548</v>
      </c>
      <c r="L22">
        <f t="shared" si="9"/>
        <v>1</v>
      </c>
      <c r="M22">
        <f t="shared" si="10"/>
        <v>32</v>
      </c>
      <c r="N22">
        <f t="shared" si="11"/>
        <v>28</v>
      </c>
      <c r="O22">
        <f t="shared" si="16"/>
        <v>1277</v>
      </c>
      <c r="P22">
        <f t="shared" si="12"/>
        <v>0</v>
      </c>
      <c r="Q22">
        <f t="shared" si="13"/>
        <v>21</v>
      </c>
      <c r="R22">
        <f t="shared" si="14"/>
        <v>17</v>
      </c>
    </row>
    <row r="23" spans="1:18" x14ac:dyDescent="0.25">
      <c r="A23" t="s">
        <v>66</v>
      </c>
      <c r="B23" t="b">
        <f t="shared" si="4"/>
        <v>1</v>
      </c>
      <c r="C23" t="str">
        <f t="shared" si="0"/>
        <v>2. Data Access in Spring</v>
      </c>
      <c r="D23" t="b">
        <f t="shared" si="1"/>
        <v>0</v>
      </c>
      <c r="E23">
        <f t="shared" si="2"/>
        <v>0</v>
      </c>
      <c r="F23" t="str">
        <f t="shared" si="3"/>
        <v/>
      </c>
      <c r="G23" t="str">
        <f t="shared" si="6"/>
        <v/>
      </c>
      <c r="H23" t="str">
        <f t="shared" si="17"/>
        <v/>
      </c>
      <c r="I23" t="str">
        <f t="shared" si="15"/>
        <v/>
      </c>
      <c r="J23">
        <f t="shared" si="8"/>
        <v>0</v>
      </c>
      <c r="K23">
        <f t="shared" si="5"/>
        <v>5548</v>
      </c>
      <c r="L23">
        <f t="shared" si="9"/>
        <v>1</v>
      </c>
      <c r="M23">
        <f t="shared" si="10"/>
        <v>32</v>
      </c>
      <c r="N23">
        <f t="shared" si="11"/>
        <v>28</v>
      </c>
      <c r="O23">
        <f t="shared" si="16"/>
        <v>1277</v>
      </c>
      <c r="P23">
        <f t="shared" si="12"/>
        <v>0</v>
      </c>
      <c r="Q23">
        <f t="shared" si="13"/>
        <v>21</v>
      </c>
      <c r="R23">
        <f t="shared" si="14"/>
        <v>17</v>
      </c>
    </row>
    <row r="24" spans="1:18" x14ac:dyDescent="0.25">
      <c r="A24" t="s">
        <v>23</v>
      </c>
      <c r="B24" t="b">
        <f t="shared" si="4"/>
        <v>0</v>
      </c>
      <c r="C24" t="str">
        <f t="shared" si="0"/>
        <v>2. Data Access in Spring</v>
      </c>
      <c r="D24" t="b">
        <f t="shared" si="1"/>
        <v>1</v>
      </c>
      <c r="E24">
        <f t="shared" si="2"/>
        <v>1</v>
      </c>
      <c r="F24" t="str">
        <f t="shared" si="3"/>
        <v>2. Data Access in Spring (1. Welcome to Spring Data )</v>
      </c>
      <c r="G24" t="str">
        <f t="shared" si="6"/>
        <v>4m 32s</v>
      </c>
      <c r="H24" t="str">
        <f t="shared" si="17"/>
        <v>4</v>
      </c>
      <c r="I24">
        <f t="shared" si="15"/>
        <v>32</v>
      </c>
      <c r="J24">
        <f t="shared" si="8"/>
        <v>272</v>
      </c>
      <c r="K24">
        <f t="shared" si="5"/>
        <v>5548</v>
      </c>
      <c r="L24">
        <f t="shared" si="9"/>
        <v>1</v>
      </c>
      <c r="M24">
        <f t="shared" si="10"/>
        <v>32</v>
      </c>
      <c r="N24">
        <f t="shared" si="11"/>
        <v>28</v>
      </c>
      <c r="O24">
        <f t="shared" si="16"/>
        <v>1549</v>
      </c>
      <c r="P24">
        <f t="shared" si="12"/>
        <v>0</v>
      </c>
      <c r="Q24">
        <f t="shared" si="13"/>
        <v>25</v>
      </c>
      <c r="R24">
        <f t="shared" si="14"/>
        <v>49</v>
      </c>
    </row>
    <row r="25" spans="1:18" x14ac:dyDescent="0.25">
      <c r="A25" t="s">
        <v>24</v>
      </c>
      <c r="B25" t="b">
        <f t="shared" si="4"/>
        <v>0</v>
      </c>
      <c r="C25" t="str">
        <f t="shared" si="0"/>
        <v>2. Data Access in Spring</v>
      </c>
      <c r="D25" t="b">
        <f t="shared" si="1"/>
        <v>0</v>
      </c>
      <c r="E25">
        <f t="shared" si="2"/>
        <v>1</v>
      </c>
      <c r="F25" t="str">
        <f t="shared" si="3"/>
        <v/>
      </c>
      <c r="G25" t="str">
        <f t="shared" si="6"/>
        <v/>
      </c>
      <c r="H25" t="str">
        <f t="shared" si="17"/>
        <v/>
      </c>
      <c r="I25" t="str">
        <f t="shared" si="15"/>
        <v/>
      </c>
      <c r="J25">
        <f t="shared" si="8"/>
        <v>0</v>
      </c>
      <c r="K25">
        <f t="shared" si="5"/>
        <v>5276</v>
      </c>
      <c r="L25">
        <f t="shared" si="9"/>
        <v>1</v>
      </c>
      <c r="M25">
        <f t="shared" si="10"/>
        <v>27</v>
      </c>
      <c r="N25">
        <f t="shared" si="11"/>
        <v>56</v>
      </c>
      <c r="O25">
        <f t="shared" si="16"/>
        <v>1549</v>
      </c>
      <c r="P25">
        <f t="shared" si="12"/>
        <v>0</v>
      </c>
      <c r="Q25">
        <f t="shared" si="13"/>
        <v>25</v>
      </c>
      <c r="R25">
        <f t="shared" si="14"/>
        <v>49</v>
      </c>
    </row>
    <row r="26" spans="1:18" x14ac:dyDescent="0.25">
      <c r="A26" t="s">
        <v>25</v>
      </c>
      <c r="B26" t="b">
        <f t="shared" si="4"/>
        <v>0</v>
      </c>
      <c r="C26" t="str">
        <f t="shared" si="0"/>
        <v>2. Data Access in Spring</v>
      </c>
      <c r="D26" t="b">
        <f t="shared" si="1"/>
        <v>1</v>
      </c>
      <c r="E26">
        <f t="shared" si="2"/>
        <v>2</v>
      </c>
      <c r="F26" t="str">
        <f t="shared" si="3"/>
        <v>2. Data Access in Spring (2. Embedded databases with Spring Boot )</v>
      </c>
      <c r="G26" t="str">
        <f t="shared" si="6"/>
        <v>4m 32s</v>
      </c>
      <c r="H26" t="str">
        <f t="shared" si="17"/>
        <v>4</v>
      </c>
      <c r="I26">
        <f t="shared" si="15"/>
        <v>32</v>
      </c>
      <c r="J26">
        <f t="shared" si="8"/>
        <v>272</v>
      </c>
      <c r="K26">
        <f t="shared" si="5"/>
        <v>5276</v>
      </c>
      <c r="L26">
        <f t="shared" si="9"/>
        <v>1</v>
      </c>
      <c r="M26">
        <f t="shared" si="10"/>
        <v>27</v>
      </c>
      <c r="N26">
        <f t="shared" si="11"/>
        <v>56</v>
      </c>
      <c r="O26">
        <f t="shared" si="16"/>
        <v>1821</v>
      </c>
      <c r="P26">
        <f t="shared" si="12"/>
        <v>0</v>
      </c>
      <c r="Q26">
        <f t="shared" si="13"/>
        <v>30</v>
      </c>
      <c r="R26">
        <f t="shared" si="14"/>
        <v>21</v>
      </c>
    </row>
    <row r="27" spans="1:18" x14ac:dyDescent="0.25">
      <c r="A27" t="s">
        <v>24</v>
      </c>
      <c r="B27" t="b">
        <f t="shared" si="4"/>
        <v>0</v>
      </c>
      <c r="C27" t="str">
        <f t="shared" si="0"/>
        <v>2. Data Access in Spring</v>
      </c>
      <c r="D27" t="b">
        <f t="shared" si="1"/>
        <v>0</v>
      </c>
      <c r="E27">
        <f t="shared" si="2"/>
        <v>2</v>
      </c>
      <c r="F27" t="str">
        <f t="shared" si="3"/>
        <v/>
      </c>
      <c r="G27" t="str">
        <f t="shared" si="6"/>
        <v/>
      </c>
      <c r="H27" t="str">
        <f t="shared" si="17"/>
        <v/>
      </c>
      <c r="I27" t="str">
        <f t="shared" si="15"/>
        <v/>
      </c>
      <c r="J27">
        <f t="shared" si="8"/>
        <v>0</v>
      </c>
      <c r="K27">
        <f t="shared" si="5"/>
        <v>5004</v>
      </c>
      <c r="L27">
        <f t="shared" si="9"/>
        <v>1</v>
      </c>
      <c r="M27">
        <f t="shared" si="10"/>
        <v>23</v>
      </c>
      <c r="N27">
        <f t="shared" si="11"/>
        <v>24</v>
      </c>
      <c r="O27">
        <f t="shared" si="16"/>
        <v>1821</v>
      </c>
      <c r="P27">
        <f t="shared" si="12"/>
        <v>0</v>
      </c>
      <c r="Q27">
        <f t="shared" si="13"/>
        <v>30</v>
      </c>
      <c r="R27">
        <f t="shared" si="14"/>
        <v>21</v>
      </c>
    </row>
    <row r="28" spans="1:18" x14ac:dyDescent="0.25">
      <c r="A28" t="s">
        <v>26</v>
      </c>
      <c r="B28" t="b">
        <f t="shared" si="4"/>
        <v>0</v>
      </c>
      <c r="C28" t="str">
        <f t="shared" si="0"/>
        <v>2. Data Access in Spring</v>
      </c>
      <c r="D28" t="b">
        <f t="shared" si="1"/>
        <v>1</v>
      </c>
      <c r="E28">
        <f t="shared" si="2"/>
        <v>3</v>
      </c>
      <c r="F28" t="str">
        <f t="shared" si="3"/>
        <v>2. Data Access in Spring (3. Repositories with Spring Data )</v>
      </c>
      <c r="G28" t="str">
        <f t="shared" si="6"/>
        <v>6m 41s</v>
      </c>
      <c r="H28" t="str">
        <f t="shared" si="17"/>
        <v>6</v>
      </c>
      <c r="I28">
        <f t="shared" si="15"/>
        <v>41</v>
      </c>
      <c r="J28">
        <f t="shared" si="8"/>
        <v>401</v>
      </c>
      <c r="K28">
        <f t="shared" si="5"/>
        <v>5004</v>
      </c>
      <c r="L28">
        <f t="shared" si="9"/>
        <v>1</v>
      </c>
      <c r="M28">
        <f t="shared" si="10"/>
        <v>23</v>
      </c>
      <c r="N28">
        <f t="shared" si="11"/>
        <v>24</v>
      </c>
      <c r="O28">
        <f t="shared" si="16"/>
        <v>2222</v>
      </c>
      <c r="P28">
        <f t="shared" si="12"/>
        <v>0</v>
      </c>
      <c r="Q28">
        <f t="shared" si="13"/>
        <v>37</v>
      </c>
      <c r="R28">
        <f t="shared" si="14"/>
        <v>2</v>
      </c>
    </row>
    <row r="29" spans="1:18" x14ac:dyDescent="0.25">
      <c r="A29" t="s">
        <v>2</v>
      </c>
      <c r="B29" t="b">
        <f t="shared" si="4"/>
        <v>0</v>
      </c>
      <c r="C29" t="str">
        <f t="shared" si="0"/>
        <v>2. Data Access in Spring</v>
      </c>
      <c r="D29" t="b">
        <f t="shared" si="1"/>
        <v>0</v>
      </c>
      <c r="E29">
        <f t="shared" si="2"/>
        <v>3</v>
      </c>
      <c r="F29" t="str">
        <f t="shared" si="3"/>
        <v/>
      </c>
      <c r="G29" t="str">
        <f t="shared" si="6"/>
        <v/>
      </c>
      <c r="H29" t="str">
        <f t="shared" si="17"/>
        <v/>
      </c>
      <c r="I29" t="str">
        <f t="shared" si="15"/>
        <v/>
      </c>
      <c r="J29">
        <f t="shared" si="8"/>
        <v>0</v>
      </c>
      <c r="K29">
        <f t="shared" si="5"/>
        <v>4603</v>
      </c>
      <c r="L29">
        <f t="shared" si="9"/>
        <v>1</v>
      </c>
      <c r="M29">
        <f t="shared" si="10"/>
        <v>16</v>
      </c>
      <c r="N29">
        <f t="shared" si="11"/>
        <v>43</v>
      </c>
      <c r="O29">
        <f t="shared" si="16"/>
        <v>2222</v>
      </c>
      <c r="P29">
        <f t="shared" si="12"/>
        <v>0</v>
      </c>
      <c r="Q29">
        <f t="shared" si="13"/>
        <v>37</v>
      </c>
      <c r="R29">
        <f t="shared" si="14"/>
        <v>2</v>
      </c>
    </row>
    <row r="30" spans="1:18" x14ac:dyDescent="0.25">
      <c r="A30" t="s">
        <v>27</v>
      </c>
      <c r="B30" t="b">
        <f t="shared" si="4"/>
        <v>0</v>
      </c>
      <c r="C30" t="str">
        <f t="shared" si="0"/>
        <v>2. Data Access in Spring</v>
      </c>
      <c r="D30" t="b">
        <f t="shared" si="1"/>
        <v>1</v>
      </c>
      <c r="E30">
        <f t="shared" si="2"/>
        <v>4</v>
      </c>
      <c r="F30" t="str">
        <f t="shared" si="3"/>
        <v>2. Data Access in Spring (4. Using a remote database )</v>
      </c>
      <c r="G30" t="str">
        <f t="shared" si="6"/>
        <v>4m 35s</v>
      </c>
      <c r="H30" t="str">
        <f t="shared" si="17"/>
        <v>4</v>
      </c>
      <c r="I30">
        <f t="shared" si="15"/>
        <v>35</v>
      </c>
      <c r="J30">
        <f t="shared" si="8"/>
        <v>275</v>
      </c>
      <c r="K30">
        <f t="shared" si="5"/>
        <v>4603</v>
      </c>
      <c r="L30">
        <f t="shared" si="9"/>
        <v>1</v>
      </c>
      <c r="M30">
        <f t="shared" si="10"/>
        <v>16</v>
      </c>
      <c r="N30">
        <f t="shared" si="11"/>
        <v>43</v>
      </c>
      <c r="O30">
        <f t="shared" si="16"/>
        <v>2497</v>
      </c>
      <c r="P30">
        <f t="shared" si="12"/>
        <v>0</v>
      </c>
      <c r="Q30">
        <f t="shared" si="13"/>
        <v>41</v>
      </c>
      <c r="R30">
        <f t="shared" si="14"/>
        <v>37</v>
      </c>
    </row>
    <row r="31" spans="1:18" x14ac:dyDescent="0.25">
      <c r="A31" t="s">
        <v>28</v>
      </c>
      <c r="B31" t="b">
        <f t="shared" si="4"/>
        <v>0</v>
      </c>
      <c r="C31" t="str">
        <f t="shared" si="0"/>
        <v>2. Data Access in Spring</v>
      </c>
      <c r="D31" t="b">
        <f t="shared" si="1"/>
        <v>0</v>
      </c>
      <c r="E31">
        <f t="shared" si="2"/>
        <v>4</v>
      </c>
      <c r="F31" t="str">
        <f t="shared" si="3"/>
        <v/>
      </c>
      <c r="G31" t="str">
        <f t="shared" si="6"/>
        <v/>
      </c>
      <c r="H31" t="str">
        <f t="shared" si="17"/>
        <v/>
      </c>
      <c r="I31" t="str">
        <f t="shared" si="15"/>
        <v/>
      </c>
      <c r="J31">
        <f t="shared" si="8"/>
        <v>0</v>
      </c>
      <c r="K31">
        <f t="shared" si="5"/>
        <v>4328</v>
      </c>
      <c r="L31">
        <f t="shared" si="9"/>
        <v>1</v>
      </c>
      <c r="M31">
        <f t="shared" si="10"/>
        <v>12</v>
      </c>
      <c r="N31">
        <f t="shared" si="11"/>
        <v>8</v>
      </c>
      <c r="O31">
        <f t="shared" si="16"/>
        <v>2497</v>
      </c>
      <c r="P31">
        <f t="shared" si="12"/>
        <v>0</v>
      </c>
      <c r="Q31">
        <f t="shared" si="13"/>
        <v>41</v>
      </c>
      <c r="R31">
        <f t="shared" si="14"/>
        <v>37</v>
      </c>
    </row>
    <row r="32" spans="1:18" x14ac:dyDescent="0.25">
      <c r="A32" t="s">
        <v>29</v>
      </c>
      <c r="B32" t="b">
        <f t="shared" si="4"/>
        <v>0</v>
      </c>
      <c r="C32" t="str">
        <f t="shared" si="0"/>
        <v>2. Data Access in Spring</v>
      </c>
      <c r="D32" t="b">
        <f t="shared" si="1"/>
        <v>1</v>
      </c>
      <c r="E32">
        <f t="shared" si="2"/>
        <v>5</v>
      </c>
      <c r="F32" t="str">
        <f t="shared" si="3"/>
        <v>2. Data Access in Spring (5. Challange: Build an additional repository )</v>
      </c>
      <c r="G32" t="str">
        <f t="shared" si="6"/>
        <v>1m 10s</v>
      </c>
      <c r="H32" t="str">
        <f t="shared" si="17"/>
        <v>1</v>
      </c>
      <c r="I32">
        <f t="shared" si="15"/>
        <v>10</v>
      </c>
      <c r="J32">
        <f t="shared" si="8"/>
        <v>70</v>
      </c>
      <c r="K32">
        <f t="shared" si="5"/>
        <v>4328</v>
      </c>
      <c r="L32">
        <f t="shared" si="9"/>
        <v>1</v>
      </c>
      <c r="M32">
        <f t="shared" si="10"/>
        <v>12</v>
      </c>
      <c r="N32">
        <f t="shared" si="11"/>
        <v>8</v>
      </c>
      <c r="O32">
        <f t="shared" si="16"/>
        <v>2567</v>
      </c>
      <c r="P32">
        <f t="shared" si="12"/>
        <v>0</v>
      </c>
      <c r="Q32">
        <f t="shared" si="13"/>
        <v>42</v>
      </c>
      <c r="R32">
        <f t="shared" si="14"/>
        <v>47</v>
      </c>
    </row>
    <row r="33" spans="1:18" x14ac:dyDescent="0.25">
      <c r="A33" t="s">
        <v>30</v>
      </c>
      <c r="B33" t="b">
        <f t="shared" si="4"/>
        <v>0</v>
      </c>
      <c r="C33" t="str">
        <f t="shared" si="0"/>
        <v>2. Data Access in Spring</v>
      </c>
      <c r="D33" t="b">
        <f t="shared" si="1"/>
        <v>0</v>
      </c>
      <c r="E33">
        <f t="shared" si="2"/>
        <v>5</v>
      </c>
      <c r="F33" t="str">
        <f t="shared" si="3"/>
        <v/>
      </c>
      <c r="G33" t="str">
        <f t="shared" si="6"/>
        <v/>
      </c>
      <c r="H33" t="str">
        <f t="shared" si="17"/>
        <v/>
      </c>
      <c r="I33" t="str">
        <f t="shared" si="15"/>
        <v/>
      </c>
      <c r="J33">
        <f t="shared" si="8"/>
        <v>0</v>
      </c>
      <c r="K33">
        <f t="shared" si="5"/>
        <v>4258</v>
      </c>
      <c r="L33">
        <f t="shared" si="9"/>
        <v>1</v>
      </c>
      <c r="M33">
        <f t="shared" si="10"/>
        <v>10</v>
      </c>
      <c r="N33">
        <f t="shared" si="11"/>
        <v>58</v>
      </c>
      <c r="O33">
        <f t="shared" si="16"/>
        <v>2567</v>
      </c>
      <c r="P33">
        <f t="shared" si="12"/>
        <v>0</v>
      </c>
      <c r="Q33">
        <f t="shared" si="13"/>
        <v>42</v>
      </c>
      <c r="R33">
        <f t="shared" si="14"/>
        <v>47</v>
      </c>
    </row>
    <row r="34" spans="1:18" x14ac:dyDescent="0.25">
      <c r="A34" t="s">
        <v>31</v>
      </c>
      <c r="B34" t="b">
        <f t="shared" si="4"/>
        <v>0</v>
      </c>
      <c r="C34" t="str">
        <f t="shared" si="0"/>
        <v>2. Data Access in Spring</v>
      </c>
      <c r="D34" t="b">
        <f t="shared" si="1"/>
        <v>1</v>
      </c>
      <c r="E34">
        <f t="shared" si="2"/>
        <v>6</v>
      </c>
      <c r="F34" t="str">
        <f t="shared" si="3"/>
        <v>2. Data Access in Spring (6. Solution: Build an additional repository )</v>
      </c>
      <c r="G34" t="str">
        <f t="shared" si="6"/>
        <v>3m 5s</v>
      </c>
      <c r="H34" t="str">
        <f t="shared" si="17"/>
        <v>3</v>
      </c>
      <c r="I34">
        <f t="shared" si="15"/>
        <v>5</v>
      </c>
      <c r="J34">
        <f t="shared" si="8"/>
        <v>185</v>
      </c>
      <c r="K34">
        <f t="shared" si="5"/>
        <v>4258</v>
      </c>
      <c r="L34">
        <f t="shared" si="9"/>
        <v>1</v>
      </c>
      <c r="M34">
        <f t="shared" si="10"/>
        <v>10</v>
      </c>
      <c r="N34">
        <f t="shared" si="11"/>
        <v>58</v>
      </c>
      <c r="O34">
        <f t="shared" si="16"/>
        <v>2752</v>
      </c>
      <c r="P34">
        <f t="shared" si="12"/>
        <v>0</v>
      </c>
      <c r="Q34">
        <f t="shared" si="13"/>
        <v>45</v>
      </c>
      <c r="R34">
        <f t="shared" si="14"/>
        <v>52</v>
      </c>
    </row>
    <row r="35" spans="1:18" x14ac:dyDescent="0.25">
      <c r="A35" t="s">
        <v>32</v>
      </c>
      <c r="B35" t="b">
        <f t="shared" si="4"/>
        <v>0</v>
      </c>
      <c r="C35" t="str">
        <f t="shared" si="0"/>
        <v>2. Data Access in Spring</v>
      </c>
      <c r="D35" t="b">
        <f t="shared" si="1"/>
        <v>0</v>
      </c>
      <c r="E35">
        <f t="shared" si="2"/>
        <v>6</v>
      </c>
      <c r="F35" t="str">
        <f t="shared" si="3"/>
        <v/>
      </c>
      <c r="G35" t="str">
        <f t="shared" si="6"/>
        <v/>
      </c>
      <c r="H35" t="str">
        <f t="shared" si="17"/>
        <v/>
      </c>
      <c r="I35" t="str">
        <f t="shared" si="15"/>
        <v/>
      </c>
      <c r="J35">
        <f t="shared" si="8"/>
        <v>0</v>
      </c>
      <c r="K35">
        <f t="shared" si="5"/>
        <v>4073</v>
      </c>
      <c r="L35">
        <f t="shared" si="9"/>
        <v>1</v>
      </c>
      <c r="M35">
        <f t="shared" si="10"/>
        <v>7</v>
      </c>
      <c r="N35">
        <f t="shared" si="11"/>
        <v>53</v>
      </c>
      <c r="O35">
        <f t="shared" si="16"/>
        <v>2752</v>
      </c>
      <c r="P35">
        <f t="shared" si="12"/>
        <v>0</v>
      </c>
      <c r="Q35">
        <f t="shared" si="13"/>
        <v>45</v>
      </c>
      <c r="R35">
        <f t="shared" si="14"/>
        <v>52</v>
      </c>
    </row>
    <row r="36" spans="1:18" x14ac:dyDescent="0.25">
      <c r="A36" t="s">
        <v>21</v>
      </c>
      <c r="B36" t="b">
        <f t="shared" si="4"/>
        <v>0</v>
      </c>
      <c r="C36" t="str">
        <f t="shared" si="0"/>
        <v>2. Data Access in Spring</v>
      </c>
      <c r="D36" t="b">
        <f t="shared" si="1"/>
        <v>0</v>
      </c>
      <c r="E36">
        <f t="shared" si="2"/>
        <v>6</v>
      </c>
      <c r="F36" t="str">
        <f t="shared" si="3"/>
        <v/>
      </c>
      <c r="G36" t="str">
        <f t="shared" si="6"/>
        <v/>
      </c>
      <c r="H36" t="str">
        <f t="shared" si="17"/>
        <v/>
      </c>
      <c r="I36" t="str">
        <f t="shared" si="15"/>
        <v/>
      </c>
      <c r="J36">
        <f t="shared" si="8"/>
        <v>0</v>
      </c>
      <c r="K36">
        <f t="shared" si="5"/>
        <v>4073</v>
      </c>
      <c r="L36">
        <f t="shared" si="9"/>
        <v>1</v>
      </c>
      <c r="M36">
        <f t="shared" si="10"/>
        <v>7</v>
      </c>
      <c r="N36">
        <f t="shared" si="11"/>
        <v>53</v>
      </c>
      <c r="O36">
        <f t="shared" si="16"/>
        <v>2752</v>
      </c>
      <c r="P36">
        <f t="shared" si="12"/>
        <v>0</v>
      </c>
      <c r="Q36">
        <f t="shared" si="13"/>
        <v>45</v>
      </c>
      <c r="R36">
        <f t="shared" si="14"/>
        <v>52</v>
      </c>
    </row>
    <row r="37" spans="1:18" x14ac:dyDescent="0.25">
      <c r="A37" t="s">
        <v>33</v>
      </c>
      <c r="B37" t="b">
        <f t="shared" si="4"/>
        <v>0</v>
      </c>
      <c r="C37" t="str">
        <f t="shared" si="0"/>
        <v>2. Data Access in Spring</v>
      </c>
      <c r="D37" t="b">
        <f t="shared" si="1"/>
        <v>0</v>
      </c>
      <c r="E37">
        <f t="shared" si="2"/>
        <v>6</v>
      </c>
      <c r="F37" t="str">
        <f t="shared" si="3"/>
        <v/>
      </c>
      <c r="G37" t="str">
        <f t="shared" si="6"/>
        <v/>
      </c>
      <c r="H37" t="str">
        <f t="shared" si="17"/>
        <v/>
      </c>
      <c r="I37" t="str">
        <f t="shared" si="15"/>
        <v/>
      </c>
      <c r="J37">
        <f t="shared" si="8"/>
        <v>0</v>
      </c>
      <c r="K37">
        <f t="shared" si="5"/>
        <v>4073</v>
      </c>
      <c r="L37">
        <f t="shared" si="9"/>
        <v>1</v>
      </c>
      <c r="M37">
        <f t="shared" si="10"/>
        <v>7</v>
      </c>
      <c r="N37">
        <f t="shared" si="11"/>
        <v>53</v>
      </c>
      <c r="O37">
        <f t="shared" si="16"/>
        <v>2752</v>
      </c>
      <c r="P37">
        <f t="shared" si="12"/>
        <v>0</v>
      </c>
      <c r="Q37">
        <f t="shared" si="13"/>
        <v>45</v>
      </c>
      <c r="R37">
        <f t="shared" si="14"/>
        <v>52</v>
      </c>
    </row>
    <row r="38" spans="1:18" x14ac:dyDescent="0.25">
      <c r="A38" t="s">
        <v>67</v>
      </c>
      <c r="B38" t="b">
        <f t="shared" si="4"/>
        <v>1</v>
      </c>
      <c r="C38" t="str">
        <f t="shared" si="0"/>
        <v>3. Service Tier</v>
      </c>
      <c r="D38" t="b">
        <f t="shared" si="1"/>
        <v>0</v>
      </c>
      <c r="E38">
        <f t="shared" si="2"/>
        <v>0</v>
      </c>
      <c r="F38" t="str">
        <f t="shared" si="3"/>
        <v/>
      </c>
      <c r="G38" t="str">
        <f t="shared" si="6"/>
        <v/>
      </c>
      <c r="H38" t="str">
        <f t="shared" si="17"/>
        <v/>
      </c>
      <c r="I38" t="str">
        <f t="shared" si="15"/>
        <v/>
      </c>
      <c r="J38">
        <f t="shared" si="8"/>
        <v>0</v>
      </c>
      <c r="K38">
        <f t="shared" si="5"/>
        <v>4073</v>
      </c>
      <c r="L38">
        <f t="shared" si="9"/>
        <v>1</v>
      </c>
      <c r="M38">
        <f t="shared" si="10"/>
        <v>7</v>
      </c>
      <c r="N38">
        <f t="shared" si="11"/>
        <v>53</v>
      </c>
      <c r="O38">
        <f t="shared" si="16"/>
        <v>2752</v>
      </c>
      <c r="P38">
        <f t="shared" si="12"/>
        <v>0</v>
      </c>
      <c r="Q38">
        <f t="shared" si="13"/>
        <v>45</v>
      </c>
      <c r="R38">
        <f t="shared" si="14"/>
        <v>52</v>
      </c>
    </row>
    <row r="39" spans="1:18" x14ac:dyDescent="0.25">
      <c r="A39" t="s">
        <v>34</v>
      </c>
      <c r="B39" t="b">
        <f t="shared" si="4"/>
        <v>0</v>
      </c>
      <c r="C39" t="str">
        <f t="shared" si="0"/>
        <v>3. Service Tier</v>
      </c>
      <c r="D39" t="b">
        <f t="shared" si="1"/>
        <v>1</v>
      </c>
      <c r="E39">
        <f t="shared" si="2"/>
        <v>1</v>
      </c>
      <c r="F39" t="str">
        <f t="shared" si="3"/>
        <v>3. Service Tier (1. Utilizing IoC )</v>
      </c>
      <c r="G39" t="str">
        <f t="shared" si="6"/>
        <v>3m 1s</v>
      </c>
      <c r="H39" t="str">
        <f t="shared" si="17"/>
        <v>3</v>
      </c>
      <c r="I39">
        <f t="shared" si="15"/>
        <v>1</v>
      </c>
      <c r="J39">
        <f t="shared" si="8"/>
        <v>181</v>
      </c>
      <c r="K39">
        <f t="shared" si="5"/>
        <v>4073</v>
      </c>
      <c r="L39">
        <f t="shared" si="9"/>
        <v>1</v>
      </c>
      <c r="M39">
        <f t="shared" si="10"/>
        <v>7</v>
      </c>
      <c r="N39">
        <f t="shared" si="11"/>
        <v>53</v>
      </c>
      <c r="O39">
        <f t="shared" si="16"/>
        <v>2933</v>
      </c>
      <c r="P39">
        <f t="shared" si="12"/>
        <v>0</v>
      </c>
      <c r="Q39">
        <f t="shared" si="13"/>
        <v>48</v>
      </c>
      <c r="R39">
        <f t="shared" si="14"/>
        <v>53</v>
      </c>
    </row>
    <row r="40" spans="1:18" x14ac:dyDescent="0.25">
      <c r="A40" t="s">
        <v>1</v>
      </c>
      <c r="B40" t="b">
        <f t="shared" si="4"/>
        <v>0</v>
      </c>
      <c r="C40" t="str">
        <f t="shared" si="0"/>
        <v>3. Service Tier</v>
      </c>
      <c r="D40" t="b">
        <f t="shared" si="1"/>
        <v>0</v>
      </c>
      <c r="E40">
        <f t="shared" si="2"/>
        <v>1</v>
      </c>
      <c r="F40" t="str">
        <f t="shared" si="3"/>
        <v/>
      </c>
      <c r="G40" t="str">
        <f t="shared" si="6"/>
        <v/>
      </c>
      <c r="H40" t="str">
        <f t="shared" si="17"/>
        <v/>
      </c>
      <c r="I40" t="str">
        <f t="shared" si="15"/>
        <v/>
      </c>
      <c r="J40">
        <f t="shared" si="8"/>
        <v>0</v>
      </c>
      <c r="K40">
        <f t="shared" si="5"/>
        <v>3892</v>
      </c>
      <c r="L40">
        <f t="shared" si="9"/>
        <v>1</v>
      </c>
      <c r="M40">
        <f t="shared" si="10"/>
        <v>4</v>
      </c>
      <c r="N40">
        <f t="shared" si="11"/>
        <v>52</v>
      </c>
      <c r="O40">
        <f t="shared" si="16"/>
        <v>2933</v>
      </c>
      <c r="P40">
        <f t="shared" si="12"/>
        <v>0</v>
      </c>
      <c r="Q40">
        <f t="shared" si="13"/>
        <v>48</v>
      </c>
      <c r="R40">
        <f t="shared" si="14"/>
        <v>53</v>
      </c>
    </row>
    <row r="41" spans="1:18" x14ac:dyDescent="0.25">
      <c r="A41" t="s">
        <v>35</v>
      </c>
      <c r="B41" t="b">
        <f t="shared" si="4"/>
        <v>0</v>
      </c>
      <c r="C41" t="str">
        <f t="shared" si="0"/>
        <v>3. Service Tier</v>
      </c>
      <c r="D41" t="b">
        <f t="shared" si="1"/>
        <v>1</v>
      </c>
      <c r="E41">
        <f t="shared" si="2"/>
        <v>2</v>
      </c>
      <c r="F41" t="str">
        <f t="shared" si="3"/>
        <v>3. Service Tier (2. Build a service abstraction )</v>
      </c>
      <c r="G41" t="str">
        <f t="shared" si="6"/>
        <v>3m 41s</v>
      </c>
      <c r="H41" t="str">
        <f t="shared" si="17"/>
        <v>3</v>
      </c>
      <c r="I41">
        <f t="shared" si="15"/>
        <v>41</v>
      </c>
      <c r="J41">
        <f t="shared" si="8"/>
        <v>221</v>
      </c>
      <c r="K41">
        <f t="shared" si="5"/>
        <v>3892</v>
      </c>
      <c r="L41">
        <f t="shared" si="9"/>
        <v>1</v>
      </c>
      <c r="M41">
        <f t="shared" si="10"/>
        <v>4</v>
      </c>
      <c r="N41">
        <f t="shared" si="11"/>
        <v>52</v>
      </c>
      <c r="O41">
        <f t="shared" si="16"/>
        <v>3154</v>
      </c>
      <c r="P41">
        <f t="shared" si="12"/>
        <v>0</v>
      </c>
      <c r="Q41">
        <f t="shared" si="13"/>
        <v>52</v>
      </c>
      <c r="R41">
        <f t="shared" si="14"/>
        <v>34</v>
      </c>
    </row>
    <row r="42" spans="1:18" x14ac:dyDescent="0.25">
      <c r="A42" t="s">
        <v>36</v>
      </c>
      <c r="B42" t="b">
        <f t="shared" si="4"/>
        <v>0</v>
      </c>
      <c r="C42" t="str">
        <f t="shared" si="0"/>
        <v>3. Service Tier</v>
      </c>
      <c r="D42" t="b">
        <f t="shared" si="1"/>
        <v>0</v>
      </c>
      <c r="E42">
        <f t="shared" si="2"/>
        <v>2</v>
      </c>
      <c r="F42" t="str">
        <f t="shared" si="3"/>
        <v/>
      </c>
      <c r="G42" t="str">
        <f t="shared" si="6"/>
        <v/>
      </c>
      <c r="H42" t="str">
        <f t="shared" si="17"/>
        <v/>
      </c>
      <c r="I42" t="str">
        <f t="shared" si="15"/>
        <v/>
      </c>
      <c r="J42">
        <f t="shared" si="8"/>
        <v>0</v>
      </c>
      <c r="K42">
        <f t="shared" si="5"/>
        <v>3671</v>
      </c>
      <c r="L42">
        <f t="shared" si="9"/>
        <v>1</v>
      </c>
      <c r="M42">
        <f t="shared" si="10"/>
        <v>1</v>
      </c>
      <c r="N42">
        <f t="shared" si="11"/>
        <v>11</v>
      </c>
      <c r="O42">
        <f t="shared" si="16"/>
        <v>3154</v>
      </c>
      <c r="P42">
        <f t="shared" si="12"/>
        <v>0</v>
      </c>
      <c r="Q42">
        <f t="shared" si="13"/>
        <v>52</v>
      </c>
      <c r="R42">
        <f t="shared" si="14"/>
        <v>34</v>
      </c>
    </row>
    <row r="43" spans="1:18" x14ac:dyDescent="0.25">
      <c r="A43" t="s">
        <v>37</v>
      </c>
      <c r="B43" t="b">
        <f t="shared" si="4"/>
        <v>0</v>
      </c>
      <c r="C43" t="str">
        <f t="shared" si="0"/>
        <v>3. Service Tier</v>
      </c>
      <c r="D43" t="b">
        <f t="shared" si="1"/>
        <v>1</v>
      </c>
      <c r="E43">
        <f t="shared" si="2"/>
        <v>3</v>
      </c>
      <c r="F43" t="str">
        <f t="shared" si="3"/>
        <v>3. Service Tier (3. Develop a service object with Spring )</v>
      </c>
      <c r="G43" t="str">
        <f t="shared" si="6"/>
        <v>8m 46s</v>
      </c>
      <c r="H43" t="str">
        <f t="shared" si="17"/>
        <v>8</v>
      </c>
      <c r="I43">
        <f t="shared" si="15"/>
        <v>46</v>
      </c>
      <c r="J43">
        <f t="shared" si="8"/>
        <v>526</v>
      </c>
      <c r="K43">
        <f t="shared" si="5"/>
        <v>3671</v>
      </c>
      <c r="L43">
        <f t="shared" si="9"/>
        <v>1</v>
      </c>
      <c r="M43">
        <f t="shared" si="10"/>
        <v>1</v>
      </c>
      <c r="N43">
        <f t="shared" si="11"/>
        <v>11</v>
      </c>
      <c r="O43">
        <f t="shared" si="16"/>
        <v>3680</v>
      </c>
      <c r="P43">
        <f t="shared" si="12"/>
        <v>1</v>
      </c>
      <c r="Q43">
        <f t="shared" si="13"/>
        <v>1</v>
      </c>
      <c r="R43">
        <f t="shared" si="14"/>
        <v>20</v>
      </c>
    </row>
    <row r="44" spans="1:18" x14ac:dyDescent="0.25">
      <c r="A44" t="s">
        <v>38</v>
      </c>
      <c r="B44" t="b">
        <f t="shared" si="4"/>
        <v>0</v>
      </c>
      <c r="C44" t="str">
        <f t="shared" si="0"/>
        <v>3. Service Tier</v>
      </c>
      <c r="D44" t="b">
        <f t="shared" si="1"/>
        <v>0</v>
      </c>
      <c r="E44">
        <f t="shared" si="2"/>
        <v>3</v>
      </c>
      <c r="F44" t="str">
        <f t="shared" si="3"/>
        <v/>
      </c>
      <c r="G44" t="str">
        <f t="shared" si="6"/>
        <v/>
      </c>
      <c r="H44" t="str">
        <f t="shared" si="17"/>
        <v/>
      </c>
      <c r="I44" t="str">
        <f t="shared" si="15"/>
        <v/>
      </c>
      <c r="J44">
        <f t="shared" si="8"/>
        <v>0</v>
      </c>
      <c r="K44">
        <f t="shared" si="5"/>
        <v>3145</v>
      </c>
      <c r="L44">
        <f t="shared" si="9"/>
        <v>0</v>
      </c>
      <c r="M44">
        <f t="shared" si="10"/>
        <v>52</v>
      </c>
      <c r="N44">
        <f t="shared" si="11"/>
        <v>25</v>
      </c>
      <c r="O44">
        <f t="shared" si="16"/>
        <v>3680</v>
      </c>
      <c r="P44">
        <f t="shared" si="12"/>
        <v>1</v>
      </c>
      <c r="Q44">
        <f t="shared" si="13"/>
        <v>1</v>
      </c>
      <c r="R44">
        <f t="shared" si="14"/>
        <v>20</v>
      </c>
    </row>
    <row r="45" spans="1:18" x14ac:dyDescent="0.25">
      <c r="A45" t="s">
        <v>21</v>
      </c>
      <c r="B45" t="b">
        <f t="shared" si="4"/>
        <v>0</v>
      </c>
      <c r="C45" t="str">
        <f t="shared" si="0"/>
        <v>3. Service Tier</v>
      </c>
      <c r="D45" t="b">
        <f t="shared" si="1"/>
        <v>0</v>
      </c>
      <c r="E45">
        <f t="shared" si="2"/>
        <v>3</v>
      </c>
      <c r="F45" t="str">
        <f t="shared" si="3"/>
        <v/>
      </c>
      <c r="G45" t="str">
        <f t="shared" si="6"/>
        <v/>
      </c>
      <c r="H45" t="str">
        <f t="shared" si="17"/>
        <v/>
      </c>
      <c r="I45" t="str">
        <f t="shared" si="15"/>
        <v/>
      </c>
      <c r="J45">
        <f t="shared" si="8"/>
        <v>0</v>
      </c>
      <c r="K45">
        <f t="shared" si="5"/>
        <v>3145</v>
      </c>
      <c r="L45">
        <f t="shared" si="9"/>
        <v>0</v>
      </c>
      <c r="M45">
        <f t="shared" si="10"/>
        <v>52</v>
      </c>
      <c r="N45">
        <f t="shared" si="11"/>
        <v>25</v>
      </c>
      <c r="O45">
        <f t="shared" si="16"/>
        <v>3680</v>
      </c>
      <c r="P45">
        <f t="shared" si="12"/>
        <v>1</v>
      </c>
      <c r="Q45">
        <f t="shared" si="13"/>
        <v>1</v>
      </c>
      <c r="R45">
        <f t="shared" si="14"/>
        <v>20</v>
      </c>
    </row>
    <row r="46" spans="1:18" x14ac:dyDescent="0.25">
      <c r="A46" t="s">
        <v>33</v>
      </c>
      <c r="B46" t="b">
        <f t="shared" si="4"/>
        <v>0</v>
      </c>
      <c r="C46" t="str">
        <f t="shared" si="0"/>
        <v>3. Service Tier</v>
      </c>
      <c r="D46" t="b">
        <f t="shared" si="1"/>
        <v>0</v>
      </c>
      <c r="E46">
        <f t="shared" si="2"/>
        <v>3</v>
      </c>
      <c r="F46" t="str">
        <f t="shared" si="3"/>
        <v/>
      </c>
      <c r="G46" t="str">
        <f t="shared" si="6"/>
        <v/>
      </c>
      <c r="H46" t="str">
        <f t="shared" si="17"/>
        <v/>
      </c>
      <c r="I46" t="str">
        <f t="shared" si="15"/>
        <v/>
      </c>
      <c r="J46">
        <f t="shared" si="8"/>
        <v>0</v>
      </c>
      <c r="K46">
        <f t="shared" si="5"/>
        <v>3145</v>
      </c>
      <c r="L46">
        <f t="shared" si="9"/>
        <v>0</v>
      </c>
      <c r="M46">
        <f t="shared" si="10"/>
        <v>52</v>
      </c>
      <c r="N46">
        <f t="shared" si="11"/>
        <v>25</v>
      </c>
      <c r="O46">
        <f t="shared" si="16"/>
        <v>3680</v>
      </c>
      <c r="P46">
        <f t="shared" si="12"/>
        <v>1</v>
      </c>
      <c r="Q46">
        <f t="shared" si="13"/>
        <v>1</v>
      </c>
      <c r="R46">
        <f t="shared" si="14"/>
        <v>20</v>
      </c>
    </row>
    <row r="47" spans="1:18" x14ac:dyDescent="0.25">
      <c r="A47" t="s">
        <v>68</v>
      </c>
      <c r="B47" t="b">
        <f t="shared" si="4"/>
        <v>1</v>
      </c>
      <c r="C47" t="str">
        <f t="shared" si="0"/>
        <v>4. Web Pages with Spring</v>
      </c>
      <c r="D47" t="b">
        <f t="shared" si="1"/>
        <v>0</v>
      </c>
      <c r="E47">
        <f t="shared" si="2"/>
        <v>0</v>
      </c>
      <c r="F47" t="str">
        <f t="shared" si="3"/>
        <v/>
      </c>
      <c r="G47" t="str">
        <f t="shared" si="6"/>
        <v/>
      </c>
      <c r="H47" t="str">
        <f t="shared" si="17"/>
        <v/>
      </c>
      <c r="I47" t="str">
        <f t="shared" si="15"/>
        <v/>
      </c>
      <c r="J47">
        <f t="shared" si="8"/>
        <v>0</v>
      </c>
      <c r="K47">
        <f t="shared" si="5"/>
        <v>3145</v>
      </c>
      <c r="L47">
        <f t="shared" si="9"/>
        <v>0</v>
      </c>
      <c r="M47">
        <f t="shared" si="10"/>
        <v>52</v>
      </c>
      <c r="N47">
        <f t="shared" si="11"/>
        <v>25</v>
      </c>
      <c r="O47">
        <f t="shared" si="16"/>
        <v>3680</v>
      </c>
      <c r="P47">
        <f t="shared" si="12"/>
        <v>1</v>
      </c>
      <c r="Q47">
        <f t="shared" si="13"/>
        <v>1</v>
      </c>
      <c r="R47">
        <f t="shared" si="14"/>
        <v>20</v>
      </c>
    </row>
    <row r="48" spans="1:18" x14ac:dyDescent="0.25">
      <c r="A48" t="s">
        <v>39</v>
      </c>
      <c r="B48" t="b">
        <f t="shared" si="4"/>
        <v>0</v>
      </c>
      <c r="C48" t="str">
        <f t="shared" si="0"/>
        <v>4. Web Pages with Spring</v>
      </c>
      <c r="D48" t="b">
        <f t="shared" si="1"/>
        <v>1</v>
      </c>
      <c r="E48">
        <f t="shared" si="2"/>
        <v>1</v>
      </c>
      <c r="F48" t="str">
        <f t="shared" si="3"/>
        <v>4. Web Pages with Spring (1. Introduction to the controller )</v>
      </c>
      <c r="G48" t="str">
        <f t="shared" si="6"/>
        <v>5m 22s</v>
      </c>
      <c r="H48" t="str">
        <f t="shared" si="17"/>
        <v>5</v>
      </c>
      <c r="I48">
        <f t="shared" si="15"/>
        <v>22</v>
      </c>
      <c r="J48">
        <f t="shared" si="8"/>
        <v>322</v>
      </c>
      <c r="K48">
        <f t="shared" si="5"/>
        <v>3145</v>
      </c>
      <c r="L48">
        <f t="shared" si="9"/>
        <v>0</v>
      </c>
      <c r="M48">
        <f t="shared" si="10"/>
        <v>52</v>
      </c>
      <c r="N48">
        <f t="shared" si="11"/>
        <v>25</v>
      </c>
      <c r="O48">
        <f t="shared" si="16"/>
        <v>4002</v>
      </c>
      <c r="P48">
        <f t="shared" si="12"/>
        <v>1</v>
      </c>
      <c r="Q48">
        <f t="shared" si="13"/>
        <v>6</v>
      </c>
      <c r="R48">
        <f t="shared" si="14"/>
        <v>42</v>
      </c>
    </row>
    <row r="49" spans="1:18" x14ac:dyDescent="0.25">
      <c r="A49" t="s">
        <v>40</v>
      </c>
      <c r="B49" t="b">
        <f t="shared" si="4"/>
        <v>0</v>
      </c>
      <c r="C49" t="str">
        <f t="shared" si="0"/>
        <v>4. Web Pages with Spring</v>
      </c>
      <c r="D49" t="b">
        <f t="shared" si="1"/>
        <v>0</v>
      </c>
      <c r="E49">
        <f t="shared" si="2"/>
        <v>1</v>
      </c>
      <c r="F49" t="str">
        <f t="shared" si="3"/>
        <v/>
      </c>
      <c r="G49" t="str">
        <f t="shared" si="6"/>
        <v/>
      </c>
      <c r="H49" t="str">
        <f t="shared" si="17"/>
        <v/>
      </c>
      <c r="I49" t="str">
        <f t="shared" si="15"/>
        <v/>
      </c>
      <c r="J49">
        <f t="shared" si="8"/>
        <v>0</v>
      </c>
      <c r="K49">
        <f t="shared" si="5"/>
        <v>2823</v>
      </c>
      <c r="L49">
        <f t="shared" si="9"/>
        <v>0</v>
      </c>
      <c r="M49">
        <f t="shared" si="10"/>
        <v>47</v>
      </c>
      <c r="N49">
        <f t="shared" si="11"/>
        <v>3</v>
      </c>
      <c r="O49">
        <f t="shared" si="16"/>
        <v>4002</v>
      </c>
      <c r="P49">
        <f t="shared" si="12"/>
        <v>1</v>
      </c>
      <c r="Q49">
        <f t="shared" si="13"/>
        <v>6</v>
      </c>
      <c r="R49">
        <f t="shared" si="14"/>
        <v>42</v>
      </c>
    </row>
    <row r="50" spans="1:18" x14ac:dyDescent="0.25">
      <c r="A50" t="s">
        <v>41</v>
      </c>
      <c r="B50" t="b">
        <f t="shared" si="4"/>
        <v>0</v>
      </c>
      <c r="C50" t="str">
        <f t="shared" si="0"/>
        <v>4. Web Pages with Spring</v>
      </c>
      <c r="D50" t="b">
        <f t="shared" si="1"/>
        <v>1</v>
      </c>
      <c r="E50">
        <f t="shared" si="2"/>
        <v>2</v>
      </c>
      <c r="F50" t="str">
        <f t="shared" si="3"/>
        <v>4. Web Pages with Spring (2. Build your first controller )</v>
      </c>
      <c r="G50" t="str">
        <f t="shared" si="6"/>
        <v>5m 12s</v>
      </c>
      <c r="H50" t="str">
        <f t="shared" si="17"/>
        <v>5</v>
      </c>
      <c r="I50">
        <f t="shared" si="15"/>
        <v>12</v>
      </c>
      <c r="J50">
        <f t="shared" si="8"/>
        <v>312</v>
      </c>
      <c r="K50">
        <f t="shared" si="5"/>
        <v>2823</v>
      </c>
      <c r="L50">
        <f t="shared" si="9"/>
        <v>0</v>
      </c>
      <c r="M50">
        <f t="shared" si="10"/>
        <v>47</v>
      </c>
      <c r="N50">
        <f t="shared" si="11"/>
        <v>3</v>
      </c>
      <c r="O50">
        <f t="shared" si="16"/>
        <v>4314</v>
      </c>
      <c r="P50">
        <f t="shared" si="12"/>
        <v>1</v>
      </c>
      <c r="Q50">
        <f t="shared" si="13"/>
        <v>11</v>
      </c>
      <c r="R50">
        <f t="shared" si="14"/>
        <v>54</v>
      </c>
    </row>
    <row r="51" spans="1:18" x14ac:dyDescent="0.25">
      <c r="A51" t="s">
        <v>42</v>
      </c>
      <c r="B51" t="b">
        <f t="shared" si="4"/>
        <v>0</v>
      </c>
      <c r="C51" t="str">
        <f t="shared" si="0"/>
        <v>4. Web Pages with Spring</v>
      </c>
      <c r="D51" t="b">
        <f t="shared" si="1"/>
        <v>0</v>
      </c>
      <c r="E51">
        <f t="shared" si="2"/>
        <v>2</v>
      </c>
      <c r="F51" t="str">
        <f t="shared" si="3"/>
        <v/>
      </c>
      <c r="G51" t="str">
        <f t="shared" si="6"/>
        <v/>
      </c>
      <c r="H51" t="str">
        <f t="shared" si="17"/>
        <v/>
      </c>
      <c r="I51" t="str">
        <f t="shared" si="15"/>
        <v/>
      </c>
      <c r="J51">
        <f t="shared" si="8"/>
        <v>0</v>
      </c>
      <c r="K51">
        <f t="shared" si="5"/>
        <v>2511</v>
      </c>
      <c r="L51">
        <f t="shared" si="9"/>
        <v>0</v>
      </c>
      <c r="M51">
        <f t="shared" si="10"/>
        <v>41</v>
      </c>
      <c r="N51">
        <f t="shared" si="11"/>
        <v>51</v>
      </c>
      <c r="O51">
        <f t="shared" si="16"/>
        <v>4314</v>
      </c>
      <c r="P51">
        <f t="shared" si="12"/>
        <v>1</v>
      </c>
      <c r="Q51">
        <f t="shared" si="13"/>
        <v>11</v>
      </c>
      <c r="R51">
        <f t="shared" si="14"/>
        <v>54</v>
      </c>
    </row>
    <row r="52" spans="1:18" x14ac:dyDescent="0.25">
      <c r="A52" t="s">
        <v>43</v>
      </c>
      <c r="B52" t="b">
        <f t="shared" si="4"/>
        <v>0</v>
      </c>
      <c r="C52" t="str">
        <f t="shared" si="0"/>
        <v>4. Web Pages with Spring</v>
      </c>
      <c r="D52" t="b">
        <f t="shared" si="1"/>
        <v>1</v>
      </c>
      <c r="E52">
        <f t="shared" si="2"/>
        <v>3</v>
      </c>
      <c r="F52" t="str">
        <f t="shared" si="3"/>
        <v>4. Web Pages with Spring (3. Thymeleaf as a rendering engine )</v>
      </c>
      <c r="G52" t="str">
        <f t="shared" si="6"/>
        <v>6m 41s</v>
      </c>
      <c r="H52" t="str">
        <f t="shared" si="17"/>
        <v>6</v>
      </c>
      <c r="I52">
        <f t="shared" si="15"/>
        <v>41</v>
      </c>
      <c r="J52">
        <f t="shared" si="8"/>
        <v>401</v>
      </c>
      <c r="K52">
        <f t="shared" si="5"/>
        <v>2511</v>
      </c>
      <c r="L52">
        <f t="shared" si="9"/>
        <v>0</v>
      </c>
      <c r="M52">
        <f t="shared" si="10"/>
        <v>41</v>
      </c>
      <c r="N52">
        <f t="shared" si="11"/>
        <v>51</v>
      </c>
      <c r="O52">
        <f t="shared" si="16"/>
        <v>4715</v>
      </c>
      <c r="P52">
        <f t="shared" si="12"/>
        <v>1</v>
      </c>
      <c r="Q52">
        <f t="shared" si="13"/>
        <v>18</v>
      </c>
      <c r="R52">
        <f t="shared" si="14"/>
        <v>35</v>
      </c>
    </row>
    <row r="53" spans="1:18" x14ac:dyDescent="0.25">
      <c r="A53" t="s">
        <v>2</v>
      </c>
      <c r="B53" t="b">
        <f t="shared" si="4"/>
        <v>0</v>
      </c>
      <c r="C53" t="str">
        <f t="shared" si="0"/>
        <v>4. Web Pages with Spring</v>
      </c>
      <c r="D53" t="b">
        <f t="shared" si="1"/>
        <v>0</v>
      </c>
      <c r="E53">
        <f t="shared" si="2"/>
        <v>3</v>
      </c>
      <c r="F53" t="str">
        <f t="shared" si="3"/>
        <v/>
      </c>
      <c r="G53" t="str">
        <f t="shared" si="6"/>
        <v/>
      </c>
      <c r="H53" t="str">
        <f t="shared" si="17"/>
        <v/>
      </c>
      <c r="I53" t="str">
        <f t="shared" si="15"/>
        <v/>
      </c>
      <c r="J53">
        <f t="shared" si="8"/>
        <v>0</v>
      </c>
      <c r="K53">
        <f t="shared" si="5"/>
        <v>2110</v>
      </c>
      <c r="L53">
        <f t="shared" si="9"/>
        <v>0</v>
      </c>
      <c r="M53">
        <f t="shared" si="10"/>
        <v>35</v>
      </c>
      <c r="N53">
        <f t="shared" si="11"/>
        <v>10</v>
      </c>
      <c r="O53">
        <f t="shared" si="16"/>
        <v>4715</v>
      </c>
      <c r="P53">
        <f t="shared" si="12"/>
        <v>1</v>
      </c>
      <c r="Q53">
        <f t="shared" si="13"/>
        <v>18</v>
      </c>
      <c r="R53">
        <f t="shared" si="14"/>
        <v>35</v>
      </c>
    </row>
    <row r="54" spans="1:18" x14ac:dyDescent="0.25">
      <c r="A54" t="s">
        <v>44</v>
      </c>
      <c r="B54" t="b">
        <f t="shared" si="4"/>
        <v>0</v>
      </c>
      <c r="C54" t="str">
        <f t="shared" si="0"/>
        <v>4. Web Pages with Spring</v>
      </c>
      <c r="D54" t="b">
        <f t="shared" si="1"/>
        <v>1</v>
      </c>
      <c r="E54">
        <f t="shared" si="2"/>
        <v>4</v>
      </c>
      <c r="F54" t="str">
        <f t="shared" si="3"/>
        <v>4. Web Pages with Spring (4. Challenge: Create a web page )</v>
      </c>
      <c r="G54" t="str">
        <f t="shared" si="6"/>
        <v>1m 7s</v>
      </c>
      <c r="H54" t="str">
        <f t="shared" si="17"/>
        <v>1</v>
      </c>
      <c r="I54">
        <f t="shared" si="15"/>
        <v>7</v>
      </c>
      <c r="J54">
        <f t="shared" si="8"/>
        <v>67</v>
      </c>
      <c r="K54">
        <f t="shared" si="5"/>
        <v>2110</v>
      </c>
      <c r="L54">
        <f t="shared" si="9"/>
        <v>0</v>
      </c>
      <c r="M54">
        <f t="shared" si="10"/>
        <v>35</v>
      </c>
      <c r="N54">
        <f t="shared" si="11"/>
        <v>10</v>
      </c>
      <c r="O54">
        <f t="shared" si="16"/>
        <v>4782</v>
      </c>
      <c r="P54">
        <f t="shared" si="12"/>
        <v>1</v>
      </c>
      <c r="Q54">
        <f t="shared" si="13"/>
        <v>19</v>
      </c>
      <c r="R54">
        <f t="shared" si="14"/>
        <v>42</v>
      </c>
    </row>
    <row r="55" spans="1:18" x14ac:dyDescent="0.25">
      <c r="A55" t="s">
        <v>45</v>
      </c>
      <c r="B55" t="b">
        <f t="shared" si="4"/>
        <v>0</v>
      </c>
      <c r="C55" t="str">
        <f t="shared" si="0"/>
        <v>4. Web Pages with Spring</v>
      </c>
      <c r="D55" t="b">
        <f t="shared" si="1"/>
        <v>0</v>
      </c>
      <c r="E55">
        <f t="shared" si="2"/>
        <v>4</v>
      </c>
      <c r="F55" t="str">
        <f t="shared" si="3"/>
        <v/>
      </c>
      <c r="G55" t="str">
        <f t="shared" si="6"/>
        <v/>
      </c>
      <c r="H55" t="str">
        <f t="shared" si="17"/>
        <v/>
      </c>
      <c r="I55" t="str">
        <f t="shared" si="15"/>
        <v/>
      </c>
      <c r="J55">
        <f t="shared" si="8"/>
        <v>0</v>
      </c>
      <c r="K55">
        <f t="shared" si="5"/>
        <v>2043</v>
      </c>
      <c r="L55">
        <f t="shared" si="9"/>
        <v>0</v>
      </c>
      <c r="M55">
        <f t="shared" si="10"/>
        <v>34</v>
      </c>
      <c r="N55">
        <f t="shared" si="11"/>
        <v>3</v>
      </c>
      <c r="O55">
        <f t="shared" si="16"/>
        <v>4782</v>
      </c>
      <c r="P55">
        <f t="shared" si="12"/>
        <v>1</v>
      </c>
      <c r="Q55">
        <f t="shared" si="13"/>
        <v>19</v>
      </c>
      <c r="R55">
        <f t="shared" si="14"/>
        <v>42</v>
      </c>
    </row>
    <row r="56" spans="1:18" x14ac:dyDescent="0.25">
      <c r="A56" t="s">
        <v>46</v>
      </c>
      <c r="B56" t="b">
        <f t="shared" si="4"/>
        <v>0</v>
      </c>
      <c r="C56" t="str">
        <f t="shared" si="0"/>
        <v>4. Web Pages with Spring</v>
      </c>
      <c r="D56" t="b">
        <f t="shared" si="1"/>
        <v>1</v>
      </c>
      <c r="E56">
        <f t="shared" si="2"/>
        <v>5</v>
      </c>
      <c r="F56" t="str">
        <f t="shared" si="3"/>
        <v>4. Web Pages with Spring (5. Solution: Create a web page )</v>
      </c>
      <c r="G56" t="str">
        <f t="shared" si="6"/>
        <v>2m 19s</v>
      </c>
      <c r="H56" t="str">
        <f t="shared" si="17"/>
        <v>2</v>
      </c>
      <c r="I56">
        <f t="shared" si="15"/>
        <v>19</v>
      </c>
      <c r="J56">
        <f t="shared" si="8"/>
        <v>139</v>
      </c>
      <c r="K56">
        <f t="shared" si="5"/>
        <v>2043</v>
      </c>
      <c r="L56">
        <f t="shared" si="9"/>
        <v>0</v>
      </c>
      <c r="M56">
        <f t="shared" si="10"/>
        <v>34</v>
      </c>
      <c r="N56">
        <f t="shared" si="11"/>
        <v>3</v>
      </c>
      <c r="O56">
        <f t="shared" si="16"/>
        <v>4921</v>
      </c>
      <c r="P56">
        <f t="shared" si="12"/>
        <v>1</v>
      </c>
      <c r="Q56">
        <f t="shared" si="13"/>
        <v>22</v>
      </c>
      <c r="R56">
        <f t="shared" si="14"/>
        <v>1</v>
      </c>
    </row>
    <row r="57" spans="1:18" x14ac:dyDescent="0.25">
      <c r="A57" t="s">
        <v>47</v>
      </c>
      <c r="B57" t="b">
        <f t="shared" si="4"/>
        <v>0</v>
      </c>
      <c r="C57" t="str">
        <f t="shared" si="0"/>
        <v>4. Web Pages with Spring</v>
      </c>
      <c r="D57" t="b">
        <f t="shared" si="1"/>
        <v>0</v>
      </c>
      <c r="E57">
        <f t="shared" si="2"/>
        <v>5</v>
      </c>
      <c r="F57" t="str">
        <f t="shared" si="3"/>
        <v/>
      </c>
      <c r="G57" t="str">
        <f t="shared" si="6"/>
        <v/>
      </c>
      <c r="H57" t="str">
        <f t="shared" si="17"/>
        <v/>
      </c>
      <c r="I57" t="str">
        <f t="shared" si="15"/>
        <v/>
      </c>
      <c r="J57">
        <f t="shared" si="8"/>
        <v>0</v>
      </c>
      <c r="K57">
        <f t="shared" si="5"/>
        <v>1904</v>
      </c>
      <c r="L57">
        <f t="shared" si="9"/>
        <v>0</v>
      </c>
      <c r="M57">
        <f t="shared" si="10"/>
        <v>31</v>
      </c>
      <c r="N57">
        <f t="shared" si="11"/>
        <v>44</v>
      </c>
      <c r="O57">
        <f t="shared" si="16"/>
        <v>4921</v>
      </c>
      <c r="P57">
        <f t="shared" si="12"/>
        <v>1</v>
      </c>
      <c r="Q57">
        <f t="shared" si="13"/>
        <v>22</v>
      </c>
      <c r="R57">
        <f t="shared" si="14"/>
        <v>1</v>
      </c>
    </row>
    <row r="58" spans="1:18" x14ac:dyDescent="0.25">
      <c r="A58" t="s">
        <v>21</v>
      </c>
      <c r="B58" t="b">
        <f t="shared" si="4"/>
        <v>0</v>
      </c>
      <c r="C58" t="str">
        <f t="shared" si="0"/>
        <v>4. Web Pages with Spring</v>
      </c>
      <c r="D58" t="b">
        <f t="shared" si="1"/>
        <v>0</v>
      </c>
      <c r="E58">
        <f t="shared" si="2"/>
        <v>5</v>
      </c>
      <c r="F58" t="str">
        <f t="shared" si="3"/>
        <v/>
      </c>
      <c r="G58" t="str">
        <f t="shared" si="6"/>
        <v/>
      </c>
      <c r="H58" t="str">
        <f t="shared" si="17"/>
        <v/>
      </c>
      <c r="I58" t="str">
        <f t="shared" si="15"/>
        <v/>
      </c>
      <c r="J58">
        <f t="shared" si="8"/>
        <v>0</v>
      </c>
      <c r="K58">
        <f t="shared" si="5"/>
        <v>1904</v>
      </c>
      <c r="L58">
        <f t="shared" si="9"/>
        <v>0</v>
      </c>
      <c r="M58">
        <f t="shared" si="10"/>
        <v>31</v>
      </c>
      <c r="N58">
        <f t="shared" si="11"/>
        <v>44</v>
      </c>
      <c r="O58">
        <f t="shared" si="16"/>
        <v>4921</v>
      </c>
      <c r="P58">
        <f t="shared" si="12"/>
        <v>1</v>
      </c>
      <c r="Q58">
        <f t="shared" si="13"/>
        <v>22</v>
      </c>
      <c r="R58">
        <f t="shared" si="14"/>
        <v>1</v>
      </c>
    </row>
    <row r="59" spans="1:18" x14ac:dyDescent="0.25">
      <c r="A59" t="s">
        <v>33</v>
      </c>
      <c r="B59" t="b">
        <f t="shared" si="4"/>
        <v>0</v>
      </c>
      <c r="C59" t="str">
        <f t="shared" si="0"/>
        <v>4. Web Pages with Spring</v>
      </c>
      <c r="D59" t="b">
        <f t="shared" si="1"/>
        <v>0</v>
      </c>
      <c r="E59">
        <f t="shared" si="2"/>
        <v>5</v>
      </c>
      <c r="F59" t="str">
        <f t="shared" si="3"/>
        <v/>
      </c>
      <c r="G59" t="str">
        <f>IF(AND(D59, ISERROR(FIND(" questions",A60))),TRIM(A60),"")</f>
        <v/>
      </c>
      <c r="H59" t="str">
        <f t="shared" si="17"/>
        <v/>
      </c>
      <c r="I59" t="str">
        <f t="shared" si="15"/>
        <v/>
      </c>
      <c r="J59">
        <f t="shared" si="8"/>
        <v>0</v>
      </c>
      <c r="K59">
        <f t="shared" si="5"/>
        <v>1904</v>
      </c>
      <c r="L59">
        <f t="shared" si="9"/>
        <v>0</v>
      </c>
      <c r="M59">
        <f t="shared" si="10"/>
        <v>31</v>
      </c>
      <c r="N59">
        <f t="shared" si="11"/>
        <v>44</v>
      </c>
      <c r="O59">
        <f t="shared" si="16"/>
        <v>4921</v>
      </c>
      <c r="P59">
        <f t="shared" si="12"/>
        <v>1</v>
      </c>
      <c r="Q59">
        <f t="shared" si="13"/>
        <v>22</v>
      </c>
      <c r="R59">
        <f t="shared" si="14"/>
        <v>1</v>
      </c>
    </row>
    <row r="60" spans="1:18" x14ac:dyDescent="0.25">
      <c r="A60" t="s">
        <v>69</v>
      </c>
      <c r="B60" t="b">
        <f t="shared" si="4"/>
        <v>1</v>
      </c>
      <c r="C60" t="str">
        <f t="shared" si="0"/>
        <v>5. Exposing RESTful Endpoints</v>
      </c>
      <c r="D60" t="b">
        <f t="shared" si="1"/>
        <v>0</v>
      </c>
      <c r="E60">
        <f t="shared" si="2"/>
        <v>0</v>
      </c>
      <c r="F60" t="str">
        <f t="shared" si="3"/>
        <v/>
      </c>
      <c r="G60" t="str">
        <f t="shared" si="6"/>
        <v/>
      </c>
      <c r="H60" t="str">
        <f t="shared" si="17"/>
        <v/>
      </c>
      <c r="I60" t="str">
        <f t="shared" si="15"/>
        <v/>
      </c>
      <c r="J60">
        <f t="shared" si="8"/>
        <v>0</v>
      </c>
      <c r="K60">
        <f t="shared" si="5"/>
        <v>1904</v>
      </c>
      <c r="L60">
        <f t="shared" si="9"/>
        <v>0</v>
      </c>
      <c r="M60">
        <f t="shared" si="10"/>
        <v>31</v>
      </c>
      <c r="N60">
        <f t="shared" si="11"/>
        <v>44</v>
      </c>
      <c r="O60">
        <f t="shared" si="16"/>
        <v>4921</v>
      </c>
      <c r="P60">
        <f t="shared" si="12"/>
        <v>1</v>
      </c>
      <c r="Q60">
        <f t="shared" si="13"/>
        <v>22</v>
      </c>
      <c r="R60">
        <f t="shared" si="14"/>
        <v>1</v>
      </c>
    </row>
    <row r="61" spans="1:18" x14ac:dyDescent="0.25">
      <c r="A61" t="s">
        <v>48</v>
      </c>
      <c r="B61" t="b">
        <f t="shared" si="4"/>
        <v>0</v>
      </c>
      <c r="C61" t="str">
        <f t="shared" si="0"/>
        <v>5. Exposing RESTful Endpoints</v>
      </c>
      <c r="D61" t="b">
        <f t="shared" si="1"/>
        <v>1</v>
      </c>
      <c r="E61">
        <f t="shared" si="2"/>
        <v>1</v>
      </c>
      <c r="F61" t="str">
        <f t="shared" si="3"/>
        <v>5. Exposing RESTful Endpoints (1. Understanding RestController )</v>
      </c>
      <c r="G61" t="str">
        <f t="shared" si="6"/>
        <v>2m 1s</v>
      </c>
      <c r="H61" t="str">
        <f t="shared" si="17"/>
        <v>2</v>
      </c>
      <c r="I61">
        <f t="shared" si="15"/>
        <v>1</v>
      </c>
      <c r="J61">
        <f t="shared" si="8"/>
        <v>121</v>
      </c>
      <c r="K61">
        <f t="shared" si="5"/>
        <v>1904</v>
      </c>
      <c r="L61">
        <f t="shared" si="9"/>
        <v>0</v>
      </c>
      <c r="M61">
        <f t="shared" si="10"/>
        <v>31</v>
      </c>
      <c r="N61">
        <f t="shared" si="11"/>
        <v>44</v>
      </c>
      <c r="O61">
        <f t="shared" si="16"/>
        <v>5042</v>
      </c>
      <c r="P61">
        <f t="shared" si="12"/>
        <v>1</v>
      </c>
      <c r="Q61">
        <f t="shared" si="13"/>
        <v>24</v>
      </c>
      <c r="R61">
        <f t="shared" si="14"/>
        <v>2</v>
      </c>
    </row>
    <row r="62" spans="1:18" x14ac:dyDescent="0.25">
      <c r="A62" t="s">
        <v>49</v>
      </c>
      <c r="B62" t="b">
        <f t="shared" si="4"/>
        <v>0</v>
      </c>
      <c r="C62" t="str">
        <f t="shared" si="0"/>
        <v>5. Exposing RESTful Endpoints</v>
      </c>
      <c r="D62" t="b">
        <f t="shared" si="1"/>
        <v>0</v>
      </c>
      <c r="E62">
        <f t="shared" si="2"/>
        <v>1</v>
      </c>
      <c r="F62" t="str">
        <f t="shared" si="3"/>
        <v/>
      </c>
      <c r="G62" t="str">
        <f t="shared" si="6"/>
        <v/>
      </c>
      <c r="H62" t="str">
        <f t="shared" si="17"/>
        <v/>
      </c>
      <c r="I62" t="str">
        <f t="shared" si="15"/>
        <v/>
      </c>
      <c r="J62">
        <f t="shared" si="8"/>
        <v>0</v>
      </c>
      <c r="K62">
        <f t="shared" si="5"/>
        <v>1783</v>
      </c>
      <c r="L62">
        <f t="shared" si="9"/>
        <v>0</v>
      </c>
      <c r="M62">
        <f t="shared" si="10"/>
        <v>29</v>
      </c>
      <c r="N62">
        <f t="shared" si="11"/>
        <v>43</v>
      </c>
      <c r="O62">
        <f t="shared" si="16"/>
        <v>5042</v>
      </c>
      <c r="P62">
        <f t="shared" si="12"/>
        <v>1</v>
      </c>
      <c r="Q62">
        <f t="shared" si="13"/>
        <v>24</v>
      </c>
      <c r="R62">
        <f t="shared" si="14"/>
        <v>2</v>
      </c>
    </row>
    <row r="63" spans="1:18" x14ac:dyDescent="0.25">
      <c r="A63" t="s">
        <v>50</v>
      </c>
      <c r="B63" t="b">
        <f t="shared" si="4"/>
        <v>0</v>
      </c>
      <c r="C63" t="str">
        <f t="shared" si="0"/>
        <v>5. Exposing RESTful Endpoints</v>
      </c>
      <c r="D63" t="b">
        <f t="shared" si="1"/>
        <v>1</v>
      </c>
      <c r="E63">
        <f t="shared" si="2"/>
        <v>2</v>
      </c>
      <c r="F63" t="str">
        <f t="shared" si="3"/>
        <v>5. Exposing RESTful Endpoints (2. Expose a service layer through REST )</v>
      </c>
      <c r="G63" t="str">
        <f t="shared" si="6"/>
        <v>5m 6s</v>
      </c>
      <c r="H63" t="str">
        <f t="shared" si="17"/>
        <v>5</v>
      </c>
      <c r="I63">
        <f t="shared" si="15"/>
        <v>6</v>
      </c>
      <c r="J63">
        <f t="shared" si="8"/>
        <v>306</v>
      </c>
      <c r="K63">
        <f t="shared" si="5"/>
        <v>1783</v>
      </c>
      <c r="L63">
        <f t="shared" si="9"/>
        <v>0</v>
      </c>
      <c r="M63">
        <f t="shared" si="10"/>
        <v>29</v>
      </c>
      <c r="N63">
        <f t="shared" si="11"/>
        <v>43</v>
      </c>
      <c r="O63">
        <f t="shared" si="16"/>
        <v>5348</v>
      </c>
      <c r="P63">
        <f t="shared" si="12"/>
        <v>1</v>
      </c>
      <c r="Q63">
        <f t="shared" si="13"/>
        <v>29</v>
      </c>
      <c r="R63">
        <f t="shared" si="14"/>
        <v>8</v>
      </c>
    </row>
    <row r="64" spans="1:18" x14ac:dyDescent="0.25">
      <c r="A64" t="s">
        <v>51</v>
      </c>
      <c r="B64" t="b">
        <f t="shared" si="4"/>
        <v>0</v>
      </c>
      <c r="C64" t="str">
        <f t="shared" si="0"/>
        <v>5. Exposing RESTful Endpoints</v>
      </c>
      <c r="D64" t="b">
        <f t="shared" si="1"/>
        <v>0</v>
      </c>
      <c r="E64">
        <f t="shared" si="2"/>
        <v>2</v>
      </c>
      <c r="F64" t="str">
        <f t="shared" si="3"/>
        <v/>
      </c>
      <c r="G64" t="str">
        <f t="shared" si="6"/>
        <v/>
      </c>
      <c r="H64" t="str">
        <f t="shared" si="17"/>
        <v/>
      </c>
      <c r="I64" t="str">
        <f t="shared" si="15"/>
        <v/>
      </c>
      <c r="J64">
        <f t="shared" si="8"/>
        <v>0</v>
      </c>
      <c r="K64">
        <f t="shared" si="5"/>
        <v>1477</v>
      </c>
      <c r="L64">
        <f t="shared" si="9"/>
        <v>0</v>
      </c>
      <c r="M64">
        <f t="shared" si="10"/>
        <v>24</v>
      </c>
      <c r="N64">
        <f t="shared" si="11"/>
        <v>37</v>
      </c>
      <c r="O64">
        <f t="shared" si="16"/>
        <v>5348</v>
      </c>
      <c r="P64">
        <f t="shared" si="12"/>
        <v>1</v>
      </c>
      <c r="Q64">
        <f t="shared" si="13"/>
        <v>29</v>
      </c>
      <c r="R64">
        <f t="shared" si="14"/>
        <v>8</v>
      </c>
    </row>
    <row r="65" spans="1:18" x14ac:dyDescent="0.25">
      <c r="A65" t="s">
        <v>52</v>
      </c>
      <c r="B65" t="b">
        <f t="shared" si="4"/>
        <v>0</v>
      </c>
      <c r="C65" t="str">
        <f t="shared" si="0"/>
        <v>5. Exposing RESTful Endpoints</v>
      </c>
      <c r="D65" t="b">
        <f t="shared" si="1"/>
        <v>1</v>
      </c>
      <c r="E65">
        <f t="shared" si="2"/>
        <v>3</v>
      </c>
      <c r="F65" t="str">
        <f t="shared" si="3"/>
        <v>5. Exposing RESTful Endpoints (3. Challenge: RESTful endpoints )</v>
      </c>
      <c r="G65" t="str">
        <f t="shared" si="6"/>
        <v>1m 15s</v>
      </c>
      <c r="H65" t="str">
        <f t="shared" si="17"/>
        <v>1</v>
      </c>
      <c r="I65">
        <f t="shared" si="15"/>
        <v>15</v>
      </c>
      <c r="J65">
        <f t="shared" si="8"/>
        <v>75</v>
      </c>
      <c r="K65">
        <f t="shared" si="5"/>
        <v>1477</v>
      </c>
      <c r="L65">
        <f t="shared" si="9"/>
        <v>0</v>
      </c>
      <c r="M65">
        <f t="shared" si="10"/>
        <v>24</v>
      </c>
      <c r="N65">
        <f t="shared" si="11"/>
        <v>37</v>
      </c>
      <c r="O65">
        <f t="shared" si="16"/>
        <v>5423</v>
      </c>
      <c r="P65">
        <f t="shared" si="12"/>
        <v>1</v>
      </c>
      <c r="Q65">
        <f t="shared" si="13"/>
        <v>30</v>
      </c>
      <c r="R65">
        <f t="shared" si="14"/>
        <v>23</v>
      </c>
    </row>
    <row r="66" spans="1:18" x14ac:dyDescent="0.25">
      <c r="A66" t="s">
        <v>53</v>
      </c>
      <c r="B66" t="b">
        <f t="shared" si="4"/>
        <v>0</v>
      </c>
      <c r="C66" t="str">
        <f t="shared" si="0"/>
        <v>5. Exposing RESTful Endpoints</v>
      </c>
      <c r="D66" t="b">
        <f t="shared" ref="D66:D80" si="18">OR(NOT(ISERROR(FIND("m ",A67))), NOT(ISERROR(VALUE(LEFT(A66,LEN(A66)-1)))))</f>
        <v>0</v>
      </c>
      <c r="E66">
        <f t="shared" si="2"/>
        <v>3</v>
      </c>
      <c r="F66" t="str">
        <f t="shared" si="3"/>
        <v/>
      </c>
      <c r="G66" t="str">
        <f t="shared" si="6"/>
        <v/>
      </c>
      <c r="H66" t="str">
        <f t="shared" si="17"/>
        <v/>
      </c>
      <c r="I66" t="str">
        <f t="shared" si="15"/>
        <v/>
      </c>
      <c r="J66">
        <f t="shared" si="8"/>
        <v>0</v>
      </c>
      <c r="K66">
        <f t="shared" si="5"/>
        <v>1402</v>
      </c>
      <c r="L66">
        <f t="shared" si="9"/>
        <v>0</v>
      </c>
      <c r="M66">
        <f t="shared" si="10"/>
        <v>23</v>
      </c>
      <c r="N66">
        <f t="shared" si="11"/>
        <v>22</v>
      </c>
      <c r="O66">
        <f t="shared" si="16"/>
        <v>5423</v>
      </c>
      <c r="P66">
        <f t="shared" si="12"/>
        <v>1</v>
      </c>
      <c r="Q66">
        <f t="shared" si="13"/>
        <v>30</v>
      </c>
      <c r="R66">
        <f t="shared" si="14"/>
        <v>23</v>
      </c>
    </row>
    <row r="67" spans="1:18" x14ac:dyDescent="0.25">
      <c r="A67" t="s">
        <v>54</v>
      </c>
      <c r="B67" t="b">
        <f t="shared" si="4"/>
        <v>0</v>
      </c>
      <c r="C67" t="str">
        <f t="shared" ref="C67:C80" si="19">IF(B67,A67,C66)</f>
        <v>5. Exposing RESTful Endpoints</v>
      </c>
      <c r="D67" t="b">
        <f t="shared" si="18"/>
        <v>1</v>
      </c>
      <c r="E67">
        <f t="shared" ref="E67:E80" si="20">IF(B67,0,IF(D67,E66+1,E66))</f>
        <v>4</v>
      </c>
      <c r="F67" t="str">
        <f t="shared" ref="F67:F80" si="21">IF(D67,C67&amp;" ("&amp;E67&amp;". "&amp;A67&amp;")","")</f>
        <v>5. Exposing RESTful Endpoints (4. Solution: RESTful endpoints )</v>
      </c>
      <c r="G67" t="str">
        <f t="shared" si="6"/>
        <v>6m 32s</v>
      </c>
      <c r="H67" t="str">
        <f t="shared" si="17"/>
        <v>6</v>
      </c>
      <c r="I67">
        <f t="shared" si="15"/>
        <v>32</v>
      </c>
      <c r="J67">
        <f t="shared" si="8"/>
        <v>392</v>
      </c>
      <c r="K67">
        <f t="shared" si="5"/>
        <v>1402</v>
      </c>
      <c r="L67">
        <f t="shared" si="9"/>
        <v>0</v>
      </c>
      <c r="M67">
        <f t="shared" si="10"/>
        <v>23</v>
      </c>
      <c r="N67">
        <f t="shared" si="11"/>
        <v>22</v>
      </c>
      <c r="O67">
        <f t="shared" si="16"/>
        <v>5815</v>
      </c>
      <c r="P67">
        <f t="shared" si="12"/>
        <v>1</v>
      </c>
      <c r="Q67">
        <f t="shared" si="13"/>
        <v>36</v>
      </c>
      <c r="R67">
        <f t="shared" si="14"/>
        <v>55</v>
      </c>
    </row>
    <row r="68" spans="1:18" x14ac:dyDescent="0.25">
      <c r="A68" t="s">
        <v>55</v>
      </c>
      <c r="B68" t="b">
        <f t="shared" ref="B68:B80" si="22">NOT(ISERROR(FIND(". ",A68)))</f>
        <v>0</v>
      </c>
      <c r="C68" t="str">
        <f t="shared" si="19"/>
        <v>5. Exposing RESTful Endpoints</v>
      </c>
      <c r="D68" t="b">
        <f t="shared" si="18"/>
        <v>0</v>
      </c>
      <c r="E68">
        <f t="shared" si="20"/>
        <v>4</v>
      </c>
      <c r="F68" t="str">
        <f t="shared" si="21"/>
        <v/>
      </c>
      <c r="G68" t="str">
        <f t="shared" si="6"/>
        <v/>
      </c>
      <c r="H68" t="str">
        <f t="shared" si="17"/>
        <v/>
      </c>
      <c r="I68" t="str">
        <f t="shared" si="15"/>
        <v/>
      </c>
      <c r="J68">
        <f t="shared" si="8"/>
        <v>0</v>
      </c>
      <c r="K68">
        <f t="shared" ref="K68:K78" si="23">K69+J68</f>
        <v>1010</v>
      </c>
      <c r="L68">
        <f t="shared" si="9"/>
        <v>0</v>
      </c>
      <c r="M68">
        <f t="shared" si="10"/>
        <v>16</v>
      </c>
      <c r="N68">
        <f t="shared" si="11"/>
        <v>50</v>
      </c>
      <c r="O68">
        <f t="shared" si="16"/>
        <v>5815</v>
      </c>
      <c r="P68">
        <f t="shared" si="12"/>
        <v>1</v>
      </c>
      <c r="Q68">
        <f t="shared" si="13"/>
        <v>36</v>
      </c>
      <c r="R68">
        <f t="shared" si="14"/>
        <v>55</v>
      </c>
    </row>
    <row r="69" spans="1:18" x14ac:dyDescent="0.25">
      <c r="A69" t="s">
        <v>21</v>
      </c>
      <c r="B69" t="b">
        <f t="shared" si="22"/>
        <v>0</v>
      </c>
      <c r="C69" t="str">
        <f t="shared" si="19"/>
        <v>5. Exposing RESTful Endpoints</v>
      </c>
      <c r="D69" t="b">
        <f t="shared" si="18"/>
        <v>0</v>
      </c>
      <c r="E69">
        <f t="shared" si="20"/>
        <v>4</v>
      </c>
      <c r="F69" t="str">
        <f t="shared" si="21"/>
        <v/>
      </c>
      <c r="G69" t="str">
        <f t="shared" ref="G69:G80" si="24">TRIM(IF(AND(D69, ISERROR(FIND(" questions",A70))),A70,""))</f>
        <v/>
      </c>
      <c r="H69" t="str">
        <f t="shared" si="17"/>
        <v/>
      </c>
      <c r="I69" t="str">
        <f t="shared" si="15"/>
        <v/>
      </c>
      <c r="J69">
        <f t="shared" ref="J69:J80" si="25">IF(AND(H69&lt;&gt;"",I69&lt;&gt;""),(H69*60)+I69,0)</f>
        <v>0</v>
      </c>
      <c r="K69">
        <f t="shared" si="23"/>
        <v>1010</v>
      </c>
      <c r="L69">
        <f t="shared" ref="L69:L79" si="26">INT(K69/60/60)</f>
        <v>0</v>
      </c>
      <c r="M69">
        <f t="shared" ref="M69:M79" si="27">INT((K69-(L69*60*60))/60)</f>
        <v>16</v>
      </c>
      <c r="N69">
        <f t="shared" ref="N69:N79" si="28">K69-(((L69*60)+M69)*60)</f>
        <v>50</v>
      </c>
      <c r="O69">
        <f t="shared" si="16"/>
        <v>5815</v>
      </c>
      <c r="P69">
        <f t="shared" ref="P69:P80" si="29">INT(O69/60/60)</f>
        <v>1</v>
      </c>
      <c r="Q69">
        <f t="shared" ref="Q69:Q80" si="30">INT((O69-(P69*60*60))/60)</f>
        <v>36</v>
      </c>
      <c r="R69">
        <f t="shared" ref="R69:R80" si="31">O69-(((P69*60)+Q69)*60)</f>
        <v>55</v>
      </c>
    </row>
    <row r="70" spans="1:18" x14ac:dyDescent="0.25">
      <c r="A70" t="s">
        <v>56</v>
      </c>
      <c r="B70" t="b">
        <f t="shared" si="22"/>
        <v>0</v>
      </c>
      <c r="C70" t="str">
        <f t="shared" si="19"/>
        <v>5. Exposing RESTful Endpoints</v>
      </c>
      <c r="D70" t="b">
        <f t="shared" si="18"/>
        <v>0</v>
      </c>
      <c r="E70">
        <f t="shared" si="20"/>
        <v>4</v>
      </c>
      <c r="F70" t="str">
        <f t="shared" si="21"/>
        <v/>
      </c>
      <c r="G70" t="str">
        <f t="shared" si="24"/>
        <v/>
      </c>
      <c r="H70" t="str">
        <f t="shared" si="17"/>
        <v/>
      </c>
      <c r="I70" t="str">
        <f t="shared" ref="I70:I80" si="32">IF(AND(D70,RIGHT(G70,1) ="s"),VALUE(SUBSTITUTE(MID(G70,FIND(" ",G70)+1,100),"s","")),"")</f>
        <v/>
      </c>
      <c r="J70">
        <f t="shared" si="25"/>
        <v>0</v>
      </c>
      <c r="K70">
        <f t="shared" si="23"/>
        <v>1010</v>
      </c>
      <c r="L70">
        <f t="shared" si="26"/>
        <v>0</v>
      </c>
      <c r="M70">
        <f t="shared" si="27"/>
        <v>16</v>
      </c>
      <c r="N70">
        <f t="shared" si="28"/>
        <v>50</v>
      </c>
      <c r="O70">
        <f t="shared" ref="O70:O80" si="33">O69+J70</f>
        <v>5815</v>
      </c>
      <c r="P70">
        <f t="shared" si="29"/>
        <v>1</v>
      </c>
      <c r="Q70">
        <f t="shared" si="30"/>
        <v>36</v>
      </c>
      <c r="R70">
        <f t="shared" si="31"/>
        <v>55</v>
      </c>
    </row>
    <row r="71" spans="1:18" x14ac:dyDescent="0.25">
      <c r="A71" t="s">
        <v>70</v>
      </c>
      <c r="B71" t="b">
        <f t="shared" si="22"/>
        <v>1</v>
      </c>
      <c r="C71" t="str">
        <f t="shared" si="19"/>
        <v>6. Additional Topics</v>
      </c>
      <c r="D71" t="b">
        <f t="shared" si="18"/>
        <v>0</v>
      </c>
      <c r="E71">
        <f t="shared" si="20"/>
        <v>0</v>
      </c>
      <c r="F71" t="str">
        <f t="shared" si="21"/>
        <v/>
      </c>
      <c r="G71" t="str">
        <f t="shared" si="24"/>
        <v/>
      </c>
      <c r="H71" t="str">
        <f t="shared" si="17"/>
        <v/>
      </c>
      <c r="I71" t="str">
        <f t="shared" si="32"/>
        <v/>
      </c>
      <c r="J71">
        <f t="shared" si="25"/>
        <v>0</v>
      </c>
      <c r="K71">
        <f t="shared" si="23"/>
        <v>1010</v>
      </c>
      <c r="L71">
        <f t="shared" si="26"/>
        <v>0</v>
      </c>
      <c r="M71">
        <f t="shared" si="27"/>
        <v>16</v>
      </c>
      <c r="N71">
        <f t="shared" si="28"/>
        <v>50</v>
      </c>
      <c r="O71">
        <f t="shared" si="33"/>
        <v>5815</v>
      </c>
      <c r="P71">
        <f t="shared" si="29"/>
        <v>1</v>
      </c>
      <c r="Q71">
        <f t="shared" si="30"/>
        <v>36</v>
      </c>
      <c r="R71">
        <f t="shared" si="31"/>
        <v>55</v>
      </c>
    </row>
    <row r="72" spans="1:18" x14ac:dyDescent="0.25">
      <c r="A72" t="s">
        <v>57</v>
      </c>
      <c r="B72" t="b">
        <f t="shared" si="22"/>
        <v>0</v>
      </c>
      <c r="C72" t="str">
        <f t="shared" si="19"/>
        <v>6. Additional Topics</v>
      </c>
      <c r="D72" t="b">
        <f t="shared" si="18"/>
        <v>1</v>
      </c>
      <c r="E72">
        <f t="shared" si="20"/>
        <v>1</v>
      </c>
      <c r="F72" t="str">
        <f t="shared" si="21"/>
        <v>6. Additional Topics (1. Testing Spring Boot applications )</v>
      </c>
      <c r="G72" t="str">
        <f t="shared" si="24"/>
        <v>5m 24s</v>
      </c>
      <c r="H72" t="str">
        <f t="shared" si="17"/>
        <v>5</v>
      </c>
      <c r="I72">
        <f t="shared" si="32"/>
        <v>24</v>
      </c>
      <c r="J72">
        <f t="shared" si="25"/>
        <v>324</v>
      </c>
      <c r="K72">
        <f t="shared" si="23"/>
        <v>1010</v>
      </c>
      <c r="L72">
        <f t="shared" si="26"/>
        <v>0</v>
      </c>
      <c r="M72">
        <f t="shared" si="27"/>
        <v>16</v>
      </c>
      <c r="N72">
        <f t="shared" si="28"/>
        <v>50</v>
      </c>
      <c r="O72">
        <f t="shared" si="33"/>
        <v>6139</v>
      </c>
      <c r="P72">
        <f t="shared" si="29"/>
        <v>1</v>
      </c>
      <c r="Q72">
        <f t="shared" si="30"/>
        <v>42</v>
      </c>
      <c r="R72">
        <f t="shared" si="31"/>
        <v>19</v>
      </c>
    </row>
    <row r="73" spans="1:18" x14ac:dyDescent="0.25">
      <c r="A73" t="s">
        <v>58</v>
      </c>
      <c r="B73" t="b">
        <f t="shared" si="22"/>
        <v>0</v>
      </c>
      <c r="C73" t="str">
        <f t="shared" si="19"/>
        <v>6. Additional Topics</v>
      </c>
      <c r="D73" t="b">
        <f t="shared" si="18"/>
        <v>0</v>
      </c>
      <c r="E73">
        <f t="shared" si="20"/>
        <v>1</v>
      </c>
      <c r="F73" t="str">
        <f t="shared" si="21"/>
        <v/>
      </c>
      <c r="G73" t="str">
        <f t="shared" si="24"/>
        <v/>
      </c>
      <c r="H73" t="str">
        <f t="shared" si="17"/>
        <v/>
      </c>
      <c r="I73" t="str">
        <f t="shared" si="32"/>
        <v/>
      </c>
      <c r="J73">
        <f t="shared" si="25"/>
        <v>0</v>
      </c>
      <c r="K73">
        <f t="shared" si="23"/>
        <v>686</v>
      </c>
      <c r="L73">
        <f t="shared" si="26"/>
        <v>0</v>
      </c>
      <c r="M73">
        <f t="shared" si="27"/>
        <v>11</v>
      </c>
      <c r="N73">
        <f t="shared" si="28"/>
        <v>26</v>
      </c>
      <c r="O73">
        <f t="shared" si="33"/>
        <v>6139</v>
      </c>
      <c r="P73">
        <f t="shared" si="29"/>
        <v>1</v>
      </c>
      <c r="Q73">
        <f t="shared" si="30"/>
        <v>42</v>
      </c>
      <c r="R73">
        <f t="shared" si="31"/>
        <v>19</v>
      </c>
    </row>
    <row r="74" spans="1:18" x14ac:dyDescent="0.25">
      <c r="A74" t="s">
        <v>59</v>
      </c>
      <c r="B74" t="b">
        <f t="shared" si="22"/>
        <v>0</v>
      </c>
      <c r="C74" t="str">
        <f t="shared" si="19"/>
        <v>6. Additional Topics</v>
      </c>
      <c r="D74" t="b">
        <f t="shared" si="18"/>
        <v>1</v>
      </c>
      <c r="E74">
        <f t="shared" si="20"/>
        <v>2</v>
      </c>
      <c r="F74" t="str">
        <f t="shared" si="21"/>
        <v>6. Additional Topics (2. Spring Security )</v>
      </c>
      <c r="G74" t="str">
        <f t="shared" si="24"/>
        <v>1m 35s</v>
      </c>
      <c r="H74" t="str">
        <f t="shared" si="17"/>
        <v>1</v>
      </c>
      <c r="I74">
        <f t="shared" si="32"/>
        <v>35</v>
      </c>
      <c r="J74">
        <f t="shared" si="25"/>
        <v>95</v>
      </c>
      <c r="K74">
        <f t="shared" si="23"/>
        <v>686</v>
      </c>
      <c r="L74">
        <f t="shared" si="26"/>
        <v>0</v>
      </c>
      <c r="M74">
        <f t="shared" si="27"/>
        <v>11</v>
      </c>
      <c r="N74">
        <f t="shared" si="28"/>
        <v>26</v>
      </c>
      <c r="O74">
        <f t="shared" si="33"/>
        <v>6234</v>
      </c>
      <c r="P74">
        <f t="shared" si="29"/>
        <v>1</v>
      </c>
      <c r="Q74">
        <f t="shared" si="30"/>
        <v>43</v>
      </c>
      <c r="R74">
        <f t="shared" si="31"/>
        <v>54</v>
      </c>
    </row>
    <row r="75" spans="1:18" x14ac:dyDescent="0.25">
      <c r="A75" t="s">
        <v>60</v>
      </c>
      <c r="B75" t="b">
        <f t="shared" si="22"/>
        <v>0</v>
      </c>
      <c r="C75" t="str">
        <f t="shared" si="19"/>
        <v>6. Additional Topics</v>
      </c>
      <c r="D75" t="b">
        <f t="shared" si="18"/>
        <v>0</v>
      </c>
      <c r="E75">
        <f t="shared" si="20"/>
        <v>2</v>
      </c>
      <c r="F75" t="str">
        <f t="shared" si="21"/>
        <v/>
      </c>
      <c r="G75" t="str">
        <f t="shared" si="24"/>
        <v/>
      </c>
      <c r="H75" t="str">
        <f t="shared" si="17"/>
        <v/>
      </c>
      <c r="I75" t="str">
        <f t="shared" si="32"/>
        <v/>
      </c>
      <c r="J75">
        <f t="shared" si="25"/>
        <v>0</v>
      </c>
      <c r="K75">
        <f t="shared" si="23"/>
        <v>591</v>
      </c>
      <c r="L75">
        <f t="shared" si="26"/>
        <v>0</v>
      </c>
      <c r="M75">
        <f t="shared" si="27"/>
        <v>9</v>
      </c>
      <c r="N75">
        <f t="shared" si="28"/>
        <v>51</v>
      </c>
      <c r="O75">
        <f t="shared" si="33"/>
        <v>6234</v>
      </c>
      <c r="P75">
        <f t="shared" si="29"/>
        <v>1</v>
      </c>
      <c r="Q75">
        <f t="shared" si="30"/>
        <v>43</v>
      </c>
      <c r="R75">
        <f t="shared" si="31"/>
        <v>54</v>
      </c>
    </row>
    <row r="76" spans="1:18" x14ac:dyDescent="0.25">
      <c r="A76" t="s">
        <v>61</v>
      </c>
      <c r="B76" t="b">
        <f t="shared" si="22"/>
        <v>0</v>
      </c>
      <c r="C76" t="str">
        <f t="shared" si="19"/>
        <v>6. Additional Topics</v>
      </c>
      <c r="D76" t="b">
        <f t="shared" si="18"/>
        <v>1</v>
      </c>
      <c r="E76">
        <f t="shared" si="20"/>
        <v>3</v>
      </c>
      <c r="F76" t="str">
        <f t="shared" si="21"/>
        <v>6. Additional Topics (3. Other projects )</v>
      </c>
      <c r="G76" t="str">
        <f t="shared" si="24"/>
        <v>6m 17s</v>
      </c>
      <c r="H76" t="str">
        <f t="shared" si="17"/>
        <v>6</v>
      </c>
      <c r="I76">
        <f t="shared" si="32"/>
        <v>17</v>
      </c>
      <c r="J76">
        <f t="shared" si="25"/>
        <v>377</v>
      </c>
      <c r="K76">
        <f t="shared" si="23"/>
        <v>591</v>
      </c>
      <c r="L76">
        <f t="shared" si="26"/>
        <v>0</v>
      </c>
      <c r="M76">
        <f t="shared" si="27"/>
        <v>9</v>
      </c>
      <c r="N76">
        <f t="shared" si="28"/>
        <v>51</v>
      </c>
      <c r="O76">
        <f t="shared" si="33"/>
        <v>6611</v>
      </c>
      <c r="P76">
        <f t="shared" si="29"/>
        <v>1</v>
      </c>
      <c r="Q76">
        <f t="shared" si="30"/>
        <v>50</v>
      </c>
      <c r="R76">
        <f t="shared" si="31"/>
        <v>11</v>
      </c>
    </row>
    <row r="77" spans="1:18" x14ac:dyDescent="0.25">
      <c r="A77" t="s">
        <v>62</v>
      </c>
      <c r="B77" t="b">
        <f t="shared" si="22"/>
        <v>0</v>
      </c>
      <c r="C77" t="str">
        <f t="shared" si="19"/>
        <v>6. Additional Topics</v>
      </c>
      <c r="D77" t="b">
        <f t="shared" si="18"/>
        <v>0</v>
      </c>
      <c r="E77">
        <f t="shared" si="20"/>
        <v>3</v>
      </c>
      <c r="F77" t="str">
        <f t="shared" si="21"/>
        <v/>
      </c>
      <c r="G77" t="str">
        <f t="shared" si="24"/>
        <v/>
      </c>
      <c r="H77" t="str">
        <f t="shared" si="17"/>
        <v/>
      </c>
      <c r="I77" t="str">
        <f t="shared" si="32"/>
        <v/>
      </c>
      <c r="J77">
        <f t="shared" si="25"/>
        <v>0</v>
      </c>
      <c r="K77">
        <f t="shared" si="23"/>
        <v>214</v>
      </c>
      <c r="L77">
        <f t="shared" si="26"/>
        <v>0</v>
      </c>
      <c r="M77">
        <f t="shared" si="27"/>
        <v>3</v>
      </c>
      <c r="N77">
        <f t="shared" si="28"/>
        <v>34</v>
      </c>
      <c r="O77">
        <f t="shared" si="33"/>
        <v>6611</v>
      </c>
      <c r="P77">
        <f t="shared" si="29"/>
        <v>1</v>
      </c>
      <c r="Q77">
        <f t="shared" si="30"/>
        <v>50</v>
      </c>
      <c r="R77">
        <f t="shared" si="31"/>
        <v>11</v>
      </c>
    </row>
    <row r="78" spans="1:18" x14ac:dyDescent="0.25">
      <c r="A78" t="s">
        <v>71</v>
      </c>
      <c r="B78" t="b">
        <f t="shared" si="22"/>
        <v>1</v>
      </c>
      <c r="C78" t="str">
        <f t="shared" si="19"/>
        <v>7. What's Next</v>
      </c>
      <c r="D78" t="b">
        <f t="shared" si="18"/>
        <v>0</v>
      </c>
      <c r="E78">
        <f t="shared" si="20"/>
        <v>0</v>
      </c>
      <c r="F78" t="str">
        <f t="shared" si="21"/>
        <v/>
      </c>
      <c r="G78" t="str">
        <f t="shared" si="24"/>
        <v/>
      </c>
      <c r="H78" t="str">
        <f t="shared" si="17"/>
        <v/>
      </c>
      <c r="I78" t="str">
        <f t="shared" si="32"/>
        <v/>
      </c>
      <c r="J78">
        <f t="shared" si="25"/>
        <v>0</v>
      </c>
      <c r="K78">
        <f t="shared" si="23"/>
        <v>214</v>
      </c>
      <c r="L78">
        <f t="shared" si="26"/>
        <v>0</v>
      </c>
      <c r="M78">
        <f t="shared" si="27"/>
        <v>3</v>
      </c>
      <c r="N78">
        <f t="shared" si="28"/>
        <v>34</v>
      </c>
      <c r="O78">
        <f t="shared" si="33"/>
        <v>6611</v>
      </c>
      <c r="P78">
        <f t="shared" si="29"/>
        <v>1</v>
      </c>
      <c r="Q78">
        <f t="shared" si="30"/>
        <v>50</v>
      </c>
      <c r="R78">
        <f t="shared" si="31"/>
        <v>11</v>
      </c>
    </row>
    <row r="79" spans="1:18" x14ac:dyDescent="0.25">
      <c r="A79" t="s">
        <v>63</v>
      </c>
      <c r="B79" t="b">
        <f t="shared" si="22"/>
        <v>0</v>
      </c>
      <c r="C79" t="str">
        <f t="shared" si="19"/>
        <v>7. What's Next</v>
      </c>
      <c r="D79" t="b">
        <f t="shared" si="18"/>
        <v>1</v>
      </c>
      <c r="E79">
        <f t="shared" si="20"/>
        <v>1</v>
      </c>
      <c r="F79" t="str">
        <f t="shared" si="21"/>
        <v>7. What's Next (1. Next steps )</v>
      </c>
      <c r="G79" t="str">
        <f t="shared" si="24"/>
        <v>3m 34s</v>
      </c>
      <c r="H79" t="str">
        <f t="shared" si="17"/>
        <v>3</v>
      </c>
      <c r="I79">
        <f t="shared" si="32"/>
        <v>34</v>
      </c>
      <c r="J79">
        <f t="shared" si="25"/>
        <v>214</v>
      </c>
      <c r="K79">
        <f>K80+J79</f>
        <v>214</v>
      </c>
      <c r="L79">
        <f t="shared" si="26"/>
        <v>0</v>
      </c>
      <c r="M79">
        <f t="shared" si="27"/>
        <v>3</v>
      </c>
      <c r="N79">
        <f t="shared" si="28"/>
        <v>34</v>
      </c>
      <c r="O79">
        <f t="shared" si="33"/>
        <v>6825</v>
      </c>
      <c r="P79">
        <f t="shared" si="29"/>
        <v>1</v>
      </c>
      <c r="Q79">
        <f t="shared" si="30"/>
        <v>53</v>
      </c>
      <c r="R79">
        <f t="shared" si="31"/>
        <v>45</v>
      </c>
    </row>
    <row r="80" spans="1:18" x14ac:dyDescent="0.25">
      <c r="A80" t="s">
        <v>64</v>
      </c>
      <c r="B80" t="b">
        <f t="shared" si="22"/>
        <v>0</v>
      </c>
      <c r="C80" t="str">
        <f t="shared" si="19"/>
        <v>7. What's Next</v>
      </c>
      <c r="D80" t="b">
        <f t="shared" si="18"/>
        <v>0</v>
      </c>
      <c r="E80">
        <f t="shared" si="20"/>
        <v>1</v>
      </c>
      <c r="F80" t="str">
        <f t="shared" si="21"/>
        <v/>
      </c>
      <c r="G80" t="str">
        <f t="shared" si="24"/>
        <v/>
      </c>
      <c r="H80" t="str">
        <f t="shared" si="17"/>
        <v/>
      </c>
      <c r="I80" t="str">
        <f t="shared" si="32"/>
        <v/>
      </c>
      <c r="J80">
        <f t="shared" si="25"/>
        <v>0</v>
      </c>
      <c r="O80">
        <f t="shared" si="33"/>
        <v>6825</v>
      </c>
      <c r="P80">
        <f t="shared" si="29"/>
        <v>1</v>
      </c>
      <c r="Q80">
        <f t="shared" si="30"/>
        <v>53</v>
      </c>
      <c r="R80">
        <f t="shared" si="31"/>
        <v>45</v>
      </c>
    </row>
  </sheetData>
  <mergeCells count="10">
    <mergeCell ref="K1:N1"/>
    <mergeCell ref="O1:R1"/>
    <mergeCell ref="J1:J2"/>
    <mergeCell ref="H1:I1"/>
    <mergeCell ref="A1:A2"/>
    <mergeCell ref="B1:B2"/>
    <mergeCell ref="C1:C2"/>
    <mergeCell ref="D1:D2"/>
    <mergeCell ref="E1:E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5D28-25C4-4646-AE69-2BB44B0871A8}">
  <dimension ref="A1:Z566"/>
  <sheetViews>
    <sheetView workbookViewId="0">
      <pane xSplit="6" ySplit="9" topLeftCell="G10" activePane="bottomRight" state="frozen"/>
      <selection pane="topRight" activeCell="G1" sqref="G1"/>
      <selection pane="bottomLeft" activeCell="A9" sqref="A9"/>
      <selection pane="bottomRight" activeCell="J6" sqref="J6"/>
    </sheetView>
  </sheetViews>
  <sheetFormatPr defaultRowHeight="15" x14ac:dyDescent="0.25"/>
  <cols>
    <col min="1" max="1" width="66.7109375" bestFit="1" customWidth="1"/>
    <col min="2" max="4" width="9.140625" hidden="1" customWidth="1"/>
    <col min="5" max="6" width="48.85546875" bestFit="1" customWidth="1"/>
    <col min="22" max="22" width="11.42578125" style="4" bestFit="1" customWidth="1"/>
    <col min="23" max="23" width="27.5703125" customWidth="1"/>
    <col min="24" max="24" width="37" customWidth="1"/>
    <col min="25" max="25" width="12.7109375" customWidth="1"/>
    <col min="26" max="26" width="14.140625" customWidth="1"/>
  </cols>
  <sheetData>
    <row r="1" spans="1:26" ht="36" x14ac:dyDescent="0.55000000000000004">
      <c r="A1" s="26" t="s">
        <v>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26" x14ac:dyDescent="0.25">
      <c r="A2" s="1" t="s">
        <v>85</v>
      </c>
      <c r="B2" s="5"/>
      <c r="E2" s="5" t="s">
        <v>138</v>
      </c>
    </row>
    <row r="3" spans="1:26" x14ac:dyDescent="0.25">
      <c r="A3" s="1" t="s">
        <v>88</v>
      </c>
      <c r="E3" t="s">
        <v>89</v>
      </c>
      <c r="F3" s="1" t="s">
        <v>86</v>
      </c>
      <c r="G3" t="s">
        <v>87</v>
      </c>
    </row>
    <row r="4" spans="1:26" x14ac:dyDescent="0.25">
      <c r="A4" s="1" t="s">
        <v>139</v>
      </c>
      <c r="E4" t="s">
        <v>89</v>
      </c>
      <c r="F4" s="1" t="s">
        <v>90</v>
      </c>
      <c r="G4" t="s">
        <v>87</v>
      </c>
    </row>
    <row r="5" spans="1:26" x14ac:dyDescent="0.25">
      <c r="A5" s="1" t="s">
        <v>93</v>
      </c>
      <c r="E5" t="s">
        <v>89</v>
      </c>
      <c r="F5" s="1" t="s">
        <v>91</v>
      </c>
      <c r="G5" t="s">
        <v>92</v>
      </c>
    </row>
    <row r="6" spans="1:26" x14ac:dyDescent="0.25">
      <c r="A6" s="1" t="s">
        <v>140</v>
      </c>
      <c r="E6" t="s">
        <v>141</v>
      </c>
      <c r="F6" s="1" t="s">
        <v>94</v>
      </c>
      <c r="G6" t="s">
        <v>87</v>
      </c>
    </row>
    <row r="7" spans="1:26" ht="15.75" thickBot="1" x14ac:dyDescent="0.3"/>
    <row r="8" spans="1:26" ht="15.75" thickTop="1" x14ac:dyDescent="0.25">
      <c r="A8" s="27" t="s">
        <v>95</v>
      </c>
      <c r="B8" s="29" t="s">
        <v>96</v>
      </c>
      <c r="C8" s="29" t="s">
        <v>97</v>
      </c>
      <c r="D8" s="29" t="s">
        <v>98</v>
      </c>
      <c r="E8" s="29" t="s">
        <v>5</v>
      </c>
      <c r="F8" s="31" t="s">
        <v>99</v>
      </c>
      <c r="G8" s="23" t="s">
        <v>77</v>
      </c>
      <c r="H8" s="24"/>
      <c r="I8" s="24"/>
      <c r="J8" s="23" t="s">
        <v>100</v>
      </c>
      <c r="K8" s="24"/>
      <c r="L8" s="24"/>
      <c r="M8" s="25"/>
      <c r="N8" s="23" t="s">
        <v>101</v>
      </c>
      <c r="O8" s="24"/>
      <c r="P8" s="24"/>
      <c r="Q8" s="25"/>
      <c r="R8" s="23" t="s">
        <v>102</v>
      </c>
      <c r="S8" s="24"/>
      <c r="T8" s="24"/>
      <c r="U8" s="25"/>
      <c r="V8" s="23" t="s">
        <v>103</v>
      </c>
      <c r="W8" s="24"/>
      <c r="X8" s="24"/>
      <c r="Y8" s="24"/>
      <c r="Z8" s="25"/>
    </row>
    <row r="9" spans="1:26" ht="15.75" thickBot="1" x14ac:dyDescent="0.3">
      <c r="A9" s="28"/>
      <c r="B9" s="30"/>
      <c r="C9" s="30"/>
      <c r="D9" s="30"/>
      <c r="E9" s="30"/>
      <c r="F9" s="32"/>
      <c r="G9" s="6" t="s">
        <v>104</v>
      </c>
      <c r="H9" s="7" t="s">
        <v>105</v>
      </c>
      <c r="I9" s="7" t="s">
        <v>75</v>
      </c>
      <c r="J9" s="6" t="s">
        <v>106</v>
      </c>
      <c r="K9" s="7" t="s">
        <v>73</v>
      </c>
      <c r="L9" s="7" t="s">
        <v>105</v>
      </c>
      <c r="M9" s="8" t="s">
        <v>75</v>
      </c>
      <c r="N9" s="9" t="s">
        <v>107</v>
      </c>
      <c r="O9" s="10" t="s">
        <v>105</v>
      </c>
      <c r="P9" s="10" t="s">
        <v>75</v>
      </c>
      <c r="Q9" s="11" t="s">
        <v>106</v>
      </c>
      <c r="R9" s="6" t="s">
        <v>107</v>
      </c>
      <c r="S9" s="7" t="s">
        <v>105</v>
      </c>
      <c r="T9" s="7" t="s">
        <v>75</v>
      </c>
      <c r="U9" s="8" t="s">
        <v>106</v>
      </c>
      <c r="V9" s="12" t="s">
        <v>108</v>
      </c>
      <c r="W9" s="7" t="s">
        <v>109</v>
      </c>
      <c r="X9" s="7" t="s">
        <v>110</v>
      </c>
      <c r="Y9" s="7" t="s">
        <v>111</v>
      </c>
      <c r="Z9" s="8" t="s">
        <v>112</v>
      </c>
    </row>
    <row r="10" spans="1:26" ht="15.75" thickTop="1" x14ac:dyDescent="0.25">
      <c r="E10" t="s">
        <v>113</v>
      </c>
      <c r="G10" s="13"/>
      <c r="I10" s="14"/>
      <c r="J10" s="13"/>
      <c r="M10" s="14"/>
      <c r="N10" s="13"/>
      <c r="Q10" s="14"/>
      <c r="R10" s="13"/>
      <c r="U10" s="14"/>
      <c r="V10" s="15"/>
      <c r="Z10" s="14"/>
    </row>
    <row r="11" spans="1:26" x14ac:dyDescent="0.25">
      <c r="A11" s="16" t="s">
        <v>114</v>
      </c>
      <c r="B11" s="17" t="b">
        <f t="shared" ref="B11:B17" si="0">AND(NOT(ISERROR(FIND("Section ",A11))),NOT(ISERROR(FIND("Section ",A11))))</f>
        <v>0</v>
      </c>
      <c r="C11" s="17" t="b">
        <f>OR(AND(NOT(ISERROR(FIND("min",A12))),ISNUMBER(VALUE(LEFT(A12,FIND("m",A12)-1)))),AND(NOT(ISERROR(FIND("s",A12))),ISNUMBER(VALUE(LEFT(A12,FIND("s",A12)-1)))))</f>
        <v>0</v>
      </c>
      <c r="D11" s="17">
        <f>IF(B11,0,IF(C11,D10+1,D10))</f>
        <v>0</v>
      </c>
      <c r="E11" s="17" t="str">
        <f>SUBSTITUTE(IF(B11,A11,E10),":", " -")</f>
        <v xml:space="preserve"> </v>
      </c>
      <c r="F11" s="18" t="str">
        <f>IF(C11,A11,"")</f>
        <v/>
      </c>
      <c r="G11" s="13" t="str">
        <f t="shared" ref="G11:G74" si="1">IF(C11,IF(ISERROR(FIND("s",A12)),LEFT(A12,FIND("m",A12)),LEFT(A12,FIND("s",A12))),"")</f>
        <v/>
      </c>
      <c r="H11">
        <f t="shared" ref="H11:H74" si="2">IF(OR(G11="",ISERROR(FIND("m",G11))),0,VALUE(LEFT(G11,FIND("m",G11)-1)))</f>
        <v>0</v>
      </c>
      <c r="I11" s="14">
        <f>IF(OR(G11="",ISERROR(FIND("s",G11))),0,VALUE(SUBSTITUTE(MID(G11,IF(ISERROR(FIND("m",G11)), 0,FIND("m",G11))+1,LEN(G11)),"s","")))</f>
        <v>0</v>
      </c>
      <c r="J11" s="13">
        <f t="shared" ref="J11:J74" si="3">J10+(H11*60+I11)</f>
        <v>0</v>
      </c>
      <c r="K11">
        <f t="shared" ref="K11:K74" si="4">INT(J11/60/60)</f>
        <v>0</v>
      </c>
      <c r="L11">
        <f t="shared" ref="L11:L74" si="5">INT((J11-(K11*60*60))/60)</f>
        <v>0</v>
      </c>
      <c r="M11" s="14">
        <f t="shared" ref="M11:M74" si="6">J11-(((K11*60)+L11)*60)</f>
        <v>0</v>
      </c>
      <c r="N11" s="13">
        <v>0</v>
      </c>
      <c r="O11">
        <v>0</v>
      </c>
      <c r="P11">
        <v>0</v>
      </c>
      <c r="Q11" s="14">
        <f>(((N11*60)+O11)*60)+P11</f>
        <v>0</v>
      </c>
      <c r="R11" s="13">
        <f>INT(U11/60/60)</f>
        <v>0</v>
      </c>
      <c r="S11">
        <f>INT((U11-(R11*60*60))/60)</f>
        <v>0</v>
      </c>
      <c r="T11">
        <f>U11-(((R11*60)+S11)*60)</f>
        <v>0</v>
      </c>
      <c r="U11" s="14">
        <f>((H11*60)+I11)+Q11</f>
        <v>0</v>
      </c>
      <c r="V11" s="15">
        <v>45107</v>
      </c>
      <c r="Z11" s="14"/>
    </row>
    <row r="12" spans="1:26" x14ac:dyDescent="0.25">
      <c r="A12" s="16"/>
      <c r="B12" s="17" t="b">
        <f t="shared" si="0"/>
        <v>0</v>
      </c>
      <c r="C12" s="17" t="b">
        <f>OR(AND(NOT(ISERROR(FIND("min",A13))),ISNUMBER(VALUE(LEFT(A13,FIND("m",A13)-1)))),AND(NOT(ISERROR(FIND("s",A13))),ISNUMBER(VALUE(LEFT(A13,FIND("s",A13)-1)))))</f>
        <v>0</v>
      </c>
      <c r="D12" s="17">
        <f t="shared" ref="D12:D75" si="7">IF(B12,0,IF(C12,D11+1,D11))</f>
        <v>0</v>
      </c>
      <c r="E12" s="17" t="str">
        <f t="shared" ref="E12:E75" si="8">SUBSTITUTE(IF(B12,A12,E11),":", " -")</f>
        <v xml:space="preserve"> </v>
      </c>
      <c r="F12" s="18" t="str">
        <f t="shared" ref="F12:F75" si="9">IF(C12,A12,"")</f>
        <v/>
      </c>
      <c r="G12" s="13" t="str">
        <f t="shared" si="1"/>
        <v/>
      </c>
      <c r="H12">
        <f t="shared" si="2"/>
        <v>0</v>
      </c>
      <c r="I12" s="14">
        <f t="shared" ref="I12:I75" si="10">IF(OR(G12="",ISERROR(FIND("s",G12))),0,VALUE(SUBSTITUTE(MID(G12,IF(ISERROR(FIND("m",G12)), 0,FIND("m",G12))+1,LEN(G12)),"s","")))</f>
        <v>0</v>
      </c>
      <c r="J12" s="13">
        <f t="shared" si="3"/>
        <v>0</v>
      </c>
      <c r="K12">
        <f t="shared" si="4"/>
        <v>0</v>
      </c>
      <c r="L12">
        <f t="shared" si="5"/>
        <v>0</v>
      </c>
      <c r="M12" s="14">
        <f t="shared" si="6"/>
        <v>0</v>
      </c>
      <c r="N12" s="13">
        <f t="shared" ref="N12:P27" si="11">R11</f>
        <v>0</v>
      </c>
      <c r="O12">
        <f t="shared" si="11"/>
        <v>0</v>
      </c>
      <c r="P12">
        <f t="shared" si="11"/>
        <v>0</v>
      </c>
      <c r="Q12" s="14">
        <f>(((N12*60)+O12)*60)+P12</f>
        <v>0</v>
      </c>
      <c r="R12" s="13">
        <f>INT(U12/60/60)</f>
        <v>0</v>
      </c>
      <c r="S12">
        <f>INT((U12-(R12*60*60))/60)</f>
        <v>0</v>
      </c>
      <c r="T12">
        <f>U12-(((R12*60)+S12)*60)</f>
        <v>0</v>
      </c>
      <c r="U12" s="14">
        <f>((H12*60)+I12)+Q12</f>
        <v>0</v>
      </c>
      <c r="V12" s="15"/>
      <c r="Z12" s="14"/>
    </row>
    <row r="13" spans="1:26" x14ac:dyDescent="0.25">
      <c r="A13" s="16" t="s">
        <v>115</v>
      </c>
      <c r="B13" s="17" t="b">
        <f t="shared" si="0"/>
        <v>1</v>
      </c>
      <c r="C13" s="17" t="b">
        <f>OR(AND(NOT(ISERROR(FIND("min",A14))),ISNUMBER(VALUE(LEFT(A14,FIND("m",A14)-1)))),AND(NOT(ISERROR(FIND("s",A14))),ISNUMBER(VALUE(LEFT(A14,FIND("s",A14)-1)))))</f>
        <v>0</v>
      </c>
      <c r="D13" s="17">
        <f t="shared" si="7"/>
        <v>0</v>
      </c>
      <c r="E13" s="17" t="str">
        <f t="shared" si="8"/>
        <v>Section 1 - Introduction</v>
      </c>
      <c r="F13" s="18" t="str">
        <f t="shared" si="9"/>
        <v/>
      </c>
      <c r="G13" s="13" t="str">
        <f t="shared" si="1"/>
        <v/>
      </c>
      <c r="H13">
        <f t="shared" si="2"/>
        <v>0</v>
      </c>
      <c r="I13" s="14">
        <f t="shared" si="10"/>
        <v>0</v>
      </c>
      <c r="J13" s="13">
        <f t="shared" si="3"/>
        <v>0</v>
      </c>
      <c r="K13">
        <f t="shared" si="4"/>
        <v>0</v>
      </c>
      <c r="L13">
        <f t="shared" si="5"/>
        <v>0</v>
      </c>
      <c r="M13" s="14">
        <f t="shared" si="6"/>
        <v>0</v>
      </c>
      <c r="N13" s="13">
        <f t="shared" si="11"/>
        <v>0</v>
      </c>
      <c r="O13">
        <f t="shared" si="11"/>
        <v>0</v>
      </c>
      <c r="P13">
        <f t="shared" si="11"/>
        <v>0</v>
      </c>
      <c r="Q13" s="14">
        <f>(((N13*60)+O13)*60)+P13</f>
        <v>0</v>
      </c>
      <c r="R13" s="13">
        <f>INT(U13/60/60)</f>
        <v>0</v>
      </c>
      <c r="S13">
        <f>INT((U13-(R13*60*60))/60)</f>
        <v>0</v>
      </c>
      <c r="T13">
        <f>U13-(((R13*60)+S13)*60)</f>
        <v>0</v>
      </c>
      <c r="U13" s="14">
        <f>((H13*60)+I13)+Q13</f>
        <v>0</v>
      </c>
      <c r="V13" s="15"/>
      <c r="Z13" s="14"/>
    </row>
    <row r="14" spans="1:26" x14ac:dyDescent="0.25">
      <c r="A14" s="16" t="s">
        <v>116</v>
      </c>
      <c r="B14" s="17" t="b">
        <f t="shared" si="0"/>
        <v>0</v>
      </c>
      <c r="C14" s="17" t="b">
        <f>OR(AND(NOT(ISERROR(FIND("min",A15))),ISNUMBER(VALUE(LEFT(A15,FIND("m",A15)-1)))),AND(NOT(ISERROR(FIND("s",A15))),ISNUMBER(VALUE(LEFT(A15,FIND("s",A15)-1)))))</f>
        <v>0</v>
      </c>
      <c r="D14" s="17">
        <f t="shared" si="7"/>
        <v>0</v>
      </c>
      <c r="E14" s="17" t="str">
        <f t="shared" si="8"/>
        <v>Section 1 - Introduction</v>
      </c>
      <c r="F14" s="18" t="str">
        <f t="shared" si="9"/>
        <v/>
      </c>
      <c r="G14" s="13" t="str">
        <f t="shared" si="1"/>
        <v/>
      </c>
      <c r="H14">
        <f t="shared" si="2"/>
        <v>0</v>
      </c>
      <c r="I14" s="14">
        <f t="shared" si="10"/>
        <v>0</v>
      </c>
      <c r="J14" s="13">
        <f t="shared" si="3"/>
        <v>0</v>
      </c>
      <c r="K14">
        <f t="shared" si="4"/>
        <v>0</v>
      </c>
      <c r="L14">
        <f t="shared" si="5"/>
        <v>0</v>
      </c>
      <c r="M14" s="14">
        <f t="shared" si="6"/>
        <v>0</v>
      </c>
      <c r="N14" s="13">
        <f t="shared" si="11"/>
        <v>0</v>
      </c>
      <c r="O14">
        <f t="shared" si="11"/>
        <v>0</v>
      </c>
      <c r="P14">
        <f t="shared" si="11"/>
        <v>0</v>
      </c>
      <c r="Q14" s="14">
        <f t="shared" ref="Q14:Q77" si="12">(((N14*60)+O14)*60)+P14</f>
        <v>0</v>
      </c>
      <c r="R14" s="13">
        <f t="shared" ref="R14:R77" si="13">INT(U14/60/60)</f>
        <v>0</v>
      </c>
      <c r="S14">
        <f t="shared" ref="S14:S77" si="14">INT((U14-(R14*60*60))/60)</f>
        <v>0</v>
      </c>
      <c r="T14">
        <f t="shared" ref="T14:T77" si="15">U14-(((R14*60)+S14)*60)</f>
        <v>0</v>
      </c>
      <c r="U14" s="14">
        <f t="shared" ref="U14:U77" si="16">((H14*60)+I14)+Q14</f>
        <v>0</v>
      </c>
      <c r="V14" s="15"/>
      <c r="Z14" s="14"/>
    </row>
    <row r="15" spans="1:26" x14ac:dyDescent="0.25">
      <c r="A15" s="16" t="s">
        <v>116</v>
      </c>
      <c r="B15" s="17" t="b">
        <f t="shared" si="0"/>
        <v>0</v>
      </c>
      <c r="C15" s="17" t="b">
        <f>OR(AND(NOT(ISERROR(FIND("min",A16))),ISNUMBER(VALUE(LEFT(A16,FIND("m",A16)-1)))),AND(NOT(ISERROR(FIND("s",A16))),ISNUMBER(VALUE(LEFT(A16,FIND("s",A16)-1)))))</f>
        <v>1</v>
      </c>
      <c r="D15" s="17">
        <f t="shared" si="7"/>
        <v>1</v>
      </c>
      <c r="E15" s="17" t="str">
        <f t="shared" si="8"/>
        <v>Section 1 - Introduction</v>
      </c>
      <c r="F15" s="18" t="str">
        <f t="shared" si="9"/>
        <v>1. A basic introduction to the course, and about the instructor.</v>
      </c>
      <c r="G15" s="13" t="str">
        <f t="shared" si="1"/>
        <v>2m</v>
      </c>
      <c r="H15">
        <f t="shared" si="2"/>
        <v>2</v>
      </c>
      <c r="I15" s="14">
        <f t="shared" si="10"/>
        <v>0</v>
      </c>
      <c r="J15" s="13">
        <f t="shared" si="3"/>
        <v>120</v>
      </c>
      <c r="K15">
        <f t="shared" si="4"/>
        <v>0</v>
      </c>
      <c r="L15">
        <f t="shared" si="5"/>
        <v>2</v>
      </c>
      <c r="M15" s="14">
        <f t="shared" si="6"/>
        <v>0</v>
      </c>
      <c r="N15" s="13">
        <f t="shared" si="11"/>
        <v>0</v>
      </c>
      <c r="O15">
        <f t="shared" si="11"/>
        <v>0</v>
      </c>
      <c r="P15">
        <f t="shared" si="11"/>
        <v>0</v>
      </c>
      <c r="Q15" s="14">
        <f t="shared" si="12"/>
        <v>0</v>
      </c>
      <c r="R15" s="13">
        <f t="shared" si="13"/>
        <v>0</v>
      </c>
      <c r="S15">
        <f t="shared" si="14"/>
        <v>2</v>
      </c>
      <c r="T15">
        <f t="shared" si="15"/>
        <v>0</v>
      </c>
      <c r="U15" s="14">
        <f t="shared" si="16"/>
        <v>120</v>
      </c>
      <c r="V15" s="15"/>
      <c r="Z15" s="14"/>
    </row>
    <row r="16" spans="1:26" x14ac:dyDescent="0.25">
      <c r="A16" s="16" t="s">
        <v>117</v>
      </c>
      <c r="B16" s="17" t="b">
        <f t="shared" si="0"/>
        <v>0</v>
      </c>
      <c r="C16" s="17" t="b">
        <f t="shared" ref="C16:C79" si="17">OR(AND(NOT(ISERROR(FIND("m",A17))),ISNUMBER(VALUE(LEFT(A17,FIND("m",A17)-1)))),AND(NOT(ISERROR(FIND("s",A17))),ISNUMBER(VALUE(LEFT(A17,FIND("s",A17)-1)))))</f>
        <v>0</v>
      </c>
      <c r="D16" s="17">
        <f t="shared" si="7"/>
        <v>1</v>
      </c>
      <c r="E16" s="17" t="str">
        <f t="shared" si="8"/>
        <v>Section 1 - Introduction</v>
      </c>
      <c r="F16" s="18" t="str">
        <f t="shared" si="9"/>
        <v/>
      </c>
      <c r="G16" s="13" t="str">
        <f t="shared" si="1"/>
        <v/>
      </c>
      <c r="H16">
        <f t="shared" si="2"/>
        <v>0</v>
      </c>
      <c r="I16" s="14">
        <f t="shared" si="10"/>
        <v>0</v>
      </c>
      <c r="J16" s="13">
        <f t="shared" si="3"/>
        <v>120</v>
      </c>
      <c r="K16">
        <f t="shared" si="4"/>
        <v>0</v>
      </c>
      <c r="L16">
        <f t="shared" si="5"/>
        <v>2</v>
      </c>
      <c r="M16" s="14">
        <f t="shared" si="6"/>
        <v>0</v>
      </c>
      <c r="N16" s="13">
        <f t="shared" si="11"/>
        <v>0</v>
      </c>
      <c r="O16">
        <f t="shared" si="11"/>
        <v>2</v>
      </c>
      <c r="P16">
        <f t="shared" si="11"/>
        <v>0</v>
      </c>
      <c r="Q16" s="14">
        <f t="shared" si="12"/>
        <v>120</v>
      </c>
      <c r="R16" s="13">
        <f t="shared" si="13"/>
        <v>0</v>
      </c>
      <c r="S16">
        <f t="shared" si="14"/>
        <v>2</v>
      </c>
      <c r="T16">
        <f t="shared" si="15"/>
        <v>0</v>
      </c>
      <c r="U16" s="14">
        <f t="shared" si="16"/>
        <v>120</v>
      </c>
      <c r="V16" s="15"/>
      <c r="Z16" s="14"/>
    </row>
    <row r="17" spans="1:26" x14ac:dyDescent="0.25">
      <c r="A17" s="16"/>
      <c r="B17" s="17" t="b">
        <f t="shared" si="0"/>
        <v>0</v>
      </c>
      <c r="C17" s="17" t="b">
        <f t="shared" si="17"/>
        <v>0</v>
      </c>
      <c r="D17" s="17">
        <f t="shared" si="7"/>
        <v>1</v>
      </c>
      <c r="E17" s="17" t="str">
        <f t="shared" si="8"/>
        <v>Section 1 - Introduction</v>
      </c>
      <c r="F17" s="18" t="str">
        <f t="shared" si="9"/>
        <v/>
      </c>
      <c r="G17" s="13" t="str">
        <f t="shared" si="1"/>
        <v/>
      </c>
      <c r="H17">
        <f t="shared" si="2"/>
        <v>0</v>
      </c>
      <c r="I17" s="14">
        <f t="shared" si="10"/>
        <v>0</v>
      </c>
      <c r="J17" s="13">
        <f t="shared" si="3"/>
        <v>120</v>
      </c>
      <c r="K17">
        <f t="shared" si="4"/>
        <v>0</v>
      </c>
      <c r="L17">
        <f t="shared" si="5"/>
        <v>2</v>
      </c>
      <c r="M17" s="14">
        <f t="shared" si="6"/>
        <v>0</v>
      </c>
      <c r="N17" s="13">
        <f t="shared" si="11"/>
        <v>0</v>
      </c>
      <c r="O17">
        <f t="shared" si="11"/>
        <v>2</v>
      </c>
      <c r="P17">
        <f t="shared" si="11"/>
        <v>0</v>
      </c>
      <c r="Q17" s="14">
        <f t="shared" si="12"/>
        <v>120</v>
      </c>
      <c r="R17" s="13">
        <f t="shared" si="13"/>
        <v>0</v>
      </c>
      <c r="S17">
        <f t="shared" si="14"/>
        <v>2</v>
      </c>
      <c r="T17">
        <f t="shared" si="15"/>
        <v>0</v>
      </c>
      <c r="U17" s="14">
        <f t="shared" si="16"/>
        <v>120</v>
      </c>
      <c r="V17" s="15"/>
      <c r="Z17" s="14"/>
    </row>
    <row r="18" spans="1:26" x14ac:dyDescent="0.25">
      <c r="A18" s="16" t="s">
        <v>118</v>
      </c>
      <c r="B18" s="17" t="b">
        <f>AND(NOT(ISERROR(FIND("Section ",A18))),NOT(ISERROR(FIND("Section ",A18))))</f>
        <v>1</v>
      </c>
      <c r="C18" s="17" t="b">
        <f t="shared" si="17"/>
        <v>0</v>
      </c>
      <c r="D18" s="17">
        <f t="shared" si="7"/>
        <v>0</v>
      </c>
      <c r="E18" s="17" t="str">
        <f t="shared" si="8"/>
        <v>Section 2 - REST API Basics</v>
      </c>
      <c r="F18" s="18" t="str">
        <f t="shared" si="9"/>
        <v/>
      </c>
      <c r="G18" s="13" t="str">
        <f t="shared" si="1"/>
        <v/>
      </c>
      <c r="H18">
        <f t="shared" si="2"/>
        <v>0</v>
      </c>
      <c r="I18" s="14">
        <f t="shared" si="10"/>
        <v>0</v>
      </c>
      <c r="J18" s="13">
        <f t="shared" si="3"/>
        <v>120</v>
      </c>
      <c r="K18">
        <f t="shared" si="4"/>
        <v>0</v>
      </c>
      <c r="L18">
        <f t="shared" si="5"/>
        <v>2</v>
      </c>
      <c r="M18" s="14">
        <f t="shared" si="6"/>
        <v>0</v>
      </c>
      <c r="N18" s="13">
        <f t="shared" si="11"/>
        <v>0</v>
      </c>
      <c r="O18">
        <f t="shared" si="11"/>
        <v>2</v>
      </c>
      <c r="P18">
        <f t="shared" si="11"/>
        <v>0</v>
      </c>
      <c r="Q18" s="14">
        <f t="shared" si="12"/>
        <v>120</v>
      </c>
      <c r="R18" s="13">
        <f t="shared" si="13"/>
        <v>0</v>
      </c>
      <c r="S18">
        <f t="shared" si="14"/>
        <v>2</v>
      </c>
      <c r="T18">
        <f t="shared" si="15"/>
        <v>0</v>
      </c>
      <c r="U18" s="14">
        <f t="shared" si="16"/>
        <v>120</v>
      </c>
      <c r="V18" s="15"/>
      <c r="Z18" s="14"/>
    </row>
    <row r="19" spans="1:26" x14ac:dyDescent="0.25">
      <c r="A19" s="16" t="s">
        <v>119</v>
      </c>
      <c r="B19" s="17" t="b">
        <f t="shared" ref="B19:B82" si="18">AND(NOT(ISERROR(FIND("Section ",A19))),NOT(ISERROR(FIND("Section ",A19))))</f>
        <v>0</v>
      </c>
      <c r="C19" s="17" t="b">
        <f t="shared" si="17"/>
        <v>1</v>
      </c>
      <c r="D19" s="17">
        <f t="shared" si="7"/>
        <v>1</v>
      </c>
      <c r="E19" s="17" t="str">
        <f t="shared" si="8"/>
        <v>Section 2 - REST API Basics</v>
      </c>
      <c r="F19" s="18" t="str">
        <f t="shared" si="9"/>
        <v>2. Anatomy of a Spring Boot application</v>
      </c>
      <c r="G19" s="13" t="str">
        <f t="shared" si="1"/>
        <v>5m</v>
      </c>
      <c r="H19">
        <f t="shared" si="2"/>
        <v>5</v>
      </c>
      <c r="I19" s="14">
        <f t="shared" si="10"/>
        <v>0</v>
      </c>
      <c r="J19" s="13">
        <f t="shared" si="3"/>
        <v>420</v>
      </c>
      <c r="K19">
        <f t="shared" si="4"/>
        <v>0</v>
      </c>
      <c r="L19">
        <f t="shared" si="5"/>
        <v>7</v>
      </c>
      <c r="M19" s="14">
        <f t="shared" si="6"/>
        <v>0</v>
      </c>
      <c r="N19" s="13">
        <f t="shared" si="11"/>
        <v>0</v>
      </c>
      <c r="O19">
        <v>0</v>
      </c>
      <c r="P19">
        <f t="shared" si="11"/>
        <v>0</v>
      </c>
      <c r="Q19" s="14">
        <f t="shared" si="12"/>
        <v>0</v>
      </c>
      <c r="R19" s="13">
        <f t="shared" si="13"/>
        <v>0</v>
      </c>
      <c r="S19">
        <f t="shared" si="14"/>
        <v>5</v>
      </c>
      <c r="T19">
        <f t="shared" si="15"/>
        <v>0</v>
      </c>
      <c r="U19" s="14">
        <f t="shared" si="16"/>
        <v>300</v>
      </c>
      <c r="V19" s="15"/>
      <c r="Z19" s="14"/>
    </row>
    <row r="20" spans="1:26" x14ac:dyDescent="0.25">
      <c r="A20" s="16" t="s">
        <v>120</v>
      </c>
      <c r="B20" s="17" t="b">
        <f t="shared" si="18"/>
        <v>0</v>
      </c>
      <c r="C20" s="17" t="b">
        <f t="shared" si="17"/>
        <v>0</v>
      </c>
      <c r="D20" s="17">
        <f t="shared" si="7"/>
        <v>1</v>
      </c>
      <c r="E20" s="17" t="str">
        <f t="shared" si="8"/>
        <v>Section 2 - REST API Basics</v>
      </c>
      <c r="F20" s="18" t="str">
        <f t="shared" si="9"/>
        <v/>
      </c>
      <c r="G20" s="13" t="str">
        <f t="shared" si="1"/>
        <v/>
      </c>
      <c r="H20">
        <f t="shared" si="2"/>
        <v>0</v>
      </c>
      <c r="I20" s="14">
        <f t="shared" si="10"/>
        <v>0</v>
      </c>
      <c r="J20" s="13">
        <f t="shared" si="3"/>
        <v>420</v>
      </c>
      <c r="K20">
        <f t="shared" si="4"/>
        <v>0</v>
      </c>
      <c r="L20">
        <f t="shared" si="5"/>
        <v>7</v>
      </c>
      <c r="M20" s="14">
        <f t="shared" si="6"/>
        <v>0</v>
      </c>
      <c r="N20" s="13">
        <f t="shared" si="11"/>
        <v>0</v>
      </c>
      <c r="O20">
        <f t="shared" si="11"/>
        <v>5</v>
      </c>
      <c r="P20">
        <f t="shared" si="11"/>
        <v>0</v>
      </c>
      <c r="Q20" s="14">
        <f t="shared" si="12"/>
        <v>300</v>
      </c>
      <c r="R20" s="13">
        <f t="shared" si="13"/>
        <v>0</v>
      </c>
      <c r="S20">
        <f t="shared" si="14"/>
        <v>5</v>
      </c>
      <c r="T20">
        <f t="shared" si="15"/>
        <v>0</v>
      </c>
      <c r="U20" s="14">
        <f t="shared" si="16"/>
        <v>300</v>
      </c>
      <c r="V20" s="15"/>
      <c r="Z20" s="14"/>
    </row>
    <row r="21" spans="1:26" x14ac:dyDescent="0.25">
      <c r="A21" s="16" t="s">
        <v>121</v>
      </c>
      <c r="B21" s="17" t="b">
        <f t="shared" si="18"/>
        <v>0</v>
      </c>
      <c r="C21" s="17" t="b">
        <f t="shared" si="17"/>
        <v>0</v>
      </c>
      <c r="D21" s="17">
        <f t="shared" si="7"/>
        <v>1</v>
      </c>
      <c r="E21" s="17" t="str">
        <f t="shared" si="8"/>
        <v>Section 2 - REST API Basics</v>
      </c>
      <c r="F21" s="18" t="str">
        <f t="shared" si="9"/>
        <v/>
      </c>
      <c r="G21" s="13" t="str">
        <f t="shared" si="1"/>
        <v/>
      </c>
      <c r="H21">
        <f t="shared" si="2"/>
        <v>0</v>
      </c>
      <c r="I21" s="14">
        <f t="shared" si="10"/>
        <v>0</v>
      </c>
      <c r="J21" s="13">
        <f t="shared" si="3"/>
        <v>420</v>
      </c>
      <c r="K21">
        <f t="shared" si="4"/>
        <v>0</v>
      </c>
      <c r="L21">
        <f t="shared" si="5"/>
        <v>7</v>
      </c>
      <c r="M21" s="14">
        <f t="shared" si="6"/>
        <v>0</v>
      </c>
      <c r="N21" s="13">
        <f t="shared" si="11"/>
        <v>0</v>
      </c>
      <c r="O21">
        <f t="shared" si="11"/>
        <v>5</v>
      </c>
      <c r="P21">
        <f t="shared" si="11"/>
        <v>0</v>
      </c>
      <c r="Q21" s="14">
        <f t="shared" si="12"/>
        <v>300</v>
      </c>
      <c r="R21" s="13">
        <f t="shared" si="13"/>
        <v>0</v>
      </c>
      <c r="S21">
        <f t="shared" si="14"/>
        <v>5</v>
      </c>
      <c r="T21">
        <f t="shared" si="15"/>
        <v>0</v>
      </c>
      <c r="U21" s="14">
        <f t="shared" si="16"/>
        <v>300</v>
      </c>
      <c r="V21" s="15"/>
      <c r="Z21" s="14"/>
    </row>
    <row r="22" spans="1:26" x14ac:dyDescent="0.25">
      <c r="A22" s="16" t="s">
        <v>122</v>
      </c>
      <c r="B22" s="17" t="b">
        <f t="shared" si="18"/>
        <v>0</v>
      </c>
      <c r="C22" s="17" t="b">
        <f t="shared" si="17"/>
        <v>1</v>
      </c>
      <c r="D22" s="17">
        <f t="shared" si="7"/>
        <v>2</v>
      </c>
      <c r="E22" s="17" t="str">
        <f t="shared" si="8"/>
        <v>Section 2 - REST API Basics</v>
      </c>
      <c r="F22" s="18" t="str">
        <f t="shared" si="9"/>
        <v>3. Custom Request Annotations Introduction</v>
      </c>
      <c r="G22" s="13" t="str">
        <f t="shared" si="1"/>
        <v>3m</v>
      </c>
      <c r="H22">
        <f t="shared" si="2"/>
        <v>3</v>
      </c>
      <c r="I22" s="14">
        <f t="shared" si="10"/>
        <v>0</v>
      </c>
      <c r="J22" s="13">
        <f t="shared" si="3"/>
        <v>600</v>
      </c>
      <c r="K22">
        <f t="shared" si="4"/>
        <v>0</v>
      </c>
      <c r="L22">
        <f t="shared" si="5"/>
        <v>10</v>
      </c>
      <c r="M22" s="14">
        <f t="shared" si="6"/>
        <v>0</v>
      </c>
      <c r="N22" s="13">
        <f t="shared" si="11"/>
        <v>0</v>
      </c>
      <c r="O22">
        <f t="shared" si="11"/>
        <v>5</v>
      </c>
      <c r="P22">
        <f t="shared" si="11"/>
        <v>0</v>
      </c>
      <c r="Q22" s="14">
        <f t="shared" si="12"/>
        <v>300</v>
      </c>
      <c r="R22" s="13">
        <f t="shared" si="13"/>
        <v>0</v>
      </c>
      <c r="S22">
        <f t="shared" si="14"/>
        <v>8</v>
      </c>
      <c r="T22">
        <f t="shared" si="15"/>
        <v>0</v>
      </c>
      <c r="U22" s="14">
        <f t="shared" si="16"/>
        <v>480</v>
      </c>
      <c r="V22" s="15"/>
      <c r="Z22" s="14"/>
    </row>
    <row r="23" spans="1:26" x14ac:dyDescent="0.25">
      <c r="A23" s="16" t="s">
        <v>123</v>
      </c>
      <c r="B23" s="17" t="b">
        <f t="shared" si="18"/>
        <v>0</v>
      </c>
      <c r="C23" s="17" t="b">
        <f t="shared" si="17"/>
        <v>0</v>
      </c>
      <c r="D23" s="17">
        <f t="shared" si="7"/>
        <v>2</v>
      </c>
      <c r="E23" s="17" t="str">
        <f t="shared" si="8"/>
        <v>Section 2 - REST API Basics</v>
      </c>
      <c r="F23" s="18" t="str">
        <f t="shared" si="9"/>
        <v/>
      </c>
      <c r="G23" s="13" t="str">
        <f t="shared" si="1"/>
        <v/>
      </c>
      <c r="H23">
        <f t="shared" si="2"/>
        <v>0</v>
      </c>
      <c r="I23" s="14">
        <f t="shared" si="10"/>
        <v>0</v>
      </c>
      <c r="J23" s="13">
        <f t="shared" si="3"/>
        <v>600</v>
      </c>
      <c r="K23">
        <f t="shared" si="4"/>
        <v>0</v>
      </c>
      <c r="L23">
        <f t="shared" si="5"/>
        <v>10</v>
      </c>
      <c r="M23" s="14">
        <f t="shared" si="6"/>
        <v>0</v>
      </c>
      <c r="N23" s="13">
        <f t="shared" si="11"/>
        <v>0</v>
      </c>
      <c r="O23">
        <f t="shared" si="11"/>
        <v>8</v>
      </c>
      <c r="P23">
        <f t="shared" si="11"/>
        <v>0</v>
      </c>
      <c r="Q23" s="14">
        <f t="shared" si="12"/>
        <v>480</v>
      </c>
      <c r="R23" s="13">
        <f t="shared" si="13"/>
        <v>0</v>
      </c>
      <c r="S23">
        <f t="shared" si="14"/>
        <v>8</v>
      </c>
      <c r="T23">
        <f t="shared" si="15"/>
        <v>0</v>
      </c>
      <c r="U23" s="14">
        <f t="shared" si="16"/>
        <v>480</v>
      </c>
      <c r="V23" s="15"/>
      <c r="Z23" s="14"/>
    </row>
    <row r="24" spans="1:26" x14ac:dyDescent="0.25">
      <c r="A24" s="16" t="s">
        <v>121</v>
      </c>
      <c r="B24" s="17" t="b">
        <f t="shared" si="18"/>
        <v>0</v>
      </c>
      <c r="C24" s="17" t="b">
        <f t="shared" si="17"/>
        <v>0</v>
      </c>
      <c r="D24" s="17">
        <f t="shared" si="7"/>
        <v>2</v>
      </c>
      <c r="E24" s="17" t="str">
        <f t="shared" si="8"/>
        <v>Section 2 - REST API Basics</v>
      </c>
      <c r="F24" s="18" t="str">
        <f t="shared" si="9"/>
        <v/>
      </c>
      <c r="G24" s="13" t="str">
        <f t="shared" si="1"/>
        <v/>
      </c>
      <c r="H24">
        <f t="shared" si="2"/>
        <v>0</v>
      </c>
      <c r="I24" s="14">
        <f t="shared" si="10"/>
        <v>0</v>
      </c>
      <c r="J24" s="13">
        <f t="shared" si="3"/>
        <v>600</v>
      </c>
      <c r="K24">
        <f t="shared" si="4"/>
        <v>0</v>
      </c>
      <c r="L24">
        <f t="shared" si="5"/>
        <v>10</v>
      </c>
      <c r="M24" s="14">
        <f t="shared" si="6"/>
        <v>0</v>
      </c>
      <c r="N24" s="13">
        <f t="shared" si="11"/>
        <v>0</v>
      </c>
      <c r="O24">
        <f t="shared" si="11"/>
        <v>8</v>
      </c>
      <c r="P24">
        <f t="shared" si="11"/>
        <v>0</v>
      </c>
      <c r="Q24" s="14">
        <f t="shared" si="12"/>
        <v>480</v>
      </c>
      <c r="R24" s="13">
        <f t="shared" si="13"/>
        <v>0</v>
      </c>
      <c r="S24">
        <f t="shared" si="14"/>
        <v>8</v>
      </c>
      <c r="T24">
        <f t="shared" si="15"/>
        <v>0</v>
      </c>
      <c r="U24" s="14">
        <f t="shared" si="16"/>
        <v>480</v>
      </c>
      <c r="V24" s="15"/>
      <c r="Z24" s="14"/>
    </row>
    <row r="25" spans="1:26" x14ac:dyDescent="0.25">
      <c r="A25" s="16" t="s">
        <v>124</v>
      </c>
      <c r="B25" s="17" t="b">
        <f t="shared" si="18"/>
        <v>0</v>
      </c>
      <c r="C25" s="17" t="b">
        <f t="shared" si="17"/>
        <v>1</v>
      </c>
      <c r="D25" s="17">
        <f t="shared" si="7"/>
        <v>3</v>
      </c>
      <c r="E25" s="17" t="str">
        <f t="shared" si="8"/>
        <v>Section 2 - REST API Basics</v>
      </c>
      <c r="F25" s="18" t="str">
        <f t="shared" si="9"/>
        <v>4. GET and POST mappings with custom annotations</v>
      </c>
      <c r="G25" s="13" t="str">
        <f t="shared" si="1"/>
        <v>4m</v>
      </c>
      <c r="H25">
        <f t="shared" si="2"/>
        <v>4</v>
      </c>
      <c r="I25" s="14">
        <f t="shared" si="10"/>
        <v>0</v>
      </c>
      <c r="J25" s="13">
        <f t="shared" si="3"/>
        <v>840</v>
      </c>
      <c r="K25">
        <f t="shared" si="4"/>
        <v>0</v>
      </c>
      <c r="L25">
        <f t="shared" si="5"/>
        <v>14</v>
      </c>
      <c r="M25" s="14">
        <f t="shared" si="6"/>
        <v>0</v>
      </c>
      <c r="N25" s="13">
        <f t="shared" si="11"/>
        <v>0</v>
      </c>
      <c r="O25">
        <f t="shared" si="11"/>
        <v>8</v>
      </c>
      <c r="P25">
        <f t="shared" si="11"/>
        <v>0</v>
      </c>
      <c r="Q25" s="14">
        <f t="shared" si="12"/>
        <v>480</v>
      </c>
      <c r="R25" s="13">
        <f t="shared" si="13"/>
        <v>0</v>
      </c>
      <c r="S25">
        <f t="shared" si="14"/>
        <v>12</v>
      </c>
      <c r="T25">
        <f t="shared" si="15"/>
        <v>0</v>
      </c>
      <c r="U25" s="14">
        <f t="shared" si="16"/>
        <v>720</v>
      </c>
      <c r="V25" s="15"/>
      <c r="Z25" s="14"/>
    </row>
    <row r="26" spans="1:26" x14ac:dyDescent="0.25">
      <c r="A26" s="16" t="s">
        <v>125</v>
      </c>
      <c r="B26" s="17" t="b">
        <f t="shared" si="18"/>
        <v>0</v>
      </c>
      <c r="C26" s="17" t="b">
        <f t="shared" si="17"/>
        <v>0</v>
      </c>
      <c r="D26" s="17">
        <f t="shared" si="7"/>
        <v>3</v>
      </c>
      <c r="E26" s="17" t="str">
        <f t="shared" si="8"/>
        <v>Section 2 - REST API Basics</v>
      </c>
      <c r="F26" s="18" t="str">
        <f t="shared" si="9"/>
        <v/>
      </c>
      <c r="G26" s="13" t="str">
        <f t="shared" si="1"/>
        <v/>
      </c>
      <c r="H26">
        <f t="shared" si="2"/>
        <v>0</v>
      </c>
      <c r="I26" s="14">
        <f t="shared" si="10"/>
        <v>0</v>
      </c>
      <c r="J26" s="13">
        <f t="shared" si="3"/>
        <v>840</v>
      </c>
      <c r="K26">
        <f t="shared" si="4"/>
        <v>0</v>
      </c>
      <c r="L26">
        <f t="shared" si="5"/>
        <v>14</v>
      </c>
      <c r="M26" s="14">
        <f t="shared" si="6"/>
        <v>0</v>
      </c>
      <c r="N26" s="13">
        <f t="shared" si="11"/>
        <v>0</v>
      </c>
      <c r="O26">
        <f t="shared" si="11"/>
        <v>12</v>
      </c>
      <c r="P26">
        <f t="shared" si="11"/>
        <v>0</v>
      </c>
      <c r="Q26" s="14">
        <f t="shared" si="12"/>
        <v>720</v>
      </c>
      <c r="R26" s="13">
        <f t="shared" si="13"/>
        <v>0</v>
      </c>
      <c r="S26">
        <f t="shared" si="14"/>
        <v>12</v>
      </c>
      <c r="T26">
        <f t="shared" si="15"/>
        <v>0</v>
      </c>
      <c r="U26" s="14">
        <f t="shared" si="16"/>
        <v>720</v>
      </c>
      <c r="V26" s="15"/>
      <c r="Z26" s="14"/>
    </row>
    <row r="27" spans="1:26" x14ac:dyDescent="0.25">
      <c r="A27" s="16"/>
      <c r="B27" s="17" t="b">
        <f t="shared" si="18"/>
        <v>0</v>
      </c>
      <c r="C27" s="17" t="b">
        <f t="shared" si="17"/>
        <v>0</v>
      </c>
      <c r="D27" s="17">
        <f t="shared" si="7"/>
        <v>3</v>
      </c>
      <c r="E27" s="17" t="str">
        <f t="shared" si="8"/>
        <v>Section 2 - REST API Basics</v>
      </c>
      <c r="F27" s="18" t="str">
        <f t="shared" si="9"/>
        <v/>
      </c>
      <c r="G27" s="13" t="str">
        <f t="shared" si="1"/>
        <v/>
      </c>
      <c r="H27">
        <f t="shared" si="2"/>
        <v>0</v>
      </c>
      <c r="I27" s="14">
        <f t="shared" si="10"/>
        <v>0</v>
      </c>
      <c r="J27" s="13">
        <f t="shared" si="3"/>
        <v>840</v>
      </c>
      <c r="K27">
        <f t="shared" si="4"/>
        <v>0</v>
      </c>
      <c r="L27">
        <f t="shared" si="5"/>
        <v>14</v>
      </c>
      <c r="M27" s="14">
        <f t="shared" si="6"/>
        <v>0</v>
      </c>
      <c r="N27" s="13">
        <f t="shared" si="11"/>
        <v>0</v>
      </c>
      <c r="O27">
        <f t="shared" si="11"/>
        <v>12</v>
      </c>
      <c r="P27">
        <f t="shared" si="11"/>
        <v>0</v>
      </c>
      <c r="Q27" s="14">
        <f t="shared" si="12"/>
        <v>720</v>
      </c>
      <c r="R27" s="13">
        <f t="shared" si="13"/>
        <v>0</v>
      </c>
      <c r="S27">
        <f t="shared" si="14"/>
        <v>12</v>
      </c>
      <c r="T27">
        <f t="shared" si="15"/>
        <v>0</v>
      </c>
      <c r="U27" s="14">
        <f t="shared" si="16"/>
        <v>720</v>
      </c>
      <c r="V27" s="15"/>
      <c r="Z27" s="14"/>
    </row>
    <row r="28" spans="1:26" x14ac:dyDescent="0.25">
      <c r="A28" s="16" t="s">
        <v>101</v>
      </c>
      <c r="B28" s="17" t="b">
        <f t="shared" si="18"/>
        <v>0</v>
      </c>
      <c r="C28" s="17" t="b">
        <f t="shared" si="17"/>
        <v>0</v>
      </c>
      <c r="D28" s="17">
        <f t="shared" si="7"/>
        <v>3</v>
      </c>
      <c r="E28" s="17" t="str">
        <f t="shared" si="8"/>
        <v>Section 2 - REST API Basics</v>
      </c>
      <c r="F28" s="18" t="str">
        <f t="shared" si="9"/>
        <v/>
      </c>
      <c r="G28" s="13" t="str">
        <f t="shared" si="1"/>
        <v/>
      </c>
      <c r="H28">
        <f t="shared" si="2"/>
        <v>0</v>
      </c>
      <c r="I28" s="14">
        <f t="shared" si="10"/>
        <v>0</v>
      </c>
      <c r="J28" s="13">
        <f t="shared" si="3"/>
        <v>840</v>
      </c>
      <c r="K28">
        <f t="shared" si="4"/>
        <v>0</v>
      </c>
      <c r="L28">
        <f t="shared" si="5"/>
        <v>14</v>
      </c>
      <c r="M28" s="14">
        <f t="shared" si="6"/>
        <v>0</v>
      </c>
      <c r="N28" s="13">
        <f t="shared" ref="N28:P91" si="19">R27</f>
        <v>0</v>
      </c>
      <c r="O28">
        <f t="shared" si="19"/>
        <v>12</v>
      </c>
      <c r="P28">
        <f t="shared" si="19"/>
        <v>0</v>
      </c>
      <c r="Q28" s="14">
        <f t="shared" si="12"/>
        <v>720</v>
      </c>
      <c r="R28" s="13">
        <f t="shared" si="13"/>
        <v>0</v>
      </c>
      <c r="S28">
        <f t="shared" si="14"/>
        <v>12</v>
      </c>
      <c r="T28">
        <f t="shared" si="15"/>
        <v>0</v>
      </c>
      <c r="U28" s="14">
        <f t="shared" si="16"/>
        <v>720</v>
      </c>
      <c r="V28" s="15"/>
      <c r="Z28" s="14"/>
    </row>
    <row r="29" spans="1:26" x14ac:dyDescent="0.25">
      <c r="A29" s="16" t="s">
        <v>126</v>
      </c>
      <c r="B29" s="17" t="b">
        <f t="shared" si="18"/>
        <v>0</v>
      </c>
      <c r="C29" s="17" t="b">
        <f t="shared" si="17"/>
        <v>0</v>
      </c>
      <c r="D29" s="17">
        <f t="shared" si="7"/>
        <v>3</v>
      </c>
      <c r="E29" s="17" t="str">
        <f t="shared" si="8"/>
        <v>Section 2 - REST API Basics</v>
      </c>
      <c r="F29" s="18" t="str">
        <f t="shared" si="9"/>
        <v/>
      </c>
      <c r="G29" s="13" t="str">
        <f t="shared" si="1"/>
        <v/>
      </c>
      <c r="H29">
        <f t="shared" si="2"/>
        <v>0</v>
      </c>
      <c r="I29" s="14">
        <f t="shared" si="10"/>
        <v>0</v>
      </c>
      <c r="J29" s="13">
        <f t="shared" si="3"/>
        <v>840</v>
      </c>
      <c r="K29">
        <f t="shared" si="4"/>
        <v>0</v>
      </c>
      <c r="L29">
        <f t="shared" si="5"/>
        <v>14</v>
      </c>
      <c r="M29" s="14">
        <f t="shared" si="6"/>
        <v>0</v>
      </c>
      <c r="N29" s="13">
        <f t="shared" si="19"/>
        <v>0</v>
      </c>
      <c r="O29">
        <f t="shared" si="19"/>
        <v>12</v>
      </c>
      <c r="P29">
        <f t="shared" si="19"/>
        <v>0</v>
      </c>
      <c r="Q29" s="14">
        <f t="shared" si="12"/>
        <v>720</v>
      </c>
      <c r="R29" s="13">
        <f t="shared" si="13"/>
        <v>0</v>
      </c>
      <c r="S29">
        <f t="shared" si="14"/>
        <v>12</v>
      </c>
      <c r="T29">
        <f t="shared" si="15"/>
        <v>0</v>
      </c>
      <c r="U29" s="14">
        <f t="shared" si="16"/>
        <v>720</v>
      </c>
      <c r="V29" s="15"/>
      <c r="Z29" s="14"/>
    </row>
    <row r="30" spans="1:26" x14ac:dyDescent="0.25">
      <c r="A30" s="16"/>
      <c r="B30" s="17" t="b">
        <f t="shared" si="18"/>
        <v>0</v>
      </c>
      <c r="C30" s="17" t="b">
        <f t="shared" si="17"/>
        <v>0</v>
      </c>
      <c r="D30" s="17">
        <f t="shared" si="7"/>
        <v>3</v>
      </c>
      <c r="E30" s="17" t="str">
        <f t="shared" si="8"/>
        <v>Section 2 - REST API Basics</v>
      </c>
      <c r="F30" s="18" t="str">
        <f t="shared" si="9"/>
        <v/>
      </c>
      <c r="G30" s="13" t="str">
        <f t="shared" si="1"/>
        <v/>
      </c>
      <c r="H30">
        <f t="shared" si="2"/>
        <v>0</v>
      </c>
      <c r="I30" s="14">
        <f t="shared" si="10"/>
        <v>0</v>
      </c>
      <c r="J30" s="13">
        <f t="shared" si="3"/>
        <v>840</v>
      </c>
      <c r="K30">
        <f t="shared" si="4"/>
        <v>0</v>
      </c>
      <c r="L30">
        <f t="shared" si="5"/>
        <v>14</v>
      </c>
      <c r="M30" s="14">
        <f t="shared" si="6"/>
        <v>0</v>
      </c>
      <c r="N30" s="13">
        <f t="shared" si="19"/>
        <v>0</v>
      </c>
      <c r="O30">
        <f t="shared" si="19"/>
        <v>12</v>
      </c>
      <c r="P30">
        <f t="shared" si="19"/>
        <v>0</v>
      </c>
      <c r="Q30" s="14">
        <f t="shared" si="12"/>
        <v>720</v>
      </c>
      <c r="R30" s="13">
        <f t="shared" si="13"/>
        <v>0</v>
      </c>
      <c r="S30">
        <f t="shared" si="14"/>
        <v>12</v>
      </c>
      <c r="T30">
        <f t="shared" si="15"/>
        <v>0</v>
      </c>
      <c r="U30" s="14">
        <f t="shared" si="16"/>
        <v>720</v>
      </c>
      <c r="V30" s="15"/>
      <c r="Z30" s="14"/>
    </row>
    <row r="31" spans="1:26" x14ac:dyDescent="0.25">
      <c r="A31" s="16" t="s">
        <v>127</v>
      </c>
      <c r="B31" s="17" t="b">
        <f t="shared" si="18"/>
        <v>1</v>
      </c>
      <c r="C31" s="17" t="b">
        <f t="shared" si="17"/>
        <v>0</v>
      </c>
      <c r="D31" s="17">
        <f t="shared" si="7"/>
        <v>0</v>
      </c>
      <c r="E31" s="17" t="str">
        <f t="shared" si="8"/>
        <v>Section 3 - Introduction to Data Persistence</v>
      </c>
      <c r="F31" s="18" t="str">
        <f t="shared" si="9"/>
        <v/>
      </c>
      <c r="G31" s="13" t="str">
        <f t="shared" si="1"/>
        <v/>
      </c>
      <c r="H31">
        <f t="shared" si="2"/>
        <v>0</v>
      </c>
      <c r="I31" s="14">
        <f t="shared" si="10"/>
        <v>0</v>
      </c>
      <c r="J31" s="13">
        <f t="shared" si="3"/>
        <v>840</v>
      </c>
      <c r="K31">
        <f t="shared" si="4"/>
        <v>0</v>
      </c>
      <c r="L31">
        <f t="shared" si="5"/>
        <v>14</v>
      </c>
      <c r="M31" s="14">
        <f t="shared" si="6"/>
        <v>0</v>
      </c>
      <c r="N31" s="13">
        <f t="shared" si="19"/>
        <v>0</v>
      </c>
      <c r="O31">
        <f t="shared" si="19"/>
        <v>12</v>
      </c>
      <c r="P31">
        <f t="shared" si="19"/>
        <v>0</v>
      </c>
      <c r="Q31" s="14">
        <f t="shared" si="12"/>
        <v>720</v>
      </c>
      <c r="R31" s="13">
        <f t="shared" si="13"/>
        <v>0</v>
      </c>
      <c r="S31">
        <f t="shared" si="14"/>
        <v>12</v>
      </c>
      <c r="T31">
        <f t="shared" si="15"/>
        <v>0</v>
      </c>
      <c r="U31" s="14">
        <f t="shared" si="16"/>
        <v>720</v>
      </c>
      <c r="V31" s="15"/>
      <c r="Z31" s="14"/>
    </row>
    <row r="32" spans="1:26" x14ac:dyDescent="0.25">
      <c r="A32" s="16" t="s">
        <v>128</v>
      </c>
      <c r="B32" s="17" t="b">
        <f t="shared" si="18"/>
        <v>0</v>
      </c>
      <c r="C32" s="17" t="b">
        <f t="shared" si="17"/>
        <v>1</v>
      </c>
      <c r="D32" s="17">
        <f t="shared" si="7"/>
        <v>1</v>
      </c>
      <c r="E32" s="17" t="str">
        <f t="shared" si="8"/>
        <v>Section 3 - Introduction to Data Persistence</v>
      </c>
      <c r="F32" s="18" t="str">
        <f t="shared" si="9"/>
        <v>5. Repositories and Spring Data</v>
      </c>
      <c r="G32" s="13" t="str">
        <f t="shared" si="1"/>
        <v>10m</v>
      </c>
      <c r="H32">
        <f t="shared" si="2"/>
        <v>10</v>
      </c>
      <c r="I32" s="14">
        <f t="shared" si="10"/>
        <v>0</v>
      </c>
      <c r="J32" s="13">
        <f t="shared" si="3"/>
        <v>1440</v>
      </c>
      <c r="K32">
        <f t="shared" si="4"/>
        <v>0</v>
      </c>
      <c r="L32">
        <f t="shared" si="5"/>
        <v>24</v>
      </c>
      <c r="M32" s="14">
        <f t="shared" si="6"/>
        <v>0</v>
      </c>
      <c r="N32" s="13">
        <f t="shared" si="19"/>
        <v>0</v>
      </c>
      <c r="O32">
        <v>0</v>
      </c>
      <c r="P32">
        <f t="shared" si="19"/>
        <v>0</v>
      </c>
      <c r="Q32" s="14">
        <f t="shared" si="12"/>
        <v>0</v>
      </c>
      <c r="R32" s="13">
        <f t="shared" si="13"/>
        <v>0</v>
      </c>
      <c r="S32">
        <f t="shared" si="14"/>
        <v>10</v>
      </c>
      <c r="T32">
        <f t="shared" si="15"/>
        <v>0</v>
      </c>
      <c r="U32" s="14">
        <f t="shared" si="16"/>
        <v>600</v>
      </c>
      <c r="V32" s="15"/>
      <c r="Z32" s="14"/>
    </row>
    <row r="33" spans="1:26" x14ac:dyDescent="0.25">
      <c r="A33" s="16" t="s">
        <v>129</v>
      </c>
      <c r="B33" s="17" t="b">
        <f t="shared" si="18"/>
        <v>0</v>
      </c>
      <c r="C33" s="17" t="b">
        <f t="shared" si="17"/>
        <v>0</v>
      </c>
      <c r="D33" s="17">
        <f t="shared" si="7"/>
        <v>1</v>
      </c>
      <c r="E33" s="17" t="str">
        <f t="shared" si="8"/>
        <v>Section 3 - Introduction to Data Persistence</v>
      </c>
      <c r="F33" s="18" t="str">
        <f t="shared" si="9"/>
        <v/>
      </c>
      <c r="G33" s="13" t="str">
        <f t="shared" si="1"/>
        <v/>
      </c>
      <c r="H33">
        <f t="shared" si="2"/>
        <v>0</v>
      </c>
      <c r="I33" s="14">
        <f t="shared" si="10"/>
        <v>0</v>
      </c>
      <c r="J33" s="13">
        <f t="shared" si="3"/>
        <v>1440</v>
      </c>
      <c r="K33">
        <f t="shared" si="4"/>
        <v>0</v>
      </c>
      <c r="L33">
        <f t="shared" si="5"/>
        <v>24</v>
      </c>
      <c r="M33" s="14">
        <f t="shared" si="6"/>
        <v>0</v>
      </c>
      <c r="N33" s="13">
        <f t="shared" si="19"/>
        <v>0</v>
      </c>
      <c r="O33">
        <f t="shared" si="19"/>
        <v>10</v>
      </c>
      <c r="P33">
        <f t="shared" si="19"/>
        <v>0</v>
      </c>
      <c r="Q33" s="14">
        <f t="shared" si="12"/>
        <v>600</v>
      </c>
      <c r="R33" s="13">
        <f t="shared" si="13"/>
        <v>0</v>
      </c>
      <c r="S33">
        <f t="shared" si="14"/>
        <v>10</v>
      </c>
      <c r="T33">
        <f t="shared" si="15"/>
        <v>0</v>
      </c>
      <c r="U33" s="14">
        <f t="shared" si="16"/>
        <v>600</v>
      </c>
      <c r="V33" s="15"/>
      <c r="Z33" s="14"/>
    </row>
    <row r="34" spans="1:26" x14ac:dyDescent="0.25">
      <c r="A34" s="16" t="s">
        <v>121</v>
      </c>
      <c r="B34" s="17" t="b">
        <f t="shared" si="18"/>
        <v>0</v>
      </c>
      <c r="C34" s="17" t="b">
        <f t="shared" si="17"/>
        <v>0</v>
      </c>
      <c r="D34" s="17">
        <f t="shared" si="7"/>
        <v>1</v>
      </c>
      <c r="E34" s="17" t="str">
        <f t="shared" si="8"/>
        <v>Section 3 - Introduction to Data Persistence</v>
      </c>
      <c r="F34" s="18" t="str">
        <f t="shared" si="9"/>
        <v/>
      </c>
      <c r="G34" s="13" t="str">
        <f t="shared" si="1"/>
        <v/>
      </c>
      <c r="H34">
        <f t="shared" si="2"/>
        <v>0</v>
      </c>
      <c r="I34" s="14">
        <f t="shared" si="10"/>
        <v>0</v>
      </c>
      <c r="J34" s="13">
        <f t="shared" si="3"/>
        <v>1440</v>
      </c>
      <c r="K34">
        <f t="shared" si="4"/>
        <v>0</v>
      </c>
      <c r="L34">
        <f t="shared" si="5"/>
        <v>24</v>
      </c>
      <c r="M34" s="14">
        <f t="shared" si="6"/>
        <v>0</v>
      </c>
      <c r="N34" s="13">
        <f t="shared" si="19"/>
        <v>0</v>
      </c>
      <c r="O34">
        <f t="shared" si="19"/>
        <v>10</v>
      </c>
      <c r="P34">
        <f t="shared" si="19"/>
        <v>0</v>
      </c>
      <c r="Q34" s="14">
        <f t="shared" si="12"/>
        <v>600</v>
      </c>
      <c r="R34" s="13">
        <f t="shared" si="13"/>
        <v>0</v>
      </c>
      <c r="S34">
        <f t="shared" si="14"/>
        <v>10</v>
      </c>
      <c r="T34">
        <f t="shared" si="15"/>
        <v>0</v>
      </c>
      <c r="U34" s="14">
        <f t="shared" si="16"/>
        <v>600</v>
      </c>
      <c r="V34" s="15"/>
      <c r="Z34" s="14"/>
    </row>
    <row r="35" spans="1:26" x14ac:dyDescent="0.25">
      <c r="A35" s="16" t="s">
        <v>130</v>
      </c>
      <c r="B35" s="17" t="b">
        <f t="shared" si="18"/>
        <v>0</v>
      </c>
      <c r="C35" s="17" t="b">
        <f t="shared" si="17"/>
        <v>1</v>
      </c>
      <c r="D35" s="17">
        <f t="shared" si="7"/>
        <v>2</v>
      </c>
      <c r="E35" s="17" t="str">
        <f t="shared" si="8"/>
        <v>Section 3 - Introduction to Data Persistence</v>
      </c>
      <c r="F35" s="18" t="str">
        <f t="shared" si="9"/>
        <v>6. Database settings in application.properties</v>
      </c>
      <c r="G35" s="13" t="str">
        <f t="shared" si="1"/>
        <v>2m</v>
      </c>
      <c r="H35">
        <f t="shared" si="2"/>
        <v>2</v>
      </c>
      <c r="I35" s="14">
        <f t="shared" si="10"/>
        <v>0</v>
      </c>
      <c r="J35" s="13">
        <f t="shared" si="3"/>
        <v>1560</v>
      </c>
      <c r="K35">
        <f t="shared" si="4"/>
        <v>0</v>
      </c>
      <c r="L35">
        <f t="shared" si="5"/>
        <v>26</v>
      </c>
      <c r="M35" s="14">
        <f t="shared" si="6"/>
        <v>0</v>
      </c>
      <c r="N35" s="13">
        <f t="shared" si="19"/>
        <v>0</v>
      </c>
      <c r="O35">
        <f t="shared" si="19"/>
        <v>10</v>
      </c>
      <c r="P35">
        <f t="shared" si="19"/>
        <v>0</v>
      </c>
      <c r="Q35" s="14">
        <f t="shared" si="12"/>
        <v>600</v>
      </c>
      <c r="R35" s="13">
        <f t="shared" si="13"/>
        <v>0</v>
      </c>
      <c r="S35">
        <f t="shared" si="14"/>
        <v>12</v>
      </c>
      <c r="T35">
        <f t="shared" si="15"/>
        <v>0</v>
      </c>
      <c r="U35" s="14">
        <f t="shared" si="16"/>
        <v>720</v>
      </c>
      <c r="V35" s="15"/>
      <c r="Z35" s="14"/>
    </row>
    <row r="36" spans="1:26" x14ac:dyDescent="0.25">
      <c r="A36" s="16" t="s">
        <v>117</v>
      </c>
      <c r="B36" s="17" t="b">
        <f t="shared" si="18"/>
        <v>0</v>
      </c>
      <c r="C36" s="17" t="b">
        <f t="shared" si="17"/>
        <v>0</v>
      </c>
      <c r="D36" s="17">
        <f t="shared" si="7"/>
        <v>2</v>
      </c>
      <c r="E36" s="17" t="str">
        <f t="shared" si="8"/>
        <v>Section 3 - Introduction to Data Persistence</v>
      </c>
      <c r="F36" s="18" t="str">
        <f t="shared" si="9"/>
        <v/>
      </c>
      <c r="G36" s="13" t="str">
        <f t="shared" si="1"/>
        <v/>
      </c>
      <c r="H36">
        <f t="shared" si="2"/>
        <v>0</v>
      </c>
      <c r="I36" s="14">
        <f t="shared" si="10"/>
        <v>0</v>
      </c>
      <c r="J36" s="13">
        <f t="shared" si="3"/>
        <v>1560</v>
      </c>
      <c r="K36">
        <f t="shared" si="4"/>
        <v>0</v>
      </c>
      <c r="L36">
        <f t="shared" si="5"/>
        <v>26</v>
      </c>
      <c r="M36" s="14">
        <f t="shared" si="6"/>
        <v>0</v>
      </c>
      <c r="N36" s="13">
        <f t="shared" si="19"/>
        <v>0</v>
      </c>
      <c r="O36">
        <f t="shared" si="19"/>
        <v>12</v>
      </c>
      <c r="P36">
        <f t="shared" si="19"/>
        <v>0</v>
      </c>
      <c r="Q36" s="14">
        <f t="shared" si="12"/>
        <v>720</v>
      </c>
      <c r="R36" s="13">
        <f t="shared" si="13"/>
        <v>0</v>
      </c>
      <c r="S36">
        <f t="shared" si="14"/>
        <v>12</v>
      </c>
      <c r="T36">
        <f t="shared" si="15"/>
        <v>0</v>
      </c>
      <c r="U36" s="14">
        <f t="shared" si="16"/>
        <v>720</v>
      </c>
      <c r="V36" s="15"/>
      <c r="Z36" s="14"/>
    </row>
    <row r="37" spans="1:26" x14ac:dyDescent="0.25">
      <c r="A37" s="16"/>
      <c r="B37" s="17" t="b">
        <f t="shared" si="18"/>
        <v>0</v>
      </c>
      <c r="C37" s="17" t="b">
        <f t="shared" si="17"/>
        <v>0</v>
      </c>
      <c r="D37" s="17">
        <f t="shared" si="7"/>
        <v>2</v>
      </c>
      <c r="E37" s="17" t="str">
        <f t="shared" si="8"/>
        <v>Section 3 - Introduction to Data Persistence</v>
      </c>
      <c r="F37" s="18" t="str">
        <f t="shared" si="9"/>
        <v/>
      </c>
      <c r="G37" s="13" t="str">
        <f t="shared" si="1"/>
        <v/>
      </c>
      <c r="H37">
        <f t="shared" si="2"/>
        <v>0</v>
      </c>
      <c r="I37" s="14">
        <f t="shared" si="10"/>
        <v>0</v>
      </c>
      <c r="J37" s="13">
        <f t="shared" si="3"/>
        <v>1560</v>
      </c>
      <c r="K37">
        <f t="shared" si="4"/>
        <v>0</v>
      </c>
      <c r="L37">
        <f t="shared" si="5"/>
        <v>26</v>
      </c>
      <c r="M37" s="14">
        <f t="shared" si="6"/>
        <v>0</v>
      </c>
      <c r="N37" s="13">
        <f t="shared" si="19"/>
        <v>0</v>
      </c>
      <c r="O37">
        <f t="shared" si="19"/>
        <v>12</v>
      </c>
      <c r="P37">
        <f t="shared" si="19"/>
        <v>0</v>
      </c>
      <c r="Q37" s="14">
        <f t="shared" si="12"/>
        <v>720</v>
      </c>
      <c r="R37" s="13">
        <f t="shared" si="13"/>
        <v>0</v>
      </c>
      <c r="S37">
        <f t="shared" si="14"/>
        <v>12</v>
      </c>
      <c r="T37">
        <f t="shared" si="15"/>
        <v>0</v>
      </c>
      <c r="U37" s="14">
        <f t="shared" si="16"/>
        <v>720</v>
      </c>
      <c r="V37" s="15"/>
      <c r="Z37" s="14"/>
    </row>
    <row r="38" spans="1:26" x14ac:dyDescent="0.25">
      <c r="A38" s="16" t="s">
        <v>101</v>
      </c>
      <c r="B38" s="17" t="b">
        <f t="shared" si="18"/>
        <v>0</v>
      </c>
      <c r="C38" s="17" t="b">
        <f t="shared" si="17"/>
        <v>0</v>
      </c>
      <c r="D38" s="17">
        <f t="shared" si="7"/>
        <v>2</v>
      </c>
      <c r="E38" s="17" t="str">
        <f t="shared" si="8"/>
        <v>Section 3 - Introduction to Data Persistence</v>
      </c>
      <c r="F38" s="18" t="str">
        <f t="shared" si="9"/>
        <v/>
      </c>
      <c r="G38" s="13" t="str">
        <f t="shared" si="1"/>
        <v/>
      </c>
      <c r="H38">
        <f t="shared" si="2"/>
        <v>0</v>
      </c>
      <c r="I38" s="14">
        <f t="shared" si="10"/>
        <v>0</v>
      </c>
      <c r="J38" s="13">
        <f t="shared" si="3"/>
        <v>1560</v>
      </c>
      <c r="K38">
        <f t="shared" si="4"/>
        <v>0</v>
      </c>
      <c r="L38">
        <f t="shared" si="5"/>
        <v>26</v>
      </c>
      <c r="M38" s="14">
        <f t="shared" si="6"/>
        <v>0</v>
      </c>
      <c r="N38" s="13">
        <f t="shared" si="19"/>
        <v>0</v>
      </c>
      <c r="O38">
        <f t="shared" si="19"/>
        <v>12</v>
      </c>
      <c r="P38">
        <f t="shared" si="19"/>
        <v>0</v>
      </c>
      <c r="Q38" s="14">
        <f t="shared" si="12"/>
        <v>720</v>
      </c>
      <c r="R38" s="13">
        <f t="shared" si="13"/>
        <v>0</v>
      </c>
      <c r="S38">
        <f t="shared" si="14"/>
        <v>12</v>
      </c>
      <c r="T38">
        <f t="shared" si="15"/>
        <v>0</v>
      </c>
      <c r="U38" s="14">
        <f t="shared" si="16"/>
        <v>720</v>
      </c>
      <c r="V38" s="15"/>
      <c r="Z38" s="14"/>
    </row>
    <row r="39" spans="1:26" x14ac:dyDescent="0.25">
      <c r="A39" s="16" t="s">
        <v>131</v>
      </c>
      <c r="B39" s="17" t="b">
        <f t="shared" si="18"/>
        <v>0</v>
      </c>
      <c r="C39" s="17" t="b">
        <f t="shared" si="17"/>
        <v>0</v>
      </c>
      <c r="D39" s="17">
        <f t="shared" si="7"/>
        <v>2</v>
      </c>
      <c r="E39" s="17" t="str">
        <f t="shared" si="8"/>
        <v>Section 3 - Introduction to Data Persistence</v>
      </c>
      <c r="F39" s="18" t="str">
        <f t="shared" si="9"/>
        <v/>
      </c>
      <c r="G39" s="13" t="str">
        <f t="shared" si="1"/>
        <v/>
      </c>
      <c r="H39">
        <f t="shared" si="2"/>
        <v>0</v>
      </c>
      <c r="I39" s="14">
        <f t="shared" si="10"/>
        <v>0</v>
      </c>
      <c r="J39" s="13">
        <f t="shared" si="3"/>
        <v>1560</v>
      </c>
      <c r="K39">
        <f t="shared" si="4"/>
        <v>0</v>
      </c>
      <c r="L39">
        <f t="shared" si="5"/>
        <v>26</v>
      </c>
      <c r="M39" s="14">
        <f t="shared" si="6"/>
        <v>0</v>
      </c>
      <c r="N39" s="13">
        <f t="shared" si="19"/>
        <v>0</v>
      </c>
      <c r="O39">
        <f t="shared" si="19"/>
        <v>12</v>
      </c>
      <c r="P39">
        <f t="shared" si="19"/>
        <v>0</v>
      </c>
      <c r="Q39" s="14">
        <f t="shared" si="12"/>
        <v>720</v>
      </c>
      <c r="R39" s="13">
        <f t="shared" si="13"/>
        <v>0</v>
      </c>
      <c r="S39">
        <f t="shared" si="14"/>
        <v>12</v>
      </c>
      <c r="T39">
        <f t="shared" si="15"/>
        <v>0</v>
      </c>
      <c r="U39" s="14">
        <f t="shared" si="16"/>
        <v>720</v>
      </c>
      <c r="V39" s="15"/>
      <c r="Z39" s="14"/>
    </row>
    <row r="40" spans="1:26" x14ac:dyDescent="0.25">
      <c r="A40" s="16"/>
      <c r="B40" s="17" t="b">
        <f t="shared" si="18"/>
        <v>0</v>
      </c>
      <c r="C40" s="17" t="b">
        <f t="shared" si="17"/>
        <v>0</v>
      </c>
      <c r="D40" s="17">
        <f t="shared" si="7"/>
        <v>2</v>
      </c>
      <c r="E40" s="17" t="str">
        <f t="shared" si="8"/>
        <v>Section 3 - Introduction to Data Persistence</v>
      </c>
      <c r="F40" s="18" t="str">
        <f t="shared" si="9"/>
        <v/>
      </c>
      <c r="G40" s="13" t="str">
        <f t="shared" si="1"/>
        <v/>
      </c>
      <c r="H40">
        <f t="shared" si="2"/>
        <v>0</v>
      </c>
      <c r="I40" s="14">
        <f t="shared" si="10"/>
        <v>0</v>
      </c>
      <c r="J40" s="13">
        <f t="shared" si="3"/>
        <v>1560</v>
      </c>
      <c r="K40">
        <f t="shared" si="4"/>
        <v>0</v>
      </c>
      <c r="L40">
        <f t="shared" si="5"/>
        <v>26</v>
      </c>
      <c r="M40" s="14">
        <f t="shared" si="6"/>
        <v>0</v>
      </c>
      <c r="N40" s="13">
        <f t="shared" si="19"/>
        <v>0</v>
      </c>
      <c r="O40">
        <f t="shared" si="19"/>
        <v>12</v>
      </c>
      <c r="P40">
        <f t="shared" si="19"/>
        <v>0</v>
      </c>
      <c r="Q40" s="14">
        <f t="shared" si="12"/>
        <v>720</v>
      </c>
      <c r="R40" s="13">
        <f t="shared" si="13"/>
        <v>0</v>
      </c>
      <c r="S40">
        <f t="shared" si="14"/>
        <v>12</v>
      </c>
      <c r="T40">
        <f t="shared" si="15"/>
        <v>0</v>
      </c>
      <c r="U40" s="14">
        <f t="shared" si="16"/>
        <v>720</v>
      </c>
      <c r="V40" s="15"/>
      <c r="Z40" s="14"/>
    </row>
    <row r="41" spans="1:26" x14ac:dyDescent="0.25">
      <c r="A41" s="16" t="s">
        <v>132</v>
      </c>
      <c r="B41" s="17" t="b">
        <f t="shared" si="18"/>
        <v>1</v>
      </c>
      <c r="C41" s="17" t="b">
        <f t="shared" si="17"/>
        <v>0</v>
      </c>
      <c r="D41" s="17">
        <f t="shared" si="7"/>
        <v>0</v>
      </c>
      <c r="E41" s="17" t="str">
        <f t="shared" si="8"/>
        <v>Section 4 - MVC tests</v>
      </c>
      <c r="F41" s="18" t="str">
        <f t="shared" si="9"/>
        <v/>
      </c>
      <c r="G41" s="13" t="str">
        <f t="shared" si="1"/>
        <v/>
      </c>
      <c r="H41">
        <f t="shared" si="2"/>
        <v>0</v>
      </c>
      <c r="I41" s="14">
        <f t="shared" si="10"/>
        <v>0</v>
      </c>
      <c r="J41" s="13">
        <f t="shared" si="3"/>
        <v>1560</v>
      </c>
      <c r="K41">
        <f t="shared" si="4"/>
        <v>0</v>
      </c>
      <c r="L41">
        <f t="shared" si="5"/>
        <v>26</v>
      </c>
      <c r="M41" s="14">
        <f t="shared" si="6"/>
        <v>0</v>
      </c>
      <c r="N41" s="13">
        <f t="shared" si="19"/>
        <v>0</v>
      </c>
      <c r="O41">
        <f t="shared" si="19"/>
        <v>12</v>
      </c>
      <c r="P41">
        <f t="shared" si="19"/>
        <v>0</v>
      </c>
      <c r="Q41" s="14">
        <f t="shared" si="12"/>
        <v>720</v>
      </c>
      <c r="R41" s="13">
        <f t="shared" si="13"/>
        <v>0</v>
      </c>
      <c r="S41">
        <f t="shared" si="14"/>
        <v>12</v>
      </c>
      <c r="T41">
        <f t="shared" si="15"/>
        <v>0</v>
      </c>
      <c r="U41" s="14">
        <f t="shared" si="16"/>
        <v>720</v>
      </c>
      <c r="V41" s="15"/>
      <c r="Z41" s="14"/>
    </row>
    <row r="42" spans="1:26" x14ac:dyDescent="0.25">
      <c r="A42" s="16" t="s">
        <v>133</v>
      </c>
      <c r="B42" s="17" t="b">
        <f t="shared" si="18"/>
        <v>0</v>
      </c>
      <c r="C42" s="17" t="b">
        <f t="shared" si="17"/>
        <v>1</v>
      </c>
      <c r="D42" s="17">
        <f t="shared" si="7"/>
        <v>1</v>
      </c>
      <c r="E42" s="17" t="str">
        <f t="shared" si="8"/>
        <v>Section 4 - MVC tests</v>
      </c>
      <c r="F42" s="18" t="str">
        <f t="shared" si="9"/>
        <v>7. MVC tests</v>
      </c>
      <c r="G42" s="13" t="str">
        <f t="shared" si="1"/>
        <v>8m</v>
      </c>
      <c r="H42">
        <f t="shared" si="2"/>
        <v>8</v>
      </c>
      <c r="I42" s="14">
        <f t="shared" si="10"/>
        <v>0</v>
      </c>
      <c r="J42" s="13">
        <f t="shared" si="3"/>
        <v>2040</v>
      </c>
      <c r="K42">
        <f t="shared" si="4"/>
        <v>0</v>
      </c>
      <c r="L42">
        <f t="shared" si="5"/>
        <v>34</v>
      </c>
      <c r="M42" s="14">
        <f t="shared" si="6"/>
        <v>0</v>
      </c>
      <c r="N42" s="13">
        <f t="shared" si="19"/>
        <v>0</v>
      </c>
      <c r="O42">
        <v>0</v>
      </c>
      <c r="P42">
        <f t="shared" si="19"/>
        <v>0</v>
      </c>
      <c r="Q42" s="14">
        <f t="shared" si="12"/>
        <v>0</v>
      </c>
      <c r="R42" s="13">
        <f t="shared" si="13"/>
        <v>0</v>
      </c>
      <c r="S42">
        <f t="shared" si="14"/>
        <v>8</v>
      </c>
      <c r="T42">
        <f t="shared" si="15"/>
        <v>0</v>
      </c>
      <c r="U42" s="14">
        <f t="shared" si="16"/>
        <v>480</v>
      </c>
      <c r="V42" s="15"/>
      <c r="Z42" s="14"/>
    </row>
    <row r="43" spans="1:26" x14ac:dyDescent="0.25">
      <c r="A43" s="16" t="s">
        <v>134</v>
      </c>
      <c r="B43" s="17" t="b">
        <f t="shared" si="18"/>
        <v>0</v>
      </c>
      <c r="C43" s="17" t="b">
        <f t="shared" si="17"/>
        <v>0</v>
      </c>
      <c r="D43" s="17">
        <f t="shared" si="7"/>
        <v>1</v>
      </c>
      <c r="E43" s="17" t="str">
        <f t="shared" si="8"/>
        <v>Section 4 - MVC tests</v>
      </c>
      <c r="F43" s="18" t="str">
        <f t="shared" si="9"/>
        <v/>
      </c>
      <c r="G43" s="13" t="str">
        <f t="shared" si="1"/>
        <v/>
      </c>
      <c r="H43">
        <f t="shared" si="2"/>
        <v>0</v>
      </c>
      <c r="I43" s="14">
        <f t="shared" si="10"/>
        <v>0</v>
      </c>
      <c r="J43" s="13">
        <f t="shared" si="3"/>
        <v>2040</v>
      </c>
      <c r="K43">
        <f t="shared" si="4"/>
        <v>0</v>
      </c>
      <c r="L43">
        <f t="shared" si="5"/>
        <v>34</v>
      </c>
      <c r="M43" s="14">
        <f t="shared" si="6"/>
        <v>0</v>
      </c>
      <c r="N43" s="13">
        <f t="shared" si="19"/>
        <v>0</v>
      </c>
      <c r="O43">
        <f t="shared" si="19"/>
        <v>8</v>
      </c>
      <c r="P43">
        <f t="shared" si="19"/>
        <v>0</v>
      </c>
      <c r="Q43" s="14">
        <f t="shared" si="12"/>
        <v>480</v>
      </c>
      <c r="R43" s="13">
        <f t="shared" si="13"/>
        <v>0</v>
      </c>
      <c r="S43">
        <f t="shared" si="14"/>
        <v>8</v>
      </c>
      <c r="T43">
        <f t="shared" si="15"/>
        <v>0</v>
      </c>
      <c r="U43" s="14">
        <f t="shared" si="16"/>
        <v>480</v>
      </c>
      <c r="V43" s="15"/>
      <c r="Z43" s="14"/>
    </row>
    <row r="44" spans="1:26" x14ac:dyDescent="0.25">
      <c r="A44" s="16" t="s">
        <v>84</v>
      </c>
      <c r="B44" s="17" t="b">
        <f t="shared" si="18"/>
        <v>0</v>
      </c>
      <c r="C44" s="17" t="b">
        <f t="shared" si="17"/>
        <v>0</v>
      </c>
      <c r="D44" s="17">
        <f t="shared" si="7"/>
        <v>1</v>
      </c>
      <c r="E44" s="17" t="str">
        <f t="shared" si="8"/>
        <v>Section 4 - MVC tests</v>
      </c>
      <c r="F44" s="18" t="str">
        <f t="shared" si="9"/>
        <v/>
      </c>
      <c r="G44" s="13" t="str">
        <f t="shared" si="1"/>
        <v/>
      </c>
      <c r="H44">
        <f t="shared" si="2"/>
        <v>0</v>
      </c>
      <c r="I44" s="14">
        <f t="shared" si="10"/>
        <v>0</v>
      </c>
      <c r="J44" s="13">
        <v>0</v>
      </c>
      <c r="K44">
        <f t="shared" si="4"/>
        <v>0</v>
      </c>
      <c r="L44">
        <f t="shared" si="5"/>
        <v>0</v>
      </c>
      <c r="M44" s="14">
        <f t="shared" si="6"/>
        <v>0</v>
      </c>
      <c r="N44" s="13">
        <f t="shared" si="19"/>
        <v>0</v>
      </c>
      <c r="O44">
        <f t="shared" si="19"/>
        <v>8</v>
      </c>
      <c r="P44">
        <f t="shared" si="19"/>
        <v>0</v>
      </c>
      <c r="Q44" s="14">
        <f t="shared" si="12"/>
        <v>480</v>
      </c>
      <c r="R44" s="13">
        <f t="shared" si="13"/>
        <v>0</v>
      </c>
      <c r="S44">
        <f t="shared" si="14"/>
        <v>8</v>
      </c>
      <c r="T44">
        <f t="shared" si="15"/>
        <v>0</v>
      </c>
      <c r="U44" s="14">
        <f t="shared" si="16"/>
        <v>480</v>
      </c>
      <c r="V44" s="15"/>
      <c r="Z44" s="14"/>
    </row>
    <row r="45" spans="1:26" x14ac:dyDescent="0.25">
      <c r="A45" s="16" t="s">
        <v>101</v>
      </c>
      <c r="B45" s="17" t="b">
        <f t="shared" si="18"/>
        <v>0</v>
      </c>
      <c r="C45" s="17" t="b">
        <f t="shared" si="17"/>
        <v>0</v>
      </c>
      <c r="D45" s="17">
        <f t="shared" si="7"/>
        <v>1</v>
      </c>
      <c r="E45" s="17" t="str">
        <f t="shared" si="8"/>
        <v>Section 4 - MVC tests</v>
      </c>
      <c r="F45" s="18" t="str">
        <f t="shared" si="9"/>
        <v/>
      </c>
      <c r="G45" s="13" t="str">
        <f t="shared" si="1"/>
        <v/>
      </c>
      <c r="H45">
        <f t="shared" si="2"/>
        <v>0</v>
      </c>
      <c r="I45" s="14">
        <f t="shared" si="10"/>
        <v>0</v>
      </c>
      <c r="J45" s="13">
        <f t="shared" si="3"/>
        <v>0</v>
      </c>
      <c r="K45">
        <f t="shared" si="4"/>
        <v>0</v>
      </c>
      <c r="L45">
        <f t="shared" si="5"/>
        <v>0</v>
      </c>
      <c r="M45" s="14">
        <f t="shared" si="6"/>
        <v>0</v>
      </c>
      <c r="N45" s="13">
        <f t="shared" si="19"/>
        <v>0</v>
      </c>
      <c r="O45">
        <f t="shared" si="19"/>
        <v>8</v>
      </c>
      <c r="P45">
        <f t="shared" si="19"/>
        <v>0</v>
      </c>
      <c r="Q45" s="14">
        <f t="shared" si="12"/>
        <v>480</v>
      </c>
      <c r="R45" s="13">
        <f t="shared" si="13"/>
        <v>0</v>
      </c>
      <c r="S45">
        <f t="shared" si="14"/>
        <v>8</v>
      </c>
      <c r="T45">
        <f t="shared" si="15"/>
        <v>0</v>
      </c>
      <c r="U45" s="14">
        <f t="shared" si="16"/>
        <v>480</v>
      </c>
      <c r="V45" s="15"/>
      <c r="Z45" s="14"/>
    </row>
    <row r="46" spans="1:26" x14ac:dyDescent="0.25">
      <c r="A46" s="16" t="s">
        <v>135</v>
      </c>
      <c r="B46" s="17" t="b">
        <f t="shared" si="18"/>
        <v>0</v>
      </c>
      <c r="C46" s="17" t="b">
        <f t="shared" si="17"/>
        <v>0</v>
      </c>
      <c r="D46" s="17">
        <f t="shared" si="7"/>
        <v>1</v>
      </c>
      <c r="E46" s="17" t="str">
        <f t="shared" si="8"/>
        <v>Section 4 - MVC tests</v>
      </c>
      <c r="F46" s="18" t="str">
        <f t="shared" si="9"/>
        <v/>
      </c>
      <c r="G46" s="13" t="str">
        <f t="shared" si="1"/>
        <v/>
      </c>
      <c r="H46">
        <f t="shared" si="2"/>
        <v>0</v>
      </c>
      <c r="I46" s="14">
        <f t="shared" si="10"/>
        <v>0</v>
      </c>
      <c r="J46" s="13">
        <f t="shared" si="3"/>
        <v>0</v>
      </c>
      <c r="K46">
        <f t="shared" si="4"/>
        <v>0</v>
      </c>
      <c r="L46">
        <f t="shared" si="5"/>
        <v>0</v>
      </c>
      <c r="M46" s="14">
        <f t="shared" si="6"/>
        <v>0</v>
      </c>
      <c r="N46" s="13">
        <f t="shared" si="19"/>
        <v>0</v>
      </c>
      <c r="O46">
        <f t="shared" si="19"/>
        <v>8</v>
      </c>
      <c r="P46">
        <f t="shared" si="19"/>
        <v>0</v>
      </c>
      <c r="Q46" s="14">
        <f t="shared" si="12"/>
        <v>480</v>
      </c>
      <c r="R46" s="13">
        <f t="shared" si="13"/>
        <v>0</v>
      </c>
      <c r="S46">
        <f t="shared" si="14"/>
        <v>8</v>
      </c>
      <c r="T46">
        <f t="shared" si="15"/>
        <v>0</v>
      </c>
      <c r="U46" s="14">
        <f t="shared" si="16"/>
        <v>480</v>
      </c>
      <c r="V46" s="15"/>
      <c r="Z46" s="14"/>
    </row>
    <row r="47" spans="1:26" x14ac:dyDescent="0.25">
      <c r="A47" s="16"/>
      <c r="B47" s="17" t="b">
        <f t="shared" si="18"/>
        <v>0</v>
      </c>
      <c r="C47" s="17" t="b">
        <f t="shared" si="17"/>
        <v>0</v>
      </c>
      <c r="D47" s="17">
        <f t="shared" si="7"/>
        <v>1</v>
      </c>
      <c r="E47" s="17" t="str">
        <f t="shared" si="8"/>
        <v>Section 4 - MVC tests</v>
      </c>
      <c r="F47" s="18" t="str">
        <f t="shared" si="9"/>
        <v/>
      </c>
      <c r="G47" s="13" t="str">
        <f t="shared" si="1"/>
        <v/>
      </c>
      <c r="H47">
        <f t="shared" si="2"/>
        <v>0</v>
      </c>
      <c r="I47" s="14">
        <f t="shared" si="10"/>
        <v>0</v>
      </c>
      <c r="J47" s="13">
        <f t="shared" si="3"/>
        <v>0</v>
      </c>
      <c r="K47">
        <f t="shared" si="4"/>
        <v>0</v>
      </c>
      <c r="L47">
        <f t="shared" si="5"/>
        <v>0</v>
      </c>
      <c r="M47" s="14">
        <f t="shared" si="6"/>
        <v>0</v>
      </c>
      <c r="N47" s="13">
        <f t="shared" si="19"/>
        <v>0</v>
      </c>
      <c r="O47">
        <f t="shared" si="19"/>
        <v>8</v>
      </c>
      <c r="P47">
        <f t="shared" si="19"/>
        <v>0</v>
      </c>
      <c r="Q47" s="14">
        <f t="shared" si="12"/>
        <v>480</v>
      </c>
      <c r="R47" s="13">
        <f t="shared" si="13"/>
        <v>0</v>
      </c>
      <c r="S47">
        <f t="shared" si="14"/>
        <v>8</v>
      </c>
      <c r="T47">
        <f t="shared" si="15"/>
        <v>0</v>
      </c>
      <c r="U47" s="14">
        <f t="shared" si="16"/>
        <v>480</v>
      </c>
      <c r="V47" s="15"/>
      <c r="Z47" s="14"/>
    </row>
    <row r="48" spans="1:26" x14ac:dyDescent="0.25">
      <c r="A48" s="16" t="s">
        <v>136</v>
      </c>
      <c r="B48" s="17" t="b">
        <f t="shared" si="18"/>
        <v>1</v>
      </c>
      <c r="C48" s="17" t="b">
        <f t="shared" si="17"/>
        <v>0</v>
      </c>
      <c r="D48" s="17">
        <f t="shared" si="7"/>
        <v>0</v>
      </c>
      <c r="E48" s="17" t="str">
        <f t="shared" si="8"/>
        <v>Section 5 - Next steps</v>
      </c>
      <c r="F48" s="18" t="str">
        <f t="shared" si="9"/>
        <v/>
      </c>
      <c r="G48" s="13" t="str">
        <f t="shared" si="1"/>
        <v/>
      </c>
      <c r="H48">
        <f t="shared" si="2"/>
        <v>0</v>
      </c>
      <c r="I48" s="14">
        <f t="shared" si="10"/>
        <v>0</v>
      </c>
      <c r="J48" s="13">
        <f t="shared" si="3"/>
        <v>0</v>
      </c>
      <c r="K48">
        <f t="shared" si="4"/>
        <v>0</v>
      </c>
      <c r="L48">
        <f t="shared" si="5"/>
        <v>0</v>
      </c>
      <c r="M48" s="14">
        <f t="shared" si="6"/>
        <v>0</v>
      </c>
      <c r="N48" s="13">
        <f t="shared" si="19"/>
        <v>0</v>
      </c>
      <c r="O48">
        <f t="shared" si="19"/>
        <v>8</v>
      </c>
      <c r="P48">
        <f t="shared" si="19"/>
        <v>0</v>
      </c>
      <c r="Q48" s="14">
        <f t="shared" si="12"/>
        <v>480</v>
      </c>
      <c r="R48" s="13">
        <f t="shared" si="13"/>
        <v>0</v>
      </c>
      <c r="S48">
        <f t="shared" si="14"/>
        <v>8</v>
      </c>
      <c r="T48">
        <f t="shared" si="15"/>
        <v>0</v>
      </c>
      <c r="U48" s="14">
        <f t="shared" si="16"/>
        <v>480</v>
      </c>
      <c r="V48" s="15"/>
      <c r="Z48" s="14"/>
    </row>
    <row r="49" spans="1:26" x14ac:dyDescent="0.25">
      <c r="A49" s="16" t="s">
        <v>137</v>
      </c>
      <c r="B49" s="17" t="b">
        <f t="shared" si="18"/>
        <v>0</v>
      </c>
      <c r="C49" s="17" t="b">
        <f t="shared" si="17"/>
        <v>1</v>
      </c>
      <c r="D49" s="17">
        <f t="shared" si="7"/>
        <v>1</v>
      </c>
      <c r="E49" s="17" t="str">
        <f t="shared" si="8"/>
        <v>Section 5 - Next steps</v>
      </c>
      <c r="F49" s="18" t="str">
        <f t="shared" si="9"/>
        <v>8. Where to go from here (online resources)</v>
      </c>
      <c r="G49" s="13" t="str">
        <f t="shared" si="1"/>
        <v>5m</v>
      </c>
      <c r="H49">
        <f t="shared" si="2"/>
        <v>5</v>
      </c>
      <c r="I49" s="14">
        <f t="shared" si="10"/>
        <v>0</v>
      </c>
      <c r="J49" s="13">
        <f t="shared" si="3"/>
        <v>300</v>
      </c>
      <c r="K49">
        <f t="shared" si="4"/>
        <v>0</v>
      </c>
      <c r="L49">
        <f t="shared" si="5"/>
        <v>5</v>
      </c>
      <c r="M49" s="14">
        <f t="shared" si="6"/>
        <v>0</v>
      </c>
      <c r="N49" s="13">
        <f t="shared" si="19"/>
        <v>0</v>
      </c>
      <c r="O49">
        <f t="shared" si="19"/>
        <v>8</v>
      </c>
      <c r="P49">
        <f t="shared" si="19"/>
        <v>0</v>
      </c>
      <c r="Q49" s="14">
        <f t="shared" si="12"/>
        <v>480</v>
      </c>
      <c r="R49" s="13">
        <f t="shared" si="13"/>
        <v>0</v>
      </c>
      <c r="S49">
        <f t="shared" si="14"/>
        <v>13</v>
      </c>
      <c r="T49">
        <f t="shared" si="15"/>
        <v>0</v>
      </c>
      <c r="U49" s="14">
        <f t="shared" si="16"/>
        <v>780</v>
      </c>
      <c r="V49" s="15"/>
      <c r="Z49" s="14"/>
    </row>
    <row r="50" spans="1:26" x14ac:dyDescent="0.25">
      <c r="A50" s="16" t="s">
        <v>120</v>
      </c>
      <c r="B50" s="17" t="b">
        <f t="shared" si="18"/>
        <v>0</v>
      </c>
      <c r="C50" s="17" t="b">
        <f t="shared" si="17"/>
        <v>0</v>
      </c>
      <c r="D50" s="17">
        <f t="shared" si="7"/>
        <v>1</v>
      </c>
      <c r="E50" s="17" t="str">
        <f t="shared" si="8"/>
        <v>Section 5 - Next steps</v>
      </c>
      <c r="F50" s="18" t="str">
        <f t="shared" si="9"/>
        <v/>
      </c>
      <c r="G50" s="13" t="str">
        <f t="shared" si="1"/>
        <v/>
      </c>
      <c r="H50">
        <f t="shared" si="2"/>
        <v>0</v>
      </c>
      <c r="I50" s="14">
        <f t="shared" si="10"/>
        <v>0</v>
      </c>
      <c r="J50" s="13">
        <f t="shared" si="3"/>
        <v>300</v>
      </c>
      <c r="K50">
        <f t="shared" si="4"/>
        <v>0</v>
      </c>
      <c r="L50">
        <f t="shared" si="5"/>
        <v>5</v>
      </c>
      <c r="M50" s="14">
        <f t="shared" si="6"/>
        <v>0</v>
      </c>
      <c r="N50" s="13">
        <f t="shared" si="19"/>
        <v>0</v>
      </c>
      <c r="O50">
        <f t="shared" si="19"/>
        <v>13</v>
      </c>
      <c r="P50">
        <f t="shared" si="19"/>
        <v>0</v>
      </c>
      <c r="Q50" s="14">
        <f t="shared" si="12"/>
        <v>780</v>
      </c>
      <c r="R50" s="13">
        <f t="shared" si="13"/>
        <v>0</v>
      </c>
      <c r="S50">
        <f t="shared" si="14"/>
        <v>13</v>
      </c>
      <c r="T50">
        <f t="shared" si="15"/>
        <v>0</v>
      </c>
      <c r="U50" s="14">
        <f t="shared" si="16"/>
        <v>780</v>
      </c>
      <c r="V50" s="15"/>
      <c r="Z50" s="14"/>
    </row>
    <row r="51" spans="1:26" x14ac:dyDescent="0.25">
      <c r="A51" s="16"/>
      <c r="B51" s="17" t="b">
        <f t="shared" si="18"/>
        <v>0</v>
      </c>
      <c r="C51" s="17" t="b">
        <f t="shared" si="17"/>
        <v>0</v>
      </c>
      <c r="D51" s="17">
        <f t="shared" si="7"/>
        <v>1</v>
      </c>
      <c r="E51" s="17" t="str">
        <f t="shared" si="8"/>
        <v>Section 5 - Next steps</v>
      </c>
      <c r="F51" s="18" t="str">
        <f t="shared" si="9"/>
        <v/>
      </c>
      <c r="G51" s="13" t="str">
        <f t="shared" si="1"/>
        <v/>
      </c>
      <c r="H51">
        <f t="shared" si="2"/>
        <v>0</v>
      </c>
      <c r="I51" s="14">
        <f t="shared" si="10"/>
        <v>0</v>
      </c>
      <c r="J51" s="13">
        <f t="shared" si="3"/>
        <v>300</v>
      </c>
      <c r="K51">
        <f t="shared" si="4"/>
        <v>0</v>
      </c>
      <c r="L51">
        <f t="shared" si="5"/>
        <v>5</v>
      </c>
      <c r="M51" s="14">
        <f t="shared" si="6"/>
        <v>0</v>
      </c>
      <c r="N51" s="13">
        <f t="shared" si="19"/>
        <v>0</v>
      </c>
      <c r="O51">
        <f t="shared" si="19"/>
        <v>13</v>
      </c>
      <c r="P51">
        <f t="shared" si="19"/>
        <v>0</v>
      </c>
      <c r="Q51" s="14">
        <f t="shared" si="12"/>
        <v>780</v>
      </c>
      <c r="R51" s="13">
        <f t="shared" si="13"/>
        <v>0</v>
      </c>
      <c r="S51">
        <f t="shared" si="14"/>
        <v>13</v>
      </c>
      <c r="T51">
        <f t="shared" si="15"/>
        <v>0</v>
      </c>
      <c r="U51" s="14">
        <f t="shared" si="16"/>
        <v>780</v>
      </c>
      <c r="V51" s="15"/>
      <c r="Z51" s="14"/>
    </row>
    <row r="52" spans="1:26" x14ac:dyDescent="0.25">
      <c r="A52" s="16"/>
      <c r="B52" s="17" t="b">
        <f t="shared" si="18"/>
        <v>0</v>
      </c>
      <c r="C52" s="17" t="b">
        <f t="shared" si="17"/>
        <v>0</v>
      </c>
      <c r="D52" s="17">
        <f t="shared" si="7"/>
        <v>1</v>
      </c>
      <c r="E52" s="17" t="str">
        <f t="shared" si="8"/>
        <v>Section 5 - Next steps</v>
      </c>
      <c r="F52" s="18" t="str">
        <f t="shared" si="9"/>
        <v/>
      </c>
      <c r="G52" s="13" t="str">
        <f t="shared" si="1"/>
        <v/>
      </c>
      <c r="H52">
        <f t="shared" si="2"/>
        <v>0</v>
      </c>
      <c r="I52" s="14">
        <f t="shared" si="10"/>
        <v>0</v>
      </c>
      <c r="J52" s="13">
        <f t="shared" si="3"/>
        <v>300</v>
      </c>
      <c r="K52">
        <f t="shared" si="4"/>
        <v>0</v>
      </c>
      <c r="L52">
        <f t="shared" si="5"/>
        <v>5</v>
      </c>
      <c r="M52" s="14">
        <f t="shared" si="6"/>
        <v>0</v>
      </c>
      <c r="N52" s="13">
        <f t="shared" si="19"/>
        <v>0</v>
      </c>
      <c r="O52">
        <f t="shared" si="19"/>
        <v>13</v>
      </c>
      <c r="P52">
        <f t="shared" si="19"/>
        <v>0</v>
      </c>
      <c r="Q52" s="14">
        <f t="shared" si="12"/>
        <v>780</v>
      </c>
      <c r="R52" s="13">
        <f t="shared" si="13"/>
        <v>0</v>
      </c>
      <c r="S52">
        <f t="shared" si="14"/>
        <v>13</v>
      </c>
      <c r="T52">
        <f t="shared" si="15"/>
        <v>0</v>
      </c>
      <c r="U52" s="14">
        <f t="shared" si="16"/>
        <v>780</v>
      </c>
      <c r="V52" s="15"/>
      <c r="Z52" s="14"/>
    </row>
    <row r="53" spans="1:26" x14ac:dyDescent="0.25">
      <c r="A53" s="16"/>
      <c r="B53" s="17" t="b">
        <f t="shared" si="18"/>
        <v>0</v>
      </c>
      <c r="C53" s="17" t="b">
        <f t="shared" si="17"/>
        <v>0</v>
      </c>
      <c r="D53" s="17">
        <f t="shared" si="7"/>
        <v>1</v>
      </c>
      <c r="E53" s="17" t="str">
        <f t="shared" si="8"/>
        <v>Section 5 - Next steps</v>
      </c>
      <c r="F53" s="18" t="str">
        <f t="shared" si="9"/>
        <v/>
      </c>
      <c r="G53" s="13" t="str">
        <f t="shared" si="1"/>
        <v/>
      </c>
      <c r="H53">
        <f t="shared" si="2"/>
        <v>0</v>
      </c>
      <c r="I53" s="14">
        <f t="shared" si="10"/>
        <v>0</v>
      </c>
      <c r="J53" s="13">
        <f t="shared" si="3"/>
        <v>300</v>
      </c>
      <c r="K53">
        <f t="shared" si="4"/>
        <v>0</v>
      </c>
      <c r="L53">
        <f t="shared" si="5"/>
        <v>5</v>
      </c>
      <c r="M53" s="14">
        <f t="shared" si="6"/>
        <v>0</v>
      </c>
      <c r="N53" s="13">
        <f t="shared" si="19"/>
        <v>0</v>
      </c>
      <c r="O53">
        <f t="shared" si="19"/>
        <v>13</v>
      </c>
      <c r="P53">
        <f t="shared" si="19"/>
        <v>0</v>
      </c>
      <c r="Q53" s="14">
        <f t="shared" si="12"/>
        <v>780</v>
      </c>
      <c r="R53" s="13">
        <f t="shared" si="13"/>
        <v>0</v>
      </c>
      <c r="S53">
        <f t="shared" si="14"/>
        <v>13</v>
      </c>
      <c r="T53">
        <f t="shared" si="15"/>
        <v>0</v>
      </c>
      <c r="U53" s="14">
        <f t="shared" si="16"/>
        <v>780</v>
      </c>
      <c r="V53" s="15"/>
      <c r="Z53" s="14"/>
    </row>
    <row r="54" spans="1:26" x14ac:dyDescent="0.25">
      <c r="A54" s="16"/>
      <c r="B54" s="17" t="b">
        <f t="shared" si="18"/>
        <v>0</v>
      </c>
      <c r="C54" s="17" t="b">
        <f t="shared" si="17"/>
        <v>0</v>
      </c>
      <c r="D54" s="17">
        <f t="shared" si="7"/>
        <v>1</v>
      </c>
      <c r="E54" s="17" t="str">
        <f t="shared" si="8"/>
        <v>Section 5 - Next steps</v>
      </c>
      <c r="F54" s="18" t="str">
        <f t="shared" si="9"/>
        <v/>
      </c>
      <c r="G54" s="13" t="str">
        <f t="shared" si="1"/>
        <v/>
      </c>
      <c r="H54">
        <f t="shared" si="2"/>
        <v>0</v>
      </c>
      <c r="I54" s="14">
        <f t="shared" si="10"/>
        <v>0</v>
      </c>
      <c r="J54" s="13">
        <f t="shared" si="3"/>
        <v>300</v>
      </c>
      <c r="K54">
        <f t="shared" si="4"/>
        <v>0</v>
      </c>
      <c r="L54">
        <f t="shared" si="5"/>
        <v>5</v>
      </c>
      <c r="M54" s="14">
        <f t="shared" si="6"/>
        <v>0</v>
      </c>
      <c r="N54" s="13">
        <f t="shared" si="19"/>
        <v>0</v>
      </c>
      <c r="O54">
        <f t="shared" si="19"/>
        <v>13</v>
      </c>
      <c r="P54">
        <f t="shared" si="19"/>
        <v>0</v>
      </c>
      <c r="Q54" s="14">
        <f t="shared" si="12"/>
        <v>780</v>
      </c>
      <c r="R54" s="13">
        <f t="shared" si="13"/>
        <v>0</v>
      </c>
      <c r="S54">
        <f t="shared" si="14"/>
        <v>13</v>
      </c>
      <c r="T54">
        <f t="shared" si="15"/>
        <v>0</v>
      </c>
      <c r="U54" s="14">
        <f t="shared" si="16"/>
        <v>780</v>
      </c>
      <c r="V54" s="15"/>
      <c r="Z54" s="14"/>
    </row>
    <row r="55" spans="1:26" x14ac:dyDescent="0.25">
      <c r="A55" s="16"/>
      <c r="B55" s="17" t="b">
        <f t="shared" si="18"/>
        <v>0</v>
      </c>
      <c r="C55" s="17" t="b">
        <f t="shared" si="17"/>
        <v>0</v>
      </c>
      <c r="D55" s="17">
        <f t="shared" si="7"/>
        <v>1</v>
      </c>
      <c r="E55" s="17" t="str">
        <f t="shared" si="8"/>
        <v>Section 5 - Next steps</v>
      </c>
      <c r="F55" s="18" t="str">
        <f t="shared" si="9"/>
        <v/>
      </c>
      <c r="G55" s="13" t="str">
        <f t="shared" si="1"/>
        <v/>
      </c>
      <c r="H55">
        <f t="shared" si="2"/>
        <v>0</v>
      </c>
      <c r="I55" s="14">
        <f t="shared" si="10"/>
        <v>0</v>
      </c>
      <c r="J55" s="13">
        <f t="shared" si="3"/>
        <v>300</v>
      </c>
      <c r="K55">
        <f t="shared" si="4"/>
        <v>0</v>
      </c>
      <c r="L55">
        <f t="shared" si="5"/>
        <v>5</v>
      </c>
      <c r="M55" s="14">
        <f t="shared" si="6"/>
        <v>0</v>
      </c>
      <c r="N55" s="13">
        <f t="shared" si="19"/>
        <v>0</v>
      </c>
      <c r="O55">
        <f t="shared" si="19"/>
        <v>13</v>
      </c>
      <c r="P55">
        <f t="shared" si="19"/>
        <v>0</v>
      </c>
      <c r="Q55" s="14">
        <f t="shared" si="12"/>
        <v>780</v>
      </c>
      <c r="R55" s="13">
        <f t="shared" si="13"/>
        <v>0</v>
      </c>
      <c r="S55">
        <f t="shared" si="14"/>
        <v>13</v>
      </c>
      <c r="T55">
        <f t="shared" si="15"/>
        <v>0</v>
      </c>
      <c r="U55" s="14">
        <f t="shared" si="16"/>
        <v>780</v>
      </c>
      <c r="V55" s="15"/>
      <c r="Z55" s="14"/>
    </row>
    <row r="56" spans="1:26" x14ac:dyDescent="0.25">
      <c r="A56" s="16"/>
      <c r="B56" s="17" t="b">
        <f t="shared" si="18"/>
        <v>0</v>
      </c>
      <c r="C56" s="17" t="b">
        <f t="shared" si="17"/>
        <v>0</v>
      </c>
      <c r="D56" s="17">
        <f t="shared" si="7"/>
        <v>1</v>
      </c>
      <c r="E56" s="17" t="str">
        <f t="shared" si="8"/>
        <v>Section 5 - Next steps</v>
      </c>
      <c r="F56" s="18" t="str">
        <f t="shared" si="9"/>
        <v/>
      </c>
      <c r="G56" s="13" t="str">
        <f t="shared" si="1"/>
        <v/>
      </c>
      <c r="H56">
        <f t="shared" si="2"/>
        <v>0</v>
      </c>
      <c r="I56" s="14">
        <f t="shared" si="10"/>
        <v>0</v>
      </c>
      <c r="J56" s="13">
        <f t="shared" si="3"/>
        <v>300</v>
      </c>
      <c r="K56">
        <f t="shared" si="4"/>
        <v>0</v>
      </c>
      <c r="L56">
        <f t="shared" si="5"/>
        <v>5</v>
      </c>
      <c r="M56" s="14">
        <f t="shared" si="6"/>
        <v>0</v>
      </c>
      <c r="N56" s="13">
        <f t="shared" si="19"/>
        <v>0</v>
      </c>
      <c r="O56">
        <f t="shared" si="19"/>
        <v>13</v>
      </c>
      <c r="P56">
        <f t="shared" si="19"/>
        <v>0</v>
      </c>
      <c r="Q56" s="14">
        <f t="shared" si="12"/>
        <v>780</v>
      </c>
      <c r="R56" s="13">
        <f t="shared" si="13"/>
        <v>0</v>
      </c>
      <c r="S56">
        <f t="shared" si="14"/>
        <v>13</v>
      </c>
      <c r="T56">
        <f t="shared" si="15"/>
        <v>0</v>
      </c>
      <c r="U56" s="14">
        <f t="shared" si="16"/>
        <v>780</v>
      </c>
      <c r="V56" s="15"/>
      <c r="Z56" s="14"/>
    </row>
    <row r="57" spans="1:26" x14ac:dyDescent="0.25">
      <c r="A57" s="16"/>
      <c r="B57" s="17" t="b">
        <f t="shared" si="18"/>
        <v>0</v>
      </c>
      <c r="C57" s="17" t="b">
        <f t="shared" si="17"/>
        <v>0</v>
      </c>
      <c r="D57" s="17">
        <f t="shared" si="7"/>
        <v>1</v>
      </c>
      <c r="E57" s="17" t="str">
        <f t="shared" si="8"/>
        <v>Section 5 - Next steps</v>
      </c>
      <c r="F57" s="18" t="str">
        <f t="shared" si="9"/>
        <v/>
      </c>
      <c r="G57" s="13" t="str">
        <f t="shared" si="1"/>
        <v/>
      </c>
      <c r="H57">
        <f t="shared" si="2"/>
        <v>0</v>
      </c>
      <c r="I57" s="14">
        <f t="shared" si="10"/>
        <v>0</v>
      </c>
      <c r="J57" s="13">
        <f t="shared" si="3"/>
        <v>300</v>
      </c>
      <c r="K57">
        <f t="shared" si="4"/>
        <v>0</v>
      </c>
      <c r="L57">
        <f t="shared" si="5"/>
        <v>5</v>
      </c>
      <c r="M57" s="14">
        <f t="shared" si="6"/>
        <v>0</v>
      </c>
      <c r="N57" s="13">
        <f t="shared" si="19"/>
        <v>0</v>
      </c>
      <c r="O57">
        <f t="shared" si="19"/>
        <v>13</v>
      </c>
      <c r="P57">
        <f t="shared" si="19"/>
        <v>0</v>
      </c>
      <c r="Q57" s="14">
        <f t="shared" si="12"/>
        <v>780</v>
      </c>
      <c r="R57" s="13">
        <f t="shared" si="13"/>
        <v>0</v>
      </c>
      <c r="S57">
        <f t="shared" si="14"/>
        <v>13</v>
      </c>
      <c r="T57">
        <f t="shared" si="15"/>
        <v>0</v>
      </c>
      <c r="U57" s="14">
        <f t="shared" si="16"/>
        <v>780</v>
      </c>
      <c r="V57" s="15"/>
      <c r="Z57" s="14"/>
    </row>
    <row r="58" spans="1:26" x14ac:dyDescent="0.25">
      <c r="A58" s="16"/>
      <c r="B58" s="17" t="b">
        <f t="shared" si="18"/>
        <v>0</v>
      </c>
      <c r="C58" s="17" t="b">
        <f t="shared" si="17"/>
        <v>0</v>
      </c>
      <c r="D58" s="17">
        <f t="shared" si="7"/>
        <v>1</v>
      </c>
      <c r="E58" s="17" t="str">
        <f t="shared" si="8"/>
        <v>Section 5 - Next steps</v>
      </c>
      <c r="F58" s="18" t="str">
        <f t="shared" si="9"/>
        <v/>
      </c>
      <c r="G58" s="13" t="str">
        <f t="shared" si="1"/>
        <v/>
      </c>
      <c r="H58">
        <f t="shared" si="2"/>
        <v>0</v>
      </c>
      <c r="I58" s="14">
        <f t="shared" si="10"/>
        <v>0</v>
      </c>
      <c r="J58" s="13">
        <f t="shared" si="3"/>
        <v>300</v>
      </c>
      <c r="K58">
        <f t="shared" si="4"/>
        <v>0</v>
      </c>
      <c r="L58">
        <f t="shared" si="5"/>
        <v>5</v>
      </c>
      <c r="M58" s="14">
        <f t="shared" si="6"/>
        <v>0</v>
      </c>
      <c r="N58" s="13">
        <f t="shared" si="19"/>
        <v>0</v>
      </c>
      <c r="O58">
        <f t="shared" si="19"/>
        <v>13</v>
      </c>
      <c r="P58">
        <f t="shared" si="19"/>
        <v>0</v>
      </c>
      <c r="Q58" s="14">
        <f t="shared" si="12"/>
        <v>780</v>
      </c>
      <c r="R58" s="13">
        <f t="shared" si="13"/>
        <v>0</v>
      </c>
      <c r="S58">
        <f t="shared" si="14"/>
        <v>13</v>
      </c>
      <c r="T58">
        <f t="shared" si="15"/>
        <v>0</v>
      </c>
      <c r="U58" s="14">
        <f t="shared" si="16"/>
        <v>780</v>
      </c>
      <c r="V58" s="15"/>
      <c r="Z58" s="14"/>
    </row>
    <row r="59" spans="1:26" x14ac:dyDescent="0.25">
      <c r="A59" s="16"/>
      <c r="B59" s="17" t="b">
        <f t="shared" si="18"/>
        <v>0</v>
      </c>
      <c r="C59" s="17" t="b">
        <f t="shared" si="17"/>
        <v>0</v>
      </c>
      <c r="D59" s="17">
        <f t="shared" si="7"/>
        <v>1</v>
      </c>
      <c r="E59" s="17" t="str">
        <f t="shared" si="8"/>
        <v>Section 5 - Next steps</v>
      </c>
      <c r="F59" s="18" t="str">
        <f t="shared" si="9"/>
        <v/>
      </c>
      <c r="G59" s="13" t="str">
        <f t="shared" si="1"/>
        <v/>
      </c>
      <c r="H59">
        <f t="shared" si="2"/>
        <v>0</v>
      </c>
      <c r="I59" s="14">
        <f t="shared" si="10"/>
        <v>0</v>
      </c>
      <c r="J59" s="13">
        <f t="shared" si="3"/>
        <v>300</v>
      </c>
      <c r="K59">
        <f t="shared" si="4"/>
        <v>0</v>
      </c>
      <c r="L59">
        <f t="shared" si="5"/>
        <v>5</v>
      </c>
      <c r="M59" s="14">
        <f t="shared" si="6"/>
        <v>0</v>
      </c>
      <c r="N59" s="13">
        <f t="shared" si="19"/>
        <v>0</v>
      </c>
      <c r="O59">
        <f t="shared" si="19"/>
        <v>13</v>
      </c>
      <c r="P59">
        <f t="shared" si="19"/>
        <v>0</v>
      </c>
      <c r="Q59" s="14">
        <f t="shared" si="12"/>
        <v>780</v>
      </c>
      <c r="R59" s="13">
        <f t="shared" si="13"/>
        <v>0</v>
      </c>
      <c r="S59">
        <f t="shared" si="14"/>
        <v>13</v>
      </c>
      <c r="T59">
        <f t="shared" si="15"/>
        <v>0</v>
      </c>
      <c r="U59" s="14">
        <f t="shared" si="16"/>
        <v>780</v>
      </c>
      <c r="V59" s="15"/>
      <c r="Z59" s="14"/>
    </row>
    <row r="60" spans="1:26" x14ac:dyDescent="0.25">
      <c r="A60" s="16"/>
      <c r="B60" s="17" t="b">
        <f t="shared" si="18"/>
        <v>0</v>
      </c>
      <c r="C60" s="17" t="b">
        <f t="shared" si="17"/>
        <v>0</v>
      </c>
      <c r="D60" s="17">
        <f t="shared" si="7"/>
        <v>1</v>
      </c>
      <c r="E60" s="17" t="str">
        <f t="shared" si="8"/>
        <v>Section 5 - Next steps</v>
      </c>
      <c r="F60" s="18" t="str">
        <f t="shared" si="9"/>
        <v/>
      </c>
      <c r="G60" s="13" t="str">
        <f t="shared" si="1"/>
        <v/>
      </c>
      <c r="H60">
        <f t="shared" si="2"/>
        <v>0</v>
      </c>
      <c r="I60" s="14">
        <f t="shared" si="10"/>
        <v>0</v>
      </c>
      <c r="J60" s="13">
        <f t="shared" si="3"/>
        <v>300</v>
      </c>
      <c r="K60">
        <f t="shared" si="4"/>
        <v>0</v>
      </c>
      <c r="L60">
        <f t="shared" si="5"/>
        <v>5</v>
      </c>
      <c r="M60" s="14">
        <f t="shared" si="6"/>
        <v>0</v>
      </c>
      <c r="N60" s="13">
        <f t="shared" si="19"/>
        <v>0</v>
      </c>
      <c r="O60">
        <f t="shared" si="19"/>
        <v>13</v>
      </c>
      <c r="P60">
        <f t="shared" si="19"/>
        <v>0</v>
      </c>
      <c r="Q60" s="14">
        <f t="shared" si="12"/>
        <v>780</v>
      </c>
      <c r="R60" s="13">
        <f t="shared" si="13"/>
        <v>0</v>
      </c>
      <c r="S60">
        <f t="shared" si="14"/>
        <v>13</v>
      </c>
      <c r="T60">
        <f t="shared" si="15"/>
        <v>0</v>
      </c>
      <c r="U60" s="14">
        <f t="shared" si="16"/>
        <v>780</v>
      </c>
      <c r="V60" s="15"/>
      <c r="Z60" s="14"/>
    </row>
    <row r="61" spans="1:26" x14ac:dyDescent="0.25">
      <c r="A61" s="16"/>
      <c r="B61" s="17" t="b">
        <f t="shared" si="18"/>
        <v>0</v>
      </c>
      <c r="C61" s="17" t="b">
        <f t="shared" si="17"/>
        <v>0</v>
      </c>
      <c r="D61" s="17">
        <f t="shared" si="7"/>
        <v>1</v>
      </c>
      <c r="E61" s="17" t="str">
        <f t="shared" si="8"/>
        <v>Section 5 - Next steps</v>
      </c>
      <c r="F61" s="18" t="str">
        <f t="shared" si="9"/>
        <v/>
      </c>
      <c r="G61" s="13" t="str">
        <f t="shared" si="1"/>
        <v/>
      </c>
      <c r="H61">
        <f t="shared" si="2"/>
        <v>0</v>
      </c>
      <c r="I61" s="14">
        <f t="shared" si="10"/>
        <v>0</v>
      </c>
      <c r="J61" s="13">
        <f t="shared" si="3"/>
        <v>300</v>
      </c>
      <c r="K61">
        <f t="shared" si="4"/>
        <v>0</v>
      </c>
      <c r="L61">
        <f t="shared" si="5"/>
        <v>5</v>
      </c>
      <c r="M61" s="14">
        <f t="shared" si="6"/>
        <v>0</v>
      </c>
      <c r="N61" s="13">
        <f t="shared" si="19"/>
        <v>0</v>
      </c>
      <c r="O61">
        <f t="shared" si="19"/>
        <v>13</v>
      </c>
      <c r="P61">
        <f t="shared" si="19"/>
        <v>0</v>
      </c>
      <c r="Q61" s="14">
        <f t="shared" si="12"/>
        <v>780</v>
      </c>
      <c r="R61" s="13">
        <f t="shared" si="13"/>
        <v>0</v>
      </c>
      <c r="S61">
        <f t="shared" si="14"/>
        <v>13</v>
      </c>
      <c r="T61">
        <f t="shared" si="15"/>
        <v>0</v>
      </c>
      <c r="U61" s="14">
        <f t="shared" si="16"/>
        <v>780</v>
      </c>
      <c r="V61" s="15"/>
      <c r="Z61" s="14"/>
    </row>
    <row r="62" spans="1:26" x14ac:dyDescent="0.25">
      <c r="A62" s="16"/>
      <c r="B62" s="17" t="b">
        <f t="shared" si="18"/>
        <v>0</v>
      </c>
      <c r="C62" s="17" t="b">
        <f t="shared" si="17"/>
        <v>0</v>
      </c>
      <c r="D62" s="17">
        <f t="shared" si="7"/>
        <v>1</v>
      </c>
      <c r="E62" s="17" t="str">
        <f t="shared" si="8"/>
        <v>Section 5 - Next steps</v>
      </c>
      <c r="F62" s="18" t="str">
        <f t="shared" si="9"/>
        <v/>
      </c>
      <c r="G62" s="13" t="str">
        <f t="shared" si="1"/>
        <v/>
      </c>
      <c r="H62">
        <f t="shared" si="2"/>
        <v>0</v>
      </c>
      <c r="I62" s="14">
        <f t="shared" si="10"/>
        <v>0</v>
      </c>
      <c r="J62" s="13">
        <f t="shared" si="3"/>
        <v>300</v>
      </c>
      <c r="K62">
        <f t="shared" si="4"/>
        <v>0</v>
      </c>
      <c r="L62">
        <f t="shared" si="5"/>
        <v>5</v>
      </c>
      <c r="M62" s="14">
        <f t="shared" si="6"/>
        <v>0</v>
      </c>
      <c r="N62" s="13">
        <f t="shared" si="19"/>
        <v>0</v>
      </c>
      <c r="O62">
        <f t="shared" si="19"/>
        <v>13</v>
      </c>
      <c r="P62">
        <f t="shared" si="19"/>
        <v>0</v>
      </c>
      <c r="Q62" s="14">
        <f t="shared" si="12"/>
        <v>780</v>
      </c>
      <c r="R62" s="13">
        <f t="shared" si="13"/>
        <v>0</v>
      </c>
      <c r="S62">
        <f t="shared" si="14"/>
        <v>13</v>
      </c>
      <c r="T62">
        <f t="shared" si="15"/>
        <v>0</v>
      </c>
      <c r="U62" s="14">
        <f t="shared" si="16"/>
        <v>780</v>
      </c>
      <c r="V62" s="15"/>
      <c r="Z62" s="14"/>
    </row>
    <row r="63" spans="1:26" x14ac:dyDescent="0.25">
      <c r="A63" s="16"/>
      <c r="B63" s="17" t="b">
        <f t="shared" si="18"/>
        <v>0</v>
      </c>
      <c r="C63" s="17" t="b">
        <f t="shared" si="17"/>
        <v>0</v>
      </c>
      <c r="D63" s="17">
        <f t="shared" si="7"/>
        <v>1</v>
      </c>
      <c r="E63" s="17" t="str">
        <f t="shared" si="8"/>
        <v>Section 5 - Next steps</v>
      </c>
      <c r="F63" s="18" t="str">
        <f t="shared" si="9"/>
        <v/>
      </c>
      <c r="G63" s="13" t="str">
        <f t="shared" si="1"/>
        <v/>
      </c>
      <c r="H63">
        <f t="shared" si="2"/>
        <v>0</v>
      </c>
      <c r="I63" s="14">
        <f t="shared" si="10"/>
        <v>0</v>
      </c>
      <c r="J63" s="13">
        <f t="shared" si="3"/>
        <v>300</v>
      </c>
      <c r="K63">
        <f t="shared" si="4"/>
        <v>0</v>
      </c>
      <c r="L63">
        <f t="shared" si="5"/>
        <v>5</v>
      </c>
      <c r="M63" s="14">
        <f t="shared" si="6"/>
        <v>0</v>
      </c>
      <c r="N63" s="13">
        <f t="shared" si="19"/>
        <v>0</v>
      </c>
      <c r="O63">
        <f t="shared" si="19"/>
        <v>13</v>
      </c>
      <c r="P63">
        <f t="shared" si="19"/>
        <v>0</v>
      </c>
      <c r="Q63" s="14">
        <f t="shared" si="12"/>
        <v>780</v>
      </c>
      <c r="R63" s="13">
        <f t="shared" si="13"/>
        <v>0</v>
      </c>
      <c r="S63">
        <f t="shared" si="14"/>
        <v>13</v>
      </c>
      <c r="T63">
        <f t="shared" si="15"/>
        <v>0</v>
      </c>
      <c r="U63" s="14">
        <f t="shared" si="16"/>
        <v>780</v>
      </c>
      <c r="V63" s="15"/>
      <c r="Z63" s="14"/>
    </row>
    <row r="64" spans="1:26" x14ac:dyDescent="0.25">
      <c r="A64" s="16"/>
      <c r="B64" s="17" t="b">
        <f t="shared" si="18"/>
        <v>0</v>
      </c>
      <c r="C64" s="17" t="b">
        <f t="shared" si="17"/>
        <v>0</v>
      </c>
      <c r="D64" s="17">
        <f t="shared" si="7"/>
        <v>1</v>
      </c>
      <c r="E64" s="17" t="str">
        <f t="shared" si="8"/>
        <v>Section 5 - Next steps</v>
      </c>
      <c r="F64" s="18" t="str">
        <f t="shared" si="9"/>
        <v/>
      </c>
      <c r="G64" s="13" t="str">
        <f t="shared" si="1"/>
        <v/>
      </c>
      <c r="H64">
        <f t="shared" si="2"/>
        <v>0</v>
      </c>
      <c r="I64" s="14">
        <f t="shared" si="10"/>
        <v>0</v>
      </c>
      <c r="J64" s="13">
        <f t="shared" si="3"/>
        <v>300</v>
      </c>
      <c r="K64">
        <f t="shared" si="4"/>
        <v>0</v>
      </c>
      <c r="L64">
        <f t="shared" si="5"/>
        <v>5</v>
      </c>
      <c r="M64" s="14">
        <f t="shared" si="6"/>
        <v>0</v>
      </c>
      <c r="N64" s="13">
        <f t="shared" si="19"/>
        <v>0</v>
      </c>
      <c r="O64">
        <f t="shared" si="19"/>
        <v>13</v>
      </c>
      <c r="P64">
        <f t="shared" si="19"/>
        <v>0</v>
      </c>
      <c r="Q64" s="14">
        <f t="shared" si="12"/>
        <v>780</v>
      </c>
      <c r="R64" s="13">
        <f t="shared" si="13"/>
        <v>0</v>
      </c>
      <c r="S64">
        <f t="shared" si="14"/>
        <v>13</v>
      </c>
      <c r="T64">
        <f t="shared" si="15"/>
        <v>0</v>
      </c>
      <c r="U64" s="14">
        <f t="shared" si="16"/>
        <v>780</v>
      </c>
      <c r="V64" s="15"/>
      <c r="Z64" s="14"/>
    </row>
    <row r="65" spans="1:26" x14ac:dyDescent="0.25">
      <c r="A65" s="16"/>
      <c r="B65" s="17" t="b">
        <f t="shared" si="18"/>
        <v>0</v>
      </c>
      <c r="C65" s="17" t="b">
        <f t="shared" si="17"/>
        <v>0</v>
      </c>
      <c r="D65" s="17">
        <f t="shared" si="7"/>
        <v>1</v>
      </c>
      <c r="E65" s="17" t="str">
        <f t="shared" si="8"/>
        <v>Section 5 - Next steps</v>
      </c>
      <c r="F65" s="18" t="str">
        <f t="shared" si="9"/>
        <v/>
      </c>
      <c r="G65" s="13" t="str">
        <f t="shared" si="1"/>
        <v/>
      </c>
      <c r="H65">
        <f t="shared" si="2"/>
        <v>0</v>
      </c>
      <c r="I65" s="14">
        <f t="shared" si="10"/>
        <v>0</v>
      </c>
      <c r="J65" s="13">
        <f t="shared" si="3"/>
        <v>300</v>
      </c>
      <c r="K65">
        <f t="shared" si="4"/>
        <v>0</v>
      </c>
      <c r="L65">
        <f t="shared" si="5"/>
        <v>5</v>
      </c>
      <c r="M65" s="14">
        <f t="shared" si="6"/>
        <v>0</v>
      </c>
      <c r="N65" s="13">
        <f t="shared" si="19"/>
        <v>0</v>
      </c>
      <c r="O65">
        <f t="shared" si="19"/>
        <v>13</v>
      </c>
      <c r="P65">
        <f t="shared" si="19"/>
        <v>0</v>
      </c>
      <c r="Q65" s="14">
        <f t="shared" si="12"/>
        <v>780</v>
      </c>
      <c r="R65" s="13">
        <f t="shared" si="13"/>
        <v>0</v>
      </c>
      <c r="S65">
        <f t="shared" si="14"/>
        <v>13</v>
      </c>
      <c r="T65">
        <f t="shared" si="15"/>
        <v>0</v>
      </c>
      <c r="U65" s="14">
        <f t="shared" si="16"/>
        <v>780</v>
      </c>
      <c r="V65" s="15"/>
      <c r="Z65" s="14"/>
    </row>
    <row r="66" spans="1:26" x14ac:dyDescent="0.25">
      <c r="A66" s="16"/>
      <c r="B66" s="17" t="b">
        <f t="shared" si="18"/>
        <v>0</v>
      </c>
      <c r="C66" s="17" t="b">
        <f t="shared" si="17"/>
        <v>0</v>
      </c>
      <c r="D66" s="17">
        <f t="shared" si="7"/>
        <v>1</v>
      </c>
      <c r="E66" s="17" t="str">
        <f t="shared" si="8"/>
        <v>Section 5 - Next steps</v>
      </c>
      <c r="F66" s="18" t="str">
        <f t="shared" si="9"/>
        <v/>
      </c>
      <c r="G66" s="13" t="str">
        <f t="shared" si="1"/>
        <v/>
      </c>
      <c r="H66">
        <f t="shared" si="2"/>
        <v>0</v>
      </c>
      <c r="I66" s="14">
        <f t="shared" si="10"/>
        <v>0</v>
      </c>
      <c r="J66" s="13">
        <f t="shared" si="3"/>
        <v>300</v>
      </c>
      <c r="K66">
        <f t="shared" si="4"/>
        <v>0</v>
      </c>
      <c r="L66">
        <f t="shared" si="5"/>
        <v>5</v>
      </c>
      <c r="M66" s="14">
        <f t="shared" si="6"/>
        <v>0</v>
      </c>
      <c r="N66" s="13">
        <f t="shared" si="19"/>
        <v>0</v>
      </c>
      <c r="O66">
        <f t="shared" si="19"/>
        <v>13</v>
      </c>
      <c r="P66">
        <f t="shared" si="19"/>
        <v>0</v>
      </c>
      <c r="Q66" s="14">
        <f t="shared" si="12"/>
        <v>780</v>
      </c>
      <c r="R66" s="13">
        <f t="shared" si="13"/>
        <v>0</v>
      </c>
      <c r="S66">
        <f t="shared" si="14"/>
        <v>13</v>
      </c>
      <c r="T66">
        <f t="shared" si="15"/>
        <v>0</v>
      </c>
      <c r="U66" s="14">
        <f t="shared" si="16"/>
        <v>780</v>
      </c>
      <c r="V66" s="15"/>
      <c r="Z66" s="14"/>
    </row>
    <row r="67" spans="1:26" x14ac:dyDescent="0.25">
      <c r="A67" s="16"/>
      <c r="B67" s="17" t="b">
        <f t="shared" si="18"/>
        <v>0</v>
      </c>
      <c r="C67" s="17" t="b">
        <f t="shared" si="17"/>
        <v>0</v>
      </c>
      <c r="D67" s="17">
        <f t="shared" si="7"/>
        <v>1</v>
      </c>
      <c r="E67" s="17" t="str">
        <f t="shared" si="8"/>
        <v>Section 5 - Next steps</v>
      </c>
      <c r="F67" s="18" t="str">
        <f t="shared" si="9"/>
        <v/>
      </c>
      <c r="G67" s="13" t="str">
        <f t="shared" si="1"/>
        <v/>
      </c>
      <c r="H67">
        <f t="shared" si="2"/>
        <v>0</v>
      </c>
      <c r="I67" s="14">
        <f t="shared" si="10"/>
        <v>0</v>
      </c>
      <c r="J67" s="13">
        <f t="shared" si="3"/>
        <v>300</v>
      </c>
      <c r="K67">
        <f t="shared" si="4"/>
        <v>0</v>
      </c>
      <c r="L67">
        <f t="shared" si="5"/>
        <v>5</v>
      </c>
      <c r="M67" s="14">
        <f t="shared" si="6"/>
        <v>0</v>
      </c>
      <c r="N67" s="13">
        <f t="shared" si="19"/>
        <v>0</v>
      </c>
      <c r="O67">
        <f t="shared" si="19"/>
        <v>13</v>
      </c>
      <c r="P67">
        <f t="shared" si="19"/>
        <v>0</v>
      </c>
      <c r="Q67" s="14">
        <f t="shared" si="12"/>
        <v>780</v>
      </c>
      <c r="R67" s="13">
        <f t="shared" si="13"/>
        <v>0</v>
      </c>
      <c r="S67">
        <f t="shared" si="14"/>
        <v>13</v>
      </c>
      <c r="T67">
        <f t="shared" si="15"/>
        <v>0</v>
      </c>
      <c r="U67" s="14">
        <f t="shared" si="16"/>
        <v>780</v>
      </c>
      <c r="V67" s="15"/>
      <c r="Z67" s="14"/>
    </row>
    <row r="68" spans="1:26" x14ac:dyDescent="0.25">
      <c r="A68" s="16"/>
      <c r="B68" s="17" t="b">
        <f t="shared" si="18"/>
        <v>0</v>
      </c>
      <c r="C68" s="17" t="b">
        <f t="shared" si="17"/>
        <v>0</v>
      </c>
      <c r="D68" s="17">
        <f t="shared" si="7"/>
        <v>1</v>
      </c>
      <c r="E68" s="17" t="str">
        <f t="shared" si="8"/>
        <v>Section 5 - Next steps</v>
      </c>
      <c r="F68" s="18" t="str">
        <f t="shared" si="9"/>
        <v/>
      </c>
      <c r="G68" s="13" t="str">
        <f t="shared" si="1"/>
        <v/>
      </c>
      <c r="H68">
        <f t="shared" si="2"/>
        <v>0</v>
      </c>
      <c r="I68" s="14">
        <f t="shared" si="10"/>
        <v>0</v>
      </c>
      <c r="J68" s="13">
        <f t="shared" si="3"/>
        <v>300</v>
      </c>
      <c r="K68">
        <f t="shared" si="4"/>
        <v>0</v>
      </c>
      <c r="L68">
        <f t="shared" si="5"/>
        <v>5</v>
      </c>
      <c r="M68" s="14">
        <f t="shared" si="6"/>
        <v>0</v>
      </c>
      <c r="N68" s="13">
        <f t="shared" si="19"/>
        <v>0</v>
      </c>
      <c r="O68">
        <f t="shared" si="19"/>
        <v>13</v>
      </c>
      <c r="P68">
        <f t="shared" si="19"/>
        <v>0</v>
      </c>
      <c r="Q68" s="14">
        <f t="shared" si="12"/>
        <v>780</v>
      </c>
      <c r="R68" s="13">
        <f t="shared" si="13"/>
        <v>0</v>
      </c>
      <c r="S68">
        <f t="shared" si="14"/>
        <v>13</v>
      </c>
      <c r="T68">
        <f t="shared" si="15"/>
        <v>0</v>
      </c>
      <c r="U68" s="14">
        <f t="shared" si="16"/>
        <v>780</v>
      </c>
      <c r="V68" s="15"/>
      <c r="Z68" s="14"/>
    </row>
    <row r="69" spans="1:26" x14ac:dyDescent="0.25">
      <c r="A69" s="16"/>
      <c r="B69" s="17" t="b">
        <f t="shared" si="18"/>
        <v>0</v>
      </c>
      <c r="C69" s="17" t="b">
        <f t="shared" si="17"/>
        <v>0</v>
      </c>
      <c r="D69" s="17">
        <f t="shared" si="7"/>
        <v>1</v>
      </c>
      <c r="E69" s="17" t="str">
        <f t="shared" si="8"/>
        <v>Section 5 - Next steps</v>
      </c>
      <c r="F69" s="18" t="str">
        <f t="shared" si="9"/>
        <v/>
      </c>
      <c r="G69" s="13" t="str">
        <f t="shared" si="1"/>
        <v/>
      </c>
      <c r="H69">
        <f t="shared" si="2"/>
        <v>0</v>
      </c>
      <c r="I69" s="14">
        <f t="shared" si="10"/>
        <v>0</v>
      </c>
      <c r="J69" s="13">
        <f t="shared" si="3"/>
        <v>300</v>
      </c>
      <c r="K69">
        <f t="shared" si="4"/>
        <v>0</v>
      </c>
      <c r="L69">
        <f t="shared" si="5"/>
        <v>5</v>
      </c>
      <c r="M69" s="14">
        <f t="shared" si="6"/>
        <v>0</v>
      </c>
      <c r="N69" s="13">
        <f t="shared" si="19"/>
        <v>0</v>
      </c>
      <c r="O69">
        <f t="shared" si="19"/>
        <v>13</v>
      </c>
      <c r="P69">
        <f t="shared" si="19"/>
        <v>0</v>
      </c>
      <c r="Q69" s="14">
        <f t="shared" si="12"/>
        <v>780</v>
      </c>
      <c r="R69" s="13">
        <f t="shared" si="13"/>
        <v>0</v>
      </c>
      <c r="S69">
        <f t="shared" si="14"/>
        <v>13</v>
      </c>
      <c r="T69">
        <f t="shared" si="15"/>
        <v>0</v>
      </c>
      <c r="U69" s="14">
        <f t="shared" si="16"/>
        <v>780</v>
      </c>
      <c r="V69" s="15"/>
      <c r="Z69" s="14"/>
    </row>
    <row r="70" spans="1:26" x14ac:dyDescent="0.25">
      <c r="A70" s="16"/>
      <c r="B70" s="17" t="b">
        <f t="shared" si="18"/>
        <v>0</v>
      </c>
      <c r="C70" s="17" t="b">
        <f t="shared" si="17"/>
        <v>0</v>
      </c>
      <c r="D70" s="17">
        <f t="shared" si="7"/>
        <v>1</v>
      </c>
      <c r="E70" s="17" t="str">
        <f t="shared" si="8"/>
        <v>Section 5 - Next steps</v>
      </c>
      <c r="F70" s="18" t="str">
        <f t="shared" si="9"/>
        <v/>
      </c>
      <c r="G70" s="13" t="str">
        <f t="shared" si="1"/>
        <v/>
      </c>
      <c r="H70">
        <f t="shared" si="2"/>
        <v>0</v>
      </c>
      <c r="I70" s="14">
        <f t="shared" si="10"/>
        <v>0</v>
      </c>
      <c r="J70" s="13">
        <f t="shared" si="3"/>
        <v>300</v>
      </c>
      <c r="K70">
        <f t="shared" si="4"/>
        <v>0</v>
      </c>
      <c r="L70">
        <f t="shared" si="5"/>
        <v>5</v>
      </c>
      <c r="M70" s="14">
        <f t="shared" si="6"/>
        <v>0</v>
      </c>
      <c r="N70" s="13">
        <f t="shared" si="19"/>
        <v>0</v>
      </c>
      <c r="O70">
        <f t="shared" si="19"/>
        <v>13</v>
      </c>
      <c r="P70">
        <f t="shared" si="19"/>
        <v>0</v>
      </c>
      <c r="Q70" s="14">
        <f t="shared" si="12"/>
        <v>780</v>
      </c>
      <c r="R70" s="13">
        <f t="shared" si="13"/>
        <v>0</v>
      </c>
      <c r="S70">
        <f t="shared" si="14"/>
        <v>13</v>
      </c>
      <c r="T70">
        <f t="shared" si="15"/>
        <v>0</v>
      </c>
      <c r="U70" s="14">
        <f t="shared" si="16"/>
        <v>780</v>
      </c>
      <c r="V70" s="15"/>
      <c r="Z70" s="14"/>
    </row>
    <row r="71" spans="1:26" x14ac:dyDescent="0.25">
      <c r="A71" s="16"/>
      <c r="B71" s="17" t="b">
        <f t="shared" si="18"/>
        <v>0</v>
      </c>
      <c r="C71" s="17" t="b">
        <f t="shared" si="17"/>
        <v>0</v>
      </c>
      <c r="D71" s="17">
        <f t="shared" si="7"/>
        <v>1</v>
      </c>
      <c r="E71" s="17" t="str">
        <f t="shared" si="8"/>
        <v>Section 5 - Next steps</v>
      </c>
      <c r="F71" s="18" t="str">
        <f t="shared" si="9"/>
        <v/>
      </c>
      <c r="G71" s="13" t="str">
        <f t="shared" si="1"/>
        <v/>
      </c>
      <c r="H71">
        <f t="shared" si="2"/>
        <v>0</v>
      </c>
      <c r="I71" s="14">
        <f t="shared" si="10"/>
        <v>0</v>
      </c>
      <c r="J71" s="13">
        <f t="shared" si="3"/>
        <v>300</v>
      </c>
      <c r="K71">
        <f t="shared" si="4"/>
        <v>0</v>
      </c>
      <c r="L71">
        <f t="shared" si="5"/>
        <v>5</v>
      </c>
      <c r="M71" s="14">
        <f t="shared" si="6"/>
        <v>0</v>
      </c>
      <c r="N71" s="13">
        <f t="shared" si="19"/>
        <v>0</v>
      </c>
      <c r="O71">
        <f t="shared" si="19"/>
        <v>13</v>
      </c>
      <c r="P71">
        <f t="shared" si="19"/>
        <v>0</v>
      </c>
      <c r="Q71" s="14">
        <f t="shared" si="12"/>
        <v>780</v>
      </c>
      <c r="R71" s="13">
        <f t="shared" si="13"/>
        <v>0</v>
      </c>
      <c r="S71">
        <f t="shared" si="14"/>
        <v>13</v>
      </c>
      <c r="T71">
        <f t="shared" si="15"/>
        <v>0</v>
      </c>
      <c r="U71" s="14">
        <f t="shared" si="16"/>
        <v>780</v>
      </c>
      <c r="V71" s="15"/>
      <c r="Z71" s="14"/>
    </row>
    <row r="72" spans="1:26" x14ac:dyDescent="0.25">
      <c r="A72" s="16"/>
      <c r="B72" s="17" t="b">
        <f t="shared" si="18"/>
        <v>0</v>
      </c>
      <c r="C72" s="17" t="b">
        <f t="shared" si="17"/>
        <v>0</v>
      </c>
      <c r="D72" s="17">
        <f t="shared" si="7"/>
        <v>1</v>
      </c>
      <c r="E72" s="17" t="str">
        <f t="shared" si="8"/>
        <v>Section 5 - Next steps</v>
      </c>
      <c r="F72" s="18" t="str">
        <f t="shared" si="9"/>
        <v/>
      </c>
      <c r="G72" s="13" t="str">
        <f t="shared" si="1"/>
        <v/>
      </c>
      <c r="H72">
        <f t="shared" si="2"/>
        <v>0</v>
      </c>
      <c r="I72" s="14">
        <f t="shared" si="10"/>
        <v>0</v>
      </c>
      <c r="J72" s="13">
        <f t="shared" si="3"/>
        <v>300</v>
      </c>
      <c r="K72">
        <f t="shared" si="4"/>
        <v>0</v>
      </c>
      <c r="L72">
        <f t="shared" si="5"/>
        <v>5</v>
      </c>
      <c r="M72" s="14">
        <f t="shared" si="6"/>
        <v>0</v>
      </c>
      <c r="N72" s="13">
        <f t="shared" si="19"/>
        <v>0</v>
      </c>
      <c r="O72">
        <f t="shared" si="19"/>
        <v>13</v>
      </c>
      <c r="P72">
        <f t="shared" si="19"/>
        <v>0</v>
      </c>
      <c r="Q72" s="14">
        <f t="shared" si="12"/>
        <v>780</v>
      </c>
      <c r="R72" s="13">
        <f t="shared" si="13"/>
        <v>0</v>
      </c>
      <c r="S72">
        <f t="shared" si="14"/>
        <v>13</v>
      </c>
      <c r="T72">
        <f t="shared" si="15"/>
        <v>0</v>
      </c>
      <c r="U72" s="14">
        <f t="shared" si="16"/>
        <v>780</v>
      </c>
      <c r="V72" s="15"/>
      <c r="Z72" s="14"/>
    </row>
    <row r="73" spans="1:26" x14ac:dyDescent="0.25">
      <c r="A73" s="16"/>
      <c r="B73" s="17" t="b">
        <f t="shared" si="18"/>
        <v>0</v>
      </c>
      <c r="C73" s="17" t="b">
        <f t="shared" si="17"/>
        <v>0</v>
      </c>
      <c r="D73" s="17">
        <f t="shared" si="7"/>
        <v>1</v>
      </c>
      <c r="E73" s="17" t="str">
        <f t="shared" si="8"/>
        <v>Section 5 - Next steps</v>
      </c>
      <c r="F73" s="18" t="str">
        <f t="shared" si="9"/>
        <v/>
      </c>
      <c r="G73" s="13" t="str">
        <f t="shared" si="1"/>
        <v/>
      </c>
      <c r="H73">
        <f t="shared" si="2"/>
        <v>0</v>
      </c>
      <c r="I73" s="14">
        <f t="shared" si="10"/>
        <v>0</v>
      </c>
      <c r="J73" s="13">
        <f t="shared" si="3"/>
        <v>300</v>
      </c>
      <c r="K73">
        <f t="shared" si="4"/>
        <v>0</v>
      </c>
      <c r="L73">
        <f t="shared" si="5"/>
        <v>5</v>
      </c>
      <c r="M73" s="14">
        <f t="shared" si="6"/>
        <v>0</v>
      </c>
      <c r="N73" s="13">
        <f t="shared" si="19"/>
        <v>0</v>
      </c>
      <c r="O73">
        <f t="shared" si="19"/>
        <v>13</v>
      </c>
      <c r="P73">
        <f t="shared" si="19"/>
        <v>0</v>
      </c>
      <c r="Q73" s="14">
        <f t="shared" si="12"/>
        <v>780</v>
      </c>
      <c r="R73" s="13">
        <f t="shared" si="13"/>
        <v>0</v>
      </c>
      <c r="S73">
        <f t="shared" si="14"/>
        <v>13</v>
      </c>
      <c r="T73">
        <f t="shared" si="15"/>
        <v>0</v>
      </c>
      <c r="U73" s="14">
        <f t="shared" si="16"/>
        <v>780</v>
      </c>
      <c r="V73" s="15"/>
      <c r="Z73" s="14"/>
    </row>
    <row r="74" spans="1:26" x14ac:dyDescent="0.25">
      <c r="A74" s="16"/>
      <c r="B74" s="17" t="b">
        <f t="shared" si="18"/>
        <v>0</v>
      </c>
      <c r="C74" s="17" t="b">
        <f t="shared" si="17"/>
        <v>0</v>
      </c>
      <c r="D74" s="17">
        <f t="shared" si="7"/>
        <v>1</v>
      </c>
      <c r="E74" s="17" t="str">
        <f t="shared" si="8"/>
        <v>Section 5 - Next steps</v>
      </c>
      <c r="F74" s="18" t="str">
        <f t="shared" si="9"/>
        <v/>
      </c>
      <c r="G74" s="13" t="str">
        <f t="shared" si="1"/>
        <v/>
      </c>
      <c r="H74">
        <f t="shared" si="2"/>
        <v>0</v>
      </c>
      <c r="I74" s="14">
        <f t="shared" si="10"/>
        <v>0</v>
      </c>
      <c r="J74" s="13">
        <f t="shared" si="3"/>
        <v>300</v>
      </c>
      <c r="K74">
        <f t="shared" si="4"/>
        <v>0</v>
      </c>
      <c r="L74">
        <f t="shared" si="5"/>
        <v>5</v>
      </c>
      <c r="M74" s="14">
        <f t="shared" si="6"/>
        <v>0</v>
      </c>
      <c r="N74" s="13">
        <f t="shared" si="19"/>
        <v>0</v>
      </c>
      <c r="O74">
        <f t="shared" si="19"/>
        <v>13</v>
      </c>
      <c r="P74">
        <f t="shared" si="19"/>
        <v>0</v>
      </c>
      <c r="Q74" s="14">
        <f t="shared" si="12"/>
        <v>780</v>
      </c>
      <c r="R74" s="13">
        <f t="shared" si="13"/>
        <v>0</v>
      </c>
      <c r="S74">
        <f t="shared" si="14"/>
        <v>13</v>
      </c>
      <c r="T74">
        <f t="shared" si="15"/>
        <v>0</v>
      </c>
      <c r="U74" s="14">
        <f t="shared" si="16"/>
        <v>780</v>
      </c>
      <c r="V74" s="15"/>
      <c r="Z74" s="14"/>
    </row>
    <row r="75" spans="1:26" x14ac:dyDescent="0.25">
      <c r="A75" s="16"/>
      <c r="B75" s="17" t="b">
        <f t="shared" si="18"/>
        <v>0</v>
      </c>
      <c r="C75" s="17" t="b">
        <f t="shared" si="17"/>
        <v>0</v>
      </c>
      <c r="D75" s="17">
        <f t="shared" si="7"/>
        <v>1</v>
      </c>
      <c r="E75" s="17" t="str">
        <f t="shared" si="8"/>
        <v>Section 5 - Next steps</v>
      </c>
      <c r="F75" s="18" t="str">
        <f t="shared" si="9"/>
        <v/>
      </c>
      <c r="G75" s="13" t="str">
        <f t="shared" ref="G75:G138" si="20">IF(C75,IF(ISERROR(FIND("s",A76)),LEFT(A76,FIND("m",A76)),LEFT(A76,FIND("s",A76))),"")</f>
        <v/>
      </c>
      <c r="H75">
        <f t="shared" ref="H75:H138" si="21">IF(OR(G75="",ISERROR(FIND("m",G75))),0,VALUE(LEFT(G75,FIND("m",G75)-1)))</f>
        <v>0</v>
      </c>
      <c r="I75" s="14">
        <f t="shared" si="10"/>
        <v>0</v>
      </c>
      <c r="J75" s="13">
        <f t="shared" ref="J75:J138" si="22">J74+(H75*60+I75)</f>
        <v>300</v>
      </c>
      <c r="K75">
        <f t="shared" ref="K75:K138" si="23">INT(J75/60/60)</f>
        <v>0</v>
      </c>
      <c r="L75">
        <f t="shared" ref="L75:L138" si="24">INT((J75-(K75*60*60))/60)</f>
        <v>5</v>
      </c>
      <c r="M75" s="14">
        <f t="shared" ref="M75:M138" si="25">J75-(((K75*60)+L75)*60)</f>
        <v>0</v>
      </c>
      <c r="N75" s="13">
        <f t="shared" si="19"/>
        <v>0</v>
      </c>
      <c r="O75">
        <f t="shared" si="19"/>
        <v>13</v>
      </c>
      <c r="P75">
        <f t="shared" si="19"/>
        <v>0</v>
      </c>
      <c r="Q75" s="14">
        <f t="shared" si="12"/>
        <v>780</v>
      </c>
      <c r="R75" s="13">
        <f t="shared" si="13"/>
        <v>0</v>
      </c>
      <c r="S75">
        <f t="shared" si="14"/>
        <v>13</v>
      </c>
      <c r="T75">
        <f t="shared" si="15"/>
        <v>0</v>
      </c>
      <c r="U75" s="14">
        <f t="shared" si="16"/>
        <v>780</v>
      </c>
      <c r="V75" s="15"/>
      <c r="Z75" s="14"/>
    </row>
    <row r="76" spans="1:26" x14ac:dyDescent="0.25">
      <c r="A76" s="16"/>
      <c r="B76" s="17" t="b">
        <f t="shared" si="18"/>
        <v>0</v>
      </c>
      <c r="C76" s="17" t="b">
        <f t="shared" si="17"/>
        <v>0</v>
      </c>
      <c r="D76" s="17">
        <f t="shared" ref="D76:D139" si="26">IF(B76,0,IF(C76,D75+1,D75))</f>
        <v>1</v>
      </c>
      <c r="E76" s="17" t="str">
        <f t="shared" ref="E76:E139" si="27">SUBSTITUTE(IF(B76,A76,E75),":", " -")</f>
        <v>Section 5 - Next steps</v>
      </c>
      <c r="F76" s="18" t="str">
        <f t="shared" ref="F76:F139" si="28">IF(C76,A76,"")</f>
        <v/>
      </c>
      <c r="G76" s="13" t="str">
        <f t="shared" si="20"/>
        <v/>
      </c>
      <c r="H76">
        <f t="shared" si="21"/>
        <v>0</v>
      </c>
      <c r="I76" s="14">
        <f t="shared" ref="I76:I139" si="29">IF(OR(G76="",ISERROR(FIND("s",G76))),0,VALUE(SUBSTITUTE(MID(G76,IF(ISERROR(FIND("m",G76)), 0,FIND("m",G76))+1,LEN(G76)),"s","")))</f>
        <v>0</v>
      </c>
      <c r="J76" s="13">
        <f t="shared" si="22"/>
        <v>300</v>
      </c>
      <c r="K76">
        <f t="shared" si="23"/>
        <v>0</v>
      </c>
      <c r="L76">
        <f t="shared" si="24"/>
        <v>5</v>
      </c>
      <c r="M76" s="14">
        <f t="shared" si="25"/>
        <v>0</v>
      </c>
      <c r="N76" s="13">
        <f t="shared" si="19"/>
        <v>0</v>
      </c>
      <c r="O76">
        <f t="shared" si="19"/>
        <v>13</v>
      </c>
      <c r="P76">
        <f t="shared" si="19"/>
        <v>0</v>
      </c>
      <c r="Q76" s="14">
        <f t="shared" si="12"/>
        <v>780</v>
      </c>
      <c r="R76" s="13">
        <f t="shared" si="13"/>
        <v>0</v>
      </c>
      <c r="S76">
        <f t="shared" si="14"/>
        <v>13</v>
      </c>
      <c r="T76">
        <f t="shared" si="15"/>
        <v>0</v>
      </c>
      <c r="U76" s="14">
        <f t="shared" si="16"/>
        <v>780</v>
      </c>
      <c r="V76" s="15"/>
      <c r="Z76" s="14"/>
    </row>
    <row r="77" spans="1:26" x14ac:dyDescent="0.25">
      <c r="A77" s="16"/>
      <c r="B77" s="17" t="b">
        <f t="shared" si="18"/>
        <v>0</v>
      </c>
      <c r="C77" s="17" t="b">
        <f t="shared" si="17"/>
        <v>0</v>
      </c>
      <c r="D77" s="17">
        <f t="shared" si="26"/>
        <v>1</v>
      </c>
      <c r="E77" s="17" t="str">
        <f t="shared" si="27"/>
        <v>Section 5 - Next steps</v>
      </c>
      <c r="F77" s="18" t="str">
        <f t="shared" si="28"/>
        <v/>
      </c>
      <c r="G77" s="13" t="str">
        <f t="shared" si="20"/>
        <v/>
      </c>
      <c r="H77">
        <f t="shared" si="21"/>
        <v>0</v>
      </c>
      <c r="I77" s="14">
        <f t="shared" si="29"/>
        <v>0</v>
      </c>
      <c r="J77" s="13">
        <f t="shared" si="22"/>
        <v>300</v>
      </c>
      <c r="K77">
        <f t="shared" si="23"/>
        <v>0</v>
      </c>
      <c r="L77">
        <f t="shared" si="24"/>
        <v>5</v>
      </c>
      <c r="M77" s="14">
        <f t="shared" si="25"/>
        <v>0</v>
      </c>
      <c r="N77" s="13">
        <f t="shared" si="19"/>
        <v>0</v>
      </c>
      <c r="O77">
        <f t="shared" si="19"/>
        <v>13</v>
      </c>
      <c r="P77">
        <f t="shared" si="19"/>
        <v>0</v>
      </c>
      <c r="Q77" s="14">
        <f t="shared" si="12"/>
        <v>780</v>
      </c>
      <c r="R77" s="13">
        <f t="shared" si="13"/>
        <v>0</v>
      </c>
      <c r="S77">
        <f t="shared" si="14"/>
        <v>13</v>
      </c>
      <c r="T77">
        <f t="shared" si="15"/>
        <v>0</v>
      </c>
      <c r="U77" s="14">
        <f t="shared" si="16"/>
        <v>780</v>
      </c>
      <c r="V77" s="15"/>
      <c r="Z77" s="14"/>
    </row>
    <row r="78" spans="1:26" x14ac:dyDescent="0.25">
      <c r="A78" s="16"/>
      <c r="B78" s="17" t="b">
        <f t="shared" si="18"/>
        <v>0</v>
      </c>
      <c r="C78" s="17" t="b">
        <f t="shared" si="17"/>
        <v>0</v>
      </c>
      <c r="D78" s="17">
        <f t="shared" si="26"/>
        <v>1</v>
      </c>
      <c r="E78" s="17" t="str">
        <f t="shared" si="27"/>
        <v>Section 5 - Next steps</v>
      </c>
      <c r="F78" s="18" t="str">
        <f t="shared" si="28"/>
        <v/>
      </c>
      <c r="G78" s="13" t="str">
        <f t="shared" si="20"/>
        <v/>
      </c>
      <c r="H78">
        <f t="shared" si="21"/>
        <v>0</v>
      </c>
      <c r="I78" s="14">
        <f t="shared" si="29"/>
        <v>0</v>
      </c>
      <c r="J78" s="13">
        <f t="shared" si="22"/>
        <v>300</v>
      </c>
      <c r="K78">
        <f t="shared" si="23"/>
        <v>0</v>
      </c>
      <c r="L78">
        <f t="shared" si="24"/>
        <v>5</v>
      </c>
      <c r="M78" s="14">
        <f t="shared" si="25"/>
        <v>0</v>
      </c>
      <c r="N78" s="13">
        <f t="shared" si="19"/>
        <v>0</v>
      </c>
      <c r="O78">
        <f t="shared" si="19"/>
        <v>13</v>
      </c>
      <c r="P78">
        <f t="shared" si="19"/>
        <v>0</v>
      </c>
      <c r="Q78" s="14">
        <f t="shared" ref="Q78:Q141" si="30">(((N78*60)+O78)*60)+P78</f>
        <v>780</v>
      </c>
      <c r="R78" s="13">
        <f t="shared" ref="R78:R141" si="31">INT(U78/60/60)</f>
        <v>0</v>
      </c>
      <c r="S78">
        <f t="shared" ref="S78:S141" si="32">INT((U78-(R78*60*60))/60)</f>
        <v>13</v>
      </c>
      <c r="T78">
        <f t="shared" ref="T78:T141" si="33">U78-(((R78*60)+S78)*60)</f>
        <v>0</v>
      </c>
      <c r="U78" s="14">
        <f t="shared" ref="U78:U141" si="34">((H78*60)+I78)+Q78</f>
        <v>780</v>
      </c>
      <c r="V78" s="15"/>
      <c r="Z78" s="14"/>
    </row>
    <row r="79" spans="1:26" x14ac:dyDescent="0.25">
      <c r="A79" s="16"/>
      <c r="B79" s="17" t="b">
        <f t="shared" si="18"/>
        <v>0</v>
      </c>
      <c r="C79" s="17" t="b">
        <f t="shared" si="17"/>
        <v>0</v>
      </c>
      <c r="D79" s="17">
        <f t="shared" si="26"/>
        <v>1</v>
      </c>
      <c r="E79" s="17" t="str">
        <f t="shared" si="27"/>
        <v>Section 5 - Next steps</v>
      </c>
      <c r="F79" s="18" t="str">
        <f t="shared" si="28"/>
        <v/>
      </c>
      <c r="G79" s="13" t="str">
        <f t="shared" si="20"/>
        <v/>
      </c>
      <c r="H79">
        <f t="shared" si="21"/>
        <v>0</v>
      </c>
      <c r="I79" s="14">
        <f t="shared" si="29"/>
        <v>0</v>
      </c>
      <c r="J79" s="13">
        <f t="shared" si="22"/>
        <v>300</v>
      </c>
      <c r="K79">
        <f t="shared" si="23"/>
        <v>0</v>
      </c>
      <c r="L79">
        <f t="shared" si="24"/>
        <v>5</v>
      </c>
      <c r="M79" s="14">
        <f t="shared" si="25"/>
        <v>0</v>
      </c>
      <c r="N79" s="13">
        <f t="shared" si="19"/>
        <v>0</v>
      </c>
      <c r="O79">
        <f t="shared" si="19"/>
        <v>13</v>
      </c>
      <c r="P79">
        <f t="shared" si="19"/>
        <v>0</v>
      </c>
      <c r="Q79" s="14">
        <f t="shared" si="30"/>
        <v>780</v>
      </c>
      <c r="R79" s="13">
        <f t="shared" si="31"/>
        <v>0</v>
      </c>
      <c r="S79">
        <f t="shared" si="32"/>
        <v>13</v>
      </c>
      <c r="T79">
        <f t="shared" si="33"/>
        <v>0</v>
      </c>
      <c r="U79" s="14">
        <f t="shared" si="34"/>
        <v>780</v>
      </c>
      <c r="V79" s="15"/>
      <c r="Z79" s="14"/>
    </row>
    <row r="80" spans="1:26" x14ac:dyDescent="0.25">
      <c r="A80" s="16"/>
      <c r="B80" s="17" t="b">
        <f t="shared" si="18"/>
        <v>0</v>
      </c>
      <c r="C80" s="17" t="b">
        <f t="shared" ref="C80:C143" si="35">OR(AND(NOT(ISERROR(FIND("m",A81))),ISNUMBER(VALUE(LEFT(A81,FIND("m",A81)-1)))),AND(NOT(ISERROR(FIND("s",A81))),ISNUMBER(VALUE(LEFT(A81,FIND("s",A81)-1)))))</f>
        <v>0</v>
      </c>
      <c r="D80" s="17">
        <f t="shared" si="26"/>
        <v>1</v>
      </c>
      <c r="E80" s="17" t="str">
        <f t="shared" si="27"/>
        <v>Section 5 - Next steps</v>
      </c>
      <c r="F80" s="18" t="str">
        <f t="shared" si="28"/>
        <v/>
      </c>
      <c r="G80" s="13" t="str">
        <f t="shared" si="20"/>
        <v/>
      </c>
      <c r="H80">
        <f t="shared" si="21"/>
        <v>0</v>
      </c>
      <c r="I80" s="14">
        <f t="shared" si="29"/>
        <v>0</v>
      </c>
      <c r="J80" s="13">
        <f t="shared" si="22"/>
        <v>300</v>
      </c>
      <c r="K80">
        <f t="shared" si="23"/>
        <v>0</v>
      </c>
      <c r="L80">
        <f t="shared" si="24"/>
        <v>5</v>
      </c>
      <c r="M80" s="14">
        <f t="shared" si="25"/>
        <v>0</v>
      </c>
      <c r="N80" s="13">
        <f t="shared" si="19"/>
        <v>0</v>
      </c>
      <c r="O80">
        <f t="shared" si="19"/>
        <v>13</v>
      </c>
      <c r="P80">
        <f t="shared" si="19"/>
        <v>0</v>
      </c>
      <c r="Q80" s="14">
        <f t="shared" si="30"/>
        <v>780</v>
      </c>
      <c r="R80" s="13">
        <f t="shared" si="31"/>
        <v>0</v>
      </c>
      <c r="S80">
        <f t="shared" si="32"/>
        <v>13</v>
      </c>
      <c r="T80">
        <f t="shared" si="33"/>
        <v>0</v>
      </c>
      <c r="U80" s="14">
        <f t="shared" si="34"/>
        <v>780</v>
      </c>
      <c r="V80" s="15"/>
      <c r="Z80" s="14"/>
    </row>
    <row r="81" spans="1:26" x14ac:dyDescent="0.25">
      <c r="A81" s="16"/>
      <c r="B81" s="17" t="b">
        <f t="shared" si="18"/>
        <v>0</v>
      </c>
      <c r="C81" s="17" t="b">
        <f t="shared" si="35"/>
        <v>0</v>
      </c>
      <c r="D81" s="17">
        <f t="shared" si="26"/>
        <v>1</v>
      </c>
      <c r="E81" s="17" t="str">
        <f t="shared" si="27"/>
        <v>Section 5 - Next steps</v>
      </c>
      <c r="F81" s="18" t="str">
        <f t="shared" si="28"/>
        <v/>
      </c>
      <c r="G81" s="13" t="str">
        <f t="shared" si="20"/>
        <v/>
      </c>
      <c r="H81">
        <f t="shared" si="21"/>
        <v>0</v>
      </c>
      <c r="I81" s="14">
        <f t="shared" si="29"/>
        <v>0</v>
      </c>
      <c r="J81" s="13">
        <f t="shared" si="22"/>
        <v>300</v>
      </c>
      <c r="K81">
        <f t="shared" si="23"/>
        <v>0</v>
      </c>
      <c r="L81">
        <f t="shared" si="24"/>
        <v>5</v>
      </c>
      <c r="M81" s="14">
        <f t="shared" si="25"/>
        <v>0</v>
      </c>
      <c r="N81" s="13">
        <f t="shared" si="19"/>
        <v>0</v>
      </c>
      <c r="O81">
        <f t="shared" si="19"/>
        <v>13</v>
      </c>
      <c r="P81">
        <f t="shared" si="19"/>
        <v>0</v>
      </c>
      <c r="Q81" s="14">
        <f t="shared" si="30"/>
        <v>780</v>
      </c>
      <c r="R81" s="13">
        <f t="shared" si="31"/>
        <v>0</v>
      </c>
      <c r="S81">
        <f t="shared" si="32"/>
        <v>13</v>
      </c>
      <c r="T81">
        <f t="shared" si="33"/>
        <v>0</v>
      </c>
      <c r="U81" s="14">
        <f t="shared" si="34"/>
        <v>780</v>
      </c>
      <c r="V81" s="15"/>
      <c r="Z81" s="14"/>
    </row>
    <row r="82" spans="1:26" x14ac:dyDescent="0.25">
      <c r="A82" s="16"/>
      <c r="B82" s="17" t="b">
        <f t="shared" si="18"/>
        <v>0</v>
      </c>
      <c r="C82" s="17" t="b">
        <f t="shared" si="35"/>
        <v>0</v>
      </c>
      <c r="D82" s="17">
        <f t="shared" si="26"/>
        <v>1</v>
      </c>
      <c r="E82" s="17" t="str">
        <f t="shared" si="27"/>
        <v>Section 5 - Next steps</v>
      </c>
      <c r="F82" s="18" t="str">
        <f t="shared" si="28"/>
        <v/>
      </c>
      <c r="G82" s="13" t="str">
        <f t="shared" si="20"/>
        <v/>
      </c>
      <c r="H82">
        <f t="shared" si="21"/>
        <v>0</v>
      </c>
      <c r="I82" s="14">
        <f t="shared" si="29"/>
        <v>0</v>
      </c>
      <c r="J82" s="13">
        <f t="shared" si="22"/>
        <v>300</v>
      </c>
      <c r="K82">
        <f t="shared" si="23"/>
        <v>0</v>
      </c>
      <c r="L82">
        <f t="shared" si="24"/>
        <v>5</v>
      </c>
      <c r="M82" s="14">
        <f t="shared" si="25"/>
        <v>0</v>
      </c>
      <c r="N82" s="13">
        <f t="shared" si="19"/>
        <v>0</v>
      </c>
      <c r="O82">
        <f t="shared" si="19"/>
        <v>13</v>
      </c>
      <c r="P82">
        <f t="shared" si="19"/>
        <v>0</v>
      </c>
      <c r="Q82" s="14">
        <f t="shared" si="30"/>
        <v>780</v>
      </c>
      <c r="R82" s="13">
        <f t="shared" si="31"/>
        <v>0</v>
      </c>
      <c r="S82">
        <f t="shared" si="32"/>
        <v>13</v>
      </c>
      <c r="T82">
        <f t="shared" si="33"/>
        <v>0</v>
      </c>
      <c r="U82" s="14">
        <f t="shared" si="34"/>
        <v>780</v>
      </c>
      <c r="V82" s="15"/>
      <c r="Z82" s="14"/>
    </row>
    <row r="83" spans="1:26" x14ac:dyDescent="0.25">
      <c r="A83" s="16"/>
      <c r="B83" s="17" t="b">
        <f t="shared" ref="B83:B146" si="36">AND(NOT(ISERROR(FIND("Section ",A83))),NOT(ISERROR(FIND("Section ",A83))))</f>
        <v>0</v>
      </c>
      <c r="C83" s="17" t="b">
        <f t="shared" si="35"/>
        <v>0</v>
      </c>
      <c r="D83" s="17">
        <f t="shared" si="26"/>
        <v>1</v>
      </c>
      <c r="E83" s="17" t="str">
        <f t="shared" si="27"/>
        <v>Section 5 - Next steps</v>
      </c>
      <c r="F83" s="18" t="str">
        <f t="shared" si="28"/>
        <v/>
      </c>
      <c r="G83" s="13" t="str">
        <f t="shared" si="20"/>
        <v/>
      </c>
      <c r="H83">
        <f t="shared" si="21"/>
        <v>0</v>
      </c>
      <c r="I83" s="14">
        <f t="shared" si="29"/>
        <v>0</v>
      </c>
      <c r="J83" s="13">
        <f t="shared" si="22"/>
        <v>300</v>
      </c>
      <c r="K83">
        <f t="shared" si="23"/>
        <v>0</v>
      </c>
      <c r="L83">
        <f t="shared" si="24"/>
        <v>5</v>
      </c>
      <c r="M83" s="14">
        <f t="shared" si="25"/>
        <v>0</v>
      </c>
      <c r="N83" s="13">
        <f t="shared" si="19"/>
        <v>0</v>
      </c>
      <c r="O83">
        <f t="shared" si="19"/>
        <v>13</v>
      </c>
      <c r="P83">
        <f t="shared" si="19"/>
        <v>0</v>
      </c>
      <c r="Q83" s="14">
        <f t="shared" si="30"/>
        <v>780</v>
      </c>
      <c r="R83" s="13">
        <f t="shared" si="31"/>
        <v>0</v>
      </c>
      <c r="S83">
        <f t="shared" si="32"/>
        <v>13</v>
      </c>
      <c r="T83">
        <f t="shared" si="33"/>
        <v>0</v>
      </c>
      <c r="U83" s="14">
        <f t="shared" si="34"/>
        <v>780</v>
      </c>
      <c r="V83" s="15"/>
      <c r="Z83" s="14"/>
    </row>
    <row r="84" spans="1:26" x14ac:dyDescent="0.25">
      <c r="A84" s="16"/>
      <c r="B84" s="17" t="b">
        <f t="shared" si="36"/>
        <v>0</v>
      </c>
      <c r="C84" s="17" t="b">
        <f t="shared" si="35"/>
        <v>0</v>
      </c>
      <c r="D84" s="17">
        <f t="shared" si="26"/>
        <v>1</v>
      </c>
      <c r="E84" s="17" t="str">
        <f t="shared" si="27"/>
        <v>Section 5 - Next steps</v>
      </c>
      <c r="F84" s="18" t="str">
        <f t="shared" si="28"/>
        <v/>
      </c>
      <c r="G84" s="13" t="str">
        <f t="shared" si="20"/>
        <v/>
      </c>
      <c r="H84">
        <f t="shared" si="21"/>
        <v>0</v>
      </c>
      <c r="I84" s="14">
        <f t="shared" si="29"/>
        <v>0</v>
      </c>
      <c r="J84" s="13">
        <f t="shared" si="22"/>
        <v>300</v>
      </c>
      <c r="K84">
        <f t="shared" si="23"/>
        <v>0</v>
      </c>
      <c r="L84">
        <f t="shared" si="24"/>
        <v>5</v>
      </c>
      <c r="M84" s="14">
        <f t="shared" si="25"/>
        <v>0</v>
      </c>
      <c r="N84" s="13">
        <f t="shared" si="19"/>
        <v>0</v>
      </c>
      <c r="O84">
        <f t="shared" si="19"/>
        <v>13</v>
      </c>
      <c r="P84">
        <f t="shared" si="19"/>
        <v>0</v>
      </c>
      <c r="Q84" s="14">
        <f t="shared" si="30"/>
        <v>780</v>
      </c>
      <c r="R84" s="13">
        <f t="shared" si="31"/>
        <v>0</v>
      </c>
      <c r="S84">
        <f t="shared" si="32"/>
        <v>13</v>
      </c>
      <c r="T84">
        <f t="shared" si="33"/>
        <v>0</v>
      </c>
      <c r="U84" s="14">
        <f t="shared" si="34"/>
        <v>780</v>
      </c>
      <c r="V84" s="15"/>
      <c r="Z84" s="14"/>
    </row>
    <row r="85" spans="1:26" x14ac:dyDescent="0.25">
      <c r="A85" s="16"/>
      <c r="B85" s="17" t="b">
        <f t="shared" si="36"/>
        <v>0</v>
      </c>
      <c r="C85" s="17" t="b">
        <f t="shared" si="35"/>
        <v>0</v>
      </c>
      <c r="D85" s="17">
        <f t="shared" si="26"/>
        <v>1</v>
      </c>
      <c r="E85" s="17" t="str">
        <f t="shared" si="27"/>
        <v>Section 5 - Next steps</v>
      </c>
      <c r="F85" s="18" t="str">
        <f t="shared" si="28"/>
        <v/>
      </c>
      <c r="G85" s="13" t="str">
        <f t="shared" si="20"/>
        <v/>
      </c>
      <c r="H85">
        <f t="shared" si="21"/>
        <v>0</v>
      </c>
      <c r="I85" s="14">
        <f t="shared" si="29"/>
        <v>0</v>
      </c>
      <c r="J85" s="13">
        <f t="shared" si="22"/>
        <v>300</v>
      </c>
      <c r="K85">
        <f t="shared" si="23"/>
        <v>0</v>
      </c>
      <c r="L85">
        <f t="shared" si="24"/>
        <v>5</v>
      </c>
      <c r="M85" s="14">
        <f t="shared" si="25"/>
        <v>0</v>
      </c>
      <c r="N85" s="13">
        <f t="shared" si="19"/>
        <v>0</v>
      </c>
      <c r="O85">
        <f t="shared" si="19"/>
        <v>13</v>
      </c>
      <c r="P85">
        <f t="shared" si="19"/>
        <v>0</v>
      </c>
      <c r="Q85" s="14">
        <f t="shared" si="30"/>
        <v>780</v>
      </c>
      <c r="R85" s="13">
        <f t="shared" si="31"/>
        <v>0</v>
      </c>
      <c r="S85">
        <f t="shared" si="32"/>
        <v>13</v>
      </c>
      <c r="T85">
        <f t="shared" si="33"/>
        <v>0</v>
      </c>
      <c r="U85" s="14">
        <f t="shared" si="34"/>
        <v>780</v>
      </c>
      <c r="V85" s="15"/>
      <c r="Z85" s="14"/>
    </row>
    <row r="86" spans="1:26" x14ac:dyDescent="0.25">
      <c r="A86" s="16"/>
      <c r="B86" s="17" t="b">
        <f t="shared" si="36"/>
        <v>0</v>
      </c>
      <c r="C86" s="17" t="b">
        <f t="shared" si="35"/>
        <v>0</v>
      </c>
      <c r="D86" s="17">
        <f t="shared" si="26"/>
        <v>1</v>
      </c>
      <c r="E86" s="17" t="str">
        <f t="shared" si="27"/>
        <v>Section 5 - Next steps</v>
      </c>
      <c r="F86" s="18" t="str">
        <f t="shared" si="28"/>
        <v/>
      </c>
      <c r="G86" s="13" t="str">
        <f t="shared" si="20"/>
        <v/>
      </c>
      <c r="H86">
        <f t="shared" si="21"/>
        <v>0</v>
      </c>
      <c r="I86" s="14">
        <f t="shared" si="29"/>
        <v>0</v>
      </c>
      <c r="J86" s="13">
        <f t="shared" si="22"/>
        <v>300</v>
      </c>
      <c r="K86">
        <f t="shared" si="23"/>
        <v>0</v>
      </c>
      <c r="L86">
        <f t="shared" si="24"/>
        <v>5</v>
      </c>
      <c r="M86" s="14">
        <f t="shared" si="25"/>
        <v>0</v>
      </c>
      <c r="N86" s="13">
        <f t="shared" si="19"/>
        <v>0</v>
      </c>
      <c r="O86">
        <f t="shared" si="19"/>
        <v>13</v>
      </c>
      <c r="P86">
        <f t="shared" si="19"/>
        <v>0</v>
      </c>
      <c r="Q86" s="14">
        <f t="shared" si="30"/>
        <v>780</v>
      </c>
      <c r="R86" s="13">
        <f t="shared" si="31"/>
        <v>0</v>
      </c>
      <c r="S86">
        <f t="shared" si="32"/>
        <v>13</v>
      </c>
      <c r="T86">
        <f t="shared" si="33"/>
        <v>0</v>
      </c>
      <c r="U86" s="14">
        <f t="shared" si="34"/>
        <v>780</v>
      </c>
      <c r="V86" s="15"/>
      <c r="Z86" s="14"/>
    </row>
    <row r="87" spans="1:26" x14ac:dyDescent="0.25">
      <c r="A87" s="16"/>
      <c r="B87" s="17" t="b">
        <f t="shared" si="36"/>
        <v>0</v>
      </c>
      <c r="C87" s="17" t="b">
        <f t="shared" si="35"/>
        <v>0</v>
      </c>
      <c r="D87" s="17">
        <f t="shared" si="26"/>
        <v>1</v>
      </c>
      <c r="E87" s="17" t="str">
        <f t="shared" si="27"/>
        <v>Section 5 - Next steps</v>
      </c>
      <c r="F87" s="18" t="str">
        <f t="shared" si="28"/>
        <v/>
      </c>
      <c r="G87" s="13" t="str">
        <f t="shared" si="20"/>
        <v/>
      </c>
      <c r="H87">
        <f t="shared" si="21"/>
        <v>0</v>
      </c>
      <c r="I87" s="14">
        <f t="shared" si="29"/>
        <v>0</v>
      </c>
      <c r="J87" s="13">
        <f t="shared" si="22"/>
        <v>300</v>
      </c>
      <c r="K87">
        <f t="shared" si="23"/>
        <v>0</v>
      </c>
      <c r="L87">
        <f t="shared" si="24"/>
        <v>5</v>
      </c>
      <c r="M87" s="14">
        <f t="shared" si="25"/>
        <v>0</v>
      </c>
      <c r="N87" s="13">
        <f t="shared" si="19"/>
        <v>0</v>
      </c>
      <c r="O87">
        <f t="shared" si="19"/>
        <v>13</v>
      </c>
      <c r="P87">
        <f t="shared" si="19"/>
        <v>0</v>
      </c>
      <c r="Q87" s="14">
        <f t="shared" si="30"/>
        <v>780</v>
      </c>
      <c r="R87" s="13">
        <f t="shared" si="31"/>
        <v>0</v>
      </c>
      <c r="S87">
        <f t="shared" si="32"/>
        <v>13</v>
      </c>
      <c r="T87">
        <f t="shared" si="33"/>
        <v>0</v>
      </c>
      <c r="U87" s="14">
        <f t="shared" si="34"/>
        <v>780</v>
      </c>
      <c r="V87" s="15"/>
      <c r="Z87" s="14"/>
    </row>
    <row r="88" spans="1:26" x14ac:dyDescent="0.25">
      <c r="A88" s="16"/>
      <c r="B88" s="17" t="b">
        <f t="shared" si="36"/>
        <v>0</v>
      </c>
      <c r="C88" s="17" t="b">
        <f t="shared" si="35"/>
        <v>0</v>
      </c>
      <c r="D88" s="17">
        <f t="shared" si="26"/>
        <v>1</v>
      </c>
      <c r="E88" s="17" t="str">
        <f t="shared" si="27"/>
        <v>Section 5 - Next steps</v>
      </c>
      <c r="F88" s="18" t="str">
        <f t="shared" si="28"/>
        <v/>
      </c>
      <c r="G88" s="13" t="str">
        <f t="shared" si="20"/>
        <v/>
      </c>
      <c r="H88">
        <f t="shared" si="21"/>
        <v>0</v>
      </c>
      <c r="I88" s="14">
        <f t="shared" si="29"/>
        <v>0</v>
      </c>
      <c r="J88" s="13">
        <f t="shared" si="22"/>
        <v>300</v>
      </c>
      <c r="K88">
        <f t="shared" si="23"/>
        <v>0</v>
      </c>
      <c r="L88">
        <f t="shared" si="24"/>
        <v>5</v>
      </c>
      <c r="M88" s="14">
        <f t="shared" si="25"/>
        <v>0</v>
      </c>
      <c r="N88" s="13">
        <f t="shared" si="19"/>
        <v>0</v>
      </c>
      <c r="O88">
        <f t="shared" si="19"/>
        <v>13</v>
      </c>
      <c r="P88">
        <f t="shared" si="19"/>
        <v>0</v>
      </c>
      <c r="Q88" s="14">
        <f t="shared" si="30"/>
        <v>780</v>
      </c>
      <c r="R88" s="13">
        <f t="shared" si="31"/>
        <v>0</v>
      </c>
      <c r="S88">
        <f t="shared" si="32"/>
        <v>13</v>
      </c>
      <c r="T88">
        <f t="shared" si="33"/>
        <v>0</v>
      </c>
      <c r="U88" s="14">
        <f t="shared" si="34"/>
        <v>780</v>
      </c>
      <c r="V88" s="15"/>
      <c r="Z88" s="14"/>
    </row>
    <row r="89" spans="1:26" x14ac:dyDescent="0.25">
      <c r="A89" s="16"/>
      <c r="B89" s="17" t="b">
        <f t="shared" si="36"/>
        <v>0</v>
      </c>
      <c r="C89" s="17" t="b">
        <f t="shared" si="35"/>
        <v>0</v>
      </c>
      <c r="D89" s="17">
        <f t="shared" si="26"/>
        <v>1</v>
      </c>
      <c r="E89" s="17" t="str">
        <f t="shared" si="27"/>
        <v>Section 5 - Next steps</v>
      </c>
      <c r="F89" s="18" t="str">
        <f t="shared" si="28"/>
        <v/>
      </c>
      <c r="G89" s="13" t="str">
        <f t="shared" si="20"/>
        <v/>
      </c>
      <c r="H89">
        <f t="shared" si="21"/>
        <v>0</v>
      </c>
      <c r="I89" s="14">
        <f t="shared" si="29"/>
        <v>0</v>
      </c>
      <c r="J89" s="13">
        <f t="shared" si="22"/>
        <v>300</v>
      </c>
      <c r="K89">
        <f t="shared" si="23"/>
        <v>0</v>
      </c>
      <c r="L89">
        <f t="shared" si="24"/>
        <v>5</v>
      </c>
      <c r="M89" s="14">
        <f t="shared" si="25"/>
        <v>0</v>
      </c>
      <c r="N89" s="13">
        <f t="shared" si="19"/>
        <v>0</v>
      </c>
      <c r="O89">
        <f t="shared" si="19"/>
        <v>13</v>
      </c>
      <c r="P89">
        <f t="shared" si="19"/>
        <v>0</v>
      </c>
      <c r="Q89" s="14">
        <f t="shared" si="30"/>
        <v>780</v>
      </c>
      <c r="R89" s="13">
        <f t="shared" si="31"/>
        <v>0</v>
      </c>
      <c r="S89">
        <f t="shared" si="32"/>
        <v>13</v>
      </c>
      <c r="T89">
        <f t="shared" si="33"/>
        <v>0</v>
      </c>
      <c r="U89" s="14">
        <f t="shared" si="34"/>
        <v>780</v>
      </c>
      <c r="V89" s="15"/>
      <c r="Z89" s="14"/>
    </row>
    <row r="90" spans="1:26" x14ac:dyDescent="0.25">
      <c r="A90" s="16"/>
      <c r="B90" s="17" t="b">
        <f t="shared" si="36"/>
        <v>0</v>
      </c>
      <c r="C90" s="17" t="b">
        <f t="shared" si="35"/>
        <v>0</v>
      </c>
      <c r="D90" s="17">
        <f t="shared" si="26"/>
        <v>1</v>
      </c>
      <c r="E90" s="17" t="str">
        <f t="shared" si="27"/>
        <v>Section 5 - Next steps</v>
      </c>
      <c r="F90" s="18" t="str">
        <f t="shared" si="28"/>
        <v/>
      </c>
      <c r="G90" s="13" t="str">
        <f t="shared" si="20"/>
        <v/>
      </c>
      <c r="H90">
        <f t="shared" si="21"/>
        <v>0</v>
      </c>
      <c r="I90" s="14">
        <f t="shared" si="29"/>
        <v>0</v>
      </c>
      <c r="J90" s="13">
        <f t="shared" si="22"/>
        <v>300</v>
      </c>
      <c r="K90">
        <f t="shared" si="23"/>
        <v>0</v>
      </c>
      <c r="L90">
        <f t="shared" si="24"/>
        <v>5</v>
      </c>
      <c r="M90" s="14">
        <f t="shared" si="25"/>
        <v>0</v>
      </c>
      <c r="N90" s="13">
        <f t="shared" si="19"/>
        <v>0</v>
      </c>
      <c r="O90">
        <f t="shared" si="19"/>
        <v>13</v>
      </c>
      <c r="P90">
        <f t="shared" si="19"/>
        <v>0</v>
      </c>
      <c r="Q90" s="14">
        <f t="shared" si="30"/>
        <v>780</v>
      </c>
      <c r="R90" s="13">
        <f t="shared" si="31"/>
        <v>0</v>
      </c>
      <c r="S90">
        <f t="shared" si="32"/>
        <v>13</v>
      </c>
      <c r="T90">
        <f t="shared" si="33"/>
        <v>0</v>
      </c>
      <c r="U90" s="14">
        <f t="shared" si="34"/>
        <v>780</v>
      </c>
      <c r="V90" s="15"/>
      <c r="Z90" s="14"/>
    </row>
    <row r="91" spans="1:26" x14ac:dyDescent="0.25">
      <c r="A91" s="16"/>
      <c r="B91" s="17" t="b">
        <f t="shared" si="36"/>
        <v>0</v>
      </c>
      <c r="C91" s="17" t="b">
        <f t="shared" si="35"/>
        <v>0</v>
      </c>
      <c r="D91" s="17">
        <f t="shared" si="26"/>
        <v>1</v>
      </c>
      <c r="E91" s="17" t="str">
        <f t="shared" si="27"/>
        <v>Section 5 - Next steps</v>
      </c>
      <c r="F91" s="18" t="str">
        <f t="shared" si="28"/>
        <v/>
      </c>
      <c r="G91" s="13" t="str">
        <f t="shared" si="20"/>
        <v/>
      </c>
      <c r="H91">
        <f t="shared" si="21"/>
        <v>0</v>
      </c>
      <c r="I91" s="14">
        <f t="shared" si="29"/>
        <v>0</v>
      </c>
      <c r="J91" s="13">
        <f t="shared" si="22"/>
        <v>300</v>
      </c>
      <c r="K91">
        <f t="shared" si="23"/>
        <v>0</v>
      </c>
      <c r="L91">
        <f t="shared" si="24"/>
        <v>5</v>
      </c>
      <c r="M91" s="14">
        <f t="shared" si="25"/>
        <v>0</v>
      </c>
      <c r="N91" s="13">
        <f t="shared" si="19"/>
        <v>0</v>
      </c>
      <c r="O91">
        <f t="shared" si="19"/>
        <v>13</v>
      </c>
      <c r="P91">
        <f t="shared" si="19"/>
        <v>0</v>
      </c>
      <c r="Q91" s="14">
        <f t="shared" si="30"/>
        <v>780</v>
      </c>
      <c r="R91" s="13">
        <f t="shared" si="31"/>
        <v>0</v>
      </c>
      <c r="S91">
        <f t="shared" si="32"/>
        <v>13</v>
      </c>
      <c r="T91">
        <f t="shared" si="33"/>
        <v>0</v>
      </c>
      <c r="U91" s="14">
        <f t="shared" si="34"/>
        <v>780</v>
      </c>
      <c r="V91" s="15"/>
      <c r="Z91" s="14"/>
    </row>
    <row r="92" spans="1:26" x14ac:dyDescent="0.25">
      <c r="A92" s="16"/>
      <c r="B92" s="17" t="b">
        <f t="shared" si="36"/>
        <v>0</v>
      </c>
      <c r="C92" s="17" t="b">
        <f t="shared" si="35"/>
        <v>0</v>
      </c>
      <c r="D92" s="17">
        <f t="shared" si="26"/>
        <v>1</v>
      </c>
      <c r="E92" s="17" t="str">
        <f t="shared" si="27"/>
        <v>Section 5 - Next steps</v>
      </c>
      <c r="F92" s="18" t="str">
        <f t="shared" si="28"/>
        <v/>
      </c>
      <c r="G92" s="13" t="str">
        <f t="shared" si="20"/>
        <v/>
      </c>
      <c r="H92">
        <f t="shared" si="21"/>
        <v>0</v>
      </c>
      <c r="I92" s="14">
        <f t="shared" si="29"/>
        <v>0</v>
      </c>
      <c r="J92" s="13">
        <f t="shared" si="22"/>
        <v>300</v>
      </c>
      <c r="K92">
        <f t="shared" si="23"/>
        <v>0</v>
      </c>
      <c r="L92">
        <f t="shared" si="24"/>
        <v>5</v>
      </c>
      <c r="M92" s="14">
        <f t="shared" si="25"/>
        <v>0</v>
      </c>
      <c r="N92" s="13">
        <f t="shared" ref="N92:P155" si="37">R91</f>
        <v>0</v>
      </c>
      <c r="O92">
        <f t="shared" si="37"/>
        <v>13</v>
      </c>
      <c r="P92">
        <f t="shared" si="37"/>
        <v>0</v>
      </c>
      <c r="Q92" s="14">
        <f t="shared" si="30"/>
        <v>780</v>
      </c>
      <c r="R92" s="13">
        <f t="shared" si="31"/>
        <v>0</v>
      </c>
      <c r="S92">
        <f t="shared" si="32"/>
        <v>13</v>
      </c>
      <c r="T92">
        <f t="shared" si="33"/>
        <v>0</v>
      </c>
      <c r="U92" s="14">
        <f t="shared" si="34"/>
        <v>780</v>
      </c>
      <c r="V92" s="15"/>
      <c r="Z92" s="14"/>
    </row>
    <row r="93" spans="1:26" x14ac:dyDescent="0.25">
      <c r="A93" s="16"/>
      <c r="B93" s="17" t="b">
        <f t="shared" si="36"/>
        <v>0</v>
      </c>
      <c r="C93" s="17" t="b">
        <f t="shared" si="35"/>
        <v>0</v>
      </c>
      <c r="D93" s="17">
        <f t="shared" si="26"/>
        <v>1</v>
      </c>
      <c r="E93" s="17" t="str">
        <f t="shared" si="27"/>
        <v>Section 5 - Next steps</v>
      </c>
      <c r="F93" s="18" t="str">
        <f t="shared" si="28"/>
        <v/>
      </c>
      <c r="G93" s="13" t="str">
        <f t="shared" si="20"/>
        <v/>
      </c>
      <c r="H93">
        <f t="shared" si="21"/>
        <v>0</v>
      </c>
      <c r="I93" s="14">
        <f t="shared" si="29"/>
        <v>0</v>
      </c>
      <c r="J93" s="13">
        <f t="shared" si="22"/>
        <v>300</v>
      </c>
      <c r="K93">
        <f t="shared" si="23"/>
        <v>0</v>
      </c>
      <c r="L93">
        <f t="shared" si="24"/>
        <v>5</v>
      </c>
      <c r="M93" s="14">
        <f t="shared" si="25"/>
        <v>0</v>
      </c>
      <c r="N93" s="13">
        <f t="shared" si="37"/>
        <v>0</v>
      </c>
      <c r="O93">
        <f t="shared" si="37"/>
        <v>13</v>
      </c>
      <c r="P93">
        <f t="shared" si="37"/>
        <v>0</v>
      </c>
      <c r="Q93" s="14">
        <f t="shared" si="30"/>
        <v>780</v>
      </c>
      <c r="R93" s="13">
        <f t="shared" si="31"/>
        <v>0</v>
      </c>
      <c r="S93">
        <f t="shared" si="32"/>
        <v>13</v>
      </c>
      <c r="T93">
        <f t="shared" si="33"/>
        <v>0</v>
      </c>
      <c r="U93" s="14">
        <f t="shared" si="34"/>
        <v>780</v>
      </c>
      <c r="V93" s="15"/>
      <c r="Z93" s="14"/>
    </row>
    <row r="94" spans="1:26" x14ac:dyDescent="0.25">
      <c r="A94" s="16"/>
      <c r="B94" s="17" t="b">
        <f t="shared" si="36"/>
        <v>0</v>
      </c>
      <c r="C94" s="17" t="b">
        <f t="shared" si="35"/>
        <v>0</v>
      </c>
      <c r="D94" s="17">
        <f t="shared" si="26"/>
        <v>1</v>
      </c>
      <c r="E94" s="17" t="str">
        <f t="shared" si="27"/>
        <v>Section 5 - Next steps</v>
      </c>
      <c r="F94" s="18" t="str">
        <f t="shared" si="28"/>
        <v/>
      </c>
      <c r="G94" s="13" t="str">
        <f t="shared" si="20"/>
        <v/>
      </c>
      <c r="H94">
        <f t="shared" si="21"/>
        <v>0</v>
      </c>
      <c r="I94" s="14">
        <f t="shared" si="29"/>
        <v>0</v>
      </c>
      <c r="J94" s="13">
        <f t="shared" si="22"/>
        <v>300</v>
      </c>
      <c r="K94">
        <f t="shared" si="23"/>
        <v>0</v>
      </c>
      <c r="L94">
        <f t="shared" si="24"/>
        <v>5</v>
      </c>
      <c r="M94" s="14">
        <f t="shared" si="25"/>
        <v>0</v>
      </c>
      <c r="N94" s="13">
        <f t="shared" si="37"/>
        <v>0</v>
      </c>
      <c r="O94">
        <f t="shared" si="37"/>
        <v>13</v>
      </c>
      <c r="P94">
        <f t="shared" si="37"/>
        <v>0</v>
      </c>
      <c r="Q94" s="14">
        <f t="shared" si="30"/>
        <v>780</v>
      </c>
      <c r="R94" s="13">
        <f t="shared" si="31"/>
        <v>0</v>
      </c>
      <c r="S94">
        <f t="shared" si="32"/>
        <v>13</v>
      </c>
      <c r="T94">
        <f t="shared" si="33"/>
        <v>0</v>
      </c>
      <c r="U94" s="14">
        <f t="shared" si="34"/>
        <v>780</v>
      </c>
      <c r="V94" s="15"/>
      <c r="Z94" s="14"/>
    </row>
    <row r="95" spans="1:26" x14ac:dyDescent="0.25">
      <c r="A95" s="16"/>
      <c r="B95" s="17" t="b">
        <f t="shared" si="36"/>
        <v>0</v>
      </c>
      <c r="C95" s="17" t="b">
        <f t="shared" si="35"/>
        <v>0</v>
      </c>
      <c r="D95" s="17">
        <f t="shared" si="26"/>
        <v>1</v>
      </c>
      <c r="E95" s="17" t="str">
        <f t="shared" si="27"/>
        <v>Section 5 - Next steps</v>
      </c>
      <c r="F95" s="18" t="str">
        <f t="shared" si="28"/>
        <v/>
      </c>
      <c r="G95" s="13" t="str">
        <f t="shared" si="20"/>
        <v/>
      </c>
      <c r="H95">
        <f t="shared" si="21"/>
        <v>0</v>
      </c>
      <c r="I95" s="14">
        <f t="shared" si="29"/>
        <v>0</v>
      </c>
      <c r="J95" s="13">
        <f t="shared" si="22"/>
        <v>300</v>
      </c>
      <c r="K95">
        <f t="shared" si="23"/>
        <v>0</v>
      </c>
      <c r="L95">
        <f t="shared" si="24"/>
        <v>5</v>
      </c>
      <c r="M95" s="14">
        <f t="shared" si="25"/>
        <v>0</v>
      </c>
      <c r="N95" s="13">
        <f t="shared" si="37"/>
        <v>0</v>
      </c>
      <c r="O95">
        <f t="shared" si="37"/>
        <v>13</v>
      </c>
      <c r="P95">
        <f t="shared" si="37"/>
        <v>0</v>
      </c>
      <c r="Q95" s="14">
        <f t="shared" si="30"/>
        <v>780</v>
      </c>
      <c r="R95" s="13">
        <f t="shared" si="31"/>
        <v>0</v>
      </c>
      <c r="S95">
        <f t="shared" si="32"/>
        <v>13</v>
      </c>
      <c r="T95">
        <f t="shared" si="33"/>
        <v>0</v>
      </c>
      <c r="U95" s="14">
        <f t="shared" si="34"/>
        <v>780</v>
      </c>
      <c r="V95" s="15"/>
      <c r="Z95" s="14"/>
    </row>
    <row r="96" spans="1:26" x14ac:dyDescent="0.25">
      <c r="A96" s="16"/>
      <c r="B96" s="17" t="b">
        <f t="shared" si="36"/>
        <v>0</v>
      </c>
      <c r="C96" s="17" t="b">
        <f t="shared" si="35"/>
        <v>0</v>
      </c>
      <c r="D96" s="17">
        <f t="shared" si="26"/>
        <v>1</v>
      </c>
      <c r="E96" s="17" t="str">
        <f t="shared" si="27"/>
        <v>Section 5 - Next steps</v>
      </c>
      <c r="F96" s="18" t="str">
        <f t="shared" si="28"/>
        <v/>
      </c>
      <c r="G96" s="13" t="str">
        <f t="shared" si="20"/>
        <v/>
      </c>
      <c r="H96">
        <f t="shared" si="21"/>
        <v>0</v>
      </c>
      <c r="I96" s="14">
        <f t="shared" si="29"/>
        <v>0</v>
      </c>
      <c r="J96" s="13">
        <f t="shared" si="22"/>
        <v>300</v>
      </c>
      <c r="K96">
        <f t="shared" si="23"/>
        <v>0</v>
      </c>
      <c r="L96">
        <f t="shared" si="24"/>
        <v>5</v>
      </c>
      <c r="M96" s="14">
        <f t="shared" si="25"/>
        <v>0</v>
      </c>
      <c r="N96" s="13">
        <f t="shared" si="37"/>
        <v>0</v>
      </c>
      <c r="O96">
        <f t="shared" si="37"/>
        <v>13</v>
      </c>
      <c r="P96">
        <f t="shared" si="37"/>
        <v>0</v>
      </c>
      <c r="Q96" s="14">
        <f t="shared" si="30"/>
        <v>780</v>
      </c>
      <c r="R96" s="13">
        <f t="shared" si="31"/>
        <v>0</v>
      </c>
      <c r="S96">
        <f t="shared" si="32"/>
        <v>13</v>
      </c>
      <c r="T96">
        <f t="shared" si="33"/>
        <v>0</v>
      </c>
      <c r="U96" s="14">
        <f t="shared" si="34"/>
        <v>780</v>
      </c>
      <c r="V96" s="15"/>
      <c r="Z96" s="14"/>
    </row>
    <row r="97" spans="1:26" x14ac:dyDescent="0.25">
      <c r="A97" s="16"/>
      <c r="B97" s="17" t="b">
        <f t="shared" si="36"/>
        <v>0</v>
      </c>
      <c r="C97" s="17" t="b">
        <f t="shared" si="35"/>
        <v>0</v>
      </c>
      <c r="D97" s="17">
        <f t="shared" si="26"/>
        <v>1</v>
      </c>
      <c r="E97" s="17" t="str">
        <f t="shared" si="27"/>
        <v>Section 5 - Next steps</v>
      </c>
      <c r="F97" s="18" t="str">
        <f t="shared" si="28"/>
        <v/>
      </c>
      <c r="G97" s="13" t="str">
        <f t="shared" si="20"/>
        <v/>
      </c>
      <c r="H97">
        <f t="shared" si="21"/>
        <v>0</v>
      </c>
      <c r="I97" s="14">
        <f t="shared" si="29"/>
        <v>0</v>
      </c>
      <c r="J97" s="13">
        <f t="shared" si="22"/>
        <v>300</v>
      </c>
      <c r="K97">
        <f t="shared" si="23"/>
        <v>0</v>
      </c>
      <c r="L97">
        <f t="shared" si="24"/>
        <v>5</v>
      </c>
      <c r="M97" s="14">
        <f t="shared" si="25"/>
        <v>0</v>
      </c>
      <c r="N97" s="13">
        <f t="shared" si="37"/>
        <v>0</v>
      </c>
      <c r="O97">
        <f t="shared" si="37"/>
        <v>13</v>
      </c>
      <c r="P97">
        <f t="shared" si="37"/>
        <v>0</v>
      </c>
      <c r="Q97" s="14">
        <f t="shared" si="30"/>
        <v>780</v>
      </c>
      <c r="R97" s="13">
        <f t="shared" si="31"/>
        <v>0</v>
      </c>
      <c r="S97">
        <f t="shared" si="32"/>
        <v>13</v>
      </c>
      <c r="T97">
        <f t="shared" si="33"/>
        <v>0</v>
      </c>
      <c r="U97" s="14">
        <f t="shared" si="34"/>
        <v>780</v>
      </c>
      <c r="V97" s="15"/>
      <c r="Z97" s="14"/>
    </row>
    <row r="98" spans="1:26" x14ac:dyDescent="0.25">
      <c r="A98" s="16"/>
      <c r="B98" s="17" t="b">
        <f t="shared" si="36"/>
        <v>0</v>
      </c>
      <c r="C98" s="17" t="b">
        <f t="shared" si="35"/>
        <v>0</v>
      </c>
      <c r="D98" s="17">
        <f t="shared" si="26"/>
        <v>1</v>
      </c>
      <c r="E98" s="17" t="str">
        <f t="shared" si="27"/>
        <v>Section 5 - Next steps</v>
      </c>
      <c r="F98" s="18" t="str">
        <f t="shared" si="28"/>
        <v/>
      </c>
      <c r="G98" s="13" t="str">
        <f t="shared" si="20"/>
        <v/>
      </c>
      <c r="H98">
        <f t="shared" si="21"/>
        <v>0</v>
      </c>
      <c r="I98" s="14">
        <f t="shared" si="29"/>
        <v>0</v>
      </c>
      <c r="J98" s="13">
        <f t="shared" si="22"/>
        <v>300</v>
      </c>
      <c r="K98">
        <f t="shared" si="23"/>
        <v>0</v>
      </c>
      <c r="L98">
        <f t="shared" si="24"/>
        <v>5</v>
      </c>
      <c r="M98" s="14">
        <f t="shared" si="25"/>
        <v>0</v>
      </c>
      <c r="N98" s="13">
        <f t="shared" si="37"/>
        <v>0</v>
      </c>
      <c r="O98">
        <f t="shared" si="37"/>
        <v>13</v>
      </c>
      <c r="P98">
        <f t="shared" si="37"/>
        <v>0</v>
      </c>
      <c r="Q98" s="14">
        <f t="shared" si="30"/>
        <v>780</v>
      </c>
      <c r="R98" s="13">
        <f t="shared" si="31"/>
        <v>0</v>
      </c>
      <c r="S98">
        <f t="shared" si="32"/>
        <v>13</v>
      </c>
      <c r="T98">
        <f t="shared" si="33"/>
        <v>0</v>
      </c>
      <c r="U98" s="14">
        <f t="shared" si="34"/>
        <v>780</v>
      </c>
      <c r="V98" s="15"/>
      <c r="Z98" s="14"/>
    </row>
    <row r="99" spans="1:26" x14ac:dyDescent="0.25">
      <c r="A99" s="16"/>
      <c r="B99" s="17" t="b">
        <f t="shared" si="36"/>
        <v>0</v>
      </c>
      <c r="C99" s="17" t="b">
        <f t="shared" si="35"/>
        <v>0</v>
      </c>
      <c r="D99" s="17">
        <f t="shared" si="26"/>
        <v>1</v>
      </c>
      <c r="E99" s="17" t="str">
        <f t="shared" si="27"/>
        <v>Section 5 - Next steps</v>
      </c>
      <c r="F99" s="18" t="str">
        <f t="shared" si="28"/>
        <v/>
      </c>
      <c r="G99" s="13" t="str">
        <f t="shared" si="20"/>
        <v/>
      </c>
      <c r="H99">
        <f t="shared" si="21"/>
        <v>0</v>
      </c>
      <c r="I99" s="14">
        <f t="shared" si="29"/>
        <v>0</v>
      </c>
      <c r="J99" s="13">
        <f t="shared" si="22"/>
        <v>300</v>
      </c>
      <c r="K99">
        <f t="shared" si="23"/>
        <v>0</v>
      </c>
      <c r="L99">
        <f t="shared" si="24"/>
        <v>5</v>
      </c>
      <c r="M99" s="14">
        <f t="shared" si="25"/>
        <v>0</v>
      </c>
      <c r="N99" s="13">
        <f t="shared" si="37"/>
        <v>0</v>
      </c>
      <c r="O99">
        <f t="shared" si="37"/>
        <v>13</v>
      </c>
      <c r="P99">
        <f t="shared" si="37"/>
        <v>0</v>
      </c>
      <c r="Q99" s="14">
        <f t="shared" si="30"/>
        <v>780</v>
      </c>
      <c r="R99" s="13">
        <f t="shared" si="31"/>
        <v>0</v>
      </c>
      <c r="S99">
        <f t="shared" si="32"/>
        <v>13</v>
      </c>
      <c r="T99">
        <f t="shared" si="33"/>
        <v>0</v>
      </c>
      <c r="U99" s="14">
        <f t="shared" si="34"/>
        <v>780</v>
      </c>
      <c r="V99" s="15"/>
      <c r="Z99" s="14"/>
    </row>
    <row r="100" spans="1:26" x14ac:dyDescent="0.25">
      <c r="A100" s="16"/>
      <c r="B100" s="17" t="b">
        <f t="shared" si="36"/>
        <v>0</v>
      </c>
      <c r="C100" s="17" t="b">
        <f t="shared" si="35"/>
        <v>0</v>
      </c>
      <c r="D100" s="17">
        <f t="shared" si="26"/>
        <v>1</v>
      </c>
      <c r="E100" s="17" t="str">
        <f t="shared" si="27"/>
        <v>Section 5 - Next steps</v>
      </c>
      <c r="F100" s="18" t="str">
        <f t="shared" si="28"/>
        <v/>
      </c>
      <c r="G100" s="13" t="str">
        <f t="shared" si="20"/>
        <v/>
      </c>
      <c r="H100">
        <f t="shared" si="21"/>
        <v>0</v>
      </c>
      <c r="I100" s="14">
        <f t="shared" si="29"/>
        <v>0</v>
      </c>
      <c r="J100" s="13">
        <f t="shared" si="22"/>
        <v>300</v>
      </c>
      <c r="K100">
        <f t="shared" si="23"/>
        <v>0</v>
      </c>
      <c r="L100">
        <f t="shared" si="24"/>
        <v>5</v>
      </c>
      <c r="M100" s="14">
        <f t="shared" si="25"/>
        <v>0</v>
      </c>
      <c r="N100" s="13">
        <f t="shared" si="37"/>
        <v>0</v>
      </c>
      <c r="O100">
        <f t="shared" si="37"/>
        <v>13</v>
      </c>
      <c r="P100">
        <f t="shared" si="37"/>
        <v>0</v>
      </c>
      <c r="Q100" s="14">
        <f t="shared" si="30"/>
        <v>780</v>
      </c>
      <c r="R100" s="13">
        <f t="shared" si="31"/>
        <v>0</v>
      </c>
      <c r="S100">
        <f t="shared" si="32"/>
        <v>13</v>
      </c>
      <c r="T100">
        <f t="shared" si="33"/>
        <v>0</v>
      </c>
      <c r="U100" s="14">
        <f t="shared" si="34"/>
        <v>780</v>
      </c>
      <c r="V100" s="15"/>
      <c r="Z100" s="14"/>
    </row>
    <row r="101" spans="1:26" x14ac:dyDescent="0.25">
      <c r="A101" s="16"/>
      <c r="B101" s="17" t="b">
        <f t="shared" si="36"/>
        <v>0</v>
      </c>
      <c r="C101" s="17" t="b">
        <f t="shared" si="35"/>
        <v>0</v>
      </c>
      <c r="D101" s="17">
        <f t="shared" si="26"/>
        <v>1</v>
      </c>
      <c r="E101" s="17" t="str">
        <f t="shared" si="27"/>
        <v>Section 5 - Next steps</v>
      </c>
      <c r="F101" s="18" t="str">
        <f t="shared" si="28"/>
        <v/>
      </c>
      <c r="G101" s="13" t="str">
        <f t="shared" si="20"/>
        <v/>
      </c>
      <c r="H101">
        <f t="shared" si="21"/>
        <v>0</v>
      </c>
      <c r="I101" s="14">
        <f t="shared" si="29"/>
        <v>0</v>
      </c>
      <c r="J101" s="13">
        <f t="shared" si="22"/>
        <v>300</v>
      </c>
      <c r="K101">
        <f t="shared" si="23"/>
        <v>0</v>
      </c>
      <c r="L101">
        <f t="shared" si="24"/>
        <v>5</v>
      </c>
      <c r="M101" s="14">
        <f t="shared" si="25"/>
        <v>0</v>
      </c>
      <c r="N101" s="13">
        <f t="shared" si="37"/>
        <v>0</v>
      </c>
      <c r="O101">
        <f t="shared" si="37"/>
        <v>13</v>
      </c>
      <c r="P101">
        <f t="shared" si="37"/>
        <v>0</v>
      </c>
      <c r="Q101" s="14">
        <f t="shared" si="30"/>
        <v>780</v>
      </c>
      <c r="R101" s="13">
        <f t="shared" si="31"/>
        <v>0</v>
      </c>
      <c r="S101">
        <f t="shared" si="32"/>
        <v>13</v>
      </c>
      <c r="T101">
        <f t="shared" si="33"/>
        <v>0</v>
      </c>
      <c r="U101" s="14">
        <f t="shared" si="34"/>
        <v>780</v>
      </c>
      <c r="V101" s="15"/>
      <c r="Z101" s="14"/>
    </row>
    <row r="102" spans="1:26" x14ac:dyDescent="0.25">
      <c r="A102" s="16"/>
      <c r="B102" s="17" t="b">
        <f t="shared" si="36"/>
        <v>0</v>
      </c>
      <c r="C102" s="17" t="b">
        <f t="shared" si="35"/>
        <v>0</v>
      </c>
      <c r="D102" s="17">
        <f t="shared" si="26"/>
        <v>1</v>
      </c>
      <c r="E102" s="17" t="str">
        <f t="shared" si="27"/>
        <v>Section 5 - Next steps</v>
      </c>
      <c r="F102" s="18" t="str">
        <f t="shared" si="28"/>
        <v/>
      </c>
      <c r="G102" s="13" t="str">
        <f t="shared" si="20"/>
        <v/>
      </c>
      <c r="H102">
        <f t="shared" si="21"/>
        <v>0</v>
      </c>
      <c r="I102" s="14">
        <f t="shared" si="29"/>
        <v>0</v>
      </c>
      <c r="J102" s="13">
        <f t="shared" si="22"/>
        <v>300</v>
      </c>
      <c r="K102">
        <f t="shared" si="23"/>
        <v>0</v>
      </c>
      <c r="L102">
        <f t="shared" si="24"/>
        <v>5</v>
      </c>
      <c r="M102" s="14">
        <f t="shared" si="25"/>
        <v>0</v>
      </c>
      <c r="N102" s="13">
        <f t="shared" si="37"/>
        <v>0</v>
      </c>
      <c r="O102">
        <f t="shared" si="37"/>
        <v>13</v>
      </c>
      <c r="P102">
        <f t="shared" si="37"/>
        <v>0</v>
      </c>
      <c r="Q102" s="14">
        <f t="shared" si="30"/>
        <v>780</v>
      </c>
      <c r="R102" s="13">
        <f t="shared" si="31"/>
        <v>0</v>
      </c>
      <c r="S102">
        <f t="shared" si="32"/>
        <v>13</v>
      </c>
      <c r="T102">
        <f t="shared" si="33"/>
        <v>0</v>
      </c>
      <c r="U102" s="14">
        <f t="shared" si="34"/>
        <v>780</v>
      </c>
      <c r="V102" s="15"/>
      <c r="Z102" s="14"/>
    </row>
    <row r="103" spans="1:26" x14ac:dyDescent="0.25">
      <c r="A103" s="16"/>
      <c r="B103" s="17" t="b">
        <f t="shared" si="36"/>
        <v>0</v>
      </c>
      <c r="C103" s="17" t="b">
        <f t="shared" si="35"/>
        <v>0</v>
      </c>
      <c r="D103" s="17">
        <f t="shared" si="26"/>
        <v>1</v>
      </c>
      <c r="E103" s="17" t="str">
        <f t="shared" si="27"/>
        <v>Section 5 - Next steps</v>
      </c>
      <c r="F103" s="18" t="str">
        <f t="shared" si="28"/>
        <v/>
      </c>
      <c r="G103" s="13" t="str">
        <f t="shared" si="20"/>
        <v/>
      </c>
      <c r="H103">
        <f t="shared" si="21"/>
        <v>0</v>
      </c>
      <c r="I103" s="14">
        <f t="shared" si="29"/>
        <v>0</v>
      </c>
      <c r="J103" s="13">
        <f t="shared" si="22"/>
        <v>300</v>
      </c>
      <c r="K103">
        <f t="shared" si="23"/>
        <v>0</v>
      </c>
      <c r="L103">
        <f t="shared" si="24"/>
        <v>5</v>
      </c>
      <c r="M103" s="14">
        <f t="shared" si="25"/>
        <v>0</v>
      </c>
      <c r="N103" s="13">
        <f t="shared" si="37"/>
        <v>0</v>
      </c>
      <c r="O103">
        <f t="shared" si="37"/>
        <v>13</v>
      </c>
      <c r="P103">
        <f t="shared" si="37"/>
        <v>0</v>
      </c>
      <c r="Q103" s="14">
        <f t="shared" si="30"/>
        <v>780</v>
      </c>
      <c r="R103" s="13">
        <f t="shared" si="31"/>
        <v>0</v>
      </c>
      <c r="S103">
        <f t="shared" si="32"/>
        <v>13</v>
      </c>
      <c r="T103">
        <f t="shared" si="33"/>
        <v>0</v>
      </c>
      <c r="U103" s="14">
        <f t="shared" si="34"/>
        <v>780</v>
      </c>
      <c r="V103" s="15"/>
      <c r="Z103" s="14"/>
    </row>
    <row r="104" spans="1:26" x14ac:dyDescent="0.25">
      <c r="A104" s="16"/>
      <c r="B104" s="17" t="b">
        <f t="shared" si="36"/>
        <v>0</v>
      </c>
      <c r="C104" s="17" t="b">
        <f t="shared" si="35"/>
        <v>0</v>
      </c>
      <c r="D104" s="17">
        <f t="shared" si="26"/>
        <v>1</v>
      </c>
      <c r="E104" s="17" t="str">
        <f t="shared" si="27"/>
        <v>Section 5 - Next steps</v>
      </c>
      <c r="F104" s="18" t="str">
        <f t="shared" si="28"/>
        <v/>
      </c>
      <c r="G104" s="13" t="str">
        <f t="shared" si="20"/>
        <v/>
      </c>
      <c r="H104">
        <f t="shared" si="21"/>
        <v>0</v>
      </c>
      <c r="I104" s="14">
        <f t="shared" si="29"/>
        <v>0</v>
      </c>
      <c r="J104" s="13">
        <f t="shared" si="22"/>
        <v>300</v>
      </c>
      <c r="K104">
        <f t="shared" si="23"/>
        <v>0</v>
      </c>
      <c r="L104">
        <f t="shared" si="24"/>
        <v>5</v>
      </c>
      <c r="M104" s="14">
        <f t="shared" si="25"/>
        <v>0</v>
      </c>
      <c r="N104" s="13">
        <f t="shared" si="37"/>
        <v>0</v>
      </c>
      <c r="O104">
        <f t="shared" si="37"/>
        <v>13</v>
      </c>
      <c r="P104">
        <f t="shared" si="37"/>
        <v>0</v>
      </c>
      <c r="Q104" s="14">
        <f t="shared" si="30"/>
        <v>780</v>
      </c>
      <c r="R104" s="13">
        <f t="shared" si="31"/>
        <v>0</v>
      </c>
      <c r="S104">
        <f t="shared" si="32"/>
        <v>13</v>
      </c>
      <c r="T104">
        <f t="shared" si="33"/>
        <v>0</v>
      </c>
      <c r="U104" s="14">
        <f t="shared" si="34"/>
        <v>780</v>
      </c>
      <c r="V104" s="15"/>
      <c r="Z104" s="14"/>
    </row>
    <row r="105" spans="1:26" x14ac:dyDescent="0.25">
      <c r="A105" s="16"/>
      <c r="B105" s="17" t="b">
        <f t="shared" si="36"/>
        <v>0</v>
      </c>
      <c r="C105" s="17" t="b">
        <f t="shared" si="35"/>
        <v>0</v>
      </c>
      <c r="D105" s="17">
        <f t="shared" si="26"/>
        <v>1</v>
      </c>
      <c r="E105" s="17" t="str">
        <f t="shared" si="27"/>
        <v>Section 5 - Next steps</v>
      </c>
      <c r="F105" s="18" t="str">
        <f t="shared" si="28"/>
        <v/>
      </c>
      <c r="G105" s="13" t="str">
        <f t="shared" si="20"/>
        <v/>
      </c>
      <c r="H105">
        <f t="shared" si="21"/>
        <v>0</v>
      </c>
      <c r="I105" s="14">
        <f t="shared" si="29"/>
        <v>0</v>
      </c>
      <c r="J105" s="13">
        <f t="shared" si="22"/>
        <v>300</v>
      </c>
      <c r="K105">
        <f t="shared" si="23"/>
        <v>0</v>
      </c>
      <c r="L105">
        <f t="shared" si="24"/>
        <v>5</v>
      </c>
      <c r="M105" s="14">
        <f t="shared" si="25"/>
        <v>0</v>
      </c>
      <c r="N105" s="13">
        <f t="shared" si="37"/>
        <v>0</v>
      </c>
      <c r="O105">
        <f t="shared" si="37"/>
        <v>13</v>
      </c>
      <c r="P105">
        <f t="shared" si="37"/>
        <v>0</v>
      </c>
      <c r="Q105" s="14">
        <f t="shared" si="30"/>
        <v>780</v>
      </c>
      <c r="R105" s="13">
        <f t="shared" si="31"/>
        <v>0</v>
      </c>
      <c r="S105">
        <f t="shared" si="32"/>
        <v>13</v>
      </c>
      <c r="T105">
        <f t="shared" si="33"/>
        <v>0</v>
      </c>
      <c r="U105" s="14">
        <f t="shared" si="34"/>
        <v>780</v>
      </c>
      <c r="V105" s="15"/>
      <c r="Z105" s="14"/>
    </row>
    <row r="106" spans="1:26" x14ac:dyDescent="0.25">
      <c r="A106" s="16"/>
      <c r="B106" s="17" t="b">
        <f t="shared" si="36"/>
        <v>0</v>
      </c>
      <c r="C106" s="17" t="b">
        <f t="shared" si="35"/>
        <v>0</v>
      </c>
      <c r="D106" s="17">
        <f t="shared" si="26"/>
        <v>1</v>
      </c>
      <c r="E106" s="17" t="str">
        <f t="shared" si="27"/>
        <v>Section 5 - Next steps</v>
      </c>
      <c r="F106" s="18" t="str">
        <f t="shared" si="28"/>
        <v/>
      </c>
      <c r="G106" s="13" t="str">
        <f t="shared" si="20"/>
        <v/>
      </c>
      <c r="H106">
        <f t="shared" si="21"/>
        <v>0</v>
      </c>
      <c r="I106" s="14">
        <f t="shared" si="29"/>
        <v>0</v>
      </c>
      <c r="J106" s="13">
        <f t="shared" si="22"/>
        <v>300</v>
      </c>
      <c r="K106">
        <f t="shared" si="23"/>
        <v>0</v>
      </c>
      <c r="L106">
        <f t="shared" si="24"/>
        <v>5</v>
      </c>
      <c r="M106" s="14">
        <f t="shared" si="25"/>
        <v>0</v>
      </c>
      <c r="N106" s="13">
        <f t="shared" si="37"/>
        <v>0</v>
      </c>
      <c r="O106">
        <f t="shared" si="37"/>
        <v>13</v>
      </c>
      <c r="P106">
        <f t="shared" si="37"/>
        <v>0</v>
      </c>
      <c r="Q106" s="14">
        <f t="shared" si="30"/>
        <v>780</v>
      </c>
      <c r="R106" s="13">
        <f t="shared" si="31"/>
        <v>0</v>
      </c>
      <c r="S106">
        <f t="shared" si="32"/>
        <v>13</v>
      </c>
      <c r="T106">
        <f t="shared" si="33"/>
        <v>0</v>
      </c>
      <c r="U106" s="14">
        <f t="shared" si="34"/>
        <v>780</v>
      </c>
      <c r="V106" s="15"/>
      <c r="Z106" s="14"/>
    </row>
    <row r="107" spans="1:26" x14ac:dyDescent="0.25">
      <c r="A107" s="16"/>
      <c r="B107" s="17" t="b">
        <f t="shared" si="36"/>
        <v>0</v>
      </c>
      <c r="C107" s="17" t="b">
        <f t="shared" si="35"/>
        <v>0</v>
      </c>
      <c r="D107" s="17">
        <f t="shared" si="26"/>
        <v>1</v>
      </c>
      <c r="E107" s="17" t="str">
        <f t="shared" si="27"/>
        <v>Section 5 - Next steps</v>
      </c>
      <c r="F107" s="18" t="str">
        <f t="shared" si="28"/>
        <v/>
      </c>
      <c r="G107" s="13" t="str">
        <f t="shared" si="20"/>
        <v/>
      </c>
      <c r="H107">
        <f t="shared" si="21"/>
        <v>0</v>
      </c>
      <c r="I107" s="14">
        <f t="shared" si="29"/>
        <v>0</v>
      </c>
      <c r="J107" s="13">
        <f t="shared" si="22"/>
        <v>300</v>
      </c>
      <c r="K107">
        <f t="shared" si="23"/>
        <v>0</v>
      </c>
      <c r="L107">
        <f t="shared" si="24"/>
        <v>5</v>
      </c>
      <c r="M107" s="14">
        <f t="shared" si="25"/>
        <v>0</v>
      </c>
      <c r="N107" s="13">
        <f t="shared" si="37"/>
        <v>0</v>
      </c>
      <c r="O107">
        <f t="shared" si="37"/>
        <v>13</v>
      </c>
      <c r="P107">
        <f t="shared" si="37"/>
        <v>0</v>
      </c>
      <c r="Q107" s="14">
        <f t="shared" si="30"/>
        <v>780</v>
      </c>
      <c r="R107" s="13">
        <f t="shared" si="31"/>
        <v>0</v>
      </c>
      <c r="S107">
        <f t="shared" si="32"/>
        <v>13</v>
      </c>
      <c r="T107">
        <f t="shared" si="33"/>
        <v>0</v>
      </c>
      <c r="U107" s="14">
        <f t="shared" si="34"/>
        <v>780</v>
      </c>
      <c r="V107" s="15"/>
      <c r="Z107" s="14"/>
    </row>
    <row r="108" spans="1:26" x14ac:dyDescent="0.25">
      <c r="A108" s="16"/>
      <c r="B108" s="17" t="b">
        <f t="shared" si="36"/>
        <v>0</v>
      </c>
      <c r="C108" s="17" t="b">
        <f t="shared" si="35"/>
        <v>0</v>
      </c>
      <c r="D108" s="17">
        <f t="shared" si="26"/>
        <v>1</v>
      </c>
      <c r="E108" s="17" t="str">
        <f t="shared" si="27"/>
        <v>Section 5 - Next steps</v>
      </c>
      <c r="F108" s="18" t="str">
        <f t="shared" si="28"/>
        <v/>
      </c>
      <c r="G108" s="13" t="str">
        <f t="shared" si="20"/>
        <v/>
      </c>
      <c r="H108">
        <f t="shared" si="21"/>
        <v>0</v>
      </c>
      <c r="I108" s="14">
        <f t="shared" si="29"/>
        <v>0</v>
      </c>
      <c r="J108" s="13">
        <f t="shared" si="22"/>
        <v>300</v>
      </c>
      <c r="K108">
        <f t="shared" si="23"/>
        <v>0</v>
      </c>
      <c r="L108">
        <f t="shared" si="24"/>
        <v>5</v>
      </c>
      <c r="M108" s="14">
        <f t="shared" si="25"/>
        <v>0</v>
      </c>
      <c r="N108" s="13">
        <f t="shared" si="37"/>
        <v>0</v>
      </c>
      <c r="O108">
        <f t="shared" si="37"/>
        <v>13</v>
      </c>
      <c r="P108">
        <f t="shared" si="37"/>
        <v>0</v>
      </c>
      <c r="Q108" s="14">
        <f t="shared" si="30"/>
        <v>780</v>
      </c>
      <c r="R108" s="13">
        <f t="shared" si="31"/>
        <v>0</v>
      </c>
      <c r="S108">
        <f t="shared" si="32"/>
        <v>13</v>
      </c>
      <c r="T108">
        <f t="shared" si="33"/>
        <v>0</v>
      </c>
      <c r="U108" s="14">
        <f t="shared" si="34"/>
        <v>780</v>
      </c>
      <c r="V108" s="15"/>
      <c r="Z108" s="14"/>
    </row>
    <row r="109" spans="1:26" x14ac:dyDescent="0.25">
      <c r="A109" s="16"/>
      <c r="B109" s="17" t="b">
        <f t="shared" si="36"/>
        <v>0</v>
      </c>
      <c r="C109" s="17" t="b">
        <f t="shared" si="35"/>
        <v>0</v>
      </c>
      <c r="D109" s="17">
        <f t="shared" si="26"/>
        <v>1</v>
      </c>
      <c r="E109" s="17" t="str">
        <f t="shared" si="27"/>
        <v>Section 5 - Next steps</v>
      </c>
      <c r="F109" s="18" t="str">
        <f t="shared" si="28"/>
        <v/>
      </c>
      <c r="G109" s="13" t="str">
        <f t="shared" si="20"/>
        <v/>
      </c>
      <c r="H109">
        <f t="shared" si="21"/>
        <v>0</v>
      </c>
      <c r="I109" s="14">
        <f t="shared" si="29"/>
        <v>0</v>
      </c>
      <c r="J109" s="13">
        <f t="shared" si="22"/>
        <v>300</v>
      </c>
      <c r="K109">
        <f t="shared" si="23"/>
        <v>0</v>
      </c>
      <c r="L109">
        <f t="shared" si="24"/>
        <v>5</v>
      </c>
      <c r="M109" s="14">
        <f t="shared" si="25"/>
        <v>0</v>
      </c>
      <c r="N109" s="13">
        <f t="shared" si="37"/>
        <v>0</v>
      </c>
      <c r="O109">
        <f t="shared" si="37"/>
        <v>13</v>
      </c>
      <c r="P109">
        <f t="shared" si="37"/>
        <v>0</v>
      </c>
      <c r="Q109" s="14">
        <f t="shared" si="30"/>
        <v>780</v>
      </c>
      <c r="R109" s="13">
        <f t="shared" si="31"/>
        <v>0</v>
      </c>
      <c r="S109">
        <f t="shared" si="32"/>
        <v>13</v>
      </c>
      <c r="T109">
        <f t="shared" si="33"/>
        <v>0</v>
      </c>
      <c r="U109" s="14">
        <f t="shared" si="34"/>
        <v>780</v>
      </c>
      <c r="V109" s="15"/>
      <c r="Z109" s="14"/>
    </row>
    <row r="110" spans="1:26" x14ac:dyDescent="0.25">
      <c r="A110" s="16"/>
      <c r="B110" s="17" t="b">
        <f t="shared" si="36"/>
        <v>0</v>
      </c>
      <c r="C110" s="17" t="b">
        <f t="shared" si="35"/>
        <v>0</v>
      </c>
      <c r="D110" s="17">
        <f t="shared" si="26"/>
        <v>1</v>
      </c>
      <c r="E110" s="17" t="str">
        <f t="shared" si="27"/>
        <v>Section 5 - Next steps</v>
      </c>
      <c r="F110" s="18" t="str">
        <f t="shared" si="28"/>
        <v/>
      </c>
      <c r="G110" s="13" t="str">
        <f t="shared" si="20"/>
        <v/>
      </c>
      <c r="H110">
        <f t="shared" si="21"/>
        <v>0</v>
      </c>
      <c r="I110" s="14">
        <f t="shared" si="29"/>
        <v>0</v>
      </c>
      <c r="J110" s="13">
        <f t="shared" si="22"/>
        <v>300</v>
      </c>
      <c r="K110">
        <f t="shared" si="23"/>
        <v>0</v>
      </c>
      <c r="L110">
        <f t="shared" si="24"/>
        <v>5</v>
      </c>
      <c r="M110" s="14">
        <f t="shared" si="25"/>
        <v>0</v>
      </c>
      <c r="N110" s="13">
        <f t="shared" si="37"/>
        <v>0</v>
      </c>
      <c r="O110">
        <f t="shared" si="37"/>
        <v>13</v>
      </c>
      <c r="P110">
        <f t="shared" si="37"/>
        <v>0</v>
      </c>
      <c r="Q110" s="14">
        <f t="shared" si="30"/>
        <v>780</v>
      </c>
      <c r="R110" s="13">
        <f t="shared" si="31"/>
        <v>0</v>
      </c>
      <c r="S110">
        <f t="shared" si="32"/>
        <v>13</v>
      </c>
      <c r="T110">
        <f t="shared" si="33"/>
        <v>0</v>
      </c>
      <c r="U110" s="14">
        <f t="shared" si="34"/>
        <v>780</v>
      </c>
      <c r="V110" s="15"/>
      <c r="Z110" s="14"/>
    </row>
    <row r="111" spans="1:26" x14ac:dyDescent="0.25">
      <c r="A111" s="16"/>
      <c r="B111" s="17" t="b">
        <f t="shared" si="36"/>
        <v>0</v>
      </c>
      <c r="C111" s="17" t="b">
        <f t="shared" si="35"/>
        <v>0</v>
      </c>
      <c r="D111" s="17">
        <f t="shared" si="26"/>
        <v>1</v>
      </c>
      <c r="E111" s="17" t="str">
        <f t="shared" si="27"/>
        <v>Section 5 - Next steps</v>
      </c>
      <c r="F111" s="18" t="str">
        <f t="shared" si="28"/>
        <v/>
      </c>
      <c r="G111" s="13" t="str">
        <f t="shared" si="20"/>
        <v/>
      </c>
      <c r="H111">
        <f t="shared" si="21"/>
        <v>0</v>
      </c>
      <c r="I111" s="14">
        <f t="shared" si="29"/>
        <v>0</v>
      </c>
      <c r="J111" s="13">
        <f t="shared" si="22"/>
        <v>300</v>
      </c>
      <c r="K111">
        <f t="shared" si="23"/>
        <v>0</v>
      </c>
      <c r="L111">
        <f t="shared" si="24"/>
        <v>5</v>
      </c>
      <c r="M111" s="14">
        <f t="shared" si="25"/>
        <v>0</v>
      </c>
      <c r="N111" s="13">
        <f t="shared" si="37"/>
        <v>0</v>
      </c>
      <c r="O111">
        <f t="shared" si="37"/>
        <v>13</v>
      </c>
      <c r="P111">
        <f t="shared" si="37"/>
        <v>0</v>
      </c>
      <c r="Q111" s="14">
        <f t="shared" si="30"/>
        <v>780</v>
      </c>
      <c r="R111" s="13">
        <f t="shared" si="31"/>
        <v>0</v>
      </c>
      <c r="S111">
        <f t="shared" si="32"/>
        <v>13</v>
      </c>
      <c r="T111">
        <f t="shared" si="33"/>
        <v>0</v>
      </c>
      <c r="U111" s="14">
        <f t="shared" si="34"/>
        <v>780</v>
      </c>
      <c r="V111" s="15"/>
      <c r="Z111" s="14"/>
    </row>
    <row r="112" spans="1:26" x14ac:dyDescent="0.25">
      <c r="A112" s="16"/>
      <c r="B112" s="17" t="b">
        <f t="shared" si="36"/>
        <v>0</v>
      </c>
      <c r="C112" s="17" t="b">
        <f t="shared" si="35"/>
        <v>0</v>
      </c>
      <c r="D112" s="17">
        <f t="shared" si="26"/>
        <v>1</v>
      </c>
      <c r="E112" s="17" t="str">
        <f t="shared" si="27"/>
        <v>Section 5 - Next steps</v>
      </c>
      <c r="F112" s="18" t="str">
        <f t="shared" si="28"/>
        <v/>
      </c>
      <c r="G112" s="13" t="str">
        <f t="shared" si="20"/>
        <v/>
      </c>
      <c r="H112">
        <f t="shared" si="21"/>
        <v>0</v>
      </c>
      <c r="I112" s="14">
        <f t="shared" si="29"/>
        <v>0</v>
      </c>
      <c r="J112" s="13">
        <f t="shared" si="22"/>
        <v>300</v>
      </c>
      <c r="K112">
        <f t="shared" si="23"/>
        <v>0</v>
      </c>
      <c r="L112">
        <f t="shared" si="24"/>
        <v>5</v>
      </c>
      <c r="M112" s="14">
        <f t="shared" si="25"/>
        <v>0</v>
      </c>
      <c r="N112" s="13">
        <f t="shared" si="37"/>
        <v>0</v>
      </c>
      <c r="O112">
        <f t="shared" si="37"/>
        <v>13</v>
      </c>
      <c r="P112">
        <f t="shared" si="37"/>
        <v>0</v>
      </c>
      <c r="Q112" s="14">
        <f t="shared" si="30"/>
        <v>780</v>
      </c>
      <c r="R112" s="13">
        <f t="shared" si="31"/>
        <v>0</v>
      </c>
      <c r="S112">
        <f t="shared" si="32"/>
        <v>13</v>
      </c>
      <c r="T112">
        <f t="shared" si="33"/>
        <v>0</v>
      </c>
      <c r="U112" s="14">
        <f t="shared" si="34"/>
        <v>780</v>
      </c>
      <c r="V112" s="15"/>
      <c r="Z112" s="14"/>
    </row>
    <row r="113" spans="1:26" x14ac:dyDescent="0.25">
      <c r="A113" s="16"/>
      <c r="B113" s="17" t="b">
        <f t="shared" si="36"/>
        <v>0</v>
      </c>
      <c r="C113" s="17" t="b">
        <f t="shared" si="35"/>
        <v>0</v>
      </c>
      <c r="D113" s="17">
        <f t="shared" si="26"/>
        <v>1</v>
      </c>
      <c r="E113" s="17" t="str">
        <f t="shared" si="27"/>
        <v>Section 5 - Next steps</v>
      </c>
      <c r="F113" s="18" t="str">
        <f t="shared" si="28"/>
        <v/>
      </c>
      <c r="G113" s="13" t="str">
        <f t="shared" si="20"/>
        <v/>
      </c>
      <c r="H113">
        <f t="shared" si="21"/>
        <v>0</v>
      </c>
      <c r="I113" s="14">
        <f t="shared" si="29"/>
        <v>0</v>
      </c>
      <c r="J113" s="13">
        <f t="shared" si="22"/>
        <v>300</v>
      </c>
      <c r="K113">
        <f t="shared" si="23"/>
        <v>0</v>
      </c>
      <c r="L113">
        <f t="shared" si="24"/>
        <v>5</v>
      </c>
      <c r="M113" s="14">
        <f t="shared" si="25"/>
        <v>0</v>
      </c>
      <c r="N113" s="13">
        <f t="shared" si="37"/>
        <v>0</v>
      </c>
      <c r="O113">
        <f t="shared" si="37"/>
        <v>13</v>
      </c>
      <c r="P113">
        <f t="shared" si="37"/>
        <v>0</v>
      </c>
      <c r="Q113" s="14">
        <f t="shared" si="30"/>
        <v>780</v>
      </c>
      <c r="R113" s="13">
        <f t="shared" si="31"/>
        <v>0</v>
      </c>
      <c r="S113">
        <f t="shared" si="32"/>
        <v>13</v>
      </c>
      <c r="T113">
        <f t="shared" si="33"/>
        <v>0</v>
      </c>
      <c r="U113" s="14">
        <f t="shared" si="34"/>
        <v>780</v>
      </c>
      <c r="V113" s="15"/>
      <c r="Z113" s="14"/>
    </row>
    <row r="114" spans="1:26" x14ac:dyDescent="0.25">
      <c r="A114" s="16"/>
      <c r="B114" s="17" t="b">
        <f t="shared" si="36"/>
        <v>0</v>
      </c>
      <c r="C114" s="17" t="b">
        <f t="shared" si="35"/>
        <v>0</v>
      </c>
      <c r="D114" s="17">
        <f t="shared" si="26"/>
        <v>1</v>
      </c>
      <c r="E114" s="17" t="str">
        <f t="shared" si="27"/>
        <v>Section 5 - Next steps</v>
      </c>
      <c r="F114" s="18" t="str">
        <f t="shared" si="28"/>
        <v/>
      </c>
      <c r="G114" s="13" t="str">
        <f t="shared" si="20"/>
        <v/>
      </c>
      <c r="H114">
        <f t="shared" si="21"/>
        <v>0</v>
      </c>
      <c r="I114" s="14">
        <f t="shared" si="29"/>
        <v>0</v>
      </c>
      <c r="J114" s="13">
        <f t="shared" si="22"/>
        <v>300</v>
      </c>
      <c r="K114">
        <f t="shared" si="23"/>
        <v>0</v>
      </c>
      <c r="L114">
        <f t="shared" si="24"/>
        <v>5</v>
      </c>
      <c r="M114" s="14">
        <f t="shared" si="25"/>
        <v>0</v>
      </c>
      <c r="N114" s="13">
        <f t="shared" si="37"/>
        <v>0</v>
      </c>
      <c r="O114">
        <f t="shared" si="37"/>
        <v>13</v>
      </c>
      <c r="P114">
        <f t="shared" si="37"/>
        <v>0</v>
      </c>
      <c r="Q114" s="14">
        <f t="shared" si="30"/>
        <v>780</v>
      </c>
      <c r="R114" s="13">
        <f t="shared" si="31"/>
        <v>0</v>
      </c>
      <c r="S114">
        <f t="shared" si="32"/>
        <v>13</v>
      </c>
      <c r="T114">
        <f t="shared" si="33"/>
        <v>0</v>
      </c>
      <c r="U114" s="14">
        <f t="shared" si="34"/>
        <v>780</v>
      </c>
      <c r="V114" s="15"/>
      <c r="Z114" s="14"/>
    </row>
    <row r="115" spans="1:26" x14ac:dyDescent="0.25">
      <c r="A115" s="16"/>
      <c r="B115" s="17" t="b">
        <f t="shared" si="36"/>
        <v>0</v>
      </c>
      <c r="C115" s="17" t="b">
        <f t="shared" si="35"/>
        <v>0</v>
      </c>
      <c r="D115" s="17">
        <f t="shared" si="26"/>
        <v>1</v>
      </c>
      <c r="E115" s="17" t="str">
        <f t="shared" si="27"/>
        <v>Section 5 - Next steps</v>
      </c>
      <c r="F115" s="18" t="str">
        <f t="shared" si="28"/>
        <v/>
      </c>
      <c r="G115" s="13" t="str">
        <f t="shared" si="20"/>
        <v/>
      </c>
      <c r="H115">
        <f t="shared" si="21"/>
        <v>0</v>
      </c>
      <c r="I115" s="14">
        <f t="shared" si="29"/>
        <v>0</v>
      </c>
      <c r="J115" s="13">
        <f t="shared" si="22"/>
        <v>300</v>
      </c>
      <c r="K115">
        <f t="shared" si="23"/>
        <v>0</v>
      </c>
      <c r="L115">
        <f t="shared" si="24"/>
        <v>5</v>
      </c>
      <c r="M115" s="14">
        <f t="shared" si="25"/>
        <v>0</v>
      </c>
      <c r="N115" s="13">
        <f t="shared" si="37"/>
        <v>0</v>
      </c>
      <c r="O115">
        <f t="shared" si="37"/>
        <v>13</v>
      </c>
      <c r="P115">
        <f t="shared" si="37"/>
        <v>0</v>
      </c>
      <c r="Q115" s="14">
        <f t="shared" si="30"/>
        <v>780</v>
      </c>
      <c r="R115" s="13">
        <f t="shared" si="31"/>
        <v>0</v>
      </c>
      <c r="S115">
        <f t="shared" si="32"/>
        <v>13</v>
      </c>
      <c r="T115">
        <f t="shared" si="33"/>
        <v>0</v>
      </c>
      <c r="U115" s="14">
        <f t="shared" si="34"/>
        <v>780</v>
      </c>
      <c r="V115" s="15"/>
      <c r="Z115" s="14"/>
    </row>
    <row r="116" spans="1:26" x14ac:dyDescent="0.25">
      <c r="A116" s="16"/>
      <c r="B116" s="17" t="b">
        <f t="shared" si="36"/>
        <v>0</v>
      </c>
      <c r="C116" s="17" t="b">
        <f t="shared" si="35"/>
        <v>0</v>
      </c>
      <c r="D116" s="17">
        <f t="shared" si="26"/>
        <v>1</v>
      </c>
      <c r="E116" s="17" t="str">
        <f t="shared" si="27"/>
        <v>Section 5 - Next steps</v>
      </c>
      <c r="F116" s="18" t="str">
        <f t="shared" si="28"/>
        <v/>
      </c>
      <c r="G116" s="13" t="str">
        <f t="shared" si="20"/>
        <v/>
      </c>
      <c r="H116">
        <f t="shared" si="21"/>
        <v>0</v>
      </c>
      <c r="I116" s="14">
        <f t="shared" si="29"/>
        <v>0</v>
      </c>
      <c r="J116" s="13">
        <f t="shared" si="22"/>
        <v>300</v>
      </c>
      <c r="K116">
        <f t="shared" si="23"/>
        <v>0</v>
      </c>
      <c r="L116">
        <f t="shared" si="24"/>
        <v>5</v>
      </c>
      <c r="M116" s="14">
        <f t="shared" si="25"/>
        <v>0</v>
      </c>
      <c r="N116" s="13">
        <f t="shared" si="37"/>
        <v>0</v>
      </c>
      <c r="O116">
        <f t="shared" si="37"/>
        <v>13</v>
      </c>
      <c r="P116">
        <f t="shared" si="37"/>
        <v>0</v>
      </c>
      <c r="Q116" s="14">
        <f t="shared" si="30"/>
        <v>780</v>
      </c>
      <c r="R116" s="13">
        <f t="shared" si="31"/>
        <v>0</v>
      </c>
      <c r="S116">
        <f t="shared" si="32"/>
        <v>13</v>
      </c>
      <c r="T116">
        <f t="shared" si="33"/>
        <v>0</v>
      </c>
      <c r="U116" s="14">
        <f t="shared" si="34"/>
        <v>780</v>
      </c>
      <c r="V116" s="15"/>
      <c r="Z116" s="14"/>
    </row>
    <row r="117" spans="1:26" x14ac:dyDescent="0.25">
      <c r="A117" s="16"/>
      <c r="B117" s="17" t="b">
        <f t="shared" si="36"/>
        <v>0</v>
      </c>
      <c r="C117" s="17" t="b">
        <f t="shared" si="35"/>
        <v>0</v>
      </c>
      <c r="D117" s="17">
        <f t="shared" si="26"/>
        <v>1</v>
      </c>
      <c r="E117" s="17" t="str">
        <f t="shared" si="27"/>
        <v>Section 5 - Next steps</v>
      </c>
      <c r="F117" s="18" t="str">
        <f t="shared" si="28"/>
        <v/>
      </c>
      <c r="G117" s="13" t="str">
        <f t="shared" si="20"/>
        <v/>
      </c>
      <c r="H117">
        <f t="shared" si="21"/>
        <v>0</v>
      </c>
      <c r="I117" s="14">
        <f t="shared" si="29"/>
        <v>0</v>
      </c>
      <c r="J117" s="13">
        <f t="shared" si="22"/>
        <v>300</v>
      </c>
      <c r="K117">
        <f t="shared" si="23"/>
        <v>0</v>
      </c>
      <c r="L117">
        <f t="shared" si="24"/>
        <v>5</v>
      </c>
      <c r="M117" s="14">
        <f t="shared" si="25"/>
        <v>0</v>
      </c>
      <c r="N117" s="13">
        <f t="shared" si="37"/>
        <v>0</v>
      </c>
      <c r="O117">
        <f t="shared" si="37"/>
        <v>13</v>
      </c>
      <c r="P117">
        <f t="shared" si="37"/>
        <v>0</v>
      </c>
      <c r="Q117" s="14">
        <f t="shared" si="30"/>
        <v>780</v>
      </c>
      <c r="R117" s="13">
        <f t="shared" si="31"/>
        <v>0</v>
      </c>
      <c r="S117">
        <f t="shared" si="32"/>
        <v>13</v>
      </c>
      <c r="T117">
        <f t="shared" si="33"/>
        <v>0</v>
      </c>
      <c r="U117" s="14">
        <f t="shared" si="34"/>
        <v>780</v>
      </c>
      <c r="V117" s="15"/>
      <c r="Z117" s="14"/>
    </row>
    <row r="118" spans="1:26" x14ac:dyDescent="0.25">
      <c r="A118" s="16"/>
      <c r="B118" s="17" t="b">
        <f t="shared" si="36"/>
        <v>0</v>
      </c>
      <c r="C118" s="17" t="b">
        <f t="shared" si="35"/>
        <v>0</v>
      </c>
      <c r="D118" s="17">
        <f t="shared" si="26"/>
        <v>1</v>
      </c>
      <c r="E118" s="17" t="str">
        <f t="shared" si="27"/>
        <v>Section 5 - Next steps</v>
      </c>
      <c r="F118" s="18" t="str">
        <f t="shared" si="28"/>
        <v/>
      </c>
      <c r="G118" s="13" t="str">
        <f t="shared" si="20"/>
        <v/>
      </c>
      <c r="H118">
        <f t="shared" si="21"/>
        <v>0</v>
      </c>
      <c r="I118" s="14">
        <f t="shared" si="29"/>
        <v>0</v>
      </c>
      <c r="J118" s="13">
        <f t="shared" si="22"/>
        <v>300</v>
      </c>
      <c r="K118">
        <f t="shared" si="23"/>
        <v>0</v>
      </c>
      <c r="L118">
        <f t="shared" si="24"/>
        <v>5</v>
      </c>
      <c r="M118" s="14">
        <f t="shared" si="25"/>
        <v>0</v>
      </c>
      <c r="N118" s="13">
        <f t="shared" si="37"/>
        <v>0</v>
      </c>
      <c r="O118">
        <f t="shared" si="37"/>
        <v>13</v>
      </c>
      <c r="P118">
        <f t="shared" si="37"/>
        <v>0</v>
      </c>
      <c r="Q118" s="14">
        <f t="shared" si="30"/>
        <v>780</v>
      </c>
      <c r="R118" s="13">
        <f t="shared" si="31"/>
        <v>0</v>
      </c>
      <c r="S118">
        <f t="shared" si="32"/>
        <v>13</v>
      </c>
      <c r="T118">
        <f t="shared" si="33"/>
        <v>0</v>
      </c>
      <c r="U118" s="14">
        <f t="shared" si="34"/>
        <v>780</v>
      </c>
      <c r="V118" s="15"/>
      <c r="Z118" s="14"/>
    </row>
    <row r="119" spans="1:26" x14ac:dyDescent="0.25">
      <c r="A119" s="16"/>
      <c r="B119" s="17" t="b">
        <f t="shared" si="36"/>
        <v>0</v>
      </c>
      <c r="C119" s="17" t="b">
        <f t="shared" si="35"/>
        <v>0</v>
      </c>
      <c r="D119" s="17">
        <f t="shared" si="26"/>
        <v>1</v>
      </c>
      <c r="E119" s="17" t="str">
        <f t="shared" si="27"/>
        <v>Section 5 - Next steps</v>
      </c>
      <c r="F119" s="18" t="str">
        <f t="shared" si="28"/>
        <v/>
      </c>
      <c r="G119" s="13" t="str">
        <f t="shared" si="20"/>
        <v/>
      </c>
      <c r="H119">
        <f t="shared" si="21"/>
        <v>0</v>
      </c>
      <c r="I119" s="14">
        <f t="shared" si="29"/>
        <v>0</v>
      </c>
      <c r="J119" s="13">
        <f t="shared" si="22"/>
        <v>300</v>
      </c>
      <c r="K119">
        <f t="shared" si="23"/>
        <v>0</v>
      </c>
      <c r="L119">
        <f t="shared" si="24"/>
        <v>5</v>
      </c>
      <c r="M119" s="14">
        <f t="shared" si="25"/>
        <v>0</v>
      </c>
      <c r="N119" s="13">
        <f t="shared" si="37"/>
        <v>0</v>
      </c>
      <c r="O119">
        <f t="shared" si="37"/>
        <v>13</v>
      </c>
      <c r="P119">
        <f t="shared" si="37"/>
        <v>0</v>
      </c>
      <c r="Q119" s="14">
        <f t="shared" si="30"/>
        <v>780</v>
      </c>
      <c r="R119" s="13">
        <f t="shared" si="31"/>
        <v>0</v>
      </c>
      <c r="S119">
        <f t="shared" si="32"/>
        <v>13</v>
      </c>
      <c r="T119">
        <f t="shared" si="33"/>
        <v>0</v>
      </c>
      <c r="U119" s="14">
        <f t="shared" si="34"/>
        <v>780</v>
      </c>
      <c r="V119" s="15"/>
      <c r="Z119" s="14"/>
    </row>
    <row r="120" spans="1:26" x14ac:dyDescent="0.25">
      <c r="A120" s="16"/>
      <c r="B120" s="17" t="b">
        <f t="shared" si="36"/>
        <v>0</v>
      </c>
      <c r="C120" s="17" t="b">
        <f t="shared" si="35"/>
        <v>0</v>
      </c>
      <c r="D120" s="17">
        <f t="shared" si="26"/>
        <v>1</v>
      </c>
      <c r="E120" s="17" t="str">
        <f t="shared" si="27"/>
        <v>Section 5 - Next steps</v>
      </c>
      <c r="F120" s="18" t="str">
        <f t="shared" si="28"/>
        <v/>
      </c>
      <c r="G120" s="13" t="str">
        <f t="shared" si="20"/>
        <v/>
      </c>
      <c r="H120">
        <f t="shared" si="21"/>
        <v>0</v>
      </c>
      <c r="I120" s="14">
        <f t="shared" si="29"/>
        <v>0</v>
      </c>
      <c r="J120" s="13">
        <f t="shared" si="22"/>
        <v>300</v>
      </c>
      <c r="K120">
        <f t="shared" si="23"/>
        <v>0</v>
      </c>
      <c r="L120">
        <f t="shared" si="24"/>
        <v>5</v>
      </c>
      <c r="M120" s="14">
        <f t="shared" si="25"/>
        <v>0</v>
      </c>
      <c r="N120" s="13">
        <f t="shared" si="37"/>
        <v>0</v>
      </c>
      <c r="O120">
        <f t="shared" si="37"/>
        <v>13</v>
      </c>
      <c r="P120">
        <f t="shared" si="37"/>
        <v>0</v>
      </c>
      <c r="Q120" s="14">
        <f t="shared" si="30"/>
        <v>780</v>
      </c>
      <c r="R120" s="13">
        <f t="shared" si="31"/>
        <v>0</v>
      </c>
      <c r="S120">
        <f t="shared" si="32"/>
        <v>13</v>
      </c>
      <c r="T120">
        <f t="shared" si="33"/>
        <v>0</v>
      </c>
      <c r="U120" s="14">
        <f t="shared" si="34"/>
        <v>780</v>
      </c>
      <c r="V120" s="15"/>
      <c r="Z120" s="14"/>
    </row>
    <row r="121" spans="1:26" x14ac:dyDescent="0.25">
      <c r="A121" s="16"/>
      <c r="B121" s="17" t="b">
        <f t="shared" si="36"/>
        <v>0</v>
      </c>
      <c r="C121" s="17" t="b">
        <f t="shared" si="35"/>
        <v>0</v>
      </c>
      <c r="D121" s="17">
        <f t="shared" si="26"/>
        <v>1</v>
      </c>
      <c r="E121" s="17" t="str">
        <f t="shared" si="27"/>
        <v>Section 5 - Next steps</v>
      </c>
      <c r="F121" s="18" t="str">
        <f t="shared" si="28"/>
        <v/>
      </c>
      <c r="G121" s="13" t="str">
        <f t="shared" si="20"/>
        <v/>
      </c>
      <c r="H121">
        <f t="shared" si="21"/>
        <v>0</v>
      </c>
      <c r="I121" s="14">
        <f t="shared" si="29"/>
        <v>0</v>
      </c>
      <c r="J121" s="13">
        <f t="shared" si="22"/>
        <v>300</v>
      </c>
      <c r="K121">
        <f t="shared" si="23"/>
        <v>0</v>
      </c>
      <c r="L121">
        <f t="shared" si="24"/>
        <v>5</v>
      </c>
      <c r="M121" s="14">
        <f t="shared" si="25"/>
        <v>0</v>
      </c>
      <c r="N121" s="13">
        <f t="shared" si="37"/>
        <v>0</v>
      </c>
      <c r="O121">
        <f t="shared" si="37"/>
        <v>13</v>
      </c>
      <c r="P121">
        <f t="shared" si="37"/>
        <v>0</v>
      </c>
      <c r="Q121" s="14">
        <f t="shared" si="30"/>
        <v>780</v>
      </c>
      <c r="R121" s="13">
        <f t="shared" si="31"/>
        <v>0</v>
      </c>
      <c r="S121">
        <f t="shared" si="32"/>
        <v>13</v>
      </c>
      <c r="T121">
        <f t="shared" si="33"/>
        <v>0</v>
      </c>
      <c r="U121" s="14">
        <f t="shared" si="34"/>
        <v>780</v>
      </c>
      <c r="V121" s="15"/>
      <c r="Z121" s="14"/>
    </row>
    <row r="122" spans="1:26" x14ac:dyDescent="0.25">
      <c r="A122" s="16"/>
      <c r="B122" s="17" t="b">
        <f t="shared" si="36"/>
        <v>0</v>
      </c>
      <c r="C122" s="17" t="b">
        <f t="shared" si="35"/>
        <v>0</v>
      </c>
      <c r="D122" s="17">
        <f t="shared" si="26"/>
        <v>1</v>
      </c>
      <c r="E122" s="17" t="str">
        <f t="shared" si="27"/>
        <v>Section 5 - Next steps</v>
      </c>
      <c r="F122" s="18" t="str">
        <f t="shared" si="28"/>
        <v/>
      </c>
      <c r="G122" s="13" t="str">
        <f t="shared" si="20"/>
        <v/>
      </c>
      <c r="H122">
        <f t="shared" si="21"/>
        <v>0</v>
      </c>
      <c r="I122" s="14">
        <f t="shared" si="29"/>
        <v>0</v>
      </c>
      <c r="J122" s="13">
        <f t="shared" si="22"/>
        <v>300</v>
      </c>
      <c r="K122">
        <f t="shared" si="23"/>
        <v>0</v>
      </c>
      <c r="L122">
        <f t="shared" si="24"/>
        <v>5</v>
      </c>
      <c r="M122" s="14">
        <f t="shared" si="25"/>
        <v>0</v>
      </c>
      <c r="N122" s="13">
        <f t="shared" si="37"/>
        <v>0</v>
      </c>
      <c r="O122">
        <f t="shared" si="37"/>
        <v>13</v>
      </c>
      <c r="P122">
        <f t="shared" si="37"/>
        <v>0</v>
      </c>
      <c r="Q122" s="14">
        <f t="shared" si="30"/>
        <v>780</v>
      </c>
      <c r="R122" s="13">
        <f t="shared" si="31"/>
        <v>0</v>
      </c>
      <c r="S122">
        <f t="shared" si="32"/>
        <v>13</v>
      </c>
      <c r="T122">
        <f t="shared" si="33"/>
        <v>0</v>
      </c>
      <c r="U122" s="14">
        <f t="shared" si="34"/>
        <v>780</v>
      </c>
      <c r="V122" s="15"/>
      <c r="Z122" s="14"/>
    </row>
    <row r="123" spans="1:26" x14ac:dyDescent="0.25">
      <c r="A123" s="16"/>
      <c r="B123" s="17" t="b">
        <f t="shared" si="36"/>
        <v>0</v>
      </c>
      <c r="C123" s="17" t="b">
        <f t="shared" si="35"/>
        <v>0</v>
      </c>
      <c r="D123" s="17">
        <f t="shared" si="26"/>
        <v>1</v>
      </c>
      <c r="E123" s="17" t="str">
        <f t="shared" si="27"/>
        <v>Section 5 - Next steps</v>
      </c>
      <c r="F123" s="18" t="str">
        <f t="shared" si="28"/>
        <v/>
      </c>
      <c r="G123" s="13" t="str">
        <f t="shared" si="20"/>
        <v/>
      </c>
      <c r="H123">
        <f t="shared" si="21"/>
        <v>0</v>
      </c>
      <c r="I123" s="14">
        <f t="shared" si="29"/>
        <v>0</v>
      </c>
      <c r="J123" s="13">
        <f t="shared" si="22"/>
        <v>300</v>
      </c>
      <c r="K123">
        <f t="shared" si="23"/>
        <v>0</v>
      </c>
      <c r="L123">
        <f t="shared" si="24"/>
        <v>5</v>
      </c>
      <c r="M123" s="14">
        <f t="shared" si="25"/>
        <v>0</v>
      </c>
      <c r="N123" s="13">
        <f t="shared" si="37"/>
        <v>0</v>
      </c>
      <c r="O123">
        <f t="shared" si="37"/>
        <v>13</v>
      </c>
      <c r="P123">
        <f t="shared" si="37"/>
        <v>0</v>
      </c>
      <c r="Q123" s="14">
        <f t="shared" si="30"/>
        <v>780</v>
      </c>
      <c r="R123" s="13">
        <f t="shared" si="31"/>
        <v>0</v>
      </c>
      <c r="S123">
        <f t="shared" si="32"/>
        <v>13</v>
      </c>
      <c r="T123">
        <f t="shared" si="33"/>
        <v>0</v>
      </c>
      <c r="U123" s="14">
        <f t="shared" si="34"/>
        <v>780</v>
      </c>
      <c r="V123" s="15"/>
      <c r="Z123" s="14"/>
    </row>
    <row r="124" spans="1:26" x14ac:dyDescent="0.25">
      <c r="A124" s="16"/>
      <c r="B124" s="17" t="b">
        <f t="shared" si="36"/>
        <v>0</v>
      </c>
      <c r="C124" s="17" t="b">
        <f t="shared" si="35"/>
        <v>0</v>
      </c>
      <c r="D124" s="17">
        <f t="shared" si="26"/>
        <v>1</v>
      </c>
      <c r="E124" s="17" t="str">
        <f t="shared" si="27"/>
        <v>Section 5 - Next steps</v>
      </c>
      <c r="F124" s="18" t="str">
        <f t="shared" si="28"/>
        <v/>
      </c>
      <c r="G124" s="13" t="str">
        <f t="shared" si="20"/>
        <v/>
      </c>
      <c r="H124">
        <f t="shared" si="21"/>
        <v>0</v>
      </c>
      <c r="I124" s="14">
        <f t="shared" si="29"/>
        <v>0</v>
      </c>
      <c r="J124" s="13">
        <f t="shared" si="22"/>
        <v>300</v>
      </c>
      <c r="K124">
        <f t="shared" si="23"/>
        <v>0</v>
      </c>
      <c r="L124">
        <f t="shared" si="24"/>
        <v>5</v>
      </c>
      <c r="M124" s="14">
        <f t="shared" si="25"/>
        <v>0</v>
      </c>
      <c r="N124" s="13">
        <f t="shared" si="37"/>
        <v>0</v>
      </c>
      <c r="O124">
        <f t="shared" si="37"/>
        <v>13</v>
      </c>
      <c r="P124">
        <f t="shared" si="37"/>
        <v>0</v>
      </c>
      <c r="Q124" s="14">
        <f t="shared" si="30"/>
        <v>780</v>
      </c>
      <c r="R124" s="13">
        <f t="shared" si="31"/>
        <v>0</v>
      </c>
      <c r="S124">
        <f t="shared" si="32"/>
        <v>13</v>
      </c>
      <c r="T124">
        <f t="shared" si="33"/>
        <v>0</v>
      </c>
      <c r="U124" s="14">
        <f t="shared" si="34"/>
        <v>780</v>
      </c>
      <c r="V124" s="15"/>
      <c r="Z124" s="14"/>
    </row>
    <row r="125" spans="1:26" x14ac:dyDescent="0.25">
      <c r="A125" s="16"/>
      <c r="B125" s="17" t="b">
        <f t="shared" si="36"/>
        <v>0</v>
      </c>
      <c r="C125" s="17" t="b">
        <f t="shared" si="35"/>
        <v>0</v>
      </c>
      <c r="D125" s="17">
        <f t="shared" si="26"/>
        <v>1</v>
      </c>
      <c r="E125" s="17" t="str">
        <f t="shared" si="27"/>
        <v>Section 5 - Next steps</v>
      </c>
      <c r="F125" s="18" t="str">
        <f t="shared" si="28"/>
        <v/>
      </c>
      <c r="G125" s="13" t="str">
        <f t="shared" si="20"/>
        <v/>
      </c>
      <c r="H125">
        <f t="shared" si="21"/>
        <v>0</v>
      </c>
      <c r="I125" s="14">
        <f t="shared" si="29"/>
        <v>0</v>
      </c>
      <c r="J125" s="13">
        <f t="shared" si="22"/>
        <v>300</v>
      </c>
      <c r="K125">
        <f t="shared" si="23"/>
        <v>0</v>
      </c>
      <c r="L125">
        <f t="shared" si="24"/>
        <v>5</v>
      </c>
      <c r="M125" s="14">
        <f t="shared" si="25"/>
        <v>0</v>
      </c>
      <c r="N125" s="13">
        <f t="shared" si="37"/>
        <v>0</v>
      </c>
      <c r="O125">
        <f t="shared" si="37"/>
        <v>13</v>
      </c>
      <c r="P125">
        <f t="shared" si="37"/>
        <v>0</v>
      </c>
      <c r="Q125" s="14">
        <f t="shared" si="30"/>
        <v>780</v>
      </c>
      <c r="R125" s="13">
        <f t="shared" si="31"/>
        <v>0</v>
      </c>
      <c r="S125">
        <f t="shared" si="32"/>
        <v>13</v>
      </c>
      <c r="T125">
        <f t="shared" si="33"/>
        <v>0</v>
      </c>
      <c r="U125" s="14">
        <f t="shared" si="34"/>
        <v>780</v>
      </c>
      <c r="V125" s="15"/>
      <c r="Z125" s="14"/>
    </row>
    <row r="126" spans="1:26" x14ac:dyDescent="0.25">
      <c r="A126" s="16"/>
      <c r="B126" s="17" t="b">
        <f t="shared" si="36"/>
        <v>0</v>
      </c>
      <c r="C126" s="17" t="b">
        <f t="shared" si="35"/>
        <v>0</v>
      </c>
      <c r="D126" s="17">
        <f t="shared" si="26"/>
        <v>1</v>
      </c>
      <c r="E126" s="17" t="str">
        <f t="shared" si="27"/>
        <v>Section 5 - Next steps</v>
      </c>
      <c r="F126" s="18" t="str">
        <f t="shared" si="28"/>
        <v/>
      </c>
      <c r="G126" s="13" t="str">
        <f t="shared" si="20"/>
        <v/>
      </c>
      <c r="H126">
        <f t="shared" si="21"/>
        <v>0</v>
      </c>
      <c r="I126" s="14">
        <f t="shared" si="29"/>
        <v>0</v>
      </c>
      <c r="J126" s="13">
        <f t="shared" si="22"/>
        <v>300</v>
      </c>
      <c r="K126">
        <f t="shared" si="23"/>
        <v>0</v>
      </c>
      <c r="L126">
        <f t="shared" si="24"/>
        <v>5</v>
      </c>
      <c r="M126" s="14">
        <f t="shared" si="25"/>
        <v>0</v>
      </c>
      <c r="N126" s="13">
        <f t="shared" si="37"/>
        <v>0</v>
      </c>
      <c r="O126">
        <f t="shared" si="37"/>
        <v>13</v>
      </c>
      <c r="P126">
        <f t="shared" si="37"/>
        <v>0</v>
      </c>
      <c r="Q126" s="14">
        <f t="shared" si="30"/>
        <v>780</v>
      </c>
      <c r="R126" s="13">
        <f t="shared" si="31"/>
        <v>0</v>
      </c>
      <c r="S126">
        <f t="shared" si="32"/>
        <v>13</v>
      </c>
      <c r="T126">
        <f t="shared" si="33"/>
        <v>0</v>
      </c>
      <c r="U126" s="14">
        <f t="shared" si="34"/>
        <v>780</v>
      </c>
      <c r="V126" s="15"/>
      <c r="Z126" s="14"/>
    </row>
    <row r="127" spans="1:26" x14ac:dyDescent="0.25">
      <c r="A127" s="16"/>
      <c r="B127" s="17" t="b">
        <f t="shared" si="36"/>
        <v>0</v>
      </c>
      <c r="C127" s="17" t="b">
        <f t="shared" si="35"/>
        <v>0</v>
      </c>
      <c r="D127" s="17">
        <f t="shared" si="26"/>
        <v>1</v>
      </c>
      <c r="E127" s="17" t="str">
        <f t="shared" si="27"/>
        <v>Section 5 - Next steps</v>
      </c>
      <c r="F127" s="18" t="str">
        <f t="shared" si="28"/>
        <v/>
      </c>
      <c r="G127" s="13" t="str">
        <f t="shared" si="20"/>
        <v/>
      </c>
      <c r="H127">
        <f t="shared" si="21"/>
        <v>0</v>
      </c>
      <c r="I127" s="14">
        <f t="shared" si="29"/>
        <v>0</v>
      </c>
      <c r="J127" s="13">
        <f t="shared" si="22"/>
        <v>300</v>
      </c>
      <c r="K127">
        <f t="shared" si="23"/>
        <v>0</v>
      </c>
      <c r="L127">
        <f t="shared" si="24"/>
        <v>5</v>
      </c>
      <c r="M127" s="14">
        <f t="shared" si="25"/>
        <v>0</v>
      </c>
      <c r="N127" s="13">
        <f t="shared" si="37"/>
        <v>0</v>
      </c>
      <c r="O127">
        <f t="shared" si="37"/>
        <v>13</v>
      </c>
      <c r="P127">
        <f t="shared" si="37"/>
        <v>0</v>
      </c>
      <c r="Q127" s="14">
        <f t="shared" si="30"/>
        <v>780</v>
      </c>
      <c r="R127" s="13">
        <f t="shared" si="31"/>
        <v>0</v>
      </c>
      <c r="S127">
        <f t="shared" si="32"/>
        <v>13</v>
      </c>
      <c r="T127">
        <f t="shared" si="33"/>
        <v>0</v>
      </c>
      <c r="U127" s="14">
        <f t="shared" si="34"/>
        <v>780</v>
      </c>
      <c r="V127" s="15"/>
      <c r="Z127" s="14"/>
    </row>
    <row r="128" spans="1:26" x14ac:dyDescent="0.25">
      <c r="A128" s="16"/>
      <c r="B128" s="17" t="b">
        <f t="shared" si="36"/>
        <v>0</v>
      </c>
      <c r="C128" s="17" t="b">
        <f t="shared" si="35"/>
        <v>0</v>
      </c>
      <c r="D128" s="17">
        <f t="shared" si="26"/>
        <v>1</v>
      </c>
      <c r="E128" s="17" t="str">
        <f t="shared" si="27"/>
        <v>Section 5 - Next steps</v>
      </c>
      <c r="F128" s="18" t="str">
        <f t="shared" si="28"/>
        <v/>
      </c>
      <c r="G128" s="13" t="str">
        <f t="shared" si="20"/>
        <v/>
      </c>
      <c r="H128">
        <f t="shared" si="21"/>
        <v>0</v>
      </c>
      <c r="I128" s="14">
        <f t="shared" si="29"/>
        <v>0</v>
      </c>
      <c r="J128" s="13">
        <f t="shared" si="22"/>
        <v>300</v>
      </c>
      <c r="K128">
        <f t="shared" si="23"/>
        <v>0</v>
      </c>
      <c r="L128">
        <f t="shared" si="24"/>
        <v>5</v>
      </c>
      <c r="M128" s="14">
        <f t="shared" si="25"/>
        <v>0</v>
      </c>
      <c r="N128" s="13">
        <f t="shared" si="37"/>
        <v>0</v>
      </c>
      <c r="O128">
        <f t="shared" si="37"/>
        <v>13</v>
      </c>
      <c r="P128">
        <f t="shared" si="37"/>
        <v>0</v>
      </c>
      <c r="Q128" s="14">
        <f t="shared" si="30"/>
        <v>780</v>
      </c>
      <c r="R128" s="13">
        <f t="shared" si="31"/>
        <v>0</v>
      </c>
      <c r="S128">
        <f t="shared" si="32"/>
        <v>13</v>
      </c>
      <c r="T128">
        <f t="shared" si="33"/>
        <v>0</v>
      </c>
      <c r="U128" s="14">
        <f t="shared" si="34"/>
        <v>780</v>
      </c>
      <c r="V128" s="15"/>
      <c r="Z128" s="14"/>
    </row>
    <row r="129" spans="1:26" x14ac:dyDescent="0.25">
      <c r="A129" s="16"/>
      <c r="B129" s="17" t="b">
        <f t="shared" si="36"/>
        <v>0</v>
      </c>
      <c r="C129" s="17" t="b">
        <f t="shared" si="35"/>
        <v>0</v>
      </c>
      <c r="D129" s="17">
        <f t="shared" si="26"/>
        <v>1</v>
      </c>
      <c r="E129" s="17" t="str">
        <f t="shared" si="27"/>
        <v>Section 5 - Next steps</v>
      </c>
      <c r="F129" s="18" t="str">
        <f t="shared" si="28"/>
        <v/>
      </c>
      <c r="G129" s="13" t="str">
        <f t="shared" si="20"/>
        <v/>
      </c>
      <c r="H129">
        <f t="shared" si="21"/>
        <v>0</v>
      </c>
      <c r="I129" s="14">
        <f t="shared" si="29"/>
        <v>0</v>
      </c>
      <c r="J129" s="13">
        <f t="shared" si="22"/>
        <v>300</v>
      </c>
      <c r="K129">
        <f t="shared" si="23"/>
        <v>0</v>
      </c>
      <c r="L129">
        <f t="shared" si="24"/>
        <v>5</v>
      </c>
      <c r="M129" s="14">
        <f t="shared" si="25"/>
        <v>0</v>
      </c>
      <c r="N129" s="13">
        <f t="shared" si="37"/>
        <v>0</v>
      </c>
      <c r="O129">
        <f t="shared" si="37"/>
        <v>13</v>
      </c>
      <c r="P129">
        <f t="shared" si="37"/>
        <v>0</v>
      </c>
      <c r="Q129" s="14">
        <f t="shared" si="30"/>
        <v>780</v>
      </c>
      <c r="R129" s="13">
        <f t="shared" si="31"/>
        <v>0</v>
      </c>
      <c r="S129">
        <f t="shared" si="32"/>
        <v>13</v>
      </c>
      <c r="T129">
        <f t="shared" si="33"/>
        <v>0</v>
      </c>
      <c r="U129" s="14">
        <f t="shared" si="34"/>
        <v>780</v>
      </c>
      <c r="V129" s="15"/>
      <c r="Z129" s="14"/>
    </row>
    <row r="130" spans="1:26" x14ac:dyDescent="0.25">
      <c r="A130" s="16"/>
      <c r="B130" s="17" t="b">
        <f t="shared" si="36"/>
        <v>0</v>
      </c>
      <c r="C130" s="17" t="b">
        <f t="shared" si="35"/>
        <v>0</v>
      </c>
      <c r="D130" s="17">
        <f t="shared" si="26"/>
        <v>1</v>
      </c>
      <c r="E130" s="17" t="str">
        <f t="shared" si="27"/>
        <v>Section 5 - Next steps</v>
      </c>
      <c r="F130" s="18" t="str">
        <f t="shared" si="28"/>
        <v/>
      </c>
      <c r="G130" s="13" t="str">
        <f t="shared" si="20"/>
        <v/>
      </c>
      <c r="H130">
        <f t="shared" si="21"/>
        <v>0</v>
      </c>
      <c r="I130" s="14">
        <f t="shared" si="29"/>
        <v>0</v>
      </c>
      <c r="J130" s="13">
        <f t="shared" si="22"/>
        <v>300</v>
      </c>
      <c r="K130">
        <f t="shared" si="23"/>
        <v>0</v>
      </c>
      <c r="L130">
        <f t="shared" si="24"/>
        <v>5</v>
      </c>
      <c r="M130" s="14">
        <f t="shared" si="25"/>
        <v>0</v>
      </c>
      <c r="N130" s="13">
        <f t="shared" si="37"/>
        <v>0</v>
      </c>
      <c r="O130">
        <f t="shared" si="37"/>
        <v>13</v>
      </c>
      <c r="P130">
        <f t="shared" si="37"/>
        <v>0</v>
      </c>
      <c r="Q130" s="14">
        <f t="shared" si="30"/>
        <v>780</v>
      </c>
      <c r="R130" s="13">
        <f t="shared" si="31"/>
        <v>0</v>
      </c>
      <c r="S130">
        <f t="shared" si="32"/>
        <v>13</v>
      </c>
      <c r="T130">
        <f t="shared" si="33"/>
        <v>0</v>
      </c>
      <c r="U130" s="14">
        <f t="shared" si="34"/>
        <v>780</v>
      </c>
      <c r="V130" s="15"/>
      <c r="Z130" s="14"/>
    </row>
    <row r="131" spans="1:26" x14ac:dyDescent="0.25">
      <c r="A131" s="16"/>
      <c r="B131" s="17" t="b">
        <f t="shared" si="36"/>
        <v>0</v>
      </c>
      <c r="C131" s="17" t="b">
        <f t="shared" si="35"/>
        <v>0</v>
      </c>
      <c r="D131" s="17">
        <f t="shared" si="26"/>
        <v>1</v>
      </c>
      <c r="E131" s="17" t="str">
        <f t="shared" si="27"/>
        <v>Section 5 - Next steps</v>
      </c>
      <c r="F131" s="18" t="str">
        <f t="shared" si="28"/>
        <v/>
      </c>
      <c r="G131" s="13" t="str">
        <f t="shared" si="20"/>
        <v/>
      </c>
      <c r="H131">
        <f t="shared" si="21"/>
        <v>0</v>
      </c>
      <c r="I131" s="14">
        <f t="shared" si="29"/>
        <v>0</v>
      </c>
      <c r="J131" s="13">
        <f t="shared" si="22"/>
        <v>300</v>
      </c>
      <c r="K131">
        <f t="shared" si="23"/>
        <v>0</v>
      </c>
      <c r="L131">
        <f t="shared" si="24"/>
        <v>5</v>
      </c>
      <c r="M131" s="14">
        <f t="shared" si="25"/>
        <v>0</v>
      </c>
      <c r="N131" s="13">
        <f t="shared" si="37"/>
        <v>0</v>
      </c>
      <c r="O131">
        <f t="shared" si="37"/>
        <v>13</v>
      </c>
      <c r="P131">
        <f t="shared" si="37"/>
        <v>0</v>
      </c>
      <c r="Q131" s="14">
        <f t="shared" si="30"/>
        <v>780</v>
      </c>
      <c r="R131" s="13">
        <f t="shared" si="31"/>
        <v>0</v>
      </c>
      <c r="S131">
        <f t="shared" si="32"/>
        <v>13</v>
      </c>
      <c r="T131">
        <f t="shared" si="33"/>
        <v>0</v>
      </c>
      <c r="U131" s="14">
        <f t="shared" si="34"/>
        <v>780</v>
      </c>
      <c r="V131" s="15"/>
      <c r="Z131" s="14"/>
    </row>
    <row r="132" spans="1:26" x14ac:dyDescent="0.25">
      <c r="A132" s="16"/>
      <c r="B132" s="17" t="b">
        <f t="shared" si="36"/>
        <v>0</v>
      </c>
      <c r="C132" s="17" t="b">
        <f t="shared" si="35"/>
        <v>0</v>
      </c>
      <c r="D132" s="17">
        <f t="shared" si="26"/>
        <v>1</v>
      </c>
      <c r="E132" s="17" t="str">
        <f t="shared" si="27"/>
        <v>Section 5 - Next steps</v>
      </c>
      <c r="F132" s="18" t="str">
        <f t="shared" si="28"/>
        <v/>
      </c>
      <c r="G132" s="13" t="str">
        <f t="shared" si="20"/>
        <v/>
      </c>
      <c r="H132">
        <f t="shared" si="21"/>
        <v>0</v>
      </c>
      <c r="I132" s="14">
        <f t="shared" si="29"/>
        <v>0</v>
      </c>
      <c r="J132" s="13">
        <f t="shared" si="22"/>
        <v>300</v>
      </c>
      <c r="K132">
        <f t="shared" si="23"/>
        <v>0</v>
      </c>
      <c r="L132">
        <f t="shared" si="24"/>
        <v>5</v>
      </c>
      <c r="M132" s="14">
        <f t="shared" si="25"/>
        <v>0</v>
      </c>
      <c r="N132" s="13">
        <f t="shared" si="37"/>
        <v>0</v>
      </c>
      <c r="O132">
        <f t="shared" si="37"/>
        <v>13</v>
      </c>
      <c r="P132">
        <f t="shared" si="37"/>
        <v>0</v>
      </c>
      <c r="Q132" s="14">
        <f t="shared" si="30"/>
        <v>780</v>
      </c>
      <c r="R132" s="13">
        <f t="shared" si="31"/>
        <v>0</v>
      </c>
      <c r="S132">
        <f t="shared" si="32"/>
        <v>13</v>
      </c>
      <c r="T132">
        <f t="shared" si="33"/>
        <v>0</v>
      </c>
      <c r="U132" s="14">
        <f t="shared" si="34"/>
        <v>780</v>
      </c>
      <c r="V132" s="15"/>
      <c r="Z132" s="14"/>
    </row>
    <row r="133" spans="1:26" x14ac:dyDescent="0.25">
      <c r="A133" s="16"/>
      <c r="B133" s="17" t="b">
        <f t="shared" si="36"/>
        <v>0</v>
      </c>
      <c r="C133" s="17" t="b">
        <f t="shared" si="35"/>
        <v>0</v>
      </c>
      <c r="D133" s="17">
        <f t="shared" si="26"/>
        <v>1</v>
      </c>
      <c r="E133" s="17" t="str">
        <f t="shared" si="27"/>
        <v>Section 5 - Next steps</v>
      </c>
      <c r="F133" s="18" t="str">
        <f t="shared" si="28"/>
        <v/>
      </c>
      <c r="G133" s="13" t="str">
        <f t="shared" si="20"/>
        <v/>
      </c>
      <c r="H133">
        <f t="shared" si="21"/>
        <v>0</v>
      </c>
      <c r="I133" s="14">
        <f t="shared" si="29"/>
        <v>0</v>
      </c>
      <c r="J133" s="13">
        <f t="shared" si="22"/>
        <v>300</v>
      </c>
      <c r="K133">
        <f t="shared" si="23"/>
        <v>0</v>
      </c>
      <c r="L133">
        <f t="shared" si="24"/>
        <v>5</v>
      </c>
      <c r="M133" s="14">
        <f t="shared" si="25"/>
        <v>0</v>
      </c>
      <c r="N133" s="13">
        <f t="shared" si="37"/>
        <v>0</v>
      </c>
      <c r="O133">
        <f t="shared" si="37"/>
        <v>13</v>
      </c>
      <c r="P133">
        <f t="shared" si="37"/>
        <v>0</v>
      </c>
      <c r="Q133" s="14">
        <f t="shared" si="30"/>
        <v>780</v>
      </c>
      <c r="R133" s="13">
        <f t="shared" si="31"/>
        <v>0</v>
      </c>
      <c r="S133">
        <f t="shared" si="32"/>
        <v>13</v>
      </c>
      <c r="T133">
        <f t="shared" si="33"/>
        <v>0</v>
      </c>
      <c r="U133" s="14">
        <f t="shared" si="34"/>
        <v>780</v>
      </c>
      <c r="V133" s="15"/>
      <c r="Z133" s="14"/>
    </row>
    <row r="134" spans="1:26" x14ac:dyDescent="0.25">
      <c r="A134" s="16"/>
      <c r="B134" s="17" t="b">
        <f t="shared" si="36"/>
        <v>0</v>
      </c>
      <c r="C134" s="17" t="b">
        <f t="shared" si="35"/>
        <v>0</v>
      </c>
      <c r="D134" s="17">
        <f t="shared" si="26"/>
        <v>1</v>
      </c>
      <c r="E134" s="17" t="str">
        <f t="shared" si="27"/>
        <v>Section 5 - Next steps</v>
      </c>
      <c r="F134" s="18" t="str">
        <f t="shared" si="28"/>
        <v/>
      </c>
      <c r="G134" s="13" t="str">
        <f t="shared" si="20"/>
        <v/>
      </c>
      <c r="H134">
        <f t="shared" si="21"/>
        <v>0</v>
      </c>
      <c r="I134" s="14">
        <f t="shared" si="29"/>
        <v>0</v>
      </c>
      <c r="J134" s="13">
        <f t="shared" si="22"/>
        <v>300</v>
      </c>
      <c r="K134">
        <f t="shared" si="23"/>
        <v>0</v>
      </c>
      <c r="L134">
        <f t="shared" si="24"/>
        <v>5</v>
      </c>
      <c r="M134" s="14">
        <f t="shared" si="25"/>
        <v>0</v>
      </c>
      <c r="N134" s="13">
        <f t="shared" si="37"/>
        <v>0</v>
      </c>
      <c r="O134">
        <f t="shared" si="37"/>
        <v>13</v>
      </c>
      <c r="P134">
        <f t="shared" si="37"/>
        <v>0</v>
      </c>
      <c r="Q134" s="14">
        <f t="shared" si="30"/>
        <v>780</v>
      </c>
      <c r="R134" s="13">
        <f t="shared" si="31"/>
        <v>0</v>
      </c>
      <c r="S134">
        <f t="shared" si="32"/>
        <v>13</v>
      </c>
      <c r="T134">
        <f t="shared" si="33"/>
        <v>0</v>
      </c>
      <c r="U134" s="14">
        <f t="shared" si="34"/>
        <v>780</v>
      </c>
      <c r="V134" s="15"/>
      <c r="Z134" s="14"/>
    </row>
    <row r="135" spans="1:26" x14ac:dyDescent="0.25">
      <c r="A135" s="16"/>
      <c r="B135" s="17" t="b">
        <f t="shared" si="36"/>
        <v>0</v>
      </c>
      <c r="C135" s="17" t="b">
        <f t="shared" si="35"/>
        <v>0</v>
      </c>
      <c r="D135" s="17">
        <f t="shared" si="26"/>
        <v>1</v>
      </c>
      <c r="E135" s="17" t="str">
        <f t="shared" si="27"/>
        <v>Section 5 - Next steps</v>
      </c>
      <c r="F135" s="18" t="str">
        <f t="shared" si="28"/>
        <v/>
      </c>
      <c r="G135" s="13" t="str">
        <f t="shared" si="20"/>
        <v/>
      </c>
      <c r="H135">
        <f t="shared" si="21"/>
        <v>0</v>
      </c>
      <c r="I135" s="14">
        <f t="shared" si="29"/>
        <v>0</v>
      </c>
      <c r="J135" s="13">
        <f t="shared" si="22"/>
        <v>300</v>
      </c>
      <c r="K135">
        <f t="shared" si="23"/>
        <v>0</v>
      </c>
      <c r="L135">
        <f t="shared" si="24"/>
        <v>5</v>
      </c>
      <c r="M135" s="14">
        <f t="shared" si="25"/>
        <v>0</v>
      </c>
      <c r="N135" s="13">
        <f t="shared" si="37"/>
        <v>0</v>
      </c>
      <c r="O135">
        <f t="shared" si="37"/>
        <v>13</v>
      </c>
      <c r="P135">
        <f t="shared" si="37"/>
        <v>0</v>
      </c>
      <c r="Q135" s="14">
        <f t="shared" si="30"/>
        <v>780</v>
      </c>
      <c r="R135" s="13">
        <f t="shared" si="31"/>
        <v>0</v>
      </c>
      <c r="S135">
        <f t="shared" si="32"/>
        <v>13</v>
      </c>
      <c r="T135">
        <f t="shared" si="33"/>
        <v>0</v>
      </c>
      <c r="U135" s="14">
        <f t="shared" si="34"/>
        <v>780</v>
      </c>
      <c r="V135" s="15"/>
      <c r="Z135" s="14"/>
    </row>
    <row r="136" spans="1:26" x14ac:dyDescent="0.25">
      <c r="A136" s="16"/>
      <c r="B136" s="17" t="b">
        <f t="shared" si="36"/>
        <v>0</v>
      </c>
      <c r="C136" s="17" t="b">
        <f t="shared" si="35"/>
        <v>0</v>
      </c>
      <c r="D136" s="17">
        <f t="shared" si="26"/>
        <v>1</v>
      </c>
      <c r="E136" s="17" t="str">
        <f t="shared" si="27"/>
        <v>Section 5 - Next steps</v>
      </c>
      <c r="F136" s="18" t="str">
        <f t="shared" si="28"/>
        <v/>
      </c>
      <c r="G136" s="13" t="str">
        <f t="shared" si="20"/>
        <v/>
      </c>
      <c r="H136">
        <f t="shared" si="21"/>
        <v>0</v>
      </c>
      <c r="I136" s="14">
        <f t="shared" si="29"/>
        <v>0</v>
      </c>
      <c r="J136" s="13">
        <f t="shared" si="22"/>
        <v>300</v>
      </c>
      <c r="K136">
        <f t="shared" si="23"/>
        <v>0</v>
      </c>
      <c r="L136">
        <f t="shared" si="24"/>
        <v>5</v>
      </c>
      <c r="M136" s="14">
        <f t="shared" si="25"/>
        <v>0</v>
      </c>
      <c r="N136" s="13">
        <f t="shared" si="37"/>
        <v>0</v>
      </c>
      <c r="O136">
        <f t="shared" si="37"/>
        <v>13</v>
      </c>
      <c r="P136">
        <f t="shared" si="37"/>
        <v>0</v>
      </c>
      <c r="Q136" s="14">
        <f t="shared" si="30"/>
        <v>780</v>
      </c>
      <c r="R136" s="13">
        <f t="shared" si="31"/>
        <v>0</v>
      </c>
      <c r="S136">
        <f t="shared" si="32"/>
        <v>13</v>
      </c>
      <c r="T136">
        <f t="shared" si="33"/>
        <v>0</v>
      </c>
      <c r="U136" s="14">
        <f t="shared" si="34"/>
        <v>780</v>
      </c>
      <c r="V136" s="15"/>
      <c r="Z136" s="14"/>
    </row>
    <row r="137" spans="1:26" x14ac:dyDescent="0.25">
      <c r="A137" s="16"/>
      <c r="B137" s="17" t="b">
        <f t="shared" si="36"/>
        <v>0</v>
      </c>
      <c r="C137" s="17" t="b">
        <f t="shared" si="35"/>
        <v>0</v>
      </c>
      <c r="D137" s="17">
        <f t="shared" si="26"/>
        <v>1</v>
      </c>
      <c r="E137" s="17" t="str">
        <f t="shared" si="27"/>
        <v>Section 5 - Next steps</v>
      </c>
      <c r="F137" s="18" t="str">
        <f t="shared" si="28"/>
        <v/>
      </c>
      <c r="G137" s="13" t="str">
        <f t="shared" si="20"/>
        <v/>
      </c>
      <c r="H137">
        <f t="shared" si="21"/>
        <v>0</v>
      </c>
      <c r="I137" s="14">
        <f t="shared" si="29"/>
        <v>0</v>
      </c>
      <c r="J137" s="13">
        <f t="shared" si="22"/>
        <v>300</v>
      </c>
      <c r="K137">
        <f t="shared" si="23"/>
        <v>0</v>
      </c>
      <c r="L137">
        <f t="shared" si="24"/>
        <v>5</v>
      </c>
      <c r="M137" s="14">
        <f t="shared" si="25"/>
        <v>0</v>
      </c>
      <c r="N137" s="13">
        <f t="shared" si="37"/>
        <v>0</v>
      </c>
      <c r="O137">
        <f t="shared" si="37"/>
        <v>13</v>
      </c>
      <c r="P137">
        <f t="shared" si="37"/>
        <v>0</v>
      </c>
      <c r="Q137" s="14">
        <f t="shared" si="30"/>
        <v>780</v>
      </c>
      <c r="R137" s="13">
        <f t="shared" si="31"/>
        <v>0</v>
      </c>
      <c r="S137">
        <f t="shared" si="32"/>
        <v>13</v>
      </c>
      <c r="T137">
        <f t="shared" si="33"/>
        <v>0</v>
      </c>
      <c r="U137" s="14">
        <f t="shared" si="34"/>
        <v>780</v>
      </c>
      <c r="V137" s="15"/>
      <c r="Z137" s="14"/>
    </row>
    <row r="138" spans="1:26" x14ac:dyDescent="0.25">
      <c r="A138" s="16"/>
      <c r="B138" s="17" t="b">
        <f t="shared" si="36"/>
        <v>0</v>
      </c>
      <c r="C138" s="17" t="b">
        <f t="shared" si="35"/>
        <v>0</v>
      </c>
      <c r="D138" s="17">
        <f t="shared" si="26"/>
        <v>1</v>
      </c>
      <c r="E138" s="17" t="str">
        <f t="shared" si="27"/>
        <v>Section 5 - Next steps</v>
      </c>
      <c r="F138" s="18" t="str">
        <f t="shared" si="28"/>
        <v/>
      </c>
      <c r="G138" s="13" t="str">
        <f t="shared" si="20"/>
        <v/>
      </c>
      <c r="H138">
        <f t="shared" si="21"/>
        <v>0</v>
      </c>
      <c r="I138" s="14">
        <f t="shared" si="29"/>
        <v>0</v>
      </c>
      <c r="J138" s="13">
        <f t="shared" si="22"/>
        <v>300</v>
      </c>
      <c r="K138">
        <f t="shared" si="23"/>
        <v>0</v>
      </c>
      <c r="L138">
        <f t="shared" si="24"/>
        <v>5</v>
      </c>
      <c r="M138" s="14">
        <f t="shared" si="25"/>
        <v>0</v>
      </c>
      <c r="N138" s="13">
        <f t="shared" si="37"/>
        <v>0</v>
      </c>
      <c r="O138">
        <f t="shared" si="37"/>
        <v>13</v>
      </c>
      <c r="P138">
        <f t="shared" si="37"/>
        <v>0</v>
      </c>
      <c r="Q138" s="14">
        <f t="shared" si="30"/>
        <v>780</v>
      </c>
      <c r="R138" s="13">
        <f t="shared" si="31"/>
        <v>0</v>
      </c>
      <c r="S138">
        <f t="shared" si="32"/>
        <v>13</v>
      </c>
      <c r="T138">
        <f t="shared" si="33"/>
        <v>0</v>
      </c>
      <c r="U138" s="14">
        <f t="shared" si="34"/>
        <v>780</v>
      </c>
      <c r="V138" s="15"/>
      <c r="Z138" s="14"/>
    </row>
    <row r="139" spans="1:26" x14ac:dyDescent="0.25">
      <c r="A139" s="16"/>
      <c r="B139" s="17" t="b">
        <f t="shared" si="36"/>
        <v>0</v>
      </c>
      <c r="C139" s="17" t="b">
        <f t="shared" si="35"/>
        <v>0</v>
      </c>
      <c r="D139" s="17">
        <f t="shared" si="26"/>
        <v>1</v>
      </c>
      <c r="E139" s="17" t="str">
        <f t="shared" si="27"/>
        <v>Section 5 - Next steps</v>
      </c>
      <c r="F139" s="18" t="str">
        <f t="shared" si="28"/>
        <v/>
      </c>
      <c r="G139" s="13" t="str">
        <f t="shared" ref="G139:G202" si="38">IF(C139,IF(ISERROR(FIND("s",A140)),LEFT(A140,FIND("m",A140)),LEFT(A140,FIND("s",A140))),"")</f>
        <v/>
      </c>
      <c r="H139">
        <f t="shared" ref="H139:H202" si="39">IF(OR(G139="",ISERROR(FIND("m",G139))),0,VALUE(LEFT(G139,FIND("m",G139)-1)))</f>
        <v>0</v>
      </c>
      <c r="I139" s="14">
        <f t="shared" si="29"/>
        <v>0</v>
      </c>
      <c r="J139" s="13">
        <f t="shared" ref="J139:J202" si="40">J138+(H139*60+I139)</f>
        <v>300</v>
      </c>
      <c r="K139">
        <f t="shared" ref="K139:K202" si="41">INT(J139/60/60)</f>
        <v>0</v>
      </c>
      <c r="L139">
        <f t="shared" ref="L139:L202" si="42">INT((J139-(K139*60*60))/60)</f>
        <v>5</v>
      </c>
      <c r="M139" s="14">
        <f t="shared" ref="M139:M202" si="43">J139-(((K139*60)+L139)*60)</f>
        <v>0</v>
      </c>
      <c r="N139" s="13">
        <f t="shared" si="37"/>
        <v>0</v>
      </c>
      <c r="O139">
        <f t="shared" si="37"/>
        <v>13</v>
      </c>
      <c r="P139">
        <f t="shared" si="37"/>
        <v>0</v>
      </c>
      <c r="Q139" s="14">
        <f t="shared" si="30"/>
        <v>780</v>
      </c>
      <c r="R139" s="13">
        <f t="shared" si="31"/>
        <v>0</v>
      </c>
      <c r="S139">
        <f t="shared" si="32"/>
        <v>13</v>
      </c>
      <c r="T139">
        <f t="shared" si="33"/>
        <v>0</v>
      </c>
      <c r="U139" s="14">
        <f t="shared" si="34"/>
        <v>780</v>
      </c>
      <c r="V139" s="15"/>
      <c r="Z139" s="14"/>
    </row>
    <row r="140" spans="1:26" x14ac:dyDescent="0.25">
      <c r="A140" s="16"/>
      <c r="B140" s="17" t="b">
        <f t="shared" si="36"/>
        <v>0</v>
      </c>
      <c r="C140" s="17" t="b">
        <f t="shared" si="35"/>
        <v>0</v>
      </c>
      <c r="D140" s="17">
        <f t="shared" ref="D140:D203" si="44">IF(B140,0,IF(C140,D139+1,D139))</f>
        <v>1</v>
      </c>
      <c r="E140" s="17" t="str">
        <f t="shared" ref="E140:E203" si="45">SUBSTITUTE(IF(B140,A140,E139),":", " -")</f>
        <v>Section 5 - Next steps</v>
      </c>
      <c r="F140" s="18" t="str">
        <f t="shared" ref="F140:F203" si="46">IF(C140,A140,"")</f>
        <v/>
      </c>
      <c r="G140" s="13" t="str">
        <f t="shared" si="38"/>
        <v/>
      </c>
      <c r="H140">
        <f t="shared" si="39"/>
        <v>0</v>
      </c>
      <c r="I140" s="14">
        <f t="shared" ref="I140:I203" si="47">IF(OR(G140="",ISERROR(FIND("s",G140))),0,VALUE(SUBSTITUTE(MID(G140,IF(ISERROR(FIND("m",G140)), 0,FIND("m",G140))+1,LEN(G140)),"s","")))</f>
        <v>0</v>
      </c>
      <c r="J140" s="13">
        <f t="shared" si="40"/>
        <v>300</v>
      </c>
      <c r="K140">
        <f t="shared" si="41"/>
        <v>0</v>
      </c>
      <c r="L140">
        <f t="shared" si="42"/>
        <v>5</v>
      </c>
      <c r="M140" s="14">
        <f t="shared" si="43"/>
        <v>0</v>
      </c>
      <c r="N140" s="13">
        <f t="shared" si="37"/>
        <v>0</v>
      </c>
      <c r="O140">
        <f t="shared" si="37"/>
        <v>13</v>
      </c>
      <c r="P140">
        <f t="shared" si="37"/>
        <v>0</v>
      </c>
      <c r="Q140" s="14">
        <f t="shared" si="30"/>
        <v>780</v>
      </c>
      <c r="R140" s="13">
        <f t="shared" si="31"/>
        <v>0</v>
      </c>
      <c r="S140">
        <f t="shared" si="32"/>
        <v>13</v>
      </c>
      <c r="T140">
        <f t="shared" si="33"/>
        <v>0</v>
      </c>
      <c r="U140" s="14">
        <f t="shared" si="34"/>
        <v>780</v>
      </c>
      <c r="V140" s="15"/>
      <c r="Z140" s="14"/>
    </row>
    <row r="141" spans="1:26" x14ac:dyDescent="0.25">
      <c r="A141" s="16"/>
      <c r="B141" s="17" t="b">
        <f t="shared" si="36"/>
        <v>0</v>
      </c>
      <c r="C141" s="17" t="b">
        <f t="shared" si="35"/>
        <v>0</v>
      </c>
      <c r="D141" s="17">
        <f t="shared" si="44"/>
        <v>1</v>
      </c>
      <c r="E141" s="17" t="str">
        <f t="shared" si="45"/>
        <v>Section 5 - Next steps</v>
      </c>
      <c r="F141" s="18" t="str">
        <f t="shared" si="46"/>
        <v/>
      </c>
      <c r="G141" s="13" t="str">
        <f t="shared" si="38"/>
        <v/>
      </c>
      <c r="H141">
        <f t="shared" si="39"/>
        <v>0</v>
      </c>
      <c r="I141" s="14">
        <f t="shared" si="47"/>
        <v>0</v>
      </c>
      <c r="J141" s="13">
        <f t="shared" si="40"/>
        <v>300</v>
      </c>
      <c r="K141">
        <f t="shared" si="41"/>
        <v>0</v>
      </c>
      <c r="L141">
        <f t="shared" si="42"/>
        <v>5</v>
      </c>
      <c r="M141" s="14">
        <f t="shared" si="43"/>
        <v>0</v>
      </c>
      <c r="N141" s="13">
        <f t="shared" si="37"/>
        <v>0</v>
      </c>
      <c r="O141">
        <f t="shared" si="37"/>
        <v>13</v>
      </c>
      <c r="P141">
        <f t="shared" si="37"/>
        <v>0</v>
      </c>
      <c r="Q141" s="14">
        <f t="shared" si="30"/>
        <v>780</v>
      </c>
      <c r="R141" s="13">
        <f t="shared" si="31"/>
        <v>0</v>
      </c>
      <c r="S141">
        <f t="shared" si="32"/>
        <v>13</v>
      </c>
      <c r="T141">
        <f t="shared" si="33"/>
        <v>0</v>
      </c>
      <c r="U141" s="14">
        <f t="shared" si="34"/>
        <v>780</v>
      </c>
      <c r="V141" s="15"/>
      <c r="Z141" s="14"/>
    </row>
    <row r="142" spans="1:26" x14ac:dyDescent="0.25">
      <c r="A142" s="16"/>
      <c r="B142" s="17" t="b">
        <f t="shared" si="36"/>
        <v>0</v>
      </c>
      <c r="C142" s="17" t="b">
        <f t="shared" si="35"/>
        <v>0</v>
      </c>
      <c r="D142" s="17">
        <f t="shared" si="44"/>
        <v>1</v>
      </c>
      <c r="E142" s="17" t="str">
        <f t="shared" si="45"/>
        <v>Section 5 - Next steps</v>
      </c>
      <c r="F142" s="18" t="str">
        <f t="shared" si="46"/>
        <v/>
      </c>
      <c r="G142" s="13" t="str">
        <f t="shared" si="38"/>
        <v/>
      </c>
      <c r="H142">
        <f t="shared" si="39"/>
        <v>0</v>
      </c>
      <c r="I142" s="14">
        <f t="shared" si="47"/>
        <v>0</v>
      </c>
      <c r="J142" s="13">
        <f t="shared" si="40"/>
        <v>300</v>
      </c>
      <c r="K142">
        <f t="shared" si="41"/>
        <v>0</v>
      </c>
      <c r="L142">
        <f t="shared" si="42"/>
        <v>5</v>
      </c>
      <c r="M142" s="14">
        <f t="shared" si="43"/>
        <v>0</v>
      </c>
      <c r="N142" s="13">
        <f t="shared" si="37"/>
        <v>0</v>
      </c>
      <c r="O142">
        <f t="shared" si="37"/>
        <v>13</v>
      </c>
      <c r="P142">
        <f t="shared" si="37"/>
        <v>0</v>
      </c>
      <c r="Q142" s="14">
        <f t="shared" ref="Q142:Q205" si="48">(((N142*60)+O142)*60)+P142</f>
        <v>780</v>
      </c>
      <c r="R142" s="13">
        <f t="shared" ref="R142:R205" si="49">INT(U142/60/60)</f>
        <v>0</v>
      </c>
      <c r="S142">
        <f t="shared" ref="S142:S205" si="50">INT((U142-(R142*60*60))/60)</f>
        <v>13</v>
      </c>
      <c r="T142">
        <f t="shared" ref="T142:T205" si="51">U142-(((R142*60)+S142)*60)</f>
        <v>0</v>
      </c>
      <c r="U142" s="14">
        <f t="shared" ref="U142:U205" si="52">((H142*60)+I142)+Q142</f>
        <v>780</v>
      </c>
      <c r="V142" s="15"/>
      <c r="Z142" s="14"/>
    </row>
    <row r="143" spans="1:26" x14ac:dyDescent="0.25">
      <c r="A143" s="16"/>
      <c r="B143" s="17" t="b">
        <f t="shared" si="36"/>
        <v>0</v>
      </c>
      <c r="C143" s="17" t="b">
        <f t="shared" si="35"/>
        <v>0</v>
      </c>
      <c r="D143" s="17">
        <f t="shared" si="44"/>
        <v>1</v>
      </c>
      <c r="E143" s="17" t="str">
        <f t="shared" si="45"/>
        <v>Section 5 - Next steps</v>
      </c>
      <c r="F143" s="18" t="str">
        <f t="shared" si="46"/>
        <v/>
      </c>
      <c r="G143" s="13" t="str">
        <f t="shared" si="38"/>
        <v/>
      </c>
      <c r="H143">
        <f t="shared" si="39"/>
        <v>0</v>
      </c>
      <c r="I143" s="14">
        <f t="shared" si="47"/>
        <v>0</v>
      </c>
      <c r="J143" s="13">
        <f t="shared" si="40"/>
        <v>300</v>
      </c>
      <c r="K143">
        <f t="shared" si="41"/>
        <v>0</v>
      </c>
      <c r="L143">
        <f t="shared" si="42"/>
        <v>5</v>
      </c>
      <c r="M143" s="14">
        <f t="shared" si="43"/>
        <v>0</v>
      </c>
      <c r="N143" s="13">
        <f t="shared" si="37"/>
        <v>0</v>
      </c>
      <c r="O143">
        <f t="shared" si="37"/>
        <v>13</v>
      </c>
      <c r="P143">
        <f t="shared" si="37"/>
        <v>0</v>
      </c>
      <c r="Q143" s="14">
        <f t="shared" si="48"/>
        <v>780</v>
      </c>
      <c r="R143" s="13">
        <f t="shared" si="49"/>
        <v>0</v>
      </c>
      <c r="S143">
        <f t="shared" si="50"/>
        <v>13</v>
      </c>
      <c r="T143">
        <f t="shared" si="51"/>
        <v>0</v>
      </c>
      <c r="U143" s="14">
        <f t="shared" si="52"/>
        <v>780</v>
      </c>
      <c r="V143" s="15"/>
      <c r="Z143" s="14"/>
    </row>
    <row r="144" spans="1:26" x14ac:dyDescent="0.25">
      <c r="A144" s="16"/>
      <c r="B144" s="17" t="b">
        <f t="shared" si="36"/>
        <v>0</v>
      </c>
      <c r="C144" s="17" t="b">
        <f t="shared" ref="C144:C207" si="53">OR(AND(NOT(ISERROR(FIND("m",A145))),ISNUMBER(VALUE(LEFT(A145,FIND("m",A145)-1)))),AND(NOT(ISERROR(FIND("s",A145))),ISNUMBER(VALUE(LEFT(A145,FIND("s",A145)-1)))))</f>
        <v>0</v>
      </c>
      <c r="D144" s="17">
        <f t="shared" si="44"/>
        <v>1</v>
      </c>
      <c r="E144" s="17" t="str">
        <f t="shared" si="45"/>
        <v>Section 5 - Next steps</v>
      </c>
      <c r="F144" s="18" t="str">
        <f t="shared" si="46"/>
        <v/>
      </c>
      <c r="G144" s="13" t="str">
        <f t="shared" si="38"/>
        <v/>
      </c>
      <c r="H144">
        <f t="shared" si="39"/>
        <v>0</v>
      </c>
      <c r="I144" s="14">
        <f t="shared" si="47"/>
        <v>0</v>
      </c>
      <c r="J144" s="13">
        <f t="shared" si="40"/>
        <v>300</v>
      </c>
      <c r="K144">
        <f t="shared" si="41"/>
        <v>0</v>
      </c>
      <c r="L144">
        <f t="shared" si="42"/>
        <v>5</v>
      </c>
      <c r="M144" s="14">
        <f t="shared" si="43"/>
        <v>0</v>
      </c>
      <c r="N144" s="13">
        <f t="shared" si="37"/>
        <v>0</v>
      </c>
      <c r="O144">
        <f t="shared" si="37"/>
        <v>13</v>
      </c>
      <c r="P144">
        <f t="shared" si="37"/>
        <v>0</v>
      </c>
      <c r="Q144" s="14">
        <f t="shared" si="48"/>
        <v>780</v>
      </c>
      <c r="R144" s="13">
        <f t="shared" si="49"/>
        <v>0</v>
      </c>
      <c r="S144">
        <f t="shared" si="50"/>
        <v>13</v>
      </c>
      <c r="T144">
        <f t="shared" si="51"/>
        <v>0</v>
      </c>
      <c r="U144" s="14">
        <f t="shared" si="52"/>
        <v>780</v>
      </c>
      <c r="V144" s="15"/>
      <c r="Z144" s="14"/>
    </row>
    <row r="145" spans="1:26" x14ac:dyDescent="0.25">
      <c r="A145" s="16"/>
      <c r="B145" s="17" t="b">
        <f t="shared" si="36"/>
        <v>0</v>
      </c>
      <c r="C145" s="17" t="b">
        <f t="shared" si="53"/>
        <v>0</v>
      </c>
      <c r="D145" s="17">
        <f t="shared" si="44"/>
        <v>1</v>
      </c>
      <c r="E145" s="17" t="str">
        <f t="shared" si="45"/>
        <v>Section 5 - Next steps</v>
      </c>
      <c r="F145" s="18" t="str">
        <f t="shared" si="46"/>
        <v/>
      </c>
      <c r="G145" s="13" t="str">
        <f t="shared" si="38"/>
        <v/>
      </c>
      <c r="H145">
        <f t="shared" si="39"/>
        <v>0</v>
      </c>
      <c r="I145" s="14">
        <f t="shared" si="47"/>
        <v>0</v>
      </c>
      <c r="J145" s="13">
        <f t="shared" si="40"/>
        <v>300</v>
      </c>
      <c r="K145">
        <f t="shared" si="41"/>
        <v>0</v>
      </c>
      <c r="L145">
        <f t="shared" si="42"/>
        <v>5</v>
      </c>
      <c r="M145" s="14">
        <f t="shared" si="43"/>
        <v>0</v>
      </c>
      <c r="N145" s="13">
        <f t="shared" si="37"/>
        <v>0</v>
      </c>
      <c r="O145">
        <f t="shared" si="37"/>
        <v>13</v>
      </c>
      <c r="P145">
        <f t="shared" si="37"/>
        <v>0</v>
      </c>
      <c r="Q145" s="14">
        <f t="shared" si="48"/>
        <v>780</v>
      </c>
      <c r="R145" s="13">
        <f t="shared" si="49"/>
        <v>0</v>
      </c>
      <c r="S145">
        <f t="shared" si="50"/>
        <v>13</v>
      </c>
      <c r="T145">
        <f t="shared" si="51"/>
        <v>0</v>
      </c>
      <c r="U145" s="14">
        <f t="shared" si="52"/>
        <v>780</v>
      </c>
      <c r="V145" s="15"/>
      <c r="Z145" s="14"/>
    </row>
    <row r="146" spans="1:26" x14ac:dyDescent="0.25">
      <c r="A146" s="16"/>
      <c r="B146" s="17" t="b">
        <f t="shared" si="36"/>
        <v>0</v>
      </c>
      <c r="C146" s="17" t="b">
        <f t="shared" si="53"/>
        <v>0</v>
      </c>
      <c r="D146" s="17">
        <f t="shared" si="44"/>
        <v>1</v>
      </c>
      <c r="E146" s="17" t="str">
        <f t="shared" si="45"/>
        <v>Section 5 - Next steps</v>
      </c>
      <c r="F146" s="18" t="str">
        <f t="shared" si="46"/>
        <v/>
      </c>
      <c r="G146" s="13" t="str">
        <f t="shared" si="38"/>
        <v/>
      </c>
      <c r="H146">
        <f t="shared" si="39"/>
        <v>0</v>
      </c>
      <c r="I146" s="14">
        <f t="shared" si="47"/>
        <v>0</v>
      </c>
      <c r="J146" s="13">
        <f t="shared" si="40"/>
        <v>300</v>
      </c>
      <c r="K146">
        <f t="shared" si="41"/>
        <v>0</v>
      </c>
      <c r="L146">
        <f t="shared" si="42"/>
        <v>5</v>
      </c>
      <c r="M146" s="14">
        <f t="shared" si="43"/>
        <v>0</v>
      </c>
      <c r="N146" s="13">
        <f t="shared" si="37"/>
        <v>0</v>
      </c>
      <c r="O146">
        <f t="shared" si="37"/>
        <v>13</v>
      </c>
      <c r="P146">
        <f t="shared" si="37"/>
        <v>0</v>
      </c>
      <c r="Q146" s="14">
        <f t="shared" si="48"/>
        <v>780</v>
      </c>
      <c r="R146" s="13">
        <f t="shared" si="49"/>
        <v>0</v>
      </c>
      <c r="S146">
        <f t="shared" si="50"/>
        <v>13</v>
      </c>
      <c r="T146">
        <f t="shared" si="51"/>
        <v>0</v>
      </c>
      <c r="U146" s="14">
        <f t="shared" si="52"/>
        <v>780</v>
      </c>
      <c r="V146" s="15"/>
      <c r="Z146" s="14"/>
    </row>
    <row r="147" spans="1:26" x14ac:dyDescent="0.25">
      <c r="A147" s="16"/>
      <c r="B147" s="17" t="b">
        <f t="shared" ref="B147:B210" si="54">AND(NOT(ISERROR(FIND("Section ",A147))),NOT(ISERROR(FIND("Section ",A147))))</f>
        <v>0</v>
      </c>
      <c r="C147" s="17" t="b">
        <f t="shared" si="53"/>
        <v>0</v>
      </c>
      <c r="D147" s="17">
        <f t="shared" si="44"/>
        <v>1</v>
      </c>
      <c r="E147" s="17" t="str">
        <f t="shared" si="45"/>
        <v>Section 5 - Next steps</v>
      </c>
      <c r="F147" s="18" t="str">
        <f t="shared" si="46"/>
        <v/>
      </c>
      <c r="G147" s="13" t="str">
        <f t="shared" si="38"/>
        <v/>
      </c>
      <c r="H147">
        <f t="shared" si="39"/>
        <v>0</v>
      </c>
      <c r="I147" s="14">
        <f t="shared" si="47"/>
        <v>0</v>
      </c>
      <c r="J147" s="13">
        <f t="shared" si="40"/>
        <v>300</v>
      </c>
      <c r="K147">
        <f t="shared" si="41"/>
        <v>0</v>
      </c>
      <c r="L147">
        <f t="shared" si="42"/>
        <v>5</v>
      </c>
      <c r="M147" s="14">
        <f t="shared" si="43"/>
        <v>0</v>
      </c>
      <c r="N147" s="13">
        <f t="shared" si="37"/>
        <v>0</v>
      </c>
      <c r="O147">
        <f t="shared" si="37"/>
        <v>13</v>
      </c>
      <c r="P147">
        <f t="shared" si="37"/>
        <v>0</v>
      </c>
      <c r="Q147" s="14">
        <f t="shared" si="48"/>
        <v>780</v>
      </c>
      <c r="R147" s="13">
        <f t="shared" si="49"/>
        <v>0</v>
      </c>
      <c r="S147">
        <f t="shared" si="50"/>
        <v>13</v>
      </c>
      <c r="T147">
        <f t="shared" si="51"/>
        <v>0</v>
      </c>
      <c r="U147" s="14">
        <f t="shared" si="52"/>
        <v>780</v>
      </c>
      <c r="V147" s="15"/>
      <c r="Z147" s="14"/>
    </row>
    <row r="148" spans="1:26" x14ac:dyDescent="0.25">
      <c r="A148" s="16"/>
      <c r="B148" s="17" t="b">
        <f t="shared" si="54"/>
        <v>0</v>
      </c>
      <c r="C148" s="17" t="b">
        <f t="shared" si="53"/>
        <v>0</v>
      </c>
      <c r="D148" s="17">
        <f t="shared" si="44"/>
        <v>1</v>
      </c>
      <c r="E148" s="17" t="str">
        <f t="shared" si="45"/>
        <v>Section 5 - Next steps</v>
      </c>
      <c r="F148" s="18" t="str">
        <f t="shared" si="46"/>
        <v/>
      </c>
      <c r="G148" s="13" t="str">
        <f t="shared" si="38"/>
        <v/>
      </c>
      <c r="H148">
        <f t="shared" si="39"/>
        <v>0</v>
      </c>
      <c r="I148" s="14">
        <f t="shared" si="47"/>
        <v>0</v>
      </c>
      <c r="J148" s="13">
        <f t="shared" si="40"/>
        <v>300</v>
      </c>
      <c r="K148">
        <f t="shared" si="41"/>
        <v>0</v>
      </c>
      <c r="L148">
        <f t="shared" si="42"/>
        <v>5</v>
      </c>
      <c r="M148" s="14">
        <f t="shared" si="43"/>
        <v>0</v>
      </c>
      <c r="N148" s="13">
        <f t="shared" si="37"/>
        <v>0</v>
      </c>
      <c r="O148">
        <f t="shared" si="37"/>
        <v>13</v>
      </c>
      <c r="P148">
        <f t="shared" si="37"/>
        <v>0</v>
      </c>
      <c r="Q148" s="14">
        <f t="shared" si="48"/>
        <v>780</v>
      </c>
      <c r="R148" s="13">
        <f t="shared" si="49"/>
        <v>0</v>
      </c>
      <c r="S148">
        <f t="shared" si="50"/>
        <v>13</v>
      </c>
      <c r="T148">
        <f t="shared" si="51"/>
        <v>0</v>
      </c>
      <c r="U148" s="14">
        <f t="shared" si="52"/>
        <v>780</v>
      </c>
      <c r="V148" s="15"/>
      <c r="Z148" s="14"/>
    </row>
    <row r="149" spans="1:26" x14ac:dyDescent="0.25">
      <c r="A149" s="16"/>
      <c r="B149" s="17" t="b">
        <f t="shared" si="54"/>
        <v>0</v>
      </c>
      <c r="C149" s="17" t="b">
        <f t="shared" si="53"/>
        <v>0</v>
      </c>
      <c r="D149" s="17">
        <f t="shared" si="44"/>
        <v>1</v>
      </c>
      <c r="E149" s="17" t="str">
        <f t="shared" si="45"/>
        <v>Section 5 - Next steps</v>
      </c>
      <c r="F149" s="18" t="str">
        <f t="shared" si="46"/>
        <v/>
      </c>
      <c r="G149" s="13" t="str">
        <f t="shared" si="38"/>
        <v/>
      </c>
      <c r="H149">
        <f t="shared" si="39"/>
        <v>0</v>
      </c>
      <c r="I149" s="14">
        <f t="shared" si="47"/>
        <v>0</v>
      </c>
      <c r="J149" s="13">
        <f t="shared" si="40"/>
        <v>300</v>
      </c>
      <c r="K149">
        <f t="shared" si="41"/>
        <v>0</v>
      </c>
      <c r="L149">
        <f t="shared" si="42"/>
        <v>5</v>
      </c>
      <c r="M149" s="14">
        <f t="shared" si="43"/>
        <v>0</v>
      </c>
      <c r="N149" s="13">
        <f t="shared" si="37"/>
        <v>0</v>
      </c>
      <c r="O149">
        <f t="shared" si="37"/>
        <v>13</v>
      </c>
      <c r="P149">
        <f t="shared" si="37"/>
        <v>0</v>
      </c>
      <c r="Q149" s="14">
        <f t="shared" si="48"/>
        <v>780</v>
      </c>
      <c r="R149" s="13">
        <f t="shared" si="49"/>
        <v>0</v>
      </c>
      <c r="S149">
        <f t="shared" si="50"/>
        <v>13</v>
      </c>
      <c r="T149">
        <f t="shared" si="51"/>
        <v>0</v>
      </c>
      <c r="U149" s="14">
        <f t="shared" si="52"/>
        <v>780</v>
      </c>
      <c r="V149" s="15"/>
      <c r="Z149" s="14"/>
    </row>
    <row r="150" spans="1:26" x14ac:dyDescent="0.25">
      <c r="A150" s="16"/>
      <c r="B150" s="17" t="b">
        <f t="shared" si="54"/>
        <v>0</v>
      </c>
      <c r="C150" s="17" t="b">
        <f t="shared" si="53"/>
        <v>0</v>
      </c>
      <c r="D150" s="17">
        <f t="shared" si="44"/>
        <v>1</v>
      </c>
      <c r="E150" s="17" t="str">
        <f t="shared" si="45"/>
        <v>Section 5 - Next steps</v>
      </c>
      <c r="F150" s="18" t="str">
        <f t="shared" si="46"/>
        <v/>
      </c>
      <c r="G150" s="13" t="str">
        <f t="shared" si="38"/>
        <v/>
      </c>
      <c r="H150">
        <f t="shared" si="39"/>
        <v>0</v>
      </c>
      <c r="I150" s="14">
        <f t="shared" si="47"/>
        <v>0</v>
      </c>
      <c r="J150" s="13">
        <f t="shared" si="40"/>
        <v>300</v>
      </c>
      <c r="K150">
        <f t="shared" si="41"/>
        <v>0</v>
      </c>
      <c r="L150">
        <f t="shared" si="42"/>
        <v>5</v>
      </c>
      <c r="M150" s="14">
        <f t="shared" si="43"/>
        <v>0</v>
      </c>
      <c r="N150" s="13">
        <f t="shared" si="37"/>
        <v>0</v>
      </c>
      <c r="O150">
        <f t="shared" si="37"/>
        <v>13</v>
      </c>
      <c r="P150">
        <f t="shared" si="37"/>
        <v>0</v>
      </c>
      <c r="Q150" s="14">
        <f t="shared" si="48"/>
        <v>780</v>
      </c>
      <c r="R150" s="13">
        <f t="shared" si="49"/>
        <v>0</v>
      </c>
      <c r="S150">
        <f t="shared" si="50"/>
        <v>13</v>
      </c>
      <c r="T150">
        <f t="shared" si="51"/>
        <v>0</v>
      </c>
      <c r="U150" s="14">
        <f t="shared" si="52"/>
        <v>780</v>
      </c>
      <c r="V150" s="15"/>
      <c r="Z150" s="14"/>
    </row>
    <row r="151" spans="1:26" x14ac:dyDescent="0.25">
      <c r="A151" s="16"/>
      <c r="B151" s="17" t="b">
        <f t="shared" si="54"/>
        <v>0</v>
      </c>
      <c r="C151" s="17" t="b">
        <f t="shared" si="53"/>
        <v>0</v>
      </c>
      <c r="D151" s="17">
        <f t="shared" si="44"/>
        <v>1</v>
      </c>
      <c r="E151" s="17" t="str">
        <f t="shared" si="45"/>
        <v>Section 5 - Next steps</v>
      </c>
      <c r="F151" s="18" t="str">
        <f t="shared" si="46"/>
        <v/>
      </c>
      <c r="G151" s="13" t="str">
        <f t="shared" si="38"/>
        <v/>
      </c>
      <c r="H151">
        <f t="shared" si="39"/>
        <v>0</v>
      </c>
      <c r="I151" s="14">
        <f t="shared" si="47"/>
        <v>0</v>
      </c>
      <c r="J151" s="13">
        <f t="shared" si="40"/>
        <v>300</v>
      </c>
      <c r="K151">
        <f t="shared" si="41"/>
        <v>0</v>
      </c>
      <c r="L151">
        <f t="shared" si="42"/>
        <v>5</v>
      </c>
      <c r="M151" s="14">
        <f t="shared" si="43"/>
        <v>0</v>
      </c>
      <c r="N151" s="13">
        <f t="shared" si="37"/>
        <v>0</v>
      </c>
      <c r="O151">
        <f t="shared" si="37"/>
        <v>13</v>
      </c>
      <c r="P151">
        <f t="shared" si="37"/>
        <v>0</v>
      </c>
      <c r="Q151" s="14">
        <f t="shared" si="48"/>
        <v>780</v>
      </c>
      <c r="R151" s="13">
        <f t="shared" si="49"/>
        <v>0</v>
      </c>
      <c r="S151">
        <f t="shared" si="50"/>
        <v>13</v>
      </c>
      <c r="T151">
        <f t="shared" si="51"/>
        <v>0</v>
      </c>
      <c r="U151" s="14">
        <f t="shared" si="52"/>
        <v>780</v>
      </c>
      <c r="V151" s="15"/>
      <c r="Z151" s="14"/>
    </row>
    <row r="152" spans="1:26" x14ac:dyDescent="0.25">
      <c r="A152" s="16"/>
      <c r="B152" s="17" t="b">
        <f t="shared" si="54"/>
        <v>0</v>
      </c>
      <c r="C152" s="17" t="b">
        <f t="shared" si="53"/>
        <v>0</v>
      </c>
      <c r="D152" s="17">
        <f t="shared" si="44"/>
        <v>1</v>
      </c>
      <c r="E152" s="17" t="str">
        <f t="shared" si="45"/>
        <v>Section 5 - Next steps</v>
      </c>
      <c r="F152" s="18" t="str">
        <f t="shared" si="46"/>
        <v/>
      </c>
      <c r="G152" s="13" t="str">
        <f t="shared" si="38"/>
        <v/>
      </c>
      <c r="H152">
        <f t="shared" si="39"/>
        <v>0</v>
      </c>
      <c r="I152" s="14">
        <f t="shared" si="47"/>
        <v>0</v>
      </c>
      <c r="J152" s="13">
        <f t="shared" si="40"/>
        <v>300</v>
      </c>
      <c r="K152">
        <f t="shared" si="41"/>
        <v>0</v>
      </c>
      <c r="L152">
        <f t="shared" si="42"/>
        <v>5</v>
      </c>
      <c r="M152" s="14">
        <f t="shared" si="43"/>
        <v>0</v>
      </c>
      <c r="N152" s="13">
        <f t="shared" si="37"/>
        <v>0</v>
      </c>
      <c r="O152">
        <f t="shared" si="37"/>
        <v>13</v>
      </c>
      <c r="P152">
        <f t="shared" si="37"/>
        <v>0</v>
      </c>
      <c r="Q152" s="14">
        <f t="shared" si="48"/>
        <v>780</v>
      </c>
      <c r="R152" s="13">
        <f t="shared" si="49"/>
        <v>0</v>
      </c>
      <c r="S152">
        <f t="shared" si="50"/>
        <v>13</v>
      </c>
      <c r="T152">
        <f t="shared" si="51"/>
        <v>0</v>
      </c>
      <c r="U152" s="14">
        <f t="shared" si="52"/>
        <v>780</v>
      </c>
      <c r="V152" s="15"/>
      <c r="Z152" s="14"/>
    </row>
    <row r="153" spans="1:26" x14ac:dyDescent="0.25">
      <c r="A153" s="16"/>
      <c r="B153" s="17" t="b">
        <f t="shared" si="54"/>
        <v>0</v>
      </c>
      <c r="C153" s="17" t="b">
        <f t="shared" si="53"/>
        <v>0</v>
      </c>
      <c r="D153" s="17">
        <f t="shared" si="44"/>
        <v>1</v>
      </c>
      <c r="E153" s="17" t="str">
        <f t="shared" si="45"/>
        <v>Section 5 - Next steps</v>
      </c>
      <c r="F153" s="18" t="str">
        <f t="shared" si="46"/>
        <v/>
      </c>
      <c r="G153" s="13" t="str">
        <f t="shared" si="38"/>
        <v/>
      </c>
      <c r="H153">
        <f t="shared" si="39"/>
        <v>0</v>
      </c>
      <c r="I153" s="14">
        <f t="shared" si="47"/>
        <v>0</v>
      </c>
      <c r="J153" s="13">
        <f t="shared" si="40"/>
        <v>300</v>
      </c>
      <c r="K153">
        <f t="shared" si="41"/>
        <v>0</v>
      </c>
      <c r="L153">
        <f t="shared" si="42"/>
        <v>5</v>
      </c>
      <c r="M153" s="14">
        <f t="shared" si="43"/>
        <v>0</v>
      </c>
      <c r="N153" s="13">
        <f t="shared" si="37"/>
        <v>0</v>
      </c>
      <c r="O153">
        <f t="shared" si="37"/>
        <v>13</v>
      </c>
      <c r="P153">
        <f t="shared" si="37"/>
        <v>0</v>
      </c>
      <c r="Q153" s="14">
        <f t="shared" si="48"/>
        <v>780</v>
      </c>
      <c r="R153" s="13">
        <f t="shared" si="49"/>
        <v>0</v>
      </c>
      <c r="S153">
        <f t="shared" si="50"/>
        <v>13</v>
      </c>
      <c r="T153">
        <f t="shared" si="51"/>
        <v>0</v>
      </c>
      <c r="U153" s="14">
        <f t="shared" si="52"/>
        <v>780</v>
      </c>
      <c r="V153" s="15"/>
      <c r="Z153" s="14"/>
    </row>
    <row r="154" spans="1:26" x14ac:dyDescent="0.25">
      <c r="A154" s="16"/>
      <c r="B154" s="17" t="b">
        <f t="shared" si="54"/>
        <v>0</v>
      </c>
      <c r="C154" s="17" t="b">
        <f t="shared" si="53"/>
        <v>0</v>
      </c>
      <c r="D154" s="17">
        <f t="shared" si="44"/>
        <v>1</v>
      </c>
      <c r="E154" s="17" t="str">
        <f t="shared" si="45"/>
        <v>Section 5 - Next steps</v>
      </c>
      <c r="F154" s="18" t="str">
        <f t="shared" si="46"/>
        <v/>
      </c>
      <c r="G154" s="13" t="str">
        <f t="shared" si="38"/>
        <v/>
      </c>
      <c r="H154">
        <f t="shared" si="39"/>
        <v>0</v>
      </c>
      <c r="I154" s="14">
        <f t="shared" si="47"/>
        <v>0</v>
      </c>
      <c r="J154" s="13">
        <f t="shared" si="40"/>
        <v>300</v>
      </c>
      <c r="K154">
        <f t="shared" si="41"/>
        <v>0</v>
      </c>
      <c r="L154">
        <f t="shared" si="42"/>
        <v>5</v>
      </c>
      <c r="M154" s="14">
        <f t="shared" si="43"/>
        <v>0</v>
      </c>
      <c r="N154" s="13">
        <f t="shared" si="37"/>
        <v>0</v>
      </c>
      <c r="O154">
        <f t="shared" si="37"/>
        <v>13</v>
      </c>
      <c r="P154">
        <f t="shared" si="37"/>
        <v>0</v>
      </c>
      <c r="Q154" s="14">
        <f t="shared" si="48"/>
        <v>780</v>
      </c>
      <c r="R154" s="13">
        <f t="shared" si="49"/>
        <v>0</v>
      </c>
      <c r="S154">
        <f t="shared" si="50"/>
        <v>13</v>
      </c>
      <c r="T154">
        <f t="shared" si="51"/>
        <v>0</v>
      </c>
      <c r="U154" s="14">
        <f t="shared" si="52"/>
        <v>780</v>
      </c>
      <c r="V154" s="15"/>
      <c r="Z154" s="14"/>
    </row>
    <row r="155" spans="1:26" x14ac:dyDescent="0.25">
      <c r="A155" s="16"/>
      <c r="B155" s="17" t="b">
        <f t="shared" si="54"/>
        <v>0</v>
      </c>
      <c r="C155" s="17" t="b">
        <f t="shared" si="53"/>
        <v>0</v>
      </c>
      <c r="D155" s="17">
        <f t="shared" si="44"/>
        <v>1</v>
      </c>
      <c r="E155" s="17" t="str">
        <f t="shared" si="45"/>
        <v>Section 5 - Next steps</v>
      </c>
      <c r="F155" s="18" t="str">
        <f t="shared" si="46"/>
        <v/>
      </c>
      <c r="G155" s="13" t="str">
        <f t="shared" si="38"/>
        <v/>
      </c>
      <c r="H155">
        <f t="shared" si="39"/>
        <v>0</v>
      </c>
      <c r="I155" s="14">
        <f t="shared" si="47"/>
        <v>0</v>
      </c>
      <c r="J155" s="13">
        <f t="shared" si="40"/>
        <v>300</v>
      </c>
      <c r="K155">
        <f t="shared" si="41"/>
        <v>0</v>
      </c>
      <c r="L155">
        <f t="shared" si="42"/>
        <v>5</v>
      </c>
      <c r="M155" s="14">
        <f t="shared" si="43"/>
        <v>0</v>
      </c>
      <c r="N155" s="13">
        <f t="shared" si="37"/>
        <v>0</v>
      </c>
      <c r="O155">
        <f t="shared" si="37"/>
        <v>13</v>
      </c>
      <c r="P155">
        <f t="shared" si="37"/>
        <v>0</v>
      </c>
      <c r="Q155" s="14">
        <f t="shared" si="48"/>
        <v>780</v>
      </c>
      <c r="R155" s="13">
        <f t="shared" si="49"/>
        <v>0</v>
      </c>
      <c r="S155">
        <f t="shared" si="50"/>
        <v>13</v>
      </c>
      <c r="T155">
        <f t="shared" si="51"/>
        <v>0</v>
      </c>
      <c r="U155" s="14">
        <f t="shared" si="52"/>
        <v>780</v>
      </c>
      <c r="V155" s="15"/>
      <c r="Z155" s="14"/>
    </row>
    <row r="156" spans="1:26" x14ac:dyDescent="0.25">
      <c r="A156" s="16"/>
      <c r="B156" s="17" t="b">
        <f t="shared" si="54"/>
        <v>0</v>
      </c>
      <c r="C156" s="17" t="b">
        <f t="shared" si="53"/>
        <v>0</v>
      </c>
      <c r="D156" s="17">
        <f t="shared" si="44"/>
        <v>1</v>
      </c>
      <c r="E156" s="17" t="str">
        <f t="shared" si="45"/>
        <v>Section 5 - Next steps</v>
      </c>
      <c r="F156" s="18" t="str">
        <f t="shared" si="46"/>
        <v/>
      </c>
      <c r="G156" s="13" t="str">
        <f t="shared" si="38"/>
        <v/>
      </c>
      <c r="H156">
        <f t="shared" si="39"/>
        <v>0</v>
      </c>
      <c r="I156" s="14">
        <f t="shared" si="47"/>
        <v>0</v>
      </c>
      <c r="J156" s="13">
        <f t="shared" si="40"/>
        <v>300</v>
      </c>
      <c r="K156">
        <f t="shared" si="41"/>
        <v>0</v>
      </c>
      <c r="L156">
        <f t="shared" si="42"/>
        <v>5</v>
      </c>
      <c r="M156" s="14">
        <f t="shared" si="43"/>
        <v>0</v>
      </c>
      <c r="N156" s="13">
        <f t="shared" ref="N156:P219" si="55">R155</f>
        <v>0</v>
      </c>
      <c r="O156">
        <f t="shared" si="55"/>
        <v>13</v>
      </c>
      <c r="P156">
        <f t="shared" si="55"/>
        <v>0</v>
      </c>
      <c r="Q156" s="14">
        <f t="shared" si="48"/>
        <v>780</v>
      </c>
      <c r="R156" s="13">
        <f t="shared" si="49"/>
        <v>0</v>
      </c>
      <c r="S156">
        <f t="shared" si="50"/>
        <v>13</v>
      </c>
      <c r="T156">
        <f t="shared" si="51"/>
        <v>0</v>
      </c>
      <c r="U156" s="14">
        <f t="shared" si="52"/>
        <v>780</v>
      </c>
      <c r="V156" s="15"/>
      <c r="Z156" s="14"/>
    </row>
    <row r="157" spans="1:26" x14ac:dyDescent="0.25">
      <c r="A157" s="16"/>
      <c r="B157" s="17" t="b">
        <f t="shared" si="54"/>
        <v>0</v>
      </c>
      <c r="C157" s="17" t="b">
        <f t="shared" si="53"/>
        <v>0</v>
      </c>
      <c r="D157" s="17">
        <f t="shared" si="44"/>
        <v>1</v>
      </c>
      <c r="E157" s="17" t="str">
        <f t="shared" si="45"/>
        <v>Section 5 - Next steps</v>
      </c>
      <c r="F157" s="18" t="str">
        <f t="shared" si="46"/>
        <v/>
      </c>
      <c r="G157" s="13" t="str">
        <f t="shared" si="38"/>
        <v/>
      </c>
      <c r="H157">
        <f t="shared" si="39"/>
        <v>0</v>
      </c>
      <c r="I157" s="14">
        <f t="shared" si="47"/>
        <v>0</v>
      </c>
      <c r="J157" s="13">
        <f t="shared" si="40"/>
        <v>300</v>
      </c>
      <c r="K157">
        <f t="shared" si="41"/>
        <v>0</v>
      </c>
      <c r="L157">
        <f t="shared" si="42"/>
        <v>5</v>
      </c>
      <c r="M157" s="14">
        <f t="shared" si="43"/>
        <v>0</v>
      </c>
      <c r="N157" s="13">
        <f t="shared" si="55"/>
        <v>0</v>
      </c>
      <c r="O157">
        <f t="shared" si="55"/>
        <v>13</v>
      </c>
      <c r="P157">
        <f t="shared" si="55"/>
        <v>0</v>
      </c>
      <c r="Q157" s="14">
        <f t="shared" si="48"/>
        <v>780</v>
      </c>
      <c r="R157" s="13">
        <f t="shared" si="49"/>
        <v>0</v>
      </c>
      <c r="S157">
        <f t="shared" si="50"/>
        <v>13</v>
      </c>
      <c r="T157">
        <f t="shared" si="51"/>
        <v>0</v>
      </c>
      <c r="U157" s="14">
        <f t="shared" si="52"/>
        <v>780</v>
      </c>
      <c r="V157" s="15"/>
      <c r="Z157" s="14"/>
    </row>
    <row r="158" spans="1:26" x14ac:dyDescent="0.25">
      <c r="A158" s="16"/>
      <c r="B158" s="17" t="b">
        <f t="shared" si="54"/>
        <v>0</v>
      </c>
      <c r="C158" s="17" t="b">
        <f t="shared" si="53"/>
        <v>0</v>
      </c>
      <c r="D158" s="17">
        <f t="shared" si="44"/>
        <v>1</v>
      </c>
      <c r="E158" s="17" t="str">
        <f t="shared" si="45"/>
        <v>Section 5 - Next steps</v>
      </c>
      <c r="F158" s="18" t="str">
        <f t="shared" si="46"/>
        <v/>
      </c>
      <c r="G158" s="13" t="str">
        <f t="shared" si="38"/>
        <v/>
      </c>
      <c r="H158">
        <f t="shared" si="39"/>
        <v>0</v>
      </c>
      <c r="I158" s="14">
        <f t="shared" si="47"/>
        <v>0</v>
      </c>
      <c r="J158" s="13">
        <f t="shared" si="40"/>
        <v>300</v>
      </c>
      <c r="K158">
        <f t="shared" si="41"/>
        <v>0</v>
      </c>
      <c r="L158">
        <f t="shared" si="42"/>
        <v>5</v>
      </c>
      <c r="M158" s="14">
        <f t="shared" si="43"/>
        <v>0</v>
      </c>
      <c r="N158" s="13">
        <f t="shared" si="55"/>
        <v>0</v>
      </c>
      <c r="O158">
        <f t="shared" si="55"/>
        <v>13</v>
      </c>
      <c r="P158">
        <f t="shared" si="55"/>
        <v>0</v>
      </c>
      <c r="Q158" s="14">
        <f t="shared" si="48"/>
        <v>780</v>
      </c>
      <c r="R158" s="13">
        <f t="shared" si="49"/>
        <v>0</v>
      </c>
      <c r="S158">
        <f t="shared" si="50"/>
        <v>13</v>
      </c>
      <c r="T158">
        <f t="shared" si="51"/>
        <v>0</v>
      </c>
      <c r="U158" s="14">
        <f t="shared" si="52"/>
        <v>780</v>
      </c>
      <c r="V158" s="15"/>
      <c r="Z158" s="14"/>
    </row>
    <row r="159" spans="1:26" x14ac:dyDescent="0.25">
      <c r="A159" s="16"/>
      <c r="B159" s="17" t="b">
        <f t="shared" si="54"/>
        <v>0</v>
      </c>
      <c r="C159" s="17" t="b">
        <f t="shared" si="53"/>
        <v>0</v>
      </c>
      <c r="D159" s="17">
        <f t="shared" si="44"/>
        <v>1</v>
      </c>
      <c r="E159" s="17" t="str">
        <f t="shared" si="45"/>
        <v>Section 5 - Next steps</v>
      </c>
      <c r="F159" s="18" t="str">
        <f t="shared" si="46"/>
        <v/>
      </c>
      <c r="G159" s="13" t="str">
        <f t="shared" si="38"/>
        <v/>
      </c>
      <c r="H159">
        <f t="shared" si="39"/>
        <v>0</v>
      </c>
      <c r="I159" s="14">
        <f t="shared" si="47"/>
        <v>0</v>
      </c>
      <c r="J159" s="13">
        <f t="shared" si="40"/>
        <v>300</v>
      </c>
      <c r="K159">
        <f t="shared" si="41"/>
        <v>0</v>
      </c>
      <c r="L159">
        <f t="shared" si="42"/>
        <v>5</v>
      </c>
      <c r="M159" s="14">
        <f t="shared" si="43"/>
        <v>0</v>
      </c>
      <c r="N159" s="13">
        <f t="shared" si="55"/>
        <v>0</v>
      </c>
      <c r="O159">
        <f t="shared" si="55"/>
        <v>13</v>
      </c>
      <c r="P159">
        <f t="shared" si="55"/>
        <v>0</v>
      </c>
      <c r="Q159" s="14">
        <f t="shared" si="48"/>
        <v>780</v>
      </c>
      <c r="R159" s="13">
        <f t="shared" si="49"/>
        <v>0</v>
      </c>
      <c r="S159">
        <f t="shared" si="50"/>
        <v>13</v>
      </c>
      <c r="T159">
        <f t="shared" si="51"/>
        <v>0</v>
      </c>
      <c r="U159" s="14">
        <f t="shared" si="52"/>
        <v>780</v>
      </c>
      <c r="V159" s="15"/>
      <c r="Z159" s="14"/>
    </row>
    <row r="160" spans="1:26" x14ac:dyDescent="0.25">
      <c r="A160" s="16"/>
      <c r="B160" s="17" t="b">
        <f t="shared" si="54"/>
        <v>0</v>
      </c>
      <c r="C160" s="17" t="b">
        <f t="shared" si="53"/>
        <v>0</v>
      </c>
      <c r="D160" s="17">
        <f t="shared" si="44"/>
        <v>1</v>
      </c>
      <c r="E160" s="17" t="str">
        <f t="shared" si="45"/>
        <v>Section 5 - Next steps</v>
      </c>
      <c r="F160" s="18" t="str">
        <f t="shared" si="46"/>
        <v/>
      </c>
      <c r="G160" s="13" t="str">
        <f t="shared" si="38"/>
        <v/>
      </c>
      <c r="H160">
        <f t="shared" si="39"/>
        <v>0</v>
      </c>
      <c r="I160" s="14">
        <f t="shared" si="47"/>
        <v>0</v>
      </c>
      <c r="J160" s="13">
        <f t="shared" si="40"/>
        <v>300</v>
      </c>
      <c r="K160">
        <f t="shared" si="41"/>
        <v>0</v>
      </c>
      <c r="L160">
        <f t="shared" si="42"/>
        <v>5</v>
      </c>
      <c r="M160" s="14">
        <f t="shared" si="43"/>
        <v>0</v>
      </c>
      <c r="N160" s="13">
        <f t="shared" si="55"/>
        <v>0</v>
      </c>
      <c r="O160">
        <f t="shared" si="55"/>
        <v>13</v>
      </c>
      <c r="P160">
        <f t="shared" si="55"/>
        <v>0</v>
      </c>
      <c r="Q160" s="14">
        <f t="shared" si="48"/>
        <v>780</v>
      </c>
      <c r="R160" s="13">
        <f t="shared" si="49"/>
        <v>0</v>
      </c>
      <c r="S160">
        <f t="shared" si="50"/>
        <v>13</v>
      </c>
      <c r="T160">
        <f t="shared" si="51"/>
        <v>0</v>
      </c>
      <c r="U160" s="14">
        <f t="shared" si="52"/>
        <v>780</v>
      </c>
      <c r="V160" s="15"/>
      <c r="Z160" s="14"/>
    </row>
    <row r="161" spans="1:26" x14ac:dyDescent="0.25">
      <c r="A161" s="16"/>
      <c r="B161" s="17" t="b">
        <f t="shared" si="54"/>
        <v>0</v>
      </c>
      <c r="C161" s="17" t="b">
        <f t="shared" si="53"/>
        <v>0</v>
      </c>
      <c r="D161" s="17">
        <f t="shared" si="44"/>
        <v>1</v>
      </c>
      <c r="E161" s="17" t="str">
        <f t="shared" si="45"/>
        <v>Section 5 - Next steps</v>
      </c>
      <c r="F161" s="18" t="str">
        <f t="shared" si="46"/>
        <v/>
      </c>
      <c r="G161" s="13" t="str">
        <f t="shared" si="38"/>
        <v/>
      </c>
      <c r="H161">
        <f t="shared" si="39"/>
        <v>0</v>
      </c>
      <c r="I161" s="14">
        <f t="shared" si="47"/>
        <v>0</v>
      </c>
      <c r="J161" s="13">
        <f t="shared" si="40"/>
        <v>300</v>
      </c>
      <c r="K161">
        <f t="shared" si="41"/>
        <v>0</v>
      </c>
      <c r="L161">
        <f t="shared" si="42"/>
        <v>5</v>
      </c>
      <c r="M161" s="14">
        <f t="shared" si="43"/>
        <v>0</v>
      </c>
      <c r="N161" s="13">
        <f t="shared" si="55"/>
        <v>0</v>
      </c>
      <c r="O161">
        <f t="shared" si="55"/>
        <v>13</v>
      </c>
      <c r="P161">
        <f t="shared" si="55"/>
        <v>0</v>
      </c>
      <c r="Q161" s="14">
        <f t="shared" si="48"/>
        <v>780</v>
      </c>
      <c r="R161" s="13">
        <f t="shared" si="49"/>
        <v>0</v>
      </c>
      <c r="S161">
        <f t="shared" si="50"/>
        <v>13</v>
      </c>
      <c r="T161">
        <f t="shared" si="51"/>
        <v>0</v>
      </c>
      <c r="U161" s="14">
        <f t="shared" si="52"/>
        <v>780</v>
      </c>
      <c r="V161" s="15"/>
      <c r="Z161" s="14"/>
    </row>
    <row r="162" spans="1:26" x14ac:dyDescent="0.25">
      <c r="A162" s="16"/>
      <c r="B162" s="17" t="b">
        <f t="shared" si="54"/>
        <v>0</v>
      </c>
      <c r="C162" s="17" t="b">
        <f t="shared" si="53"/>
        <v>0</v>
      </c>
      <c r="D162" s="17">
        <f t="shared" si="44"/>
        <v>1</v>
      </c>
      <c r="E162" s="17" t="str">
        <f t="shared" si="45"/>
        <v>Section 5 - Next steps</v>
      </c>
      <c r="F162" s="18" t="str">
        <f t="shared" si="46"/>
        <v/>
      </c>
      <c r="G162" s="13" t="str">
        <f t="shared" si="38"/>
        <v/>
      </c>
      <c r="H162">
        <f t="shared" si="39"/>
        <v>0</v>
      </c>
      <c r="I162" s="14">
        <f t="shared" si="47"/>
        <v>0</v>
      </c>
      <c r="J162" s="13">
        <f t="shared" si="40"/>
        <v>300</v>
      </c>
      <c r="K162">
        <f t="shared" si="41"/>
        <v>0</v>
      </c>
      <c r="L162">
        <f t="shared" si="42"/>
        <v>5</v>
      </c>
      <c r="M162" s="14">
        <f t="shared" si="43"/>
        <v>0</v>
      </c>
      <c r="N162" s="13">
        <f t="shared" si="55"/>
        <v>0</v>
      </c>
      <c r="O162">
        <f t="shared" si="55"/>
        <v>13</v>
      </c>
      <c r="P162">
        <f t="shared" si="55"/>
        <v>0</v>
      </c>
      <c r="Q162" s="14">
        <f t="shared" si="48"/>
        <v>780</v>
      </c>
      <c r="R162" s="13">
        <f t="shared" si="49"/>
        <v>0</v>
      </c>
      <c r="S162">
        <f t="shared" si="50"/>
        <v>13</v>
      </c>
      <c r="T162">
        <f t="shared" si="51"/>
        <v>0</v>
      </c>
      <c r="U162" s="14">
        <f t="shared" si="52"/>
        <v>780</v>
      </c>
      <c r="V162" s="15"/>
      <c r="Z162" s="14"/>
    </row>
    <row r="163" spans="1:26" x14ac:dyDescent="0.25">
      <c r="A163" s="16"/>
      <c r="B163" s="17" t="b">
        <f t="shared" si="54"/>
        <v>0</v>
      </c>
      <c r="C163" s="17" t="b">
        <f t="shared" si="53"/>
        <v>0</v>
      </c>
      <c r="D163" s="17">
        <f t="shared" si="44"/>
        <v>1</v>
      </c>
      <c r="E163" s="17" t="str">
        <f t="shared" si="45"/>
        <v>Section 5 - Next steps</v>
      </c>
      <c r="F163" s="18" t="str">
        <f t="shared" si="46"/>
        <v/>
      </c>
      <c r="G163" s="13" t="str">
        <f t="shared" si="38"/>
        <v/>
      </c>
      <c r="H163">
        <f t="shared" si="39"/>
        <v>0</v>
      </c>
      <c r="I163" s="14">
        <f t="shared" si="47"/>
        <v>0</v>
      </c>
      <c r="J163" s="13">
        <f t="shared" si="40"/>
        <v>300</v>
      </c>
      <c r="K163">
        <f t="shared" si="41"/>
        <v>0</v>
      </c>
      <c r="L163">
        <f t="shared" si="42"/>
        <v>5</v>
      </c>
      <c r="M163" s="14">
        <f t="shared" si="43"/>
        <v>0</v>
      </c>
      <c r="N163" s="13">
        <f t="shared" si="55"/>
        <v>0</v>
      </c>
      <c r="O163">
        <f t="shared" si="55"/>
        <v>13</v>
      </c>
      <c r="P163">
        <f t="shared" si="55"/>
        <v>0</v>
      </c>
      <c r="Q163" s="14">
        <f t="shared" si="48"/>
        <v>780</v>
      </c>
      <c r="R163" s="13">
        <f t="shared" si="49"/>
        <v>0</v>
      </c>
      <c r="S163">
        <f t="shared" si="50"/>
        <v>13</v>
      </c>
      <c r="T163">
        <f t="shared" si="51"/>
        <v>0</v>
      </c>
      <c r="U163" s="14">
        <f t="shared" si="52"/>
        <v>780</v>
      </c>
      <c r="V163" s="15"/>
      <c r="Z163" s="14"/>
    </row>
    <row r="164" spans="1:26" x14ac:dyDescent="0.25">
      <c r="A164" s="16"/>
      <c r="B164" s="17" t="b">
        <f t="shared" si="54"/>
        <v>0</v>
      </c>
      <c r="C164" s="17" t="b">
        <f t="shared" si="53"/>
        <v>0</v>
      </c>
      <c r="D164" s="17">
        <f t="shared" si="44"/>
        <v>1</v>
      </c>
      <c r="E164" s="17" t="str">
        <f t="shared" si="45"/>
        <v>Section 5 - Next steps</v>
      </c>
      <c r="F164" s="18" t="str">
        <f t="shared" si="46"/>
        <v/>
      </c>
      <c r="G164" s="13" t="str">
        <f t="shared" si="38"/>
        <v/>
      </c>
      <c r="H164">
        <f t="shared" si="39"/>
        <v>0</v>
      </c>
      <c r="I164" s="14">
        <f t="shared" si="47"/>
        <v>0</v>
      </c>
      <c r="J164" s="13">
        <f t="shared" si="40"/>
        <v>300</v>
      </c>
      <c r="K164">
        <f t="shared" si="41"/>
        <v>0</v>
      </c>
      <c r="L164">
        <f t="shared" si="42"/>
        <v>5</v>
      </c>
      <c r="M164" s="14">
        <f t="shared" si="43"/>
        <v>0</v>
      </c>
      <c r="N164" s="13">
        <f t="shared" si="55"/>
        <v>0</v>
      </c>
      <c r="O164">
        <f t="shared" si="55"/>
        <v>13</v>
      </c>
      <c r="P164">
        <f t="shared" si="55"/>
        <v>0</v>
      </c>
      <c r="Q164" s="14">
        <f t="shared" si="48"/>
        <v>780</v>
      </c>
      <c r="R164" s="13">
        <f t="shared" si="49"/>
        <v>0</v>
      </c>
      <c r="S164">
        <f t="shared" si="50"/>
        <v>13</v>
      </c>
      <c r="T164">
        <f t="shared" si="51"/>
        <v>0</v>
      </c>
      <c r="U164" s="14">
        <f t="shared" si="52"/>
        <v>780</v>
      </c>
      <c r="V164" s="15"/>
      <c r="Z164" s="14"/>
    </row>
    <row r="165" spans="1:26" x14ac:dyDescent="0.25">
      <c r="A165" s="16"/>
      <c r="B165" s="17" t="b">
        <f t="shared" si="54"/>
        <v>0</v>
      </c>
      <c r="C165" s="17" t="b">
        <f t="shared" si="53"/>
        <v>0</v>
      </c>
      <c r="D165" s="17">
        <f t="shared" si="44"/>
        <v>1</v>
      </c>
      <c r="E165" s="17" t="str">
        <f t="shared" si="45"/>
        <v>Section 5 - Next steps</v>
      </c>
      <c r="F165" s="18" t="str">
        <f t="shared" si="46"/>
        <v/>
      </c>
      <c r="G165" s="13" t="str">
        <f t="shared" si="38"/>
        <v/>
      </c>
      <c r="H165">
        <f t="shared" si="39"/>
        <v>0</v>
      </c>
      <c r="I165" s="14">
        <f t="shared" si="47"/>
        <v>0</v>
      </c>
      <c r="J165" s="13">
        <f t="shared" si="40"/>
        <v>300</v>
      </c>
      <c r="K165">
        <f t="shared" si="41"/>
        <v>0</v>
      </c>
      <c r="L165">
        <f t="shared" si="42"/>
        <v>5</v>
      </c>
      <c r="M165" s="14">
        <f t="shared" si="43"/>
        <v>0</v>
      </c>
      <c r="N165" s="13">
        <f t="shared" si="55"/>
        <v>0</v>
      </c>
      <c r="O165">
        <f t="shared" si="55"/>
        <v>13</v>
      </c>
      <c r="P165">
        <f t="shared" si="55"/>
        <v>0</v>
      </c>
      <c r="Q165" s="14">
        <f t="shared" si="48"/>
        <v>780</v>
      </c>
      <c r="R165" s="13">
        <f t="shared" si="49"/>
        <v>0</v>
      </c>
      <c r="S165">
        <f t="shared" si="50"/>
        <v>13</v>
      </c>
      <c r="T165">
        <f t="shared" si="51"/>
        <v>0</v>
      </c>
      <c r="U165" s="14">
        <f t="shared" si="52"/>
        <v>780</v>
      </c>
      <c r="V165" s="15"/>
      <c r="Z165" s="14"/>
    </row>
    <row r="166" spans="1:26" x14ac:dyDescent="0.25">
      <c r="A166" s="16"/>
      <c r="B166" s="17" t="b">
        <f t="shared" si="54"/>
        <v>0</v>
      </c>
      <c r="C166" s="17" t="b">
        <f t="shared" si="53"/>
        <v>0</v>
      </c>
      <c r="D166" s="17">
        <f t="shared" si="44"/>
        <v>1</v>
      </c>
      <c r="E166" s="17" t="str">
        <f t="shared" si="45"/>
        <v>Section 5 - Next steps</v>
      </c>
      <c r="F166" s="18" t="str">
        <f t="shared" si="46"/>
        <v/>
      </c>
      <c r="G166" s="13" t="str">
        <f t="shared" si="38"/>
        <v/>
      </c>
      <c r="H166">
        <f t="shared" si="39"/>
        <v>0</v>
      </c>
      <c r="I166" s="14">
        <f t="shared" si="47"/>
        <v>0</v>
      </c>
      <c r="J166" s="13">
        <f t="shared" si="40"/>
        <v>300</v>
      </c>
      <c r="K166">
        <f t="shared" si="41"/>
        <v>0</v>
      </c>
      <c r="L166">
        <f t="shared" si="42"/>
        <v>5</v>
      </c>
      <c r="M166" s="14">
        <f t="shared" si="43"/>
        <v>0</v>
      </c>
      <c r="N166" s="13">
        <f t="shared" si="55"/>
        <v>0</v>
      </c>
      <c r="O166">
        <f t="shared" si="55"/>
        <v>13</v>
      </c>
      <c r="P166">
        <f t="shared" si="55"/>
        <v>0</v>
      </c>
      <c r="Q166" s="14">
        <f t="shared" si="48"/>
        <v>780</v>
      </c>
      <c r="R166" s="13">
        <f t="shared" si="49"/>
        <v>0</v>
      </c>
      <c r="S166">
        <f t="shared" si="50"/>
        <v>13</v>
      </c>
      <c r="T166">
        <f t="shared" si="51"/>
        <v>0</v>
      </c>
      <c r="U166" s="14">
        <f t="shared" si="52"/>
        <v>780</v>
      </c>
      <c r="V166" s="15"/>
      <c r="Z166" s="14"/>
    </row>
    <row r="167" spans="1:26" x14ac:dyDescent="0.25">
      <c r="A167" s="16"/>
      <c r="B167" s="17" t="b">
        <f t="shared" si="54"/>
        <v>0</v>
      </c>
      <c r="C167" s="17" t="b">
        <f t="shared" si="53"/>
        <v>0</v>
      </c>
      <c r="D167" s="17">
        <f t="shared" si="44"/>
        <v>1</v>
      </c>
      <c r="E167" s="17" t="str">
        <f t="shared" si="45"/>
        <v>Section 5 - Next steps</v>
      </c>
      <c r="F167" s="18" t="str">
        <f t="shared" si="46"/>
        <v/>
      </c>
      <c r="G167" s="13" t="str">
        <f t="shared" si="38"/>
        <v/>
      </c>
      <c r="H167">
        <f t="shared" si="39"/>
        <v>0</v>
      </c>
      <c r="I167" s="14">
        <f t="shared" si="47"/>
        <v>0</v>
      </c>
      <c r="J167" s="13">
        <f t="shared" si="40"/>
        <v>300</v>
      </c>
      <c r="K167">
        <f t="shared" si="41"/>
        <v>0</v>
      </c>
      <c r="L167">
        <f t="shared" si="42"/>
        <v>5</v>
      </c>
      <c r="M167" s="14">
        <f t="shared" si="43"/>
        <v>0</v>
      </c>
      <c r="N167" s="13">
        <f t="shared" si="55"/>
        <v>0</v>
      </c>
      <c r="O167">
        <f t="shared" si="55"/>
        <v>13</v>
      </c>
      <c r="P167">
        <f t="shared" si="55"/>
        <v>0</v>
      </c>
      <c r="Q167" s="14">
        <f t="shared" si="48"/>
        <v>780</v>
      </c>
      <c r="R167" s="13">
        <f t="shared" si="49"/>
        <v>0</v>
      </c>
      <c r="S167">
        <f t="shared" si="50"/>
        <v>13</v>
      </c>
      <c r="T167">
        <f t="shared" si="51"/>
        <v>0</v>
      </c>
      <c r="U167" s="14">
        <f t="shared" si="52"/>
        <v>780</v>
      </c>
      <c r="V167" s="15"/>
      <c r="Z167" s="14"/>
    </row>
    <row r="168" spans="1:26" x14ac:dyDescent="0.25">
      <c r="A168" s="16"/>
      <c r="B168" s="17" t="b">
        <f t="shared" si="54"/>
        <v>0</v>
      </c>
      <c r="C168" s="17" t="b">
        <f t="shared" si="53"/>
        <v>0</v>
      </c>
      <c r="D168" s="17">
        <f t="shared" si="44"/>
        <v>1</v>
      </c>
      <c r="E168" s="17" t="str">
        <f t="shared" si="45"/>
        <v>Section 5 - Next steps</v>
      </c>
      <c r="F168" s="18" t="str">
        <f t="shared" si="46"/>
        <v/>
      </c>
      <c r="G168" s="13" t="str">
        <f t="shared" si="38"/>
        <v/>
      </c>
      <c r="H168">
        <f t="shared" si="39"/>
        <v>0</v>
      </c>
      <c r="I168" s="14">
        <f t="shared" si="47"/>
        <v>0</v>
      </c>
      <c r="J168" s="13">
        <f t="shared" si="40"/>
        <v>300</v>
      </c>
      <c r="K168">
        <f t="shared" si="41"/>
        <v>0</v>
      </c>
      <c r="L168">
        <f t="shared" si="42"/>
        <v>5</v>
      </c>
      <c r="M168" s="14">
        <f t="shared" si="43"/>
        <v>0</v>
      </c>
      <c r="N168" s="13">
        <f t="shared" si="55"/>
        <v>0</v>
      </c>
      <c r="O168">
        <f t="shared" si="55"/>
        <v>13</v>
      </c>
      <c r="P168">
        <f t="shared" si="55"/>
        <v>0</v>
      </c>
      <c r="Q168" s="14">
        <f t="shared" si="48"/>
        <v>780</v>
      </c>
      <c r="R168" s="13">
        <f t="shared" si="49"/>
        <v>0</v>
      </c>
      <c r="S168">
        <f t="shared" si="50"/>
        <v>13</v>
      </c>
      <c r="T168">
        <f t="shared" si="51"/>
        <v>0</v>
      </c>
      <c r="U168" s="14">
        <f t="shared" si="52"/>
        <v>780</v>
      </c>
      <c r="V168" s="15"/>
      <c r="Z168" s="14"/>
    </row>
    <row r="169" spans="1:26" x14ac:dyDescent="0.25">
      <c r="A169" s="16"/>
      <c r="B169" s="17" t="b">
        <f t="shared" si="54"/>
        <v>0</v>
      </c>
      <c r="C169" s="17" t="b">
        <f t="shared" si="53"/>
        <v>0</v>
      </c>
      <c r="D169" s="17">
        <f t="shared" si="44"/>
        <v>1</v>
      </c>
      <c r="E169" s="17" t="str">
        <f t="shared" si="45"/>
        <v>Section 5 - Next steps</v>
      </c>
      <c r="F169" s="18" t="str">
        <f t="shared" si="46"/>
        <v/>
      </c>
      <c r="G169" s="13" t="str">
        <f t="shared" si="38"/>
        <v/>
      </c>
      <c r="H169">
        <f t="shared" si="39"/>
        <v>0</v>
      </c>
      <c r="I169" s="14">
        <f t="shared" si="47"/>
        <v>0</v>
      </c>
      <c r="J169" s="13">
        <f t="shared" si="40"/>
        <v>300</v>
      </c>
      <c r="K169">
        <f t="shared" si="41"/>
        <v>0</v>
      </c>
      <c r="L169">
        <f t="shared" si="42"/>
        <v>5</v>
      </c>
      <c r="M169" s="14">
        <f t="shared" si="43"/>
        <v>0</v>
      </c>
      <c r="N169" s="13">
        <f t="shared" si="55"/>
        <v>0</v>
      </c>
      <c r="O169">
        <f t="shared" si="55"/>
        <v>13</v>
      </c>
      <c r="P169">
        <f t="shared" si="55"/>
        <v>0</v>
      </c>
      <c r="Q169" s="14">
        <f t="shared" si="48"/>
        <v>780</v>
      </c>
      <c r="R169" s="13">
        <f t="shared" si="49"/>
        <v>0</v>
      </c>
      <c r="S169">
        <f t="shared" si="50"/>
        <v>13</v>
      </c>
      <c r="T169">
        <f t="shared" si="51"/>
        <v>0</v>
      </c>
      <c r="U169" s="14">
        <f t="shared" si="52"/>
        <v>780</v>
      </c>
      <c r="V169" s="15"/>
      <c r="Z169" s="14"/>
    </row>
    <row r="170" spans="1:26" x14ac:dyDescent="0.25">
      <c r="A170" s="16"/>
      <c r="B170" s="17" t="b">
        <f t="shared" si="54"/>
        <v>0</v>
      </c>
      <c r="C170" s="17" t="b">
        <f t="shared" si="53"/>
        <v>0</v>
      </c>
      <c r="D170" s="17">
        <f t="shared" si="44"/>
        <v>1</v>
      </c>
      <c r="E170" s="17" t="str">
        <f t="shared" si="45"/>
        <v>Section 5 - Next steps</v>
      </c>
      <c r="F170" s="18" t="str">
        <f t="shared" si="46"/>
        <v/>
      </c>
      <c r="G170" s="13" t="str">
        <f t="shared" si="38"/>
        <v/>
      </c>
      <c r="H170">
        <f t="shared" si="39"/>
        <v>0</v>
      </c>
      <c r="I170" s="14">
        <f t="shared" si="47"/>
        <v>0</v>
      </c>
      <c r="J170" s="13">
        <f t="shared" si="40"/>
        <v>300</v>
      </c>
      <c r="K170">
        <f t="shared" si="41"/>
        <v>0</v>
      </c>
      <c r="L170">
        <f t="shared" si="42"/>
        <v>5</v>
      </c>
      <c r="M170" s="14">
        <f t="shared" si="43"/>
        <v>0</v>
      </c>
      <c r="N170" s="13">
        <f t="shared" si="55"/>
        <v>0</v>
      </c>
      <c r="O170">
        <f t="shared" si="55"/>
        <v>13</v>
      </c>
      <c r="P170">
        <f t="shared" si="55"/>
        <v>0</v>
      </c>
      <c r="Q170" s="14">
        <f t="shared" si="48"/>
        <v>780</v>
      </c>
      <c r="R170" s="13">
        <f t="shared" si="49"/>
        <v>0</v>
      </c>
      <c r="S170">
        <f t="shared" si="50"/>
        <v>13</v>
      </c>
      <c r="T170">
        <f t="shared" si="51"/>
        <v>0</v>
      </c>
      <c r="U170" s="14">
        <f t="shared" si="52"/>
        <v>780</v>
      </c>
      <c r="V170" s="15"/>
      <c r="Z170" s="14"/>
    </row>
    <row r="171" spans="1:26" x14ac:dyDescent="0.25">
      <c r="A171" s="16"/>
      <c r="B171" s="17" t="b">
        <f t="shared" si="54"/>
        <v>0</v>
      </c>
      <c r="C171" s="17" t="b">
        <f t="shared" si="53"/>
        <v>0</v>
      </c>
      <c r="D171" s="17">
        <f t="shared" si="44"/>
        <v>1</v>
      </c>
      <c r="E171" s="17" t="str">
        <f t="shared" si="45"/>
        <v>Section 5 - Next steps</v>
      </c>
      <c r="F171" s="18" t="str">
        <f t="shared" si="46"/>
        <v/>
      </c>
      <c r="G171" s="13" t="str">
        <f t="shared" si="38"/>
        <v/>
      </c>
      <c r="H171">
        <f t="shared" si="39"/>
        <v>0</v>
      </c>
      <c r="I171" s="14">
        <f t="shared" si="47"/>
        <v>0</v>
      </c>
      <c r="J171" s="13">
        <f t="shared" si="40"/>
        <v>300</v>
      </c>
      <c r="K171">
        <f t="shared" si="41"/>
        <v>0</v>
      </c>
      <c r="L171">
        <f t="shared" si="42"/>
        <v>5</v>
      </c>
      <c r="M171" s="14">
        <f t="shared" si="43"/>
        <v>0</v>
      </c>
      <c r="N171" s="13">
        <f t="shared" si="55"/>
        <v>0</v>
      </c>
      <c r="O171">
        <f t="shared" si="55"/>
        <v>13</v>
      </c>
      <c r="P171">
        <f t="shared" si="55"/>
        <v>0</v>
      </c>
      <c r="Q171" s="14">
        <f t="shared" si="48"/>
        <v>780</v>
      </c>
      <c r="R171" s="13">
        <f t="shared" si="49"/>
        <v>0</v>
      </c>
      <c r="S171">
        <f t="shared" si="50"/>
        <v>13</v>
      </c>
      <c r="T171">
        <f t="shared" si="51"/>
        <v>0</v>
      </c>
      <c r="U171" s="14">
        <f t="shared" si="52"/>
        <v>780</v>
      </c>
      <c r="V171" s="15"/>
      <c r="Z171" s="14"/>
    </row>
    <row r="172" spans="1:26" x14ac:dyDescent="0.25">
      <c r="A172" s="16"/>
      <c r="B172" s="17" t="b">
        <f t="shared" si="54"/>
        <v>0</v>
      </c>
      <c r="C172" s="17" t="b">
        <f t="shared" si="53"/>
        <v>0</v>
      </c>
      <c r="D172" s="17">
        <f t="shared" si="44"/>
        <v>1</v>
      </c>
      <c r="E172" s="17" t="str">
        <f t="shared" si="45"/>
        <v>Section 5 - Next steps</v>
      </c>
      <c r="F172" s="18" t="str">
        <f t="shared" si="46"/>
        <v/>
      </c>
      <c r="G172" s="13" t="str">
        <f t="shared" si="38"/>
        <v/>
      </c>
      <c r="H172">
        <f t="shared" si="39"/>
        <v>0</v>
      </c>
      <c r="I172" s="14">
        <f t="shared" si="47"/>
        <v>0</v>
      </c>
      <c r="J172" s="13">
        <f t="shared" si="40"/>
        <v>300</v>
      </c>
      <c r="K172">
        <f t="shared" si="41"/>
        <v>0</v>
      </c>
      <c r="L172">
        <f t="shared" si="42"/>
        <v>5</v>
      </c>
      <c r="M172" s="14">
        <f t="shared" si="43"/>
        <v>0</v>
      </c>
      <c r="N172" s="13">
        <f t="shared" si="55"/>
        <v>0</v>
      </c>
      <c r="O172">
        <f t="shared" si="55"/>
        <v>13</v>
      </c>
      <c r="P172">
        <f t="shared" si="55"/>
        <v>0</v>
      </c>
      <c r="Q172" s="14">
        <f t="shared" si="48"/>
        <v>780</v>
      </c>
      <c r="R172" s="13">
        <f t="shared" si="49"/>
        <v>0</v>
      </c>
      <c r="S172">
        <f t="shared" si="50"/>
        <v>13</v>
      </c>
      <c r="T172">
        <f t="shared" si="51"/>
        <v>0</v>
      </c>
      <c r="U172" s="14">
        <f t="shared" si="52"/>
        <v>780</v>
      </c>
      <c r="V172" s="15"/>
      <c r="Z172" s="14"/>
    </row>
    <row r="173" spans="1:26" x14ac:dyDescent="0.25">
      <c r="A173" s="16"/>
      <c r="B173" s="17" t="b">
        <f t="shared" si="54"/>
        <v>0</v>
      </c>
      <c r="C173" s="17" t="b">
        <f t="shared" si="53"/>
        <v>0</v>
      </c>
      <c r="D173" s="17">
        <f t="shared" si="44"/>
        <v>1</v>
      </c>
      <c r="E173" s="17" t="str">
        <f t="shared" si="45"/>
        <v>Section 5 - Next steps</v>
      </c>
      <c r="F173" s="18" t="str">
        <f t="shared" si="46"/>
        <v/>
      </c>
      <c r="G173" s="13" t="str">
        <f t="shared" si="38"/>
        <v/>
      </c>
      <c r="H173">
        <f t="shared" si="39"/>
        <v>0</v>
      </c>
      <c r="I173" s="14">
        <f t="shared" si="47"/>
        <v>0</v>
      </c>
      <c r="J173" s="13">
        <f t="shared" si="40"/>
        <v>300</v>
      </c>
      <c r="K173">
        <f t="shared" si="41"/>
        <v>0</v>
      </c>
      <c r="L173">
        <f t="shared" si="42"/>
        <v>5</v>
      </c>
      <c r="M173" s="14">
        <f t="shared" si="43"/>
        <v>0</v>
      </c>
      <c r="N173" s="13">
        <f t="shared" si="55"/>
        <v>0</v>
      </c>
      <c r="O173">
        <f t="shared" si="55"/>
        <v>13</v>
      </c>
      <c r="P173">
        <f t="shared" si="55"/>
        <v>0</v>
      </c>
      <c r="Q173" s="14">
        <f t="shared" si="48"/>
        <v>780</v>
      </c>
      <c r="R173" s="13">
        <f t="shared" si="49"/>
        <v>0</v>
      </c>
      <c r="S173">
        <f t="shared" si="50"/>
        <v>13</v>
      </c>
      <c r="T173">
        <f t="shared" si="51"/>
        <v>0</v>
      </c>
      <c r="U173" s="14">
        <f t="shared" si="52"/>
        <v>780</v>
      </c>
      <c r="V173" s="15"/>
      <c r="Z173" s="14"/>
    </row>
    <row r="174" spans="1:26" x14ac:dyDescent="0.25">
      <c r="A174" s="16"/>
      <c r="B174" s="17" t="b">
        <f t="shared" si="54"/>
        <v>0</v>
      </c>
      <c r="C174" s="17" t="b">
        <f t="shared" si="53"/>
        <v>0</v>
      </c>
      <c r="D174" s="17">
        <f t="shared" si="44"/>
        <v>1</v>
      </c>
      <c r="E174" s="17" t="str">
        <f t="shared" si="45"/>
        <v>Section 5 - Next steps</v>
      </c>
      <c r="F174" s="18" t="str">
        <f t="shared" si="46"/>
        <v/>
      </c>
      <c r="G174" s="13" t="str">
        <f t="shared" si="38"/>
        <v/>
      </c>
      <c r="H174">
        <f t="shared" si="39"/>
        <v>0</v>
      </c>
      <c r="I174" s="14">
        <f t="shared" si="47"/>
        <v>0</v>
      </c>
      <c r="J174" s="13">
        <f t="shared" si="40"/>
        <v>300</v>
      </c>
      <c r="K174">
        <f t="shared" si="41"/>
        <v>0</v>
      </c>
      <c r="L174">
        <f t="shared" si="42"/>
        <v>5</v>
      </c>
      <c r="M174" s="14">
        <f t="shared" si="43"/>
        <v>0</v>
      </c>
      <c r="N174" s="13">
        <f t="shared" si="55"/>
        <v>0</v>
      </c>
      <c r="O174">
        <f t="shared" si="55"/>
        <v>13</v>
      </c>
      <c r="P174">
        <f t="shared" si="55"/>
        <v>0</v>
      </c>
      <c r="Q174" s="14">
        <f t="shared" si="48"/>
        <v>780</v>
      </c>
      <c r="R174" s="13">
        <f t="shared" si="49"/>
        <v>0</v>
      </c>
      <c r="S174">
        <f t="shared" si="50"/>
        <v>13</v>
      </c>
      <c r="T174">
        <f t="shared" si="51"/>
        <v>0</v>
      </c>
      <c r="U174" s="14">
        <f t="shared" si="52"/>
        <v>780</v>
      </c>
      <c r="V174" s="15"/>
      <c r="Z174" s="14"/>
    </row>
    <row r="175" spans="1:26" x14ac:dyDescent="0.25">
      <c r="A175" s="16"/>
      <c r="B175" s="17" t="b">
        <f t="shared" si="54"/>
        <v>0</v>
      </c>
      <c r="C175" s="17" t="b">
        <f t="shared" si="53"/>
        <v>0</v>
      </c>
      <c r="D175" s="17">
        <f t="shared" si="44"/>
        <v>1</v>
      </c>
      <c r="E175" s="17" t="str">
        <f t="shared" si="45"/>
        <v>Section 5 - Next steps</v>
      </c>
      <c r="F175" s="18" t="str">
        <f t="shared" si="46"/>
        <v/>
      </c>
      <c r="G175" s="13" t="str">
        <f t="shared" si="38"/>
        <v/>
      </c>
      <c r="H175">
        <f t="shared" si="39"/>
        <v>0</v>
      </c>
      <c r="I175" s="14">
        <f t="shared" si="47"/>
        <v>0</v>
      </c>
      <c r="J175" s="13">
        <f t="shared" si="40"/>
        <v>300</v>
      </c>
      <c r="K175">
        <f t="shared" si="41"/>
        <v>0</v>
      </c>
      <c r="L175">
        <f t="shared" si="42"/>
        <v>5</v>
      </c>
      <c r="M175" s="14">
        <f t="shared" si="43"/>
        <v>0</v>
      </c>
      <c r="N175" s="13">
        <f t="shared" si="55"/>
        <v>0</v>
      </c>
      <c r="O175">
        <f t="shared" si="55"/>
        <v>13</v>
      </c>
      <c r="P175">
        <f t="shared" si="55"/>
        <v>0</v>
      </c>
      <c r="Q175" s="14">
        <f t="shared" si="48"/>
        <v>780</v>
      </c>
      <c r="R175" s="13">
        <f t="shared" si="49"/>
        <v>0</v>
      </c>
      <c r="S175">
        <f t="shared" si="50"/>
        <v>13</v>
      </c>
      <c r="T175">
        <f t="shared" si="51"/>
        <v>0</v>
      </c>
      <c r="U175" s="14">
        <f t="shared" si="52"/>
        <v>780</v>
      </c>
      <c r="V175" s="15"/>
      <c r="Z175" s="14"/>
    </row>
    <row r="176" spans="1:26" x14ac:dyDescent="0.25">
      <c r="A176" s="16"/>
      <c r="B176" s="17" t="b">
        <f t="shared" si="54"/>
        <v>0</v>
      </c>
      <c r="C176" s="17" t="b">
        <f t="shared" si="53"/>
        <v>0</v>
      </c>
      <c r="D176" s="17">
        <f t="shared" si="44"/>
        <v>1</v>
      </c>
      <c r="E176" s="17" t="str">
        <f t="shared" si="45"/>
        <v>Section 5 - Next steps</v>
      </c>
      <c r="F176" s="18" t="str">
        <f t="shared" si="46"/>
        <v/>
      </c>
      <c r="G176" s="13" t="str">
        <f t="shared" si="38"/>
        <v/>
      </c>
      <c r="H176">
        <f t="shared" si="39"/>
        <v>0</v>
      </c>
      <c r="I176" s="14">
        <f t="shared" si="47"/>
        <v>0</v>
      </c>
      <c r="J176" s="13">
        <f t="shared" si="40"/>
        <v>300</v>
      </c>
      <c r="K176">
        <f t="shared" si="41"/>
        <v>0</v>
      </c>
      <c r="L176">
        <f t="shared" si="42"/>
        <v>5</v>
      </c>
      <c r="M176" s="14">
        <f t="shared" si="43"/>
        <v>0</v>
      </c>
      <c r="N176" s="13">
        <f t="shared" si="55"/>
        <v>0</v>
      </c>
      <c r="O176">
        <f t="shared" si="55"/>
        <v>13</v>
      </c>
      <c r="P176">
        <f t="shared" si="55"/>
        <v>0</v>
      </c>
      <c r="Q176" s="14">
        <f t="shared" si="48"/>
        <v>780</v>
      </c>
      <c r="R176" s="13">
        <f t="shared" si="49"/>
        <v>0</v>
      </c>
      <c r="S176">
        <f t="shared" si="50"/>
        <v>13</v>
      </c>
      <c r="T176">
        <f t="shared" si="51"/>
        <v>0</v>
      </c>
      <c r="U176" s="14">
        <f t="shared" si="52"/>
        <v>780</v>
      </c>
      <c r="V176" s="15"/>
      <c r="Z176" s="14"/>
    </row>
    <row r="177" spans="1:26" x14ac:dyDescent="0.25">
      <c r="A177" s="16"/>
      <c r="B177" s="17" t="b">
        <f t="shared" si="54"/>
        <v>0</v>
      </c>
      <c r="C177" s="17" t="b">
        <f t="shared" si="53"/>
        <v>0</v>
      </c>
      <c r="D177" s="17">
        <f t="shared" si="44"/>
        <v>1</v>
      </c>
      <c r="E177" s="17" t="str">
        <f t="shared" si="45"/>
        <v>Section 5 - Next steps</v>
      </c>
      <c r="F177" s="18" t="str">
        <f t="shared" si="46"/>
        <v/>
      </c>
      <c r="G177" s="13" t="str">
        <f t="shared" si="38"/>
        <v/>
      </c>
      <c r="H177">
        <f t="shared" si="39"/>
        <v>0</v>
      </c>
      <c r="I177" s="14">
        <f t="shared" si="47"/>
        <v>0</v>
      </c>
      <c r="J177" s="13">
        <f t="shared" si="40"/>
        <v>300</v>
      </c>
      <c r="K177">
        <f t="shared" si="41"/>
        <v>0</v>
      </c>
      <c r="L177">
        <f t="shared" si="42"/>
        <v>5</v>
      </c>
      <c r="M177" s="14">
        <f t="shared" si="43"/>
        <v>0</v>
      </c>
      <c r="N177" s="13">
        <f t="shared" si="55"/>
        <v>0</v>
      </c>
      <c r="O177">
        <f t="shared" si="55"/>
        <v>13</v>
      </c>
      <c r="P177">
        <f t="shared" si="55"/>
        <v>0</v>
      </c>
      <c r="Q177" s="14">
        <f t="shared" si="48"/>
        <v>780</v>
      </c>
      <c r="R177" s="13">
        <f t="shared" si="49"/>
        <v>0</v>
      </c>
      <c r="S177">
        <f t="shared" si="50"/>
        <v>13</v>
      </c>
      <c r="T177">
        <f t="shared" si="51"/>
        <v>0</v>
      </c>
      <c r="U177" s="14">
        <f t="shared" si="52"/>
        <v>780</v>
      </c>
      <c r="V177" s="15"/>
      <c r="Z177" s="14"/>
    </row>
    <row r="178" spans="1:26" x14ac:dyDescent="0.25">
      <c r="A178" s="16"/>
      <c r="B178" s="17" t="b">
        <f t="shared" si="54"/>
        <v>0</v>
      </c>
      <c r="C178" s="17" t="b">
        <f t="shared" si="53"/>
        <v>0</v>
      </c>
      <c r="D178" s="17">
        <f t="shared" si="44"/>
        <v>1</v>
      </c>
      <c r="E178" s="17" t="str">
        <f t="shared" si="45"/>
        <v>Section 5 - Next steps</v>
      </c>
      <c r="F178" s="18" t="str">
        <f t="shared" si="46"/>
        <v/>
      </c>
      <c r="G178" s="13" t="str">
        <f t="shared" si="38"/>
        <v/>
      </c>
      <c r="H178">
        <f t="shared" si="39"/>
        <v>0</v>
      </c>
      <c r="I178" s="14">
        <f t="shared" si="47"/>
        <v>0</v>
      </c>
      <c r="J178" s="13">
        <f t="shared" si="40"/>
        <v>300</v>
      </c>
      <c r="K178">
        <f t="shared" si="41"/>
        <v>0</v>
      </c>
      <c r="L178">
        <f t="shared" si="42"/>
        <v>5</v>
      </c>
      <c r="M178" s="14">
        <f t="shared" si="43"/>
        <v>0</v>
      </c>
      <c r="N178" s="13">
        <f t="shared" si="55"/>
        <v>0</v>
      </c>
      <c r="O178">
        <f t="shared" si="55"/>
        <v>13</v>
      </c>
      <c r="P178">
        <f t="shared" si="55"/>
        <v>0</v>
      </c>
      <c r="Q178" s="14">
        <f t="shared" si="48"/>
        <v>780</v>
      </c>
      <c r="R178" s="13">
        <f t="shared" si="49"/>
        <v>0</v>
      </c>
      <c r="S178">
        <f t="shared" si="50"/>
        <v>13</v>
      </c>
      <c r="T178">
        <f t="shared" si="51"/>
        <v>0</v>
      </c>
      <c r="U178" s="14">
        <f t="shared" si="52"/>
        <v>780</v>
      </c>
      <c r="V178" s="15"/>
      <c r="Z178" s="14"/>
    </row>
    <row r="179" spans="1:26" x14ac:dyDescent="0.25">
      <c r="A179" s="16"/>
      <c r="B179" s="17" t="b">
        <f t="shared" si="54"/>
        <v>0</v>
      </c>
      <c r="C179" s="17" t="b">
        <f t="shared" si="53"/>
        <v>0</v>
      </c>
      <c r="D179" s="17">
        <f t="shared" si="44"/>
        <v>1</v>
      </c>
      <c r="E179" s="17" t="str">
        <f t="shared" si="45"/>
        <v>Section 5 - Next steps</v>
      </c>
      <c r="F179" s="18" t="str">
        <f t="shared" si="46"/>
        <v/>
      </c>
      <c r="G179" s="13" t="str">
        <f t="shared" si="38"/>
        <v/>
      </c>
      <c r="H179">
        <f t="shared" si="39"/>
        <v>0</v>
      </c>
      <c r="I179" s="14">
        <f t="shared" si="47"/>
        <v>0</v>
      </c>
      <c r="J179" s="13">
        <f t="shared" si="40"/>
        <v>300</v>
      </c>
      <c r="K179">
        <f t="shared" si="41"/>
        <v>0</v>
      </c>
      <c r="L179">
        <f t="shared" si="42"/>
        <v>5</v>
      </c>
      <c r="M179" s="14">
        <f t="shared" si="43"/>
        <v>0</v>
      </c>
      <c r="N179" s="13">
        <f t="shared" si="55"/>
        <v>0</v>
      </c>
      <c r="O179">
        <f t="shared" si="55"/>
        <v>13</v>
      </c>
      <c r="P179">
        <f t="shared" si="55"/>
        <v>0</v>
      </c>
      <c r="Q179" s="14">
        <f t="shared" si="48"/>
        <v>780</v>
      </c>
      <c r="R179" s="13">
        <f t="shared" si="49"/>
        <v>0</v>
      </c>
      <c r="S179">
        <f t="shared" si="50"/>
        <v>13</v>
      </c>
      <c r="T179">
        <f t="shared" si="51"/>
        <v>0</v>
      </c>
      <c r="U179" s="14">
        <f t="shared" si="52"/>
        <v>780</v>
      </c>
      <c r="V179" s="15"/>
      <c r="Z179" s="14"/>
    </row>
    <row r="180" spans="1:26" x14ac:dyDescent="0.25">
      <c r="A180" s="16"/>
      <c r="B180" s="17" t="b">
        <f t="shared" si="54"/>
        <v>0</v>
      </c>
      <c r="C180" s="17" t="b">
        <f t="shared" si="53"/>
        <v>0</v>
      </c>
      <c r="D180" s="17">
        <f t="shared" si="44"/>
        <v>1</v>
      </c>
      <c r="E180" s="17" t="str">
        <f t="shared" si="45"/>
        <v>Section 5 - Next steps</v>
      </c>
      <c r="F180" s="18" t="str">
        <f t="shared" si="46"/>
        <v/>
      </c>
      <c r="G180" s="13" t="str">
        <f t="shared" si="38"/>
        <v/>
      </c>
      <c r="H180">
        <f t="shared" si="39"/>
        <v>0</v>
      </c>
      <c r="I180" s="14">
        <f t="shared" si="47"/>
        <v>0</v>
      </c>
      <c r="J180" s="13">
        <f t="shared" si="40"/>
        <v>300</v>
      </c>
      <c r="K180">
        <f t="shared" si="41"/>
        <v>0</v>
      </c>
      <c r="L180">
        <f t="shared" si="42"/>
        <v>5</v>
      </c>
      <c r="M180" s="14">
        <f t="shared" si="43"/>
        <v>0</v>
      </c>
      <c r="N180" s="13">
        <f t="shared" si="55"/>
        <v>0</v>
      </c>
      <c r="O180">
        <f t="shared" si="55"/>
        <v>13</v>
      </c>
      <c r="P180">
        <f t="shared" si="55"/>
        <v>0</v>
      </c>
      <c r="Q180" s="14">
        <f t="shared" si="48"/>
        <v>780</v>
      </c>
      <c r="R180" s="13">
        <f t="shared" si="49"/>
        <v>0</v>
      </c>
      <c r="S180">
        <f t="shared" si="50"/>
        <v>13</v>
      </c>
      <c r="T180">
        <f t="shared" si="51"/>
        <v>0</v>
      </c>
      <c r="U180" s="14">
        <f t="shared" si="52"/>
        <v>780</v>
      </c>
      <c r="V180" s="15"/>
      <c r="Z180" s="14"/>
    </row>
    <row r="181" spans="1:26" x14ac:dyDescent="0.25">
      <c r="A181" s="16"/>
      <c r="B181" s="17" t="b">
        <f t="shared" si="54"/>
        <v>0</v>
      </c>
      <c r="C181" s="17" t="b">
        <f t="shared" si="53"/>
        <v>0</v>
      </c>
      <c r="D181" s="17">
        <f t="shared" si="44"/>
        <v>1</v>
      </c>
      <c r="E181" s="17" t="str">
        <f t="shared" si="45"/>
        <v>Section 5 - Next steps</v>
      </c>
      <c r="F181" s="18" t="str">
        <f t="shared" si="46"/>
        <v/>
      </c>
      <c r="G181" s="13" t="str">
        <f t="shared" si="38"/>
        <v/>
      </c>
      <c r="H181">
        <f t="shared" si="39"/>
        <v>0</v>
      </c>
      <c r="I181" s="14">
        <f t="shared" si="47"/>
        <v>0</v>
      </c>
      <c r="J181" s="13">
        <f t="shared" si="40"/>
        <v>300</v>
      </c>
      <c r="K181">
        <f t="shared" si="41"/>
        <v>0</v>
      </c>
      <c r="L181">
        <f t="shared" si="42"/>
        <v>5</v>
      </c>
      <c r="M181" s="14">
        <f t="shared" si="43"/>
        <v>0</v>
      </c>
      <c r="N181" s="13">
        <f t="shared" si="55"/>
        <v>0</v>
      </c>
      <c r="O181">
        <f t="shared" si="55"/>
        <v>13</v>
      </c>
      <c r="P181">
        <f t="shared" si="55"/>
        <v>0</v>
      </c>
      <c r="Q181" s="14">
        <f t="shared" si="48"/>
        <v>780</v>
      </c>
      <c r="R181" s="13">
        <f t="shared" si="49"/>
        <v>0</v>
      </c>
      <c r="S181">
        <f t="shared" si="50"/>
        <v>13</v>
      </c>
      <c r="T181">
        <f t="shared" si="51"/>
        <v>0</v>
      </c>
      <c r="U181" s="14">
        <f t="shared" si="52"/>
        <v>780</v>
      </c>
      <c r="V181" s="15"/>
      <c r="Z181" s="14"/>
    </row>
    <row r="182" spans="1:26" x14ac:dyDescent="0.25">
      <c r="A182" s="16"/>
      <c r="B182" s="17" t="b">
        <f t="shared" si="54"/>
        <v>0</v>
      </c>
      <c r="C182" s="17" t="b">
        <f t="shared" si="53"/>
        <v>0</v>
      </c>
      <c r="D182" s="17">
        <f t="shared" si="44"/>
        <v>1</v>
      </c>
      <c r="E182" s="17" t="str">
        <f t="shared" si="45"/>
        <v>Section 5 - Next steps</v>
      </c>
      <c r="F182" s="18" t="str">
        <f t="shared" si="46"/>
        <v/>
      </c>
      <c r="G182" s="13" t="str">
        <f t="shared" si="38"/>
        <v/>
      </c>
      <c r="H182">
        <f t="shared" si="39"/>
        <v>0</v>
      </c>
      <c r="I182" s="14">
        <f t="shared" si="47"/>
        <v>0</v>
      </c>
      <c r="J182" s="13">
        <f t="shared" si="40"/>
        <v>300</v>
      </c>
      <c r="K182">
        <f t="shared" si="41"/>
        <v>0</v>
      </c>
      <c r="L182">
        <f t="shared" si="42"/>
        <v>5</v>
      </c>
      <c r="M182" s="14">
        <f t="shared" si="43"/>
        <v>0</v>
      </c>
      <c r="N182" s="13">
        <f t="shared" si="55"/>
        <v>0</v>
      </c>
      <c r="O182">
        <f t="shared" si="55"/>
        <v>13</v>
      </c>
      <c r="P182">
        <f t="shared" si="55"/>
        <v>0</v>
      </c>
      <c r="Q182" s="14">
        <f t="shared" si="48"/>
        <v>780</v>
      </c>
      <c r="R182" s="13">
        <f t="shared" si="49"/>
        <v>0</v>
      </c>
      <c r="S182">
        <f t="shared" si="50"/>
        <v>13</v>
      </c>
      <c r="T182">
        <f t="shared" si="51"/>
        <v>0</v>
      </c>
      <c r="U182" s="14">
        <f t="shared" si="52"/>
        <v>780</v>
      </c>
      <c r="V182" s="15"/>
      <c r="Z182" s="14"/>
    </row>
    <row r="183" spans="1:26" x14ac:dyDescent="0.25">
      <c r="A183" s="16"/>
      <c r="B183" s="17" t="b">
        <f t="shared" si="54"/>
        <v>0</v>
      </c>
      <c r="C183" s="17" t="b">
        <f t="shared" si="53"/>
        <v>0</v>
      </c>
      <c r="D183" s="17">
        <f t="shared" si="44"/>
        <v>1</v>
      </c>
      <c r="E183" s="17" t="str">
        <f t="shared" si="45"/>
        <v>Section 5 - Next steps</v>
      </c>
      <c r="F183" s="18" t="str">
        <f t="shared" si="46"/>
        <v/>
      </c>
      <c r="G183" s="13" t="str">
        <f t="shared" si="38"/>
        <v/>
      </c>
      <c r="H183">
        <f t="shared" si="39"/>
        <v>0</v>
      </c>
      <c r="I183" s="14">
        <f t="shared" si="47"/>
        <v>0</v>
      </c>
      <c r="J183" s="13">
        <f t="shared" si="40"/>
        <v>300</v>
      </c>
      <c r="K183">
        <f t="shared" si="41"/>
        <v>0</v>
      </c>
      <c r="L183">
        <f t="shared" si="42"/>
        <v>5</v>
      </c>
      <c r="M183" s="14">
        <f t="shared" si="43"/>
        <v>0</v>
      </c>
      <c r="N183" s="13">
        <f t="shared" si="55"/>
        <v>0</v>
      </c>
      <c r="O183">
        <f t="shared" si="55"/>
        <v>13</v>
      </c>
      <c r="P183">
        <f t="shared" si="55"/>
        <v>0</v>
      </c>
      <c r="Q183" s="14">
        <f t="shared" si="48"/>
        <v>780</v>
      </c>
      <c r="R183" s="13">
        <f t="shared" si="49"/>
        <v>0</v>
      </c>
      <c r="S183">
        <f t="shared" si="50"/>
        <v>13</v>
      </c>
      <c r="T183">
        <f t="shared" si="51"/>
        <v>0</v>
      </c>
      <c r="U183" s="14">
        <f t="shared" si="52"/>
        <v>780</v>
      </c>
      <c r="V183" s="15"/>
      <c r="Z183" s="14"/>
    </row>
    <row r="184" spans="1:26" x14ac:dyDescent="0.25">
      <c r="A184" s="16"/>
      <c r="B184" s="17" t="b">
        <f t="shared" si="54"/>
        <v>0</v>
      </c>
      <c r="C184" s="17" t="b">
        <f t="shared" si="53"/>
        <v>0</v>
      </c>
      <c r="D184" s="17">
        <f t="shared" si="44"/>
        <v>1</v>
      </c>
      <c r="E184" s="17" t="str">
        <f t="shared" si="45"/>
        <v>Section 5 - Next steps</v>
      </c>
      <c r="F184" s="18" t="str">
        <f t="shared" si="46"/>
        <v/>
      </c>
      <c r="G184" s="13" t="str">
        <f t="shared" si="38"/>
        <v/>
      </c>
      <c r="H184">
        <f t="shared" si="39"/>
        <v>0</v>
      </c>
      <c r="I184" s="14">
        <f t="shared" si="47"/>
        <v>0</v>
      </c>
      <c r="J184" s="13">
        <f t="shared" si="40"/>
        <v>300</v>
      </c>
      <c r="K184">
        <f t="shared" si="41"/>
        <v>0</v>
      </c>
      <c r="L184">
        <f t="shared" si="42"/>
        <v>5</v>
      </c>
      <c r="M184" s="14">
        <f t="shared" si="43"/>
        <v>0</v>
      </c>
      <c r="N184" s="13">
        <f t="shared" si="55"/>
        <v>0</v>
      </c>
      <c r="O184">
        <f t="shared" si="55"/>
        <v>13</v>
      </c>
      <c r="P184">
        <f t="shared" si="55"/>
        <v>0</v>
      </c>
      <c r="Q184" s="14">
        <f t="shared" si="48"/>
        <v>780</v>
      </c>
      <c r="R184" s="13">
        <f t="shared" si="49"/>
        <v>0</v>
      </c>
      <c r="S184">
        <f t="shared" si="50"/>
        <v>13</v>
      </c>
      <c r="T184">
        <f t="shared" si="51"/>
        <v>0</v>
      </c>
      <c r="U184" s="14">
        <f t="shared" si="52"/>
        <v>780</v>
      </c>
      <c r="V184" s="15"/>
      <c r="Z184" s="14"/>
    </row>
    <row r="185" spans="1:26" x14ac:dyDescent="0.25">
      <c r="A185" s="16"/>
      <c r="B185" s="17" t="b">
        <f t="shared" si="54"/>
        <v>0</v>
      </c>
      <c r="C185" s="17" t="b">
        <f t="shared" si="53"/>
        <v>0</v>
      </c>
      <c r="D185" s="17">
        <f t="shared" si="44"/>
        <v>1</v>
      </c>
      <c r="E185" s="17" t="str">
        <f t="shared" si="45"/>
        <v>Section 5 - Next steps</v>
      </c>
      <c r="F185" s="18" t="str">
        <f t="shared" si="46"/>
        <v/>
      </c>
      <c r="G185" s="13" t="str">
        <f t="shared" si="38"/>
        <v/>
      </c>
      <c r="H185">
        <f t="shared" si="39"/>
        <v>0</v>
      </c>
      <c r="I185" s="14">
        <f t="shared" si="47"/>
        <v>0</v>
      </c>
      <c r="J185" s="13">
        <f t="shared" si="40"/>
        <v>300</v>
      </c>
      <c r="K185">
        <f t="shared" si="41"/>
        <v>0</v>
      </c>
      <c r="L185">
        <f t="shared" si="42"/>
        <v>5</v>
      </c>
      <c r="M185" s="14">
        <f t="shared" si="43"/>
        <v>0</v>
      </c>
      <c r="N185" s="13">
        <f t="shared" si="55"/>
        <v>0</v>
      </c>
      <c r="O185">
        <f t="shared" si="55"/>
        <v>13</v>
      </c>
      <c r="P185">
        <f t="shared" si="55"/>
        <v>0</v>
      </c>
      <c r="Q185" s="14">
        <f t="shared" si="48"/>
        <v>780</v>
      </c>
      <c r="R185" s="13">
        <f t="shared" si="49"/>
        <v>0</v>
      </c>
      <c r="S185">
        <f t="shared" si="50"/>
        <v>13</v>
      </c>
      <c r="T185">
        <f t="shared" si="51"/>
        <v>0</v>
      </c>
      <c r="U185" s="14">
        <f t="shared" si="52"/>
        <v>780</v>
      </c>
      <c r="V185" s="15"/>
      <c r="Z185" s="14"/>
    </row>
    <row r="186" spans="1:26" x14ac:dyDescent="0.25">
      <c r="A186" s="16"/>
      <c r="B186" s="17" t="b">
        <f t="shared" si="54"/>
        <v>0</v>
      </c>
      <c r="C186" s="17" t="b">
        <f t="shared" si="53"/>
        <v>0</v>
      </c>
      <c r="D186" s="17">
        <f t="shared" si="44"/>
        <v>1</v>
      </c>
      <c r="E186" s="17" t="str">
        <f t="shared" si="45"/>
        <v>Section 5 - Next steps</v>
      </c>
      <c r="F186" s="18" t="str">
        <f t="shared" si="46"/>
        <v/>
      </c>
      <c r="G186" s="13" t="str">
        <f t="shared" si="38"/>
        <v/>
      </c>
      <c r="H186">
        <f t="shared" si="39"/>
        <v>0</v>
      </c>
      <c r="I186" s="14">
        <f t="shared" si="47"/>
        <v>0</v>
      </c>
      <c r="J186" s="13">
        <f t="shared" si="40"/>
        <v>300</v>
      </c>
      <c r="K186">
        <f t="shared" si="41"/>
        <v>0</v>
      </c>
      <c r="L186">
        <f t="shared" si="42"/>
        <v>5</v>
      </c>
      <c r="M186" s="14">
        <f t="shared" si="43"/>
        <v>0</v>
      </c>
      <c r="N186" s="13">
        <f t="shared" si="55"/>
        <v>0</v>
      </c>
      <c r="O186">
        <f t="shared" si="55"/>
        <v>13</v>
      </c>
      <c r="P186">
        <f t="shared" si="55"/>
        <v>0</v>
      </c>
      <c r="Q186" s="14">
        <f t="shared" si="48"/>
        <v>780</v>
      </c>
      <c r="R186" s="13">
        <f t="shared" si="49"/>
        <v>0</v>
      </c>
      <c r="S186">
        <f t="shared" si="50"/>
        <v>13</v>
      </c>
      <c r="T186">
        <f t="shared" si="51"/>
        <v>0</v>
      </c>
      <c r="U186" s="14">
        <f t="shared" si="52"/>
        <v>780</v>
      </c>
      <c r="V186" s="15"/>
      <c r="Z186" s="14"/>
    </row>
    <row r="187" spans="1:26" x14ac:dyDescent="0.25">
      <c r="A187" s="16"/>
      <c r="B187" s="17" t="b">
        <f t="shared" si="54"/>
        <v>0</v>
      </c>
      <c r="C187" s="17" t="b">
        <f t="shared" si="53"/>
        <v>0</v>
      </c>
      <c r="D187" s="17">
        <f t="shared" si="44"/>
        <v>1</v>
      </c>
      <c r="E187" s="17" t="str">
        <f t="shared" si="45"/>
        <v>Section 5 - Next steps</v>
      </c>
      <c r="F187" s="18" t="str">
        <f t="shared" si="46"/>
        <v/>
      </c>
      <c r="G187" s="13" t="str">
        <f t="shared" si="38"/>
        <v/>
      </c>
      <c r="H187">
        <f t="shared" si="39"/>
        <v>0</v>
      </c>
      <c r="I187" s="14">
        <f t="shared" si="47"/>
        <v>0</v>
      </c>
      <c r="J187" s="13">
        <f t="shared" si="40"/>
        <v>300</v>
      </c>
      <c r="K187">
        <f t="shared" si="41"/>
        <v>0</v>
      </c>
      <c r="L187">
        <f t="shared" si="42"/>
        <v>5</v>
      </c>
      <c r="M187" s="14">
        <f t="shared" si="43"/>
        <v>0</v>
      </c>
      <c r="N187" s="13">
        <f t="shared" si="55"/>
        <v>0</v>
      </c>
      <c r="O187">
        <f t="shared" si="55"/>
        <v>13</v>
      </c>
      <c r="P187">
        <f t="shared" si="55"/>
        <v>0</v>
      </c>
      <c r="Q187" s="14">
        <f t="shared" si="48"/>
        <v>780</v>
      </c>
      <c r="R187" s="13">
        <f t="shared" si="49"/>
        <v>0</v>
      </c>
      <c r="S187">
        <f t="shared" si="50"/>
        <v>13</v>
      </c>
      <c r="T187">
        <f t="shared" si="51"/>
        <v>0</v>
      </c>
      <c r="U187" s="14">
        <f t="shared" si="52"/>
        <v>780</v>
      </c>
      <c r="V187" s="15"/>
      <c r="Z187" s="14"/>
    </row>
    <row r="188" spans="1:26" x14ac:dyDescent="0.25">
      <c r="A188" s="16"/>
      <c r="B188" s="17" t="b">
        <f t="shared" si="54"/>
        <v>0</v>
      </c>
      <c r="C188" s="17" t="b">
        <f t="shared" si="53"/>
        <v>0</v>
      </c>
      <c r="D188" s="17">
        <f t="shared" si="44"/>
        <v>1</v>
      </c>
      <c r="E188" s="17" t="str">
        <f t="shared" si="45"/>
        <v>Section 5 - Next steps</v>
      </c>
      <c r="F188" s="18" t="str">
        <f t="shared" si="46"/>
        <v/>
      </c>
      <c r="G188" s="13" t="str">
        <f t="shared" si="38"/>
        <v/>
      </c>
      <c r="H188">
        <f t="shared" si="39"/>
        <v>0</v>
      </c>
      <c r="I188" s="14">
        <f t="shared" si="47"/>
        <v>0</v>
      </c>
      <c r="J188" s="13">
        <f t="shared" si="40"/>
        <v>300</v>
      </c>
      <c r="K188">
        <f t="shared" si="41"/>
        <v>0</v>
      </c>
      <c r="L188">
        <f t="shared" si="42"/>
        <v>5</v>
      </c>
      <c r="M188" s="14">
        <f t="shared" si="43"/>
        <v>0</v>
      </c>
      <c r="N188" s="13">
        <f t="shared" si="55"/>
        <v>0</v>
      </c>
      <c r="O188">
        <f t="shared" si="55"/>
        <v>13</v>
      </c>
      <c r="P188">
        <f t="shared" si="55"/>
        <v>0</v>
      </c>
      <c r="Q188" s="14">
        <f t="shared" si="48"/>
        <v>780</v>
      </c>
      <c r="R188" s="13">
        <f t="shared" si="49"/>
        <v>0</v>
      </c>
      <c r="S188">
        <f t="shared" si="50"/>
        <v>13</v>
      </c>
      <c r="T188">
        <f t="shared" si="51"/>
        <v>0</v>
      </c>
      <c r="U188" s="14">
        <f t="shared" si="52"/>
        <v>780</v>
      </c>
      <c r="V188" s="15"/>
      <c r="Z188" s="14"/>
    </row>
    <row r="189" spans="1:26" x14ac:dyDescent="0.25">
      <c r="A189" s="16"/>
      <c r="B189" s="17" t="b">
        <f t="shared" si="54"/>
        <v>0</v>
      </c>
      <c r="C189" s="17" t="b">
        <f t="shared" si="53"/>
        <v>0</v>
      </c>
      <c r="D189" s="17">
        <f t="shared" si="44"/>
        <v>1</v>
      </c>
      <c r="E189" s="17" t="str">
        <f t="shared" si="45"/>
        <v>Section 5 - Next steps</v>
      </c>
      <c r="F189" s="18" t="str">
        <f t="shared" si="46"/>
        <v/>
      </c>
      <c r="G189" s="13" t="str">
        <f t="shared" si="38"/>
        <v/>
      </c>
      <c r="H189">
        <f t="shared" si="39"/>
        <v>0</v>
      </c>
      <c r="I189" s="14">
        <f t="shared" si="47"/>
        <v>0</v>
      </c>
      <c r="J189" s="13">
        <f t="shared" si="40"/>
        <v>300</v>
      </c>
      <c r="K189">
        <f t="shared" si="41"/>
        <v>0</v>
      </c>
      <c r="L189">
        <f t="shared" si="42"/>
        <v>5</v>
      </c>
      <c r="M189" s="14">
        <f t="shared" si="43"/>
        <v>0</v>
      </c>
      <c r="N189" s="13">
        <f t="shared" si="55"/>
        <v>0</v>
      </c>
      <c r="O189">
        <f t="shared" si="55"/>
        <v>13</v>
      </c>
      <c r="P189">
        <f t="shared" si="55"/>
        <v>0</v>
      </c>
      <c r="Q189" s="14">
        <f t="shared" si="48"/>
        <v>780</v>
      </c>
      <c r="R189" s="13">
        <f t="shared" si="49"/>
        <v>0</v>
      </c>
      <c r="S189">
        <f t="shared" si="50"/>
        <v>13</v>
      </c>
      <c r="T189">
        <f t="shared" si="51"/>
        <v>0</v>
      </c>
      <c r="U189" s="14">
        <f t="shared" si="52"/>
        <v>780</v>
      </c>
      <c r="V189" s="15"/>
      <c r="Z189" s="14"/>
    </row>
    <row r="190" spans="1:26" x14ac:dyDescent="0.25">
      <c r="A190" s="16"/>
      <c r="B190" s="17" t="b">
        <f t="shared" si="54"/>
        <v>0</v>
      </c>
      <c r="C190" s="17" t="b">
        <f t="shared" si="53"/>
        <v>0</v>
      </c>
      <c r="D190" s="17">
        <f t="shared" si="44"/>
        <v>1</v>
      </c>
      <c r="E190" s="17" t="str">
        <f t="shared" si="45"/>
        <v>Section 5 - Next steps</v>
      </c>
      <c r="F190" s="18" t="str">
        <f t="shared" si="46"/>
        <v/>
      </c>
      <c r="G190" s="13" t="str">
        <f t="shared" si="38"/>
        <v/>
      </c>
      <c r="H190">
        <f t="shared" si="39"/>
        <v>0</v>
      </c>
      <c r="I190" s="14">
        <f t="shared" si="47"/>
        <v>0</v>
      </c>
      <c r="J190" s="13">
        <f t="shared" si="40"/>
        <v>300</v>
      </c>
      <c r="K190">
        <f t="shared" si="41"/>
        <v>0</v>
      </c>
      <c r="L190">
        <f t="shared" si="42"/>
        <v>5</v>
      </c>
      <c r="M190" s="14">
        <f t="shared" si="43"/>
        <v>0</v>
      </c>
      <c r="N190" s="13">
        <f t="shared" si="55"/>
        <v>0</v>
      </c>
      <c r="O190">
        <f t="shared" si="55"/>
        <v>13</v>
      </c>
      <c r="P190">
        <f t="shared" si="55"/>
        <v>0</v>
      </c>
      <c r="Q190" s="14">
        <f t="shared" si="48"/>
        <v>780</v>
      </c>
      <c r="R190" s="13">
        <f t="shared" si="49"/>
        <v>0</v>
      </c>
      <c r="S190">
        <f t="shared" si="50"/>
        <v>13</v>
      </c>
      <c r="T190">
        <f t="shared" si="51"/>
        <v>0</v>
      </c>
      <c r="U190" s="14">
        <f t="shared" si="52"/>
        <v>780</v>
      </c>
      <c r="V190" s="15"/>
      <c r="Z190" s="14"/>
    </row>
    <row r="191" spans="1:26" x14ac:dyDescent="0.25">
      <c r="A191" s="16"/>
      <c r="B191" s="17" t="b">
        <f t="shared" si="54"/>
        <v>0</v>
      </c>
      <c r="C191" s="17" t="b">
        <f t="shared" si="53"/>
        <v>0</v>
      </c>
      <c r="D191" s="17">
        <f t="shared" si="44"/>
        <v>1</v>
      </c>
      <c r="E191" s="17" t="str">
        <f t="shared" si="45"/>
        <v>Section 5 - Next steps</v>
      </c>
      <c r="F191" s="18" t="str">
        <f t="shared" si="46"/>
        <v/>
      </c>
      <c r="G191" s="13" t="str">
        <f t="shared" si="38"/>
        <v/>
      </c>
      <c r="H191">
        <f t="shared" si="39"/>
        <v>0</v>
      </c>
      <c r="I191" s="14">
        <f t="shared" si="47"/>
        <v>0</v>
      </c>
      <c r="J191" s="13">
        <f t="shared" si="40"/>
        <v>300</v>
      </c>
      <c r="K191">
        <f t="shared" si="41"/>
        <v>0</v>
      </c>
      <c r="L191">
        <f t="shared" si="42"/>
        <v>5</v>
      </c>
      <c r="M191" s="14">
        <f t="shared" si="43"/>
        <v>0</v>
      </c>
      <c r="N191" s="13">
        <f t="shared" si="55"/>
        <v>0</v>
      </c>
      <c r="O191">
        <f t="shared" si="55"/>
        <v>13</v>
      </c>
      <c r="P191">
        <f t="shared" si="55"/>
        <v>0</v>
      </c>
      <c r="Q191" s="14">
        <f t="shared" si="48"/>
        <v>780</v>
      </c>
      <c r="R191" s="13">
        <f t="shared" si="49"/>
        <v>0</v>
      </c>
      <c r="S191">
        <f t="shared" si="50"/>
        <v>13</v>
      </c>
      <c r="T191">
        <f t="shared" si="51"/>
        <v>0</v>
      </c>
      <c r="U191" s="14">
        <f t="shared" si="52"/>
        <v>780</v>
      </c>
      <c r="V191" s="15"/>
      <c r="Z191" s="14"/>
    </row>
    <row r="192" spans="1:26" x14ac:dyDescent="0.25">
      <c r="A192" s="16"/>
      <c r="B192" s="17" t="b">
        <f t="shared" si="54"/>
        <v>0</v>
      </c>
      <c r="C192" s="17" t="b">
        <f t="shared" si="53"/>
        <v>0</v>
      </c>
      <c r="D192" s="17">
        <f t="shared" si="44"/>
        <v>1</v>
      </c>
      <c r="E192" s="17" t="str">
        <f t="shared" si="45"/>
        <v>Section 5 - Next steps</v>
      </c>
      <c r="F192" s="18" t="str">
        <f t="shared" si="46"/>
        <v/>
      </c>
      <c r="G192" s="13" t="str">
        <f t="shared" si="38"/>
        <v/>
      </c>
      <c r="H192">
        <f t="shared" si="39"/>
        <v>0</v>
      </c>
      <c r="I192" s="14">
        <f t="shared" si="47"/>
        <v>0</v>
      </c>
      <c r="J192" s="13">
        <f t="shared" si="40"/>
        <v>300</v>
      </c>
      <c r="K192">
        <f t="shared" si="41"/>
        <v>0</v>
      </c>
      <c r="L192">
        <f t="shared" si="42"/>
        <v>5</v>
      </c>
      <c r="M192" s="14">
        <f t="shared" si="43"/>
        <v>0</v>
      </c>
      <c r="N192" s="13">
        <f t="shared" si="55"/>
        <v>0</v>
      </c>
      <c r="O192">
        <f t="shared" si="55"/>
        <v>13</v>
      </c>
      <c r="P192">
        <f t="shared" si="55"/>
        <v>0</v>
      </c>
      <c r="Q192" s="14">
        <f t="shared" si="48"/>
        <v>780</v>
      </c>
      <c r="R192" s="13">
        <f t="shared" si="49"/>
        <v>0</v>
      </c>
      <c r="S192">
        <f t="shared" si="50"/>
        <v>13</v>
      </c>
      <c r="T192">
        <f t="shared" si="51"/>
        <v>0</v>
      </c>
      <c r="U192" s="14">
        <f t="shared" si="52"/>
        <v>780</v>
      </c>
      <c r="V192" s="15"/>
      <c r="Z192" s="14"/>
    </row>
    <row r="193" spans="1:26" x14ac:dyDescent="0.25">
      <c r="A193" s="16"/>
      <c r="B193" s="17" t="b">
        <f t="shared" si="54"/>
        <v>0</v>
      </c>
      <c r="C193" s="17" t="b">
        <f t="shared" si="53"/>
        <v>0</v>
      </c>
      <c r="D193" s="17">
        <f t="shared" si="44"/>
        <v>1</v>
      </c>
      <c r="E193" s="17" t="str">
        <f t="shared" si="45"/>
        <v>Section 5 - Next steps</v>
      </c>
      <c r="F193" s="18" t="str">
        <f t="shared" si="46"/>
        <v/>
      </c>
      <c r="G193" s="13" t="str">
        <f t="shared" si="38"/>
        <v/>
      </c>
      <c r="H193">
        <f t="shared" si="39"/>
        <v>0</v>
      </c>
      <c r="I193" s="14">
        <f t="shared" si="47"/>
        <v>0</v>
      </c>
      <c r="J193" s="13">
        <f t="shared" si="40"/>
        <v>300</v>
      </c>
      <c r="K193">
        <f t="shared" si="41"/>
        <v>0</v>
      </c>
      <c r="L193">
        <f t="shared" si="42"/>
        <v>5</v>
      </c>
      <c r="M193" s="14">
        <f t="shared" si="43"/>
        <v>0</v>
      </c>
      <c r="N193" s="13">
        <f t="shared" si="55"/>
        <v>0</v>
      </c>
      <c r="O193">
        <f t="shared" si="55"/>
        <v>13</v>
      </c>
      <c r="P193">
        <f t="shared" si="55"/>
        <v>0</v>
      </c>
      <c r="Q193" s="14">
        <f t="shared" si="48"/>
        <v>780</v>
      </c>
      <c r="R193" s="13">
        <f t="shared" si="49"/>
        <v>0</v>
      </c>
      <c r="S193">
        <f t="shared" si="50"/>
        <v>13</v>
      </c>
      <c r="T193">
        <f t="shared" si="51"/>
        <v>0</v>
      </c>
      <c r="U193" s="14">
        <f t="shared" si="52"/>
        <v>780</v>
      </c>
      <c r="V193" s="15"/>
      <c r="Z193" s="14"/>
    </row>
    <row r="194" spans="1:26" x14ac:dyDescent="0.25">
      <c r="A194" s="16"/>
      <c r="B194" s="17" t="b">
        <f t="shared" si="54"/>
        <v>0</v>
      </c>
      <c r="C194" s="17" t="b">
        <f t="shared" si="53"/>
        <v>0</v>
      </c>
      <c r="D194" s="17">
        <f t="shared" si="44"/>
        <v>1</v>
      </c>
      <c r="E194" s="17" t="str">
        <f t="shared" si="45"/>
        <v>Section 5 - Next steps</v>
      </c>
      <c r="F194" s="18" t="str">
        <f t="shared" si="46"/>
        <v/>
      </c>
      <c r="G194" s="13" t="str">
        <f t="shared" si="38"/>
        <v/>
      </c>
      <c r="H194">
        <f t="shared" si="39"/>
        <v>0</v>
      </c>
      <c r="I194" s="14">
        <f t="shared" si="47"/>
        <v>0</v>
      </c>
      <c r="J194" s="13">
        <f t="shared" si="40"/>
        <v>300</v>
      </c>
      <c r="K194">
        <f t="shared" si="41"/>
        <v>0</v>
      </c>
      <c r="L194">
        <f t="shared" si="42"/>
        <v>5</v>
      </c>
      <c r="M194" s="14">
        <f t="shared" si="43"/>
        <v>0</v>
      </c>
      <c r="N194" s="13">
        <f t="shared" si="55"/>
        <v>0</v>
      </c>
      <c r="O194">
        <f t="shared" si="55"/>
        <v>13</v>
      </c>
      <c r="P194">
        <f t="shared" si="55"/>
        <v>0</v>
      </c>
      <c r="Q194" s="14">
        <f t="shared" si="48"/>
        <v>780</v>
      </c>
      <c r="R194" s="13">
        <f t="shared" si="49"/>
        <v>0</v>
      </c>
      <c r="S194">
        <f t="shared" si="50"/>
        <v>13</v>
      </c>
      <c r="T194">
        <f t="shared" si="51"/>
        <v>0</v>
      </c>
      <c r="U194" s="14">
        <f t="shared" si="52"/>
        <v>780</v>
      </c>
      <c r="V194" s="15"/>
      <c r="Z194" s="14"/>
    </row>
    <row r="195" spans="1:26" x14ac:dyDescent="0.25">
      <c r="A195" s="16"/>
      <c r="B195" s="17" t="b">
        <f t="shared" si="54"/>
        <v>0</v>
      </c>
      <c r="C195" s="17" t="b">
        <f t="shared" si="53"/>
        <v>0</v>
      </c>
      <c r="D195" s="17">
        <f t="shared" si="44"/>
        <v>1</v>
      </c>
      <c r="E195" s="17" t="str">
        <f t="shared" si="45"/>
        <v>Section 5 - Next steps</v>
      </c>
      <c r="F195" s="18" t="str">
        <f t="shared" si="46"/>
        <v/>
      </c>
      <c r="G195" s="13" t="str">
        <f t="shared" si="38"/>
        <v/>
      </c>
      <c r="H195">
        <f t="shared" si="39"/>
        <v>0</v>
      </c>
      <c r="I195" s="14">
        <f t="shared" si="47"/>
        <v>0</v>
      </c>
      <c r="J195" s="13">
        <f t="shared" si="40"/>
        <v>300</v>
      </c>
      <c r="K195">
        <f t="shared" si="41"/>
        <v>0</v>
      </c>
      <c r="L195">
        <f t="shared" si="42"/>
        <v>5</v>
      </c>
      <c r="M195" s="14">
        <f t="shared" si="43"/>
        <v>0</v>
      </c>
      <c r="N195" s="13">
        <f t="shared" si="55"/>
        <v>0</v>
      </c>
      <c r="O195">
        <f t="shared" si="55"/>
        <v>13</v>
      </c>
      <c r="P195">
        <f t="shared" si="55"/>
        <v>0</v>
      </c>
      <c r="Q195" s="14">
        <f t="shared" si="48"/>
        <v>780</v>
      </c>
      <c r="R195" s="13">
        <f t="shared" si="49"/>
        <v>0</v>
      </c>
      <c r="S195">
        <f t="shared" si="50"/>
        <v>13</v>
      </c>
      <c r="T195">
        <f t="shared" si="51"/>
        <v>0</v>
      </c>
      <c r="U195" s="14">
        <f t="shared" si="52"/>
        <v>780</v>
      </c>
      <c r="V195" s="15"/>
      <c r="Z195" s="14"/>
    </row>
    <row r="196" spans="1:26" x14ac:dyDescent="0.25">
      <c r="A196" s="16"/>
      <c r="B196" s="17" t="b">
        <f t="shared" si="54"/>
        <v>0</v>
      </c>
      <c r="C196" s="17" t="b">
        <f t="shared" si="53"/>
        <v>0</v>
      </c>
      <c r="D196" s="17">
        <f t="shared" si="44"/>
        <v>1</v>
      </c>
      <c r="E196" s="17" t="str">
        <f t="shared" si="45"/>
        <v>Section 5 - Next steps</v>
      </c>
      <c r="F196" s="18" t="str">
        <f t="shared" si="46"/>
        <v/>
      </c>
      <c r="G196" s="13" t="str">
        <f t="shared" si="38"/>
        <v/>
      </c>
      <c r="H196">
        <f t="shared" si="39"/>
        <v>0</v>
      </c>
      <c r="I196" s="14">
        <f t="shared" si="47"/>
        <v>0</v>
      </c>
      <c r="J196" s="13">
        <f t="shared" si="40"/>
        <v>300</v>
      </c>
      <c r="K196">
        <f t="shared" si="41"/>
        <v>0</v>
      </c>
      <c r="L196">
        <f t="shared" si="42"/>
        <v>5</v>
      </c>
      <c r="M196" s="14">
        <f t="shared" si="43"/>
        <v>0</v>
      </c>
      <c r="N196" s="13">
        <f t="shared" si="55"/>
        <v>0</v>
      </c>
      <c r="O196">
        <f t="shared" si="55"/>
        <v>13</v>
      </c>
      <c r="P196">
        <f t="shared" si="55"/>
        <v>0</v>
      </c>
      <c r="Q196" s="14">
        <f t="shared" si="48"/>
        <v>780</v>
      </c>
      <c r="R196" s="13">
        <f t="shared" si="49"/>
        <v>0</v>
      </c>
      <c r="S196">
        <f t="shared" si="50"/>
        <v>13</v>
      </c>
      <c r="T196">
        <f t="shared" si="51"/>
        <v>0</v>
      </c>
      <c r="U196" s="14">
        <f t="shared" si="52"/>
        <v>780</v>
      </c>
      <c r="V196" s="15"/>
      <c r="Z196" s="14"/>
    </row>
    <row r="197" spans="1:26" x14ac:dyDescent="0.25">
      <c r="A197" s="16"/>
      <c r="B197" s="17" t="b">
        <f t="shared" si="54"/>
        <v>0</v>
      </c>
      <c r="C197" s="17" t="b">
        <f t="shared" si="53"/>
        <v>0</v>
      </c>
      <c r="D197" s="17">
        <f t="shared" si="44"/>
        <v>1</v>
      </c>
      <c r="E197" s="17" t="str">
        <f t="shared" si="45"/>
        <v>Section 5 - Next steps</v>
      </c>
      <c r="F197" s="18" t="str">
        <f t="shared" si="46"/>
        <v/>
      </c>
      <c r="G197" s="13" t="str">
        <f t="shared" si="38"/>
        <v/>
      </c>
      <c r="H197">
        <f t="shared" si="39"/>
        <v>0</v>
      </c>
      <c r="I197" s="14">
        <f t="shared" si="47"/>
        <v>0</v>
      </c>
      <c r="J197" s="13">
        <f t="shared" si="40"/>
        <v>300</v>
      </c>
      <c r="K197">
        <f t="shared" si="41"/>
        <v>0</v>
      </c>
      <c r="L197">
        <f t="shared" si="42"/>
        <v>5</v>
      </c>
      <c r="M197" s="14">
        <f t="shared" si="43"/>
        <v>0</v>
      </c>
      <c r="N197" s="13">
        <f t="shared" si="55"/>
        <v>0</v>
      </c>
      <c r="O197">
        <f t="shared" si="55"/>
        <v>13</v>
      </c>
      <c r="P197">
        <f t="shared" si="55"/>
        <v>0</v>
      </c>
      <c r="Q197" s="14">
        <f t="shared" si="48"/>
        <v>780</v>
      </c>
      <c r="R197" s="13">
        <f t="shared" si="49"/>
        <v>0</v>
      </c>
      <c r="S197">
        <f t="shared" si="50"/>
        <v>13</v>
      </c>
      <c r="T197">
        <f t="shared" si="51"/>
        <v>0</v>
      </c>
      <c r="U197" s="14">
        <f t="shared" si="52"/>
        <v>780</v>
      </c>
      <c r="V197" s="15"/>
      <c r="Z197" s="14"/>
    </row>
    <row r="198" spans="1:26" x14ac:dyDescent="0.25">
      <c r="A198" s="16"/>
      <c r="B198" s="17" t="b">
        <f t="shared" si="54"/>
        <v>0</v>
      </c>
      <c r="C198" s="17" t="b">
        <f t="shared" si="53"/>
        <v>0</v>
      </c>
      <c r="D198" s="17">
        <f t="shared" si="44"/>
        <v>1</v>
      </c>
      <c r="E198" s="17" t="str">
        <f t="shared" si="45"/>
        <v>Section 5 - Next steps</v>
      </c>
      <c r="F198" s="18" t="str">
        <f t="shared" si="46"/>
        <v/>
      </c>
      <c r="G198" s="13" t="str">
        <f t="shared" si="38"/>
        <v/>
      </c>
      <c r="H198">
        <f t="shared" si="39"/>
        <v>0</v>
      </c>
      <c r="I198" s="14">
        <f t="shared" si="47"/>
        <v>0</v>
      </c>
      <c r="J198" s="13">
        <f t="shared" si="40"/>
        <v>300</v>
      </c>
      <c r="K198">
        <f t="shared" si="41"/>
        <v>0</v>
      </c>
      <c r="L198">
        <f t="shared" si="42"/>
        <v>5</v>
      </c>
      <c r="M198" s="14">
        <f t="shared" si="43"/>
        <v>0</v>
      </c>
      <c r="N198" s="13">
        <f t="shared" si="55"/>
        <v>0</v>
      </c>
      <c r="O198">
        <f t="shared" si="55"/>
        <v>13</v>
      </c>
      <c r="P198">
        <f t="shared" si="55"/>
        <v>0</v>
      </c>
      <c r="Q198" s="14">
        <f t="shared" si="48"/>
        <v>780</v>
      </c>
      <c r="R198" s="13">
        <f t="shared" si="49"/>
        <v>0</v>
      </c>
      <c r="S198">
        <f t="shared" si="50"/>
        <v>13</v>
      </c>
      <c r="T198">
        <f t="shared" si="51"/>
        <v>0</v>
      </c>
      <c r="U198" s="14">
        <f t="shared" si="52"/>
        <v>780</v>
      </c>
      <c r="V198" s="15"/>
      <c r="Z198" s="14"/>
    </row>
    <row r="199" spans="1:26" x14ac:dyDescent="0.25">
      <c r="A199" s="16"/>
      <c r="B199" s="17" t="b">
        <f t="shared" si="54"/>
        <v>0</v>
      </c>
      <c r="C199" s="17" t="b">
        <f t="shared" si="53"/>
        <v>0</v>
      </c>
      <c r="D199" s="17">
        <f t="shared" si="44"/>
        <v>1</v>
      </c>
      <c r="E199" s="17" t="str">
        <f t="shared" si="45"/>
        <v>Section 5 - Next steps</v>
      </c>
      <c r="F199" s="18" t="str">
        <f t="shared" si="46"/>
        <v/>
      </c>
      <c r="G199" s="13" t="str">
        <f t="shared" si="38"/>
        <v/>
      </c>
      <c r="H199">
        <f t="shared" si="39"/>
        <v>0</v>
      </c>
      <c r="I199" s="14">
        <f t="shared" si="47"/>
        <v>0</v>
      </c>
      <c r="J199" s="13">
        <f t="shared" si="40"/>
        <v>300</v>
      </c>
      <c r="K199">
        <f t="shared" si="41"/>
        <v>0</v>
      </c>
      <c r="L199">
        <f t="shared" si="42"/>
        <v>5</v>
      </c>
      <c r="M199" s="14">
        <f t="shared" si="43"/>
        <v>0</v>
      </c>
      <c r="N199" s="13">
        <f t="shared" si="55"/>
        <v>0</v>
      </c>
      <c r="O199">
        <f t="shared" si="55"/>
        <v>13</v>
      </c>
      <c r="P199">
        <f t="shared" si="55"/>
        <v>0</v>
      </c>
      <c r="Q199" s="14">
        <f t="shared" si="48"/>
        <v>780</v>
      </c>
      <c r="R199" s="13">
        <f t="shared" si="49"/>
        <v>0</v>
      </c>
      <c r="S199">
        <f t="shared" si="50"/>
        <v>13</v>
      </c>
      <c r="T199">
        <f t="shared" si="51"/>
        <v>0</v>
      </c>
      <c r="U199" s="14">
        <f t="shared" si="52"/>
        <v>780</v>
      </c>
      <c r="V199" s="15"/>
      <c r="Z199" s="14"/>
    </row>
    <row r="200" spans="1:26" x14ac:dyDescent="0.25">
      <c r="A200" s="16"/>
      <c r="B200" s="17" t="b">
        <f t="shared" si="54"/>
        <v>0</v>
      </c>
      <c r="C200" s="17" t="b">
        <f t="shared" si="53"/>
        <v>0</v>
      </c>
      <c r="D200" s="17">
        <f t="shared" si="44"/>
        <v>1</v>
      </c>
      <c r="E200" s="17" t="str">
        <f t="shared" si="45"/>
        <v>Section 5 - Next steps</v>
      </c>
      <c r="F200" s="18" t="str">
        <f t="shared" si="46"/>
        <v/>
      </c>
      <c r="G200" s="13" t="str">
        <f t="shared" si="38"/>
        <v/>
      </c>
      <c r="H200">
        <f t="shared" si="39"/>
        <v>0</v>
      </c>
      <c r="I200" s="14">
        <f t="shared" si="47"/>
        <v>0</v>
      </c>
      <c r="J200" s="13">
        <f t="shared" si="40"/>
        <v>300</v>
      </c>
      <c r="K200">
        <f t="shared" si="41"/>
        <v>0</v>
      </c>
      <c r="L200">
        <f t="shared" si="42"/>
        <v>5</v>
      </c>
      <c r="M200" s="14">
        <f t="shared" si="43"/>
        <v>0</v>
      </c>
      <c r="N200" s="13">
        <f t="shared" si="55"/>
        <v>0</v>
      </c>
      <c r="O200">
        <f t="shared" si="55"/>
        <v>13</v>
      </c>
      <c r="P200">
        <f t="shared" si="55"/>
        <v>0</v>
      </c>
      <c r="Q200" s="14">
        <f t="shared" si="48"/>
        <v>780</v>
      </c>
      <c r="R200" s="13">
        <f t="shared" si="49"/>
        <v>0</v>
      </c>
      <c r="S200">
        <f t="shared" si="50"/>
        <v>13</v>
      </c>
      <c r="T200">
        <f t="shared" si="51"/>
        <v>0</v>
      </c>
      <c r="U200" s="14">
        <f t="shared" si="52"/>
        <v>780</v>
      </c>
      <c r="V200" s="15"/>
      <c r="Z200" s="14"/>
    </row>
    <row r="201" spans="1:26" x14ac:dyDescent="0.25">
      <c r="A201" s="16"/>
      <c r="B201" s="17" t="b">
        <f t="shared" si="54"/>
        <v>0</v>
      </c>
      <c r="C201" s="17" t="b">
        <f t="shared" si="53"/>
        <v>0</v>
      </c>
      <c r="D201" s="17">
        <f t="shared" si="44"/>
        <v>1</v>
      </c>
      <c r="E201" s="17" t="str">
        <f t="shared" si="45"/>
        <v>Section 5 - Next steps</v>
      </c>
      <c r="F201" s="18" t="str">
        <f t="shared" si="46"/>
        <v/>
      </c>
      <c r="G201" s="13" t="str">
        <f t="shared" si="38"/>
        <v/>
      </c>
      <c r="H201">
        <f t="shared" si="39"/>
        <v>0</v>
      </c>
      <c r="I201" s="14">
        <f t="shared" si="47"/>
        <v>0</v>
      </c>
      <c r="J201" s="13">
        <f t="shared" si="40"/>
        <v>300</v>
      </c>
      <c r="K201">
        <f t="shared" si="41"/>
        <v>0</v>
      </c>
      <c r="L201">
        <f t="shared" si="42"/>
        <v>5</v>
      </c>
      <c r="M201" s="14">
        <f t="shared" si="43"/>
        <v>0</v>
      </c>
      <c r="N201" s="13">
        <f t="shared" si="55"/>
        <v>0</v>
      </c>
      <c r="O201">
        <f t="shared" si="55"/>
        <v>13</v>
      </c>
      <c r="P201">
        <f t="shared" si="55"/>
        <v>0</v>
      </c>
      <c r="Q201" s="14">
        <f t="shared" si="48"/>
        <v>780</v>
      </c>
      <c r="R201" s="13">
        <f t="shared" si="49"/>
        <v>0</v>
      </c>
      <c r="S201">
        <f t="shared" si="50"/>
        <v>13</v>
      </c>
      <c r="T201">
        <f t="shared" si="51"/>
        <v>0</v>
      </c>
      <c r="U201" s="14">
        <f t="shared" si="52"/>
        <v>780</v>
      </c>
      <c r="V201" s="15"/>
      <c r="Z201" s="14"/>
    </row>
    <row r="202" spans="1:26" x14ac:dyDescent="0.25">
      <c r="A202" s="16"/>
      <c r="B202" s="17" t="b">
        <f t="shared" si="54"/>
        <v>0</v>
      </c>
      <c r="C202" s="17" t="b">
        <f t="shared" si="53"/>
        <v>0</v>
      </c>
      <c r="D202" s="17">
        <f t="shared" si="44"/>
        <v>1</v>
      </c>
      <c r="E202" s="17" t="str">
        <f t="shared" si="45"/>
        <v>Section 5 - Next steps</v>
      </c>
      <c r="F202" s="18" t="str">
        <f t="shared" si="46"/>
        <v/>
      </c>
      <c r="G202" s="13" t="str">
        <f t="shared" si="38"/>
        <v/>
      </c>
      <c r="H202">
        <f t="shared" si="39"/>
        <v>0</v>
      </c>
      <c r="I202" s="14">
        <f t="shared" si="47"/>
        <v>0</v>
      </c>
      <c r="J202" s="13">
        <f t="shared" si="40"/>
        <v>300</v>
      </c>
      <c r="K202">
        <f t="shared" si="41"/>
        <v>0</v>
      </c>
      <c r="L202">
        <f t="shared" si="42"/>
        <v>5</v>
      </c>
      <c r="M202" s="14">
        <f t="shared" si="43"/>
        <v>0</v>
      </c>
      <c r="N202" s="13">
        <f t="shared" si="55"/>
        <v>0</v>
      </c>
      <c r="O202">
        <f t="shared" si="55"/>
        <v>13</v>
      </c>
      <c r="P202">
        <f t="shared" si="55"/>
        <v>0</v>
      </c>
      <c r="Q202" s="14">
        <f t="shared" si="48"/>
        <v>780</v>
      </c>
      <c r="R202" s="13">
        <f t="shared" si="49"/>
        <v>0</v>
      </c>
      <c r="S202">
        <f t="shared" si="50"/>
        <v>13</v>
      </c>
      <c r="T202">
        <f t="shared" si="51"/>
        <v>0</v>
      </c>
      <c r="U202" s="14">
        <f t="shared" si="52"/>
        <v>780</v>
      </c>
      <c r="V202" s="15"/>
      <c r="Z202" s="14"/>
    </row>
    <row r="203" spans="1:26" x14ac:dyDescent="0.25">
      <c r="A203" s="16"/>
      <c r="B203" s="17" t="b">
        <f t="shared" si="54"/>
        <v>0</v>
      </c>
      <c r="C203" s="17" t="b">
        <f t="shared" si="53"/>
        <v>0</v>
      </c>
      <c r="D203" s="17">
        <f t="shared" si="44"/>
        <v>1</v>
      </c>
      <c r="E203" s="17" t="str">
        <f t="shared" si="45"/>
        <v>Section 5 - Next steps</v>
      </c>
      <c r="F203" s="18" t="str">
        <f t="shared" si="46"/>
        <v/>
      </c>
      <c r="G203" s="13" t="str">
        <f t="shared" ref="G203:G266" si="56">IF(C203,IF(ISERROR(FIND("s",A204)),LEFT(A204,FIND("m",A204)),LEFT(A204,FIND("s",A204))),"")</f>
        <v/>
      </c>
      <c r="H203">
        <f t="shared" ref="H203:H266" si="57">IF(OR(G203="",ISERROR(FIND("m",G203))),0,VALUE(LEFT(G203,FIND("m",G203)-1)))</f>
        <v>0</v>
      </c>
      <c r="I203" s="14">
        <f t="shared" si="47"/>
        <v>0</v>
      </c>
      <c r="J203" s="13">
        <f t="shared" ref="J203:J266" si="58">J202+(H203*60+I203)</f>
        <v>300</v>
      </c>
      <c r="K203">
        <f t="shared" ref="K203:K266" si="59">INT(J203/60/60)</f>
        <v>0</v>
      </c>
      <c r="L203">
        <f t="shared" ref="L203:L266" si="60">INT((J203-(K203*60*60))/60)</f>
        <v>5</v>
      </c>
      <c r="M203" s="14">
        <f t="shared" ref="M203:M266" si="61">J203-(((K203*60)+L203)*60)</f>
        <v>0</v>
      </c>
      <c r="N203" s="13">
        <f t="shared" si="55"/>
        <v>0</v>
      </c>
      <c r="O203">
        <f t="shared" si="55"/>
        <v>13</v>
      </c>
      <c r="P203">
        <f t="shared" si="55"/>
        <v>0</v>
      </c>
      <c r="Q203" s="14">
        <f t="shared" si="48"/>
        <v>780</v>
      </c>
      <c r="R203" s="13">
        <f t="shared" si="49"/>
        <v>0</v>
      </c>
      <c r="S203">
        <f t="shared" si="50"/>
        <v>13</v>
      </c>
      <c r="T203">
        <f t="shared" si="51"/>
        <v>0</v>
      </c>
      <c r="U203" s="14">
        <f t="shared" si="52"/>
        <v>780</v>
      </c>
      <c r="V203" s="15"/>
      <c r="Z203" s="14"/>
    </row>
    <row r="204" spans="1:26" x14ac:dyDescent="0.25">
      <c r="A204" s="16"/>
      <c r="B204" s="17" t="b">
        <f t="shared" si="54"/>
        <v>0</v>
      </c>
      <c r="C204" s="17" t="b">
        <f t="shared" si="53"/>
        <v>0</v>
      </c>
      <c r="D204" s="17">
        <f t="shared" ref="D204:D267" si="62">IF(B204,0,IF(C204,D203+1,D203))</f>
        <v>1</v>
      </c>
      <c r="E204" s="17" t="str">
        <f t="shared" ref="E204:E267" si="63">SUBSTITUTE(IF(B204,A204,E203),":", " -")</f>
        <v>Section 5 - Next steps</v>
      </c>
      <c r="F204" s="18" t="str">
        <f t="shared" ref="F204:F267" si="64">IF(C204,A204,"")</f>
        <v/>
      </c>
      <c r="G204" s="13" t="str">
        <f t="shared" si="56"/>
        <v/>
      </c>
      <c r="H204">
        <f t="shared" si="57"/>
        <v>0</v>
      </c>
      <c r="I204" s="14">
        <f t="shared" ref="I204:I267" si="65">IF(OR(G204="",ISERROR(FIND("s",G204))),0,VALUE(SUBSTITUTE(MID(G204,IF(ISERROR(FIND("m",G204)), 0,FIND("m",G204))+1,LEN(G204)),"s","")))</f>
        <v>0</v>
      </c>
      <c r="J204" s="13">
        <f t="shared" si="58"/>
        <v>300</v>
      </c>
      <c r="K204">
        <f t="shared" si="59"/>
        <v>0</v>
      </c>
      <c r="L204">
        <f t="shared" si="60"/>
        <v>5</v>
      </c>
      <c r="M204" s="14">
        <f t="shared" si="61"/>
        <v>0</v>
      </c>
      <c r="N204" s="13">
        <f t="shared" si="55"/>
        <v>0</v>
      </c>
      <c r="O204">
        <f t="shared" si="55"/>
        <v>13</v>
      </c>
      <c r="P204">
        <f t="shared" si="55"/>
        <v>0</v>
      </c>
      <c r="Q204" s="14">
        <f t="shared" si="48"/>
        <v>780</v>
      </c>
      <c r="R204" s="13">
        <f t="shared" si="49"/>
        <v>0</v>
      </c>
      <c r="S204">
        <f t="shared" si="50"/>
        <v>13</v>
      </c>
      <c r="T204">
        <f t="shared" si="51"/>
        <v>0</v>
      </c>
      <c r="U204" s="14">
        <f t="shared" si="52"/>
        <v>780</v>
      </c>
      <c r="V204" s="15"/>
      <c r="Z204" s="14"/>
    </row>
    <row r="205" spans="1:26" x14ac:dyDescent="0.25">
      <c r="A205" s="16"/>
      <c r="B205" s="17" t="b">
        <f t="shared" si="54"/>
        <v>0</v>
      </c>
      <c r="C205" s="17" t="b">
        <f t="shared" si="53"/>
        <v>0</v>
      </c>
      <c r="D205" s="17">
        <f t="shared" si="62"/>
        <v>1</v>
      </c>
      <c r="E205" s="17" t="str">
        <f t="shared" si="63"/>
        <v>Section 5 - Next steps</v>
      </c>
      <c r="F205" s="18" t="str">
        <f t="shared" si="64"/>
        <v/>
      </c>
      <c r="G205" s="13" t="str">
        <f t="shared" si="56"/>
        <v/>
      </c>
      <c r="H205">
        <f t="shared" si="57"/>
        <v>0</v>
      </c>
      <c r="I205" s="14">
        <f t="shared" si="65"/>
        <v>0</v>
      </c>
      <c r="J205" s="13">
        <f t="shared" si="58"/>
        <v>300</v>
      </c>
      <c r="K205">
        <f t="shared" si="59"/>
        <v>0</v>
      </c>
      <c r="L205">
        <f t="shared" si="60"/>
        <v>5</v>
      </c>
      <c r="M205" s="14">
        <f t="shared" si="61"/>
        <v>0</v>
      </c>
      <c r="N205" s="13">
        <f t="shared" si="55"/>
        <v>0</v>
      </c>
      <c r="O205">
        <f t="shared" si="55"/>
        <v>13</v>
      </c>
      <c r="P205">
        <f t="shared" si="55"/>
        <v>0</v>
      </c>
      <c r="Q205" s="14">
        <f t="shared" si="48"/>
        <v>780</v>
      </c>
      <c r="R205" s="13">
        <f t="shared" si="49"/>
        <v>0</v>
      </c>
      <c r="S205">
        <f t="shared" si="50"/>
        <v>13</v>
      </c>
      <c r="T205">
        <f t="shared" si="51"/>
        <v>0</v>
      </c>
      <c r="U205" s="14">
        <f t="shared" si="52"/>
        <v>780</v>
      </c>
      <c r="V205" s="15"/>
      <c r="Z205" s="14"/>
    </row>
    <row r="206" spans="1:26" x14ac:dyDescent="0.25">
      <c r="A206" s="16"/>
      <c r="B206" s="17" t="b">
        <f t="shared" si="54"/>
        <v>0</v>
      </c>
      <c r="C206" s="17" t="b">
        <f t="shared" si="53"/>
        <v>0</v>
      </c>
      <c r="D206" s="17">
        <f t="shared" si="62"/>
        <v>1</v>
      </c>
      <c r="E206" s="17" t="str">
        <f t="shared" si="63"/>
        <v>Section 5 - Next steps</v>
      </c>
      <c r="F206" s="18" t="str">
        <f t="shared" si="64"/>
        <v/>
      </c>
      <c r="G206" s="13" t="str">
        <f t="shared" si="56"/>
        <v/>
      </c>
      <c r="H206">
        <f t="shared" si="57"/>
        <v>0</v>
      </c>
      <c r="I206" s="14">
        <f t="shared" si="65"/>
        <v>0</v>
      </c>
      <c r="J206" s="13">
        <f t="shared" si="58"/>
        <v>300</v>
      </c>
      <c r="K206">
        <f t="shared" si="59"/>
        <v>0</v>
      </c>
      <c r="L206">
        <f t="shared" si="60"/>
        <v>5</v>
      </c>
      <c r="M206" s="14">
        <f t="shared" si="61"/>
        <v>0</v>
      </c>
      <c r="N206" s="13">
        <f t="shared" si="55"/>
        <v>0</v>
      </c>
      <c r="O206">
        <f t="shared" si="55"/>
        <v>13</v>
      </c>
      <c r="P206">
        <f t="shared" si="55"/>
        <v>0</v>
      </c>
      <c r="Q206" s="14">
        <f t="shared" ref="Q206:Q269" si="66">(((N206*60)+O206)*60)+P206</f>
        <v>780</v>
      </c>
      <c r="R206" s="13">
        <f t="shared" ref="R206:R269" si="67">INT(U206/60/60)</f>
        <v>0</v>
      </c>
      <c r="S206">
        <f t="shared" ref="S206:S269" si="68">INT((U206-(R206*60*60))/60)</f>
        <v>13</v>
      </c>
      <c r="T206">
        <f t="shared" ref="T206:T269" si="69">U206-(((R206*60)+S206)*60)</f>
        <v>0</v>
      </c>
      <c r="U206" s="14">
        <f t="shared" ref="U206:U269" si="70">((H206*60)+I206)+Q206</f>
        <v>780</v>
      </c>
      <c r="V206" s="15"/>
      <c r="Z206" s="14"/>
    </row>
    <row r="207" spans="1:26" x14ac:dyDescent="0.25">
      <c r="A207" s="16"/>
      <c r="B207" s="17" t="b">
        <f t="shared" si="54"/>
        <v>0</v>
      </c>
      <c r="C207" s="17" t="b">
        <f t="shared" si="53"/>
        <v>0</v>
      </c>
      <c r="D207" s="17">
        <f t="shared" si="62"/>
        <v>1</v>
      </c>
      <c r="E207" s="17" t="str">
        <f t="shared" si="63"/>
        <v>Section 5 - Next steps</v>
      </c>
      <c r="F207" s="18" t="str">
        <f t="shared" si="64"/>
        <v/>
      </c>
      <c r="G207" s="13" t="str">
        <f t="shared" si="56"/>
        <v/>
      </c>
      <c r="H207">
        <f t="shared" si="57"/>
        <v>0</v>
      </c>
      <c r="I207" s="14">
        <f t="shared" si="65"/>
        <v>0</v>
      </c>
      <c r="J207" s="13">
        <f t="shared" si="58"/>
        <v>300</v>
      </c>
      <c r="K207">
        <f t="shared" si="59"/>
        <v>0</v>
      </c>
      <c r="L207">
        <f t="shared" si="60"/>
        <v>5</v>
      </c>
      <c r="M207" s="14">
        <f t="shared" si="61"/>
        <v>0</v>
      </c>
      <c r="N207" s="13">
        <f t="shared" si="55"/>
        <v>0</v>
      </c>
      <c r="O207">
        <f t="shared" si="55"/>
        <v>13</v>
      </c>
      <c r="P207">
        <f t="shared" si="55"/>
        <v>0</v>
      </c>
      <c r="Q207" s="14">
        <f t="shared" si="66"/>
        <v>780</v>
      </c>
      <c r="R207" s="13">
        <f t="shared" si="67"/>
        <v>0</v>
      </c>
      <c r="S207">
        <f t="shared" si="68"/>
        <v>13</v>
      </c>
      <c r="T207">
        <f t="shared" si="69"/>
        <v>0</v>
      </c>
      <c r="U207" s="14">
        <f t="shared" si="70"/>
        <v>780</v>
      </c>
      <c r="V207" s="15"/>
      <c r="Z207" s="14"/>
    </row>
    <row r="208" spans="1:26" x14ac:dyDescent="0.25">
      <c r="A208" s="16"/>
      <c r="B208" s="17" t="b">
        <f t="shared" si="54"/>
        <v>0</v>
      </c>
      <c r="C208" s="17" t="b">
        <f t="shared" ref="C208:C271" si="71">OR(AND(NOT(ISERROR(FIND("m",A209))),ISNUMBER(VALUE(LEFT(A209,FIND("m",A209)-1)))),AND(NOT(ISERROR(FIND("s",A209))),ISNUMBER(VALUE(LEFT(A209,FIND("s",A209)-1)))))</f>
        <v>0</v>
      </c>
      <c r="D208" s="17">
        <f t="shared" si="62"/>
        <v>1</v>
      </c>
      <c r="E208" s="17" t="str">
        <f t="shared" si="63"/>
        <v>Section 5 - Next steps</v>
      </c>
      <c r="F208" s="18" t="str">
        <f t="shared" si="64"/>
        <v/>
      </c>
      <c r="G208" s="13" t="str">
        <f t="shared" si="56"/>
        <v/>
      </c>
      <c r="H208">
        <f t="shared" si="57"/>
        <v>0</v>
      </c>
      <c r="I208" s="14">
        <f t="shared" si="65"/>
        <v>0</v>
      </c>
      <c r="J208" s="13">
        <f t="shared" si="58"/>
        <v>300</v>
      </c>
      <c r="K208">
        <f t="shared" si="59"/>
        <v>0</v>
      </c>
      <c r="L208">
        <f t="shared" si="60"/>
        <v>5</v>
      </c>
      <c r="M208" s="14">
        <f t="shared" si="61"/>
        <v>0</v>
      </c>
      <c r="N208" s="13">
        <f t="shared" si="55"/>
        <v>0</v>
      </c>
      <c r="O208">
        <f t="shared" si="55"/>
        <v>13</v>
      </c>
      <c r="P208">
        <f t="shared" si="55"/>
        <v>0</v>
      </c>
      <c r="Q208" s="14">
        <f t="shared" si="66"/>
        <v>780</v>
      </c>
      <c r="R208" s="13">
        <f t="shared" si="67"/>
        <v>0</v>
      </c>
      <c r="S208">
        <f t="shared" si="68"/>
        <v>13</v>
      </c>
      <c r="T208">
        <f t="shared" si="69"/>
        <v>0</v>
      </c>
      <c r="U208" s="14">
        <f t="shared" si="70"/>
        <v>780</v>
      </c>
      <c r="V208" s="15"/>
      <c r="Z208" s="14"/>
    </row>
    <row r="209" spans="1:26" x14ac:dyDescent="0.25">
      <c r="A209" s="16"/>
      <c r="B209" s="17" t="b">
        <f t="shared" si="54"/>
        <v>0</v>
      </c>
      <c r="C209" s="17" t="b">
        <f t="shared" si="71"/>
        <v>0</v>
      </c>
      <c r="D209" s="17">
        <f t="shared" si="62"/>
        <v>1</v>
      </c>
      <c r="E209" s="17" t="str">
        <f t="shared" si="63"/>
        <v>Section 5 - Next steps</v>
      </c>
      <c r="F209" s="18" t="str">
        <f t="shared" si="64"/>
        <v/>
      </c>
      <c r="G209" s="13" t="str">
        <f t="shared" si="56"/>
        <v/>
      </c>
      <c r="H209">
        <f t="shared" si="57"/>
        <v>0</v>
      </c>
      <c r="I209" s="14">
        <f t="shared" si="65"/>
        <v>0</v>
      </c>
      <c r="J209" s="13">
        <f t="shared" si="58"/>
        <v>300</v>
      </c>
      <c r="K209">
        <f t="shared" si="59"/>
        <v>0</v>
      </c>
      <c r="L209">
        <f t="shared" si="60"/>
        <v>5</v>
      </c>
      <c r="M209" s="14">
        <f t="shared" si="61"/>
        <v>0</v>
      </c>
      <c r="N209" s="13">
        <f t="shared" si="55"/>
        <v>0</v>
      </c>
      <c r="O209">
        <f t="shared" si="55"/>
        <v>13</v>
      </c>
      <c r="P209">
        <f t="shared" si="55"/>
        <v>0</v>
      </c>
      <c r="Q209" s="14">
        <f t="shared" si="66"/>
        <v>780</v>
      </c>
      <c r="R209" s="13">
        <f t="shared" si="67"/>
        <v>0</v>
      </c>
      <c r="S209">
        <f t="shared" si="68"/>
        <v>13</v>
      </c>
      <c r="T209">
        <f t="shared" si="69"/>
        <v>0</v>
      </c>
      <c r="U209" s="14">
        <f t="shared" si="70"/>
        <v>780</v>
      </c>
      <c r="V209" s="15"/>
      <c r="Z209" s="14"/>
    </row>
    <row r="210" spans="1:26" x14ac:dyDescent="0.25">
      <c r="A210" s="16"/>
      <c r="B210" s="17" t="b">
        <f t="shared" si="54"/>
        <v>0</v>
      </c>
      <c r="C210" s="17" t="b">
        <f t="shared" si="71"/>
        <v>0</v>
      </c>
      <c r="D210" s="17">
        <f t="shared" si="62"/>
        <v>1</v>
      </c>
      <c r="E210" s="17" t="str">
        <f t="shared" si="63"/>
        <v>Section 5 - Next steps</v>
      </c>
      <c r="F210" s="18" t="str">
        <f t="shared" si="64"/>
        <v/>
      </c>
      <c r="G210" s="13" t="str">
        <f t="shared" si="56"/>
        <v/>
      </c>
      <c r="H210">
        <f t="shared" si="57"/>
        <v>0</v>
      </c>
      <c r="I210" s="14">
        <f t="shared" si="65"/>
        <v>0</v>
      </c>
      <c r="J210" s="13">
        <f t="shared" si="58"/>
        <v>300</v>
      </c>
      <c r="K210">
        <f t="shared" si="59"/>
        <v>0</v>
      </c>
      <c r="L210">
        <f t="shared" si="60"/>
        <v>5</v>
      </c>
      <c r="M210" s="14">
        <f t="shared" si="61"/>
        <v>0</v>
      </c>
      <c r="N210" s="13">
        <f t="shared" si="55"/>
        <v>0</v>
      </c>
      <c r="O210">
        <f t="shared" si="55"/>
        <v>13</v>
      </c>
      <c r="P210">
        <f t="shared" si="55"/>
        <v>0</v>
      </c>
      <c r="Q210" s="14">
        <f t="shared" si="66"/>
        <v>780</v>
      </c>
      <c r="R210" s="13">
        <f t="shared" si="67"/>
        <v>0</v>
      </c>
      <c r="S210">
        <f t="shared" si="68"/>
        <v>13</v>
      </c>
      <c r="T210">
        <f t="shared" si="69"/>
        <v>0</v>
      </c>
      <c r="U210" s="14">
        <f t="shared" si="70"/>
        <v>780</v>
      </c>
      <c r="V210" s="15"/>
      <c r="Z210" s="14"/>
    </row>
    <row r="211" spans="1:26" x14ac:dyDescent="0.25">
      <c r="A211" s="16"/>
      <c r="B211" s="17" t="b">
        <f t="shared" ref="B211:B274" si="72">AND(NOT(ISERROR(FIND("Section ",A211))),NOT(ISERROR(FIND("Section ",A211))))</f>
        <v>0</v>
      </c>
      <c r="C211" s="17" t="b">
        <f t="shared" si="71"/>
        <v>0</v>
      </c>
      <c r="D211" s="17">
        <f t="shared" si="62"/>
        <v>1</v>
      </c>
      <c r="E211" s="17" t="str">
        <f t="shared" si="63"/>
        <v>Section 5 - Next steps</v>
      </c>
      <c r="F211" s="18" t="str">
        <f t="shared" si="64"/>
        <v/>
      </c>
      <c r="G211" s="13" t="str">
        <f t="shared" si="56"/>
        <v/>
      </c>
      <c r="H211">
        <f t="shared" si="57"/>
        <v>0</v>
      </c>
      <c r="I211" s="14">
        <f t="shared" si="65"/>
        <v>0</v>
      </c>
      <c r="J211" s="13">
        <f t="shared" si="58"/>
        <v>300</v>
      </c>
      <c r="K211">
        <f t="shared" si="59"/>
        <v>0</v>
      </c>
      <c r="L211">
        <f t="shared" si="60"/>
        <v>5</v>
      </c>
      <c r="M211" s="14">
        <f t="shared" si="61"/>
        <v>0</v>
      </c>
      <c r="N211" s="13">
        <f t="shared" si="55"/>
        <v>0</v>
      </c>
      <c r="O211">
        <f t="shared" si="55"/>
        <v>13</v>
      </c>
      <c r="P211">
        <f t="shared" si="55"/>
        <v>0</v>
      </c>
      <c r="Q211" s="14">
        <f t="shared" si="66"/>
        <v>780</v>
      </c>
      <c r="R211" s="13">
        <f t="shared" si="67"/>
        <v>0</v>
      </c>
      <c r="S211">
        <f t="shared" si="68"/>
        <v>13</v>
      </c>
      <c r="T211">
        <f t="shared" si="69"/>
        <v>0</v>
      </c>
      <c r="U211" s="14">
        <f t="shared" si="70"/>
        <v>780</v>
      </c>
      <c r="V211" s="15"/>
      <c r="Z211" s="14"/>
    </row>
    <row r="212" spans="1:26" x14ac:dyDescent="0.25">
      <c r="A212" s="16"/>
      <c r="B212" s="17" t="b">
        <f t="shared" si="72"/>
        <v>0</v>
      </c>
      <c r="C212" s="17" t="b">
        <f t="shared" si="71"/>
        <v>0</v>
      </c>
      <c r="D212" s="17">
        <f t="shared" si="62"/>
        <v>1</v>
      </c>
      <c r="E212" s="17" t="str">
        <f t="shared" si="63"/>
        <v>Section 5 - Next steps</v>
      </c>
      <c r="F212" s="18" t="str">
        <f t="shared" si="64"/>
        <v/>
      </c>
      <c r="G212" s="13" t="str">
        <f t="shared" si="56"/>
        <v/>
      </c>
      <c r="H212">
        <f t="shared" si="57"/>
        <v>0</v>
      </c>
      <c r="I212" s="14">
        <f t="shared" si="65"/>
        <v>0</v>
      </c>
      <c r="J212" s="13">
        <f t="shared" si="58"/>
        <v>300</v>
      </c>
      <c r="K212">
        <f t="shared" si="59"/>
        <v>0</v>
      </c>
      <c r="L212">
        <f t="shared" si="60"/>
        <v>5</v>
      </c>
      <c r="M212" s="14">
        <f t="shared" si="61"/>
        <v>0</v>
      </c>
      <c r="N212" s="13">
        <f t="shared" si="55"/>
        <v>0</v>
      </c>
      <c r="O212">
        <f t="shared" si="55"/>
        <v>13</v>
      </c>
      <c r="P212">
        <f t="shared" si="55"/>
        <v>0</v>
      </c>
      <c r="Q212" s="14">
        <f t="shared" si="66"/>
        <v>780</v>
      </c>
      <c r="R212" s="13">
        <f t="shared" si="67"/>
        <v>0</v>
      </c>
      <c r="S212">
        <f t="shared" si="68"/>
        <v>13</v>
      </c>
      <c r="T212">
        <f t="shared" si="69"/>
        <v>0</v>
      </c>
      <c r="U212" s="14">
        <f t="shared" si="70"/>
        <v>780</v>
      </c>
      <c r="V212" s="15"/>
      <c r="Z212" s="14"/>
    </row>
    <row r="213" spans="1:26" x14ac:dyDescent="0.25">
      <c r="A213" s="16"/>
      <c r="B213" s="17" t="b">
        <f t="shared" si="72"/>
        <v>0</v>
      </c>
      <c r="C213" s="17" t="b">
        <f t="shared" si="71"/>
        <v>0</v>
      </c>
      <c r="D213" s="17">
        <f t="shared" si="62"/>
        <v>1</v>
      </c>
      <c r="E213" s="17" t="str">
        <f t="shared" si="63"/>
        <v>Section 5 - Next steps</v>
      </c>
      <c r="F213" s="18" t="str">
        <f t="shared" si="64"/>
        <v/>
      </c>
      <c r="G213" s="13" t="str">
        <f t="shared" si="56"/>
        <v/>
      </c>
      <c r="H213">
        <f t="shared" si="57"/>
        <v>0</v>
      </c>
      <c r="I213" s="14">
        <f t="shared" si="65"/>
        <v>0</v>
      </c>
      <c r="J213" s="13">
        <f t="shared" si="58"/>
        <v>300</v>
      </c>
      <c r="K213">
        <f t="shared" si="59"/>
        <v>0</v>
      </c>
      <c r="L213">
        <f t="shared" si="60"/>
        <v>5</v>
      </c>
      <c r="M213" s="14">
        <f t="shared" si="61"/>
        <v>0</v>
      </c>
      <c r="N213" s="13">
        <f t="shared" si="55"/>
        <v>0</v>
      </c>
      <c r="O213">
        <f t="shared" si="55"/>
        <v>13</v>
      </c>
      <c r="P213">
        <f t="shared" si="55"/>
        <v>0</v>
      </c>
      <c r="Q213" s="14">
        <f t="shared" si="66"/>
        <v>780</v>
      </c>
      <c r="R213" s="13">
        <f t="shared" si="67"/>
        <v>0</v>
      </c>
      <c r="S213">
        <f t="shared" si="68"/>
        <v>13</v>
      </c>
      <c r="T213">
        <f t="shared" si="69"/>
        <v>0</v>
      </c>
      <c r="U213" s="14">
        <f t="shared" si="70"/>
        <v>780</v>
      </c>
      <c r="V213" s="15"/>
      <c r="Z213" s="14"/>
    </row>
    <row r="214" spans="1:26" x14ac:dyDescent="0.25">
      <c r="A214" s="16"/>
      <c r="B214" s="17" t="b">
        <f t="shared" si="72"/>
        <v>0</v>
      </c>
      <c r="C214" s="17" t="b">
        <f t="shared" si="71"/>
        <v>0</v>
      </c>
      <c r="D214" s="17">
        <f t="shared" si="62"/>
        <v>1</v>
      </c>
      <c r="E214" s="17" t="str">
        <f t="shared" si="63"/>
        <v>Section 5 - Next steps</v>
      </c>
      <c r="F214" s="18" t="str">
        <f t="shared" si="64"/>
        <v/>
      </c>
      <c r="G214" s="13" t="str">
        <f t="shared" si="56"/>
        <v/>
      </c>
      <c r="H214">
        <f t="shared" si="57"/>
        <v>0</v>
      </c>
      <c r="I214" s="14">
        <f t="shared" si="65"/>
        <v>0</v>
      </c>
      <c r="J214" s="13">
        <f t="shared" si="58"/>
        <v>300</v>
      </c>
      <c r="K214">
        <f t="shared" si="59"/>
        <v>0</v>
      </c>
      <c r="L214">
        <f t="shared" si="60"/>
        <v>5</v>
      </c>
      <c r="M214" s="14">
        <f t="shared" si="61"/>
        <v>0</v>
      </c>
      <c r="N214" s="13">
        <f t="shared" si="55"/>
        <v>0</v>
      </c>
      <c r="O214">
        <f t="shared" si="55"/>
        <v>13</v>
      </c>
      <c r="P214">
        <f t="shared" si="55"/>
        <v>0</v>
      </c>
      <c r="Q214" s="14">
        <f t="shared" si="66"/>
        <v>780</v>
      </c>
      <c r="R214" s="13">
        <f t="shared" si="67"/>
        <v>0</v>
      </c>
      <c r="S214">
        <f t="shared" si="68"/>
        <v>13</v>
      </c>
      <c r="T214">
        <f t="shared" si="69"/>
        <v>0</v>
      </c>
      <c r="U214" s="14">
        <f t="shared" si="70"/>
        <v>780</v>
      </c>
      <c r="V214" s="15"/>
      <c r="Z214" s="14"/>
    </row>
    <row r="215" spans="1:26" x14ac:dyDescent="0.25">
      <c r="A215" s="16"/>
      <c r="B215" s="17" t="b">
        <f t="shared" si="72"/>
        <v>0</v>
      </c>
      <c r="C215" s="17" t="b">
        <f t="shared" si="71"/>
        <v>0</v>
      </c>
      <c r="D215" s="17">
        <f t="shared" si="62"/>
        <v>1</v>
      </c>
      <c r="E215" s="17" t="str">
        <f t="shared" si="63"/>
        <v>Section 5 - Next steps</v>
      </c>
      <c r="F215" s="18" t="str">
        <f t="shared" si="64"/>
        <v/>
      </c>
      <c r="G215" s="13" t="str">
        <f t="shared" si="56"/>
        <v/>
      </c>
      <c r="H215">
        <f t="shared" si="57"/>
        <v>0</v>
      </c>
      <c r="I215" s="14">
        <f t="shared" si="65"/>
        <v>0</v>
      </c>
      <c r="J215" s="13">
        <f t="shared" si="58"/>
        <v>300</v>
      </c>
      <c r="K215">
        <f t="shared" si="59"/>
        <v>0</v>
      </c>
      <c r="L215">
        <f t="shared" si="60"/>
        <v>5</v>
      </c>
      <c r="M215" s="14">
        <f t="shared" si="61"/>
        <v>0</v>
      </c>
      <c r="N215" s="13">
        <f t="shared" si="55"/>
        <v>0</v>
      </c>
      <c r="O215">
        <f t="shared" si="55"/>
        <v>13</v>
      </c>
      <c r="P215">
        <f t="shared" si="55"/>
        <v>0</v>
      </c>
      <c r="Q215" s="14">
        <f t="shared" si="66"/>
        <v>780</v>
      </c>
      <c r="R215" s="13">
        <f t="shared" si="67"/>
        <v>0</v>
      </c>
      <c r="S215">
        <f t="shared" si="68"/>
        <v>13</v>
      </c>
      <c r="T215">
        <f t="shared" si="69"/>
        <v>0</v>
      </c>
      <c r="U215" s="14">
        <f t="shared" si="70"/>
        <v>780</v>
      </c>
      <c r="V215" s="15"/>
      <c r="Z215" s="14"/>
    </row>
    <row r="216" spans="1:26" x14ac:dyDescent="0.25">
      <c r="A216" s="16"/>
      <c r="B216" s="17" t="b">
        <f t="shared" si="72"/>
        <v>0</v>
      </c>
      <c r="C216" s="17" t="b">
        <f t="shared" si="71"/>
        <v>0</v>
      </c>
      <c r="D216" s="17">
        <f t="shared" si="62"/>
        <v>1</v>
      </c>
      <c r="E216" s="17" t="str">
        <f t="shared" si="63"/>
        <v>Section 5 - Next steps</v>
      </c>
      <c r="F216" s="18" t="str">
        <f t="shared" si="64"/>
        <v/>
      </c>
      <c r="G216" s="13" t="str">
        <f t="shared" si="56"/>
        <v/>
      </c>
      <c r="H216">
        <f t="shared" si="57"/>
        <v>0</v>
      </c>
      <c r="I216" s="14">
        <f t="shared" si="65"/>
        <v>0</v>
      </c>
      <c r="J216" s="13">
        <f t="shared" si="58"/>
        <v>300</v>
      </c>
      <c r="K216">
        <f t="shared" si="59"/>
        <v>0</v>
      </c>
      <c r="L216">
        <f t="shared" si="60"/>
        <v>5</v>
      </c>
      <c r="M216" s="14">
        <f t="shared" si="61"/>
        <v>0</v>
      </c>
      <c r="N216" s="13">
        <f t="shared" si="55"/>
        <v>0</v>
      </c>
      <c r="O216">
        <f t="shared" si="55"/>
        <v>13</v>
      </c>
      <c r="P216">
        <f t="shared" si="55"/>
        <v>0</v>
      </c>
      <c r="Q216" s="14">
        <f t="shared" si="66"/>
        <v>780</v>
      </c>
      <c r="R216" s="13">
        <f t="shared" si="67"/>
        <v>0</v>
      </c>
      <c r="S216">
        <f t="shared" si="68"/>
        <v>13</v>
      </c>
      <c r="T216">
        <f t="shared" si="69"/>
        <v>0</v>
      </c>
      <c r="U216" s="14">
        <f t="shared" si="70"/>
        <v>780</v>
      </c>
      <c r="V216" s="15"/>
      <c r="Z216" s="14"/>
    </row>
    <row r="217" spans="1:26" x14ac:dyDescent="0.25">
      <c r="A217" s="16"/>
      <c r="B217" s="17" t="b">
        <f t="shared" si="72"/>
        <v>0</v>
      </c>
      <c r="C217" s="17" t="b">
        <f t="shared" si="71"/>
        <v>0</v>
      </c>
      <c r="D217" s="17">
        <f t="shared" si="62"/>
        <v>1</v>
      </c>
      <c r="E217" s="17" t="str">
        <f t="shared" si="63"/>
        <v>Section 5 - Next steps</v>
      </c>
      <c r="F217" s="18" t="str">
        <f t="shared" si="64"/>
        <v/>
      </c>
      <c r="G217" s="13" t="str">
        <f t="shared" si="56"/>
        <v/>
      </c>
      <c r="H217">
        <f t="shared" si="57"/>
        <v>0</v>
      </c>
      <c r="I217" s="14">
        <f t="shared" si="65"/>
        <v>0</v>
      </c>
      <c r="J217" s="13">
        <f t="shared" si="58"/>
        <v>300</v>
      </c>
      <c r="K217">
        <f t="shared" si="59"/>
        <v>0</v>
      </c>
      <c r="L217">
        <f t="shared" si="60"/>
        <v>5</v>
      </c>
      <c r="M217" s="14">
        <f t="shared" si="61"/>
        <v>0</v>
      </c>
      <c r="N217" s="13">
        <f t="shared" si="55"/>
        <v>0</v>
      </c>
      <c r="O217">
        <f t="shared" si="55"/>
        <v>13</v>
      </c>
      <c r="P217">
        <f t="shared" si="55"/>
        <v>0</v>
      </c>
      <c r="Q217" s="14">
        <f t="shared" si="66"/>
        <v>780</v>
      </c>
      <c r="R217" s="13">
        <f t="shared" si="67"/>
        <v>0</v>
      </c>
      <c r="S217">
        <f t="shared" si="68"/>
        <v>13</v>
      </c>
      <c r="T217">
        <f t="shared" si="69"/>
        <v>0</v>
      </c>
      <c r="U217" s="14">
        <f t="shared" si="70"/>
        <v>780</v>
      </c>
      <c r="V217" s="15"/>
      <c r="Z217" s="14"/>
    </row>
    <row r="218" spans="1:26" x14ac:dyDescent="0.25">
      <c r="A218" s="16"/>
      <c r="B218" s="17" t="b">
        <f t="shared" si="72"/>
        <v>0</v>
      </c>
      <c r="C218" s="17" t="b">
        <f t="shared" si="71"/>
        <v>0</v>
      </c>
      <c r="D218" s="17">
        <f t="shared" si="62"/>
        <v>1</v>
      </c>
      <c r="E218" s="17" t="str">
        <f t="shared" si="63"/>
        <v>Section 5 - Next steps</v>
      </c>
      <c r="F218" s="18" t="str">
        <f t="shared" si="64"/>
        <v/>
      </c>
      <c r="G218" s="13" t="str">
        <f t="shared" si="56"/>
        <v/>
      </c>
      <c r="H218">
        <f t="shared" si="57"/>
        <v>0</v>
      </c>
      <c r="I218" s="14">
        <f t="shared" si="65"/>
        <v>0</v>
      </c>
      <c r="J218" s="13">
        <f t="shared" si="58"/>
        <v>300</v>
      </c>
      <c r="K218">
        <f t="shared" si="59"/>
        <v>0</v>
      </c>
      <c r="L218">
        <f t="shared" si="60"/>
        <v>5</v>
      </c>
      <c r="M218" s="14">
        <f t="shared" si="61"/>
        <v>0</v>
      </c>
      <c r="N218" s="13">
        <f t="shared" si="55"/>
        <v>0</v>
      </c>
      <c r="O218">
        <f t="shared" si="55"/>
        <v>13</v>
      </c>
      <c r="P218">
        <f t="shared" si="55"/>
        <v>0</v>
      </c>
      <c r="Q218" s="14">
        <f t="shared" si="66"/>
        <v>780</v>
      </c>
      <c r="R218" s="13">
        <f t="shared" si="67"/>
        <v>0</v>
      </c>
      <c r="S218">
        <f t="shared" si="68"/>
        <v>13</v>
      </c>
      <c r="T218">
        <f t="shared" si="69"/>
        <v>0</v>
      </c>
      <c r="U218" s="14">
        <f t="shared" si="70"/>
        <v>780</v>
      </c>
      <c r="V218" s="15"/>
      <c r="Z218" s="14"/>
    </row>
    <row r="219" spans="1:26" x14ac:dyDescent="0.25">
      <c r="A219" s="16"/>
      <c r="B219" s="17" t="b">
        <f t="shared" si="72"/>
        <v>0</v>
      </c>
      <c r="C219" s="17" t="b">
        <f t="shared" si="71"/>
        <v>0</v>
      </c>
      <c r="D219" s="17">
        <f t="shared" si="62"/>
        <v>1</v>
      </c>
      <c r="E219" s="17" t="str">
        <f t="shared" si="63"/>
        <v>Section 5 - Next steps</v>
      </c>
      <c r="F219" s="18" t="str">
        <f t="shared" si="64"/>
        <v/>
      </c>
      <c r="G219" s="13" t="str">
        <f t="shared" si="56"/>
        <v/>
      </c>
      <c r="H219">
        <f t="shared" si="57"/>
        <v>0</v>
      </c>
      <c r="I219" s="14">
        <f t="shared" si="65"/>
        <v>0</v>
      </c>
      <c r="J219" s="13">
        <f t="shared" si="58"/>
        <v>300</v>
      </c>
      <c r="K219">
        <f t="shared" si="59"/>
        <v>0</v>
      </c>
      <c r="L219">
        <f t="shared" si="60"/>
        <v>5</v>
      </c>
      <c r="M219" s="14">
        <f t="shared" si="61"/>
        <v>0</v>
      </c>
      <c r="N219" s="13">
        <f t="shared" si="55"/>
        <v>0</v>
      </c>
      <c r="O219">
        <f t="shared" si="55"/>
        <v>13</v>
      </c>
      <c r="P219">
        <f t="shared" si="55"/>
        <v>0</v>
      </c>
      <c r="Q219" s="14">
        <f t="shared" si="66"/>
        <v>780</v>
      </c>
      <c r="R219" s="13">
        <f t="shared" si="67"/>
        <v>0</v>
      </c>
      <c r="S219">
        <f t="shared" si="68"/>
        <v>13</v>
      </c>
      <c r="T219">
        <f t="shared" si="69"/>
        <v>0</v>
      </c>
      <c r="U219" s="14">
        <f t="shared" si="70"/>
        <v>780</v>
      </c>
      <c r="V219" s="15"/>
      <c r="Z219" s="14"/>
    </row>
    <row r="220" spans="1:26" x14ac:dyDescent="0.25">
      <c r="A220" s="16"/>
      <c r="B220" s="17" t="b">
        <f t="shared" si="72"/>
        <v>0</v>
      </c>
      <c r="C220" s="17" t="b">
        <f t="shared" si="71"/>
        <v>0</v>
      </c>
      <c r="D220" s="17">
        <f t="shared" si="62"/>
        <v>1</v>
      </c>
      <c r="E220" s="17" t="str">
        <f t="shared" si="63"/>
        <v>Section 5 - Next steps</v>
      </c>
      <c r="F220" s="18" t="str">
        <f t="shared" si="64"/>
        <v/>
      </c>
      <c r="G220" s="13" t="str">
        <f t="shared" si="56"/>
        <v/>
      </c>
      <c r="H220">
        <f t="shared" si="57"/>
        <v>0</v>
      </c>
      <c r="I220" s="14">
        <f t="shared" si="65"/>
        <v>0</v>
      </c>
      <c r="J220" s="13">
        <f t="shared" si="58"/>
        <v>300</v>
      </c>
      <c r="K220">
        <f t="shared" si="59"/>
        <v>0</v>
      </c>
      <c r="L220">
        <f t="shared" si="60"/>
        <v>5</v>
      </c>
      <c r="M220" s="14">
        <f t="shared" si="61"/>
        <v>0</v>
      </c>
      <c r="N220" s="13">
        <f t="shared" ref="N220:P283" si="73">R219</f>
        <v>0</v>
      </c>
      <c r="O220">
        <f t="shared" si="73"/>
        <v>13</v>
      </c>
      <c r="P220">
        <f t="shared" si="73"/>
        <v>0</v>
      </c>
      <c r="Q220" s="14">
        <f t="shared" si="66"/>
        <v>780</v>
      </c>
      <c r="R220" s="13">
        <f t="shared" si="67"/>
        <v>0</v>
      </c>
      <c r="S220">
        <f t="shared" si="68"/>
        <v>13</v>
      </c>
      <c r="T220">
        <f t="shared" si="69"/>
        <v>0</v>
      </c>
      <c r="U220" s="14">
        <f t="shared" si="70"/>
        <v>780</v>
      </c>
      <c r="V220" s="15"/>
      <c r="Z220" s="14"/>
    </row>
    <row r="221" spans="1:26" x14ac:dyDescent="0.25">
      <c r="A221" s="16"/>
      <c r="B221" s="17" t="b">
        <f t="shared" si="72"/>
        <v>0</v>
      </c>
      <c r="C221" s="17" t="b">
        <f t="shared" si="71"/>
        <v>0</v>
      </c>
      <c r="D221" s="17">
        <f t="shared" si="62"/>
        <v>1</v>
      </c>
      <c r="E221" s="17" t="str">
        <f t="shared" si="63"/>
        <v>Section 5 - Next steps</v>
      </c>
      <c r="F221" s="18" t="str">
        <f t="shared" si="64"/>
        <v/>
      </c>
      <c r="G221" s="13" t="str">
        <f t="shared" si="56"/>
        <v/>
      </c>
      <c r="H221">
        <f t="shared" si="57"/>
        <v>0</v>
      </c>
      <c r="I221" s="14">
        <f t="shared" si="65"/>
        <v>0</v>
      </c>
      <c r="J221" s="13">
        <f t="shared" si="58"/>
        <v>300</v>
      </c>
      <c r="K221">
        <f t="shared" si="59"/>
        <v>0</v>
      </c>
      <c r="L221">
        <f t="shared" si="60"/>
        <v>5</v>
      </c>
      <c r="M221" s="14">
        <f t="shared" si="61"/>
        <v>0</v>
      </c>
      <c r="N221" s="13">
        <f t="shared" si="73"/>
        <v>0</v>
      </c>
      <c r="O221">
        <f t="shared" si="73"/>
        <v>13</v>
      </c>
      <c r="P221">
        <f t="shared" si="73"/>
        <v>0</v>
      </c>
      <c r="Q221" s="14">
        <f t="shared" si="66"/>
        <v>780</v>
      </c>
      <c r="R221" s="13">
        <f t="shared" si="67"/>
        <v>0</v>
      </c>
      <c r="S221">
        <f t="shared" si="68"/>
        <v>13</v>
      </c>
      <c r="T221">
        <f t="shared" si="69"/>
        <v>0</v>
      </c>
      <c r="U221" s="14">
        <f t="shared" si="70"/>
        <v>780</v>
      </c>
      <c r="V221" s="15"/>
      <c r="Z221" s="14"/>
    </row>
    <row r="222" spans="1:26" x14ac:dyDescent="0.25">
      <c r="A222" s="16"/>
      <c r="B222" s="17" t="b">
        <f t="shared" si="72"/>
        <v>0</v>
      </c>
      <c r="C222" s="17" t="b">
        <f t="shared" si="71"/>
        <v>0</v>
      </c>
      <c r="D222" s="17">
        <f t="shared" si="62"/>
        <v>1</v>
      </c>
      <c r="E222" s="17" t="str">
        <f t="shared" si="63"/>
        <v>Section 5 - Next steps</v>
      </c>
      <c r="F222" s="18" t="str">
        <f t="shared" si="64"/>
        <v/>
      </c>
      <c r="G222" s="13" t="str">
        <f t="shared" si="56"/>
        <v/>
      </c>
      <c r="H222">
        <f t="shared" si="57"/>
        <v>0</v>
      </c>
      <c r="I222" s="14">
        <f t="shared" si="65"/>
        <v>0</v>
      </c>
      <c r="J222" s="13">
        <f t="shared" si="58"/>
        <v>300</v>
      </c>
      <c r="K222">
        <f t="shared" si="59"/>
        <v>0</v>
      </c>
      <c r="L222">
        <f t="shared" si="60"/>
        <v>5</v>
      </c>
      <c r="M222" s="14">
        <f t="shared" si="61"/>
        <v>0</v>
      </c>
      <c r="N222" s="13">
        <f t="shared" si="73"/>
        <v>0</v>
      </c>
      <c r="O222">
        <f t="shared" si="73"/>
        <v>13</v>
      </c>
      <c r="P222">
        <f t="shared" si="73"/>
        <v>0</v>
      </c>
      <c r="Q222" s="14">
        <f t="shared" si="66"/>
        <v>780</v>
      </c>
      <c r="R222" s="13">
        <f t="shared" si="67"/>
        <v>0</v>
      </c>
      <c r="S222">
        <f t="shared" si="68"/>
        <v>13</v>
      </c>
      <c r="T222">
        <f t="shared" si="69"/>
        <v>0</v>
      </c>
      <c r="U222" s="14">
        <f t="shared" si="70"/>
        <v>780</v>
      </c>
      <c r="V222" s="15"/>
      <c r="Z222" s="14"/>
    </row>
    <row r="223" spans="1:26" x14ac:dyDescent="0.25">
      <c r="A223" s="16"/>
      <c r="B223" s="17" t="b">
        <f t="shared" si="72"/>
        <v>0</v>
      </c>
      <c r="C223" s="17" t="b">
        <f t="shared" si="71"/>
        <v>0</v>
      </c>
      <c r="D223" s="17">
        <f t="shared" si="62"/>
        <v>1</v>
      </c>
      <c r="E223" s="17" t="str">
        <f t="shared" si="63"/>
        <v>Section 5 - Next steps</v>
      </c>
      <c r="F223" s="18" t="str">
        <f t="shared" si="64"/>
        <v/>
      </c>
      <c r="G223" s="13" t="str">
        <f t="shared" si="56"/>
        <v/>
      </c>
      <c r="H223">
        <f t="shared" si="57"/>
        <v>0</v>
      </c>
      <c r="I223" s="14">
        <f t="shared" si="65"/>
        <v>0</v>
      </c>
      <c r="J223" s="13">
        <f t="shared" si="58"/>
        <v>300</v>
      </c>
      <c r="K223">
        <f t="shared" si="59"/>
        <v>0</v>
      </c>
      <c r="L223">
        <f t="shared" si="60"/>
        <v>5</v>
      </c>
      <c r="M223" s="14">
        <f t="shared" si="61"/>
        <v>0</v>
      </c>
      <c r="N223" s="13">
        <f t="shared" si="73"/>
        <v>0</v>
      </c>
      <c r="O223">
        <f t="shared" si="73"/>
        <v>13</v>
      </c>
      <c r="P223">
        <f t="shared" si="73"/>
        <v>0</v>
      </c>
      <c r="Q223" s="14">
        <f t="shared" si="66"/>
        <v>780</v>
      </c>
      <c r="R223" s="13">
        <f t="shared" si="67"/>
        <v>0</v>
      </c>
      <c r="S223">
        <f t="shared" si="68"/>
        <v>13</v>
      </c>
      <c r="T223">
        <f t="shared" si="69"/>
        <v>0</v>
      </c>
      <c r="U223" s="14">
        <f t="shared" si="70"/>
        <v>780</v>
      </c>
      <c r="V223" s="15"/>
      <c r="Z223" s="14"/>
    </row>
    <row r="224" spans="1:26" x14ac:dyDescent="0.25">
      <c r="A224" s="16"/>
      <c r="B224" s="17" t="b">
        <f t="shared" si="72"/>
        <v>0</v>
      </c>
      <c r="C224" s="17" t="b">
        <f t="shared" si="71"/>
        <v>0</v>
      </c>
      <c r="D224" s="17">
        <f t="shared" si="62"/>
        <v>1</v>
      </c>
      <c r="E224" s="17" t="str">
        <f t="shared" si="63"/>
        <v>Section 5 - Next steps</v>
      </c>
      <c r="F224" s="18" t="str">
        <f t="shared" si="64"/>
        <v/>
      </c>
      <c r="G224" s="13" t="str">
        <f t="shared" si="56"/>
        <v/>
      </c>
      <c r="H224">
        <f t="shared" si="57"/>
        <v>0</v>
      </c>
      <c r="I224" s="14">
        <f t="shared" si="65"/>
        <v>0</v>
      </c>
      <c r="J224" s="13">
        <f t="shared" si="58"/>
        <v>300</v>
      </c>
      <c r="K224">
        <f t="shared" si="59"/>
        <v>0</v>
      </c>
      <c r="L224">
        <f t="shared" si="60"/>
        <v>5</v>
      </c>
      <c r="M224" s="14">
        <f t="shared" si="61"/>
        <v>0</v>
      </c>
      <c r="N224" s="13">
        <f t="shared" si="73"/>
        <v>0</v>
      </c>
      <c r="O224">
        <f t="shared" si="73"/>
        <v>13</v>
      </c>
      <c r="P224">
        <f t="shared" si="73"/>
        <v>0</v>
      </c>
      <c r="Q224" s="14">
        <f t="shared" si="66"/>
        <v>780</v>
      </c>
      <c r="R224" s="13">
        <f t="shared" si="67"/>
        <v>0</v>
      </c>
      <c r="S224">
        <f t="shared" si="68"/>
        <v>13</v>
      </c>
      <c r="T224">
        <f t="shared" si="69"/>
        <v>0</v>
      </c>
      <c r="U224" s="14">
        <f t="shared" si="70"/>
        <v>780</v>
      </c>
      <c r="V224" s="15"/>
      <c r="Z224" s="14"/>
    </row>
    <row r="225" spans="1:26" x14ac:dyDescent="0.25">
      <c r="A225" s="16"/>
      <c r="B225" s="17" t="b">
        <f t="shared" si="72"/>
        <v>0</v>
      </c>
      <c r="C225" s="17" t="b">
        <f t="shared" si="71"/>
        <v>0</v>
      </c>
      <c r="D225" s="17">
        <f t="shared" si="62"/>
        <v>1</v>
      </c>
      <c r="E225" s="17" t="str">
        <f t="shared" si="63"/>
        <v>Section 5 - Next steps</v>
      </c>
      <c r="F225" s="18" t="str">
        <f t="shared" si="64"/>
        <v/>
      </c>
      <c r="G225" s="13" t="str">
        <f t="shared" si="56"/>
        <v/>
      </c>
      <c r="H225">
        <f t="shared" si="57"/>
        <v>0</v>
      </c>
      <c r="I225" s="14">
        <f t="shared" si="65"/>
        <v>0</v>
      </c>
      <c r="J225" s="13">
        <f t="shared" si="58"/>
        <v>300</v>
      </c>
      <c r="K225">
        <f t="shared" si="59"/>
        <v>0</v>
      </c>
      <c r="L225">
        <f t="shared" si="60"/>
        <v>5</v>
      </c>
      <c r="M225" s="14">
        <f t="shared" si="61"/>
        <v>0</v>
      </c>
      <c r="N225" s="13">
        <f t="shared" si="73"/>
        <v>0</v>
      </c>
      <c r="O225">
        <f t="shared" si="73"/>
        <v>13</v>
      </c>
      <c r="P225">
        <f t="shared" si="73"/>
        <v>0</v>
      </c>
      <c r="Q225" s="14">
        <f t="shared" si="66"/>
        <v>780</v>
      </c>
      <c r="R225" s="13">
        <f t="shared" si="67"/>
        <v>0</v>
      </c>
      <c r="S225">
        <f t="shared" si="68"/>
        <v>13</v>
      </c>
      <c r="T225">
        <f t="shared" si="69"/>
        <v>0</v>
      </c>
      <c r="U225" s="14">
        <f t="shared" si="70"/>
        <v>780</v>
      </c>
      <c r="V225" s="15"/>
      <c r="Z225" s="14"/>
    </row>
    <row r="226" spans="1:26" x14ac:dyDescent="0.25">
      <c r="A226" s="16"/>
      <c r="B226" s="17" t="b">
        <f t="shared" si="72"/>
        <v>0</v>
      </c>
      <c r="C226" s="17" t="b">
        <f t="shared" si="71"/>
        <v>0</v>
      </c>
      <c r="D226" s="17">
        <f t="shared" si="62"/>
        <v>1</v>
      </c>
      <c r="E226" s="17" t="str">
        <f t="shared" si="63"/>
        <v>Section 5 - Next steps</v>
      </c>
      <c r="F226" s="18" t="str">
        <f t="shared" si="64"/>
        <v/>
      </c>
      <c r="G226" s="13" t="str">
        <f t="shared" si="56"/>
        <v/>
      </c>
      <c r="H226">
        <f t="shared" si="57"/>
        <v>0</v>
      </c>
      <c r="I226" s="14">
        <f t="shared" si="65"/>
        <v>0</v>
      </c>
      <c r="J226" s="13">
        <f t="shared" si="58"/>
        <v>300</v>
      </c>
      <c r="K226">
        <f t="shared" si="59"/>
        <v>0</v>
      </c>
      <c r="L226">
        <f t="shared" si="60"/>
        <v>5</v>
      </c>
      <c r="M226" s="14">
        <f t="shared" si="61"/>
        <v>0</v>
      </c>
      <c r="N226" s="13">
        <f t="shared" si="73"/>
        <v>0</v>
      </c>
      <c r="O226">
        <f t="shared" si="73"/>
        <v>13</v>
      </c>
      <c r="P226">
        <f t="shared" si="73"/>
        <v>0</v>
      </c>
      <c r="Q226" s="14">
        <f t="shared" si="66"/>
        <v>780</v>
      </c>
      <c r="R226" s="13">
        <f t="shared" si="67"/>
        <v>0</v>
      </c>
      <c r="S226">
        <f t="shared" si="68"/>
        <v>13</v>
      </c>
      <c r="T226">
        <f t="shared" si="69"/>
        <v>0</v>
      </c>
      <c r="U226" s="14">
        <f t="shared" si="70"/>
        <v>780</v>
      </c>
      <c r="V226" s="15"/>
      <c r="Z226" s="14"/>
    </row>
    <row r="227" spans="1:26" x14ac:dyDescent="0.25">
      <c r="A227" s="16"/>
      <c r="B227" s="17" t="b">
        <f t="shared" si="72"/>
        <v>0</v>
      </c>
      <c r="C227" s="17" t="b">
        <f t="shared" si="71"/>
        <v>0</v>
      </c>
      <c r="D227" s="17">
        <f t="shared" si="62"/>
        <v>1</v>
      </c>
      <c r="E227" s="17" t="str">
        <f t="shared" si="63"/>
        <v>Section 5 - Next steps</v>
      </c>
      <c r="F227" s="18" t="str">
        <f t="shared" si="64"/>
        <v/>
      </c>
      <c r="G227" s="13" t="str">
        <f t="shared" si="56"/>
        <v/>
      </c>
      <c r="H227">
        <f t="shared" si="57"/>
        <v>0</v>
      </c>
      <c r="I227" s="14">
        <f t="shared" si="65"/>
        <v>0</v>
      </c>
      <c r="J227" s="13">
        <f t="shared" si="58"/>
        <v>300</v>
      </c>
      <c r="K227">
        <f t="shared" si="59"/>
        <v>0</v>
      </c>
      <c r="L227">
        <f t="shared" si="60"/>
        <v>5</v>
      </c>
      <c r="M227" s="14">
        <f t="shared" si="61"/>
        <v>0</v>
      </c>
      <c r="N227" s="13">
        <f t="shared" si="73"/>
        <v>0</v>
      </c>
      <c r="O227">
        <f t="shared" si="73"/>
        <v>13</v>
      </c>
      <c r="P227">
        <f t="shared" si="73"/>
        <v>0</v>
      </c>
      <c r="Q227" s="14">
        <f t="shared" si="66"/>
        <v>780</v>
      </c>
      <c r="R227" s="13">
        <f t="shared" si="67"/>
        <v>0</v>
      </c>
      <c r="S227">
        <f t="shared" si="68"/>
        <v>13</v>
      </c>
      <c r="T227">
        <f t="shared" si="69"/>
        <v>0</v>
      </c>
      <c r="U227" s="14">
        <f t="shared" si="70"/>
        <v>780</v>
      </c>
      <c r="V227" s="15"/>
      <c r="Z227" s="14"/>
    </row>
    <row r="228" spans="1:26" x14ac:dyDescent="0.25">
      <c r="A228" s="16"/>
      <c r="B228" s="17" t="b">
        <f t="shared" si="72"/>
        <v>0</v>
      </c>
      <c r="C228" s="17" t="b">
        <f t="shared" si="71"/>
        <v>0</v>
      </c>
      <c r="D228" s="17">
        <f t="shared" si="62"/>
        <v>1</v>
      </c>
      <c r="E228" s="17" t="str">
        <f t="shared" si="63"/>
        <v>Section 5 - Next steps</v>
      </c>
      <c r="F228" s="18" t="str">
        <f t="shared" si="64"/>
        <v/>
      </c>
      <c r="G228" s="13" t="str">
        <f t="shared" si="56"/>
        <v/>
      </c>
      <c r="H228">
        <f t="shared" si="57"/>
        <v>0</v>
      </c>
      <c r="I228" s="14">
        <f t="shared" si="65"/>
        <v>0</v>
      </c>
      <c r="J228" s="13">
        <f t="shared" si="58"/>
        <v>300</v>
      </c>
      <c r="K228">
        <f t="shared" si="59"/>
        <v>0</v>
      </c>
      <c r="L228">
        <f t="shared" si="60"/>
        <v>5</v>
      </c>
      <c r="M228" s="14">
        <f t="shared" si="61"/>
        <v>0</v>
      </c>
      <c r="N228" s="13">
        <f t="shared" si="73"/>
        <v>0</v>
      </c>
      <c r="O228">
        <f t="shared" si="73"/>
        <v>13</v>
      </c>
      <c r="P228">
        <f t="shared" si="73"/>
        <v>0</v>
      </c>
      <c r="Q228" s="14">
        <f t="shared" si="66"/>
        <v>780</v>
      </c>
      <c r="R228" s="13">
        <f t="shared" si="67"/>
        <v>0</v>
      </c>
      <c r="S228">
        <f t="shared" si="68"/>
        <v>13</v>
      </c>
      <c r="T228">
        <f t="shared" si="69"/>
        <v>0</v>
      </c>
      <c r="U228" s="14">
        <f t="shared" si="70"/>
        <v>780</v>
      </c>
      <c r="V228" s="15"/>
      <c r="Z228" s="14"/>
    </row>
    <row r="229" spans="1:26" x14ac:dyDescent="0.25">
      <c r="A229" s="16"/>
      <c r="B229" s="17" t="b">
        <f t="shared" si="72"/>
        <v>0</v>
      </c>
      <c r="C229" s="17" t="b">
        <f t="shared" si="71"/>
        <v>0</v>
      </c>
      <c r="D229" s="17">
        <f t="shared" si="62"/>
        <v>1</v>
      </c>
      <c r="E229" s="17" t="str">
        <f t="shared" si="63"/>
        <v>Section 5 - Next steps</v>
      </c>
      <c r="F229" s="18" t="str">
        <f t="shared" si="64"/>
        <v/>
      </c>
      <c r="G229" s="13" t="str">
        <f t="shared" si="56"/>
        <v/>
      </c>
      <c r="H229">
        <f t="shared" si="57"/>
        <v>0</v>
      </c>
      <c r="I229" s="14">
        <f t="shared" si="65"/>
        <v>0</v>
      </c>
      <c r="J229" s="13">
        <f t="shared" si="58"/>
        <v>300</v>
      </c>
      <c r="K229">
        <f t="shared" si="59"/>
        <v>0</v>
      </c>
      <c r="L229">
        <f t="shared" si="60"/>
        <v>5</v>
      </c>
      <c r="M229" s="14">
        <f t="shared" si="61"/>
        <v>0</v>
      </c>
      <c r="N229" s="13">
        <f t="shared" si="73"/>
        <v>0</v>
      </c>
      <c r="O229">
        <f t="shared" si="73"/>
        <v>13</v>
      </c>
      <c r="P229">
        <f t="shared" si="73"/>
        <v>0</v>
      </c>
      <c r="Q229" s="14">
        <f t="shared" si="66"/>
        <v>780</v>
      </c>
      <c r="R229" s="13">
        <f t="shared" si="67"/>
        <v>0</v>
      </c>
      <c r="S229">
        <f t="shared" si="68"/>
        <v>13</v>
      </c>
      <c r="T229">
        <f t="shared" si="69"/>
        <v>0</v>
      </c>
      <c r="U229" s="14">
        <f t="shared" si="70"/>
        <v>780</v>
      </c>
      <c r="V229" s="15"/>
      <c r="Z229" s="14"/>
    </row>
    <row r="230" spans="1:26" x14ac:dyDescent="0.25">
      <c r="A230" s="16"/>
      <c r="B230" s="17" t="b">
        <f t="shared" si="72"/>
        <v>0</v>
      </c>
      <c r="C230" s="17" t="b">
        <f t="shared" si="71"/>
        <v>0</v>
      </c>
      <c r="D230" s="17">
        <f t="shared" si="62"/>
        <v>1</v>
      </c>
      <c r="E230" s="17" t="str">
        <f t="shared" si="63"/>
        <v>Section 5 - Next steps</v>
      </c>
      <c r="F230" s="18" t="str">
        <f t="shared" si="64"/>
        <v/>
      </c>
      <c r="G230" s="13" t="str">
        <f t="shared" si="56"/>
        <v/>
      </c>
      <c r="H230">
        <f t="shared" si="57"/>
        <v>0</v>
      </c>
      <c r="I230" s="14">
        <f t="shared" si="65"/>
        <v>0</v>
      </c>
      <c r="J230" s="13">
        <f t="shared" si="58"/>
        <v>300</v>
      </c>
      <c r="K230">
        <f t="shared" si="59"/>
        <v>0</v>
      </c>
      <c r="L230">
        <f t="shared" si="60"/>
        <v>5</v>
      </c>
      <c r="M230" s="14">
        <f t="shared" si="61"/>
        <v>0</v>
      </c>
      <c r="N230" s="13">
        <f t="shared" si="73"/>
        <v>0</v>
      </c>
      <c r="O230">
        <f t="shared" si="73"/>
        <v>13</v>
      </c>
      <c r="P230">
        <f t="shared" si="73"/>
        <v>0</v>
      </c>
      <c r="Q230" s="14">
        <f t="shared" si="66"/>
        <v>780</v>
      </c>
      <c r="R230" s="13">
        <f t="shared" si="67"/>
        <v>0</v>
      </c>
      <c r="S230">
        <f t="shared" si="68"/>
        <v>13</v>
      </c>
      <c r="T230">
        <f t="shared" si="69"/>
        <v>0</v>
      </c>
      <c r="U230" s="14">
        <f t="shared" si="70"/>
        <v>780</v>
      </c>
      <c r="V230" s="15"/>
      <c r="Z230" s="14"/>
    </row>
    <row r="231" spans="1:26" x14ac:dyDescent="0.25">
      <c r="A231" s="16"/>
      <c r="B231" s="17" t="b">
        <f t="shared" si="72"/>
        <v>0</v>
      </c>
      <c r="C231" s="17" t="b">
        <f t="shared" si="71"/>
        <v>0</v>
      </c>
      <c r="D231" s="17">
        <f t="shared" si="62"/>
        <v>1</v>
      </c>
      <c r="E231" s="17" t="str">
        <f t="shared" si="63"/>
        <v>Section 5 - Next steps</v>
      </c>
      <c r="F231" s="18" t="str">
        <f t="shared" si="64"/>
        <v/>
      </c>
      <c r="G231" s="13" t="str">
        <f t="shared" si="56"/>
        <v/>
      </c>
      <c r="H231">
        <f t="shared" si="57"/>
        <v>0</v>
      </c>
      <c r="I231" s="14">
        <f t="shared" si="65"/>
        <v>0</v>
      </c>
      <c r="J231" s="13">
        <f t="shared" si="58"/>
        <v>300</v>
      </c>
      <c r="K231">
        <f t="shared" si="59"/>
        <v>0</v>
      </c>
      <c r="L231">
        <f t="shared" si="60"/>
        <v>5</v>
      </c>
      <c r="M231" s="14">
        <f t="shared" si="61"/>
        <v>0</v>
      </c>
      <c r="N231" s="13">
        <f t="shared" si="73"/>
        <v>0</v>
      </c>
      <c r="O231">
        <f t="shared" si="73"/>
        <v>13</v>
      </c>
      <c r="P231">
        <f t="shared" si="73"/>
        <v>0</v>
      </c>
      <c r="Q231" s="14">
        <f t="shared" si="66"/>
        <v>780</v>
      </c>
      <c r="R231" s="13">
        <f t="shared" si="67"/>
        <v>0</v>
      </c>
      <c r="S231">
        <f t="shared" si="68"/>
        <v>13</v>
      </c>
      <c r="T231">
        <f t="shared" si="69"/>
        <v>0</v>
      </c>
      <c r="U231" s="14">
        <f t="shared" si="70"/>
        <v>780</v>
      </c>
      <c r="V231" s="15"/>
      <c r="Z231" s="14"/>
    </row>
    <row r="232" spans="1:26" x14ac:dyDescent="0.25">
      <c r="A232" s="16"/>
      <c r="B232" s="17" t="b">
        <f t="shared" si="72"/>
        <v>0</v>
      </c>
      <c r="C232" s="17" t="b">
        <f t="shared" si="71"/>
        <v>0</v>
      </c>
      <c r="D232" s="17">
        <f t="shared" si="62"/>
        <v>1</v>
      </c>
      <c r="E232" s="17" t="str">
        <f t="shared" si="63"/>
        <v>Section 5 - Next steps</v>
      </c>
      <c r="F232" s="18" t="str">
        <f t="shared" si="64"/>
        <v/>
      </c>
      <c r="G232" s="13" t="str">
        <f t="shared" si="56"/>
        <v/>
      </c>
      <c r="H232">
        <f t="shared" si="57"/>
        <v>0</v>
      </c>
      <c r="I232" s="14">
        <f t="shared" si="65"/>
        <v>0</v>
      </c>
      <c r="J232" s="13">
        <f t="shared" si="58"/>
        <v>300</v>
      </c>
      <c r="K232">
        <f t="shared" si="59"/>
        <v>0</v>
      </c>
      <c r="L232">
        <f t="shared" si="60"/>
        <v>5</v>
      </c>
      <c r="M232" s="14">
        <f t="shared" si="61"/>
        <v>0</v>
      </c>
      <c r="N232" s="13">
        <f t="shared" si="73"/>
        <v>0</v>
      </c>
      <c r="O232">
        <f t="shared" si="73"/>
        <v>13</v>
      </c>
      <c r="P232">
        <f t="shared" si="73"/>
        <v>0</v>
      </c>
      <c r="Q232" s="14">
        <f t="shared" si="66"/>
        <v>780</v>
      </c>
      <c r="R232" s="13">
        <f t="shared" si="67"/>
        <v>0</v>
      </c>
      <c r="S232">
        <f t="shared" si="68"/>
        <v>13</v>
      </c>
      <c r="T232">
        <f t="shared" si="69"/>
        <v>0</v>
      </c>
      <c r="U232" s="14">
        <f t="shared" si="70"/>
        <v>780</v>
      </c>
      <c r="V232" s="15"/>
      <c r="Z232" s="14"/>
    </row>
    <row r="233" spans="1:26" x14ac:dyDescent="0.25">
      <c r="A233" s="16"/>
      <c r="B233" s="17" t="b">
        <f t="shared" si="72"/>
        <v>0</v>
      </c>
      <c r="C233" s="17" t="b">
        <f t="shared" si="71"/>
        <v>0</v>
      </c>
      <c r="D233" s="17">
        <f t="shared" si="62"/>
        <v>1</v>
      </c>
      <c r="E233" s="17" t="str">
        <f t="shared" si="63"/>
        <v>Section 5 - Next steps</v>
      </c>
      <c r="F233" s="18" t="str">
        <f t="shared" si="64"/>
        <v/>
      </c>
      <c r="G233" s="13" t="str">
        <f t="shared" si="56"/>
        <v/>
      </c>
      <c r="H233">
        <f t="shared" si="57"/>
        <v>0</v>
      </c>
      <c r="I233" s="14">
        <f t="shared" si="65"/>
        <v>0</v>
      </c>
      <c r="J233" s="13">
        <f t="shared" si="58"/>
        <v>300</v>
      </c>
      <c r="K233">
        <f t="shared" si="59"/>
        <v>0</v>
      </c>
      <c r="L233">
        <f t="shared" si="60"/>
        <v>5</v>
      </c>
      <c r="M233" s="14">
        <f t="shared" si="61"/>
        <v>0</v>
      </c>
      <c r="N233" s="13">
        <f t="shared" si="73"/>
        <v>0</v>
      </c>
      <c r="O233">
        <f t="shared" si="73"/>
        <v>13</v>
      </c>
      <c r="P233">
        <f t="shared" si="73"/>
        <v>0</v>
      </c>
      <c r="Q233" s="14">
        <f t="shared" si="66"/>
        <v>780</v>
      </c>
      <c r="R233" s="13">
        <f t="shared" si="67"/>
        <v>0</v>
      </c>
      <c r="S233">
        <f t="shared" si="68"/>
        <v>13</v>
      </c>
      <c r="T233">
        <f t="shared" si="69"/>
        <v>0</v>
      </c>
      <c r="U233" s="14">
        <f t="shared" si="70"/>
        <v>780</v>
      </c>
      <c r="V233" s="15"/>
      <c r="Z233" s="14"/>
    </row>
    <row r="234" spans="1:26" x14ac:dyDescent="0.25">
      <c r="A234" s="16"/>
      <c r="B234" s="17" t="b">
        <f t="shared" si="72"/>
        <v>0</v>
      </c>
      <c r="C234" s="17" t="b">
        <f t="shared" si="71"/>
        <v>0</v>
      </c>
      <c r="D234" s="17">
        <f t="shared" si="62"/>
        <v>1</v>
      </c>
      <c r="E234" s="17" t="str">
        <f t="shared" si="63"/>
        <v>Section 5 - Next steps</v>
      </c>
      <c r="F234" s="18" t="str">
        <f t="shared" si="64"/>
        <v/>
      </c>
      <c r="G234" s="13" t="str">
        <f t="shared" si="56"/>
        <v/>
      </c>
      <c r="H234">
        <f t="shared" si="57"/>
        <v>0</v>
      </c>
      <c r="I234" s="14">
        <f t="shared" si="65"/>
        <v>0</v>
      </c>
      <c r="J234" s="13">
        <f t="shared" si="58"/>
        <v>300</v>
      </c>
      <c r="K234">
        <f t="shared" si="59"/>
        <v>0</v>
      </c>
      <c r="L234">
        <f t="shared" si="60"/>
        <v>5</v>
      </c>
      <c r="M234" s="14">
        <f t="shared" si="61"/>
        <v>0</v>
      </c>
      <c r="N234" s="13">
        <f t="shared" si="73"/>
        <v>0</v>
      </c>
      <c r="O234">
        <f t="shared" si="73"/>
        <v>13</v>
      </c>
      <c r="P234">
        <f t="shared" si="73"/>
        <v>0</v>
      </c>
      <c r="Q234" s="14">
        <f t="shared" si="66"/>
        <v>780</v>
      </c>
      <c r="R234" s="13">
        <f t="shared" si="67"/>
        <v>0</v>
      </c>
      <c r="S234">
        <f t="shared" si="68"/>
        <v>13</v>
      </c>
      <c r="T234">
        <f t="shared" si="69"/>
        <v>0</v>
      </c>
      <c r="U234" s="14">
        <f t="shared" si="70"/>
        <v>780</v>
      </c>
      <c r="V234" s="15"/>
      <c r="Z234" s="14"/>
    </row>
    <row r="235" spans="1:26" x14ac:dyDescent="0.25">
      <c r="A235" s="16"/>
      <c r="B235" s="17" t="b">
        <f t="shared" si="72"/>
        <v>0</v>
      </c>
      <c r="C235" s="17" t="b">
        <f t="shared" si="71"/>
        <v>0</v>
      </c>
      <c r="D235" s="17">
        <f t="shared" si="62"/>
        <v>1</v>
      </c>
      <c r="E235" s="17" t="str">
        <f t="shared" si="63"/>
        <v>Section 5 - Next steps</v>
      </c>
      <c r="F235" s="18" t="str">
        <f t="shared" si="64"/>
        <v/>
      </c>
      <c r="G235" s="13" t="str">
        <f t="shared" si="56"/>
        <v/>
      </c>
      <c r="H235">
        <f t="shared" si="57"/>
        <v>0</v>
      </c>
      <c r="I235" s="14">
        <f t="shared" si="65"/>
        <v>0</v>
      </c>
      <c r="J235" s="13">
        <f t="shared" si="58"/>
        <v>300</v>
      </c>
      <c r="K235">
        <f t="shared" si="59"/>
        <v>0</v>
      </c>
      <c r="L235">
        <f t="shared" si="60"/>
        <v>5</v>
      </c>
      <c r="M235" s="14">
        <f t="shared" si="61"/>
        <v>0</v>
      </c>
      <c r="N235" s="13">
        <f t="shared" si="73"/>
        <v>0</v>
      </c>
      <c r="O235">
        <f t="shared" si="73"/>
        <v>13</v>
      </c>
      <c r="P235">
        <f t="shared" si="73"/>
        <v>0</v>
      </c>
      <c r="Q235" s="14">
        <f t="shared" si="66"/>
        <v>780</v>
      </c>
      <c r="R235" s="13">
        <f t="shared" si="67"/>
        <v>0</v>
      </c>
      <c r="S235">
        <f t="shared" si="68"/>
        <v>13</v>
      </c>
      <c r="T235">
        <f t="shared" si="69"/>
        <v>0</v>
      </c>
      <c r="U235" s="14">
        <f t="shared" si="70"/>
        <v>780</v>
      </c>
      <c r="V235" s="15"/>
      <c r="Z235" s="14"/>
    </row>
    <row r="236" spans="1:26" x14ac:dyDescent="0.25">
      <c r="A236" s="16"/>
      <c r="B236" s="17" t="b">
        <f t="shared" si="72"/>
        <v>0</v>
      </c>
      <c r="C236" s="17" t="b">
        <f t="shared" si="71"/>
        <v>0</v>
      </c>
      <c r="D236" s="17">
        <f t="shared" si="62"/>
        <v>1</v>
      </c>
      <c r="E236" s="17" t="str">
        <f t="shared" si="63"/>
        <v>Section 5 - Next steps</v>
      </c>
      <c r="F236" s="18" t="str">
        <f t="shared" si="64"/>
        <v/>
      </c>
      <c r="G236" s="13" t="str">
        <f t="shared" si="56"/>
        <v/>
      </c>
      <c r="H236">
        <f t="shared" si="57"/>
        <v>0</v>
      </c>
      <c r="I236" s="14">
        <f t="shared" si="65"/>
        <v>0</v>
      </c>
      <c r="J236" s="13">
        <f t="shared" si="58"/>
        <v>300</v>
      </c>
      <c r="K236">
        <f t="shared" si="59"/>
        <v>0</v>
      </c>
      <c r="L236">
        <f t="shared" si="60"/>
        <v>5</v>
      </c>
      <c r="M236" s="14">
        <f t="shared" si="61"/>
        <v>0</v>
      </c>
      <c r="N236" s="13">
        <f t="shared" si="73"/>
        <v>0</v>
      </c>
      <c r="O236">
        <f t="shared" si="73"/>
        <v>13</v>
      </c>
      <c r="P236">
        <f t="shared" si="73"/>
        <v>0</v>
      </c>
      <c r="Q236" s="14">
        <f t="shared" si="66"/>
        <v>780</v>
      </c>
      <c r="R236" s="13">
        <f t="shared" si="67"/>
        <v>0</v>
      </c>
      <c r="S236">
        <f t="shared" si="68"/>
        <v>13</v>
      </c>
      <c r="T236">
        <f t="shared" si="69"/>
        <v>0</v>
      </c>
      <c r="U236" s="14">
        <f t="shared" si="70"/>
        <v>780</v>
      </c>
      <c r="V236" s="15"/>
      <c r="Z236" s="14"/>
    </row>
    <row r="237" spans="1:26" x14ac:dyDescent="0.25">
      <c r="A237" s="16"/>
      <c r="B237" s="17" t="b">
        <f t="shared" si="72"/>
        <v>0</v>
      </c>
      <c r="C237" s="17" t="b">
        <f t="shared" si="71"/>
        <v>0</v>
      </c>
      <c r="D237" s="17">
        <f t="shared" si="62"/>
        <v>1</v>
      </c>
      <c r="E237" s="17" t="str">
        <f t="shared" si="63"/>
        <v>Section 5 - Next steps</v>
      </c>
      <c r="F237" s="18" t="str">
        <f t="shared" si="64"/>
        <v/>
      </c>
      <c r="G237" s="13" t="str">
        <f t="shared" si="56"/>
        <v/>
      </c>
      <c r="H237">
        <f t="shared" si="57"/>
        <v>0</v>
      </c>
      <c r="I237" s="14">
        <f t="shared" si="65"/>
        <v>0</v>
      </c>
      <c r="J237" s="13">
        <f t="shared" si="58"/>
        <v>300</v>
      </c>
      <c r="K237">
        <f t="shared" si="59"/>
        <v>0</v>
      </c>
      <c r="L237">
        <f t="shared" si="60"/>
        <v>5</v>
      </c>
      <c r="M237" s="14">
        <f t="shared" si="61"/>
        <v>0</v>
      </c>
      <c r="N237" s="13">
        <f t="shared" si="73"/>
        <v>0</v>
      </c>
      <c r="O237">
        <f t="shared" si="73"/>
        <v>13</v>
      </c>
      <c r="P237">
        <f t="shared" si="73"/>
        <v>0</v>
      </c>
      <c r="Q237" s="14">
        <f t="shared" si="66"/>
        <v>780</v>
      </c>
      <c r="R237" s="13">
        <f t="shared" si="67"/>
        <v>0</v>
      </c>
      <c r="S237">
        <f t="shared" si="68"/>
        <v>13</v>
      </c>
      <c r="T237">
        <f t="shared" si="69"/>
        <v>0</v>
      </c>
      <c r="U237" s="14">
        <f t="shared" si="70"/>
        <v>780</v>
      </c>
      <c r="V237" s="15"/>
      <c r="Z237" s="14"/>
    </row>
    <row r="238" spans="1:26" x14ac:dyDescent="0.25">
      <c r="A238" s="16"/>
      <c r="B238" s="17" t="b">
        <f t="shared" si="72"/>
        <v>0</v>
      </c>
      <c r="C238" s="17" t="b">
        <f t="shared" si="71"/>
        <v>0</v>
      </c>
      <c r="D238" s="17">
        <f t="shared" si="62"/>
        <v>1</v>
      </c>
      <c r="E238" s="17" t="str">
        <f t="shared" si="63"/>
        <v>Section 5 - Next steps</v>
      </c>
      <c r="F238" s="18" t="str">
        <f t="shared" si="64"/>
        <v/>
      </c>
      <c r="G238" s="13" t="str">
        <f t="shared" si="56"/>
        <v/>
      </c>
      <c r="H238">
        <f t="shared" si="57"/>
        <v>0</v>
      </c>
      <c r="I238" s="14">
        <f t="shared" si="65"/>
        <v>0</v>
      </c>
      <c r="J238" s="13">
        <f t="shared" si="58"/>
        <v>300</v>
      </c>
      <c r="K238">
        <f t="shared" si="59"/>
        <v>0</v>
      </c>
      <c r="L238">
        <f t="shared" si="60"/>
        <v>5</v>
      </c>
      <c r="M238" s="14">
        <f t="shared" si="61"/>
        <v>0</v>
      </c>
      <c r="N238" s="13">
        <f t="shared" si="73"/>
        <v>0</v>
      </c>
      <c r="O238">
        <f t="shared" si="73"/>
        <v>13</v>
      </c>
      <c r="P238">
        <f t="shared" si="73"/>
        <v>0</v>
      </c>
      <c r="Q238" s="14">
        <f t="shared" si="66"/>
        <v>780</v>
      </c>
      <c r="R238" s="13">
        <f t="shared" si="67"/>
        <v>0</v>
      </c>
      <c r="S238">
        <f t="shared" si="68"/>
        <v>13</v>
      </c>
      <c r="T238">
        <f t="shared" si="69"/>
        <v>0</v>
      </c>
      <c r="U238" s="14">
        <f t="shared" si="70"/>
        <v>780</v>
      </c>
      <c r="V238" s="15"/>
      <c r="Z238" s="14"/>
    </row>
    <row r="239" spans="1:26" x14ac:dyDescent="0.25">
      <c r="A239" s="16"/>
      <c r="B239" s="17" t="b">
        <f t="shared" si="72"/>
        <v>0</v>
      </c>
      <c r="C239" s="17" t="b">
        <f t="shared" si="71"/>
        <v>0</v>
      </c>
      <c r="D239" s="17">
        <f t="shared" si="62"/>
        <v>1</v>
      </c>
      <c r="E239" s="17" t="str">
        <f t="shared" si="63"/>
        <v>Section 5 - Next steps</v>
      </c>
      <c r="F239" s="18" t="str">
        <f t="shared" si="64"/>
        <v/>
      </c>
      <c r="G239" s="13" t="str">
        <f t="shared" si="56"/>
        <v/>
      </c>
      <c r="H239">
        <f t="shared" si="57"/>
        <v>0</v>
      </c>
      <c r="I239" s="14">
        <f t="shared" si="65"/>
        <v>0</v>
      </c>
      <c r="J239" s="13">
        <f t="shared" si="58"/>
        <v>300</v>
      </c>
      <c r="K239">
        <f t="shared" si="59"/>
        <v>0</v>
      </c>
      <c r="L239">
        <f t="shared" si="60"/>
        <v>5</v>
      </c>
      <c r="M239" s="14">
        <f t="shared" si="61"/>
        <v>0</v>
      </c>
      <c r="N239" s="13">
        <f t="shared" si="73"/>
        <v>0</v>
      </c>
      <c r="O239">
        <f t="shared" si="73"/>
        <v>13</v>
      </c>
      <c r="P239">
        <f t="shared" si="73"/>
        <v>0</v>
      </c>
      <c r="Q239" s="14">
        <f t="shared" si="66"/>
        <v>780</v>
      </c>
      <c r="R239" s="13">
        <f t="shared" si="67"/>
        <v>0</v>
      </c>
      <c r="S239">
        <f t="shared" si="68"/>
        <v>13</v>
      </c>
      <c r="T239">
        <f t="shared" si="69"/>
        <v>0</v>
      </c>
      <c r="U239" s="14">
        <f t="shared" si="70"/>
        <v>780</v>
      </c>
      <c r="V239" s="15"/>
      <c r="Z239" s="14"/>
    </row>
    <row r="240" spans="1:26" x14ac:dyDescent="0.25">
      <c r="A240" s="16"/>
      <c r="B240" s="17" t="b">
        <f t="shared" si="72"/>
        <v>0</v>
      </c>
      <c r="C240" s="17" t="b">
        <f t="shared" si="71"/>
        <v>0</v>
      </c>
      <c r="D240" s="17">
        <f t="shared" si="62"/>
        <v>1</v>
      </c>
      <c r="E240" s="17" t="str">
        <f t="shared" si="63"/>
        <v>Section 5 - Next steps</v>
      </c>
      <c r="F240" s="18" t="str">
        <f t="shared" si="64"/>
        <v/>
      </c>
      <c r="G240" s="13" t="str">
        <f t="shared" si="56"/>
        <v/>
      </c>
      <c r="H240">
        <f t="shared" si="57"/>
        <v>0</v>
      </c>
      <c r="I240" s="14">
        <f t="shared" si="65"/>
        <v>0</v>
      </c>
      <c r="J240" s="13">
        <f t="shared" si="58"/>
        <v>300</v>
      </c>
      <c r="K240">
        <f t="shared" si="59"/>
        <v>0</v>
      </c>
      <c r="L240">
        <f t="shared" si="60"/>
        <v>5</v>
      </c>
      <c r="M240" s="14">
        <f t="shared" si="61"/>
        <v>0</v>
      </c>
      <c r="N240" s="13">
        <f t="shared" si="73"/>
        <v>0</v>
      </c>
      <c r="O240">
        <f t="shared" si="73"/>
        <v>13</v>
      </c>
      <c r="P240">
        <f t="shared" si="73"/>
        <v>0</v>
      </c>
      <c r="Q240" s="14">
        <f t="shared" si="66"/>
        <v>780</v>
      </c>
      <c r="R240" s="13">
        <f t="shared" si="67"/>
        <v>0</v>
      </c>
      <c r="S240">
        <f t="shared" si="68"/>
        <v>13</v>
      </c>
      <c r="T240">
        <f t="shared" si="69"/>
        <v>0</v>
      </c>
      <c r="U240" s="14">
        <f t="shared" si="70"/>
        <v>780</v>
      </c>
      <c r="V240" s="15"/>
      <c r="Z240" s="14"/>
    </row>
    <row r="241" spans="1:26" x14ac:dyDescent="0.25">
      <c r="A241" s="16"/>
      <c r="B241" s="17" t="b">
        <f t="shared" si="72"/>
        <v>0</v>
      </c>
      <c r="C241" s="17" t="b">
        <f t="shared" si="71"/>
        <v>0</v>
      </c>
      <c r="D241" s="17">
        <f t="shared" si="62"/>
        <v>1</v>
      </c>
      <c r="E241" s="17" t="str">
        <f t="shared" si="63"/>
        <v>Section 5 - Next steps</v>
      </c>
      <c r="F241" s="18" t="str">
        <f t="shared" si="64"/>
        <v/>
      </c>
      <c r="G241" s="13" t="str">
        <f t="shared" si="56"/>
        <v/>
      </c>
      <c r="H241">
        <f t="shared" si="57"/>
        <v>0</v>
      </c>
      <c r="I241" s="14">
        <f t="shared" si="65"/>
        <v>0</v>
      </c>
      <c r="J241" s="13">
        <f t="shared" si="58"/>
        <v>300</v>
      </c>
      <c r="K241">
        <f t="shared" si="59"/>
        <v>0</v>
      </c>
      <c r="L241">
        <f t="shared" si="60"/>
        <v>5</v>
      </c>
      <c r="M241" s="14">
        <f t="shared" si="61"/>
        <v>0</v>
      </c>
      <c r="N241" s="13">
        <f t="shared" si="73"/>
        <v>0</v>
      </c>
      <c r="O241">
        <f t="shared" si="73"/>
        <v>13</v>
      </c>
      <c r="P241">
        <f t="shared" si="73"/>
        <v>0</v>
      </c>
      <c r="Q241" s="14">
        <f t="shared" si="66"/>
        <v>780</v>
      </c>
      <c r="R241" s="13">
        <f t="shared" si="67"/>
        <v>0</v>
      </c>
      <c r="S241">
        <f t="shared" si="68"/>
        <v>13</v>
      </c>
      <c r="T241">
        <f t="shared" si="69"/>
        <v>0</v>
      </c>
      <c r="U241" s="14">
        <f t="shared" si="70"/>
        <v>780</v>
      </c>
      <c r="V241" s="15"/>
      <c r="Z241" s="14"/>
    </row>
    <row r="242" spans="1:26" x14ac:dyDescent="0.25">
      <c r="A242" s="16"/>
      <c r="B242" s="17" t="b">
        <f t="shared" si="72"/>
        <v>0</v>
      </c>
      <c r="C242" s="17" t="b">
        <f t="shared" si="71"/>
        <v>0</v>
      </c>
      <c r="D242" s="17">
        <f t="shared" si="62"/>
        <v>1</v>
      </c>
      <c r="E242" s="17" t="str">
        <f t="shared" si="63"/>
        <v>Section 5 - Next steps</v>
      </c>
      <c r="F242" s="18" t="str">
        <f t="shared" si="64"/>
        <v/>
      </c>
      <c r="G242" s="13" t="str">
        <f t="shared" si="56"/>
        <v/>
      </c>
      <c r="H242">
        <f t="shared" si="57"/>
        <v>0</v>
      </c>
      <c r="I242" s="14">
        <f t="shared" si="65"/>
        <v>0</v>
      </c>
      <c r="J242" s="13">
        <f t="shared" si="58"/>
        <v>300</v>
      </c>
      <c r="K242">
        <f t="shared" si="59"/>
        <v>0</v>
      </c>
      <c r="L242">
        <f t="shared" si="60"/>
        <v>5</v>
      </c>
      <c r="M242" s="14">
        <f t="shared" si="61"/>
        <v>0</v>
      </c>
      <c r="N242" s="13">
        <f t="shared" si="73"/>
        <v>0</v>
      </c>
      <c r="O242">
        <f t="shared" si="73"/>
        <v>13</v>
      </c>
      <c r="P242">
        <f t="shared" si="73"/>
        <v>0</v>
      </c>
      <c r="Q242" s="14">
        <f t="shared" si="66"/>
        <v>780</v>
      </c>
      <c r="R242" s="13">
        <f t="shared" si="67"/>
        <v>0</v>
      </c>
      <c r="S242">
        <f t="shared" si="68"/>
        <v>13</v>
      </c>
      <c r="T242">
        <f t="shared" si="69"/>
        <v>0</v>
      </c>
      <c r="U242" s="14">
        <f t="shared" si="70"/>
        <v>780</v>
      </c>
      <c r="V242" s="15"/>
      <c r="Z242" s="14"/>
    </row>
    <row r="243" spans="1:26" x14ac:dyDescent="0.25">
      <c r="A243" s="16"/>
      <c r="B243" s="17" t="b">
        <f t="shared" si="72"/>
        <v>0</v>
      </c>
      <c r="C243" s="17" t="b">
        <f t="shared" si="71"/>
        <v>0</v>
      </c>
      <c r="D243" s="17">
        <f t="shared" si="62"/>
        <v>1</v>
      </c>
      <c r="E243" s="17" t="str">
        <f t="shared" si="63"/>
        <v>Section 5 - Next steps</v>
      </c>
      <c r="F243" s="18" t="str">
        <f t="shared" si="64"/>
        <v/>
      </c>
      <c r="G243" s="13" t="str">
        <f t="shared" si="56"/>
        <v/>
      </c>
      <c r="H243">
        <f t="shared" si="57"/>
        <v>0</v>
      </c>
      <c r="I243" s="14">
        <f t="shared" si="65"/>
        <v>0</v>
      </c>
      <c r="J243" s="13">
        <f t="shared" si="58"/>
        <v>300</v>
      </c>
      <c r="K243">
        <f t="shared" si="59"/>
        <v>0</v>
      </c>
      <c r="L243">
        <f t="shared" si="60"/>
        <v>5</v>
      </c>
      <c r="M243" s="14">
        <f t="shared" si="61"/>
        <v>0</v>
      </c>
      <c r="N243" s="13">
        <f t="shared" si="73"/>
        <v>0</v>
      </c>
      <c r="O243">
        <f t="shared" si="73"/>
        <v>13</v>
      </c>
      <c r="P243">
        <f t="shared" si="73"/>
        <v>0</v>
      </c>
      <c r="Q243" s="14">
        <f t="shared" si="66"/>
        <v>780</v>
      </c>
      <c r="R243" s="13">
        <f t="shared" si="67"/>
        <v>0</v>
      </c>
      <c r="S243">
        <f t="shared" si="68"/>
        <v>13</v>
      </c>
      <c r="T243">
        <f t="shared" si="69"/>
        <v>0</v>
      </c>
      <c r="U243" s="14">
        <f t="shared" si="70"/>
        <v>780</v>
      </c>
      <c r="V243" s="15"/>
      <c r="Z243" s="14"/>
    </row>
    <row r="244" spans="1:26" x14ac:dyDescent="0.25">
      <c r="A244" s="16"/>
      <c r="B244" s="17" t="b">
        <f t="shared" si="72"/>
        <v>0</v>
      </c>
      <c r="C244" s="17" t="b">
        <f t="shared" si="71"/>
        <v>0</v>
      </c>
      <c r="D244" s="17">
        <f t="shared" si="62"/>
        <v>1</v>
      </c>
      <c r="E244" s="17" t="str">
        <f t="shared" si="63"/>
        <v>Section 5 - Next steps</v>
      </c>
      <c r="F244" s="18" t="str">
        <f t="shared" si="64"/>
        <v/>
      </c>
      <c r="G244" s="13" t="str">
        <f t="shared" si="56"/>
        <v/>
      </c>
      <c r="H244">
        <f t="shared" si="57"/>
        <v>0</v>
      </c>
      <c r="I244" s="14">
        <f t="shared" si="65"/>
        <v>0</v>
      </c>
      <c r="J244" s="13">
        <f t="shared" si="58"/>
        <v>300</v>
      </c>
      <c r="K244">
        <f t="shared" si="59"/>
        <v>0</v>
      </c>
      <c r="L244">
        <f t="shared" si="60"/>
        <v>5</v>
      </c>
      <c r="M244" s="14">
        <f t="shared" si="61"/>
        <v>0</v>
      </c>
      <c r="N244" s="13">
        <f t="shared" si="73"/>
        <v>0</v>
      </c>
      <c r="O244">
        <f t="shared" si="73"/>
        <v>13</v>
      </c>
      <c r="P244">
        <f t="shared" si="73"/>
        <v>0</v>
      </c>
      <c r="Q244" s="14">
        <f t="shared" si="66"/>
        <v>780</v>
      </c>
      <c r="R244" s="13">
        <f t="shared" si="67"/>
        <v>0</v>
      </c>
      <c r="S244">
        <f t="shared" si="68"/>
        <v>13</v>
      </c>
      <c r="T244">
        <f t="shared" si="69"/>
        <v>0</v>
      </c>
      <c r="U244" s="14">
        <f t="shared" si="70"/>
        <v>780</v>
      </c>
      <c r="V244" s="15"/>
      <c r="Z244" s="14"/>
    </row>
    <row r="245" spans="1:26" x14ac:dyDescent="0.25">
      <c r="A245" s="16"/>
      <c r="B245" s="17" t="b">
        <f t="shared" si="72"/>
        <v>0</v>
      </c>
      <c r="C245" s="17" t="b">
        <f t="shared" si="71"/>
        <v>0</v>
      </c>
      <c r="D245" s="17">
        <f t="shared" si="62"/>
        <v>1</v>
      </c>
      <c r="E245" s="17" t="str">
        <f t="shared" si="63"/>
        <v>Section 5 - Next steps</v>
      </c>
      <c r="F245" s="18" t="str">
        <f t="shared" si="64"/>
        <v/>
      </c>
      <c r="G245" s="13" t="str">
        <f t="shared" si="56"/>
        <v/>
      </c>
      <c r="H245">
        <f t="shared" si="57"/>
        <v>0</v>
      </c>
      <c r="I245" s="14">
        <f t="shared" si="65"/>
        <v>0</v>
      </c>
      <c r="J245" s="13">
        <f t="shared" si="58"/>
        <v>300</v>
      </c>
      <c r="K245">
        <f t="shared" si="59"/>
        <v>0</v>
      </c>
      <c r="L245">
        <f t="shared" si="60"/>
        <v>5</v>
      </c>
      <c r="M245" s="14">
        <f t="shared" si="61"/>
        <v>0</v>
      </c>
      <c r="N245" s="13">
        <f t="shared" si="73"/>
        <v>0</v>
      </c>
      <c r="O245">
        <f t="shared" si="73"/>
        <v>13</v>
      </c>
      <c r="P245">
        <f t="shared" si="73"/>
        <v>0</v>
      </c>
      <c r="Q245" s="14">
        <f t="shared" si="66"/>
        <v>780</v>
      </c>
      <c r="R245" s="13">
        <f t="shared" si="67"/>
        <v>0</v>
      </c>
      <c r="S245">
        <f t="shared" si="68"/>
        <v>13</v>
      </c>
      <c r="T245">
        <f t="shared" si="69"/>
        <v>0</v>
      </c>
      <c r="U245" s="14">
        <f t="shared" si="70"/>
        <v>780</v>
      </c>
      <c r="V245" s="15"/>
      <c r="Z245" s="14"/>
    </row>
    <row r="246" spans="1:26" x14ac:dyDescent="0.25">
      <c r="A246" s="16"/>
      <c r="B246" s="17" t="b">
        <f t="shared" si="72"/>
        <v>0</v>
      </c>
      <c r="C246" s="17" t="b">
        <f t="shared" si="71"/>
        <v>0</v>
      </c>
      <c r="D246" s="17">
        <f t="shared" si="62"/>
        <v>1</v>
      </c>
      <c r="E246" s="17" t="str">
        <f t="shared" si="63"/>
        <v>Section 5 - Next steps</v>
      </c>
      <c r="F246" s="18" t="str">
        <f t="shared" si="64"/>
        <v/>
      </c>
      <c r="G246" s="13" t="str">
        <f t="shared" si="56"/>
        <v/>
      </c>
      <c r="H246">
        <f t="shared" si="57"/>
        <v>0</v>
      </c>
      <c r="I246" s="14">
        <f t="shared" si="65"/>
        <v>0</v>
      </c>
      <c r="J246" s="13">
        <f t="shared" si="58"/>
        <v>300</v>
      </c>
      <c r="K246">
        <f t="shared" si="59"/>
        <v>0</v>
      </c>
      <c r="L246">
        <f t="shared" si="60"/>
        <v>5</v>
      </c>
      <c r="M246" s="14">
        <f t="shared" si="61"/>
        <v>0</v>
      </c>
      <c r="N246" s="13">
        <f t="shared" si="73"/>
        <v>0</v>
      </c>
      <c r="O246">
        <f t="shared" si="73"/>
        <v>13</v>
      </c>
      <c r="P246">
        <f t="shared" si="73"/>
        <v>0</v>
      </c>
      <c r="Q246" s="14">
        <f t="shared" si="66"/>
        <v>780</v>
      </c>
      <c r="R246" s="13">
        <f t="shared" si="67"/>
        <v>0</v>
      </c>
      <c r="S246">
        <f t="shared" si="68"/>
        <v>13</v>
      </c>
      <c r="T246">
        <f t="shared" si="69"/>
        <v>0</v>
      </c>
      <c r="U246" s="14">
        <f t="shared" si="70"/>
        <v>780</v>
      </c>
      <c r="V246" s="15"/>
      <c r="Z246" s="14"/>
    </row>
    <row r="247" spans="1:26" x14ac:dyDescent="0.25">
      <c r="A247" s="16"/>
      <c r="B247" s="17" t="b">
        <f t="shared" si="72"/>
        <v>0</v>
      </c>
      <c r="C247" s="17" t="b">
        <f t="shared" si="71"/>
        <v>0</v>
      </c>
      <c r="D247" s="17">
        <f t="shared" si="62"/>
        <v>1</v>
      </c>
      <c r="E247" s="17" t="str">
        <f t="shared" si="63"/>
        <v>Section 5 - Next steps</v>
      </c>
      <c r="F247" s="18" t="str">
        <f t="shared" si="64"/>
        <v/>
      </c>
      <c r="G247" s="13" t="str">
        <f t="shared" si="56"/>
        <v/>
      </c>
      <c r="H247">
        <f t="shared" si="57"/>
        <v>0</v>
      </c>
      <c r="I247" s="14">
        <f t="shared" si="65"/>
        <v>0</v>
      </c>
      <c r="J247" s="13">
        <f t="shared" si="58"/>
        <v>300</v>
      </c>
      <c r="K247">
        <f t="shared" si="59"/>
        <v>0</v>
      </c>
      <c r="L247">
        <f t="shared" si="60"/>
        <v>5</v>
      </c>
      <c r="M247" s="14">
        <f t="shared" si="61"/>
        <v>0</v>
      </c>
      <c r="N247" s="13">
        <f t="shared" si="73"/>
        <v>0</v>
      </c>
      <c r="O247">
        <f t="shared" si="73"/>
        <v>13</v>
      </c>
      <c r="P247">
        <f t="shared" si="73"/>
        <v>0</v>
      </c>
      <c r="Q247" s="14">
        <f t="shared" si="66"/>
        <v>780</v>
      </c>
      <c r="R247" s="13">
        <f t="shared" si="67"/>
        <v>0</v>
      </c>
      <c r="S247">
        <f t="shared" si="68"/>
        <v>13</v>
      </c>
      <c r="T247">
        <f t="shared" si="69"/>
        <v>0</v>
      </c>
      <c r="U247" s="14">
        <f t="shared" si="70"/>
        <v>780</v>
      </c>
      <c r="V247" s="15"/>
      <c r="Z247" s="14"/>
    </row>
    <row r="248" spans="1:26" x14ac:dyDescent="0.25">
      <c r="A248" s="16"/>
      <c r="B248" s="17" t="b">
        <f t="shared" si="72"/>
        <v>0</v>
      </c>
      <c r="C248" s="17" t="b">
        <f t="shared" si="71"/>
        <v>0</v>
      </c>
      <c r="D248" s="17">
        <f t="shared" si="62"/>
        <v>1</v>
      </c>
      <c r="E248" s="17" t="str">
        <f t="shared" si="63"/>
        <v>Section 5 - Next steps</v>
      </c>
      <c r="F248" s="18" t="str">
        <f t="shared" si="64"/>
        <v/>
      </c>
      <c r="G248" s="13" t="str">
        <f t="shared" si="56"/>
        <v/>
      </c>
      <c r="H248">
        <f t="shared" si="57"/>
        <v>0</v>
      </c>
      <c r="I248" s="14">
        <f t="shared" si="65"/>
        <v>0</v>
      </c>
      <c r="J248" s="13">
        <f t="shared" si="58"/>
        <v>300</v>
      </c>
      <c r="K248">
        <f t="shared" si="59"/>
        <v>0</v>
      </c>
      <c r="L248">
        <f t="shared" si="60"/>
        <v>5</v>
      </c>
      <c r="M248" s="14">
        <f t="shared" si="61"/>
        <v>0</v>
      </c>
      <c r="N248" s="13">
        <f t="shared" si="73"/>
        <v>0</v>
      </c>
      <c r="O248">
        <f t="shared" si="73"/>
        <v>13</v>
      </c>
      <c r="P248">
        <f t="shared" si="73"/>
        <v>0</v>
      </c>
      <c r="Q248" s="14">
        <f t="shared" si="66"/>
        <v>780</v>
      </c>
      <c r="R248" s="13">
        <f t="shared" si="67"/>
        <v>0</v>
      </c>
      <c r="S248">
        <f t="shared" si="68"/>
        <v>13</v>
      </c>
      <c r="T248">
        <f t="shared" si="69"/>
        <v>0</v>
      </c>
      <c r="U248" s="14">
        <f t="shared" si="70"/>
        <v>780</v>
      </c>
      <c r="V248" s="15"/>
      <c r="Z248" s="14"/>
    </row>
    <row r="249" spans="1:26" x14ac:dyDescent="0.25">
      <c r="A249" s="16"/>
      <c r="B249" s="17" t="b">
        <f t="shared" si="72"/>
        <v>0</v>
      </c>
      <c r="C249" s="17" t="b">
        <f t="shared" si="71"/>
        <v>0</v>
      </c>
      <c r="D249" s="17">
        <f t="shared" si="62"/>
        <v>1</v>
      </c>
      <c r="E249" s="17" t="str">
        <f t="shared" si="63"/>
        <v>Section 5 - Next steps</v>
      </c>
      <c r="F249" s="18" t="str">
        <f t="shared" si="64"/>
        <v/>
      </c>
      <c r="G249" s="13" t="str">
        <f t="shared" si="56"/>
        <v/>
      </c>
      <c r="H249">
        <f t="shared" si="57"/>
        <v>0</v>
      </c>
      <c r="I249" s="14">
        <f t="shared" si="65"/>
        <v>0</v>
      </c>
      <c r="J249" s="13">
        <f t="shared" si="58"/>
        <v>300</v>
      </c>
      <c r="K249">
        <f t="shared" si="59"/>
        <v>0</v>
      </c>
      <c r="L249">
        <f t="shared" si="60"/>
        <v>5</v>
      </c>
      <c r="M249" s="14">
        <f t="shared" si="61"/>
        <v>0</v>
      </c>
      <c r="N249" s="13">
        <f t="shared" si="73"/>
        <v>0</v>
      </c>
      <c r="O249">
        <f t="shared" si="73"/>
        <v>13</v>
      </c>
      <c r="P249">
        <f t="shared" si="73"/>
        <v>0</v>
      </c>
      <c r="Q249" s="14">
        <f t="shared" si="66"/>
        <v>780</v>
      </c>
      <c r="R249" s="13">
        <f t="shared" si="67"/>
        <v>0</v>
      </c>
      <c r="S249">
        <f t="shared" si="68"/>
        <v>13</v>
      </c>
      <c r="T249">
        <f t="shared" si="69"/>
        <v>0</v>
      </c>
      <c r="U249" s="14">
        <f t="shared" si="70"/>
        <v>780</v>
      </c>
      <c r="V249" s="15"/>
      <c r="Z249" s="14"/>
    </row>
    <row r="250" spans="1:26" x14ac:dyDescent="0.25">
      <c r="A250" s="16"/>
      <c r="B250" s="17" t="b">
        <f t="shared" si="72"/>
        <v>0</v>
      </c>
      <c r="C250" s="17" t="b">
        <f t="shared" si="71"/>
        <v>0</v>
      </c>
      <c r="D250" s="17">
        <f t="shared" si="62"/>
        <v>1</v>
      </c>
      <c r="E250" s="17" t="str">
        <f t="shared" si="63"/>
        <v>Section 5 - Next steps</v>
      </c>
      <c r="F250" s="18" t="str">
        <f t="shared" si="64"/>
        <v/>
      </c>
      <c r="G250" s="13" t="str">
        <f t="shared" si="56"/>
        <v/>
      </c>
      <c r="H250">
        <f t="shared" si="57"/>
        <v>0</v>
      </c>
      <c r="I250" s="14">
        <f t="shared" si="65"/>
        <v>0</v>
      </c>
      <c r="J250" s="13">
        <f t="shared" si="58"/>
        <v>300</v>
      </c>
      <c r="K250">
        <f t="shared" si="59"/>
        <v>0</v>
      </c>
      <c r="L250">
        <f t="shared" si="60"/>
        <v>5</v>
      </c>
      <c r="M250" s="14">
        <f t="shared" si="61"/>
        <v>0</v>
      </c>
      <c r="N250" s="13">
        <f t="shared" si="73"/>
        <v>0</v>
      </c>
      <c r="O250">
        <f t="shared" si="73"/>
        <v>13</v>
      </c>
      <c r="P250">
        <f t="shared" si="73"/>
        <v>0</v>
      </c>
      <c r="Q250" s="14">
        <f t="shared" si="66"/>
        <v>780</v>
      </c>
      <c r="R250" s="13">
        <f t="shared" si="67"/>
        <v>0</v>
      </c>
      <c r="S250">
        <f t="shared" si="68"/>
        <v>13</v>
      </c>
      <c r="T250">
        <f t="shared" si="69"/>
        <v>0</v>
      </c>
      <c r="U250" s="14">
        <f t="shared" si="70"/>
        <v>780</v>
      </c>
      <c r="V250" s="15"/>
      <c r="Z250" s="14"/>
    </row>
    <row r="251" spans="1:26" x14ac:dyDescent="0.25">
      <c r="A251" s="16"/>
      <c r="B251" s="17" t="b">
        <f t="shared" si="72"/>
        <v>0</v>
      </c>
      <c r="C251" s="17" t="b">
        <f t="shared" si="71"/>
        <v>0</v>
      </c>
      <c r="D251" s="17">
        <f t="shared" si="62"/>
        <v>1</v>
      </c>
      <c r="E251" s="17" t="str">
        <f t="shared" si="63"/>
        <v>Section 5 - Next steps</v>
      </c>
      <c r="F251" s="18" t="str">
        <f t="shared" si="64"/>
        <v/>
      </c>
      <c r="G251" s="13" t="str">
        <f t="shared" si="56"/>
        <v/>
      </c>
      <c r="H251">
        <f t="shared" si="57"/>
        <v>0</v>
      </c>
      <c r="I251" s="14">
        <f t="shared" si="65"/>
        <v>0</v>
      </c>
      <c r="J251" s="13">
        <f t="shared" si="58"/>
        <v>300</v>
      </c>
      <c r="K251">
        <f t="shared" si="59"/>
        <v>0</v>
      </c>
      <c r="L251">
        <f t="shared" si="60"/>
        <v>5</v>
      </c>
      <c r="M251" s="14">
        <f t="shared" si="61"/>
        <v>0</v>
      </c>
      <c r="N251" s="13">
        <f t="shared" si="73"/>
        <v>0</v>
      </c>
      <c r="O251">
        <f t="shared" si="73"/>
        <v>13</v>
      </c>
      <c r="P251">
        <f t="shared" si="73"/>
        <v>0</v>
      </c>
      <c r="Q251" s="14">
        <f t="shared" si="66"/>
        <v>780</v>
      </c>
      <c r="R251" s="13">
        <f t="shared" si="67"/>
        <v>0</v>
      </c>
      <c r="S251">
        <f t="shared" si="68"/>
        <v>13</v>
      </c>
      <c r="T251">
        <f t="shared" si="69"/>
        <v>0</v>
      </c>
      <c r="U251" s="14">
        <f t="shared" si="70"/>
        <v>780</v>
      </c>
      <c r="V251" s="15"/>
      <c r="Z251" s="14"/>
    </row>
    <row r="252" spans="1:26" x14ac:dyDescent="0.25">
      <c r="A252" s="16"/>
      <c r="B252" s="17" t="b">
        <f t="shared" si="72"/>
        <v>0</v>
      </c>
      <c r="C252" s="17" t="b">
        <f t="shared" si="71"/>
        <v>0</v>
      </c>
      <c r="D252" s="17">
        <f t="shared" si="62"/>
        <v>1</v>
      </c>
      <c r="E252" s="17" t="str">
        <f t="shared" si="63"/>
        <v>Section 5 - Next steps</v>
      </c>
      <c r="F252" s="18" t="str">
        <f t="shared" si="64"/>
        <v/>
      </c>
      <c r="G252" s="13" t="str">
        <f t="shared" si="56"/>
        <v/>
      </c>
      <c r="H252">
        <f t="shared" si="57"/>
        <v>0</v>
      </c>
      <c r="I252" s="14">
        <f t="shared" si="65"/>
        <v>0</v>
      </c>
      <c r="J252" s="13">
        <f t="shared" si="58"/>
        <v>300</v>
      </c>
      <c r="K252">
        <f t="shared" si="59"/>
        <v>0</v>
      </c>
      <c r="L252">
        <f t="shared" si="60"/>
        <v>5</v>
      </c>
      <c r="M252" s="14">
        <f t="shared" si="61"/>
        <v>0</v>
      </c>
      <c r="N252" s="13">
        <f t="shared" si="73"/>
        <v>0</v>
      </c>
      <c r="O252">
        <f t="shared" si="73"/>
        <v>13</v>
      </c>
      <c r="P252">
        <f t="shared" si="73"/>
        <v>0</v>
      </c>
      <c r="Q252" s="14">
        <f t="shared" si="66"/>
        <v>780</v>
      </c>
      <c r="R252" s="13">
        <f t="shared" si="67"/>
        <v>0</v>
      </c>
      <c r="S252">
        <f t="shared" si="68"/>
        <v>13</v>
      </c>
      <c r="T252">
        <f t="shared" si="69"/>
        <v>0</v>
      </c>
      <c r="U252" s="14">
        <f t="shared" si="70"/>
        <v>780</v>
      </c>
      <c r="V252" s="15"/>
      <c r="Z252" s="14"/>
    </row>
    <row r="253" spans="1:26" x14ac:dyDescent="0.25">
      <c r="A253" s="16"/>
      <c r="B253" s="17" t="b">
        <f t="shared" si="72"/>
        <v>0</v>
      </c>
      <c r="C253" s="17" t="b">
        <f t="shared" si="71"/>
        <v>0</v>
      </c>
      <c r="D253" s="17">
        <f t="shared" si="62"/>
        <v>1</v>
      </c>
      <c r="E253" s="17" t="str">
        <f t="shared" si="63"/>
        <v>Section 5 - Next steps</v>
      </c>
      <c r="F253" s="18" t="str">
        <f t="shared" si="64"/>
        <v/>
      </c>
      <c r="G253" s="13" t="str">
        <f t="shared" si="56"/>
        <v/>
      </c>
      <c r="H253">
        <f t="shared" si="57"/>
        <v>0</v>
      </c>
      <c r="I253" s="14">
        <f t="shared" si="65"/>
        <v>0</v>
      </c>
      <c r="J253" s="13">
        <f t="shared" si="58"/>
        <v>300</v>
      </c>
      <c r="K253">
        <f t="shared" si="59"/>
        <v>0</v>
      </c>
      <c r="L253">
        <f t="shared" si="60"/>
        <v>5</v>
      </c>
      <c r="M253" s="14">
        <f t="shared" si="61"/>
        <v>0</v>
      </c>
      <c r="N253" s="13">
        <f t="shared" si="73"/>
        <v>0</v>
      </c>
      <c r="O253">
        <f t="shared" si="73"/>
        <v>13</v>
      </c>
      <c r="P253">
        <f t="shared" si="73"/>
        <v>0</v>
      </c>
      <c r="Q253" s="14">
        <f t="shared" si="66"/>
        <v>780</v>
      </c>
      <c r="R253" s="13">
        <f t="shared" si="67"/>
        <v>0</v>
      </c>
      <c r="S253">
        <f t="shared" si="68"/>
        <v>13</v>
      </c>
      <c r="T253">
        <f t="shared" si="69"/>
        <v>0</v>
      </c>
      <c r="U253" s="14">
        <f t="shared" si="70"/>
        <v>780</v>
      </c>
      <c r="V253" s="15"/>
      <c r="Z253" s="14"/>
    </row>
    <row r="254" spans="1:26" x14ac:dyDescent="0.25">
      <c r="A254" s="16"/>
      <c r="B254" s="17" t="b">
        <f t="shared" si="72"/>
        <v>0</v>
      </c>
      <c r="C254" s="17" t="b">
        <f t="shared" si="71"/>
        <v>0</v>
      </c>
      <c r="D254" s="17">
        <f t="shared" si="62"/>
        <v>1</v>
      </c>
      <c r="E254" s="17" t="str">
        <f t="shared" si="63"/>
        <v>Section 5 - Next steps</v>
      </c>
      <c r="F254" s="18" t="str">
        <f t="shared" si="64"/>
        <v/>
      </c>
      <c r="G254" s="13" t="str">
        <f t="shared" si="56"/>
        <v/>
      </c>
      <c r="H254">
        <f t="shared" si="57"/>
        <v>0</v>
      </c>
      <c r="I254" s="14">
        <f t="shared" si="65"/>
        <v>0</v>
      </c>
      <c r="J254" s="13">
        <f t="shared" si="58"/>
        <v>300</v>
      </c>
      <c r="K254">
        <f t="shared" si="59"/>
        <v>0</v>
      </c>
      <c r="L254">
        <f t="shared" si="60"/>
        <v>5</v>
      </c>
      <c r="M254" s="14">
        <f t="shared" si="61"/>
        <v>0</v>
      </c>
      <c r="N254" s="13">
        <f t="shared" si="73"/>
        <v>0</v>
      </c>
      <c r="O254">
        <f t="shared" si="73"/>
        <v>13</v>
      </c>
      <c r="P254">
        <f t="shared" si="73"/>
        <v>0</v>
      </c>
      <c r="Q254" s="14">
        <f t="shared" si="66"/>
        <v>780</v>
      </c>
      <c r="R254" s="13">
        <f t="shared" si="67"/>
        <v>0</v>
      </c>
      <c r="S254">
        <f t="shared" si="68"/>
        <v>13</v>
      </c>
      <c r="T254">
        <f t="shared" si="69"/>
        <v>0</v>
      </c>
      <c r="U254" s="14">
        <f t="shared" si="70"/>
        <v>780</v>
      </c>
      <c r="V254" s="15"/>
      <c r="Z254" s="14"/>
    </row>
    <row r="255" spans="1:26" x14ac:dyDescent="0.25">
      <c r="A255" s="16"/>
      <c r="B255" s="17" t="b">
        <f t="shared" si="72"/>
        <v>0</v>
      </c>
      <c r="C255" s="17" t="b">
        <f t="shared" si="71"/>
        <v>0</v>
      </c>
      <c r="D255" s="17">
        <f t="shared" si="62"/>
        <v>1</v>
      </c>
      <c r="E255" s="17" t="str">
        <f t="shared" si="63"/>
        <v>Section 5 - Next steps</v>
      </c>
      <c r="F255" s="18" t="str">
        <f t="shared" si="64"/>
        <v/>
      </c>
      <c r="G255" s="13" t="str">
        <f t="shared" si="56"/>
        <v/>
      </c>
      <c r="H255">
        <f t="shared" si="57"/>
        <v>0</v>
      </c>
      <c r="I255" s="14">
        <f t="shared" si="65"/>
        <v>0</v>
      </c>
      <c r="J255" s="13">
        <f t="shared" si="58"/>
        <v>300</v>
      </c>
      <c r="K255">
        <f t="shared" si="59"/>
        <v>0</v>
      </c>
      <c r="L255">
        <f t="shared" si="60"/>
        <v>5</v>
      </c>
      <c r="M255" s="14">
        <f t="shared" si="61"/>
        <v>0</v>
      </c>
      <c r="N255" s="13">
        <f t="shared" si="73"/>
        <v>0</v>
      </c>
      <c r="O255">
        <f t="shared" si="73"/>
        <v>13</v>
      </c>
      <c r="P255">
        <f t="shared" si="73"/>
        <v>0</v>
      </c>
      <c r="Q255" s="14">
        <f t="shared" si="66"/>
        <v>780</v>
      </c>
      <c r="R255" s="13">
        <f t="shared" si="67"/>
        <v>0</v>
      </c>
      <c r="S255">
        <f t="shared" si="68"/>
        <v>13</v>
      </c>
      <c r="T255">
        <f t="shared" si="69"/>
        <v>0</v>
      </c>
      <c r="U255" s="14">
        <f t="shared" si="70"/>
        <v>780</v>
      </c>
      <c r="V255" s="15"/>
      <c r="Z255" s="14"/>
    </row>
    <row r="256" spans="1:26" x14ac:dyDescent="0.25">
      <c r="A256" s="16"/>
      <c r="B256" s="17" t="b">
        <f t="shared" si="72"/>
        <v>0</v>
      </c>
      <c r="C256" s="17" t="b">
        <f t="shared" si="71"/>
        <v>0</v>
      </c>
      <c r="D256" s="17">
        <f t="shared" si="62"/>
        <v>1</v>
      </c>
      <c r="E256" s="17" t="str">
        <f t="shared" si="63"/>
        <v>Section 5 - Next steps</v>
      </c>
      <c r="F256" s="18" t="str">
        <f t="shared" si="64"/>
        <v/>
      </c>
      <c r="G256" s="13" t="str">
        <f t="shared" si="56"/>
        <v/>
      </c>
      <c r="H256">
        <f t="shared" si="57"/>
        <v>0</v>
      </c>
      <c r="I256" s="14">
        <f t="shared" si="65"/>
        <v>0</v>
      </c>
      <c r="J256" s="13">
        <f t="shared" si="58"/>
        <v>300</v>
      </c>
      <c r="K256">
        <f t="shared" si="59"/>
        <v>0</v>
      </c>
      <c r="L256">
        <f t="shared" si="60"/>
        <v>5</v>
      </c>
      <c r="M256" s="14">
        <f t="shared" si="61"/>
        <v>0</v>
      </c>
      <c r="N256" s="13">
        <f t="shared" si="73"/>
        <v>0</v>
      </c>
      <c r="O256">
        <f t="shared" si="73"/>
        <v>13</v>
      </c>
      <c r="P256">
        <f t="shared" si="73"/>
        <v>0</v>
      </c>
      <c r="Q256" s="14">
        <f t="shared" si="66"/>
        <v>780</v>
      </c>
      <c r="R256" s="13">
        <f t="shared" si="67"/>
        <v>0</v>
      </c>
      <c r="S256">
        <f t="shared" si="68"/>
        <v>13</v>
      </c>
      <c r="T256">
        <f t="shared" si="69"/>
        <v>0</v>
      </c>
      <c r="U256" s="14">
        <f t="shared" si="70"/>
        <v>780</v>
      </c>
      <c r="V256" s="15"/>
      <c r="Z256" s="14"/>
    </row>
    <row r="257" spans="1:26" x14ac:dyDescent="0.25">
      <c r="A257" s="16"/>
      <c r="B257" s="17" t="b">
        <f t="shared" si="72"/>
        <v>0</v>
      </c>
      <c r="C257" s="17" t="b">
        <f t="shared" si="71"/>
        <v>0</v>
      </c>
      <c r="D257" s="17">
        <f t="shared" si="62"/>
        <v>1</v>
      </c>
      <c r="E257" s="17" t="str">
        <f t="shared" si="63"/>
        <v>Section 5 - Next steps</v>
      </c>
      <c r="F257" s="18" t="str">
        <f t="shared" si="64"/>
        <v/>
      </c>
      <c r="G257" s="13" t="str">
        <f t="shared" si="56"/>
        <v/>
      </c>
      <c r="H257">
        <f t="shared" si="57"/>
        <v>0</v>
      </c>
      <c r="I257" s="14">
        <f t="shared" si="65"/>
        <v>0</v>
      </c>
      <c r="J257" s="13">
        <f t="shared" si="58"/>
        <v>300</v>
      </c>
      <c r="K257">
        <f t="shared" si="59"/>
        <v>0</v>
      </c>
      <c r="L257">
        <f t="shared" si="60"/>
        <v>5</v>
      </c>
      <c r="M257" s="14">
        <f t="shared" si="61"/>
        <v>0</v>
      </c>
      <c r="N257" s="13">
        <f t="shared" si="73"/>
        <v>0</v>
      </c>
      <c r="O257">
        <f t="shared" si="73"/>
        <v>13</v>
      </c>
      <c r="P257">
        <f t="shared" si="73"/>
        <v>0</v>
      </c>
      <c r="Q257" s="14">
        <f t="shared" si="66"/>
        <v>780</v>
      </c>
      <c r="R257" s="13">
        <f t="shared" si="67"/>
        <v>0</v>
      </c>
      <c r="S257">
        <f t="shared" si="68"/>
        <v>13</v>
      </c>
      <c r="T257">
        <f t="shared" si="69"/>
        <v>0</v>
      </c>
      <c r="U257" s="14">
        <f t="shared" si="70"/>
        <v>780</v>
      </c>
      <c r="V257" s="15"/>
      <c r="Z257" s="14"/>
    </row>
    <row r="258" spans="1:26" x14ac:dyDescent="0.25">
      <c r="A258" s="16"/>
      <c r="B258" s="17" t="b">
        <f t="shared" si="72"/>
        <v>0</v>
      </c>
      <c r="C258" s="17" t="b">
        <f t="shared" si="71"/>
        <v>0</v>
      </c>
      <c r="D258" s="17">
        <f t="shared" si="62"/>
        <v>1</v>
      </c>
      <c r="E258" s="17" t="str">
        <f t="shared" si="63"/>
        <v>Section 5 - Next steps</v>
      </c>
      <c r="F258" s="18" t="str">
        <f t="shared" si="64"/>
        <v/>
      </c>
      <c r="G258" s="13" t="str">
        <f t="shared" si="56"/>
        <v/>
      </c>
      <c r="H258">
        <f t="shared" si="57"/>
        <v>0</v>
      </c>
      <c r="I258" s="14">
        <f t="shared" si="65"/>
        <v>0</v>
      </c>
      <c r="J258" s="13">
        <f t="shared" si="58"/>
        <v>300</v>
      </c>
      <c r="K258">
        <f t="shared" si="59"/>
        <v>0</v>
      </c>
      <c r="L258">
        <f t="shared" si="60"/>
        <v>5</v>
      </c>
      <c r="M258" s="14">
        <f t="shared" si="61"/>
        <v>0</v>
      </c>
      <c r="N258" s="13">
        <f t="shared" si="73"/>
        <v>0</v>
      </c>
      <c r="O258">
        <f t="shared" si="73"/>
        <v>13</v>
      </c>
      <c r="P258">
        <f t="shared" si="73"/>
        <v>0</v>
      </c>
      <c r="Q258" s="14">
        <f t="shared" si="66"/>
        <v>780</v>
      </c>
      <c r="R258" s="13">
        <f t="shared" si="67"/>
        <v>0</v>
      </c>
      <c r="S258">
        <f t="shared" si="68"/>
        <v>13</v>
      </c>
      <c r="T258">
        <f t="shared" si="69"/>
        <v>0</v>
      </c>
      <c r="U258" s="14">
        <f t="shared" si="70"/>
        <v>780</v>
      </c>
      <c r="V258" s="15"/>
      <c r="Z258" s="14"/>
    </row>
    <row r="259" spans="1:26" x14ac:dyDescent="0.25">
      <c r="A259" s="16"/>
      <c r="B259" s="17" t="b">
        <f t="shared" si="72"/>
        <v>0</v>
      </c>
      <c r="C259" s="17" t="b">
        <f t="shared" si="71"/>
        <v>0</v>
      </c>
      <c r="D259" s="17">
        <f t="shared" si="62"/>
        <v>1</v>
      </c>
      <c r="E259" s="17" t="str">
        <f t="shared" si="63"/>
        <v>Section 5 - Next steps</v>
      </c>
      <c r="F259" s="18" t="str">
        <f t="shared" si="64"/>
        <v/>
      </c>
      <c r="G259" s="13" t="str">
        <f t="shared" si="56"/>
        <v/>
      </c>
      <c r="H259">
        <f t="shared" si="57"/>
        <v>0</v>
      </c>
      <c r="I259" s="14">
        <f t="shared" si="65"/>
        <v>0</v>
      </c>
      <c r="J259" s="13">
        <f t="shared" si="58"/>
        <v>300</v>
      </c>
      <c r="K259">
        <f t="shared" si="59"/>
        <v>0</v>
      </c>
      <c r="L259">
        <f t="shared" si="60"/>
        <v>5</v>
      </c>
      <c r="M259" s="14">
        <f t="shared" si="61"/>
        <v>0</v>
      </c>
      <c r="N259" s="13">
        <f t="shared" si="73"/>
        <v>0</v>
      </c>
      <c r="O259">
        <f t="shared" si="73"/>
        <v>13</v>
      </c>
      <c r="P259">
        <f t="shared" si="73"/>
        <v>0</v>
      </c>
      <c r="Q259" s="14">
        <f t="shared" si="66"/>
        <v>780</v>
      </c>
      <c r="R259" s="13">
        <f t="shared" si="67"/>
        <v>0</v>
      </c>
      <c r="S259">
        <f t="shared" si="68"/>
        <v>13</v>
      </c>
      <c r="T259">
        <f t="shared" si="69"/>
        <v>0</v>
      </c>
      <c r="U259" s="14">
        <f t="shared" si="70"/>
        <v>780</v>
      </c>
      <c r="V259" s="15"/>
      <c r="Z259" s="14"/>
    </row>
    <row r="260" spans="1:26" x14ac:dyDescent="0.25">
      <c r="A260" s="16"/>
      <c r="B260" s="17" t="b">
        <f t="shared" si="72"/>
        <v>0</v>
      </c>
      <c r="C260" s="17" t="b">
        <f t="shared" si="71"/>
        <v>0</v>
      </c>
      <c r="D260" s="17">
        <f t="shared" si="62"/>
        <v>1</v>
      </c>
      <c r="E260" s="17" t="str">
        <f t="shared" si="63"/>
        <v>Section 5 - Next steps</v>
      </c>
      <c r="F260" s="18" t="str">
        <f t="shared" si="64"/>
        <v/>
      </c>
      <c r="G260" s="13" t="str">
        <f t="shared" si="56"/>
        <v/>
      </c>
      <c r="H260">
        <f t="shared" si="57"/>
        <v>0</v>
      </c>
      <c r="I260" s="14">
        <f t="shared" si="65"/>
        <v>0</v>
      </c>
      <c r="J260" s="13">
        <f t="shared" si="58"/>
        <v>300</v>
      </c>
      <c r="K260">
        <f t="shared" si="59"/>
        <v>0</v>
      </c>
      <c r="L260">
        <f t="shared" si="60"/>
        <v>5</v>
      </c>
      <c r="M260" s="14">
        <f t="shared" si="61"/>
        <v>0</v>
      </c>
      <c r="N260" s="13">
        <f t="shared" si="73"/>
        <v>0</v>
      </c>
      <c r="O260">
        <f t="shared" si="73"/>
        <v>13</v>
      </c>
      <c r="P260">
        <f t="shared" si="73"/>
        <v>0</v>
      </c>
      <c r="Q260" s="14">
        <f t="shared" si="66"/>
        <v>780</v>
      </c>
      <c r="R260" s="13">
        <f t="shared" si="67"/>
        <v>0</v>
      </c>
      <c r="S260">
        <f t="shared" si="68"/>
        <v>13</v>
      </c>
      <c r="T260">
        <f t="shared" si="69"/>
        <v>0</v>
      </c>
      <c r="U260" s="14">
        <f t="shared" si="70"/>
        <v>780</v>
      </c>
      <c r="V260" s="15"/>
      <c r="Z260" s="14"/>
    </row>
    <row r="261" spans="1:26" x14ac:dyDescent="0.25">
      <c r="A261" s="16"/>
      <c r="B261" s="17" t="b">
        <f t="shared" si="72"/>
        <v>0</v>
      </c>
      <c r="C261" s="17" t="b">
        <f t="shared" si="71"/>
        <v>0</v>
      </c>
      <c r="D261" s="17">
        <f t="shared" si="62"/>
        <v>1</v>
      </c>
      <c r="E261" s="17" t="str">
        <f t="shared" si="63"/>
        <v>Section 5 - Next steps</v>
      </c>
      <c r="F261" s="18" t="str">
        <f t="shared" si="64"/>
        <v/>
      </c>
      <c r="G261" s="13" t="str">
        <f t="shared" si="56"/>
        <v/>
      </c>
      <c r="H261">
        <f t="shared" si="57"/>
        <v>0</v>
      </c>
      <c r="I261" s="14">
        <f t="shared" si="65"/>
        <v>0</v>
      </c>
      <c r="J261" s="13">
        <f t="shared" si="58"/>
        <v>300</v>
      </c>
      <c r="K261">
        <f t="shared" si="59"/>
        <v>0</v>
      </c>
      <c r="L261">
        <f t="shared" si="60"/>
        <v>5</v>
      </c>
      <c r="M261" s="14">
        <f t="shared" si="61"/>
        <v>0</v>
      </c>
      <c r="N261" s="13">
        <f t="shared" si="73"/>
        <v>0</v>
      </c>
      <c r="O261">
        <f t="shared" si="73"/>
        <v>13</v>
      </c>
      <c r="P261">
        <f t="shared" si="73"/>
        <v>0</v>
      </c>
      <c r="Q261" s="14">
        <f t="shared" si="66"/>
        <v>780</v>
      </c>
      <c r="R261" s="13">
        <f t="shared" si="67"/>
        <v>0</v>
      </c>
      <c r="S261">
        <f t="shared" si="68"/>
        <v>13</v>
      </c>
      <c r="T261">
        <f t="shared" si="69"/>
        <v>0</v>
      </c>
      <c r="U261" s="14">
        <f t="shared" si="70"/>
        <v>780</v>
      </c>
      <c r="V261" s="15"/>
      <c r="Z261" s="14"/>
    </row>
    <row r="262" spans="1:26" x14ac:dyDescent="0.25">
      <c r="A262" s="16"/>
      <c r="B262" s="17" t="b">
        <f t="shared" si="72"/>
        <v>0</v>
      </c>
      <c r="C262" s="17" t="b">
        <f t="shared" si="71"/>
        <v>0</v>
      </c>
      <c r="D262" s="17">
        <f t="shared" si="62"/>
        <v>1</v>
      </c>
      <c r="E262" s="17" t="str">
        <f t="shared" si="63"/>
        <v>Section 5 - Next steps</v>
      </c>
      <c r="F262" s="18" t="str">
        <f t="shared" si="64"/>
        <v/>
      </c>
      <c r="G262" s="13" t="str">
        <f t="shared" si="56"/>
        <v/>
      </c>
      <c r="H262">
        <f t="shared" si="57"/>
        <v>0</v>
      </c>
      <c r="I262" s="14">
        <f t="shared" si="65"/>
        <v>0</v>
      </c>
      <c r="J262" s="13">
        <f t="shared" si="58"/>
        <v>300</v>
      </c>
      <c r="K262">
        <f t="shared" si="59"/>
        <v>0</v>
      </c>
      <c r="L262">
        <f t="shared" si="60"/>
        <v>5</v>
      </c>
      <c r="M262" s="14">
        <f t="shared" si="61"/>
        <v>0</v>
      </c>
      <c r="N262" s="13">
        <f t="shared" si="73"/>
        <v>0</v>
      </c>
      <c r="O262">
        <f t="shared" si="73"/>
        <v>13</v>
      </c>
      <c r="P262">
        <f t="shared" si="73"/>
        <v>0</v>
      </c>
      <c r="Q262" s="14">
        <f t="shared" si="66"/>
        <v>780</v>
      </c>
      <c r="R262" s="13">
        <f t="shared" si="67"/>
        <v>0</v>
      </c>
      <c r="S262">
        <f t="shared" si="68"/>
        <v>13</v>
      </c>
      <c r="T262">
        <f t="shared" si="69"/>
        <v>0</v>
      </c>
      <c r="U262" s="14">
        <f t="shared" si="70"/>
        <v>780</v>
      </c>
      <c r="V262" s="15"/>
      <c r="Z262" s="14"/>
    </row>
    <row r="263" spans="1:26" x14ac:dyDescent="0.25">
      <c r="A263" s="16"/>
      <c r="B263" s="17" t="b">
        <f t="shared" si="72"/>
        <v>0</v>
      </c>
      <c r="C263" s="17" t="b">
        <f t="shared" si="71"/>
        <v>0</v>
      </c>
      <c r="D263" s="17">
        <f t="shared" si="62"/>
        <v>1</v>
      </c>
      <c r="E263" s="17" t="str">
        <f t="shared" si="63"/>
        <v>Section 5 - Next steps</v>
      </c>
      <c r="F263" s="18" t="str">
        <f t="shared" si="64"/>
        <v/>
      </c>
      <c r="G263" s="13" t="str">
        <f t="shared" si="56"/>
        <v/>
      </c>
      <c r="H263">
        <f t="shared" si="57"/>
        <v>0</v>
      </c>
      <c r="I263" s="14">
        <f t="shared" si="65"/>
        <v>0</v>
      </c>
      <c r="J263" s="13">
        <f t="shared" si="58"/>
        <v>300</v>
      </c>
      <c r="K263">
        <f t="shared" si="59"/>
        <v>0</v>
      </c>
      <c r="L263">
        <f t="shared" si="60"/>
        <v>5</v>
      </c>
      <c r="M263" s="14">
        <f t="shared" si="61"/>
        <v>0</v>
      </c>
      <c r="N263" s="13">
        <f t="shared" si="73"/>
        <v>0</v>
      </c>
      <c r="O263">
        <f t="shared" si="73"/>
        <v>13</v>
      </c>
      <c r="P263">
        <f t="shared" si="73"/>
        <v>0</v>
      </c>
      <c r="Q263" s="14">
        <f t="shared" si="66"/>
        <v>780</v>
      </c>
      <c r="R263" s="13">
        <f t="shared" si="67"/>
        <v>0</v>
      </c>
      <c r="S263">
        <f t="shared" si="68"/>
        <v>13</v>
      </c>
      <c r="T263">
        <f t="shared" si="69"/>
        <v>0</v>
      </c>
      <c r="U263" s="14">
        <f t="shared" si="70"/>
        <v>780</v>
      </c>
      <c r="V263" s="15"/>
      <c r="Z263" s="14"/>
    </row>
    <row r="264" spans="1:26" x14ac:dyDescent="0.25">
      <c r="A264" s="16"/>
      <c r="B264" s="17" t="b">
        <f t="shared" si="72"/>
        <v>0</v>
      </c>
      <c r="C264" s="17" t="b">
        <f t="shared" si="71"/>
        <v>0</v>
      </c>
      <c r="D264" s="17">
        <f t="shared" si="62"/>
        <v>1</v>
      </c>
      <c r="E264" s="17" t="str">
        <f t="shared" si="63"/>
        <v>Section 5 - Next steps</v>
      </c>
      <c r="F264" s="18" t="str">
        <f t="shared" si="64"/>
        <v/>
      </c>
      <c r="G264" s="13" t="str">
        <f t="shared" si="56"/>
        <v/>
      </c>
      <c r="H264">
        <f t="shared" si="57"/>
        <v>0</v>
      </c>
      <c r="I264" s="14">
        <f t="shared" si="65"/>
        <v>0</v>
      </c>
      <c r="J264" s="13">
        <f t="shared" si="58"/>
        <v>300</v>
      </c>
      <c r="K264">
        <f t="shared" si="59"/>
        <v>0</v>
      </c>
      <c r="L264">
        <f t="shared" si="60"/>
        <v>5</v>
      </c>
      <c r="M264" s="14">
        <f t="shared" si="61"/>
        <v>0</v>
      </c>
      <c r="N264" s="13">
        <f t="shared" si="73"/>
        <v>0</v>
      </c>
      <c r="O264">
        <f t="shared" si="73"/>
        <v>13</v>
      </c>
      <c r="P264">
        <f t="shared" si="73"/>
        <v>0</v>
      </c>
      <c r="Q264" s="14">
        <f t="shared" si="66"/>
        <v>780</v>
      </c>
      <c r="R264" s="13">
        <f t="shared" si="67"/>
        <v>0</v>
      </c>
      <c r="S264">
        <f t="shared" si="68"/>
        <v>13</v>
      </c>
      <c r="T264">
        <f t="shared" si="69"/>
        <v>0</v>
      </c>
      <c r="U264" s="14">
        <f t="shared" si="70"/>
        <v>780</v>
      </c>
      <c r="V264" s="15"/>
      <c r="Z264" s="14"/>
    </row>
    <row r="265" spans="1:26" x14ac:dyDescent="0.25">
      <c r="A265" s="16"/>
      <c r="B265" s="17" t="b">
        <f t="shared" si="72"/>
        <v>0</v>
      </c>
      <c r="C265" s="17" t="b">
        <f t="shared" si="71"/>
        <v>0</v>
      </c>
      <c r="D265" s="17">
        <f t="shared" si="62"/>
        <v>1</v>
      </c>
      <c r="E265" s="17" t="str">
        <f t="shared" si="63"/>
        <v>Section 5 - Next steps</v>
      </c>
      <c r="F265" s="18" t="str">
        <f t="shared" si="64"/>
        <v/>
      </c>
      <c r="G265" s="13" t="str">
        <f t="shared" si="56"/>
        <v/>
      </c>
      <c r="H265">
        <f t="shared" si="57"/>
        <v>0</v>
      </c>
      <c r="I265" s="14">
        <f t="shared" si="65"/>
        <v>0</v>
      </c>
      <c r="J265" s="13">
        <f t="shared" si="58"/>
        <v>300</v>
      </c>
      <c r="K265">
        <f t="shared" si="59"/>
        <v>0</v>
      </c>
      <c r="L265">
        <f t="shared" si="60"/>
        <v>5</v>
      </c>
      <c r="M265" s="14">
        <f t="shared" si="61"/>
        <v>0</v>
      </c>
      <c r="N265" s="13">
        <f t="shared" si="73"/>
        <v>0</v>
      </c>
      <c r="O265">
        <f t="shared" si="73"/>
        <v>13</v>
      </c>
      <c r="P265">
        <f t="shared" si="73"/>
        <v>0</v>
      </c>
      <c r="Q265" s="14">
        <f t="shared" si="66"/>
        <v>780</v>
      </c>
      <c r="R265" s="13">
        <f t="shared" si="67"/>
        <v>0</v>
      </c>
      <c r="S265">
        <f t="shared" si="68"/>
        <v>13</v>
      </c>
      <c r="T265">
        <f t="shared" si="69"/>
        <v>0</v>
      </c>
      <c r="U265" s="14">
        <f t="shared" si="70"/>
        <v>780</v>
      </c>
      <c r="V265" s="15"/>
      <c r="Z265" s="14"/>
    </row>
    <row r="266" spans="1:26" x14ac:dyDescent="0.25">
      <c r="A266" s="16"/>
      <c r="B266" s="17" t="b">
        <f t="shared" si="72"/>
        <v>0</v>
      </c>
      <c r="C266" s="17" t="b">
        <f t="shared" si="71"/>
        <v>0</v>
      </c>
      <c r="D266" s="17">
        <f t="shared" si="62"/>
        <v>1</v>
      </c>
      <c r="E266" s="17" t="str">
        <f t="shared" si="63"/>
        <v>Section 5 - Next steps</v>
      </c>
      <c r="F266" s="18" t="str">
        <f t="shared" si="64"/>
        <v/>
      </c>
      <c r="G266" s="13" t="str">
        <f t="shared" si="56"/>
        <v/>
      </c>
      <c r="H266">
        <f t="shared" si="57"/>
        <v>0</v>
      </c>
      <c r="I266" s="14">
        <f t="shared" si="65"/>
        <v>0</v>
      </c>
      <c r="J266" s="13">
        <f t="shared" si="58"/>
        <v>300</v>
      </c>
      <c r="K266">
        <f t="shared" si="59"/>
        <v>0</v>
      </c>
      <c r="L266">
        <f t="shared" si="60"/>
        <v>5</v>
      </c>
      <c r="M266" s="14">
        <f t="shared" si="61"/>
        <v>0</v>
      </c>
      <c r="N266" s="13">
        <f t="shared" si="73"/>
        <v>0</v>
      </c>
      <c r="O266">
        <f t="shared" si="73"/>
        <v>13</v>
      </c>
      <c r="P266">
        <f t="shared" si="73"/>
        <v>0</v>
      </c>
      <c r="Q266" s="14">
        <f t="shared" si="66"/>
        <v>780</v>
      </c>
      <c r="R266" s="13">
        <f t="shared" si="67"/>
        <v>0</v>
      </c>
      <c r="S266">
        <f t="shared" si="68"/>
        <v>13</v>
      </c>
      <c r="T266">
        <f t="shared" si="69"/>
        <v>0</v>
      </c>
      <c r="U266" s="14">
        <f t="shared" si="70"/>
        <v>780</v>
      </c>
      <c r="V266" s="15"/>
      <c r="Z266" s="14"/>
    </row>
    <row r="267" spans="1:26" x14ac:dyDescent="0.25">
      <c r="A267" s="16"/>
      <c r="B267" s="17" t="b">
        <f t="shared" si="72"/>
        <v>0</v>
      </c>
      <c r="C267" s="17" t="b">
        <f t="shared" si="71"/>
        <v>0</v>
      </c>
      <c r="D267" s="17">
        <f t="shared" si="62"/>
        <v>1</v>
      </c>
      <c r="E267" s="17" t="str">
        <f t="shared" si="63"/>
        <v>Section 5 - Next steps</v>
      </c>
      <c r="F267" s="18" t="str">
        <f t="shared" si="64"/>
        <v/>
      </c>
      <c r="G267" s="13" t="str">
        <f t="shared" ref="G267:G330" si="74">IF(C267,IF(ISERROR(FIND("s",A268)),LEFT(A268,FIND("m",A268)),LEFT(A268,FIND("s",A268))),"")</f>
        <v/>
      </c>
      <c r="H267">
        <f t="shared" ref="H267:H330" si="75">IF(OR(G267="",ISERROR(FIND("m",G267))),0,VALUE(LEFT(G267,FIND("m",G267)-1)))</f>
        <v>0</v>
      </c>
      <c r="I267" s="14">
        <f t="shared" si="65"/>
        <v>0</v>
      </c>
      <c r="J267" s="13">
        <f t="shared" ref="J267:J330" si="76">J266+(H267*60+I267)</f>
        <v>300</v>
      </c>
      <c r="K267">
        <f t="shared" ref="K267:K330" si="77">INT(J267/60/60)</f>
        <v>0</v>
      </c>
      <c r="L267">
        <f t="shared" ref="L267:L330" si="78">INT((J267-(K267*60*60))/60)</f>
        <v>5</v>
      </c>
      <c r="M267" s="14">
        <f t="shared" ref="M267:M330" si="79">J267-(((K267*60)+L267)*60)</f>
        <v>0</v>
      </c>
      <c r="N267" s="13">
        <f t="shared" si="73"/>
        <v>0</v>
      </c>
      <c r="O267">
        <f t="shared" si="73"/>
        <v>13</v>
      </c>
      <c r="P267">
        <f t="shared" si="73"/>
        <v>0</v>
      </c>
      <c r="Q267" s="14">
        <f t="shared" si="66"/>
        <v>780</v>
      </c>
      <c r="R267" s="13">
        <f t="shared" si="67"/>
        <v>0</v>
      </c>
      <c r="S267">
        <f t="shared" si="68"/>
        <v>13</v>
      </c>
      <c r="T267">
        <f t="shared" si="69"/>
        <v>0</v>
      </c>
      <c r="U267" s="14">
        <f t="shared" si="70"/>
        <v>780</v>
      </c>
      <c r="V267" s="15"/>
      <c r="Z267" s="14"/>
    </row>
    <row r="268" spans="1:26" x14ac:dyDescent="0.25">
      <c r="A268" s="16"/>
      <c r="B268" s="17" t="b">
        <f t="shared" si="72"/>
        <v>0</v>
      </c>
      <c r="C268" s="17" t="b">
        <f t="shared" si="71"/>
        <v>0</v>
      </c>
      <c r="D268" s="17">
        <f t="shared" ref="D268:D331" si="80">IF(B268,0,IF(C268,D267+1,D267))</f>
        <v>1</v>
      </c>
      <c r="E268" s="17" t="str">
        <f t="shared" ref="E268:E331" si="81">SUBSTITUTE(IF(B268,A268,E267),":", " -")</f>
        <v>Section 5 - Next steps</v>
      </c>
      <c r="F268" s="18" t="str">
        <f t="shared" ref="F268:F331" si="82">IF(C268,A268,"")</f>
        <v/>
      </c>
      <c r="G268" s="13" t="str">
        <f t="shared" si="74"/>
        <v/>
      </c>
      <c r="H268">
        <f t="shared" si="75"/>
        <v>0</v>
      </c>
      <c r="I268" s="14">
        <f t="shared" ref="I268:I331" si="83">IF(OR(G268="",ISERROR(FIND("s",G268))),0,VALUE(SUBSTITUTE(MID(G268,IF(ISERROR(FIND("m",G268)), 0,FIND("m",G268))+1,LEN(G268)),"s","")))</f>
        <v>0</v>
      </c>
      <c r="J268" s="13">
        <f t="shared" si="76"/>
        <v>300</v>
      </c>
      <c r="K268">
        <f t="shared" si="77"/>
        <v>0</v>
      </c>
      <c r="L268">
        <f t="shared" si="78"/>
        <v>5</v>
      </c>
      <c r="M268" s="14">
        <f t="shared" si="79"/>
        <v>0</v>
      </c>
      <c r="N268" s="13">
        <f t="shared" si="73"/>
        <v>0</v>
      </c>
      <c r="O268">
        <f t="shared" si="73"/>
        <v>13</v>
      </c>
      <c r="P268">
        <f t="shared" si="73"/>
        <v>0</v>
      </c>
      <c r="Q268" s="14">
        <f t="shared" si="66"/>
        <v>780</v>
      </c>
      <c r="R268" s="13">
        <f t="shared" si="67"/>
        <v>0</v>
      </c>
      <c r="S268">
        <f t="shared" si="68"/>
        <v>13</v>
      </c>
      <c r="T268">
        <f t="shared" si="69"/>
        <v>0</v>
      </c>
      <c r="U268" s="14">
        <f t="shared" si="70"/>
        <v>780</v>
      </c>
      <c r="V268" s="15"/>
      <c r="Z268" s="14"/>
    </row>
    <row r="269" spans="1:26" x14ac:dyDescent="0.25">
      <c r="A269" s="16"/>
      <c r="B269" s="17" t="b">
        <f t="shared" si="72"/>
        <v>0</v>
      </c>
      <c r="C269" s="17" t="b">
        <f t="shared" si="71"/>
        <v>0</v>
      </c>
      <c r="D269" s="17">
        <f t="shared" si="80"/>
        <v>1</v>
      </c>
      <c r="E269" s="17" t="str">
        <f t="shared" si="81"/>
        <v>Section 5 - Next steps</v>
      </c>
      <c r="F269" s="18" t="str">
        <f t="shared" si="82"/>
        <v/>
      </c>
      <c r="G269" s="13" t="str">
        <f t="shared" si="74"/>
        <v/>
      </c>
      <c r="H269">
        <f t="shared" si="75"/>
        <v>0</v>
      </c>
      <c r="I269" s="14">
        <f t="shared" si="83"/>
        <v>0</v>
      </c>
      <c r="J269" s="13">
        <f t="shared" si="76"/>
        <v>300</v>
      </c>
      <c r="K269">
        <f t="shared" si="77"/>
        <v>0</v>
      </c>
      <c r="L269">
        <f t="shared" si="78"/>
        <v>5</v>
      </c>
      <c r="M269" s="14">
        <f t="shared" si="79"/>
        <v>0</v>
      </c>
      <c r="N269" s="13">
        <f t="shared" si="73"/>
        <v>0</v>
      </c>
      <c r="O269">
        <f t="shared" si="73"/>
        <v>13</v>
      </c>
      <c r="P269">
        <f t="shared" si="73"/>
        <v>0</v>
      </c>
      <c r="Q269" s="14">
        <f t="shared" si="66"/>
        <v>780</v>
      </c>
      <c r="R269" s="13">
        <f t="shared" si="67"/>
        <v>0</v>
      </c>
      <c r="S269">
        <f t="shared" si="68"/>
        <v>13</v>
      </c>
      <c r="T269">
        <f t="shared" si="69"/>
        <v>0</v>
      </c>
      <c r="U269" s="14">
        <f t="shared" si="70"/>
        <v>780</v>
      </c>
      <c r="V269" s="15"/>
      <c r="Z269" s="14"/>
    </row>
    <row r="270" spans="1:26" x14ac:dyDescent="0.25">
      <c r="A270" s="16"/>
      <c r="B270" s="17" t="b">
        <f t="shared" si="72"/>
        <v>0</v>
      </c>
      <c r="C270" s="17" t="b">
        <f t="shared" si="71"/>
        <v>0</v>
      </c>
      <c r="D270" s="17">
        <f t="shared" si="80"/>
        <v>1</v>
      </c>
      <c r="E270" s="17" t="str">
        <f t="shared" si="81"/>
        <v>Section 5 - Next steps</v>
      </c>
      <c r="F270" s="18" t="str">
        <f t="shared" si="82"/>
        <v/>
      </c>
      <c r="G270" s="13" t="str">
        <f t="shared" si="74"/>
        <v/>
      </c>
      <c r="H270">
        <f t="shared" si="75"/>
        <v>0</v>
      </c>
      <c r="I270" s="14">
        <f t="shared" si="83"/>
        <v>0</v>
      </c>
      <c r="J270" s="13">
        <f t="shared" si="76"/>
        <v>300</v>
      </c>
      <c r="K270">
        <f t="shared" si="77"/>
        <v>0</v>
      </c>
      <c r="L270">
        <f t="shared" si="78"/>
        <v>5</v>
      </c>
      <c r="M270" s="14">
        <f t="shared" si="79"/>
        <v>0</v>
      </c>
      <c r="N270" s="13">
        <f t="shared" si="73"/>
        <v>0</v>
      </c>
      <c r="O270">
        <f t="shared" si="73"/>
        <v>13</v>
      </c>
      <c r="P270">
        <f t="shared" si="73"/>
        <v>0</v>
      </c>
      <c r="Q270" s="14">
        <f t="shared" ref="Q270:Q333" si="84">(((N270*60)+O270)*60)+P270</f>
        <v>780</v>
      </c>
      <c r="R270" s="13">
        <f t="shared" ref="R270:R333" si="85">INT(U270/60/60)</f>
        <v>0</v>
      </c>
      <c r="S270">
        <f t="shared" ref="S270:S333" si="86">INT((U270-(R270*60*60))/60)</f>
        <v>13</v>
      </c>
      <c r="T270">
        <f t="shared" ref="T270:T333" si="87">U270-(((R270*60)+S270)*60)</f>
        <v>0</v>
      </c>
      <c r="U270" s="14">
        <f t="shared" ref="U270:U333" si="88">((H270*60)+I270)+Q270</f>
        <v>780</v>
      </c>
      <c r="V270" s="15"/>
      <c r="Z270" s="14"/>
    </row>
    <row r="271" spans="1:26" x14ac:dyDescent="0.25">
      <c r="A271" s="16"/>
      <c r="B271" s="17" t="b">
        <f t="shared" si="72"/>
        <v>0</v>
      </c>
      <c r="C271" s="17" t="b">
        <f t="shared" si="71"/>
        <v>0</v>
      </c>
      <c r="D271" s="17">
        <f t="shared" si="80"/>
        <v>1</v>
      </c>
      <c r="E271" s="17" t="str">
        <f t="shared" si="81"/>
        <v>Section 5 - Next steps</v>
      </c>
      <c r="F271" s="18" t="str">
        <f t="shared" si="82"/>
        <v/>
      </c>
      <c r="G271" s="13" t="str">
        <f t="shared" si="74"/>
        <v/>
      </c>
      <c r="H271">
        <f t="shared" si="75"/>
        <v>0</v>
      </c>
      <c r="I271" s="14">
        <f t="shared" si="83"/>
        <v>0</v>
      </c>
      <c r="J271" s="13">
        <f t="shared" si="76"/>
        <v>300</v>
      </c>
      <c r="K271">
        <f t="shared" si="77"/>
        <v>0</v>
      </c>
      <c r="L271">
        <f t="shared" si="78"/>
        <v>5</v>
      </c>
      <c r="M271" s="14">
        <f t="shared" si="79"/>
        <v>0</v>
      </c>
      <c r="N271" s="13">
        <f t="shared" si="73"/>
        <v>0</v>
      </c>
      <c r="O271">
        <f t="shared" si="73"/>
        <v>13</v>
      </c>
      <c r="P271">
        <f t="shared" si="73"/>
        <v>0</v>
      </c>
      <c r="Q271" s="14">
        <f t="shared" si="84"/>
        <v>780</v>
      </c>
      <c r="R271" s="13">
        <f t="shared" si="85"/>
        <v>0</v>
      </c>
      <c r="S271">
        <f t="shared" si="86"/>
        <v>13</v>
      </c>
      <c r="T271">
        <f t="shared" si="87"/>
        <v>0</v>
      </c>
      <c r="U271" s="14">
        <f t="shared" si="88"/>
        <v>780</v>
      </c>
      <c r="V271" s="15"/>
      <c r="Z271" s="14"/>
    </row>
    <row r="272" spans="1:26" x14ac:dyDescent="0.25">
      <c r="A272" s="16"/>
      <c r="B272" s="17" t="b">
        <f t="shared" si="72"/>
        <v>0</v>
      </c>
      <c r="C272" s="17" t="b">
        <f t="shared" ref="C272:C335" si="89">OR(AND(NOT(ISERROR(FIND("m",A273))),ISNUMBER(VALUE(LEFT(A273,FIND("m",A273)-1)))),AND(NOT(ISERROR(FIND("s",A273))),ISNUMBER(VALUE(LEFT(A273,FIND("s",A273)-1)))))</f>
        <v>0</v>
      </c>
      <c r="D272" s="17">
        <f t="shared" si="80"/>
        <v>1</v>
      </c>
      <c r="E272" s="17" t="str">
        <f t="shared" si="81"/>
        <v>Section 5 - Next steps</v>
      </c>
      <c r="F272" s="18" t="str">
        <f t="shared" si="82"/>
        <v/>
      </c>
      <c r="G272" s="13" t="str">
        <f t="shared" si="74"/>
        <v/>
      </c>
      <c r="H272">
        <f t="shared" si="75"/>
        <v>0</v>
      </c>
      <c r="I272" s="14">
        <f t="shared" si="83"/>
        <v>0</v>
      </c>
      <c r="J272" s="13">
        <f t="shared" si="76"/>
        <v>300</v>
      </c>
      <c r="K272">
        <f t="shared" si="77"/>
        <v>0</v>
      </c>
      <c r="L272">
        <f t="shared" si="78"/>
        <v>5</v>
      </c>
      <c r="M272" s="14">
        <f t="shared" si="79"/>
        <v>0</v>
      </c>
      <c r="N272" s="13">
        <f t="shared" si="73"/>
        <v>0</v>
      </c>
      <c r="O272">
        <f t="shared" si="73"/>
        <v>13</v>
      </c>
      <c r="P272">
        <f t="shared" si="73"/>
        <v>0</v>
      </c>
      <c r="Q272" s="14">
        <f t="shared" si="84"/>
        <v>780</v>
      </c>
      <c r="R272" s="13">
        <f t="shared" si="85"/>
        <v>0</v>
      </c>
      <c r="S272">
        <f t="shared" si="86"/>
        <v>13</v>
      </c>
      <c r="T272">
        <f t="shared" si="87"/>
        <v>0</v>
      </c>
      <c r="U272" s="14">
        <f t="shared" si="88"/>
        <v>780</v>
      </c>
      <c r="V272" s="15"/>
      <c r="Z272" s="14"/>
    </row>
    <row r="273" spans="1:26" x14ac:dyDescent="0.25">
      <c r="A273" s="16"/>
      <c r="B273" s="17" t="b">
        <f t="shared" si="72"/>
        <v>0</v>
      </c>
      <c r="C273" s="17" t="b">
        <f t="shared" si="89"/>
        <v>0</v>
      </c>
      <c r="D273" s="17">
        <f t="shared" si="80"/>
        <v>1</v>
      </c>
      <c r="E273" s="17" t="str">
        <f t="shared" si="81"/>
        <v>Section 5 - Next steps</v>
      </c>
      <c r="F273" s="18" t="str">
        <f t="shared" si="82"/>
        <v/>
      </c>
      <c r="G273" s="13" t="str">
        <f t="shared" si="74"/>
        <v/>
      </c>
      <c r="H273">
        <f t="shared" si="75"/>
        <v>0</v>
      </c>
      <c r="I273" s="14">
        <f t="shared" si="83"/>
        <v>0</v>
      </c>
      <c r="J273" s="13">
        <f t="shared" si="76"/>
        <v>300</v>
      </c>
      <c r="K273">
        <f t="shared" si="77"/>
        <v>0</v>
      </c>
      <c r="L273">
        <f t="shared" si="78"/>
        <v>5</v>
      </c>
      <c r="M273" s="14">
        <f t="shared" si="79"/>
        <v>0</v>
      </c>
      <c r="N273" s="13">
        <f t="shared" si="73"/>
        <v>0</v>
      </c>
      <c r="O273">
        <f t="shared" si="73"/>
        <v>13</v>
      </c>
      <c r="P273">
        <f t="shared" si="73"/>
        <v>0</v>
      </c>
      <c r="Q273" s="14">
        <f t="shared" si="84"/>
        <v>780</v>
      </c>
      <c r="R273" s="13">
        <f t="shared" si="85"/>
        <v>0</v>
      </c>
      <c r="S273">
        <f t="shared" si="86"/>
        <v>13</v>
      </c>
      <c r="T273">
        <f t="shared" si="87"/>
        <v>0</v>
      </c>
      <c r="U273" s="14">
        <f t="shared" si="88"/>
        <v>780</v>
      </c>
      <c r="V273" s="15"/>
      <c r="Z273" s="14"/>
    </row>
    <row r="274" spans="1:26" x14ac:dyDescent="0.25">
      <c r="A274" s="16"/>
      <c r="B274" s="17" t="b">
        <f t="shared" si="72"/>
        <v>0</v>
      </c>
      <c r="C274" s="17" t="b">
        <f t="shared" si="89"/>
        <v>0</v>
      </c>
      <c r="D274" s="17">
        <f t="shared" si="80"/>
        <v>1</v>
      </c>
      <c r="E274" s="17" t="str">
        <f t="shared" si="81"/>
        <v>Section 5 - Next steps</v>
      </c>
      <c r="F274" s="18" t="str">
        <f t="shared" si="82"/>
        <v/>
      </c>
      <c r="G274" s="13" t="str">
        <f t="shared" si="74"/>
        <v/>
      </c>
      <c r="H274">
        <f t="shared" si="75"/>
        <v>0</v>
      </c>
      <c r="I274" s="14">
        <f t="shared" si="83"/>
        <v>0</v>
      </c>
      <c r="J274" s="13">
        <f t="shared" si="76"/>
        <v>300</v>
      </c>
      <c r="K274">
        <f t="shared" si="77"/>
        <v>0</v>
      </c>
      <c r="L274">
        <f t="shared" si="78"/>
        <v>5</v>
      </c>
      <c r="M274" s="14">
        <f t="shared" si="79"/>
        <v>0</v>
      </c>
      <c r="N274" s="13">
        <f t="shared" si="73"/>
        <v>0</v>
      </c>
      <c r="O274">
        <f t="shared" si="73"/>
        <v>13</v>
      </c>
      <c r="P274">
        <f t="shared" si="73"/>
        <v>0</v>
      </c>
      <c r="Q274" s="14">
        <f t="shared" si="84"/>
        <v>780</v>
      </c>
      <c r="R274" s="13">
        <f t="shared" si="85"/>
        <v>0</v>
      </c>
      <c r="S274">
        <f t="shared" si="86"/>
        <v>13</v>
      </c>
      <c r="T274">
        <f t="shared" si="87"/>
        <v>0</v>
      </c>
      <c r="U274" s="14">
        <f t="shared" si="88"/>
        <v>780</v>
      </c>
      <c r="V274" s="15"/>
      <c r="Z274" s="14"/>
    </row>
    <row r="275" spans="1:26" x14ac:dyDescent="0.25">
      <c r="A275" s="16"/>
      <c r="B275" s="17" t="b">
        <f t="shared" ref="B275:B338" si="90">AND(NOT(ISERROR(FIND("Section ",A275))),NOT(ISERROR(FIND("Section ",A275))))</f>
        <v>0</v>
      </c>
      <c r="C275" s="17" t="b">
        <f t="shared" si="89"/>
        <v>0</v>
      </c>
      <c r="D275" s="17">
        <f t="shared" si="80"/>
        <v>1</v>
      </c>
      <c r="E275" s="17" t="str">
        <f t="shared" si="81"/>
        <v>Section 5 - Next steps</v>
      </c>
      <c r="F275" s="18" t="str">
        <f t="shared" si="82"/>
        <v/>
      </c>
      <c r="G275" s="13" t="str">
        <f t="shared" si="74"/>
        <v/>
      </c>
      <c r="H275">
        <f t="shared" si="75"/>
        <v>0</v>
      </c>
      <c r="I275" s="14">
        <f t="shared" si="83"/>
        <v>0</v>
      </c>
      <c r="J275" s="13">
        <f t="shared" si="76"/>
        <v>300</v>
      </c>
      <c r="K275">
        <f t="shared" si="77"/>
        <v>0</v>
      </c>
      <c r="L275">
        <f t="shared" si="78"/>
        <v>5</v>
      </c>
      <c r="M275" s="14">
        <f t="shared" si="79"/>
        <v>0</v>
      </c>
      <c r="N275" s="13">
        <f t="shared" si="73"/>
        <v>0</v>
      </c>
      <c r="O275">
        <f t="shared" si="73"/>
        <v>13</v>
      </c>
      <c r="P275">
        <f t="shared" si="73"/>
        <v>0</v>
      </c>
      <c r="Q275" s="14">
        <f t="shared" si="84"/>
        <v>780</v>
      </c>
      <c r="R275" s="13">
        <f t="shared" si="85"/>
        <v>0</v>
      </c>
      <c r="S275">
        <f t="shared" si="86"/>
        <v>13</v>
      </c>
      <c r="T275">
        <f t="shared" si="87"/>
        <v>0</v>
      </c>
      <c r="U275" s="14">
        <f t="shared" si="88"/>
        <v>780</v>
      </c>
      <c r="V275" s="15"/>
      <c r="Z275" s="14"/>
    </row>
    <row r="276" spans="1:26" x14ac:dyDescent="0.25">
      <c r="A276" s="16"/>
      <c r="B276" s="17" t="b">
        <f t="shared" si="90"/>
        <v>0</v>
      </c>
      <c r="C276" s="17" t="b">
        <f t="shared" si="89"/>
        <v>0</v>
      </c>
      <c r="D276" s="17">
        <f t="shared" si="80"/>
        <v>1</v>
      </c>
      <c r="E276" s="17" t="str">
        <f t="shared" si="81"/>
        <v>Section 5 - Next steps</v>
      </c>
      <c r="F276" s="18" t="str">
        <f t="shared" si="82"/>
        <v/>
      </c>
      <c r="G276" s="13" t="str">
        <f t="shared" si="74"/>
        <v/>
      </c>
      <c r="H276">
        <f t="shared" si="75"/>
        <v>0</v>
      </c>
      <c r="I276" s="14">
        <f t="shared" si="83"/>
        <v>0</v>
      </c>
      <c r="J276" s="13">
        <f t="shared" si="76"/>
        <v>300</v>
      </c>
      <c r="K276">
        <f t="shared" si="77"/>
        <v>0</v>
      </c>
      <c r="L276">
        <f t="shared" si="78"/>
        <v>5</v>
      </c>
      <c r="M276" s="14">
        <f t="shared" si="79"/>
        <v>0</v>
      </c>
      <c r="N276" s="13">
        <f t="shared" si="73"/>
        <v>0</v>
      </c>
      <c r="O276">
        <f t="shared" si="73"/>
        <v>13</v>
      </c>
      <c r="P276">
        <f t="shared" si="73"/>
        <v>0</v>
      </c>
      <c r="Q276" s="14">
        <f t="shared" si="84"/>
        <v>780</v>
      </c>
      <c r="R276" s="13">
        <f t="shared" si="85"/>
        <v>0</v>
      </c>
      <c r="S276">
        <f t="shared" si="86"/>
        <v>13</v>
      </c>
      <c r="T276">
        <f t="shared" si="87"/>
        <v>0</v>
      </c>
      <c r="U276" s="14">
        <f t="shared" si="88"/>
        <v>780</v>
      </c>
      <c r="V276" s="15"/>
      <c r="Z276" s="14"/>
    </row>
    <row r="277" spans="1:26" x14ac:dyDescent="0.25">
      <c r="A277" s="16"/>
      <c r="B277" s="17" t="b">
        <f t="shared" si="90"/>
        <v>0</v>
      </c>
      <c r="C277" s="17" t="b">
        <f t="shared" si="89"/>
        <v>0</v>
      </c>
      <c r="D277" s="17">
        <f t="shared" si="80"/>
        <v>1</v>
      </c>
      <c r="E277" s="17" t="str">
        <f t="shared" si="81"/>
        <v>Section 5 - Next steps</v>
      </c>
      <c r="F277" s="18" t="str">
        <f t="shared" si="82"/>
        <v/>
      </c>
      <c r="G277" s="13" t="str">
        <f t="shared" si="74"/>
        <v/>
      </c>
      <c r="H277">
        <f t="shared" si="75"/>
        <v>0</v>
      </c>
      <c r="I277" s="14">
        <f t="shared" si="83"/>
        <v>0</v>
      </c>
      <c r="J277" s="13">
        <f t="shared" si="76"/>
        <v>300</v>
      </c>
      <c r="K277">
        <f t="shared" si="77"/>
        <v>0</v>
      </c>
      <c r="L277">
        <f t="shared" si="78"/>
        <v>5</v>
      </c>
      <c r="M277" s="14">
        <f t="shared" si="79"/>
        <v>0</v>
      </c>
      <c r="N277" s="13">
        <f t="shared" si="73"/>
        <v>0</v>
      </c>
      <c r="O277">
        <f t="shared" si="73"/>
        <v>13</v>
      </c>
      <c r="P277">
        <f t="shared" si="73"/>
        <v>0</v>
      </c>
      <c r="Q277" s="14">
        <f t="shared" si="84"/>
        <v>780</v>
      </c>
      <c r="R277" s="13">
        <f t="shared" si="85"/>
        <v>0</v>
      </c>
      <c r="S277">
        <f t="shared" si="86"/>
        <v>13</v>
      </c>
      <c r="T277">
        <f t="shared" si="87"/>
        <v>0</v>
      </c>
      <c r="U277" s="14">
        <f t="shared" si="88"/>
        <v>780</v>
      </c>
      <c r="V277" s="15"/>
      <c r="Z277" s="14"/>
    </row>
    <row r="278" spans="1:26" x14ac:dyDescent="0.25">
      <c r="A278" s="16"/>
      <c r="B278" s="17" t="b">
        <f t="shared" si="90"/>
        <v>0</v>
      </c>
      <c r="C278" s="17" t="b">
        <f t="shared" si="89"/>
        <v>0</v>
      </c>
      <c r="D278" s="17">
        <f t="shared" si="80"/>
        <v>1</v>
      </c>
      <c r="E278" s="17" t="str">
        <f t="shared" si="81"/>
        <v>Section 5 - Next steps</v>
      </c>
      <c r="F278" s="18" t="str">
        <f t="shared" si="82"/>
        <v/>
      </c>
      <c r="G278" s="13" t="str">
        <f t="shared" si="74"/>
        <v/>
      </c>
      <c r="H278">
        <f t="shared" si="75"/>
        <v>0</v>
      </c>
      <c r="I278" s="14">
        <f t="shared" si="83"/>
        <v>0</v>
      </c>
      <c r="J278" s="13">
        <f t="shared" si="76"/>
        <v>300</v>
      </c>
      <c r="K278">
        <f t="shared" si="77"/>
        <v>0</v>
      </c>
      <c r="L278">
        <f t="shared" si="78"/>
        <v>5</v>
      </c>
      <c r="M278" s="14">
        <f t="shared" si="79"/>
        <v>0</v>
      </c>
      <c r="N278" s="13">
        <f t="shared" si="73"/>
        <v>0</v>
      </c>
      <c r="O278">
        <f t="shared" si="73"/>
        <v>13</v>
      </c>
      <c r="P278">
        <f t="shared" si="73"/>
        <v>0</v>
      </c>
      <c r="Q278" s="14">
        <f t="shared" si="84"/>
        <v>780</v>
      </c>
      <c r="R278" s="13">
        <f t="shared" si="85"/>
        <v>0</v>
      </c>
      <c r="S278">
        <f t="shared" si="86"/>
        <v>13</v>
      </c>
      <c r="T278">
        <f t="shared" si="87"/>
        <v>0</v>
      </c>
      <c r="U278" s="14">
        <f t="shared" si="88"/>
        <v>780</v>
      </c>
      <c r="V278" s="15"/>
      <c r="Z278" s="14"/>
    </row>
    <row r="279" spans="1:26" x14ac:dyDescent="0.25">
      <c r="A279" s="16"/>
      <c r="B279" s="17" t="b">
        <f t="shared" si="90"/>
        <v>0</v>
      </c>
      <c r="C279" s="17" t="b">
        <f t="shared" si="89"/>
        <v>0</v>
      </c>
      <c r="D279" s="17">
        <f t="shared" si="80"/>
        <v>1</v>
      </c>
      <c r="E279" s="17" t="str">
        <f t="shared" si="81"/>
        <v>Section 5 - Next steps</v>
      </c>
      <c r="F279" s="18" t="str">
        <f t="shared" si="82"/>
        <v/>
      </c>
      <c r="G279" s="13" t="str">
        <f t="shared" si="74"/>
        <v/>
      </c>
      <c r="H279">
        <f t="shared" si="75"/>
        <v>0</v>
      </c>
      <c r="I279" s="14">
        <f t="shared" si="83"/>
        <v>0</v>
      </c>
      <c r="J279" s="13">
        <f t="shared" si="76"/>
        <v>300</v>
      </c>
      <c r="K279">
        <f t="shared" si="77"/>
        <v>0</v>
      </c>
      <c r="L279">
        <f t="shared" si="78"/>
        <v>5</v>
      </c>
      <c r="M279" s="14">
        <f t="shared" si="79"/>
        <v>0</v>
      </c>
      <c r="N279" s="13">
        <f t="shared" si="73"/>
        <v>0</v>
      </c>
      <c r="O279">
        <f t="shared" si="73"/>
        <v>13</v>
      </c>
      <c r="P279">
        <f t="shared" si="73"/>
        <v>0</v>
      </c>
      <c r="Q279" s="14">
        <f t="shared" si="84"/>
        <v>780</v>
      </c>
      <c r="R279" s="13">
        <f t="shared" si="85"/>
        <v>0</v>
      </c>
      <c r="S279">
        <f t="shared" si="86"/>
        <v>13</v>
      </c>
      <c r="T279">
        <f t="shared" si="87"/>
        <v>0</v>
      </c>
      <c r="U279" s="14">
        <f t="shared" si="88"/>
        <v>780</v>
      </c>
      <c r="V279" s="15"/>
      <c r="Z279" s="14"/>
    </row>
    <row r="280" spans="1:26" x14ac:dyDescent="0.25">
      <c r="A280" s="16"/>
      <c r="B280" s="17" t="b">
        <f t="shared" si="90"/>
        <v>0</v>
      </c>
      <c r="C280" s="17" t="b">
        <f t="shared" si="89"/>
        <v>0</v>
      </c>
      <c r="D280" s="17">
        <f t="shared" si="80"/>
        <v>1</v>
      </c>
      <c r="E280" s="17" t="str">
        <f t="shared" si="81"/>
        <v>Section 5 - Next steps</v>
      </c>
      <c r="F280" s="18" t="str">
        <f t="shared" si="82"/>
        <v/>
      </c>
      <c r="G280" s="13" t="str">
        <f t="shared" si="74"/>
        <v/>
      </c>
      <c r="H280">
        <f t="shared" si="75"/>
        <v>0</v>
      </c>
      <c r="I280" s="14">
        <f t="shared" si="83"/>
        <v>0</v>
      </c>
      <c r="J280" s="13">
        <f t="shared" si="76"/>
        <v>300</v>
      </c>
      <c r="K280">
        <f t="shared" si="77"/>
        <v>0</v>
      </c>
      <c r="L280">
        <f t="shared" si="78"/>
        <v>5</v>
      </c>
      <c r="M280" s="14">
        <f t="shared" si="79"/>
        <v>0</v>
      </c>
      <c r="N280" s="13">
        <f t="shared" si="73"/>
        <v>0</v>
      </c>
      <c r="O280">
        <f t="shared" si="73"/>
        <v>13</v>
      </c>
      <c r="P280">
        <f t="shared" si="73"/>
        <v>0</v>
      </c>
      <c r="Q280" s="14">
        <f t="shared" si="84"/>
        <v>780</v>
      </c>
      <c r="R280" s="13">
        <f t="shared" si="85"/>
        <v>0</v>
      </c>
      <c r="S280">
        <f t="shared" si="86"/>
        <v>13</v>
      </c>
      <c r="T280">
        <f t="shared" si="87"/>
        <v>0</v>
      </c>
      <c r="U280" s="14">
        <f t="shared" si="88"/>
        <v>780</v>
      </c>
      <c r="V280" s="15"/>
      <c r="Z280" s="14"/>
    </row>
    <row r="281" spans="1:26" x14ac:dyDescent="0.25">
      <c r="A281" s="16"/>
      <c r="B281" s="17" t="b">
        <f t="shared" si="90"/>
        <v>0</v>
      </c>
      <c r="C281" s="17" t="b">
        <f t="shared" si="89"/>
        <v>0</v>
      </c>
      <c r="D281" s="17">
        <f t="shared" si="80"/>
        <v>1</v>
      </c>
      <c r="E281" s="17" t="str">
        <f t="shared" si="81"/>
        <v>Section 5 - Next steps</v>
      </c>
      <c r="F281" s="18" t="str">
        <f t="shared" si="82"/>
        <v/>
      </c>
      <c r="G281" s="13" t="str">
        <f t="shared" si="74"/>
        <v/>
      </c>
      <c r="H281">
        <f t="shared" si="75"/>
        <v>0</v>
      </c>
      <c r="I281" s="14">
        <f t="shared" si="83"/>
        <v>0</v>
      </c>
      <c r="J281" s="13">
        <f t="shared" si="76"/>
        <v>300</v>
      </c>
      <c r="K281">
        <f t="shared" si="77"/>
        <v>0</v>
      </c>
      <c r="L281">
        <f t="shared" si="78"/>
        <v>5</v>
      </c>
      <c r="M281" s="14">
        <f t="shared" si="79"/>
        <v>0</v>
      </c>
      <c r="N281" s="13">
        <f t="shared" si="73"/>
        <v>0</v>
      </c>
      <c r="O281">
        <f t="shared" si="73"/>
        <v>13</v>
      </c>
      <c r="P281">
        <f t="shared" si="73"/>
        <v>0</v>
      </c>
      <c r="Q281" s="14">
        <f t="shared" si="84"/>
        <v>780</v>
      </c>
      <c r="R281" s="13">
        <f t="shared" si="85"/>
        <v>0</v>
      </c>
      <c r="S281">
        <f t="shared" si="86"/>
        <v>13</v>
      </c>
      <c r="T281">
        <f t="shared" si="87"/>
        <v>0</v>
      </c>
      <c r="U281" s="14">
        <f t="shared" si="88"/>
        <v>780</v>
      </c>
      <c r="V281" s="15"/>
      <c r="Z281" s="14"/>
    </row>
    <row r="282" spans="1:26" x14ac:dyDescent="0.25">
      <c r="A282" s="16"/>
      <c r="B282" s="17" t="b">
        <f t="shared" si="90"/>
        <v>0</v>
      </c>
      <c r="C282" s="17" t="b">
        <f t="shared" si="89"/>
        <v>0</v>
      </c>
      <c r="D282" s="17">
        <f t="shared" si="80"/>
        <v>1</v>
      </c>
      <c r="E282" s="17" t="str">
        <f t="shared" si="81"/>
        <v>Section 5 - Next steps</v>
      </c>
      <c r="F282" s="18" t="str">
        <f t="shared" si="82"/>
        <v/>
      </c>
      <c r="G282" s="13" t="str">
        <f t="shared" si="74"/>
        <v/>
      </c>
      <c r="H282">
        <f t="shared" si="75"/>
        <v>0</v>
      </c>
      <c r="I282" s="14">
        <f t="shared" si="83"/>
        <v>0</v>
      </c>
      <c r="J282" s="13">
        <f t="shared" si="76"/>
        <v>300</v>
      </c>
      <c r="K282">
        <f t="shared" si="77"/>
        <v>0</v>
      </c>
      <c r="L282">
        <f t="shared" si="78"/>
        <v>5</v>
      </c>
      <c r="M282" s="14">
        <f t="shared" si="79"/>
        <v>0</v>
      </c>
      <c r="N282" s="13">
        <f t="shared" si="73"/>
        <v>0</v>
      </c>
      <c r="O282">
        <f t="shared" si="73"/>
        <v>13</v>
      </c>
      <c r="P282">
        <f t="shared" si="73"/>
        <v>0</v>
      </c>
      <c r="Q282" s="14">
        <f t="shared" si="84"/>
        <v>780</v>
      </c>
      <c r="R282" s="13">
        <f t="shared" si="85"/>
        <v>0</v>
      </c>
      <c r="S282">
        <f t="shared" si="86"/>
        <v>13</v>
      </c>
      <c r="T282">
        <f t="shared" si="87"/>
        <v>0</v>
      </c>
      <c r="U282" s="14">
        <f t="shared" si="88"/>
        <v>780</v>
      </c>
      <c r="V282" s="15"/>
      <c r="Z282" s="14"/>
    </row>
    <row r="283" spans="1:26" x14ac:dyDescent="0.25">
      <c r="A283" s="16"/>
      <c r="B283" s="17" t="b">
        <f t="shared" si="90"/>
        <v>0</v>
      </c>
      <c r="C283" s="17" t="b">
        <f t="shared" si="89"/>
        <v>0</v>
      </c>
      <c r="D283" s="17">
        <f t="shared" si="80"/>
        <v>1</v>
      </c>
      <c r="E283" s="17" t="str">
        <f t="shared" si="81"/>
        <v>Section 5 - Next steps</v>
      </c>
      <c r="F283" s="18" t="str">
        <f t="shared" si="82"/>
        <v/>
      </c>
      <c r="G283" s="13" t="str">
        <f t="shared" si="74"/>
        <v/>
      </c>
      <c r="H283">
        <f t="shared" si="75"/>
        <v>0</v>
      </c>
      <c r="I283" s="14">
        <f t="shared" si="83"/>
        <v>0</v>
      </c>
      <c r="J283" s="13">
        <f t="shared" si="76"/>
        <v>300</v>
      </c>
      <c r="K283">
        <f t="shared" si="77"/>
        <v>0</v>
      </c>
      <c r="L283">
        <f t="shared" si="78"/>
        <v>5</v>
      </c>
      <c r="M283" s="14">
        <f t="shared" si="79"/>
        <v>0</v>
      </c>
      <c r="N283" s="13">
        <f t="shared" si="73"/>
        <v>0</v>
      </c>
      <c r="O283">
        <f t="shared" si="73"/>
        <v>13</v>
      </c>
      <c r="P283">
        <f t="shared" si="73"/>
        <v>0</v>
      </c>
      <c r="Q283" s="14">
        <f t="shared" si="84"/>
        <v>780</v>
      </c>
      <c r="R283" s="13">
        <f t="shared" si="85"/>
        <v>0</v>
      </c>
      <c r="S283">
        <f t="shared" si="86"/>
        <v>13</v>
      </c>
      <c r="T283">
        <f t="shared" si="87"/>
        <v>0</v>
      </c>
      <c r="U283" s="14">
        <f t="shared" si="88"/>
        <v>780</v>
      </c>
      <c r="V283" s="15"/>
      <c r="Z283" s="14"/>
    </row>
    <row r="284" spans="1:26" x14ac:dyDescent="0.25">
      <c r="A284" s="16"/>
      <c r="B284" s="17" t="b">
        <f t="shared" si="90"/>
        <v>0</v>
      </c>
      <c r="C284" s="17" t="b">
        <f t="shared" si="89"/>
        <v>0</v>
      </c>
      <c r="D284" s="17">
        <f t="shared" si="80"/>
        <v>1</v>
      </c>
      <c r="E284" s="17" t="str">
        <f t="shared" si="81"/>
        <v>Section 5 - Next steps</v>
      </c>
      <c r="F284" s="18" t="str">
        <f t="shared" si="82"/>
        <v/>
      </c>
      <c r="G284" s="13" t="str">
        <f t="shared" si="74"/>
        <v/>
      </c>
      <c r="H284">
        <f t="shared" si="75"/>
        <v>0</v>
      </c>
      <c r="I284" s="14">
        <f t="shared" si="83"/>
        <v>0</v>
      </c>
      <c r="J284" s="13">
        <f t="shared" si="76"/>
        <v>300</v>
      </c>
      <c r="K284">
        <f t="shared" si="77"/>
        <v>0</v>
      </c>
      <c r="L284">
        <f t="shared" si="78"/>
        <v>5</v>
      </c>
      <c r="M284" s="14">
        <f t="shared" si="79"/>
        <v>0</v>
      </c>
      <c r="N284" s="13">
        <f t="shared" ref="N284:P347" si="91">R283</f>
        <v>0</v>
      </c>
      <c r="O284">
        <f t="shared" si="91"/>
        <v>13</v>
      </c>
      <c r="P284">
        <f t="shared" si="91"/>
        <v>0</v>
      </c>
      <c r="Q284" s="14">
        <f t="shared" si="84"/>
        <v>780</v>
      </c>
      <c r="R284" s="13">
        <f t="shared" si="85"/>
        <v>0</v>
      </c>
      <c r="S284">
        <f t="shared" si="86"/>
        <v>13</v>
      </c>
      <c r="T284">
        <f t="shared" si="87"/>
        <v>0</v>
      </c>
      <c r="U284" s="14">
        <f t="shared" si="88"/>
        <v>780</v>
      </c>
      <c r="V284" s="15"/>
      <c r="Z284" s="14"/>
    </row>
    <row r="285" spans="1:26" x14ac:dyDescent="0.25">
      <c r="A285" s="16"/>
      <c r="B285" s="17" t="b">
        <f t="shared" si="90"/>
        <v>0</v>
      </c>
      <c r="C285" s="17" t="b">
        <f t="shared" si="89"/>
        <v>0</v>
      </c>
      <c r="D285" s="17">
        <f t="shared" si="80"/>
        <v>1</v>
      </c>
      <c r="E285" s="17" t="str">
        <f t="shared" si="81"/>
        <v>Section 5 - Next steps</v>
      </c>
      <c r="F285" s="18" t="str">
        <f t="shared" si="82"/>
        <v/>
      </c>
      <c r="G285" s="13" t="str">
        <f t="shared" si="74"/>
        <v/>
      </c>
      <c r="H285">
        <f t="shared" si="75"/>
        <v>0</v>
      </c>
      <c r="I285" s="14">
        <f t="shared" si="83"/>
        <v>0</v>
      </c>
      <c r="J285" s="13">
        <f t="shared" si="76"/>
        <v>300</v>
      </c>
      <c r="K285">
        <f t="shared" si="77"/>
        <v>0</v>
      </c>
      <c r="L285">
        <f t="shared" si="78"/>
        <v>5</v>
      </c>
      <c r="M285" s="14">
        <f t="shared" si="79"/>
        <v>0</v>
      </c>
      <c r="N285" s="13">
        <f t="shared" si="91"/>
        <v>0</v>
      </c>
      <c r="O285">
        <f t="shared" si="91"/>
        <v>13</v>
      </c>
      <c r="P285">
        <f t="shared" si="91"/>
        <v>0</v>
      </c>
      <c r="Q285" s="14">
        <f t="shared" si="84"/>
        <v>780</v>
      </c>
      <c r="R285" s="13">
        <f t="shared" si="85"/>
        <v>0</v>
      </c>
      <c r="S285">
        <f t="shared" si="86"/>
        <v>13</v>
      </c>
      <c r="T285">
        <f t="shared" si="87"/>
        <v>0</v>
      </c>
      <c r="U285" s="14">
        <f t="shared" si="88"/>
        <v>780</v>
      </c>
      <c r="V285" s="15"/>
      <c r="Z285" s="14"/>
    </row>
    <row r="286" spans="1:26" x14ac:dyDescent="0.25">
      <c r="A286" s="16"/>
      <c r="B286" s="17" t="b">
        <f t="shared" si="90"/>
        <v>0</v>
      </c>
      <c r="C286" s="17" t="b">
        <f t="shared" si="89"/>
        <v>0</v>
      </c>
      <c r="D286" s="17">
        <f t="shared" si="80"/>
        <v>1</v>
      </c>
      <c r="E286" s="17" t="str">
        <f t="shared" si="81"/>
        <v>Section 5 - Next steps</v>
      </c>
      <c r="F286" s="18" t="str">
        <f t="shared" si="82"/>
        <v/>
      </c>
      <c r="G286" s="13" t="str">
        <f t="shared" si="74"/>
        <v/>
      </c>
      <c r="H286">
        <f t="shared" si="75"/>
        <v>0</v>
      </c>
      <c r="I286" s="14">
        <f t="shared" si="83"/>
        <v>0</v>
      </c>
      <c r="J286" s="13">
        <f t="shared" si="76"/>
        <v>300</v>
      </c>
      <c r="K286">
        <f t="shared" si="77"/>
        <v>0</v>
      </c>
      <c r="L286">
        <f t="shared" si="78"/>
        <v>5</v>
      </c>
      <c r="M286" s="14">
        <f t="shared" si="79"/>
        <v>0</v>
      </c>
      <c r="N286" s="13">
        <f t="shared" si="91"/>
        <v>0</v>
      </c>
      <c r="O286">
        <f t="shared" si="91"/>
        <v>13</v>
      </c>
      <c r="P286">
        <f t="shared" si="91"/>
        <v>0</v>
      </c>
      <c r="Q286" s="14">
        <f t="shared" si="84"/>
        <v>780</v>
      </c>
      <c r="R286" s="13">
        <f t="shared" si="85"/>
        <v>0</v>
      </c>
      <c r="S286">
        <f t="shared" si="86"/>
        <v>13</v>
      </c>
      <c r="T286">
        <f t="shared" si="87"/>
        <v>0</v>
      </c>
      <c r="U286" s="14">
        <f t="shared" si="88"/>
        <v>780</v>
      </c>
      <c r="V286" s="15"/>
      <c r="Z286" s="14"/>
    </row>
    <row r="287" spans="1:26" x14ac:dyDescent="0.25">
      <c r="A287" s="16"/>
      <c r="B287" s="17" t="b">
        <f t="shared" si="90"/>
        <v>0</v>
      </c>
      <c r="C287" s="17" t="b">
        <f t="shared" si="89"/>
        <v>0</v>
      </c>
      <c r="D287" s="17">
        <f t="shared" si="80"/>
        <v>1</v>
      </c>
      <c r="E287" s="17" t="str">
        <f t="shared" si="81"/>
        <v>Section 5 - Next steps</v>
      </c>
      <c r="F287" s="18" t="str">
        <f t="shared" si="82"/>
        <v/>
      </c>
      <c r="G287" s="13" t="str">
        <f t="shared" si="74"/>
        <v/>
      </c>
      <c r="H287">
        <f t="shared" si="75"/>
        <v>0</v>
      </c>
      <c r="I287" s="14">
        <f t="shared" si="83"/>
        <v>0</v>
      </c>
      <c r="J287" s="13">
        <f t="shared" si="76"/>
        <v>300</v>
      </c>
      <c r="K287">
        <f t="shared" si="77"/>
        <v>0</v>
      </c>
      <c r="L287">
        <f t="shared" si="78"/>
        <v>5</v>
      </c>
      <c r="M287" s="14">
        <f t="shared" si="79"/>
        <v>0</v>
      </c>
      <c r="N287" s="13">
        <f t="shared" si="91"/>
        <v>0</v>
      </c>
      <c r="O287">
        <f t="shared" si="91"/>
        <v>13</v>
      </c>
      <c r="P287">
        <f t="shared" si="91"/>
        <v>0</v>
      </c>
      <c r="Q287" s="14">
        <f t="shared" si="84"/>
        <v>780</v>
      </c>
      <c r="R287" s="13">
        <f t="shared" si="85"/>
        <v>0</v>
      </c>
      <c r="S287">
        <f t="shared" si="86"/>
        <v>13</v>
      </c>
      <c r="T287">
        <f t="shared" si="87"/>
        <v>0</v>
      </c>
      <c r="U287" s="14">
        <f t="shared" si="88"/>
        <v>780</v>
      </c>
      <c r="V287" s="15"/>
      <c r="Z287" s="14"/>
    </row>
    <row r="288" spans="1:26" x14ac:dyDescent="0.25">
      <c r="A288" s="16"/>
      <c r="B288" s="17" t="b">
        <f t="shared" si="90"/>
        <v>0</v>
      </c>
      <c r="C288" s="17" t="b">
        <f t="shared" si="89"/>
        <v>0</v>
      </c>
      <c r="D288" s="17">
        <f t="shared" si="80"/>
        <v>1</v>
      </c>
      <c r="E288" s="17" t="str">
        <f t="shared" si="81"/>
        <v>Section 5 - Next steps</v>
      </c>
      <c r="F288" s="18" t="str">
        <f t="shared" si="82"/>
        <v/>
      </c>
      <c r="G288" s="13" t="str">
        <f t="shared" si="74"/>
        <v/>
      </c>
      <c r="H288">
        <f t="shared" si="75"/>
        <v>0</v>
      </c>
      <c r="I288" s="14">
        <f t="shared" si="83"/>
        <v>0</v>
      </c>
      <c r="J288" s="13">
        <f t="shared" si="76"/>
        <v>300</v>
      </c>
      <c r="K288">
        <f t="shared" si="77"/>
        <v>0</v>
      </c>
      <c r="L288">
        <f t="shared" si="78"/>
        <v>5</v>
      </c>
      <c r="M288" s="14">
        <f t="shared" si="79"/>
        <v>0</v>
      </c>
      <c r="N288" s="13">
        <f t="shared" si="91"/>
        <v>0</v>
      </c>
      <c r="O288">
        <f t="shared" si="91"/>
        <v>13</v>
      </c>
      <c r="P288">
        <f t="shared" si="91"/>
        <v>0</v>
      </c>
      <c r="Q288" s="14">
        <f t="shared" si="84"/>
        <v>780</v>
      </c>
      <c r="R288" s="13">
        <f t="shared" si="85"/>
        <v>0</v>
      </c>
      <c r="S288">
        <f t="shared" si="86"/>
        <v>13</v>
      </c>
      <c r="T288">
        <f t="shared" si="87"/>
        <v>0</v>
      </c>
      <c r="U288" s="14">
        <f t="shared" si="88"/>
        <v>780</v>
      </c>
      <c r="V288" s="15"/>
      <c r="Z288" s="14"/>
    </row>
    <row r="289" spans="1:26" x14ac:dyDescent="0.25">
      <c r="A289" s="16"/>
      <c r="B289" s="17" t="b">
        <f t="shared" si="90"/>
        <v>0</v>
      </c>
      <c r="C289" s="17" t="b">
        <f t="shared" si="89"/>
        <v>0</v>
      </c>
      <c r="D289" s="17">
        <f t="shared" si="80"/>
        <v>1</v>
      </c>
      <c r="E289" s="17" t="str">
        <f t="shared" si="81"/>
        <v>Section 5 - Next steps</v>
      </c>
      <c r="F289" s="18" t="str">
        <f t="shared" si="82"/>
        <v/>
      </c>
      <c r="G289" s="13" t="str">
        <f t="shared" si="74"/>
        <v/>
      </c>
      <c r="H289">
        <f t="shared" si="75"/>
        <v>0</v>
      </c>
      <c r="I289" s="14">
        <f t="shared" si="83"/>
        <v>0</v>
      </c>
      <c r="J289" s="13">
        <f t="shared" si="76"/>
        <v>300</v>
      </c>
      <c r="K289">
        <f t="shared" si="77"/>
        <v>0</v>
      </c>
      <c r="L289">
        <f t="shared" si="78"/>
        <v>5</v>
      </c>
      <c r="M289" s="14">
        <f t="shared" si="79"/>
        <v>0</v>
      </c>
      <c r="N289" s="13">
        <f t="shared" si="91"/>
        <v>0</v>
      </c>
      <c r="O289">
        <f t="shared" si="91"/>
        <v>13</v>
      </c>
      <c r="P289">
        <f t="shared" si="91"/>
        <v>0</v>
      </c>
      <c r="Q289" s="14">
        <f t="shared" si="84"/>
        <v>780</v>
      </c>
      <c r="R289" s="13">
        <f t="shared" si="85"/>
        <v>0</v>
      </c>
      <c r="S289">
        <f t="shared" si="86"/>
        <v>13</v>
      </c>
      <c r="T289">
        <f t="shared" si="87"/>
        <v>0</v>
      </c>
      <c r="U289" s="14">
        <f t="shared" si="88"/>
        <v>780</v>
      </c>
      <c r="V289" s="15"/>
      <c r="Z289" s="14"/>
    </row>
    <row r="290" spans="1:26" x14ac:dyDescent="0.25">
      <c r="A290" s="16"/>
      <c r="B290" s="17" t="b">
        <f t="shared" si="90"/>
        <v>0</v>
      </c>
      <c r="C290" s="17" t="b">
        <f t="shared" si="89"/>
        <v>0</v>
      </c>
      <c r="D290" s="17">
        <f t="shared" si="80"/>
        <v>1</v>
      </c>
      <c r="E290" s="17" t="str">
        <f t="shared" si="81"/>
        <v>Section 5 - Next steps</v>
      </c>
      <c r="F290" s="18" t="str">
        <f t="shared" si="82"/>
        <v/>
      </c>
      <c r="G290" s="13" t="str">
        <f t="shared" si="74"/>
        <v/>
      </c>
      <c r="H290">
        <f t="shared" si="75"/>
        <v>0</v>
      </c>
      <c r="I290" s="14">
        <f t="shared" si="83"/>
        <v>0</v>
      </c>
      <c r="J290" s="13">
        <f t="shared" si="76"/>
        <v>300</v>
      </c>
      <c r="K290">
        <f t="shared" si="77"/>
        <v>0</v>
      </c>
      <c r="L290">
        <f t="shared" si="78"/>
        <v>5</v>
      </c>
      <c r="M290" s="14">
        <f t="shared" si="79"/>
        <v>0</v>
      </c>
      <c r="N290" s="13">
        <f t="shared" si="91"/>
        <v>0</v>
      </c>
      <c r="O290">
        <f t="shared" si="91"/>
        <v>13</v>
      </c>
      <c r="P290">
        <f t="shared" si="91"/>
        <v>0</v>
      </c>
      <c r="Q290" s="14">
        <f t="shared" si="84"/>
        <v>780</v>
      </c>
      <c r="R290" s="13">
        <f t="shared" si="85"/>
        <v>0</v>
      </c>
      <c r="S290">
        <f t="shared" si="86"/>
        <v>13</v>
      </c>
      <c r="T290">
        <f t="shared" si="87"/>
        <v>0</v>
      </c>
      <c r="U290" s="14">
        <f t="shared" si="88"/>
        <v>780</v>
      </c>
      <c r="V290" s="15"/>
      <c r="Z290" s="14"/>
    </row>
    <row r="291" spans="1:26" x14ac:dyDescent="0.25">
      <c r="A291" s="16"/>
      <c r="B291" s="17" t="b">
        <f t="shared" si="90"/>
        <v>0</v>
      </c>
      <c r="C291" s="17" t="b">
        <f t="shared" si="89"/>
        <v>0</v>
      </c>
      <c r="D291" s="17">
        <f t="shared" si="80"/>
        <v>1</v>
      </c>
      <c r="E291" s="17" t="str">
        <f t="shared" si="81"/>
        <v>Section 5 - Next steps</v>
      </c>
      <c r="F291" s="18" t="str">
        <f t="shared" si="82"/>
        <v/>
      </c>
      <c r="G291" s="13" t="str">
        <f t="shared" si="74"/>
        <v/>
      </c>
      <c r="H291">
        <f t="shared" si="75"/>
        <v>0</v>
      </c>
      <c r="I291" s="14">
        <f t="shared" si="83"/>
        <v>0</v>
      </c>
      <c r="J291" s="13">
        <f t="shared" si="76"/>
        <v>300</v>
      </c>
      <c r="K291">
        <f t="shared" si="77"/>
        <v>0</v>
      </c>
      <c r="L291">
        <f t="shared" si="78"/>
        <v>5</v>
      </c>
      <c r="M291" s="14">
        <f t="shared" si="79"/>
        <v>0</v>
      </c>
      <c r="N291" s="13">
        <f t="shared" si="91"/>
        <v>0</v>
      </c>
      <c r="O291">
        <f t="shared" si="91"/>
        <v>13</v>
      </c>
      <c r="P291">
        <f t="shared" si="91"/>
        <v>0</v>
      </c>
      <c r="Q291" s="14">
        <f t="shared" si="84"/>
        <v>780</v>
      </c>
      <c r="R291" s="13">
        <f t="shared" si="85"/>
        <v>0</v>
      </c>
      <c r="S291">
        <f t="shared" si="86"/>
        <v>13</v>
      </c>
      <c r="T291">
        <f t="shared" si="87"/>
        <v>0</v>
      </c>
      <c r="U291" s="14">
        <f t="shared" si="88"/>
        <v>780</v>
      </c>
      <c r="V291" s="15"/>
      <c r="Z291" s="14"/>
    </row>
    <row r="292" spans="1:26" x14ac:dyDescent="0.25">
      <c r="A292" s="16"/>
      <c r="B292" s="17" t="b">
        <f t="shared" si="90"/>
        <v>0</v>
      </c>
      <c r="C292" s="17" t="b">
        <f t="shared" si="89"/>
        <v>0</v>
      </c>
      <c r="D292" s="17">
        <f t="shared" si="80"/>
        <v>1</v>
      </c>
      <c r="E292" s="17" t="str">
        <f t="shared" si="81"/>
        <v>Section 5 - Next steps</v>
      </c>
      <c r="F292" s="18" t="str">
        <f t="shared" si="82"/>
        <v/>
      </c>
      <c r="G292" s="13" t="str">
        <f t="shared" si="74"/>
        <v/>
      </c>
      <c r="H292">
        <f t="shared" si="75"/>
        <v>0</v>
      </c>
      <c r="I292" s="14">
        <f t="shared" si="83"/>
        <v>0</v>
      </c>
      <c r="J292" s="13">
        <f t="shared" si="76"/>
        <v>300</v>
      </c>
      <c r="K292">
        <f t="shared" si="77"/>
        <v>0</v>
      </c>
      <c r="L292">
        <f t="shared" si="78"/>
        <v>5</v>
      </c>
      <c r="M292" s="14">
        <f t="shared" si="79"/>
        <v>0</v>
      </c>
      <c r="N292" s="13">
        <f t="shared" si="91"/>
        <v>0</v>
      </c>
      <c r="O292">
        <f t="shared" si="91"/>
        <v>13</v>
      </c>
      <c r="P292">
        <f t="shared" si="91"/>
        <v>0</v>
      </c>
      <c r="Q292" s="14">
        <f t="shared" si="84"/>
        <v>780</v>
      </c>
      <c r="R292" s="13">
        <f t="shared" si="85"/>
        <v>0</v>
      </c>
      <c r="S292">
        <f t="shared" si="86"/>
        <v>13</v>
      </c>
      <c r="T292">
        <f t="shared" si="87"/>
        <v>0</v>
      </c>
      <c r="U292" s="14">
        <f t="shared" si="88"/>
        <v>780</v>
      </c>
      <c r="V292" s="15"/>
      <c r="Z292" s="14"/>
    </row>
    <row r="293" spans="1:26" x14ac:dyDescent="0.25">
      <c r="A293" s="16"/>
      <c r="B293" s="17" t="b">
        <f t="shared" si="90"/>
        <v>0</v>
      </c>
      <c r="C293" s="17" t="b">
        <f t="shared" si="89"/>
        <v>0</v>
      </c>
      <c r="D293" s="17">
        <f t="shared" si="80"/>
        <v>1</v>
      </c>
      <c r="E293" s="17" t="str">
        <f t="shared" si="81"/>
        <v>Section 5 - Next steps</v>
      </c>
      <c r="F293" s="18" t="str">
        <f t="shared" si="82"/>
        <v/>
      </c>
      <c r="G293" s="13" t="str">
        <f t="shared" si="74"/>
        <v/>
      </c>
      <c r="H293">
        <f t="shared" si="75"/>
        <v>0</v>
      </c>
      <c r="I293" s="14">
        <f t="shared" si="83"/>
        <v>0</v>
      </c>
      <c r="J293" s="13">
        <f t="shared" si="76"/>
        <v>300</v>
      </c>
      <c r="K293">
        <f t="shared" si="77"/>
        <v>0</v>
      </c>
      <c r="L293">
        <f t="shared" si="78"/>
        <v>5</v>
      </c>
      <c r="M293" s="14">
        <f t="shared" si="79"/>
        <v>0</v>
      </c>
      <c r="N293" s="13">
        <f t="shared" si="91"/>
        <v>0</v>
      </c>
      <c r="O293">
        <f t="shared" si="91"/>
        <v>13</v>
      </c>
      <c r="P293">
        <f t="shared" si="91"/>
        <v>0</v>
      </c>
      <c r="Q293" s="14">
        <f t="shared" si="84"/>
        <v>780</v>
      </c>
      <c r="R293" s="13">
        <f t="shared" si="85"/>
        <v>0</v>
      </c>
      <c r="S293">
        <f t="shared" si="86"/>
        <v>13</v>
      </c>
      <c r="T293">
        <f t="shared" si="87"/>
        <v>0</v>
      </c>
      <c r="U293" s="14">
        <f t="shared" si="88"/>
        <v>780</v>
      </c>
      <c r="V293" s="15"/>
      <c r="Z293" s="14"/>
    </row>
    <row r="294" spans="1:26" x14ac:dyDescent="0.25">
      <c r="A294" s="16"/>
      <c r="B294" s="17" t="b">
        <f t="shared" si="90"/>
        <v>0</v>
      </c>
      <c r="C294" s="17" t="b">
        <f t="shared" si="89"/>
        <v>0</v>
      </c>
      <c r="D294" s="17">
        <f t="shared" si="80"/>
        <v>1</v>
      </c>
      <c r="E294" s="17" t="str">
        <f t="shared" si="81"/>
        <v>Section 5 - Next steps</v>
      </c>
      <c r="F294" s="18" t="str">
        <f t="shared" si="82"/>
        <v/>
      </c>
      <c r="G294" s="13" t="str">
        <f t="shared" si="74"/>
        <v/>
      </c>
      <c r="H294">
        <f t="shared" si="75"/>
        <v>0</v>
      </c>
      <c r="I294" s="14">
        <f t="shared" si="83"/>
        <v>0</v>
      </c>
      <c r="J294" s="13">
        <f t="shared" si="76"/>
        <v>300</v>
      </c>
      <c r="K294">
        <f t="shared" si="77"/>
        <v>0</v>
      </c>
      <c r="L294">
        <f t="shared" si="78"/>
        <v>5</v>
      </c>
      <c r="M294" s="14">
        <f t="shared" si="79"/>
        <v>0</v>
      </c>
      <c r="N294" s="13">
        <f t="shared" si="91"/>
        <v>0</v>
      </c>
      <c r="O294">
        <f t="shared" si="91"/>
        <v>13</v>
      </c>
      <c r="P294">
        <f t="shared" si="91"/>
        <v>0</v>
      </c>
      <c r="Q294" s="14">
        <f t="shared" si="84"/>
        <v>780</v>
      </c>
      <c r="R294" s="13">
        <f t="shared" si="85"/>
        <v>0</v>
      </c>
      <c r="S294">
        <f t="shared" si="86"/>
        <v>13</v>
      </c>
      <c r="T294">
        <f t="shared" si="87"/>
        <v>0</v>
      </c>
      <c r="U294" s="14">
        <f t="shared" si="88"/>
        <v>780</v>
      </c>
      <c r="V294" s="15"/>
      <c r="Z294" s="14"/>
    </row>
    <row r="295" spans="1:26" x14ac:dyDescent="0.25">
      <c r="A295" s="16"/>
      <c r="B295" s="17" t="b">
        <f t="shared" si="90"/>
        <v>0</v>
      </c>
      <c r="C295" s="17" t="b">
        <f t="shared" si="89"/>
        <v>0</v>
      </c>
      <c r="D295" s="17">
        <f t="shared" si="80"/>
        <v>1</v>
      </c>
      <c r="E295" s="17" t="str">
        <f t="shared" si="81"/>
        <v>Section 5 - Next steps</v>
      </c>
      <c r="F295" s="18" t="str">
        <f t="shared" si="82"/>
        <v/>
      </c>
      <c r="G295" s="13" t="str">
        <f t="shared" si="74"/>
        <v/>
      </c>
      <c r="H295">
        <f t="shared" si="75"/>
        <v>0</v>
      </c>
      <c r="I295" s="14">
        <f t="shared" si="83"/>
        <v>0</v>
      </c>
      <c r="J295" s="13">
        <f t="shared" si="76"/>
        <v>300</v>
      </c>
      <c r="K295">
        <f t="shared" si="77"/>
        <v>0</v>
      </c>
      <c r="L295">
        <f t="shared" si="78"/>
        <v>5</v>
      </c>
      <c r="M295" s="14">
        <f t="shared" si="79"/>
        <v>0</v>
      </c>
      <c r="N295" s="13">
        <f t="shared" si="91"/>
        <v>0</v>
      </c>
      <c r="O295">
        <f t="shared" si="91"/>
        <v>13</v>
      </c>
      <c r="P295">
        <f t="shared" si="91"/>
        <v>0</v>
      </c>
      <c r="Q295" s="14">
        <f t="shared" si="84"/>
        <v>780</v>
      </c>
      <c r="R295" s="13">
        <f t="shared" si="85"/>
        <v>0</v>
      </c>
      <c r="S295">
        <f t="shared" si="86"/>
        <v>13</v>
      </c>
      <c r="T295">
        <f t="shared" si="87"/>
        <v>0</v>
      </c>
      <c r="U295" s="14">
        <f t="shared" si="88"/>
        <v>780</v>
      </c>
      <c r="V295" s="15"/>
      <c r="Z295" s="14"/>
    </row>
    <row r="296" spans="1:26" x14ac:dyDescent="0.25">
      <c r="A296" s="16"/>
      <c r="B296" s="17" t="b">
        <f t="shared" si="90"/>
        <v>0</v>
      </c>
      <c r="C296" s="17" t="b">
        <f t="shared" si="89"/>
        <v>0</v>
      </c>
      <c r="D296" s="17">
        <f t="shared" si="80"/>
        <v>1</v>
      </c>
      <c r="E296" s="17" t="str">
        <f t="shared" si="81"/>
        <v>Section 5 - Next steps</v>
      </c>
      <c r="F296" s="18" t="str">
        <f t="shared" si="82"/>
        <v/>
      </c>
      <c r="G296" s="13" t="str">
        <f t="shared" si="74"/>
        <v/>
      </c>
      <c r="H296">
        <f t="shared" si="75"/>
        <v>0</v>
      </c>
      <c r="I296" s="14">
        <f t="shared" si="83"/>
        <v>0</v>
      </c>
      <c r="J296" s="13">
        <f t="shared" si="76"/>
        <v>300</v>
      </c>
      <c r="K296">
        <f t="shared" si="77"/>
        <v>0</v>
      </c>
      <c r="L296">
        <f t="shared" si="78"/>
        <v>5</v>
      </c>
      <c r="M296" s="14">
        <f t="shared" si="79"/>
        <v>0</v>
      </c>
      <c r="N296" s="13">
        <f t="shared" si="91"/>
        <v>0</v>
      </c>
      <c r="O296">
        <f t="shared" si="91"/>
        <v>13</v>
      </c>
      <c r="P296">
        <f t="shared" si="91"/>
        <v>0</v>
      </c>
      <c r="Q296" s="14">
        <f t="shared" si="84"/>
        <v>780</v>
      </c>
      <c r="R296" s="13">
        <f t="shared" si="85"/>
        <v>0</v>
      </c>
      <c r="S296">
        <f t="shared" si="86"/>
        <v>13</v>
      </c>
      <c r="T296">
        <f t="shared" si="87"/>
        <v>0</v>
      </c>
      <c r="U296" s="14">
        <f t="shared" si="88"/>
        <v>780</v>
      </c>
      <c r="V296" s="15"/>
      <c r="Z296" s="14"/>
    </row>
    <row r="297" spans="1:26" x14ac:dyDescent="0.25">
      <c r="A297" s="16"/>
      <c r="B297" s="17" t="b">
        <f t="shared" si="90"/>
        <v>0</v>
      </c>
      <c r="C297" s="17" t="b">
        <f t="shared" si="89"/>
        <v>0</v>
      </c>
      <c r="D297" s="17">
        <f t="shared" si="80"/>
        <v>1</v>
      </c>
      <c r="E297" s="17" t="str">
        <f t="shared" si="81"/>
        <v>Section 5 - Next steps</v>
      </c>
      <c r="F297" s="18" t="str">
        <f t="shared" si="82"/>
        <v/>
      </c>
      <c r="G297" s="13" t="str">
        <f t="shared" si="74"/>
        <v/>
      </c>
      <c r="H297">
        <f t="shared" si="75"/>
        <v>0</v>
      </c>
      <c r="I297" s="14">
        <f t="shared" si="83"/>
        <v>0</v>
      </c>
      <c r="J297" s="13">
        <f t="shared" si="76"/>
        <v>300</v>
      </c>
      <c r="K297">
        <f t="shared" si="77"/>
        <v>0</v>
      </c>
      <c r="L297">
        <f t="shared" si="78"/>
        <v>5</v>
      </c>
      <c r="M297" s="14">
        <f t="shared" si="79"/>
        <v>0</v>
      </c>
      <c r="N297" s="13">
        <f t="shared" si="91"/>
        <v>0</v>
      </c>
      <c r="O297">
        <f t="shared" si="91"/>
        <v>13</v>
      </c>
      <c r="P297">
        <f t="shared" si="91"/>
        <v>0</v>
      </c>
      <c r="Q297" s="14">
        <f t="shared" si="84"/>
        <v>780</v>
      </c>
      <c r="R297" s="13">
        <f t="shared" si="85"/>
        <v>0</v>
      </c>
      <c r="S297">
        <f t="shared" si="86"/>
        <v>13</v>
      </c>
      <c r="T297">
        <f t="shared" si="87"/>
        <v>0</v>
      </c>
      <c r="U297" s="14">
        <f t="shared" si="88"/>
        <v>780</v>
      </c>
      <c r="V297" s="15"/>
      <c r="Z297" s="14"/>
    </row>
    <row r="298" spans="1:26" x14ac:dyDescent="0.25">
      <c r="A298" s="16"/>
      <c r="B298" s="17" t="b">
        <f t="shared" si="90"/>
        <v>0</v>
      </c>
      <c r="C298" s="17" t="b">
        <f t="shared" si="89"/>
        <v>0</v>
      </c>
      <c r="D298" s="17">
        <f t="shared" si="80"/>
        <v>1</v>
      </c>
      <c r="E298" s="17" t="str">
        <f t="shared" si="81"/>
        <v>Section 5 - Next steps</v>
      </c>
      <c r="F298" s="18" t="str">
        <f t="shared" si="82"/>
        <v/>
      </c>
      <c r="G298" s="13" t="str">
        <f t="shared" si="74"/>
        <v/>
      </c>
      <c r="H298">
        <f t="shared" si="75"/>
        <v>0</v>
      </c>
      <c r="I298" s="14">
        <f t="shared" si="83"/>
        <v>0</v>
      </c>
      <c r="J298" s="13">
        <f t="shared" si="76"/>
        <v>300</v>
      </c>
      <c r="K298">
        <f t="shared" si="77"/>
        <v>0</v>
      </c>
      <c r="L298">
        <f t="shared" si="78"/>
        <v>5</v>
      </c>
      <c r="M298" s="14">
        <f t="shared" si="79"/>
        <v>0</v>
      </c>
      <c r="N298" s="13">
        <f t="shared" si="91"/>
        <v>0</v>
      </c>
      <c r="O298">
        <f t="shared" si="91"/>
        <v>13</v>
      </c>
      <c r="P298">
        <f t="shared" si="91"/>
        <v>0</v>
      </c>
      <c r="Q298" s="14">
        <f t="shared" si="84"/>
        <v>780</v>
      </c>
      <c r="R298" s="13">
        <f t="shared" si="85"/>
        <v>0</v>
      </c>
      <c r="S298">
        <f t="shared" si="86"/>
        <v>13</v>
      </c>
      <c r="T298">
        <f t="shared" si="87"/>
        <v>0</v>
      </c>
      <c r="U298" s="14">
        <f t="shared" si="88"/>
        <v>780</v>
      </c>
      <c r="V298" s="15"/>
      <c r="Z298" s="14"/>
    </row>
    <row r="299" spans="1:26" x14ac:dyDescent="0.25">
      <c r="A299" s="16"/>
      <c r="B299" s="17" t="b">
        <f t="shared" si="90"/>
        <v>0</v>
      </c>
      <c r="C299" s="17" t="b">
        <f t="shared" si="89"/>
        <v>0</v>
      </c>
      <c r="D299" s="17">
        <f t="shared" si="80"/>
        <v>1</v>
      </c>
      <c r="E299" s="17" t="str">
        <f t="shared" si="81"/>
        <v>Section 5 - Next steps</v>
      </c>
      <c r="F299" s="18" t="str">
        <f t="shared" si="82"/>
        <v/>
      </c>
      <c r="G299" s="13" t="str">
        <f t="shared" si="74"/>
        <v/>
      </c>
      <c r="H299">
        <f t="shared" si="75"/>
        <v>0</v>
      </c>
      <c r="I299" s="14">
        <f t="shared" si="83"/>
        <v>0</v>
      </c>
      <c r="J299" s="13">
        <f t="shared" si="76"/>
        <v>300</v>
      </c>
      <c r="K299">
        <f t="shared" si="77"/>
        <v>0</v>
      </c>
      <c r="L299">
        <f t="shared" si="78"/>
        <v>5</v>
      </c>
      <c r="M299" s="14">
        <f t="shared" si="79"/>
        <v>0</v>
      </c>
      <c r="N299" s="13">
        <f t="shared" si="91"/>
        <v>0</v>
      </c>
      <c r="O299">
        <f t="shared" si="91"/>
        <v>13</v>
      </c>
      <c r="P299">
        <f t="shared" si="91"/>
        <v>0</v>
      </c>
      <c r="Q299" s="14">
        <f t="shared" si="84"/>
        <v>780</v>
      </c>
      <c r="R299" s="13">
        <f t="shared" si="85"/>
        <v>0</v>
      </c>
      <c r="S299">
        <f t="shared" si="86"/>
        <v>13</v>
      </c>
      <c r="T299">
        <f t="shared" si="87"/>
        <v>0</v>
      </c>
      <c r="U299" s="14">
        <f t="shared" si="88"/>
        <v>780</v>
      </c>
      <c r="V299" s="15"/>
      <c r="Z299" s="14"/>
    </row>
    <row r="300" spans="1:26" x14ac:dyDescent="0.25">
      <c r="A300" s="16"/>
      <c r="B300" s="17" t="b">
        <f t="shared" si="90"/>
        <v>0</v>
      </c>
      <c r="C300" s="17" t="b">
        <f t="shared" si="89"/>
        <v>0</v>
      </c>
      <c r="D300" s="17">
        <f t="shared" si="80"/>
        <v>1</v>
      </c>
      <c r="E300" s="17" t="str">
        <f t="shared" si="81"/>
        <v>Section 5 - Next steps</v>
      </c>
      <c r="F300" s="18" t="str">
        <f t="shared" si="82"/>
        <v/>
      </c>
      <c r="G300" s="13" t="str">
        <f t="shared" si="74"/>
        <v/>
      </c>
      <c r="H300">
        <f t="shared" si="75"/>
        <v>0</v>
      </c>
      <c r="I300" s="14">
        <f t="shared" si="83"/>
        <v>0</v>
      </c>
      <c r="J300" s="13">
        <f t="shared" si="76"/>
        <v>300</v>
      </c>
      <c r="K300">
        <f t="shared" si="77"/>
        <v>0</v>
      </c>
      <c r="L300">
        <f t="shared" si="78"/>
        <v>5</v>
      </c>
      <c r="M300" s="14">
        <f t="shared" si="79"/>
        <v>0</v>
      </c>
      <c r="N300" s="13">
        <f t="shared" si="91"/>
        <v>0</v>
      </c>
      <c r="O300">
        <f t="shared" si="91"/>
        <v>13</v>
      </c>
      <c r="P300">
        <f t="shared" si="91"/>
        <v>0</v>
      </c>
      <c r="Q300" s="14">
        <f t="shared" si="84"/>
        <v>780</v>
      </c>
      <c r="R300" s="13">
        <f t="shared" si="85"/>
        <v>0</v>
      </c>
      <c r="S300">
        <f t="shared" si="86"/>
        <v>13</v>
      </c>
      <c r="T300">
        <f t="shared" si="87"/>
        <v>0</v>
      </c>
      <c r="U300" s="14">
        <f t="shared" si="88"/>
        <v>780</v>
      </c>
      <c r="V300" s="15"/>
      <c r="Z300" s="14"/>
    </row>
    <row r="301" spans="1:26" x14ac:dyDescent="0.25">
      <c r="A301" s="16"/>
      <c r="B301" s="17" t="b">
        <f t="shared" si="90"/>
        <v>0</v>
      </c>
      <c r="C301" s="17" t="b">
        <f t="shared" si="89"/>
        <v>0</v>
      </c>
      <c r="D301" s="17">
        <f t="shared" si="80"/>
        <v>1</v>
      </c>
      <c r="E301" s="17" t="str">
        <f t="shared" si="81"/>
        <v>Section 5 - Next steps</v>
      </c>
      <c r="F301" s="18" t="str">
        <f t="shared" si="82"/>
        <v/>
      </c>
      <c r="G301" s="13" t="str">
        <f t="shared" si="74"/>
        <v/>
      </c>
      <c r="H301">
        <f t="shared" si="75"/>
        <v>0</v>
      </c>
      <c r="I301" s="14">
        <f t="shared" si="83"/>
        <v>0</v>
      </c>
      <c r="J301" s="13">
        <f t="shared" si="76"/>
        <v>300</v>
      </c>
      <c r="K301">
        <f t="shared" si="77"/>
        <v>0</v>
      </c>
      <c r="L301">
        <f t="shared" si="78"/>
        <v>5</v>
      </c>
      <c r="M301" s="14">
        <f t="shared" si="79"/>
        <v>0</v>
      </c>
      <c r="N301" s="13">
        <f t="shared" si="91"/>
        <v>0</v>
      </c>
      <c r="O301">
        <f t="shared" si="91"/>
        <v>13</v>
      </c>
      <c r="P301">
        <f t="shared" si="91"/>
        <v>0</v>
      </c>
      <c r="Q301" s="14">
        <f t="shared" si="84"/>
        <v>780</v>
      </c>
      <c r="R301" s="13">
        <f t="shared" si="85"/>
        <v>0</v>
      </c>
      <c r="S301">
        <f t="shared" si="86"/>
        <v>13</v>
      </c>
      <c r="T301">
        <f t="shared" si="87"/>
        <v>0</v>
      </c>
      <c r="U301" s="14">
        <f t="shared" si="88"/>
        <v>780</v>
      </c>
      <c r="V301" s="15"/>
      <c r="Z301" s="14"/>
    </row>
    <row r="302" spans="1:26" x14ac:dyDescent="0.25">
      <c r="A302" s="16"/>
      <c r="B302" s="17" t="b">
        <f t="shared" si="90"/>
        <v>0</v>
      </c>
      <c r="C302" s="17" t="b">
        <f t="shared" si="89"/>
        <v>0</v>
      </c>
      <c r="D302" s="17">
        <f t="shared" si="80"/>
        <v>1</v>
      </c>
      <c r="E302" s="17" t="str">
        <f t="shared" si="81"/>
        <v>Section 5 - Next steps</v>
      </c>
      <c r="F302" s="18" t="str">
        <f t="shared" si="82"/>
        <v/>
      </c>
      <c r="G302" s="13" t="str">
        <f t="shared" si="74"/>
        <v/>
      </c>
      <c r="H302">
        <f t="shared" si="75"/>
        <v>0</v>
      </c>
      <c r="I302" s="14">
        <f t="shared" si="83"/>
        <v>0</v>
      </c>
      <c r="J302" s="13">
        <f t="shared" si="76"/>
        <v>300</v>
      </c>
      <c r="K302">
        <f t="shared" si="77"/>
        <v>0</v>
      </c>
      <c r="L302">
        <f t="shared" si="78"/>
        <v>5</v>
      </c>
      <c r="M302" s="14">
        <f t="shared" si="79"/>
        <v>0</v>
      </c>
      <c r="N302" s="13">
        <f t="shared" si="91"/>
        <v>0</v>
      </c>
      <c r="O302">
        <f t="shared" si="91"/>
        <v>13</v>
      </c>
      <c r="P302">
        <f t="shared" si="91"/>
        <v>0</v>
      </c>
      <c r="Q302" s="14">
        <f t="shared" si="84"/>
        <v>780</v>
      </c>
      <c r="R302" s="13">
        <f t="shared" si="85"/>
        <v>0</v>
      </c>
      <c r="S302">
        <f t="shared" si="86"/>
        <v>13</v>
      </c>
      <c r="T302">
        <f t="shared" si="87"/>
        <v>0</v>
      </c>
      <c r="U302" s="14">
        <f t="shared" si="88"/>
        <v>780</v>
      </c>
      <c r="V302" s="15"/>
      <c r="Z302" s="14"/>
    </row>
    <row r="303" spans="1:26" x14ac:dyDescent="0.25">
      <c r="A303" s="16"/>
      <c r="B303" s="17" t="b">
        <f t="shared" si="90"/>
        <v>0</v>
      </c>
      <c r="C303" s="17" t="b">
        <f t="shared" si="89"/>
        <v>0</v>
      </c>
      <c r="D303" s="17">
        <f t="shared" si="80"/>
        <v>1</v>
      </c>
      <c r="E303" s="17" t="str">
        <f t="shared" si="81"/>
        <v>Section 5 - Next steps</v>
      </c>
      <c r="F303" s="18" t="str">
        <f t="shared" si="82"/>
        <v/>
      </c>
      <c r="G303" s="13" t="str">
        <f t="shared" si="74"/>
        <v/>
      </c>
      <c r="H303">
        <f t="shared" si="75"/>
        <v>0</v>
      </c>
      <c r="I303" s="14">
        <f t="shared" si="83"/>
        <v>0</v>
      </c>
      <c r="J303" s="13">
        <f t="shared" si="76"/>
        <v>300</v>
      </c>
      <c r="K303">
        <f t="shared" si="77"/>
        <v>0</v>
      </c>
      <c r="L303">
        <f t="shared" si="78"/>
        <v>5</v>
      </c>
      <c r="M303" s="14">
        <f t="shared" si="79"/>
        <v>0</v>
      </c>
      <c r="N303" s="13">
        <f t="shared" si="91"/>
        <v>0</v>
      </c>
      <c r="O303">
        <f t="shared" si="91"/>
        <v>13</v>
      </c>
      <c r="P303">
        <f t="shared" si="91"/>
        <v>0</v>
      </c>
      <c r="Q303" s="14">
        <f t="shared" si="84"/>
        <v>780</v>
      </c>
      <c r="R303" s="13">
        <f t="shared" si="85"/>
        <v>0</v>
      </c>
      <c r="S303">
        <f t="shared" si="86"/>
        <v>13</v>
      </c>
      <c r="T303">
        <f t="shared" si="87"/>
        <v>0</v>
      </c>
      <c r="U303" s="14">
        <f t="shared" si="88"/>
        <v>780</v>
      </c>
      <c r="V303" s="15"/>
      <c r="Z303" s="14"/>
    </row>
    <row r="304" spans="1:26" x14ac:dyDescent="0.25">
      <c r="A304" s="16"/>
      <c r="B304" s="17" t="b">
        <f t="shared" si="90"/>
        <v>0</v>
      </c>
      <c r="C304" s="17" t="b">
        <f t="shared" si="89"/>
        <v>0</v>
      </c>
      <c r="D304" s="17">
        <f t="shared" si="80"/>
        <v>1</v>
      </c>
      <c r="E304" s="17" t="str">
        <f t="shared" si="81"/>
        <v>Section 5 - Next steps</v>
      </c>
      <c r="F304" s="18" t="str">
        <f t="shared" si="82"/>
        <v/>
      </c>
      <c r="G304" s="13" t="str">
        <f t="shared" si="74"/>
        <v/>
      </c>
      <c r="H304">
        <f t="shared" si="75"/>
        <v>0</v>
      </c>
      <c r="I304" s="14">
        <f t="shared" si="83"/>
        <v>0</v>
      </c>
      <c r="J304" s="13">
        <f t="shared" si="76"/>
        <v>300</v>
      </c>
      <c r="K304">
        <f t="shared" si="77"/>
        <v>0</v>
      </c>
      <c r="L304">
        <f t="shared" si="78"/>
        <v>5</v>
      </c>
      <c r="M304" s="14">
        <f t="shared" si="79"/>
        <v>0</v>
      </c>
      <c r="N304" s="13">
        <f t="shared" si="91"/>
        <v>0</v>
      </c>
      <c r="O304">
        <f t="shared" si="91"/>
        <v>13</v>
      </c>
      <c r="P304">
        <f t="shared" si="91"/>
        <v>0</v>
      </c>
      <c r="Q304" s="14">
        <f t="shared" si="84"/>
        <v>780</v>
      </c>
      <c r="R304" s="13">
        <f t="shared" si="85"/>
        <v>0</v>
      </c>
      <c r="S304">
        <f t="shared" si="86"/>
        <v>13</v>
      </c>
      <c r="T304">
        <f t="shared" si="87"/>
        <v>0</v>
      </c>
      <c r="U304" s="14">
        <f t="shared" si="88"/>
        <v>780</v>
      </c>
      <c r="V304" s="15"/>
      <c r="Z304" s="14"/>
    </row>
    <row r="305" spans="1:26" x14ac:dyDescent="0.25">
      <c r="A305" s="16"/>
      <c r="B305" s="17" t="b">
        <f t="shared" si="90"/>
        <v>0</v>
      </c>
      <c r="C305" s="17" t="b">
        <f t="shared" si="89"/>
        <v>0</v>
      </c>
      <c r="D305" s="17">
        <f t="shared" si="80"/>
        <v>1</v>
      </c>
      <c r="E305" s="17" t="str">
        <f t="shared" si="81"/>
        <v>Section 5 - Next steps</v>
      </c>
      <c r="F305" s="18" t="str">
        <f t="shared" si="82"/>
        <v/>
      </c>
      <c r="G305" s="13" t="str">
        <f t="shared" si="74"/>
        <v/>
      </c>
      <c r="H305">
        <f t="shared" si="75"/>
        <v>0</v>
      </c>
      <c r="I305" s="14">
        <f t="shared" si="83"/>
        <v>0</v>
      </c>
      <c r="J305" s="13">
        <f t="shared" si="76"/>
        <v>300</v>
      </c>
      <c r="K305">
        <f t="shared" si="77"/>
        <v>0</v>
      </c>
      <c r="L305">
        <f t="shared" si="78"/>
        <v>5</v>
      </c>
      <c r="M305" s="14">
        <f t="shared" si="79"/>
        <v>0</v>
      </c>
      <c r="N305" s="13">
        <f t="shared" si="91"/>
        <v>0</v>
      </c>
      <c r="O305">
        <f t="shared" si="91"/>
        <v>13</v>
      </c>
      <c r="P305">
        <f t="shared" si="91"/>
        <v>0</v>
      </c>
      <c r="Q305" s="14">
        <f t="shared" si="84"/>
        <v>780</v>
      </c>
      <c r="R305" s="13">
        <f t="shared" si="85"/>
        <v>0</v>
      </c>
      <c r="S305">
        <f t="shared" si="86"/>
        <v>13</v>
      </c>
      <c r="T305">
        <f t="shared" si="87"/>
        <v>0</v>
      </c>
      <c r="U305" s="14">
        <f t="shared" si="88"/>
        <v>780</v>
      </c>
      <c r="V305" s="15"/>
      <c r="Z305" s="14"/>
    </row>
    <row r="306" spans="1:26" x14ac:dyDescent="0.25">
      <c r="A306" s="16"/>
      <c r="B306" s="17" t="b">
        <f t="shared" si="90"/>
        <v>0</v>
      </c>
      <c r="C306" s="17" t="b">
        <f t="shared" si="89"/>
        <v>0</v>
      </c>
      <c r="D306" s="17">
        <f t="shared" si="80"/>
        <v>1</v>
      </c>
      <c r="E306" s="17" t="str">
        <f t="shared" si="81"/>
        <v>Section 5 - Next steps</v>
      </c>
      <c r="F306" s="18" t="str">
        <f t="shared" si="82"/>
        <v/>
      </c>
      <c r="G306" s="13" t="str">
        <f t="shared" si="74"/>
        <v/>
      </c>
      <c r="H306">
        <f t="shared" si="75"/>
        <v>0</v>
      </c>
      <c r="I306" s="14">
        <f t="shared" si="83"/>
        <v>0</v>
      </c>
      <c r="J306" s="13">
        <f t="shared" si="76"/>
        <v>300</v>
      </c>
      <c r="K306">
        <f t="shared" si="77"/>
        <v>0</v>
      </c>
      <c r="L306">
        <f t="shared" si="78"/>
        <v>5</v>
      </c>
      <c r="M306" s="14">
        <f t="shared" si="79"/>
        <v>0</v>
      </c>
      <c r="N306" s="13">
        <f t="shared" si="91"/>
        <v>0</v>
      </c>
      <c r="O306">
        <f t="shared" si="91"/>
        <v>13</v>
      </c>
      <c r="P306">
        <f t="shared" si="91"/>
        <v>0</v>
      </c>
      <c r="Q306" s="14">
        <f t="shared" si="84"/>
        <v>780</v>
      </c>
      <c r="R306" s="13">
        <f t="shared" si="85"/>
        <v>0</v>
      </c>
      <c r="S306">
        <f t="shared" si="86"/>
        <v>13</v>
      </c>
      <c r="T306">
        <f t="shared" si="87"/>
        <v>0</v>
      </c>
      <c r="U306" s="14">
        <f t="shared" si="88"/>
        <v>780</v>
      </c>
      <c r="V306" s="15"/>
      <c r="Z306" s="14"/>
    </row>
    <row r="307" spans="1:26" x14ac:dyDescent="0.25">
      <c r="A307" s="16"/>
      <c r="B307" s="17" t="b">
        <f t="shared" si="90"/>
        <v>0</v>
      </c>
      <c r="C307" s="17" t="b">
        <f t="shared" si="89"/>
        <v>0</v>
      </c>
      <c r="D307" s="17">
        <f t="shared" si="80"/>
        <v>1</v>
      </c>
      <c r="E307" s="17" t="str">
        <f t="shared" si="81"/>
        <v>Section 5 - Next steps</v>
      </c>
      <c r="F307" s="18" t="str">
        <f t="shared" si="82"/>
        <v/>
      </c>
      <c r="G307" s="13" t="str">
        <f t="shared" si="74"/>
        <v/>
      </c>
      <c r="H307">
        <f t="shared" si="75"/>
        <v>0</v>
      </c>
      <c r="I307" s="14">
        <f t="shared" si="83"/>
        <v>0</v>
      </c>
      <c r="J307" s="13">
        <f t="shared" si="76"/>
        <v>300</v>
      </c>
      <c r="K307">
        <f t="shared" si="77"/>
        <v>0</v>
      </c>
      <c r="L307">
        <f t="shared" si="78"/>
        <v>5</v>
      </c>
      <c r="M307" s="14">
        <f t="shared" si="79"/>
        <v>0</v>
      </c>
      <c r="N307" s="13">
        <f t="shared" si="91"/>
        <v>0</v>
      </c>
      <c r="O307">
        <f t="shared" si="91"/>
        <v>13</v>
      </c>
      <c r="P307">
        <f t="shared" si="91"/>
        <v>0</v>
      </c>
      <c r="Q307" s="14">
        <f t="shared" si="84"/>
        <v>780</v>
      </c>
      <c r="R307" s="13">
        <f t="shared" si="85"/>
        <v>0</v>
      </c>
      <c r="S307">
        <f t="shared" si="86"/>
        <v>13</v>
      </c>
      <c r="T307">
        <f t="shared" si="87"/>
        <v>0</v>
      </c>
      <c r="U307" s="14">
        <f t="shared" si="88"/>
        <v>780</v>
      </c>
      <c r="V307" s="15"/>
      <c r="Z307" s="14"/>
    </row>
    <row r="308" spans="1:26" x14ac:dyDescent="0.25">
      <c r="A308" s="16"/>
      <c r="B308" s="17" t="b">
        <f t="shared" si="90"/>
        <v>0</v>
      </c>
      <c r="C308" s="17" t="b">
        <f t="shared" si="89"/>
        <v>0</v>
      </c>
      <c r="D308" s="17">
        <f t="shared" si="80"/>
        <v>1</v>
      </c>
      <c r="E308" s="17" t="str">
        <f t="shared" si="81"/>
        <v>Section 5 - Next steps</v>
      </c>
      <c r="F308" s="18" t="str">
        <f t="shared" si="82"/>
        <v/>
      </c>
      <c r="G308" s="13" t="str">
        <f t="shared" si="74"/>
        <v/>
      </c>
      <c r="H308">
        <f t="shared" si="75"/>
        <v>0</v>
      </c>
      <c r="I308" s="14">
        <f t="shared" si="83"/>
        <v>0</v>
      </c>
      <c r="J308" s="13">
        <f t="shared" si="76"/>
        <v>300</v>
      </c>
      <c r="K308">
        <f t="shared" si="77"/>
        <v>0</v>
      </c>
      <c r="L308">
        <f t="shared" si="78"/>
        <v>5</v>
      </c>
      <c r="M308" s="14">
        <f t="shared" si="79"/>
        <v>0</v>
      </c>
      <c r="N308" s="13">
        <f t="shared" si="91"/>
        <v>0</v>
      </c>
      <c r="O308">
        <f t="shared" si="91"/>
        <v>13</v>
      </c>
      <c r="P308">
        <f t="shared" si="91"/>
        <v>0</v>
      </c>
      <c r="Q308" s="14">
        <f t="shared" si="84"/>
        <v>780</v>
      </c>
      <c r="R308" s="13">
        <f t="shared" si="85"/>
        <v>0</v>
      </c>
      <c r="S308">
        <f t="shared" si="86"/>
        <v>13</v>
      </c>
      <c r="T308">
        <f t="shared" si="87"/>
        <v>0</v>
      </c>
      <c r="U308" s="14">
        <f t="shared" si="88"/>
        <v>780</v>
      </c>
      <c r="V308" s="15"/>
      <c r="Z308" s="14"/>
    </row>
    <row r="309" spans="1:26" x14ac:dyDescent="0.25">
      <c r="A309" s="16"/>
      <c r="B309" s="17" t="b">
        <f t="shared" si="90"/>
        <v>0</v>
      </c>
      <c r="C309" s="17" t="b">
        <f t="shared" si="89"/>
        <v>0</v>
      </c>
      <c r="D309" s="17">
        <f t="shared" si="80"/>
        <v>1</v>
      </c>
      <c r="E309" s="17" t="str">
        <f t="shared" si="81"/>
        <v>Section 5 - Next steps</v>
      </c>
      <c r="F309" s="18" t="str">
        <f t="shared" si="82"/>
        <v/>
      </c>
      <c r="G309" s="13" t="str">
        <f t="shared" si="74"/>
        <v/>
      </c>
      <c r="H309">
        <f t="shared" si="75"/>
        <v>0</v>
      </c>
      <c r="I309" s="14">
        <f t="shared" si="83"/>
        <v>0</v>
      </c>
      <c r="J309" s="13">
        <f t="shared" si="76"/>
        <v>300</v>
      </c>
      <c r="K309">
        <f t="shared" si="77"/>
        <v>0</v>
      </c>
      <c r="L309">
        <f t="shared" si="78"/>
        <v>5</v>
      </c>
      <c r="M309" s="14">
        <f t="shared" si="79"/>
        <v>0</v>
      </c>
      <c r="N309" s="13">
        <f t="shared" si="91"/>
        <v>0</v>
      </c>
      <c r="O309">
        <f t="shared" si="91"/>
        <v>13</v>
      </c>
      <c r="P309">
        <f t="shared" si="91"/>
        <v>0</v>
      </c>
      <c r="Q309" s="14">
        <f t="shared" si="84"/>
        <v>780</v>
      </c>
      <c r="R309" s="13">
        <f t="shared" si="85"/>
        <v>0</v>
      </c>
      <c r="S309">
        <f t="shared" si="86"/>
        <v>13</v>
      </c>
      <c r="T309">
        <f t="shared" si="87"/>
        <v>0</v>
      </c>
      <c r="U309" s="14">
        <f t="shared" si="88"/>
        <v>780</v>
      </c>
      <c r="V309" s="15"/>
      <c r="Z309" s="14"/>
    </row>
    <row r="310" spans="1:26" x14ac:dyDescent="0.25">
      <c r="A310" s="16"/>
      <c r="B310" s="17" t="b">
        <f t="shared" si="90"/>
        <v>0</v>
      </c>
      <c r="C310" s="17" t="b">
        <f t="shared" si="89"/>
        <v>0</v>
      </c>
      <c r="D310" s="17">
        <f t="shared" si="80"/>
        <v>1</v>
      </c>
      <c r="E310" s="17" t="str">
        <f t="shared" si="81"/>
        <v>Section 5 - Next steps</v>
      </c>
      <c r="F310" s="18" t="str">
        <f t="shared" si="82"/>
        <v/>
      </c>
      <c r="G310" s="13" t="str">
        <f t="shared" si="74"/>
        <v/>
      </c>
      <c r="H310">
        <f t="shared" si="75"/>
        <v>0</v>
      </c>
      <c r="I310" s="14">
        <f t="shared" si="83"/>
        <v>0</v>
      </c>
      <c r="J310" s="13">
        <f t="shared" si="76"/>
        <v>300</v>
      </c>
      <c r="K310">
        <f t="shared" si="77"/>
        <v>0</v>
      </c>
      <c r="L310">
        <f t="shared" si="78"/>
        <v>5</v>
      </c>
      <c r="M310" s="14">
        <f t="shared" si="79"/>
        <v>0</v>
      </c>
      <c r="N310" s="13">
        <f t="shared" si="91"/>
        <v>0</v>
      </c>
      <c r="O310">
        <f t="shared" si="91"/>
        <v>13</v>
      </c>
      <c r="P310">
        <f t="shared" si="91"/>
        <v>0</v>
      </c>
      <c r="Q310" s="14">
        <f t="shared" si="84"/>
        <v>780</v>
      </c>
      <c r="R310" s="13">
        <f t="shared" si="85"/>
        <v>0</v>
      </c>
      <c r="S310">
        <f t="shared" si="86"/>
        <v>13</v>
      </c>
      <c r="T310">
        <f t="shared" si="87"/>
        <v>0</v>
      </c>
      <c r="U310" s="14">
        <f t="shared" si="88"/>
        <v>780</v>
      </c>
      <c r="V310" s="15"/>
      <c r="Z310" s="14"/>
    </row>
    <row r="311" spans="1:26" x14ac:dyDescent="0.25">
      <c r="A311" s="16"/>
      <c r="B311" s="17" t="b">
        <f t="shared" si="90"/>
        <v>0</v>
      </c>
      <c r="C311" s="17" t="b">
        <f t="shared" si="89"/>
        <v>0</v>
      </c>
      <c r="D311" s="17">
        <f t="shared" si="80"/>
        <v>1</v>
      </c>
      <c r="E311" s="17" t="str">
        <f t="shared" si="81"/>
        <v>Section 5 - Next steps</v>
      </c>
      <c r="F311" s="18" t="str">
        <f t="shared" si="82"/>
        <v/>
      </c>
      <c r="G311" s="13" t="str">
        <f t="shared" si="74"/>
        <v/>
      </c>
      <c r="H311">
        <f t="shared" si="75"/>
        <v>0</v>
      </c>
      <c r="I311" s="14">
        <f t="shared" si="83"/>
        <v>0</v>
      </c>
      <c r="J311" s="13">
        <f t="shared" si="76"/>
        <v>300</v>
      </c>
      <c r="K311">
        <f t="shared" si="77"/>
        <v>0</v>
      </c>
      <c r="L311">
        <f t="shared" si="78"/>
        <v>5</v>
      </c>
      <c r="M311" s="14">
        <f t="shared" si="79"/>
        <v>0</v>
      </c>
      <c r="N311" s="13">
        <f t="shared" si="91"/>
        <v>0</v>
      </c>
      <c r="O311">
        <f t="shared" si="91"/>
        <v>13</v>
      </c>
      <c r="P311">
        <f t="shared" si="91"/>
        <v>0</v>
      </c>
      <c r="Q311" s="14">
        <f t="shared" si="84"/>
        <v>780</v>
      </c>
      <c r="R311" s="13">
        <f t="shared" si="85"/>
        <v>0</v>
      </c>
      <c r="S311">
        <f t="shared" si="86"/>
        <v>13</v>
      </c>
      <c r="T311">
        <f t="shared" si="87"/>
        <v>0</v>
      </c>
      <c r="U311" s="14">
        <f t="shared" si="88"/>
        <v>780</v>
      </c>
      <c r="V311" s="15"/>
      <c r="Z311" s="14"/>
    </row>
    <row r="312" spans="1:26" x14ac:dyDescent="0.25">
      <c r="A312" s="16"/>
      <c r="B312" s="17" t="b">
        <f t="shared" si="90"/>
        <v>0</v>
      </c>
      <c r="C312" s="17" t="b">
        <f t="shared" si="89"/>
        <v>0</v>
      </c>
      <c r="D312" s="17">
        <f t="shared" si="80"/>
        <v>1</v>
      </c>
      <c r="E312" s="17" t="str">
        <f t="shared" si="81"/>
        <v>Section 5 - Next steps</v>
      </c>
      <c r="F312" s="18" t="str">
        <f t="shared" si="82"/>
        <v/>
      </c>
      <c r="G312" s="13" t="str">
        <f t="shared" si="74"/>
        <v/>
      </c>
      <c r="H312">
        <f t="shared" si="75"/>
        <v>0</v>
      </c>
      <c r="I312" s="14">
        <f t="shared" si="83"/>
        <v>0</v>
      </c>
      <c r="J312" s="13">
        <f t="shared" si="76"/>
        <v>300</v>
      </c>
      <c r="K312">
        <f t="shared" si="77"/>
        <v>0</v>
      </c>
      <c r="L312">
        <f t="shared" si="78"/>
        <v>5</v>
      </c>
      <c r="M312" s="14">
        <f t="shared" si="79"/>
        <v>0</v>
      </c>
      <c r="N312" s="13">
        <f t="shared" si="91"/>
        <v>0</v>
      </c>
      <c r="O312">
        <f t="shared" si="91"/>
        <v>13</v>
      </c>
      <c r="P312">
        <f t="shared" si="91"/>
        <v>0</v>
      </c>
      <c r="Q312" s="14">
        <f t="shared" si="84"/>
        <v>780</v>
      </c>
      <c r="R312" s="13">
        <f t="shared" si="85"/>
        <v>0</v>
      </c>
      <c r="S312">
        <f t="shared" si="86"/>
        <v>13</v>
      </c>
      <c r="T312">
        <f t="shared" si="87"/>
        <v>0</v>
      </c>
      <c r="U312" s="14">
        <f t="shared" si="88"/>
        <v>780</v>
      </c>
      <c r="V312" s="15"/>
      <c r="Z312" s="14"/>
    </row>
    <row r="313" spans="1:26" x14ac:dyDescent="0.25">
      <c r="A313" s="16"/>
      <c r="B313" s="17" t="b">
        <f t="shared" si="90"/>
        <v>0</v>
      </c>
      <c r="C313" s="17" t="b">
        <f t="shared" si="89"/>
        <v>0</v>
      </c>
      <c r="D313" s="17">
        <f t="shared" si="80"/>
        <v>1</v>
      </c>
      <c r="E313" s="17" t="str">
        <f t="shared" si="81"/>
        <v>Section 5 - Next steps</v>
      </c>
      <c r="F313" s="18" t="str">
        <f t="shared" si="82"/>
        <v/>
      </c>
      <c r="G313" s="13" t="str">
        <f t="shared" si="74"/>
        <v/>
      </c>
      <c r="H313">
        <f t="shared" si="75"/>
        <v>0</v>
      </c>
      <c r="I313" s="14">
        <f t="shared" si="83"/>
        <v>0</v>
      </c>
      <c r="J313" s="13">
        <f t="shared" si="76"/>
        <v>300</v>
      </c>
      <c r="K313">
        <f t="shared" si="77"/>
        <v>0</v>
      </c>
      <c r="L313">
        <f t="shared" si="78"/>
        <v>5</v>
      </c>
      <c r="M313" s="14">
        <f t="shared" si="79"/>
        <v>0</v>
      </c>
      <c r="N313" s="13">
        <f t="shared" si="91"/>
        <v>0</v>
      </c>
      <c r="O313">
        <f t="shared" si="91"/>
        <v>13</v>
      </c>
      <c r="P313">
        <f t="shared" si="91"/>
        <v>0</v>
      </c>
      <c r="Q313" s="14">
        <f t="shared" si="84"/>
        <v>780</v>
      </c>
      <c r="R313" s="13">
        <f t="shared" si="85"/>
        <v>0</v>
      </c>
      <c r="S313">
        <f t="shared" si="86"/>
        <v>13</v>
      </c>
      <c r="T313">
        <f t="shared" si="87"/>
        <v>0</v>
      </c>
      <c r="U313" s="14">
        <f t="shared" si="88"/>
        <v>780</v>
      </c>
      <c r="V313" s="15"/>
      <c r="Z313" s="14"/>
    </row>
    <row r="314" spans="1:26" x14ac:dyDescent="0.25">
      <c r="A314" s="16"/>
      <c r="B314" s="17" t="b">
        <f t="shared" si="90"/>
        <v>0</v>
      </c>
      <c r="C314" s="17" t="b">
        <f t="shared" si="89"/>
        <v>0</v>
      </c>
      <c r="D314" s="17">
        <f t="shared" si="80"/>
        <v>1</v>
      </c>
      <c r="E314" s="17" t="str">
        <f t="shared" si="81"/>
        <v>Section 5 - Next steps</v>
      </c>
      <c r="F314" s="18" t="str">
        <f t="shared" si="82"/>
        <v/>
      </c>
      <c r="G314" s="13" t="str">
        <f t="shared" si="74"/>
        <v/>
      </c>
      <c r="H314">
        <f t="shared" si="75"/>
        <v>0</v>
      </c>
      <c r="I314" s="14">
        <f t="shared" si="83"/>
        <v>0</v>
      </c>
      <c r="J314" s="13">
        <f t="shared" si="76"/>
        <v>300</v>
      </c>
      <c r="K314">
        <f t="shared" si="77"/>
        <v>0</v>
      </c>
      <c r="L314">
        <f t="shared" si="78"/>
        <v>5</v>
      </c>
      <c r="M314" s="14">
        <f t="shared" si="79"/>
        <v>0</v>
      </c>
      <c r="N314" s="13">
        <f t="shared" si="91"/>
        <v>0</v>
      </c>
      <c r="O314">
        <f t="shared" si="91"/>
        <v>13</v>
      </c>
      <c r="P314">
        <f t="shared" si="91"/>
        <v>0</v>
      </c>
      <c r="Q314" s="14">
        <f t="shared" si="84"/>
        <v>780</v>
      </c>
      <c r="R314" s="13">
        <f t="shared" si="85"/>
        <v>0</v>
      </c>
      <c r="S314">
        <f t="shared" si="86"/>
        <v>13</v>
      </c>
      <c r="T314">
        <f t="shared" si="87"/>
        <v>0</v>
      </c>
      <c r="U314" s="14">
        <f t="shared" si="88"/>
        <v>780</v>
      </c>
      <c r="V314" s="15"/>
      <c r="Z314" s="14"/>
    </row>
    <row r="315" spans="1:26" x14ac:dyDescent="0.25">
      <c r="A315" s="16"/>
      <c r="B315" s="17" t="b">
        <f t="shared" si="90"/>
        <v>0</v>
      </c>
      <c r="C315" s="17" t="b">
        <f t="shared" si="89"/>
        <v>0</v>
      </c>
      <c r="D315" s="17">
        <f t="shared" si="80"/>
        <v>1</v>
      </c>
      <c r="E315" s="17" t="str">
        <f t="shared" si="81"/>
        <v>Section 5 - Next steps</v>
      </c>
      <c r="F315" s="18" t="str">
        <f t="shared" si="82"/>
        <v/>
      </c>
      <c r="G315" s="13" t="str">
        <f t="shared" si="74"/>
        <v/>
      </c>
      <c r="H315">
        <f t="shared" si="75"/>
        <v>0</v>
      </c>
      <c r="I315" s="14">
        <f t="shared" si="83"/>
        <v>0</v>
      </c>
      <c r="J315" s="13">
        <f t="shared" si="76"/>
        <v>300</v>
      </c>
      <c r="K315">
        <f t="shared" si="77"/>
        <v>0</v>
      </c>
      <c r="L315">
        <f t="shared" si="78"/>
        <v>5</v>
      </c>
      <c r="M315" s="14">
        <f t="shared" si="79"/>
        <v>0</v>
      </c>
      <c r="N315" s="13">
        <f t="shared" si="91"/>
        <v>0</v>
      </c>
      <c r="O315">
        <f t="shared" si="91"/>
        <v>13</v>
      </c>
      <c r="P315">
        <f t="shared" si="91"/>
        <v>0</v>
      </c>
      <c r="Q315" s="14">
        <f t="shared" si="84"/>
        <v>780</v>
      </c>
      <c r="R315" s="13">
        <f t="shared" si="85"/>
        <v>0</v>
      </c>
      <c r="S315">
        <f t="shared" si="86"/>
        <v>13</v>
      </c>
      <c r="T315">
        <f t="shared" si="87"/>
        <v>0</v>
      </c>
      <c r="U315" s="14">
        <f t="shared" si="88"/>
        <v>780</v>
      </c>
      <c r="V315" s="15"/>
      <c r="Z315" s="14"/>
    </row>
    <row r="316" spans="1:26" x14ac:dyDescent="0.25">
      <c r="A316" s="16"/>
      <c r="B316" s="17" t="b">
        <f t="shared" si="90"/>
        <v>0</v>
      </c>
      <c r="C316" s="17" t="b">
        <f t="shared" si="89"/>
        <v>0</v>
      </c>
      <c r="D316" s="17">
        <f t="shared" si="80"/>
        <v>1</v>
      </c>
      <c r="E316" s="17" t="str">
        <f t="shared" si="81"/>
        <v>Section 5 - Next steps</v>
      </c>
      <c r="F316" s="18" t="str">
        <f t="shared" si="82"/>
        <v/>
      </c>
      <c r="G316" s="13" t="str">
        <f t="shared" si="74"/>
        <v/>
      </c>
      <c r="H316">
        <f t="shared" si="75"/>
        <v>0</v>
      </c>
      <c r="I316" s="14">
        <f t="shared" si="83"/>
        <v>0</v>
      </c>
      <c r="J316" s="13">
        <f t="shared" si="76"/>
        <v>300</v>
      </c>
      <c r="K316">
        <f t="shared" si="77"/>
        <v>0</v>
      </c>
      <c r="L316">
        <f t="shared" si="78"/>
        <v>5</v>
      </c>
      <c r="M316" s="14">
        <f t="shared" si="79"/>
        <v>0</v>
      </c>
      <c r="N316" s="13">
        <f t="shared" si="91"/>
        <v>0</v>
      </c>
      <c r="O316">
        <f t="shared" si="91"/>
        <v>13</v>
      </c>
      <c r="P316">
        <f t="shared" si="91"/>
        <v>0</v>
      </c>
      <c r="Q316" s="14">
        <f t="shared" si="84"/>
        <v>780</v>
      </c>
      <c r="R316" s="13">
        <f t="shared" si="85"/>
        <v>0</v>
      </c>
      <c r="S316">
        <f t="shared" si="86"/>
        <v>13</v>
      </c>
      <c r="T316">
        <f t="shared" si="87"/>
        <v>0</v>
      </c>
      <c r="U316" s="14">
        <f t="shared" si="88"/>
        <v>780</v>
      </c>
      <c r="V316" s="15"/>
      <c r="Z316" s="14"/>
    </row>
    <row r="317" spans="1:26" x14ac:dyDescent="0.25">
      <c r="A317" s="16"/>
      <c r="B317" s="17" t="b">
        <f t="shared" si="90"/>
        <v>0</v>
      </c>
      <c r="C317" s="17" t="b">
        <f t="shared" si="89"/>
        <v>0</v>
      </c>
      <c r="D317" s="17">
        <f t="shared" si="80"/>
        <v>1</v>
      </c>
      <c r="E317" s="17" t="str">
        <f t="shared" si="81"/>
        <v>Section 5 - Next steps</v>
      </c>
      <c r="F317" s="18" t="str">
        <f t="shared" si="82"/>
        <v/>
      </c>
      <c r="G317" s="13" t="str">
        <f t="shared" si="74"/>
        <v/>
      </c>
      <c r="H317">
        <f t="shared" si="75"/>
        <v>0</v>
      </c>
      <c r="I317" s="14">
        <f t="shared" si="83"/>
        <v>0</v>
      </c>
      <c r="J317" s="13">
        <f t="shared" si="76"/>
        <v>300</v>
      </c>
      <c r="K317">
        <f t="shared" si="77"/>
        <v>0</v>
      </c>
      <c r="L317">
        <f t="shared" si="78"/>
        <v>5</v>
      </c>
      <c r="M317" s="14">
        <f t="shared" si="79"/>
        <v>0</v>
      </c>
      <c r="N317" s="13">
        <f t="shared" si="91"/>
        <v>0</v>
      </c>
      <c r="O317">
        <f t="shared" si="91"/>
        <v>13</v>
      </c>
      <c r="P317">
        <f t="shared" si="91"/>
        <v>0</v>
      </c>
      <c r="Q317" s="14">
        <f t="shared" si="84"/>
        <v>780</v>
      </c>
      <c r="R317" s="13">
        <f t="shared" si="85"/>
        <v>0</v>
      </c>
      <c r="S317">
        <f t="shared" si="86"/>
        <v>13</v>
      </c>
      <c r="T317">
        <f t="shared" si="87"/>
        <v>0</v>
      </c>
      <c r="U317" s="14">
        <f t="shared" si="88"/>
        <v>780</v>
      </c>
      <c r="V317" s="15"/>
      <c r="Z317" s="14"/>
    </row>
    <row r="318" spans="1:26" x14ac:dyDescent="0.25">
      <c r="A318" s="16"/>
      <c r="B318" s="17" t="b">
        <f t="shared" si="90"/>
        <v>0</v>
      </c>
      <c r="C318" s="17" t="b">
        <f t="shared" si="89"/>
        <v>0</v>
      </c>
      <c r="D318" s="17">
        <f t="shared" si="80"/>
        <v>1</v>
      </c>
      <c r="E318" s="17" t="str">
        <f t="shared" si="81"/>
        <v>Section 5 - Next steps</v>
      </c>
      <c r="F318" s="18" t="str">
        <f t="shared" si="82"/>
        <v/>
      </c>
      <c r="G318" s="13" t="str">
        <f t="shared" si="74"/>
        <v/>
      </c>
      <c r="H318">
        <f t="shared" si="75"/>
        <v>0</v>
      </c>
      <c r="I318" s="14">
        <f t="shared" si="83"/>
        <v>0</v>
      </c>
      <c r="J318" s="13">
        <f t="shared" si="76"/>
        <v>300</v>
      </c>
      <c r="K318">
        <f t="shared" si="77"/>
        <v>0</v>
      </c>
      <c r="L318">
        <f t="shared" si="78"/>
        <v>5</v>
      </c>
      <c r="M318" s="14">
        <f t="shared" si="79"/>
        <v>0</v>
      </c>
      <c r="N318" s="13">
        <f t="shared" si="91"/>
        <v>0</v>
      </c>
      <c r="O318">
        <f t="shared" si="91"/>
        <v>13</v>
      </c>
      <c r="P318">
        <f t="shared" si="91"/>
        <v>0</v>
      </c>
      <c r="Q318" s="14">
        <f t="shared" si="84"/>
        <v>780</v>
      </c>
      <c r="R318" s="13">
        <f t="shared" si="85"/>
        <v>0</v>
      </c>
      <c r="S318">
        <f t="shared" si="86"/>
        <v>13</v>
      </c>
      <c r="T318">
        <f t="shared" si="87"/>
        <v>0</v>
      </c>
      <c r="U318" s="14">
        <f t="shared" si="88"/>
        <v>780</v>
      </c>
      <c r="V318" s="15"/>
      <c r="Z318" s="14"/>
    </row>
    <row r="319" spans="1:26" x14ac:dyDescent="0.25">
      <c r="A319" s="16"/>
      <c r="B319" s="17" t="b">
        <f t="shared" si="90"/>
        <v>0</v>
      </c>
      <c r="C319" s="17" t="b">
        <f t="shared" si="89"/>
        <v>0</v>
      </c>
      <c r="D319" s="17">
        <f t="shared" si="80"/>
        <v>1</v>
      </c>
      <c r="E319" s="17" t="str">
        <f t="shared" si="81"/>
        <v>Section 5 - Next steps</v>
      </c>
      <c r="F319" s="18" t="str">
        <f t="shared" si="82"/>
        <v/>
      </c>
      <c r="G319" s="13" t="str">
        <f t="shared" si="74"/>
        <v/>
      </c>
      <c r="H319">
        <f t="shared" si="75"/>
        <v>0</v>
      </c>
      <c r="I319" s="14">
        <f t="shared" si="83"/>
        <v>0</v>
      </c>
      <c r="J319" s="13">
        <f t="shared" si="76"/>
        <v>300</v>
      </c>
      <c r="K319">
        <f t="shared" si="77"/>
        <v>0</v>
      </c>
      <c r="L319">
        <f t="shared" si="78"/>
        <v>5</v>
      </c>
      <c r="M319" s="14">
        <f t="shared" si="79"/>
        <v>0</v>
      </c>
      <c r="N319" s="13">
        <f t="shared" si="91"/>
        <v>0</v>
      </c>
      <c r="O319">
        <f t="shared" si="91"/>
        <v>13</v>
      </c>
      <c r="P319">
        <f t="shared" si="91"/>
        <v>0</v>
      </c>
      <c r="Q319" s="14">
        <f t="shared" si="84"/>
        <v>780</v>
      </c>
      <c r="R319" s="13">
        <f t="shared" si="85"/>
        <v>0</v>
      </c>
      <c r="S319">
        <f t="shared" si="86"/>
        <v>13</v>
      </c>
      <c r="T319">
        <f t="shared" si="87"/>
        <v>0</v>
      </c>
      <c r="U319" s="14">
        <f t="shared" si="88"/>
        <v>780</v>
      </c>
      <c r="V319" s="15"/>
      <c r="Z319" s="14"/>
    </row>
    <row r="320" spans="1:26" x14ac:dyDescent="0.25">
      <c r="A320" s="16"/>
      <c r="B320" s="17" t="b">
        <f t="shared" si="90"/>
        <v>0</v>
      </c>
      <c r="C320" s="17" t="b">
        <f t="shared" si="89"/>
        <v>0</v>
      </c>
      <c r="D320" s="17">
        <f t="shared" si="80"/>
        <v>1</v>
      </c>
      <c r="E320" s="17" t="str">
        <f t="shared" si="81"/>
        <v>Section 5 - Next steps</v>
      </c>
      <c r="F320" s="18" t="str">
        <f t="shared" si="82"/>
        <v/>
      </c>
      <c r="G320" s="13" t="str">
        <f t="shared" si="74"/>
        <v/>
      </c>
      <c r="H320">
        <f t="shared" si="75"/>
        <v>0</v>
      </c>
      <c r="I320" s="14">
        <f t="shared" si="83"/>
        <v>0</v>
      </c>
      <c r="J320" s="13">
        <f t="shared" si="76"/>
        <v>300</v>
      </c>
      <c r="K320">
        <f t="shared" si="77"/>
        <v>0</v>
      </c>
      <c r="L320">
        <f t="shared" si="78"/>
        <v>5</v>
      </c>
      <c r="M320" s="14">
        <f t="shared" si="79"/>
        <v>0</v>
      </c>
      <c r="N320" s="13">
        <f t="shared" si="91"/>
        <v>0</v>
      </c>
      <c r="O320">
        <f t="shared" si="91"/>
        <v>13</v>
      </c>
      <c r="P320">
        <f t="shared" si="91"/>
        <v>0</v>
      </c>
      <c r="Q320" s="14">
        <f t="shared" si="84"/>
        <v>780</v>
      </c>
      <c r="R320" s="13">
        <f t="shared" si="85"/>
        <v>0</v>
      </c>
      <c r="S320">
        <f t="shared" si="86"/>
        <v>13</v>
      </c>
      <c r="T320">
        <f t="shared" si="87"/>
        <v>0</v>
      </c>
      <c r="U320" s="14">
        <f t="shared" si="88"/>
        <v>780</v>
      </c>
      <c r="V320" s="15"/>
      <c r="Z320" s="14"/>
    </row>
    <row r="321" spans="1:26" x14ac:dyDescent="0.25">
      <c r="A321" s="16"/>
      <c r="B321" s="17" t="b">
        <f t="shared" si="90"/>
        <v>0</v>
      </c>
      <c r="C321" s="17" t="b">
        <f t="shared" si="89"/>
        <v>0</v>
      </c>
      <c r="D321" s="17">
        <f t="shared" si="80"/>
        <v>1</v>
      </c>
      <c r="E321" s="17" t="str">
        <f t="shared" si="81"/>
        <v>Section 5 - Next steps</v>
      </c>
      <c r="F321" s="18" t="str">
        <f t="shared" si="82"/>
        <v/>
      </c>
      <c r="G321" s="13" t="str">
        <f t="shared" si="74"/>
        <v/>
      </c>
      <c r="H321">
        <f t="shared" si="75"/>
        <v>0</v>
      </c>
      <c r="I321" s="14">
        <f t="shared" si="83"/>
        <v>0</v>
      </c>
      <c r="J321" s="13">
        <f t="shared" si="76"/>
        <v>300</v>
      </c>
      <c r="K321">
        <f t="shared" si="77"/>
        <v>0</v>
      </c>
      <c r="L321">
        <f t="shared" si="78"/>
        <v>5</v>
      </c>
      <c r="M321" s="14">
        <f t="shared" si="79"/>
        <v>0</v>
      </c>
      <c r="N321" s="13">
        <f t="shared" si="91"/>
        <v>0</v>
      </c>
      <c r="O321">
        <f t="shared" si="91"/>
        <v>13</v>
      </c>
      <c r="P321">
        <f t="shared" si="91"/>
        <v>0</v>
      </c>
      <c r="Q321" s="14">
        <f t="shared" si="84"/>
        <v>780</v>
      </c>
      <c r="R321" s="13">
        <f t="shared" si="85"/>
        <v>0</v>
      </c>
      <c r="S321">
        <f t="shared" si="86"/>
        <v>13</v>
      </c>
      <c r="T321">
        <f t="shared" si="87"/>
        <v>0</v>
      </c>
      <c r="U321" s="14">
        <f t="shared" si="88"/>
        <v>780</v>
      </c>
      <c r="V321" s="15"/>
      <c r="Z321" s="14"/>
    </row>
    <row r="322" spans="1:26" x14ac:dyDescent="0.25">
      <c r="A322" s="16"/>
      <c r="B322" s="17" t="b">
        <f t="shared" si="90"/>
        <v>0</v>
      </c>
      <c r="C322" s="17" t="b">
        <f t="shared" si="89"/>
        <v>0</v>
      </c>
      <c r="D322" s="17">
        <f t="shared" si="80"/>
        <v>1</v>
      </c>
      <c r="E322" s="17" t="str">
        <f t="shared" si="81"/>
        <v>Section 5 - Next steps</v>
      </c>
      <c r="F322" s="18" t="str">
        <f t="shared" si="82"/>
        <v/>
      </c>
      <c r="G322" s="13" t="str">
        <f t="shared" si="74"/>
        <v/>
      </c>
      <c r="H322">
        <f t="shared" si="75"/>
        <v>0</v>
      </c>
      <c r="I322" s="14">
        <f t="shared" si="83"/>
        <v>0</v>
      </c>
      <c r="J322" s="13">
        <f t="shared" si="76"/>
        <v>300</v>
      </c>
      <c r="K322">
        <f t="shared" si="77"/>
        <v>0</v>
      </c>
      <c r="L322">
        <f t="shared" si="78"/>
        <v>5</v>
      </c>
      <c r="M322" s="14">
        <f t="shared" si="79"/>
        <v>0</v>
      </c>
      <c r="N322" s="13">
        <f t="shared" si="91"/>
        <v>0</v>
      </c>
      <c r="O322">
        <f t="shared" si="91"/>
        <v>13</v>
      </c>
      <c r="P322">
        <f t="shared" si="91"/>
        <v>0</v>
      </c>
      <c r="Q322" s="14">
        <f t="shared" si="84"/>
        <v>780</v>
      </c>
      <c r="R322" s="13">
        <f t="shared" si="85"/>
        <v>0</v>
      </c>
      <c r="S322">
        <f t="shared" si="86"/>
        <v>13</v>
      </c>
      <c r="T322">
        <f t="shared" si="87"/>
        <v>0</v>
      </c>
      <c r="U322" s="14">
        <f t="shared" si="88"/>
        <v>780</v>
      </c>
      <c r="V322" s="15"/>
      <c r="Z322" s="14"/>
    </row>
    <row r="323" spans="1:26" x14ac:dyDescent="0.25">
      <c r="A323" s="16"/>
      <c r="B323" s="17" t="b">
        <f t="shared" si="90"/>
        <v>0</v>
      </c>
      <c r="C323" s="17" t="b">
        <f t="shared" si="89"/>
        <v>0</v>
      </c>
      <c r="D323" s="17">
        <f t="shared" si="80"/>
        <v>1</v>
      </c>
      <c r="E323" s="17" t="str">
        <f t="shared" si="81"/>
        <v>Section 5 - Next steps</v>
      </c>
      <c r="F323" s="18" t="str">
        <f t="shared" si="82"/>
        <v/>
      </c>
      <c r="G323" s="13" t="str">
        <f t="shared" si="74"/>
        <v/>
      </c>
      <c r="H323">
        <f t="shared" si="75"/>
        <v>0</v>
      </c>
      <c r="I323" s="14">
        <f t="shared" si="83"/>
        <v>0</v>
      </c>
      <c r="J323" s="13">
        <f t="shared" si="76"/>
        <v>300</v>
      </c>
      <c r="K323">
        <f t="shared" si="77"/>
        <v>0</v>
      </c>
      <c r="L323">
        <f t="shared" si="78"/>
        <v>5</v>
      </c>
      <c r="M323" s="14">
        <f t="shared" si="79"/>
        <v>0</v>
      </c>
      <c r="N323" s="13">
        <f t="shared" si="91"/>
        <v>0</v>
      </c>
      <c r="O323">
        <f t="shared" si="91"/>
        <v>13</v>
      </c>
      <c r="P323">
        <f t="shared" si="91"/>
        <v>0</v>
      </c>
      <c r="Q323" s="14">
        <f t="shared" si="84"/>
        <v>780</v>
      </c>
      <c r="R323" s="13">
        <f t="shared" si="85"/>
        <v>0</v>
      </c>
      <c r="S323">
        <f t="shared" si="86"/>
        <v>13</v>
      </c>
      <c r="T323">
        <f t="shared" si="87"/>
        <v>0</v>
      </c>
      <c r="U323" s="14">
        <f t="shared" si="88"/>
        <v>780</v>
      </c>
      <c r="V323" s="15"/>
      <c r="Z323" s="14"/>
    </row>
    <row r="324" spans="1:26" x14ac:dyDescent="0.25">
      <c r="A324" s="16"/>
      <c r="B324" s="17" t="b">
        <f t="shared" si="90"/>
        <v>0</v>
      </c>
      <c r="C324" s="17" t="b">
        <f t="shared" si="89"/>
        <v>0</v>
      </c>
      <c r="D324" s="17">
        <f t="shared" si="80"/>
        <v>1</v>
      </c>
      <c r="E324" s="17" t="str">
        <f t="shared" si="81"/>
        <v>Section 5 - Next steps</v>
      </c>
      <c r="F324" s="18" t="str">
        <f t="shared" si="82"/>
        <v/>
      </c>
      <c r="G324" s="13" t="str">
        <f t="shared" si="74"/>
        <v/>
      </c>
      <c r="H324">
        <f t="shared" si="75"/>
        <v>0</v>
      </c>
      <c r="I324" s="14">
        <f t="shared" si="83"/>
        <v>0</v>
      </c>
      <c r="J324" s="13">
        <f t="shared" si="76"/>
        <v>300</v>
      </c>
      <c r="K324">
        <f t="shared" si="77"/>
        <v>0</v>
      </c>
      <c r="L324">
        <f t="shared" si="78"/>
        <v>5</v>
      </c>
      <c r="M324" s="14">
        <f t="shared" si="79"/>
        <v>0</v>
      </c>
      <c r="N324" s="13">
        <f t="shared" si="91"/>
        <v>0</v>
      </c>
      <c r="O324">
        <f t="shared" si="91"/>
        <v>13</v>
      </c>
      <c r="P324">
        <f t="shared" si="91"/>
        <v>0</v>
      </c>
      <c r="Q324" s="14">
        <f t="shared" si="84"/>
        <v>780</v>
      </c>
      <c r="R324" s="13">
        <f t="shared" si="85"/>
        <v>0</v>
      </c>
      <c r="S324">
        <f t="shared" si="86"/>
        <v>13</v>
      </c>
      <c r="T324">
        <f t="shared" si="87"/>
        <v>0</v>
      </c>
      <c r="U324" s="14">
        <f t="shared" si="88"/>
        <v>780</v>
      </c>
      <c r="V324" s="15"/>
      <c r="Z324" s="14"/>
    </row>
    <row r="325" spans="1:26" x14ac:dyDescent="0.25">
      <c r="A325" s="16"/>
      <c r="B325" s="17" t="b">
        <f t="shared" si="90"/>
        <v>0</v>
      </c>
      <c r="C325" s="17" t="b">
        <f t="shared" si="89"/>
        <v>0</v>
      </c>
      <c r="D325" s="17">
        <f t="shared" si="80"/>
        <v>1</v>
      </c>
      <c r="E325" s="17" t="str">
        <f t="shared" si="81"/>
        <v>Section 5 - Next steps</v>
      </c>
      <c r="F325" s="18" t="str">
        <f t="shared" si="82"/>
        <v/>
      </c>
      <c r="G325" s="13" t="str">
        <f t="shared" si="74"/>
        <v/>
      </c>
      <c r="H325">
        <f t="shared" si="75"/>
        <v>0</v>
      </c>
      <c r="I325" s="14">
        <f t="shared" si="83"/>
        <v>0</v>
      </c>
      <c r="J325" s="13">
        <f t="shared" si="76"/>
        <v>300</v>
      </c>
      <c r="K325">
        <f t="shared" si="77"/>
        <v>0</v>
      </c>
      <c r="L325">
        <f t="shared" si="78"/>
        <v>5</v>
      </c>
      <c r="M325" s="14">
        <f t="shared" si="79"/>
        <v>0</v>
      </c>
      <c r="N325" s="13">
        <f t="shared" si="91"/>
        <v>0</v>
      </c>
      <c r="O325">
        <f t="shared" si="91"/>
        <v>13</v>
      </c>
      <c r="P325">
        <f t="shared" si="91"/>
        <v>0</v>
      </c>
      <c r="Q325" s="14">
        <f t="shared" si="84"/>
        <v>780</v>
      </c>
      <c r="R325" s="13">
        <f t="shared" si="85"/>
        <v>0</v>
      </c>
      <c r="S325">
        <f t="shared" si="86"/>
        <v>13</v>
      </c>
      <c r="T325">
        <f t="shared" si="87"/>
        <v>0</v>
      </c>
      <c r="U325" s="14">
        <f t="shared" si="88"/>
        <v>780</v>
      </c>
      <c r="V325" s="15"/>
      <c r="Z325" s="14"/>
    </row>
    <row r="326" spans="1:26" x14ac:dyDescent="0.25">
      <c r="A326" s="16"/>
      <c r="B326" s="17" t="b">
        <f t="shared" si="90"/>
        <v>0</v>
      </c>
      <c r="C326" s="17" t="b">
        <f t="shared" si="89"/>
        <v>0</v>
      </c>
      <c r="D326" s="17">
        <f t="shared" si="80"/>
        <v>1</v>
      </c>
      <c r="E326" s="17" t="str">
        <f t="shared" si="81"/>
        <v>Section 5 - Next steps</v>
      </c>
      <c r="F326" s="18" t="str">
        <f t="shared" si="82"/>
        <v/>
      </c>
      <c r="G326" s="13" t="str">
        <f t="shared" si="74"/>
        <v/>
      </c>
      <c r="H326">
        <f t="shared" si="75"/>
        <v>0</v>
      </c>
      <c r="I326" s="14">
        <f t="shared" si="83"/>
        <v>0</v>
      </c>
      <c r="J326" s="13">
        <f t="shared" si="76"/>
        <v>300</v>
      </c>
      <c r="K326">
        <f t="shared" si="77"/>
        <v>0</v>
      </c>
      <c r="L326">
        <f t="shared" si="78"/>
        <v>5</v>
      </c>
      <c r="M326" s="14">
        <f t="shared" si="79"/>
        <v>0</v>
      </c>
      <c r="N326" s="13">
        <f t="shared" si="91"/>
        <v>0</v>
      </c>
      <c r="O326">
        <f t="shared" si="91"/>
        <v>13</v>
      </c>
      <c r="P326">
        <f t="shared" si="91"/>
        <v>0</v>
      </c>
      <c r="Q326" s="14">
        <f t="shared" si="84"/>
        <v>780</v>
      </c>
      <c r="R326" s="13">
        <f t="shared" si="85"/>
        <v>0</v>
      </c>
      <c r="S326">
        <f t="shared" si="86"/>
        <v>13</v>
      </c>
      <c r="T326">
        <f t="shared" si="87"/>
        <v>0</v>
      </c>
      <c r="U326" s="14">
        <f t="shared" si="88"/>
        <v>780</v>
      </c>
      <c r="V326" s="15"/>
      <c r="Z326" s="14"/>
    </row>
    <row r="327" spans="1:26" x14ac:dyDescent="0.25">
      <c r="A327" s="16"/>
      <c r="B327" s="17" t="b">
        <f t="shared" si="90"/>
        <v>0</v>
      </c>
      <c r="C327" s="17" t="b">
        <f t="shared" si="89"/>
        <v>0</v>
      </c>
      <c r="D327" s="17">
        <f t="shared" si="80"/>
        <v>1</v>
      </c>
      <c r="E327" s="17" t="str">
        <f t="shared" si="81"/>
        <v>Section 5 - Next steps</v>
      </c>
      <c r="F327" s="18" t="str">
        <f t="shared" si="82"/>
        <v/>
      </c>
      <c r="G327" s="13" t="str">
        <f t="shared" si="74"/>
        <v/>
      </c>
      <c r="H327">
        <f t="shared" si="75"/>
        <v>0</v>
      </c>
      <c r="I327" s="14">
        <f t="shared" si="83"/>
        <v>0</v>
      </c>
      <c r="J327" s="13">
        <f t="shared" si="76"/>
        <v>300</v>
      </c>
      <c r="K327">
        <f t="shared" si="77"/>
        <v>0</v>
      </c>
      <c r="L327">
        <f t="shared" si="78"/>
        <v>5</v>
      </c>
      <c r="M327" s="14">
        <f t="shared" si="79"/>
        <v>0</v>
      </c>
      <c r="N327" s="13">
        <f t="shared" si="91"/>
        <v>0</v>
      </c>
      <c r="O327">
        <f t="shared" si="91"/>
        <v>13</v>
      </c>
      <c r="P327">
        <f t="shared" si="91"/>
        <v>0</v>
      </c>
      <c r="Q327" s="14">
        <f t="shared" si="84"/>
        <v>780</v>
      </c>
      <c r="R327" s="13">
        <f t="shared" si="85"/>
        <v>0</v>
      </c>
      <c r="S327">
        <f t="shared" si="86"/>
        <v>13</v>
      </c>
      <c r="T327">
        <f t="shared" si="87"/>
        <v>0</v>
      </c>
      <c r="U327" s="14">
        <f t="shared" si="88"/>
        <v>780</v>
      </c>
      <c r="V327" s="15"/>
      <c r="Z327" s="14"/>
    </row>
    <row r="328" spans="1:26" x14ac:dyDescent="0.25">
      <c r="A328" s="16"/>
      <c r="B328" s="17" t="b">
        <f t="shared" si="90"/>
        <v>0</v>
      </c>
      <c r="C328" s="17" t="b">
        <f t="shared" si="89"/>
        <v>0</v>
      </c>
      <c r="D328" s="17">
        <f t="shared" si="80"/>
        <v>1</v>
      </c>
      <c r="E328" s="17" t="str">
        <f t="shared" si="81"/>
        <v>Section 5 - Next steps</v>
      </c>
      <c r="F328" s="18" t="str">
        <f t="shared" si="82"/>
        <v/>
      </c>
      <c r="G328" s="13" t="str">
        <f t="shared" si="74"/>
        <v/>
      </c>
      <c r="H328">
        <f t="shared" si="75"/>
        <v>0</v>
      </c>
      <c r="I328" s="14">
        <f t="shared" si="83"/>
        <v>0</v>
      </c>
      <c r="J328" s="13">
        <f t="shared" si="76"/>
        <v>300</v>
      </c>
      <c r="K328">
        <f t="shared" si="77"/>
        <v>0</v>
      </c>
      <c r="L328">
        <f t="shared" si="78"/>
        <v>5</v>
      </c>
      <c r="M328" s="14">
        <f t="shared" si="79"/>
        <v>0</v>
      </c>
      <c r="N328" s="13">
        <f t="shared" si="91"/>
        <v>0</v>
      </c>
      <c r="O328">
        <f t="shared" si="91"/>
        <v>13</v>
      </c>
      <c r="P328">
        <f t="shared" si="91"/>
        <v>0</v>
      </c>
      <c r="Q328" s="14">
        <f t="shared" si="84"/>
        <v>780</v>
      </c>
      <c r="R328" s="13">
        <f t="shared" si="85"/>
        <v>0</v>
      </c>
      <c r="S328">
        <f t="shared" si="86"/>
        <v>13</v>
      </c>
      <c r="T328">
        <f t="shared" si="87"/>
        <v>0</v>
      </c>
      <c r="U328" s="14">
        <f t="shared" si="88"/>
        <v>780</v>
      </c>
      <c r="V328" s="15"/>
      <c r="Z328" s="14"/>
    </row>
    <row r="329" spans="1:26" x14ac:dyDescent="0.25">
      <c r="A329" s="16"/>
      <c r="B329" s="17" t="b">
        <f t="shared" si="90"/>
        <v>0</v>
      </c>
      <c r="C329" s="17" t="b">
        <f t="shared" si="89"/>
        <v>0</v>
      </c>
      <c r="D329" s="17">
        <f t="shared" si="80"/>
        <v>1</v>
      </c>
      <c r="E329" s="17" t="str">
        <f t="shared" si="81"/>
        <v>Section 5 - Next steps</v>
      </c>
      <c r="F329" s="18" t="str">
        <f t="shared" si="82"/>
        <v/>
      </c>
      <c r="G329" s="13" t="str">
        <f t="shared" si="74"/>
        <v/>
      </c>
      <c r="H329">
        <f t="shared" si="75"/>
        <v>0</v>
      </c>
      <c r="I329" s="14">
        <f t="shared" si="83"/>
        <v>0</v>
      </c>
      <c r="J329" s="13">
        <f t="shared" si="76"/>
        <v>300</v>
      </c>
      <c r="K329">
        <f t="shared" si="77"/>
        <v>0</v>
      </c>
      <c r="L329">
        <f t="shared" si="78"/>
        <v>5</v>
      </c>
      <c r="M329" s="14">
        <f t="shared" si="79"/>
        <v>0</v>
      </c>
      <c r="N329" s="13">
        <f t="shared" si="91"/>
        <v>0</v>
      </c>
      <c r="O329">
        <f t="shared" si="91"/>
        <v>13</v>
      </c>
      <c r="P329">
        <f t="shared" si="91"/>
        <v>0</v>
      </c>
      <c r="Q329" s="14">
        <f t="shared" si="84"/>
        <v>780</v>
      </c>
      <c r="R329" s="13">
        <f t="shared" si="85"/>
        <v>0</v>
      </c>
      <c r="S329">
        <f t="shared" si="86"/>
        <v>13</v>
      </c>
      <c r="T329">
        <f t="shared" si="87"/>
        <v>0</v>
      </c>
      <c r="U329" s="14">
        <f t="shared" si="88"/>
        <v>780</v>
      </c>
      <c r="V329" s="15"/>
      <c r="Z329" s="14"/>
    </row>
    <row r="330" spans="1:26" x14ac:dyDescent="0.25">
      <c r="A330" s="16"/>
      <c r="B330" s="17" t="b">
        <f t="shared" si="90"/>
        <v>0</v>
      </c>
      <c r="C330" s="17" t="b">
        <f t="shared" si="89"/>
        <v>0</v>
      </c>
      <c r="D330" s="17">
        <f t="shared" si="80"/>
        <v>1</v>
      </c>
      <c r="E330" s="17" t="str">
        <f t="shared" si="81"/>
        <v>Section 5 - Next steps</v>
      </c>
      <c r="F330" s="18" t="str">
        <f t="shared" si="82"/>
        <v/>
      </c>
      <c r="G330" s="13" t="str">
        <f t="shared" si="74"/>
        <v/>
      </c>
      <c r="H330">
        <f t="shared" si="75"/>
        <v>0</v>
      </c>
      <c r="I330" s="14">
        <f t="shared" si="83"/>
        <v>0</v>
      </c>
      <c r="J330" s="13">
        <f t="shared" si="76"/>
        <v>300</v>
      </c>
      <c r="K330">
        <f t="shared" si="77"/>
        <v>0</v>
      </c>
      <c r="L330">
        <f t="shared" si="78"/>
        <v>5</v>
      </c>
      <c r="M330" s="14">
        <f t="shared" si="79"/>
        <v>0</v>
      </c>
      <c r="N330" s="13">
        <f t="shared" si="91"/>
        <v>0</v>
      </c>
      <c r="O330">
        <f t="shared" si="91"/>
        <v>13</v>
      </c>
      <c r="P330">
        <f t="shared" si="91"/>
        <v>0</v>
      </c>
      <c r="Q330" s="14">
        <f t="shared" si="84"/>
        <v>780</v>
      </c>
      <c r="R330" s="13">
        <f t="shared" si="85"/>
        <v>0</v>
      </c>
      <c r="S330">
        <f t="shared" si="86"/>
        <v>13</v>
      </c>
      <c r="T330">
        <f t="shared" si="87"/>
        <v>0</v>
      </c>
      <c r="U330" s="14">
        <f t="shared" si="88"/>
        <v>780</v>
      </c>
      <c r="V330" s="15"/>
      <c r="Z330" s="14"/>
    </row>
    <row r="331" spans="1:26" x14ac:dyDescent="0.25">
      <c r="A331" s="16"/>
      <c r="B331" s="17" t="b">
        <f t="shared" si="90"/>
        <v>0</v>
      </c>
      <c r="C331" s="17" t="b">
        <f t="shared" si="89"/>
        <v>0</v>
      </c>
      <c r="D331" s="17">
        <f t="shared" si="80"/>
        <v>1</v>
      </c>
      <c r="E331" s="17" t="str">
        <f t="shared" si="81"/>
        <v>Section 5 - Next steps</v>
      </c>
      <c r="F331" s="18" t="str">
        <f t="shared" si="82"/>
        <v/>
      </c>
      <c r="G331" s="13" t="str">
        <f t="shared" ref="G331:G394" si="92">IF(C331,IF(ISERROR(FIND("s",A332)),LEFT(A332,FIND("m",A332)),LEFT(A332,FIND("s",A332))),"")</f>
        <v/>
      </c>
      <c r="H331">
        <f t="shared" ref="H331:H394" si="93">IF(OR(G331="",ISERROR(FIND("m",G331))),0,VALUE(LEFT(G331,FIND("m",G331)-1)))</f>
        <v>0</v>
      </c>
      <c r="I331" s="14">
        <f t="shared" si="83"/>
        <v>0</v>
      </c>
      <c r="J331" s="13">
        <f t="shared" ref="J331:J394" si="94">J330+(H331*60+I331)</f>
        <v>300</v>
      </c>
      <c r="K331">
        <f t="shared" ref="K331:K394" si="95">INT(J331/60/60)</f>
        <v>0</v>
      </c>
      <c r="L331">
        <f t="shared" ref="L331:L394" si="96">INT((J331-(K331*60*60))/60)</f>
        <v>5</v>
      </c>
      <c r="M331" s="14">
        <f t="shared" ref="M331:M394" si="97">J331-(((K331*60)+L331)*60)</f>
        <v>0</v>
      </c>
      <c r="N331" s="13">
        <f t="shared" si="91"/>
        <v>0</v>
      </c>
      <c r="O331">
        <f t="shared" si="91"/>
        <v>13</v>
      </c>
      <c r="P331">
        <f t="shared" si="91"/>
        <v>0</v>
      </c>
      <c r="Q331" s="14">
        <f t="shared" si="84"/>
        <v>780</v>
      </c>
      <c r="R331" s="13">
        <f t="shared" si="85"/>
        <v>0</v>
      </c>
      <c r="S331">
        <f t="shared" si="86"/>
        <v>13</v>
      </c>
      <c r="T331">
        <f t="shared" si="87"/>
        <v>0</v>
      </c>
      <c r="U331" s="14">
        <f t="shared" si="88"/>
        <v>780</v>
      </c>
      <c r="V331" s="15"/>
      <c r="Z331" s="14"/>
    </row>
    <row r="332" spans="1:26" x14ac:dyDescent="0.25">
      <c r="A332" s="16"/>
      <c r="B332" s="17" t="b">
        <f t="shared" si="90"/>
        <v>0</v>
      </c>
      <c r="C332" s="17" t="b">
        <f t="shared" si="89"/>
        <v>0</v>
      </c>
      <c r="D332" s="17">
        <f t="shared" ref="D332:D395" si="98">IF(B332,0,IF(C332,D331+1,D331))</f>
        <v>1</v>
      </c>
      <c r="E332" s="17" t="str">
        <f t="shared" ref="E332:E395" si="99">SUBSTITUTE(IF(B332,A332,E331),":", " -")</f>
        <v>Section 5 - Next steps</v>
      </c>
      <c r="F332" s="18" t="str">
        <f t="shared" ref="F332:F395" si="100">IF(C332,A332,"")</f>
        <v/>
      </c>
      <c r="G332" s="13" t="str">
        <f t="shared" si="92"/>
        <v/>
      </c>
      <c r="H332">
        <f t="shared" si="93"/>
        <v>0</v>
      </c>
      <c r="I332" s="14">
        <f t="shared" ref="I332:I395" si="101">IF(OR(G332="",ISERROR(FIND("s",G332))),0,VALUE(SUBSTITUTE(MID(G332,IF(ISERROR(FIND("m",G332)), 0,FIND("m",G332))+1,LEN(G332)),"s","")))</f>
        <v>0</v>
      </c>
      <c r="J332" s="13">
        <f t="shared" si="94"/>
        <v>300</v>
      </c>
      <c r="K332">
        <f t="shared" si="95"/>
        <v>0</v>
      </c>
      <c r="L332">
        <f t="shared" si="96"/>
        <v>5</v>
      </c>
      <c r="M332" s="14">
        <f t="shared" si="97"/>
        <v>0</v>
      </c>
      <c r="N332" s="13">
        <f t="shared" si="91"/>
        <v>0</v>
      </c>
      <c r="O332">
        <f t="shared" si="91"/>
        <v>13</v>
      </c>
      <c r="P332">
        <f t="shared" si="91"/>
        <v>0</v>
      </c>
      <c r="Q332" s="14">
        <f t="shared" si="84"/>
        <v>780</v>
      </c>
      <c r="R332" s="13">
        <f t="shared" si="85"/>
        <v>0</v>
      </c>
      <c r="S332">
        <f t="shared" si="86"/>
        <v>13</v>
      </c>
      <c r="T332">
        <f t="shared" si="87"/>
        <v>0</v>
      </c>
      <c r="U332" s="14">
        <f t="shared" si="88"/>
        <v>780</v>
      </c>
      <c r="V332" s="15"/>
      <c r="Z332" s="14"/>
    </row>
    <row r="333" spans="1:26" x14ac:dyDescent="0.25">
      <c r="A333" s="16"/>
      <c r="B333" s="17" t="b">
        <f t="shared" si="90"/>
        <v>0</v>
      </c>
      <c r="C333" s="17" t="b">
        <f t="shared" si="89"/>
        <v>0</v>
      </c>
      <c r="D333" s="17">
        <f t="shared" si="98"/>
        <v>1</v>
      </c>
      <c r="E333" s="17" t="str">
        <f t="shared" si="99"/>
        <v>Section 5 - Next steps</v>
      </c>
      <c r="F333" s="18" t="str">
        <f t="shared" si="100"/>
        <v/>
      </c>
      <c r="G333" s="13" t="str">
        <f t="shared" si="92"/>
        <v/>
      </c>
      <c r="H333">
        <f t="shared" si="93"/>
        <v>0</v>
      </c>
      <c r="I333" s="14">
        <f t="shared" si="101"/>
        <v>0</v>
      </c>
      <c r="J333" s="13">
        <f t="shared" si="94"/>
        <v>300</v>
      </c>
      <c r="K333">
        <f t="shared" si="95"/>
        <v>0</v>
      </c>
      <c r="L333">
        <f t="shared" si="96"/>
        <v>5</v>
      </c>
      <c r="M333" s="14">
        <f t="shared" si="97"/>
        <v>0</v>
      </c>
      <c r="N333" s="13">
        <f t="shared" si="91"/>
        <v>0</v>
      </c>
      <c r="O333">
        <f t="shared" si="91"/>
        <v>13</v>
      </c>
      <c r="P333">
        <f t="shared" si="91"/>
        <v>0</v>
      </c>
      <c r="Q333" s="14">
        <f t="shared" si="84"/>
        <v>780</v>
      </c>
      <c r="R333" s="13">
        <f t="shared" si="85"/>
        <v>0</v>
      </c>
      <c r="S333">
        <f t="shared" si="86"/>
        <v>13</v>
      </c>
      <c r="T333">
        <f t="shared" si="87"/>
        <v>0</v>
      </c>
      <c r="U333" s="14">
        <f t="shared" si="88"/>
        <v>780</v>
      </c>
      <c r="V333" s="15"/>
      <c r="Z333" s="14"/>
    </row>
    <row r="334" spans="1:26" x14ac:dyDescent="0.25">
      <c r="A334" s="16"/>
      <c r="B334" s="17" t="b">
        <f t="shared" si="90"/>
        <v>0</v>
      </c>
      <c r="C334" s="17" t="b">
        <f t="shared" si="89"/>
        <v>0</v>
      </c>
      <c r="D334" s="17">
        <f t="shared" si="98"/>
        <v>1</v>
      </c>
      <c r="E334" s="17" t="str">
        <f t="shared" si="99"/>
        <v>Section 5 - Next steps</v>
      </c>
      <c r="F334" s="18" t="str">
        <f t="shared" si="100"/>
        <v/>
      </c>
      <c r="G334" s="13" t="str">
        <f t="shared" si="92"/>
        <v/>
      </c>
      <c r="H334">
        <f t="shared" si="93"/>
        <v>0</v>
      </c>
      <c r="I334" s="14">
        <f t="shared" si="101"/>
        <v>0</v>
      </c>
      <c r="J334" s="13">
        <f t="shared" si="94"/>
        <v>300</v>
      </c>
      <c r="K334">
        <f t="shared" si="95"/>
        <v>0</v>
      </c>
      <c r="L334">
        <f t="shared" si="96"/>
        <v>5</v>
      </c>
      <c r="M334" s="14">
        <f t="shared" si="97"/>
        <v>0</v>
      </c>
      <c r="N334" s="13">
        <f t="shared" si="91"/>
        <v>0</v>
      </c>
      <c r="O334">
        <f t="shared" si="91"/>
        <v>13</v>
      </c>
      <c r="P334">
        <f t="shared" si="91"/>
        <v>0</v>
      </c>
      <c r="Q334" s="14">
        <f t="shared" ref="Q334:Q397" si="102">(((N334*60)+O334)*60)+P334</f>
        <v>780</v>
      </c>
      <c r="R334" s="13">
        <f t="shared" ref="R334:R397" si="103">INT(U334/60/60)</f>
        <v>0</v>
      </c>
      <c r="S334">
        <f t="shared" ref="S334:S397" si="104">INT((U334-(R334*60*60))/60)</f>
        <v>13</v>
      </c>
      <c r="T334">
        <f t="shared" ref="T334:T397" si="105">U334-(((R334*60)+S334)*60)</f>
        <v>0</v>
      </c>
      <c r="U334" s="14">
        <f t="shared" ref="U334:U397" si="106">((H334*60)+I334)+Q334</f>
        <v>780</v>
      </c>
      <c r="V334" s="15"/>
      <c r="Z334" s="14"/>
    </row>
    <row r="335" spans="1:26" x14ac:dyDescent="0.25">
      <c r="A335" s="16"/>
      <c r="B335" s="17" t="b">
        <f t="shared" si="90"/>
        <v>0</v>
      </c>
      <c r="C335" s="17" t="b">
        <f t="shared" si="89"/>
        <v>0</v>
      </c>
      <c r="D335" s="17">
        <f t="shared" si="98"/>
        <v>1</v>
      </c>
      <c r="E335" s="17" t="str">
        <f t="shared" si="99"/>
        <v>Section 5 - Next steps</v>
      </c>
      <c r="F335" s="18" t="str">
        <f t="shared" si="100"/>
        <v/>
      </c>
      <c r="G335" s="13" t="str">
        <f t="shared" si="92"/>
        <v/>
      </c>
      <c r="H335">
        <f t="shared" si="93"/>
        <v>0</v>
      </c>
      <c r="I335" s="14">
        <f t="shared" si="101"/>
        <v>0</v>
      </c>
      <c r="J335" s="13">
        <f t="shared" si="94"/>
        <v>300</v>
      </c>
      <c r="K335">
        <f t="shared" si="95"/>
        <v>0</v>
      </c>
      <c r="L335">
        <f t="shared" si="96"/>
        <v>5</v>
      </c>
      <c r="M335" s="14">
        <f t="shared" si="97"/>
        <v>0</v>
      </c>
      <c r="N335" s="13">
        <f t="shared" si="91"/>
        <v>0</v>
      </c>
      <c r="O335">
        <f t="shared" si="91"/>
        <v>13</v>
      </c>
      <c r="P335">
        <f t="shared" si="91"/>
        <v>0</v>
      </c>
      <c r="Q335" s="14">
        <f t="shared" si="102"/>
        <v>780</v>
      </c>
      <c r="R335" s="13">
        <f t="shared" si="103"/>
        <v>0</v>
      </c>
      <c r="S335">
        <f t="shared" si="104"/>
        <v>13</v>
      </c>
      <c r="T335">
        <f t="shared" si="105"/>
        <v>0</v>
      </c>
      <c r="U335" s="14">
        <f t="shared" si="106"/>
        <v>780</v>
      </c>
      <c r="V335" s="15"/>
      <c r="Z335" s="14"/>
    </row>
    <row r="336" spans="1:26" x14ac:dyDescent="0.25">
      <c r="A336" s="16"/>
      <c r="B336" s="17" t="b">
        <f t="shared" si="90"/>
        <v>0</v>
      </c>
      <c r="C336" s="17" t="b">
        <f t="shared" ref="C336:C399" si="107">OR(AND(NOT(ISERROR(FIND("m",A337))),ISNUMBER(VALUE(LEFT(A337,FIND("m",A337)-1)))),AND(NOT(ISERROR(FIND("s",A337))),ISNUMBER(VALUE(LEFT(A337,FIND("s",A337)-1)))))</f>
        <v>0</v>
      </c>
      <c r="D336" s="17">
        <f t="shared" si="98"/>
        <v>1</v>
      </c>
      <c r="E336" s="17" t="str">
        <f t="shared" si="99"/>
        <v>Section 5 - Next steps</v>
      </c>
      <c r="F336" s="18" t="str">
        <f t="shared" si="100"/>
        <v/>
      </c>
      <c r="G336" s="13" t="str">
        <f t="shared" si="92"/>
        <v/>
      </c>
      <c r="H336">
        <f t="shared" si="93"/>
        <v>0</v>
      </c>
      <c r="I336" s="14">
        <f t="shared" si="101"/>
        <v>0</v>
      </c>
      <c r="J336" s="13">
        <f t="shared" si="94"/>
        <v>300</v>
      </c>
      <c r="K336">
        <f t="shared" si="95"/>
        <v>0</v>
      </c>
      <c r="L336">
        <f t="shared" si="96"/>
        <v>5</v>
      </c>
      <c r="M336" s="14">
        <f t="shared" si="97"/>
        <v>0</v>
      </c>
      <c r="N336" s="13">
        <f t="shared" si="91"/>
        <v>0</v>
      </c>
      <c r="O336">
        <f t="shared" si="91"/>
        <v>13</v>
      </c>
      <c r="P336">
        <f t="shared" si="91"/>
        <v>0</v>
      </c>
      <c r="Q336" s="14">
        <f t="shared" si="102"/>
        <v>780</v>
      </c>
      <c r="R336" s="13">
        <f t="shared" si="103"/>
        <v>0</v>
      </c>
      <c r="S336">
        <f t="shared" si="104"/>
        <v>13</v>
      </c>
      <c r="T336">
        <f t="shared" si="105"/>
        <v>0</v>
      </c>
      <c r="U336" s="14">
        <f t="shared" si="106"/>
        <v>780</v>
      </c>
      <c r="V336" s="15"/>
      <c r="Z336" s="14"/>
    </row>
    <row r="337" spans="1:26" x14ac:dyDescent="0.25">
      <c r="A337" s="16"/>
      <c r="B337" s="17" t="b">
        <f t="shared" si="90"/>
        <v>0</v>
      </c>
      <c r="C337" s="17" t="b">
        <f t="shared" si="107"/>
        <v>0</v>
      </c>
      <c r="D337" s="17">
        <f t="shared" si="98"/>
        <v>1</v>
      </c>
      <c r="E337" s="17" t="str">
        <f t="shared" si="99"/>
        <v>Section 5 - Next steps</v>
      </c>
      <c r="F337" s="18" t="str">
        <f t="shared" si="100"/>
        <v/>
      </c>
      <c r="G337" s="13" t="str">
        <f t="shared" si="92"/>
        <v/>
      </c>
      <c r="H337">
        <f t="shared" si="93"/>
        <v>0</v>
      </c>
      <c r="I337" s="14">
        <f t="shared" si="101"/>
        <v>0</v>
      </c>
      <c r="J337" s="13">
        <f t="shared" si="94"/>
        <v>300</v>
      </c>
      <c r="K337">
        <f t="shared" si="95"/>
        <v>0</v>
      </c>
      <c r="L337">
        <f t="shared" si="96"/>
        <v>5</v>
      </c>
      <c r="M337" s="14">
        <f t="shared" si="97"/>
        <v>0</v>
      </c>
      <c r="N337" s="13">
        <f t="shared" si="91"/>
        <v>0</v>
      </c>
      <c r="O337">
        <f t="shared" si="91"/>
        <v>13</v>
      </c>
      <c r="P337">
        <f t="shared" si="91"/>
        <v>0</v>
      </c>
      <c r="Q337" s="14">
        <f t="shared" si="102"/>
        <v>780</v>
      </c>
      <c r="R337" s="13">
        <f t="shared" si="103"/>
        <v>0</v>
      </c>
      <c r="S337">
        <f t="shared" si="104"/>
        <v>13</v>
      </c>
      <c r="T337">
        <f t="shared" si="105"/>
        <v>0</v>
      </c>
      <c r="U337" s="14">
        <f t="shared" si="106"/>
        <v>780</v>
      </c>
      <c r="V337" s="15"/>
      <c r="Z337" s="14"/>
    </row>
    <row r="338" spans="1:26" x14ac:dyDescent="0.25">
      <c r="A338" s="16"/>
      <c r="B338" s="17" t="b">
        <f t="shared" si="90"/>
        <v>0</v>
      </c>
      <c r="C338" s="17" t="b">
        <f t="shared" si="107"/>
        <v>0</v>
      </c>
      <c r="D338" s="17">
        <f t="shared" si="98"/>
        <v>1</v>
      </c>
      <c r="E338" s="17" t="str">
        <f t="shared" si="99"/>
        <v>Section 5 - Next steps</v>
      </c>
      <c r="F338" s="18" t="str">
        <f t="shared" si="100"/>
        <v/>
      </c>
      <c r="G338" s="13" t="str">
        <f t="shared" si="92"/>
        <v/>
      </c>
      <c r="H338">
        <f t="shared" si="93"/>
        <v>0</v>
      </c>
      <c r="I338" s="14">
        <f t="shared" si="101"/>
        <v>0</v>
      </c>
      <c r="J338" s="13">
        <f t="shared" si="94"/>
        <v>300</v>
      </c>
      <c r="K338">
        <f t="shared" si="95"/>
        <v>0</v>
      </c>
      <c r="L338">
        <f t="shared" si="96"/>
        <v>5</v>
      </c>
      <c r="M338" s="14">
        <f t="shared" si="97"/>
        <v>0</v>
      </c>
      <c r="N338" s="13">
        <f t="shared" si="91"/>
        <v>0</v>
      </c>
      <c r="O338">
        <f t="shared" si="91"/>
        <v>13</v>
      </c>
      <c r="P338">
        <f t="shared" si="91"/>
        <v>0</v>
      </c>
      <c r="Q338" s="14">
        <f t="shared" si="102"/>
        <v>780</v>
      </c>
      <c r="R338" s="13">
        <f t="shared" si="103"/>
        <v>0</v>
      </c>
      <c r="S338">
        <f t="shared" si="104"/>
        <v>13</v>
      </c>
      <c r="T338">
        <f t="shared" si="105"/>
        <v>0</v>
      </c>
      <c r="U338" s="14">
        <f t="shared" si="106"/>
        <v>780</v>
      </c>
      <c r="V338" s="15"/>
      <c r="Z338" s="14"/>
    </row>
    <row r="339" spans="1:26" x14ac:dyDescent="0.25">
      <c r="A339" s="16"/>
      <c r="B339" s="17" t="b">
        <f t="shared" ref="B339:B402" si="108">AND(NOT(ISERROR(FIND("Section ",A339))),NOT(ISERROR(FIND("Section ",A339))))</f>
        <v>0</v>
      </c>
      <c r="C339" s="17" t="b">
        <f t="shared" si="107"/>
        <v>0</v>
      </c>
      <c r="D339" s="17">
        <f t="shared" si="98"/>
        <v>1</v>
      </c>
      <c r="E339" s="17" t="str">
        <f t="shared" si="99"/>
        <v>Section 5 - Next steps</v>
      </c>
      <c r="F339" s="18" t="str">
        <f t="shared" si="100"/>
        <v/>
      </c>
      <c r="G339" s="13" t="str">
        <f t="shared" si="92"/>
        <v/>
      </c>
      <c r="H339">
        <f t="shared" si="93"/>
        <v>0</v>
      </c>
      <c r="I339" s="14">
        <f t="shared" si="101"/>
        <v>0</v>
      </c>
      <c r="J339" s="13">
        <f t="shared" si="94"/>
        <v>300</v>
      </c>
      <c r="K339">
        <f t="shared" si="95"/>
        <v>0</v>
      </c>
      <c r="L339">
        <f t="shared" si="96"/>
        <v>5</v>
      </c>
      <c r="M339" s="14">
        <f t="shared" si="97"/>
        <v>0</v>
      </c>
      <c r="N339" s="13">
        <f t="shared" si="91"/>
        <v>0</v>
      </c>
      <c r="O339">
        <f t="shared" si="91"/>
        <v>13</v>
      </c>
      <c r="P339">
        <f t="shared" si="91"/>
        <v>0</v>
      </c>
      <c r="Q339" s="14">
        <f t="shared" si="102"/>
        <v>780</v>
      </c>
      <c r="R339" s="13">
        <f t="shared" si="103"/>
        <v>0</v>
      </c>
      <c r="S339">
        <f t="shared" si="104"/>
        <v>13</v>
      </c>
      <c r="T339">
        <f t="shared" si="105"/>
        <v>0</v>
      </c>
      <c r="U339" s="14">
        <f t="shared" si="106"/>
        <v>780</v>
      </c>
      <c r="V339" s="15"/>
      <c r="Z339" s="14"/>
    </row>
    <row r="340" spans="1:26" x14ac:dyDescent="0.25">
      <c r="A340" s="16"/>
      <c r="B340" s="17" t="b">
        <f t="shared" si="108"/>
        <v>0</v>
      </c>
      <c r="C340" s="17" t="b">
        <f t="shared" si="107"/>
        <v>0</v>
      </c>
      <c r="D340" s="17">
        <f t="shared" si="98"/>
        <v>1</v>
      </c>
      <c r="E340" s="17" t="str">
        <f t="shared" si="99"/>
        <v>Section 5 - Next steps</v>
      </c>
      <c r="F340" s="18" t="str">
        <f t="shared" si="100"/>
        <v/>
      </c>
      <c r="G340" s="13" t="str">
        <f t="shared" si="92"/>
        <v/>
      </c>
      <c r="H340">
        <f t="shared" si="93"/>
        <v>0</v>
      </c>
      <c r="I340" s="14">
        <f t="shared" si="101"/>
        <v>0</v>
      </c>
      <c r="J340" s="13">
        <f t="shared" si="94"/>
        <v>300</v>
      </c>
      <c r="K340">
        <f t="shared" si="95"/>
        <v>0</v>
      </c>
      <c r="L340">
        <f t="shared" si="96"/>
        <v>5</v>
      </c>
      <c r="M340" s="14">
        <f t="shared" si="97"/>
        <v>0</v>
      </c>
      <c r="N340" s="13">
        <f t="shared" si="91"/>
        <v>0</v>
      </c>
      <c r="O340">
        <f t="shared" si="91"/>
        <v>13</v>
      </c>
      <c r="P340">
        <f t="shared" si="91"/>
        <v>0</v>
      </c>
      <c r="Q340" s="14">
        <f t="shared" si="102"/>
        <v>780</v>
      </c>
      <c r="R340" s="13">
        <f t="shared" si="103"/>
        <v>0</v>
      </c>
      <c r="S340">
        <f t="shared" si="104"/>
        <v>13</v>
      </c>
      <c r="T340">
        <f t="shared" si="105"/>
        <v>0</v>
      </c>
      <c r="U340" s="14">
        <f t="shared" si="106"/>
        <v>780</v>
      </c>
      <c r="V340" s="15"/>
      <c r="Z340" s="14"/>
    </row>
    <row r="341" spans="1:26" x14ac:dyDescent="0.25">
      <c r="A341" s="16"/>
      <c r="B341" s="17" t="b">
        <f t="shared" si="108"/>
        <v>0</v>
      </c>
      <c r="C341" s="17" t="b">
        <f t="shared" si="107"/>
        <v>0</v>
      </c>
      <c r="D341" s="17">
        <f t="shared" si="98"/>
        <v>1</v>
      </c>
      <c r="E341" s="17" t="str">
        <f t="shared" si="99"/>
        <v>Section 5 - Next steps</v>
      </c>
      <c r="F341" s="18" t="str">
        <f t="shared" si="100"/>
        <v/>
      </c>
      <c r="G341" s="13" t="str">
        <f t="shared" si="92"/>
        <v/>
      </c>
      <c r="H341">
        <f t="shared" si="93"/>
        <v>0</v>
      </c>
      <c r="I341" s="14">
        <f t="shared" si="101"/>
        <v>0</v>
      </c>
      <c r="J341" s="13">
        <f t="shared" si="94"/>
        <v>300</v>
      </c>
      <c r="K341">
        <f t="shared" si="95"/>
        <v>0</v>
      </c>
      <c r="L341">
        <f t="shared" si="96"/>
        <v>5</v>
      </c>
      <c r="M341" s="14">
        <f t="shared" si="97"/>
        <v>0</v>
      </c>
      <c r="N341" s="13">
        <f t="shared" si="91"/>
        <v>0</v>
      </c>
      <c r="O341">
        <f t="shared" si="91"/>
        <v>13</v>
      </c>
      <c r="P341">
        <f t="shared" si="91"/>
        <v>0</v>
      </c>
      <c r="Q341" s="14">
        <f t="shared" si="102"/>
        <v>780</v>
      </c>
      <c r="R341" s="13">
        <f t="shared" si="103"/>
        <v>0</v>
      </c>
      <c r="S341">
        <f t="shared" si="104"/>
        <v>13</v>
      </c>
      <c r="T341">
        <f t="shared" si="105"/>
        <v>0</v>
      </c>
      <c r="U341" s="14">
        <f t="shared" si="106"/>
        <v>780</v>
      </c>
      <c r="V341" s="15"/>
      <c r="Z341" s="14"/>
    </row>
    <row r="342" spans="1:26" x14ac:dyDescent="0.25">
      <c r="A342" s="16"/>
      <c r="B342" s="17" t="b">
        <f t="shared" si="108"/>
        <v>0</v>
      </c>
      <c r="C342" s="17" t="b">
        <f t="shared" si="107"/>
        <v>0</v>
      </c>
      <c r="D342" s="17">
        <f t="shared" si="98"/>
        <v>1</v>
      </c>
      <c r="E342" s="17" t="str">
        <f t="shared" si="99"/>
        <v>Section 5 - Next steps</v>
      </c>
      <c r="F342" s="18" t="str">
        <f t="shared" si="100"/>
        <v/>
      </c>
      <c r="G342" s="13" t="str">
        <f t="shared" si="92"/>
        <v/>
      </c>
      <c r="H342">
        <f t="shared" si="93"/>
        <v>0</v>
      </c>
      <c r="I342" s="14">
        <f t="shared" si="101"/>
        <v>0</v>
      </c>
      <c r="J342" s="13">
        <f t="shared" si="94"/>
        <v>300</v>
      </c>
      <c r="K342">
        <f t="shared" si="95"/>
        <v>0</v>
      </c>
      <c r="L342">
        <f t="shared" si="96"/>
        <v>5</v>
      </c>
      <c r="M342" s="14">
        <f t="shared" si="97"/>
        <v>0</v>
      </c>
      <c r="N342" s="13">
        <f t="shared" si="91"/>
        <v>0</v>
      </c>
      <c r="O342">
        <f t="shared" si="91"/>
        <v>13</v>
      </c>
      <c r="P342">
        <f t="shared" si="91"/>
        <v>0</v>
      </c>
      <c r="Q342" s="14">
        <f t="shared" si="102"/>
        <v>780</v>
      </c>
      <c r="R342" s="13">
        <f t="shared" si="103"/>
        <v>0</v>
      </c>
      <c r="S342">
        <f t="shared" si="104"/>
        <v>13</v>
      </c>
      <c r="T342">
        <f t="shared" si="105"/>
        <v>0</v>
      </c>
      <c r="U342" s="14">
        <f t="shared" si="106"/>
        <v>780</v>
      </c>
      <c r="V342" s="15"/>
      <c r="Z342" s="14"/>
    </row>
    <row r="343" spans="1:26" x14ac:dyDescent="0.25">
      <c r="A343" s="16"/>
      <c r="B343" s="17" t="b">
        <f t="shared" si="108"/>
        <v>0</v>
      </c>
      <c r="C343" s="17" t="b">
        <f t="shared" si="107"/>
        <v>0</v>
      </c>
      <c r="D343" s="17">
        <f t="shared" si="98"/>
        <v>1</v>
      </c>
      <c r="E343" s="17" t="str">
        <f t="shared" si="99"/>
        <v>Section 5 - Next steps</v>
      </c>
      <c r="F343" s="18" t="str">
        <f t="shared" si="100"/>
        <v/>
      </c>
      <c r="G343" s="13" t="str">
        <f t="shared" si="92"/>
        <v/>
      </c>
      <c r="H343">
        <f t="shared" si="93"/>
        <v>0</v>
      </c>
      <c r="I343" s="14">
        <f t="shared" si="101"/>
        <v>0</v>
      </c>
      <c r="J343" s="13">
        <f t="shared" si="94"/>
        <v>300</v>
      </c>
      <c r="K343">
        <f t="shared" si="95"/>
        <v>0</v>
      </c>
      <c r="L343">
        <f t="shared" si="96"/>
        <v>5</v>
      </c>
      <c r="M343" s="14">
        <f t="shared" si="97"/>
        <v>0</v>
      </c>
      <c r="N343" s="13">
        <f t="shared" si="91"/>
        <v>0</v>
      </c>
      <c r="O343">
        <f t="shared" si="91"/>
        <v>13</v>
      </c>
      <c r="P343">
        <f t="shared" si="91"/>
        <v>0</v>
      </c>
      <c r="Q343" s="14">
        <f t="shared" si="102"/>
        <v>780</v>
      </c>
      <c r="R343" s="13">
        <f t="shared" si="103"/>
        <v>0</v>
      </c>
      <c r="S343">
        <f t="shared" si="104"/>
        <v>13</v>
      </c>
      <c r="T343">
        <f t="shared" si="105"/>
        <v>0</v>
      </c>
      <c r="U343" s="14">
        <f t="shared" si="106"/>
        <v>780</v>
      </c>
      <c r="V343" s="15"/>
      <c r="Z343" s="14"/>
    </row>
    <row r="344" spans="1:26" x14ac:dyDescent="0.25">
      <c r="A344" s="16"/>
      <c r="B344" s="17" t="b">
        <f t="shared" si="108"/>
        <v>0</v>
      </c>
      <c r="C344" s="17" t="b">
        <f t="shared" si="107"/>
        <v>0</v>
      </c>
      <c r="D344" s="17">
        <f t="shared" si="98"/>
        <v>1</v>
      </c>
      <c r="E344" s="17" t="str">
        <f t="shared" si="99"/>
        <v>Section 5 - Next steps</v>
      </c>
      <c r="F344" s="18" t="str">
        <f t="shared" si="100"/>
        <v/>
      </c>
      <c r="G344" s="13" t="str">
        <f t="shared" si="92"/>
        <v/>
      </c>
      <c r="H344">
        <f t="shared" si="93"/>
        <v>0</v>
      </c>
      <c r="I344" s="14">
        <f t="shared" si="101"/>
        <v>0</v>
      </c>
      <c r="J344" s="13">
        <f t="shared" si="94"/>
        <v>300</v>
      </c>
      <c r="K344">
        <f t="shared" si="95"/>
        <v>0</v>
      </c>
      <c r="L344">
        <f t="shared" si="96"/>
        <v>5</v>
      </c>
      <c r="M344" s="14">
        <f t="shared" si="97"/>
        <v>0</v>
      </c>
      <c r="N344" s="13">
        <f t="shared" si="91"/>
        <v>0</v>
      </c>
      <c r="O344">
        <f t="shared" si="91"/>
        <v>13</v>
      </c>
      <c r="P344">
        <f t="shared" si="91"/>
        <v>0</v>
      </c>
      <c r="Q344" s="14">
        <f t="shared" si="102"/>
        <v>780</v>
      </c>
      <c r="R344" s="13">
        <f t="shared" si="103"/>
        <v>0</v>
      </c>
      <c r="S344">
        <f t="shared" si="104"/>
        <v>13</v>
      </c>
      <c r="T344">
        <f t="shared" si="105"/>
        <v>0</v>
      </c>
      <c r="U344" s="14">
        <f t="shared" si="106"/>
        <v>780</v>
      </c>
      <c r="V344" s="15"/>
      <c r="Z344" s="14"/>
    </row>
    <row r="345" spans="1:26" x14ac:dyDescent="0.25">
      <c r="A345" s="16"/>
      <c r="B345" s="17" t="b">
        <f t="shared" si="108"/>
        <v>0</v>
      </c>
      <c r="C345" s="17" t="b">
        <f t="shared" si="107"/>
        <v>0</v>
      </c>
      <c r="D345" s="17">
        <f t="shared" si="98"/>
        <v>1</v>
      </c>
      <c r="E345" s="17" t="str">
        <f t="shared" si="99"/>
        <v>Section 5 - Next steps</v>
      </c>
      <c r="F345" s="18" t="str">
        <f t="shared" si="100"/>
        <v/>
      </c>
      <c r="G345" s="13" t="str">
        <f t="shared" si="92"/>
        <v/>
      </c>
      <c r="H345">
        <f t="shared" si="93"/>
        <v>0</v>
      </c>
      <c r="I345" s="14">
        <f t="shared" si="101"/>
        <v>0</v>
      </c>
      <c r="J345" s="13">
        <f t="shared" si="94"/>
        <v>300</v>
      </c>
      <c r="K345">
        <f t="shared" si="95"/>
        <v>0</v>
      </c>
      <c r="L345">
        <f t="shared" si="96"/>
        <v>5</v>
      </c>
      <c r="M345" s="14">
        <f t="shared" si="97"/>
        <v>0</v>
      </c>
      <c r="N345" s="13">
        <f t="shared" si="91"/>
        <v>0</v>
      </c>
      <c r="O345">
        <f t="shared" si="91"/>
        <v>13</v>
      </c>
      <c r="P345">
        <f t="shared" si="91"/>
        <v>0</v>
      </c>
      <c r="Q345" s="14">
        <f t="shared" si="102"/>
        <v>780</v>
      </c>
      <c r="R345" s="13">
        <f t="shared" si="103"/>
        <v>0</v>
      </c>
      <c r="S345">
        <f t="shared" si="104"/>
        <v>13</v>
      </c>
      <c r="T345">
        <f t="shared" si="105"/>
        <v>0</v>
      </c>
      <c r="U345" s="14">
        <f t="shared" si="106"/>
        <v>780</v>
      </c>
      <c r="V345" s="15"/>
      <c r="Z345" s="14"/>
    </row>
    <row r="346" spans="1:26" x14ac:dyDescent="0.25">
      <c r="A346" s="16"/>
      <c r="B346" s="17" t="b">
        <f t="shared" si="108"/>
        <v>0</v>
      </c>
      <c r="C346" s="17" t="b">
        <f t="shared" si="107"/>
        <v>0</v>
      </c>
      <c r="D346" s="17">
        <f t="shared" si="98"/>
        <v>1</v>
      </c>
      <c r="E346" s="17" t="str">
        <f t="shared" si="99"/>
        <v>Section 5 - Next steps</v>
      </c>
      <c r="F346" s="18" t="str">
        <f t="shared" si="100"/>
        <v/>
      </c>
      <c r="G346" s="13" t="str">
        <f t="shared" si="92"/>
        <v/>
      </c>
      <c r="H346">
        <f t="shared" si="93"/>
        <v>0</v>
      </c>
      <c r="I346" s="14">
        <f t="shared" si="101"/>
        <v>0</v>
      </c>
      <c r="J346" s="13">
        <f t="shared" si="94"/>
        <v>300</v>
      </c>
      <c r="K346">
        <f t="shared" si="95"/>
        <v>0</v>
      </c>
      <c r="L346">
        <f t="shared" si="96"/>
        <v>5</v>
      </c>
      <c r="M346" s="14">
        <f t="shared" si="97"/>
        <v>0</v>
      </c>
      <c r="N346" s="13">
        <f t="shared" si="91"/>
        <v>0</v>
      </c>
      <c r="O346">
        <f t="shared" si="91"/>
        <v>13</v>
      </c>
      <c r="P346">
        <f t="shared" si="91"/>
        <v>0</v>
      </c>
      <c r="Q346" s="14">
        <f t="shared" si="102"/>
        <v>780</v>
      </c>
      <c r="R346" s="13">
        <f t="shared" si="103"/>
        <v>0</v>
      </c>
      <c r="S346">
        <f t="shared" si="104"/>
        <v>13</v>
      </c>
      <c r="T346">
        <f t="shared" si="105"/>
        <v>0</v>
      </c>
      <c r="U346" s="14">
        <f t="shared" si="106"/>
        <v>780</v>
      </c>
      <c r="V346" s="15"/>
      <c r="Z346" s="14"/>
    </row>
    <row r="347" spans="1:26" x14ac:dyDescent="0.25">
      <c r="A347" s="16"/>
      <c r="B347" s="17" t="b">
        <f t="shared" si="108"/>
        <v>0</v>
      </c>
      <c r="C347" s="17" t="b">
        <f t="shared" si="107"/>
        <v>0</v>
      </c>
      <c r="D347" s="17">
        <f t="shared" si="98"/>
        <v>1</v>
      </c>
      <c r="E347" s="17" t="str">
        <f t="shared" si="99"/>
        <v>Section 5 - Next steps</v>
      </c>
      <c r="F347" s="18" t="str">
        <f t="shared" si="100"/>
        <v/>
      </c>
      <c r="G347" s="13" t="str">
        <f t="shared" si="92"/>
        <v/>
      </c>
      <c r="H347">
        <f t="shared" si="93"/>
        <v>0</v>
      </c>
      <c r="I347" s="14">
        <f t="shared" si="101"/>
        <v>0</v>
      </c>
      <c r="J347" s="13">
        <f t="shared" si="94"/>
        <v>300</v>
      </c>
      <c r="K347">
        <f t="shared" si="95"/>
        <v>0</v>
      </c>
      <c r="L347">
        <f t="shared" si="96"/>
        <v>5</v>
      </c>
      <c r="M347" s="14">
        <f t="shared" si="97"/>
        <v>0</v>
      </c>
      <c r="N347" s="13">
        <f t="shared" si="91"/>
        <v>0</v>
      </c>
      <c r="O347">
        <f t="shared" si="91"/>
        <v>13</v>
      </c>
      <c r="P347">
        <f t="shared" si="91"/>
        <v>0</v>
      </c>
      <c r="Q347" s="14">
        <f t="shared" si="102"/>
        <v>780</v>
      </c>
      <c r="R347" s="13">
        <f t="shared" si="103"/>
        <v>0</v>
      </c>
      <c r="S347">
        <f t="shared" si="104"/>
        <v>13</v>
      </c>
      <c r="T347">
        <f t="shared" si="105"/>
        <v>0</v>
      </c>
      <c r="U347" s="14">
        <f t="shared" si="106"/>
        <v>780</v>
      </c>
      <c r="V347" s="15"/>
      <c r="Z347" s="14"/>
    </row>
    <row r="348" spans="1:26" x14ac:dyDescent="0.25">
      <c r="A348" s="16"/>
      <c r="B348" s="17" t="b">
        <f t="shared" si="108"/>
        <v>0</v>
      </c>
      <c r="C348" s="17" t="b">
        <f t="shared" si="107"/>
        <v>0</v>
      </c>
      <c r="D348" s="17">
        <f t="shared" si="98"/>
        <v>1</v>
      </c>
      <c r="E348" s="17" t="str">
        <f t="shared" si="99"/>
        <v>Section 5 - Next steps</v>
      </c>
      <c r="F348" s="18" t="str">
        <f t="shared" si="100"/>
        <v/>
      </c>
      <c r="G348" s="13" t="str">
        <f t="shared" si="92"/>
        <v/>
      </c>
      <c r="H348">
        <f t="shared" si="93"/>
        <v>0</v>
      </c>
      <c r="I348" s="14">
        <f t="shared" si="101"/>
        <v>0</v>
      </c>
      <c r="J348" s="13">
        <f t="shared" si="94"/>
        <v>300</v>
      </c>
      <c r="K348">
        <f t="shared" si="95"/>
        <v>0</v>
      </c>
      <c r="L348">
        <f t="shared" si="96"/>
        <v>5</v>
      </c>
      <c r="M348" s="14">
        <f t="shared" si="97"/>
        <v>0</v>
      </c>
      <c r="N348" s="13">
        <f t="shared" ref="N348:P411" si="109">R347</f>
        <v>0</v>
      </c>
      <c r="O348">
        <f t="shared" si="109"/>
        <v>13</v>
      </c>
      <c r="P348">
        <f t="shared" si="109"/>
        <v>0</v>
      </c>
      <c r="Q348" s="14">
        <f t="shared" si="102"/>
        <v>780</v>
      </c>
      <c r="R348" s="13">
        <f t="shared" si="103"/>
        <v>0</v>
      </c>
      <c r="S348">
        <f t="shared" si="104"/>
        <v>13</v>
      </c>
      <c r="T348">
        <f t="shared" si="105"/>
        <v>0</v>
      </c>
      <c r="U348" s="14">
        <f t="shared" si="106"/>
        <v>780</v>
      </c>
      <c r="V348" s="15"/>
      <c r="Z348" s="14"/>
    </row>
    <row r="349" spans="1:26" x14ac:dyDescent="0.25">
      <c r="A349" s="16"/>
      <c r="B349" s="17" t="b">
        <f t="shared" si="108"/>
        <v>0</v>
      </c>
      <c r="C349" s="17" t="b">
        <f t="shared" si="107"/>
        <v>0</v>
      </c>
      <c r="D349" s="17">
        <f t="shared" si="98"/>
        <v>1</v>
      </c>
      <c r="E349" s="17" t="str">
        <f t="shared" si="99"/>
        <v>Section 5 - Next steps</v>
      </c>
      <c r="F349" s="18" t="str">
        <f t="shared" si="100"/>
        <v/>
      </c>
      <c r="G349" s="13" t="str">
        <f t="shared" si="92"/>
        <v/>
      </c>
      <c r="H349">
        <f t="shared" si="93"/>
        <v>0</v>
      </c>
      <c r="I349" s="14">
        <f t="shared" si="101"/>
        <v>0</v>
      </c>
      <c r="J349" s="13">
        <f t="shared" si="94"/>
        <v>300</v>
      </c>
      <c r="K349">
        <f t="shared" si="95"/>
        <v>0</v>
      </c>
      <c r="L349">
        <f t="shared" si="96"/>
        <v>5</v>
      </c>
      <c r="M349" s="14">
        <f t="shared" si="97"/>
        <v>0</v>
      </c>
      <c r="N349" s="13">
        <f t="shared" si="109"/>
        <v>0</v>
      </c>
      <c r="O349">
        <f t="shared" si="109"/>
        <v>13</v>
      </c>
      <c r="P349">
        <f t="shared" si="109"/>
        <v>0</v>
      </c>
      <c r="Q349" s="14">
        <f t="shared" si="102"/>
        <v>780</v>
      </c>
      <c r="R349" s="13">
        <f t="shared" si="103"/>
        <v>0</v>
      </c>
      <c r="S349">
        <f t="shared" si="104"/>
        <v>13</v>
      </c>
      <c r="T349">
        <f t="shared" si="105"/>
        <v>0</v>
      </c>
      <c r="U349" s="14">
        <f t="shared" si="106"/>
        <v>780</v>
      </c>
      <c r="V349" s="15"/>
      <c r="Z349" s="14"/>
    </row>
    <row r="350" spans="1:26" x14ac:dyDescent="0.25">
      <c r="A350" s="16"/>
      <c r="B350" s="17" t="b">
        <f t="shared" si="108"/>
        <v>0</v>
      </c>
      <c r="C350" s="17" t="b">
        <f t="shared" si="107"/>
        <v>0</v>
      </c>
      <c r="D350" s="17">
        <f t="shared" si="98"/>
        <v>1</v>
      </c>
      <c r="E350" s="17" t="str">
        <f t="shared" si="99"/>
        <v>Section 5 - Next steps</v>
      </c>
      <c r="F350" s="18" t="str">
        <f t="shared" si="100"/>
        <v/>
      </c>
      <c r="G350" s="13" t="str">
        <f t="shared" si="92"/>
        <v/>
      </c>
      <c r="H350">
        <f t="shared" si="93"/>
        <v>0</v>
      </c>
      <c r="I350" s="14">
        <f t="shared" si="101"/>
        <v>0</v>
      </c>
      <c r="J350" s="13">
        <f t="shared" si="94"/>
        <v>300</v>
      </c>
      <c r="K350">
        <f t="shared" si="95"/>
        <v>0</v>
      </c>
      <c r="L350">
        <f t="shared" si="96"/>
        <v>5</v>
      </c>
      <c r="M350" s="14">
        <f t="shared" si="97"/>
        <v>0</v>
      </c>
      <c r="N350" s="13">
        <f t="shared" si="109"/>
        <v>0</v>
      </c>
      <c r="O350">
        <f t="shared" si="109"/>
        <v>13</v>
      </c>
      <c r="P350">
        <f t="shared" si="109"/>
        <v>0</v>
      </c>
      <c r="Q350" s="14">
        <f t="shared" si="102"/>
        <v>780</v>
      </c>
      <c r="R350" s="13">
        <f t="shared" si="103"/>
        <v>0</v>
      </c>
      <c r="S350">
        <f t="shared" si="104"/>
        <v>13</v>
      </c>
      <c r="T350">
        <f t="shared" si="105"/>
        <v>0</v>
      </c>
      <c r="U350" s="14">
        <f t="shared" si="106"/>
        <v>780</v>
      </c>
      <c r="V350" s="15"/>
      <c r="Z350" s="14"/>
    </row>
    <row r="351" spans="1:26" x14ac:dyDescent="0.25">
      <c r="A351" s="16"/>
      <c r="B351" s="17" t="b">
        <f t="shared" si="108"/>
        <v>0</v>
      </c>
      <c r="C351" s="17" t="b">
        <f t="shared" si="107"/>
        <v>0</v>
      </c>
      <c r="D351" s="17">
        <f t="shared" si="98"/>
        <v>1</v>
      </c>
      <c r="E351" s="17" t="str">
        <f t="shared" si="99"/>
        <v>Section 5 - Next steps</v>
      </c>
      <c r="F351" s="18" t="str">
        <f t="shared" si="100"/>
        <v/>
      </c>
      <c r="G351" s="13" t="str">
        <f t="shared" si="92"/>
        <v/>
      </c>
      <c r="H351">
        <f t="shared" si="93"/>
        <v>0</v>
      </c>
      <c r="I351" s="14">
        <f t="shared" si="101"/>
        <v>0</v>
      </c>
      <c r="J351" s="13">
        <f t="shared" si="94"/>
        <v>300</v>
      </c>
      <c r="K351">
        <f t="shared" si="95"/>
        <v>0</v>
      </c>
      <c r="L351">
        <f t="shared" si="96"/>
        <v>5</v>
      </c>
      <c r="M351" s="14">
        <f t="shared" si="97"/>
        <v>0</v>
      </c>
      <c r="N351" s="13">
        <f t="shared" si="109"/>
        <v>0</v>
      </c>
      <c r="O351">
        <f t="shared" si="109"/>
        <v>13</v>
      </c>
      <c r="P351">
        <f t="shared" si="109"/>
        <v>0</v>
      </c>
      <c r="Q351" s="14">
        <f t="shared" si="102"/>
        <v>780</v>
      </c>
      <c r="R351" s="13">
        <f t="shared" si="103"/>
        <v>0</v>
      </c>
      <c r="S351">
        <f t="shared" si="104"/>
        <v>13</v>
      </c>
      <c r="T351">
        <f t="shared" si="105"/>
        <v>0</v>
      </c>
      <c r="U351" s="14">
        <f t="shared" si="106"/>
        <v>780</v>
      </c>
      <c r="V351" s="15"/>
      <c r="Z351" s="14"/>
    </row>
    <row r="352" spans="1:26" x14ac:dyDescent="0.25">
      <c r="A352" s="16"/>
      <c r="B352" s="17" t="b">
        <f t="shared" si="108"/>
        <v>0</v>
      </c>
      <c r="C352" s="17" t="b">
        <f t="shared" si="107"/>
        <v>0</v>
      </c>
      <c r="D352" s="17">
        <f t="shared" si="98"/>
        <v>1</v>
      </c>
      <c r="E352" s="17" t="str">
        <f t="shared" si="99"/>
        <v>Section 5 - Next steps</v>
      </c>
      <c r="F352" s="18" t="str">
        <f t="shared" si="100"/>
        <v/>
      </c>
      <c r="G352" s="13" t="str">
        <f t="shared" si="92"/>
        <v/>
      </c>
      <c r="H352">
        <f t="shared" si="93"/>
        <v>0</v>
      </c>
      <c r="I352" s="14">
        <f t="shared" si="101"/>
        <v>0</v>
      </c>
      <c r="J352" s="13">
        <f t="shared" si="94"/>
        <v>300</v>
      </c>
      <c r="K352">
        <f t="shared" si="95"/>
        <v>0</v>
      </c>
      <c r="L352">
        <f t="shared" si="96"/>
        <v>5</v>
      </c>
      <c r="M352" s="14">
        <f t="shared" si="97"/>
        <v>0</v>
      </c>
      <c r="N352" s="13">
        <f t="shared" si="109"/>
        <v>0</v>
      </c>
      <c r="O352">
        <f t="shared" si="109"/>
        <v>13</v>
      </c>
      <c r="P352">
        <f t="shared" si="109"/>
        <v>0</v>
      </c>
      <c r="Q352" s="14">
        <f t="shared" si="102"/>
        <v>780</v>
      </c>
      <c r="R352" s="13">
        <f t="shared" si="103"/>
        <v>0</v>
      </c>
      <c r="S352">
        <f t="shared" si="104"/>
        <v>13</v>
      </c>
      <c r="T352">
        <f t="shared" si="105"/>
        <v>0</v>
      </c>
      <c r="U352" s="14">
        <f t="shared" si="106"/>
        <v>780</v>
      </c>
      <c r="V352" s="15"/>
      <c r="Z352" s="14"/>
    </row>
    <row r="353" spans="1:26" x14ac:dyDescent="0.25">
      <c r="A353" s="16"/>
      <c r="B353" s="17" t="b">
        <f t="shared" si="108"/>
        <v>0</v>
      </c>
      <c r="C353" s="17" t="b">
        <f t="shared" si="107"/>
        <v>0</v>
      </c>
      <c r="D353" s="17">
        <f t="shared" si="98"/>
        <v>1</v>
      </c>
      <c r="E353" s="17" t="str">
        <f t="shared" si="99"/>
        <v>Section 5 - Next steps</v>
      </c>
      <c r="F353" s="18" t="str">
        <f t="shared" si="100"/>
        <v/>
      </c>
      <c r="G353" s="13" t="str">
        <f t="shared" si="92"/>
        <v/>
      </c>
      <c r="H353">
        <f t="shared" si="93"/>
        <v>0</v>
      </c>
      <c r="I353" s="14">
        <f t="shared" si="101"/>
        <v>0</v>
      </c>
      <c r="J353" s="13">
        <f t="shared" si="94"/>
        <v>300</v>
      </c>
      <c r="K353">
        <f t="shared" si="95"/>
        <v>0</v>
      </c>
      <c r="L353">
        <f t="shared" si="96"/>
        <v>5</v>
      </c>
      <c r="M353" s="14">
        <f t="shared" si="97"/>
        <v>0</v>
      </c>
      <c r="N353" s="13">
        <f t="shared" si="109"/>
        <v>0</v>
      </c>
      <c r="O353">
        <f t="shared" si="109"/>
        <v>13</v>
      </c>
      <c r="P353">
        <f t="shared" si="109"/>
        <v>0</v>
      </c>
      <c r="Q353" s="14">
        <f t="shared" si="102"/>
        <v>780</v>
      </c>
      <c r="R353" s="13">
        <f t="shared" si="103"/>
        <v>0</v>
      </c>
      <c r="S353">
        <f t="shared" si="104"/>
        <v>13</v>
      </c>
      <c r="T353">
        <f t="shared" si="105"/>
        <v>0</v>
      </c>
      <c r="U353" s="14">
        <f t="shared" si="106"/>
        <v>780</v>
      </c>
      <c r="V353" s="15"/>
      <c r="Z353" s="14"/>
    </row>
    <row r="354" spans="1:26" x14ac:dyDescent="0.25">
      <c r="A354" s="16"/>
      <c r="B354" s="17" t="b">
        <f t="shared" si="108"/>
        <v>0</v>
      </c>
      <c r="C354" s="17" t="b">
        <f t="shared" si="107"/>
        <v>0</v>
      </c>
      <c r="D354" s="17">
        <f t="shared" si="98"/>
        <v>1</v>
      </c>
      <c r="E354" s="17" t="str">
        <f t="shared" si="99"/>
        <v>Section 5 - Next steps</v>
      </c>
      <c r="F354" s="18" t="str">
        <f t="shared" si="100"/>
        <v/>
      </c>
      <c r="G354" s="13" t="str">
        <f t="shared" si="92"/>
        <v/>
      </c>
      <c r="H354">
        <f t="shared" si="93"/>
        <v>0</v>
      </c>
      <c r="I354" s="14">
        <f t="shared" si="101"/>
        <v>0</v>
      </c>
      <c r="J354" s="13">
        <f t="shared" si="94"/>
        <v>300</v>
      </c>
      <c r="K354">
        <f t="shared" si="95"/>
        <v>0</v>
      </c>
      <c r="L354">
        <f t="shared" si="96"/>
        <v>5</v>
      </c>
      <c r="M354" s="14">
        <f t="shared" si="97"/>
        <v>0</v>
      </c>
      <c r="N354" s="13">
        <f t="shared" si="109"/>
        <v>0</v>
      </c>
      <c r="O354">
        <f t="shared" si="109"/>
        <v>13</v>
      </c>
      <c r="P354">
        <f t="shared" si="109"/>
        <v>0</v>
      </c>
      <c r="Q354" s="14">
        <f t="shared" si="102"/>
        <v>780</v>
      </c>
      <c r="R354" s="13">
        <f t="shared" si="103"/>
        <v>0</v>
      </c>
      <c r="S354">
        <f t="shared" si="104"/>
        <v>13</v>
      </c>
      <c r="T354">
        <f t="shared" si="105"/>
        <v>0</v>
      </c>
      <c r="U354" s="14">
        <f t="shared" si="106"/>
        <v>780</v>
      </c>
      <c r="V354" s="15"/>
      <c r="Z354" s="14"/>
    </row>
    <row r="355" spans="1:26" x14ac:dyDescent="0.25">
      <c r="A355" s="16"/>
      <c r="B355" s="17" t="b">
        <f t="shared" si="108"/>
        <v>0</v>
      </c>
      <c r="C355" s="17" t="b">
        <f t="shared" si="107"/>
        <v>0</v>
      </c>
      <c r="D355" s="17">
        <f t="shared" si="98"/>
        <v>1</v>
      </c>
      <c r="E355" s="17" t="str">
        <f t="shared" si="99"/>
        <v>Section 5 - Next steps</v>
      </c>
      <c r="F355" s="18" t="str">
        <f t="shared" si="100"/>
        <v/>
      </c>
      <c r="G355" s="13" t="str">
        <f t="shared" si="92"/>
        <v/>
      </c>
      <c r="H355">
        <f t="shared" si="93"/>
        <v>0</v>
      </c>
      <c r="I355" s="14">
        <f t="shared" si="101"/>
        <v>0</v>
      </c>
      <c r="J355" s="13">
        <f t="shared" si="94"/>
        <v>300</v>
      </c>
      <c r="K355">
        <f t="shared" si="95"/>
        <v>0</v>
      </c>
      <c r="L355">
        <f t="shared" si="96"/>
        <v>5</v>
      </c>
      <c r="M355" s="14">
        <f t="shared" si="97"/>
        <v>0</v>
      </c>
      <c r="N355" s="13">
        <f t="shared" si="109"/>
        <v>0</v>
      </c>
      <c r="O355">
        <f t="shared" si="109"/>
        <v>13</v>
      </c>
      <c r="P355">
        <f t="shared" si="109"/>
        <v>0</v>
      </c>
      <c r="Q355" s="14">
        <f t="shared" si="102"/>
        <v>780</v>
      </c>
      <c r="R355" s="13">
        <f t="shared" si="103"/>
        <v>0</v>
      </c>
      <c r="S355">
        <f t="shared" si="104"/>
        <v>13</v>
      </c>
      <c r="T355">
        <f t="shared" si="105"/>
        <v>0</v>
      </c>
      <c r="U355" s="14">
        <f t="shared" si="106"/>
        <v>780</v>
      </c>
      <c r="V355" s="15"/>
      <c r="Z355" s="14"/>
    </row>
    <row r="356" spans="1:26" x14ac:dyDescent="0.25">
      <c r="A356" s="16"/>
      <c r="B356" s="17" t="b">
        <f t="shared" si="108"/>
        <v>0</v>
      </c>
      <c r="C356" s="17" t="b">
        <f t="shared" si="107"/>
        <v>0</v>
      </c>
      <c r="D356" s="17">
        <f t="shared" si="98"/>
        <v>1</v>
      </c>
      <c r="E356" s="17" t="str">
        <f t="shared" si="99"/>
        <v>Section 5 - Next steps</v>
      </c>
      <c r="F356" s="18" t="str">
        <f t="shared" si="100"/>
        <v/>
      </c>
      <c r="G356" s="13" t="str">
        <f t="shared" si="92"/>
        <v/>
      </c>
      <c r="H356">
        <f t="shared" si="93"/>
        <v>0</v>
      </c>
      <c r="I356" s="14">
        <f t="shared" si="101"/>
        <v>0</v>
      </c>
      <c r="J356" s="13">
        <f t="shared" si="94"/>
        <v>300</v>
      </c>
      <c r="K356">
        <f t="shared" si="95"/>
        <v>0</v>
      </c>
      <c r="L356">
        <f t="shared" si="96"/>
        <v>5</v>
      </c>
      <c r="M356" s="14">
        <f t="shared" si="97"/>
        <v>0</v>
      </c>
      <c r="N356" s="13">
        <f t="shared" si="109"/>
        <v>0</v>
      </c>
      <c r="O356">
        <f t="shared" si="109"/>
        <v>13</v>
      </c>
      <c r="P356">
        <f t="shared" si="109"/>
        <v>0</v>
      </c>
      <c r="Q356" s="14">
        <f t="shared" si="102"/>
        <v>780</v>
      </c>
      <c r="R356" s="13">
        <f t="shared" si="103"/>
        <v>0</v>
      </c>
      <c r="S356">
        <f t="shared" si="104"/>
        <v>13</v>
      </c>
      <c r="T356">
        <f t="shared" si="105"/>
        <v>0</v>
      </c>
      <c r="U356" s="14">
        <f t="shared" si="106"/>
        <v>780</v>
      </c>
      <c r="V356" s="15"/>
      <c r="Z356" s="14"/>
    </row>
    <row r="357" spans="1:26" x14ac:dyDescent="0.25">
      <c r="A357" s="16"/>
      <c r="B357" s="17" t="b">
        <f t="shared" si="108"/>
        <v>0</v>
      </c>
      <c r="C357" s="17" t="b">
        <f t="shared" si="107"/>
        <v>0</v>
      </c>
      <c r="D357" s="17">
        <f t="shared" si="98"/>
        <v>1</v>
      </c>
      <c r="E357" s="17" t="str">
        <f t="shared" si="99"/>
        <v>Section 5 - Next steps</v>
      </c>
      <c r="F357" s="18" t="str">
        <f t="shared" si="100"/>
        <v/>
      </c>
      <c r="G357" s="13" t="str">
        <f t="shared" si="92"/>
        <v/>
      </c>
      <c r="H357">
        <f t="shared" si="93"/>
        <v>0</v>
      </c>
      <c r="I357" s="14">
        <f t="shared" si="101"/>
        <v>0</v>
      </c>
      <c r="J357" s="13">
        <f t="shared" si="94"/>
        <v>300</v>
      </c>
      <c r="K357">
        <f t="shared" si="95"/>
        <v>0</v>
      </c>
      <c r="L357">
        <f t="shared" si="96"/>
        <v>5</v>
      </c>
      <c r="M357" s="14">
        <f t="shared" si="97"/>
        <v>0</v>
      </c>
      <c r="N357" s="13">
        <f t="shared" si="109"/>
        <v>0</v>
      </c>
      <c r="O357">
        <f t="shared" si="109"/>
        <v>13</v>
      </c>
      <c r="P357">
        <f t="shared" si="109"/>
        <v>0</v>
      </c>
      <c r="Q357" s="14">
        <f t="shared" si="102"/>
        <v>780</v>
      </c>
      <c r="R357" s="13">
        <f t="shared" si="103"/>
        <v>0</v>
      </c>
      <c r="S357">
        <f t="shared" si="104"/>
        <v>13</v>
      </c>
      <c r="T357">
        <f t="shared" si="105"/>
        <v>0</v>
      </c>
      <c r="U357" s="14">
        <f t="shared" si="106"/>
        <v>780</v>
      </c>
      <c r="V357" s="15"/>
      <c r="Z357" s="14"/>
    </row>
    <row r="358" spans="1:26" x14ac:dyDescent="0.25">
      <c r="A358" s="16"/>
      <c r="B358" s="17" t="b">
        <f t="shared" si="108"/>
        <v>0</v>
      </c>
      <c r="C358" s="17" t="b">
        <f t="shared" si="107"/>
        <v>0</v>
      </c>
      <c r="D358" s="17">
        <f t="shared" si="98"/>
        <v>1</v>
      </c>
      <c r="E358" s="17" t="str">
        <f t="shared" si="99"/>
        <v>Section 5 - Next steps</v>
      </c>
      <c r="F358" s="18" t="str">
        <f t="shared" si="100"/>
        <v/>
      </c>
      <c r="G358" s="13" t="str">
        <f t="shared" si="92"/>
        <v/>
      </c>
      <c r="H358">
        <f t="shared" si="93"/>
        <v>0</v>
      </c>
      <c r="I358" s="14">
        <f t="shared" si="101"/>
        <v>0</v>
      </c>
      <c r="J358" s="13">
        <f t="shared" si="94"/>
        <v>300</v>
      </c>
      <c r="K358">
        <f t="shared" si="95"/>
        <v>0</v>
      </c>
      <c r="L358">
        <f t="shared" si="96"/>
        <v>5</v>
      </c>
      <c r="M358" s="14">
        <f t="shared" si="97"/>
        <v>0</v>
      </c>
      <c r="N358" s="13">
        <f t="shared" si="109"/>
        <v>0</v>
      </c>
      <c r="O358">
        <f t="shared" si="109"/>
        <v>13</v>
      </c>
      <c r="P358">
        <f t="shared" si="109"/>
        <v>0</v>
      </c>
      <c r="Q358" s="14">
        <f t="shared" si="102"/>
        <v>780</v>
      </c>
      <c r="R358" s="13">
        <f t="shared" si="103"/>
        <v>0</v>
      </c>
      <c r="S358">
        <f t="shared" si="104"/>
        <v>13</v>
      </c>
      <c r="T358">
        <f t="shared" si="105"/>
        <v>0</v>
      </c>
      <c r="U358" s="14">
        <f t="shared" si="106"/>
        <v>780</v>
      </c>
      <c r="V358" s="15"/>
      <c r="Z358" s="14"/>
    </row>
    <row r="359" spans="1:26" x14ac:dyDescent="0.25">
      <c r="A359" s="16"/>
      <c r="B359" s="17" t="b">
        <f t="shared" si="108"/>
        <v>0</v>
      </c>
      <c r="C359" s="17" t="b">
        <f t="shared" si="107"/>
        <v>0</v>
      </c>
      <c r="D359" s="17">
        <f t="shared" si="98"/>
        <v>1</v>
      </c>
      <c r="E359" s="17" t="str">
        <f t="shared" si="99"/>
        <v>Section 5 - Next steps</v>
      </c>
      <c r="F359" s="18" t="str">
        <f t="shared" si="100"/>
        <v/>
      </c>
      <c r="G359" s="13" t="str">
        <f t="shared" si="92"/>
        <v/>
      </c>
      <c r="H359">
        <f t="shared" si="93"/>
        <v>0</v>
      </c>
      <c r="I359" s="14">
        <f t="shared" si="101"/>
        <v>0</v>
      </c>
      <c r="J359" s="13">
        <f t="shared" si="94"/>
        <v>300</v>
      </c>
      <c r="K359">
        <f t="shared" si="95"/>
        <v>0</v>
      </c>
      <c r="L359">
        <f t="shared" si="96"/>
        <v>5</v>
      </c>
      <c r="M359" s="14">
        <f t="shared" si="97"/>
        <v>0</v>
      </c>
      <c r="N359" s="13">
        <f t="shared" si="109"/>
        <v>0</v>
      </c>
      <c r="O359">
        <f t="shared" si="109"/>
        <v>13</v>
      </c>
      <c r="P359">
        <f t="shared" si="109"/>
        <v>0</v>
      </c>
      <c r="Q359" s="14">
        <f t="shared" si="102"/>
        <v>780</v>
      </c>
      <c r="R359" s="13">
        <f t="shared" si="103"/>
        <v>0</v>
      </c>
      <c r="S359">
        <f t="shared" si="104"/>
        <v>13</v>
      </c>
      <c r="T359">
        <f t="shared" si="105"/>
        <v>0</v>
      </c>
      <c r="U359" s="14">
        <f t="shared" si="106"/>
        <v>780</v>
      </c>
      <c r="V359" s="15"/>
      <c r="Z359" s="14"/>
    </row>
    <row r="360" spans="1:26" x14ac:dyDescent="0.25">
      <c r="A360" s="16"/>
      <c r="B360" s="17" t="b">
        <f t="shared" si="108"/>
        <v>0</v>
      </c>
      <c r="C360" s="17" t="b">
        <f t="shared" si="107"/>
        <v>0</v>
      </c>
      <c r="D360" s="17">
        <f t="shared" si="98"/>
        <v>1</v>
      </c>
      <c r="E360" s="17" t="str">
        <f t="shared" si="99"/>
        <v>Section 5 - Next steps</v>
      </c>
      <c r="F360" s="18" t="str">
        <f t="shared" si="100"/>
        <v/>
      </c>
      <c r="G360" s="13" t="str">
        <f t="shared" si="92"/>
        <v/>
      </c>
      <c r="H360">
        <f t="shared" si="93"/>
        <v>0</v>
      </c>
      <c r="I360" s="14">
        <f t="shared" si="101"/>
        <v>0</v>
      </c>
      <c r="J360" s="13">
        <f t="shared" si="94"/>
        <v>300</v>
      </c>
      <c r="K360">
        <f t="shared" si="95"/>
        <v>0</v>
      </c>
      <c r="L360">
        <f t="shared" si="96"/>
        <v>5</v>
      </c>
      <c r="M360" s="14">
        <f t="shared" si="97"/>
        <v>0</v>
      </c>
      <c r="N360" s="13">
        <f t="shared" si="109"/>
        <v>0</v>
      </c>
      <c r="O360">
        <f t="shared" si="109"/>
        <v>13</v>
      </c>
      <c r="P360">
        <f t="shared" si="109"/>
        <v>0</v>
      </c>
      <c r="Q360" s="14">
        <f t="shared" si="102"/>
        <v>780</v>
      </c>
      <c r="R360" s="13">
        <f t="shared" si="103"/>
        <v>0</v>
      </c>
      <c r="S360">
        <f t="shared" si="104"/>
        <v>13</v>
      </c>
      <c r="T360">
        <f t="shared" si="105"/>
        <v>0</v>
      </c>
      <c r="U360" s="14">
        <f t="shared" si="106"/>
        <v>780</v>
      </c>
      <c r="V360" s="15"/>
      <c r="Z360" s="14"/>
    </row>
    <row r="361" spans="1:26" x14ac:dyDescent="0.25">
      <c r="A361" s="16"/>
      <c r="B361" s="17" t="b">
        <f t="shared" si="108"/>
        <v>0</v>
      </c>
      <c r="C361" s="17" t="b">
        <f t="shared" si="107"/>
        <v>0</v>
      </c>
      <c r="D361" s="17">
        <f t="shared" si="98"/>
        <v>1</v>
      </c>
      <c r="E361" s="17" t="str">
        <f t="shared" si="99"/>
        <v>Section 5 - Next steps</v>
      </c>
      <c r="F361" s="18" t="str">
        <f t="shared" si="100"/>
        <v/>
      </c>
      <c r="G361" s="13" t="str">
        <f t="shared" si="92"/>
        <v/>
      </c>
      <c r="H361">
        <f t="shared" si="93"/>
        <v>0</v>
      </c>
      <c r="I361" s="14">
        <f t="shared" si="101"/>
        <v>0</v>
      </c>
      <c r="J361" s="13">
        <f t="shared" si="94"/>
        <v>300</v>
      </c>
      <c r="K361">
        <f t="shared" si="95"/>
        <v>0</v>
      </c>
      <c r="L361">
        <f t="shared" si="96"/>
        <v>5</v>
      </c>
      <c r="M361" s="14">
        <f t="shared" si="97"/>
        <v>0</v>
      </c>
      <c r="N361" s="13">
        <f t="shared" si="109"/>
        <v>0</v>
      </c>
      <c r="O361">
        <f t="shared" si="109"/>
        <v>13</v>
      </c>
      <c r="P361">
        <f t="shared" si="109"/>
        <v>0</v>
      </c>
      <c r="Q361" s="14">
        <f t="shared" si="102"/>
        <v>780</v>
      </c>
      <c r="R361" s="13">
        <f t="shared" si="103"/>
        <v>0</v>
      </c>
      <c r="S361">
        <f t="shared" si="104"/>
        <v>13</v>
      </c>
      <c r="T361">
        <f t="shared" si="105"/>
        <v>0</v>
      </c>
      <c r="U361" s="14">
        <f t="shared" si="106"/>
        <v>780</v>
      </c>
      <c r="V361" s="15"/>
      <c r="Z361" s="14"/>
    </row>
    <row r="362" spans="1:26" x14ac:dyDescent="0.25">
      <c r="A362" s="16"/>
      <c r="B362" s="17" t="b">
        <f t="shared" si="108"/>
        <v>0</v>
      </c>
      <c r="C362" s="17" t="b">
        <f t="shared" si="107"/>
        <v>0</v>
      </c>
      <c r="D362" s="17">
        <f t="shared" si="98"/>
        <v>1</v>
      </c>
      <c r="E362" s="17" t="str">
        <f t="shared" si="99"/>
        <v>Section 5 - Next steps</v>
      </c>
      <c r="F362" s="18" t="str">
        <f t="shared" si="100"/>
        <v/>
      </c>
      <c r="G362" s="13" t="str">
        <f t="shared" si="92"/>
        <v/>
      </c>
      <c r="H362">
        <f t="shared" si="93"/>
        <v>0</v>
      </c>
      <c r="I362" s="14">
        <f t="shared" si="101"/>
        <v>0</v>
      </c>
      <c r="J362" s="13">
        <f t="shared" si="94"/>
        <v>300</v>
      </c>
      <c r="K362">
        <f t="shared" si="95"/>
        <v>0</v>
      </c>
      <c r="L362">
        <f t="shared" si="96"/>
        <v>5</v>
      </c>
      <c r="M362" s="14">
        <f t="shared" si="97"/>
        <v>0</v>
      </c>
      <c r="N362" s="13">
        <f t="shared" si="109"/>
        <v>0</v>
      </c>
      <c r="O362">
        <f t="shared" si="109"/>
        <v>13</v>
      </c>
      <c r="P362">
        <f t="shared" si="109"/>
        <v>0</v>
      </c>
      <c r="Q362" s="14">
        <f t="shared" si="102"/>
        <v>780</v>
      </c>
      <c r="R362" s="13">
        <f t="shared" si="103"/>
        <v>0</v>
      </c>
      <c r="S362">
        <f t="shared" si="104"/>
        <v>13</v>
      </c>
      <c r="T362">
        <f t="shared" si="105"/>
        <v>0</v>
      </c>
      <c r="U362" s="14">
        <f t="shared" si="106"/>
        <v>780</v>
      </c>
      <c r="V362" s="15"/>
      <c r="Z362" s="14"/>
    </row>
    <row r="363" spans="1:26" x14ac:dyDescent="0.25">
      <c r="A363" s="16"/>
      <c r="B363" s="17" t="b">
        <f t="shared" si="108"/>
        <v>0</v>
      </c>
      <c r="C363" s="17" t="b">
        <f t="shared" si="107"/>
        <v>0</v>
      </c>
      <c r="D363" s="17">
        <f t="shared" si="98"/>
        <v>1</v>
      </c>
      <c r="E363" s="17" t="str">
        <f t="shared" si="99"/>
        <v>Section 5 - Next steps</v>
      </c>
      <c r="F363" s="18" t="str">
        <f t="shared" si="100"/>
        <v/>
      </c>
      <c r="G363" s="13" t="str">
        <f t="shared" si="92"/>
        <v/>
      </c>
      <c r="H363">
        <f t="shared" si="93"/>
        <v>0</v>
      </c>
      <c r="I363" s="14">
        <f t="shared" si="101"/>
        <v>0</v>
      </c>
      <c r="J363" s="13">
        <f t="shared" si="94"/>
        <v>300</v>
      </c>
      <c r="K363">
        <f t="shared" si="95"/>
        <v>0</v>
      </c>
      <c r="L363">
        <f t="shared" si="96"/>
        <v>5</v>
      </c>
      <c r="M363" s="14">
        <f t="shared" si="97"/>
        <v>0</v>
      </c>
      <c r="N363" s="13">
        <f t="shared" si="109"/>
        <v>0</v>
      </c>
      <c r="O363">
        <f t="shared" si="109"/>
        <v>13</v>
      </c>
      <c r="P363">
        <f t="shared" si="109"/>
        <v>0</v>
      </c>
      <c r="Q363" s="14">
        <f t="shared" si="102"/>
        <v>780</v>
      </c>
      <c r="R363" s="13">
        <f t="shared" si="103"/>
        <v>0</v>
      </c>
      <c r="S363">
        <f t="shared" si="104"/>
        <v>13</v>
      </c>
      <c r="T363">
        <f t="shared" si="105"/>
        <v>0</v>
      </c>
      <c r="U363" s="14">
        <f t="shared" si="106"/>
        <v>780</v>
      </c>
      <c r="V363" s="15"/>
      <c r="Z363" s="14"/>
    </row>
    <row r="364" spans="1:26" x14ac:dyDescent="0.25">
      <c r="A364" s="16"/>
      <c r="B364" s="17" t="b">
        <f t="shared" si="108"/>
        <v>0</v>
      </c>
      <c r="C364" s="17" t="b">
        <f t="shared" si="107"/>
        <v>0</v>
      </c>
      <c r="D364" s="17">
        <f t="shared" si="98"/>
        <v>1</v>
      </c>
      <c r="E364" s="17" t="str">
        <f t="shared" si="99"/>
        <v>Section 5 - Next steps</v>
      </c>
      <c r="F364" s="18" t="str">
        <f t="shared" si="100"/>
        <v/>
      </c>
      <c r="G364" s="13" t="str">
        <f t="shared" si="92"/>
        <v/>
      </c>
      <c r="H364">
        <f t="shared" si="93"/>
        <v>0</v>
      </c>
      <c r="I364" s="14">
        <f t="shared" si="101"/>
        <v>0</v>
      </c>
      <c r="J364" s="13">
        <f t="shared" si="94"/>
        <v>300</v>
      </c>
      <c r="K364">
        <f t="shared" si="95"/>
        <v>0</v>
      </c>
      <c r="L364">
        <f t="shared" si="96"/>
        <v>5</v>
      </c>
      <c r="M364" s="14">
        <f t="shared" si="97"/>
        <v>0</v>
      </c>
      <c r="N364" s="13">
        <f t="shared" si="109"/>
        <v>0</v>
      </c>
      <c r="O364">
        <f t="shared" si="109"/>
        <v>13</v>
      </c>
      <c r="P364">
        <f t="shared" si="109"/>
        <v>0</v>
      </c>
      <c r="Q364" s="14">
        <f t="shared" si="102"/>
        <v>780</v>
      </c>
      <c r="R364" s="13">
        <f t="shared" si="103"/>
        <v>0</v>
      </c>
      <c r="S364">
        <f t="shared" si="104"/>
        <v>13</v>
      </c>
      <c r="T364">
        <f t="shared" si="105"/>
        <v>0</v>
      </c>
      <c r="U364" s="14">
        <f t="shared" si="106"/>
        <v>780</v>
      </c>
      <c r="V364" s="15"/>
      <c r="Z364" s="14"/>
    </row>
    <row r="365" spans="1:26" x14ac:dyDescent="0.25">
      <c r="A365" s="16"/>
      <c r="B365" s="17" t="b">
        <f t="shared" si="108"/>
        <v>0</v>
      </c>
      <c r="C365" s="17" t="b">
        <f t="shared" si="107"/>
        <v>0</v>
      </c>
      <c r="D365" s="17">
        <f t="shared" si="98"/>
        <v>1</v>
      </c>
      <c r="E365" s="17" t="str">
        <f t="shared" si="99"/>
        <v>Section 5 - Next steps</v>
      </c>
      <c r="F365" s="18" t="str">
        <f t="shared" si="100"/>
        <v/>
      </c>
      <c r="G365" s="13" t="str">
        <f t="shared" si="92"/>
        <v/>
      </c>
      <c r="H365">
        <f t="shared" si="93"/>
        <v>0</v>
      </c>
      <c r="I365" s="14">
        <f t="shared" si="101"/>
        <v>0</v>
      </c>
      <c r="J365" s="13">
        <f t="shared" si="94"/>
        <v>300</v>
      </c>
      <c r="K365">
        <f t="shared" si="95"/>
        <v>0</v>
      </c>
      <c r="L365">
        <f t="shared" si="96"/>
        <v>5</v>
      </c>
      <c r="M365" s="14">
        <f t="shared" si="97"/>
        <v>0</v>
      </c>
      <c r="N365" s="13">
        <f t="shared" si="109"/>
        <v>0</v>
      </c>
      <c r="O365">
        <f t="shared" si="109"/>
        <v>13</v>
      </c>
      <c r="P365">
        <f t="shared" si="109"/>
        <v>0</v>
      </c>
      <c r="Q365" s="14">
        <f t="shared" si="102"/>
        <v>780</v>
      </c>
      <c r="R365" s="13">
        <f t="shared" si="103"/>
        <v>0</v>
      </c>
      <c r="S365">
        <f t="shared" si="104"/>
        <v>13</v>
      </c>
      <c r="T365">
        <f t="shared" si="105"/>
        <v>0</v>
      </c>
      <c r="U365" s="14">
        <f t="shared" si="106"/>
        <v>780</v>
      </c>
      <c r="V365" s="15"/>
      <c r="Z365" s="14"/>
    </row>
    <row r="366" spans="1:26" x14ac:dyDescent="0.25">
      <c r="A366" s="16"/>
      <c r="B366" s="17" t="b">
        <f t="shared" si="108"/>
        <v>0</v>
      </c>
      <c r="C366" s="17" t="b">
        <f t="shared" si="107"/>
        <v>0</v>
      </c>
      <c r="D366" s="17">
        <f t="shared" si="98"/>
        <v>1</v>
      </c>
      <c r="E366" s="17" t="str">
        <f t="shared" si="99"/>
        <v>Section 5 - Next steps</v>
      </c>
      <c r="F366" s="18" t="str">
        <f t="shared" si="100"/>
        <v/>
      </c>
      <c r="G366" s="13" t="str">
        <f t="shared" si="92"/>
        <v/>
      </c>
      <c r="H366">
        <f t="shared" si="93"/>
        <v>0</v>
      </c>
      <c r="I366" s="14">
        <f t="shared" si="101"/>
        <v>0</v>
      </c>
      <c r="J366" s="13">
        <f t="shared" si="94"/>
        <v>300</v>
      </c>
      <c r="K366">
        <f t="shared" si="95"/>
        <v>0</v>
      </c>
      <c r="L366">
        <f t="shared" si="96"/>
        <v>5</v>
      </c>
      <c r="M366" s="14">
        <f t="shared" si="97"/>
        <v>0</v>
      </c>
      <c r="N366" s="13">
        <f t="shared" si="109"/>
        <v>0</v>
      </c>
      <c r="O366">
        <f t="shared" si="109"/>
        <v>13</v>
      </c>
      <c r="P366">
        <f t="shared" si="109"/>
        <v>0</v>
      </c>
      <c r="Q366" s="14">
        <f t="shared" si="102"/>
        <v>780</v>
      </c>
      <c r="R366" s="13">
        <f t="shared" si="103"/>
        <v>0</v>
      </c>
      <c r="S366">
        <f t="shared" si="104"/>
        <v>13</v>
      </c>
      <c r="T366">
        <f t="shared" si="105"/>
        <v>0</v>
      </c>
      <c r="U366" s="14">
        <f t="shared" si="106"/>
        <v>780</v>
      </c>
      <c r="V366" s="15"/>
      <c r="Z366" s="14"/>
    </row>
    <row r="367" spans="1:26" x14ac:dyDescent="0.25">
      <c r="A367" s="16"/>
      <c r="B367" s="17" t="b">
        <f t="shared" si="108"/>
        <v>0</v>
      </c>
      <c r="C367" s="17" t="b">
        <f t="shared" si="107"/>
        <v>0</v>
      </c>
      <c r="D367" s="17">
        <f t="shared" si="98"/>
        <v>1</v>
      </c>
      <c r="E367" s="17" t="str">
        <f t="shared" si="99"/>
        <v>Section 5 - Next steps</v>
      </c>
      <c r="F367" s="18" t="str">
        <f t="shared" si="100"/>
        <v/>
      </c>
      <c r="G367" s="13" t="str">
        <f t="shared" si="92"/>
        <v/>
      </c>
      <c r="H367">
        <f t="shared" si="93"/>
        <v>0</v>
      </c>
      <c r="I367" s="14">
        <f t="shared" si="101"/>
        <v>0</v>
      </c>
      <c r="J367" s="13">
        <f t="shared" si="94"/>
        <v>300</v>
      </c>
      <c r="K367">
        <f t="shared" si="95"/>
        <v>0</v>
      </c>
      <c r="L367">
        <f t="shared" si="96"/>
        <v>5</v>
      </c>
      <c r="M367" s="14">
        <f t="shared" si="97"/>
        <v>0</v>
      </c>
      <c r="N367" s="13">
        <f t="shared" si="109"/>
        <v>0</v>
      </c>
      <c r="O367">
        <f t="shared" si="109"/>
        <v>13</v>
      </c>
      <c r="P367">
        <f t="shared" si="109"/>
        <v>0</v>
      </c>
      <c r="Q367" s="14">
        <f t="shared" si="102"/>
        <v>780</v>
      </c>
      <c r="R367" s="13">
        <f t="shared" si="103"/>
        <v>0</v>
      </c>
      <c r="S367">
        <f t="shared" si="104"/>
        <v>13</v>
      </c>
      <c r="T367">
        <f t="shared" si="105"/>
        <v>0</v>
      </c>
      <c r="U367" s="14">
        <f t="shared" si="106"/>
        <v>780</v>
      </c>
      <c r="V367" s="15"/>
      <c r="Z367" s="14"/>
    </row>
    <row r="368" spans="1:26" x14ac:dyDescent="0.25">
      <c r="A368" s="16"/>
      <c r="B368" s="17" t="b">
        <f t="shared" si="108"/>
        <v>0</v>
      </c>
      <c r="C368" s="17" t="b">
        <f t="shared" si="107"/>
        <v>0</v>
      </c>
      <c r="D368" s="17">
        <f t="shared" si="98"/>
        <v>1</v>
      </c>
      <c r="E368" s="17" t="str">
        <f t="shared" si="99"/>
        <v>Section 5 - Next steps</v>
      </c>
      <c r="F368" s="18" t="str">
        <f t="shared" si="100"/>
        <v/>
      </c>
      <c r="G368" s="13" t="str">
        <f t="shared" si="92"/>
        <v/>
      </c>
      <c r="H368">
        <f t="shared" si="93"/>
        <v>0</v>
      </c>
      <c r="I368" s="14">
        <f t="shared" si="101"/>
        <v>0</v>
      </c>
      <c r="J368" s="13">
        <f t="shared" si="94"/>
        <v>300</v>
      </c>
      <c r="K368">
        <f t="shared" si="95"/>
        <v>0</v>
      </c>
      <c r="L368">
        <f t="shared" si="96"/>
        <v>5</v>
      </c>
      <c r="M368" s="14">
        <f t="shared" si="97"/>
        <v>0</v>
      </c>
      <c r="N368" s="13">
        <f t="shared" si="109"/>
        <v>0</v>
      </c>
      <c r="O368">
        <f t="shared" si="109"/>
        <v>13</v>
      </c>
      <c r="P368">
        <f t="shared" si="109"/>
        <v>0</v>
      </c>
      <c r="Q368" s="14">
        <f t="shared" si="102"/>
        <v>780</v>
      </c>
      <c r="R368" s="13">
        <f t="shared" si="103"/>
        <v>0</v>
      </c>
      <c r="S368">
        <f t="shared" si="104"/>
        <v>13</v>
      </c>
      <c r="T368">
        <f t="shared" si="105"/>
        <v>0</v>
      </c>
      <c r="U368" s="14">
        <f t="shared" si="106"/>
        <v>780</v>
      </c>
      <c r="V368" s="15"/>
      <c r="Z368" s="14"/>
    </row>
    <row r="369" spans="1:26" x14ac:dyDescent="0.25">
      <c r="A369" s="16"/>
      <c r="B369" s="17" t="b">
        <f t="shared" si="108"/>
        <v>0</v>
      </c>
      <c r="C369" s="17" t="b">
        <f t="shared" si="107"/>
        <v>0</v>
      </c>
      <c r="D369" s="17">
        <f t="shared" si="98"/>
        <v>1</v>
      </c>
      <c r="E369" s="17" t="str">
        <f t="shared" si="99"/>
        <v>Section 5 - Next steps</v>
      </c>
      <c r="F369" s="18" t="str">
        <f t="shared" si="100"/>
        <v/>
      </c>
      <c r="G369" s="13" t="str">
        <f t="shared" si="92"/>
        <v/>
      </c>
      <c r="H369">
        <f t="shared" si="93"/>
        <v>0</v>
      </c>
      <c r="I369" s="14">
        <f t="shared" si="101"/>
        <v>0</v>
      </c>
      <c r="J369" s="13">
        <f t="shared" si="94"/>
        <v>300</v>
      </c>
      <c r="K369">
        <f t="shared" si="95"/>
        <v>0</v>
      </c>
      <c r="L369">
        <f t="shared" si="96"/>
        <v>5</v>
      </c>
      <c r="M369" s="14">
        <f t="shared" si="97"/>
        <v>0</v>
      </c>
      <c r="N369" s="13">
        <f t="shared" si="109"/>
        <v>0</v>
      </c>
      <c r="O369">
        <f t="shared" si="109"/>
        <v>13</v>
      </c>
      <c r="P369">
        <f t="shared" si="109"/>
        <v>0</v>
      </c>
      <c r="Q369" s="14">
        <f t="shared" si="102"/>
        <v>780</v>
      </c>
      <c r="R369" s="13">
        <f t="shared" si="103"/>
        <v>0</v>
      </c>
      <c r="S369">
        <f t="shared" si="104"/>
        <v>13</v>
      </c>
      <c r="T369">
        <f t="shared" si="105"/>
        <v>0</v>
      </c>
      <c r="U369" s="14">
        <f t="shared" si="106"/>
        <v>780</v>
      </c>
      <c r="V369" s="15"/>
      <c r="Z369" s="14"/>
    </row>
    <row r="370" spans="1:26" x14ac:dyDescent="0.25">
      <c r="A370" s="16"/>
      <c r="B370" s="17" t="b">
        <f t="shared" si="108"/>
        <v>0</v>
      </c>
      <c r="C370" s="17" t="b">
        <f t="shared" si="107"/>
        <v>0</v>
      </c>
      <c r="D370" s="17">
        <f t="shared" si="98"/>
        <v>1</v>
      </c>
      <c r="E370" s="17" t="str">
        <f t="shared" si="99"/>
        <v>Section 5 - Next steps</v>
      </c>
      <c r="F370" s="18" t="str">
        <f t="shared" si="100"/>
        <v/>
      </c>
      <c r="G370" s="13" t="str">
        <f t="shared" si="92"/>
        <v/>
      </c>
      <c r="H370">
        <f t="shared" si="93"/>
        <v>0</v>
      </c>
      <c r="I370" s="14">
        <f t="shared" si="101"/>
        <v>0</v>
      </c>
      <c r="J370" s="13">
        <f t="shared" si="94"/>
        <v>300</v>
      </c>
      <c r="K370">
        <f t="shared" si="95"/>
        <v>0</v>
      </c>
      <c r="L370">
        <f t="shared" si="96"/>
        <v>5</v>
      </c>
      <c r="M370" s="14">
        <f t="shared" si="97"/>
        <v>0</v>
      </c>
      <c r="N370" s="13">
        <f t="shared" si="109"/>
        <v>0</v>
      </c>
      <c r="O370">
        <f t="shared" si="109"/>
        <v>13</v>
      </c>
      <c r="P370">
        <f t="shared" si="109"/>
        <v>0</v>
      </c>
      <c r="Q370" s="14">
        <f t="shared" si="102"/>
        <v>780</v>
      </c>
      <c r="R370" s="13">
        <f t="shared" si="103"/>
        <v>0</v>
      </c>
      <c r="S370">
        <f t="shared" si="104"/>
        <v>13</v>
      </c>
      <c r="T370">
        <f t="shared" si="105"/>
        <v>0</v>
      </c>
      <c r="U370" s="14">
        <f t="shared" si="106"/>
        <v>780</v>
      </c>
      <c r="V370" s="15"/>
      <c r="Z370" s="14"/>
    </row>
    <row r="371" spans="1:26" x14ac:dyDescent="0.25">
      <c r="A371" s="16"/>
      <c r="B371" s="17" t="b">
        <f t="shared" si="108"/>
        <v>0</v>
      </c>
      <c r="C371" s="17" t="b">
        <f t="shared" si="107"/>
        <v>0</v>
      </c>
      <c r="D371" s="17">
        <f t="shared" si="98"/>
        <v>1</v>
      </c>
      <c r="E371" s="17" t="str">
        <f t="shared" si="99"/>
        <v>Section 5 - Next steps</v>
      </c>
      <c r="F371" s="18" t="str">
        <f t="shared" si="100"/>
        <v/>
      </c>
      <c r="G371" s="13" t="str">
        <f t="shared" si="92"/>
        <v/>
      </c>
      <c r="H371">
        <f t="shared" si="93"/>
        <v>0</v>
      </c>
      <c r="I371" s="14">
        <f t="shared" si="101"/>
        <v>0</v>
      </c>
      <c r="J371" s="13">
        <f t="shared" si="94"/>
        <v>300</v>
      </c>
      <c r="K371">
        <f t="shared" si="95"/>
        <v>0</v>
      </c>
      <c r="L371">
        <f t="shared" si="96"/>
        <v>5</v>
      </c>
      <c r="M371" s="14">
        <f t="shared" si="97"/>
        <v>0</v>
      </c>
      <c r="N371" s="13">
        <f t="shared" si="109"/>
        <v>0</v>
      </c>
      <c r="O371">
        <f t="shared" si="109"/>
        <v>13</v>
      </c>
      <c r="P371">
        <f t="shared" si="109"/>
        <v>0</v>
      </c>
      <c r="Q371" s="14">
        <f t="shared" si="102"/>
        <v>780</v>
      </c>
      <c r="R371" s="13">
        <f t="shared" si="103"/>
        <v>0</v>
      </c>
      <c r="S371">
        <f t="shared" si="104"/>
        <v>13</v>
      </c>
      <c r="T371">
        <f t="shared" si="105"/>
        <v>0</v>
      </c>
      <c r="U371" s="14">
        <f t="shared" si="106"/>
        <v>780</v>
      </c>
      <c r="V371" s="15"/>
      <c r="Z371" s="14"/>
    </row>
    <row r="372" spans="1:26" x14ac:dyDescent="0.25">
      <c r="A372" s="16"/>
      <c r="B372" s="17" t="b">
        <f t="shared" si="108"/>
        <v>0</v>
      </c>
      <c r="C372" s="17" t="b">
        <f t="shared" si="107"/>
        <v>0</v>
      </c>
      <c r="D372" s="17">
        <f t="shared" si="98"/>
        <v>1</v>
      </c>
      <c r="E372" s="17" t="str">
        <f t="shared" si="99"/>
        <v>Section 5 - Next steps</v>
      </c>
      <c r="F372" s="18" t="str">
        <f t="shared" si="100"/>
        <v/>
      </c>
      <c r="G372" s="13" t="str">
        <f t="shared" si="92"/>
        <v/>
      </c>
      <c r="H372">
        <f t="shared" si="93"/>
        <v>0</v>
      </c>
      <c r="I372" s="14">
        <f t="shared" si="101"/>
        <v>0</v>
      </c>
      <c r="J372" s="13">
        <f t="shared" si="94"/>
        <v>300</v>
      </c>
      <c r="K372">
        <f t="shared" si="95"/>
        <v>0</v>
      </c>
      <c r="L372">
        <f t="shared" si="96"/>
        <v>5</v>
      </c>
      <c r="M372" s="14">
        <f t="shared" si="97"/>
        <v>0</v>
      </c>
      <c r="N372" s="13">
        <f t="shared" si="109"/>
        <v>0</v>
      </c>
      <c r="O372">
        <f t="shared" si="109"/>
        <v>13</v>
      </c>
      <c r="P372">
        <f t="shared" si="109"/>
        <v>0</v>
      </c>
      <c r="Q372" s="14">
        <f t="shared" si="102"/>
        <v>780</v>
      </c>
      <c r="R372" s="13">
        <f t="shared" si="103"/>
        <v>0</v>
      </c>
      <c r="S372">
        <f t="shared" si="104"/>
        <v>13</v>
      </c>
      <c r="T372">
        <f t="shared" si="105"/>
        <v>0</v>
      </c>
      <c r="U372" s="14">
        <f t="shared" si="106"/>
        <v>780</v>
      </c>
      <c r="V372" s="15"/>
      <c r="Z372" s="14"/>
    </row>
    <row r="373" spans="1:26" x14ac:dyDescent="0.25">
      <c r="A373" s="16"/>
      <c r="B373" s="17" t="b">
        <f t="shared" si="108"/>
        <v>0</v>
      </c>
      <c r="C373" s="17" t="b">
        <f t="shared" si="107"/>
        <v>0</v>
      </c>
      <c r="D373" s="17">
        <f t="shared" si="98"/>
        <v>1</v>
      </c>
      <c r="E373" s="17" t="str">
        <f t="shared" si="99"/>
        <v>Section 5 - Next steps</v>
      </c>
      <c r="F373" s="18" t="str">
        <f t="shared" si="100"/>
        <v/>
      </c>
      <c r="G373" s="13" t="str">
        <f t="shared" si="92"/>
        <v/>
      </c>
      <c r="H373">
        <f t="shared" si="93"/>
        <v>0</v>
      </c>
      <c r="I373" s="14">
        <f t="shared" si="101"/>
        <v>0</v>
      </c>
      <c r="J373" s="13">
        <f t="shared" si="94"/>
        <v>300</v>
      </c>
      <c r="K373">
        <f t="shared" si="95"/>
        <v>0</v>
      </c>
      <c r="L373">
        <f t="shared" si="96"/>
        <v>5</v>
      </c>
      <c r="M373" s="14">
        <f t="shared" si="97"/>
        <v>0</v>
      </c>
      <c r="N373" s="13">
        <f t="shared" si="109"/>
        <v>0</v>
      </c>
      <c r="O373">
        <f t="shared" si="109"/>
        <v>13</v>
      </c>
      <c r="P373">
        <f t="shared" si="109"/>
        <v>0</v>
      </c>
      <c r="Q373" s="14">
        <f t="shared" si="102"/>
        <v>780</v>
      </c>
      <c r="R373" s="13">
        <f t="shared" si="103"/>
        <v>0</v>
      </c>
      <c r="S373">
        <f t="shared" si="104"/>
        <v>13</v>
      </c>
      <c r="T373">
        <f t="shared" si="105"/>
        <v>0</v>
      </c>
      <c r="U373" s="14">
        <f t="shared" si="106"/>
        <v>780</v>
      </c>
      <c r="V373" s="15"/>
      <c r="Z373" s="14"/>
    </row>
    <row r="374" spans="1:26" x14ac:dyDescent="0.25">
      <c r="A374" s="16"/>
      <c r="B374" s="17" t="b">
        <f t="shared" si="108"/>
        <v>0</v>
      </c>
      <c r="C374" s="17" t="b">
        <f t="shared" si="107"/>
        <v>0</v>
      </c>
      <c r="D374" s="17">
        <f t="shared" si="98"/>
        <v>1</v>
      </c>
      <c r="E374" s="17" t="str">
        <f t="shared" si="99"/>
        <v>Section 5 - Next steps</v>
      </c>
      <c r="F374" s="18" t="str">
        <f t="shared" si="100"/>
        <v/>
      </c>
      <c r="G374" s="13" t="str">
        <f t="shared" si="92"/>
        <v/>
      </c>
      <c r="H374">
        <f t="shared" si="93"/>
        <v>0</v>
      </c>
      <c r="I374" s="14">
        <f t="shared" si="101"/>
        <v>0</v>
      </c>
      <c r="J374" s="13">
        <f t="shared" si="94"/>
        <v>300</v>
      </c>
      <c r="K374">
        <f t="shared" si="95"/>
        <v>0</v>
      </c>
      <c r="L374">
        <f t="shared" si="96"/>
        <v>5</v>
      </c>
      <c r="M374" s="14">
        <f t="shared" si="97"/>
        <v>0</v>
      </c>
      <c r="N374" s="13">
        <f t="shared" si="109"/>
        <v>0</v>
      </c>
      <c r="O374">
        <f t="shared" si="109"/>
        <v>13</v>
      </c>
      <c r="P374">
        <f t="shared" si="109"/>
        <v>0</v>
      </c>
      <c r="Q374" s="14">
        <f t="shared" si="102"/>
        <v>780</v>
      </c>
      <c r="R374" s="13">
        <f t="shared" si="103"/>
        <v>0</v>
      </c>
      <c r="S374">
        <f t="shared" si="104"/>
        <v>13</v>
      </c>
      <c r="T374">
        <f t="shared" si="105"/>
        <v>0</v>
      </c>
      <c r="U374" s="14">
        <f t="shared" si="106"/>
        <v>780</v>
      </c>
      <c r="V374" s="15"/>
      <c r="Z374" s="14"/>
    </row>
    <row r="375" spans="1:26" x14ac:dyDescent="0.25">
      <c r="A375" s="16"/>
      <c r="B375" s="17" t="b">
        <f t="shared" si="108"/>
        <v>0</v>
      </c>
      <c r="C375" s="17" t="b">
        <f t="shared" si="107"/>
        <v>0</v>
      </c>
      <c r="D375" s="17">
        <f t="shared" si="98"/>
        <v>1</v>
      </c>
      <c r="E375" s="17" t="str">
        <f t="shared" si="99"/>
        <v>Section 5 - Next steps</v>
      </c>
      <c r="F375" s="18" t="str">
        <f t="shared" si="100"/>
        <v/>
      </c>
      <c r="G375" s="13" t="str">
        <f t="shared" si="92"/>
        <v/>
      </c>
      <c r="H375">
        <f t="shared" si="93"/>
        <v>0</v>
      </c>
      <c r="I375" s="14">
        <f t="shared" si="101"/>
        <v>0</v>
      </c>
      <c r="J375" s="13">
        <f t="shared" si="94"/>
        <v>300</v>
      </c>
      <c r="K375">
        <f t="shared" si="95"/>
        <v>0</v>
      </c>
      <c r="L375">
        <f t="shared" si="96"/>
        <v>5</v>
      </c>
      <c r="M375" s="14">
        <f t="shared" si="97"/>
        <v>0</v>
      </c>
      <c r="N375" s="13">
        <f t="shared" si="109"/>
        <v>0</v>
      </c>
      <c r="O375">
        <f t="shared" si="109"/>
        <v>13</v>
      </c>
      <c r="P375">
        <f t="shared" si="109"/>
        <v>0</v>
      </c>
      <c r="Q375" s="14">
        <f t="shared" si="102"/>
        <v>780</v>
      </c>
      <c r="R375" s="13">
        <f t="shared" si="103"/>
        <v>0</v>
      </c>
      <c r="S375">
        <f t="shared" si="104"/>
        <v>13</v>
      </c>
      <c r="T375">
        <f t="shared" si="105"/>
        <v>0</v>
      </c>
      <c r="U375" s="14">
        <f t="shared" si="106"/>
        <v>780</v>
      </c>
      <c r="V375" s="15"/>
      <c r="Z375" s="14"/>
    </row>
    <row r="376" spans="1:26" x14ac:dyDescent="0.25">
      <c r="A376" s="16"/>
      <c r="B376" s="17" t="b">
        <f t="shared" si="108"/>
        <v>0</v>
      </c>
      <c r="C376" s="17" t="b">
        <f t="shared" si="107"/>
        <v>0</v>
      </c>
      <c r="D376" s="17">
        <f t="shared" si="98"/>
        <v>1</v>
      </c>
      <c r="E376" s="17" t="str">
        <f t="shared" si="99"/>
        <v>Section 5 - Next steps</v>
      </c>
      <c r="F376" s="18" t="str">
        <f t="shared" si="100"/>
        <v/>
      </c>
      <c r="G376" s="13" t="str">
        <f t="shared" si="92"/>
        <v/>
      </c>
      <c r="H376">
        <f t="shared" si="93"/>
        <v>0</v>
      </c>
      <c r="I376" s="14">
        <f t="shared" si="101"/>
        <v>0</v>
      </c>
      <c r="J376" s="13">
        <f t="shared" si="94"/>
        <v>300</v>
      </c>
      <c r="K376">
        <f t="shared" si="95"/>
        <v>0</v>
      </c>
      <c r="L376">
        <f t="shared" si="96"/>
        <v>5</v>
      </c>
      <c r="M376" s="14">
        <f t="shared" si="97"/>
        <v>0</v>
      </c>
      <c r="N376" s="13">
        <f t="shared" si="109"/>
        <v>0</v>
      </c>
      <c r="O376">
        <f t="shared" si="109"/>
        <v>13</v>
      </c>
      <c r="P376">
        <f t="shared" si="109"/>
        <v>0</v>
      </c>
      <c r="Q376" s="14">
        <f t="shared" si="102"/>
        <v>780</v>
      </c>
      <c r="R376" s="13">
        <f t="shared" si="103"/>
        <v>0</v>
      </c>
      <c r="S376">
        <f t="shared" si="104"/>
        <v>13</v>
      </c>
      <c r="T376">
        <f t="shared" si="105"/>
        <v>0</v>
      </c>
      <c r="U376" s="14">
        <f t="shared" si="106"/>
        <v>780</v>
      </c>
      <c r="V376" s="15"/>
      <c r="Z376" s="14"/>
    </row>
    <row r="377" spans="1:26" x14ac:dyDescent="0.25">
      <c r="A377" s="16"/>
      <c r="B377" s="17" t="b">
        <f t="shared" si="108"/>
        <v>0</v>
      </c>
      <c r="C377" s="17" t="b">
        <f t="shared" si="107"/>
        <v>0</v>
      </c>
      <c r="D377" s="17">
        <f t="shared" si="98"/>
        <v>1</v>
      </c>
      <c r="E377" s="17" t="str">
        <f t="shared" si="99"/>
        <v>Section 5 - Next steps</v>
      </c>
      <c r="F377" s="18" t="str">
        <f t="shared" si="100"/>
        <v/>
      </c>
      <c r="G377" s="13" t="str">
        <f t="shared" si="92"/>
        <v/>
      </c>
      <c r="H377">
        <f t="shared" si="93"/>
        <v>0</v>
      </c>
      <c r="I377" s="14">
        <f t="shared" si="101"/>
        <v>0</v>
      </c>
      <c r="J377" s="13">
        <f t="shared" si="94"/>
        <v>300</v>
      </c>
      <c r="K377">
        <f t="shared" si="95"/>
        <v>0</v>
      </c>
      <c r="L377">
        <f t="shared" si="96"/>
        <v>5</v>
      </c>
      <c r="M377" s="14">
        <f t="shared" si="97"/>
        <v>0</v>
      </c>
      <c r="N377" s="13">
        <f t="shared" si="109"/>
        <v>0</v>
      </c>
      <c r="O377">
        <f t="shared" si="109"/>
        <v>13</v>
      </c>
      <c r="P377">
        <f t="shared" si="109"/>
        <v>0</v>
      </c>
      <c r="Q377" s="14">
        <f t="shared" si="102"/>
        <v>780</v>
      </c>
      <c r="R377" s="13">
        <f t="shared" si="103"/>
        <v>0</v>
      </c>
      <c r="S377">
        <f t="shared" si="104"/>
        <v>13</v>
      </c>
      <c r="T377">
        <f t="shared" si="105"/>
        <v>0</v>
      </c>
      <c r="U377" s="14">
        <f t="shared" si="106"/>
        <v>780</v>
      </c>
      <c r="V377" s="15"/>
      <c r="Z377" s="14"/>
    </row>
    <row r="378" spans="1:26" x14ac:dyDescent="0.25">
      <c r="A378" s="16"/>
      <c r="B378" s="17" t="b">
        <f t="shared" si="108"/>
        <v>0</v>
      </c>
      <c r="C378" s="17" t="b">
        <f t="shared" si="107"/>
        <v>0</v>
      </c>
      <c r="D378" s="17">
        <f t="shared" si="98"/>
        <v>1</v>
      </c>
      <c r="E378" s="17" t="str">
        <f t="shared" si="99"/>
        <v>Section 5 - Next steps</v>
      </c>
      <c r="F378" s="18" t="str">
        <f t="shared" si="100"/>
        <v/>
      </c>
      <c r="G378" s="13" t="str">
        <f t="shared" si="92"/>
        <v/>
      </c>
      <c r="H378">
        <f t="shared" si="93"/>
        <v>0</v>
      </c>
      <c r="I378" s="14">
        <f t="shared" si="101"/>
        <v>0</v>
      </c>
      <c r="J378" s="13">
        <f t="shared" si="94"/>
        <v>300</v>
      </c>
      <c r="K378">
        <f t="shared" si="95"/>
        <v>0</v>
      </c>
      <c r="L378">
        <f t="shared" si="96"/>
        <v>5</v>
      </c>
      <c r="M378" s="14">
        <f t="shared" si="97"/>
        <v>0</v>
      </c>
      <c r="N378" s="13">
        <f t="shared" si="109"/>
        <v>0</v>
      </c>
      <c r="O378">
        <f t="shared" si="109"/>
        <v>13</v>
      </c>
      <c r="P378">
        <f t="shared" si="109"/>
        <v>0</v>
      </c>
      <c r="Q378" s="14">
        <f t="shared" si="102"/>
        <v>780</v>
      </c>
      <c r="R378" s="13">
        <f t="shared" si="103"/>
        <v>0</v>
      </c>
      <c r="S378">
        <f t="shared" si="104"/>
        <v>13</v>
      </c>
      <c r="T378">
        <f t="shared" si="105"/>
        <v>0</v>
      </c>
      <c r="U378" s="14">
        <f t="shared" si="106"/>
        <v>780</v>
      </c>
      <c r="V378" s="15"/>
      <c r="Z378" s="14"/>
    </row>
    <row r="379" spans="1:26" x14ac:dyDescent="0.25">
      <c r="A379" s="16"/>
      <c r="B379" s="17" t="b">
        <f t="shared" si="108"/>
        <v>0</v>
      </c>
      <c r="C379" s="17" t="b">
        <f t="shared" si="107"/>
        <v>0</v>
      </c>
      <c r="D379" s="17">
        <f t="shared" si="98"/>
        <v>1</v>
      </c>
      <c r="E379" s="17" t="str">
        <f t="shared" si="99"/>
        <v>Section 5 - Next steps</v>
      </c>
      <c r="F379" s="18" t="str">
        <f t="shared" si="100"/>
        <v/>
      </c>
      <c r="G379" s="13" t="str">
        <f t="shared" si="92"/>
        <v/>
      </c>
      <c r="H379">
        <f t="shared" si="93"/>
        <v>0</v>
      </c>
      <c r="I379" s="14">
        <f t="shared" si="101"/>
        <v>0</v>
      </c>
      <c r="J379" s="13">
        <f t="shared" si="94"/>
        <v>300</v>
      </c>
      <c r="K379">
        <f t="shared" si="95"/>
        <v>0</v>
      </c>
      <c r="L379">
        <f t="shared" si="96"/>
        <v>5</v>
      </c>
      <c r="M379" s="14">
        <f t="shared" si="97"/>
        <v>0</v>
      </c>
      <c r="N379" s="13">
        <f t="shared" si="109"/>
        <v>0</v>
      </c>
      <c r="O379">
        <f t="shared" si="109"/>
        <v>13</v>
      </c>
      <c r="P379">
        <f t="shared" si="109"/>
        <v>0</v>
      </c>
      <c r="Q379" s="14">
        <f t="shared" si="102"/>
        <v>780</v>
      </c>
      <c r="R379" s="13">
        <f t="shared" si="103"/>
        <v>0</v>
      </c>
      <c r="S379">
        <f t="shared" si="104"/>
        <v>13</v>
      </c>
      <c r="T379">
        <f t="shared" si="105"/>
        <v>0</v>
      </c>
      <c r="U379" s="14">
        <f t="shared" si="106"/>
        <v>780</v>
      </c>
      <c r="V379" s="15"/>
      <c r="Z379" s="14"/>
    </row>
    <row r="380" spans="1:26" x14ac:dyDescent="0.25">
      <c r="A380" s="16"/>
      <c r="B380" s="17" t="b">
        <f t="shared" si="108"/>
        <v>0</v>
      </c>
      <c r="C380" s="17" t="b">
        <f t="shared" si="107"/>
        <v>0</v>
      </c>
      <c r="D380" s="17">
        <f t="shared" si="98"/>
        <v>1</v>
      </c>
      <c r="E380" s="17" t="str">
        <f t="shared" si="99"/>
        <v>Section 5 - Next steps</v>
      </c>
      <c r="F380" s="18" t="str">
        <f t="shared" si="100"/>
        <v/>
      </c>
      <c r="G380" s="13" t="str">
        <f t="shared" si="92"/>
        <v/>
      </c>
      <c r="H380">
        <f t="shared" si="93"/>
        <v>0</v>
      </c>
      <c r="I380" s="14">
        <f t="shared" si="101"/>
        <v>0</v>
      </c>
      <c r="J380" s="13">
        <f t="shared" si="94"/>
        <v>300</v>
      </c>
      <c r="K380">
        <f t="shared" si="95"/>
        <v>0</v>
      </c>
      <c r="L380">
        <f t="shared" si="96"/>
        <v>5</v>
      </c>
      <c r="M380" s="14">
        <f t="shared" si="97"/>
        <v>0</v>
      </c>
      <c r="N380" s="13">
        <f t="shared" si="109"/>
        <v>0</v>
      </c>
      <c r="O380">
        <f t="shared" si="109"/>
        <v>13</v>
      </c>
      <c r="P380">
        <f t="shared" si="109"/>
        <v>0</v>
      </c>
      <c r="Q380" s="14">
        <f t="shared" si="102"/>
        <v>780</v>
      </c>
      <c r="R380" s="13">
        <f t="shared" si="103"/>
        <v>0</v>
      </c>
      <c r="S380">
        <f t="shared" si="104"/>
        <v>13</v>
      </c>
      <c r="T380">
        <f t="shared" si="105"/>
        <v>0</v>
      </c>
      <c r="U380" s="14">
        <f t="shared" si="106"/>
        <v>780</v>
      </c>
      <c r="V380" s="15"/>
      <c r="Z380" s="14"/>
    </row>
    <row r="381" spans="1:26" x14ac:dyDescent="0.25">
      <c r="A381" s="16"/>
      <c r="B381" s="17" t="b">
        <f t="shared" si="108"/>
        <v>0</v>
      </c>
      <c r="C381" s="17" t="b">
        <f t="shared" si="107"/>
        <v>0</v>
      </c>
      <c r="D381" s="17">
        <f t="shared" si="98"/>
        <v>1</v>
      </c>
      <c r="E381" s="17" t="str">
        <f t="shared" si="99"/>
        <v>Section 5 - Next steps</v>
      </c>
      <c r="F381" s="18" t="str">
        <f t="shared" si="100"/>
        <v/>
      </c>
      <c r="G381" s="13" t="str">
        <f t="shared" si="92"/>
        <v/>
      </c>
      <c r="H381">
        <f t="shared" si="93"/>
        <v>0</v>
      </c>
      <c r="I381" s="14">
        <f t="shared" si="101"/>
        <v>0</v>
      </c>
      <c r="J381" s="13">
        <f t="shared" si="94"/>
        <v>300</v>
      </c>
      <c r="K381">
        <f t="shared" si="95"/>
        <v>0</v>
      </c>
      <c r="L381">
        <f t="shared" si="96"/>
        <v>5</v>
      </c>
      <c r="M381" s="14">
        <f t="shared" si="97"/>
        <v>0</v>
      </c>
      <c r="N381" s="13">
        <f t="shared" si="109"/>
        <v>0</v>
      </c>
      <c r="O381">
        <f t="shared" si="109"/>
        <v>13</v>
      </c>
      <c r="P381">
        <f t="shared" si="109"/>
        <v>0</v>
      </c>
      <c r="Q381" s="14">
        <f t="shared" si="102"/>
        <v>780</v>
      </c>
      <c r="R381" s="13">
        <f t="shared" si="103"/>
        <v>0</v>
      </c>
      <c r="S381">
        <f t="shared" si="104"/>
        <v>13</v>
      </c>
      <c r="T381">
        <f t="shared" si="105"/>
        <v>0</v>
      </c>
      <c r="U381" s="14">
        <f t="shared" si="106"/>
        <v>780</v>
      </c>
      <c r="V381" s="15"/>
      <c r="Z381" s="14"/>
    </row>
    <row r="382" spans="1:26" x14ac:dyDescent="0.25">
      <c r="A382" s="16"/>
      <c r="B382" s="17" t="b">
        <f t="shared" si="108"/>
        <v>0</v>
      </c>
      <c r="C382" s="17" t="b">
        <f t="shared" si="107"/>
        <v>0</v>
      </c>
      <c r="D382" s="17">
        <f t="shared" si="98"/>
        <v>1</v>
      </c>
      <c r="E382" s="17" t="str">
        <f t="shared" si="99"/>
        <v>Section 5 - Next steps</v>
      </c>
      <c r="F382" s="18" t="str">
        <f t="shared" si="100"/>
        <v/>
      </c>
      <c r="G382" s="13" t="str">
        <f t="shared" si="92"/>
        <v/>
      </c>
      <c r="H382">
        <f t="shared" si="93"/>
        <v>0</v>
      </c>
      <c r="I382" s="14">
        <f t="shared" si="101"/>
        <v>0</v>
      </c>
      <c r="J382" s="13">
        <f t="shared" si="94"/>
        <v>300</v>
      </c>
      <c r="K382">
        <f t="shared" si="95"/>
        <v>0</v>
      </c>
      <c r="L382">
        <f t="shared" si="96"/>
        <v>5</v>
      </c>
      <c r="M382" s="14">
        <f t="shared" si="97"/>
        <v>0</v>
      </c>
      <c r="N382" s="13">
        <f t="shared" si="109"/>
        <v>0</v>
      </c>
      <c r="O382">
        <f t="shared" si="109"/>
        <v>13</v>
      </c>
      <c r="P382">
        <f t="shared" si="109"/>
        <v>0</v>
      </c>
      <c r="Q382" s="14">
        <f t="shared" si="102"/>
        <v>780</v>
      </c>
      <c r="R382" s="13">
        <f t="shared" si="103"/>
        <v>0</v>
      </c>
      <c r="S382">
        <f t="shared" si="104"/>
        <v>13</v>
      </c>
      <c r="T382">
        <f t="shared" si="105"/>
        <v>0</v>
      </c>
      <c r="U382" s="14">
        <f t="shared" si="106"/>
        <v>780</v>
      </c>
      <c r="V382" s="15"/>
      <c r="Z382" s="14"/>
    </row>
    <row r="383" spans="1:26" x14ac:dyDescent="0.25">
      <c r="A383" s="16"/>
      <c r="B383" s="17" t="b">
        <f t="shared" si="108"/>
        <v>0</v>
      </c>
      <c r="C383" s="17" t="b">
        <f t="shared" si="107"/>
        <v>0</v>
      </c>
      <c r="D383" s="17">
        <f t="shared" si="98"/>
        <v>1</v>
      </c>
      <c r="E383" s="17" t="str">
        <f t="shared" si="99"/>
        <v>Section 5 - Next steps</v>
      </c>
      <c r="F383" s="18" t="str">
        <f t="shared" si="100"/>
        <v/>
      </c>
      <c r="G383" s="13" t="str">
        <f t="shared" si="92"/>
        <v/>
      </c>
      <c r="H383">
        <f t="shared" si="93"/>
        <v>0</v>
      </c>
      <c r="I383" s="14">
        <f t="shared" si="101"/>
        <v>0</v>
      </c>
      <c r="J383" s="13">
        <f t="shared" si="94"/>
        <v>300</v>
      </c>
      <c r="K383">
        <f t="shared" si="95"/>
        <v>0</v>
      </c>
      <c r="L383">
        <f t="shared" si="96"/>
        <v>5</v>
      </c>
      <c r="M383" s="14">
        <f t="shared" si="97"/>
        <v>0</v>
      </c>
      <c r="N383" s="13">
        <f t="shared" si="109"/>
        <v>0</v>
      </c>
      <c r="O383">
        <f t="shared" si="109"/>
        <v>13</v>
      </c>
      <c r="P383">
        <f t="shared" si="109"/>
        <v>0</v>
      </c>
      <c r="Q383" s="14">
        <f t="shared" si="102"/>
        <v>780</v>
      </c>
      <c r="R383" s="13">
        <f t="shared" si="103"/>
        <v>0</v>
      </c>
      <c r="S383">
        <f t="shared" si="104"/>
        <v>13</v>
      </c>
      <c r="T383">
        <f t="shared" si="105"/>
        <v>0</v>
      </c>
      <c r="U383" s="14">
        <f t="shared" si="106"/>
        <v>780</v>
      </c>
      <c r="V383" s="15"/>
      <c r="Z383" s="14"/>
    </row>
    <row r="384" spans="1:26" x14ac:dyDescent="0.25">
      <c r="A384" s="16"/>
      <c r="B384" s="17" t="b">
        <f t="shared" si="108"/>
        <v>0</v>
      </c>
      <c r="C384" s="17" t="b">
        <f t="shared" si="107"/>
        <v>0</v>
      </c>
      <c r="D384" s="17">
        <f t="shared" si="98"/>
        <v>1</v>
      </c>
      <c r="E384" s="17" t="str">
        <f t="shared" si="99"/>
        <v>Section 5 - Next steps</v>
      </c>
      <c r="F384" s="18" t="str">
        <f t="shared" si="100"/>
        <v/>
      </c>
      <c r="G384" s="13" t="str">
        <f t="shared" si="92"/>
        <v/>
      </c>
      <c r="H384">
        <f t="shared" si="93"/>
        <v>0</v>
      </c>
      <c r="I384" s="14">
        <f t="shared" si="101"/>
        <v>0</v>
      </c>
      <c r="J384" s="13">
        <f t="shared" si="94"/>
        <v>300</v>
      </c>
      <c r="K384">
        <f t="shared" si="95"/>
        <v>0</v>
      </c>
      <c r="L384">
        <f t="shared" si="96"/>
        <v>5</v>
      </c>
      <c r="M384" s="14">
        <f t="shared" si="97"/>
        <v>0</v>
      </c>
      <c r="N384" s="13">
        <f t="shared" si="109"/>
        <v>0</v>
      </c>
      <c r="O384">
        <f t="shared" si="109"/>
        <v>13</v>
      </c>
      <c r="P384">
        <f t="shared" si="109"/>
        <v>0</v>
      </c>
      <c r="Q384" s="14">
        <f t="shared" si="102"/>
        <v>780</v>
      </c>
      <c r="R384" s="13">
        <f t="shared" si="103"/>
        <v>0</v>
      </c>
      <c r="S384">
        <f t="shared" si="104"/>
        <v>13</v>
      </c>
      <c r="T384">
        <f t="shared" si="105"/>
        <v>0</v>
      </c>
      <c r="U384" s="14">
        <f t="shared" si="106"/>
        <v>780</v>
      </c>
      <c r="V384" s="15"/>
      <c r="Z384" s="14"/>
    </row>
    <row r="385" spans="1:26" x14ac:dyDescent="0.25">
      <c r="A385" s="16"/>
      <c r="B385" s="17" t="b">
        <f t="shared" si="108"/>
        <v>0</v>
      </c>
      <c r="C385" s="17" t="b">
        <f t="shared" si="107"/>
        <v>0</v>
      </c>
      <c r="D385" s="17">
        <f t="shared" si="98"/>
        <v>1</v>
      </c>
      <c r="E385" s="17" t="str">
        <f t="shared" si="99"/>
        <v>Section 5 - Next steps</v>
      </c>
      <c r="F385" s="18" t="str">
        <f t="shared" si="100"/>
        <v/>
      </c>
      <c r="G385" s="13" t="str">
        <f t="shared" si="92"/>
        <v/>
      </c>
      <c r="H385">
        <f t="shared" si="93"/>
        <v>0</v>
      </c>
      <c r="I385" s="14">
        <f t="shared" si="101"/>
        <v>0</v>
      </c>
      <c r="J385" s="13">
        <f t="shared" si="94"/>
        <v>300</v>
      </c>
      <c r="K385">
        <f t="shared" si="95"/>
        <v>0</v>
      </c>
      <c r="L385">
        <f t="shared" si="96"/>
        <v>5</v>
      </c>
      <c r="M385" s="14">
        <f t="shared" si="97"/>
        <v>0</v>
      </c>
      <c r="N385" s="13">
        <f t="shared" si="109"/>
        <v>0</v>
      </c>
      <c r="O385">
        <f t="shared" si="109"/>
        <v>13</v>
      </c>
      <c r="P385">
        <f t="shared" si="109"/>
        <v>0</v>
      </c>
      <c r="Q385" s="14">
        <f t="shared" si="102"/>
        <v>780</v>
      </c>
      <c r="R385" s="13">
        <f t="shared" si="103"/>
        <v>0</v>
      </c>
      <c r="S385">
        <f t="shared" si="104"/>
        <v>13</v>
      </c>
      <c r="T385">
        <f t="shared" si="105"/>
        <v>0</v>
      </c>
      <c r="U385" s="14">
        <f t="shared" si="106"/>
        <v>780</v>
      </c>
      <c r="V385" s="15"/>
      <c r="Z385" s="14"/>
    </row>
    <row r="386" spans="1:26" x14ac:dyDescent="0.25">
      <c r="A386" s="16"/>
      <c r="B386" s="17" t="b">
        <f t="shared" si="108"/>
        <v>0</v>
      </c>
      <c r="C386" s="17" t="b">
        <f t="shared" si="107"/>
        <v>0</v>
      </c>
      <c r="D386" s="17">
        <f t="shared" si="98"/>
        <v>1</v>
      </c>
      <c r="E386" s="17" t="str">
        <f t="shared" si="99"/>
        <v>Section 5 - Next steps</v>
      </c>
      <c r="F386" s="18" t="str">
        <f t="shared" si="100"/>
        <v/>
      </c>
      <c r="G386" s="13" t="str">
        <f t="shared" si="92"/>
        <v/>
      </c>
      <c r="H386">
        <f t="shared" si="93"/>
        <v>0</v>
      </c>
      <c r="I386" s="14">
        <f t="shared" si="101"/>
        <v>0</v>
      </c>
      <c r="J386" s="13">
        <f t="shared" si="94"/>
        <v>300</v>
      </c>
      <c r="K386">
        <f t="shared" si="95"/>
        <v>0</v>
      </c>
      <c r="L386">
        <f t="shared" si="96"/>
        <v>5</v>
      </c>
      <c r="M386" s="14">
        <f t="shared" si="97"/>
        <v>0</v>
      </c>
      <c r="N386" s="13">
        <f t="shared" si="109"/>
        <v>0</v>
      </c>
      <c r="O386">
        <f t="shared" si="109"/>
        <v>13</v>
      </c>
      <c r="P386">
        <f t="shared" si="109"/>
        <v>0</v>
      </c>
      <c r="Q386" s="14">
        <f t="shared" si="102"/>
        <v>780</v>
      </c>
      <c r="R386" s="13">
        <f t="shared" si="103"/>
        <v>0</v>
      </c>
      <c r="S386">
        <f t="shared" si="104"/>
        <v>13</v>
      </c>
      <c r="T386">
        <f t="shared" si="105"/>
        <v>0</v>
      </c>
      <c r="U386" s="14">
        <f t="shared" si="106"/>
        <v>780</v>
      </c>
      <c r="V386" s="15"/>
      <c r="Z386" s="14"/>
    </row>
    <row r="387" spans="1:26" x14ac:dyDescent="0.25">
      <c r="A387" s="16"/>
      <c r="B387" s="17" t="b">
        <f t="shared" si="108"/>
        <v>0</v>
      </c>
      <c r="C387" s="17" t="b">
        <f t="shared" si="107"/>
        <v>0</v>
      </c>
      <c r="D387" s="17">
        <f t="shared" si="98"/>
        <v>1</v>
      </c>
      <c r="E387" s="17" t="str">
        <f t="shared" si="99"/>
        <v>Section 5 - Next steps</v>
      </c>
      <c r="F387" s="18" t="str">
        <f t="shared" si="100"/>
        <v/>
      </c>
      <c r="G387" s="13" t="str">
        <f t="shared" si="92"/>
        <v/>
      </c>
      <c r="H387">
        <f t="shared" si="93"/>
        <v>0</v>
      </c>
      <c r="I387" s="14">
        <f t="shared" si="101"/>
        <v>0</v>
      </c>
      <c r="J387" s="13">
        <f t="shared" si="94"/>
        <v>300</v>
      </c>
      <c r="K387">
        <f t="shared" si="95"/>
        <v>0</v>
      </c>
      <c r="L387">
        <f t="shared" si="96"/>
        <v>5</v>
      </c>
      <c r="M387" s="14">
        <f t="shared" si="97"/>
        <v>0</v>
      </c>
      <c r="N387" s="13">
        <f t="shared" si="109"/>
        <v>0</v>
      </c>
      <c r="O387">
        <f t="shared" si="109"/>
        <v>13</v>
      </c>
      <c r="P387">
        <f t="shared" si="109"/>
        <v>0</v>
      </c>
      <c r="Q387" s="14">
        <f t="shared" si="102"/>
        <v>780</v>
      </c>
      <c r="R387" s="13">
        <f t="shared" si="103"/>
        <v>0</v>
      </c>
      <c r="S387">
        <f t="shared" si="104"/>
        <v>13</v>
      </c>
      <c r="T387">
        <f t="shared" si="105"/>
        <v>0</v>
      </c>
      <c r="U387" s="14">
        <f t="shared" si="106"/>
        <v>780</v>
      </c>
      <c r="V387" s="15"/>
      <c r="Z387" s="14"/>
    </row>
    <row r="388" spans="1:26" x14ac:dyDescent="0.25">
      <c r="A388" s="16"/>
      <c r="B388" s="17" t="b">
        <f t="shared" si="108"/>
        <v>0</v>
      </c>
      <c r="C388" s="17" t="b">
        <f t="shared" si="107"/>
        <v>0</v>
      </c>
      <c r="D388" s="17">
        <f t="shared" si="98"/>
        <v>1</v>
      </c>
      <c r="E388" s="17" t="str">
        <f t="shared" si="99"/>
        <v>Section 5 - Next steps</v>
      </c>
      <c r="F388" s="18" t="str">
        <f t="shared" si="100"/>
        <v/>
      </c>
      <c r="G388" s="13" t="str">
        <f t="shared" si="92"/>
        <v/>
      </c>
      <c r="H388">
        <f t="shared" si="93"/>
        <v>0</v>
      </c>
      <c r="I388" s="14">
        <f t="shared" si="101"/>
        <v>0</v>
      </c>
      <c r="J388" s="13">
        <f t="shared" si="94"/>
        <v>300</v>
      </c>
      <c r="K388">
        <f t="shared" si="95"/>
        <v>0</v>
      </c>
      <c r="L388">
        <f t="shared" si="96"/>
        <v>5</v>
      </c>
      <c r="M388" s="14">
        <f t="shared" si="97"/>
        <v>0</v>
      </c>
      <c r="N388" s="13">
        <f t="shared" si="109"/>
        <v>0</v>
      </c>
      <c r="O388">
        <f t="shared" si="109"/>
        <v>13</v>
      </c>
      <c r="P388">
        <f t="shared" si="109"/>
        <v>0</v>
      </c>
      <c r="Q388" s="14">
        <f t="shared" si="102"/>
        <v>780</v>
      </c>
      <c r="R388" s="13">
        <f t="shared" si="103"/>
        <v>0</v>
      </c>
      <c r="S388">
        <f t="shared" si="104"/>
        <v>13</v>
      </c>
      <c r="T388">
        <f t="shared" si="105"/>
        <v>0</v>
      </c>
      <c r="U388" s="14">
        <f t="shared" si="106"/>
        <v>780</v>
      </c>
      <c r="V388" s="15"/>
      <c r="Z388" s="14"/>
    </row>
    <row r="389" spans="1:26" x14ac:dyDescent="0.25">
      <c r="A389" s="16"/>
      <c r="B389" s="17" t="b">
        <f t="shared" si="108"/>
        <v>0</v>
      </c>
      <c r="C389" s="17" t="b">
        <f t="shared" si="107"/>
        <v>0</v>
      </c>
      <c r="D389" s="17">
        <f t="shared" si="98"/>
        <v>1</v>
      </c>
      <c r="E389" s="17" t="str">
        <f t="shared" si="99"/>
        <v>Section 5 - Next steps</v>
      </c>
      <c r="F389" s="18" t="str">
        <f t="shared" si="100"/>
        <v/>
      </c>
      <c r="G389" s="13" t="str">
        <f t="shared" si="92"/>
        <v/>
      </c>
      <c r="H389">
        <f t="shared" si="93"/>
        <v>0</v>
      </c>
      <c r="I389" s="14">
        <f t="shared" si="101"/>
        <v>0</v>
      </c>
      <c r="J389" s="13">
        <f t="shared" si="94"/>
        <v>300</v>
      </c>
      <c r="K389">
        <f t="shared" si="95"/>
        <v>0</v>
      </c>
      <c r="L389">
        <f t="shared" si="96"/>
        <v>5</v>
      </c>
      <c r="M389" s="14">
        <f t="shared" si="97"/>
        <v>0</v>
      </c>
      <c r="N389" s="13">
        <f t="shared" si="109"/>
        <v>0</v>
      </c>
      <c r="O389">
        <f t="shared" si="109"/>
        <v>13</v>
      </c>
      <c r="P389">
        <f t="shared" si="109"/>
        <v>0</v>
      </c>
      <c r="Q389" s="14">
        <f t="shared" si="102"/>
        <v>780</v>
      </c>
      <c r="R389" s="13">
        <f t="shared" si="103"/>
        <v>0</v>
      </c>
      <c r="S389">
        <f t="shared" si="104"/>
        <v>13</v>
      </c>
      <c r="T389">
        <f t="shared" si="105"/>
        <v>0</v>
      </c>
      <c r="U389" s="14">
        <f t="shared" si="106"/>
        <v>780</v>
      </c>
      <c r="V389" s="15"/>
      <c r="Z389" s="14"/>
    </row>
    <row r="390" spans="1:26" x14ac:dyDescent="0.25">
      <c r="A390" s="16"/>
      <c r="B390" s="17" t="b">
        <f t="shared" si="108"/>
        <v>0</v>
      </c>
      <c r="C390" s="17" t="b">
        <f t="shared" si="107"/>
        <v>0</v>
      </c>
      <c r="D390" s="17">
        <f t="shared" si="98"/>
        <v>1</v>
      </c>
      <c r="E390" s="17" t="str">
        <f t="shared" si="99"/>
        <v>Section 5 - Next steps</v>
      </c>
      <c r="F390" s="18" t="str">
        <f t="shared" si="100"/>
        <v/>
      </c>
      <c r="G390" s="13" t="str">
        <f t="shared" si="92"/>
        <v/>
      </c>
      <c r="H390">
        <f t="shared" si="93"/>
        <v>0</v>
      </c>
      <c r="I390" s="14">
        <f t="shared" si="101"/>
        <v>0</v>
      </c>
      <c r="J390" s="13">
        <f t="shared" si="94"/>
        <v>300</v>
      </c>
      <c r="K390">
        <f t="shared" si="95"/>
        <v>0</v>
      </c>
      <c r="L390">
        <f t="shared" si="96"/>
        <v>5</v>
      </c>
      <c r="M390" s="14">
        <f t="shared" si="97"/>
        <v>0</v>
      </c>
      <c r="N390" s="13">
        <f t="shared" si="109"/>
        <v>0</v>
      </c>
      <c r="O390">
        <f t="shared" si="109"/>
        <v>13</v>
      </c>
      <c r="P390">
        <f t="shared" si="109"/>
        <v>0</v>
      </c>
      <c r="Q390" s="14">
        <f t="shared" si="102"/>
        <v>780</v>
      </c>
      <c r="R390" s="13">
        <f t="shared" si="103"/>
        <v>0</v>
      </c>
      <c r="S390">
        <f t="shared" si="104"/>
        <v>13</v>
      </c>
      <c r="T390">
        <f t="shared" si="105"/>
        <v>0</v>
      </c>
      <c r="U390" s="14">
        <f t="shared" si="106"/>
        <v>780</v>
      </c>
      <c r="V390" s="15"/>
      <c r="Z390" s="14"/>
    </row>
    <row r="391" spans="1:26" x14ac:dyDescent="0.25">
      <c r="A391" s="16"/>
      <c r="B391" s="17" t="b">
        <f t="shared" si="108"/>
        <v>0</v>
      </c>
      <c r="C391" s="17" t="b">
        <f t="shared" si="107"/>
        <v>0</v>
      </c>
      <c r="D391" s="17">
        <f t="shared" si="98"/>
        <v>1</v>
      </c>
      <c r="E391" s="17" t="str">
        <f t="shared" si="99"/>
        <v>Section 5 - Next steps</v>
      </c>
      <c r="F391" s="18" t="str">
        <f t="shared" si="100"/>
        <v/>
      </c>
      <c r="G391" s="13" t="str">
        <f t="shared" si="92"/>
        <v/>
      </c>
      <c r="H391">
        <f t="shared" si="93"/>
        <v>0</v>
      </c>
      <c r="I391" s="14">
        <f t="shared" si="101"/>
        <v>0</v>
      </c>
      <c r="J391" s="13">
        <f t="shared" si="94"/>
        <v>300</v>
      </c>
      <c r="K391">
        <f t="shared" si="95"/>
        <v>0</v>
      </c>
      <c r="L391">
        <f t="shared" si="96"/>
        <v>5</v>
      </c>
      <c r="M391" s="14">
        <f t="shared" si="97"/>
        <v>0</v>
      </c>
      <c r="N391" s="13">
        <f t="shared" si="109"/>
        <v>0</v>
      </c>
      <c r="O391">
        <f t="shared" si="109"/>
        <v>13</v>
      </c>
      <c r="P391">
        <f t="shared" si="109"/>
        <v>0</v>
      </c>
      <c r="Q391" s="14">
        <f t="shared" si="102"/>
        <v>780</v>
      </c>
      <c r="R391" s="13">
        <f t="shared" si="103"/>
        <v>0</v>
      </c>
      <c r="S391">
        <f t="shared" si="104"/>
        <v>13</v>
      </c>
      <c r="T391">
        <f t="shared" si="105"/>
        <v>0</v>
      </c>
      <c r="U391" s="14">
        <f t="shared" si="106"/>
        <v>780</v>
      </c>
      <c r="V391" s="15"/>
      <c r="Z391" s="14"/>
    </row>
    <row r="392" spans="1:26" x14ac:dyDescent="0.25">
      <c r="A392" s="16"/>
      <c r="B392" s="17" t="b">
        <f t="shared" si="108"/>
        <v>0</v>
      </c>
      <c r="C392" s="17" t="b">
        <f t="shared" si="107"/>
        <v>0</v>
      </c>
      <c r="D392" s="17">
        <f t="shared" si="98"/>
        <v>1</v>
      </c>
      <c r="E392" s="17" t="str">
        <f t="shared" si="99"/>
        <v>Section 5 - Next steps</v>
      </c>
      <c r="F392" s="18" t="str">
        <f t="shared" si="100"/>
        <v/>
      </c>
      <c r="G392" s="13" t="str">
        <f t="shared" si="92"/>
        <v/>
      </c>
      <c r="H392">
        <f t="shared" si="93"/>
        <v>0</v>
      </c>
      <c r="I392" s="14">
        <f t="shared" si="101"/>
        <v>0</v>
      </c>
      <c r="J392" s="13">
        <f t="shared" si="94"/>
        <v>300</v>
      </c>
      <c r="K392">
        <f t="shared" si="95"/>
        <v>0</v>
      </c>
      <c r="L392">
        <f t="shared" si="96"/>
        <v>5</v>
      </c>
      <c r="M392" s="14">
        <f t="shared" si="97"/>
        <v>0</v>
      </c>
      <c r="N392" s="13">
        <f t="shared" si="109"/>
        <v>0</v>
      </c>
      <c r="O392">
        <f t="shared" si="109"/>
        <v>13</v>
      </c>
      <c r="P392">
        <f t="shared" si="109"/>
        <v>0</v>
      </c>
      <c r="Q392" s="14">
        <f t="shared" si="102"/>
        <v>780</v>
      </c>
      <c r="R392" s="13">
        <f t="shared" si="103"/>
        <v>0</v>
      </c>
      <c r="S392">
        <f t="shared" si="104"/>
        <v>13</v>
      </c>
      <c r="T392">
        <f t="shared" si="105"/>
        <v>0</v>
      </c>
      <c r="U392" s="14">
        <f t="shared" si="106"/>
        <v>780</v>
      </c>
      <c r="V392" s="15"/>
      <c r="Z392" s="14"/>
    </row>
    <row r="393" spans="1:26" x14ac:dyDescent="0.25">
      <c r="A393" s="16"/>
      <c r="B393" s="17" t="b">
        <f t="shared" si="108"/>
        <v>0</v>
      </c>
      <c r="C393" s="17" t="b">
        <f t="shared" si="107"/>
        <v>0</v>
      </c>
      <c r="D393" s="17">
        <f t="shared" si="98"/>
        <v>1</v>
      </c>
      <c r="E393" s="17" t="str">
        <f t="shared" si="99"/>
        <v>Section 5 - Next steps</v>
      </c>
      <c r="F393" s="18" t="str">
        <f t="shared" si="100"/>
        <v/>
      </c>
      <c r="G393" s="13" t="str">
        <f t="shared" si="92"/>
        <v/>
      </c>
      <c r="H393">
        <f t="shared" si="93"/>
        <v>0</v>
      </c>
      <c r="I393" s="14">
        <f t="shared" si="101"/>
        <v>0</v>
      </c>
      <c r="J393" s="13">
        <f t="shared" si="94"/>
        <v>300</v>
      </c>
      <c r="K393">
        <f t="shared" si="95"/>
        <v>0</v>
      </c>
      <c r="L393">
        <f t="shared" si="96"/>
        <v>5</v>
      </c>
      <c r="M393" s="14">
        <f t="shared" si="97"/>
        <v>0</v>
      </c>
      <c r="N393" s="13">
        <f t="shared" si="109"/>
        <v>0</v>
      </c>
      <c r="O393">
        <f t="shared" si="109"/>
        <v>13</v>
      </c>
      <c r="P393">
        <f t="shared" si="109"/>
        <v>0</v>
      </c>
      <c r="Q393" s="14">
        <f t="shared" si="102"/>
        <v>780</v>
      </c>
      <c r="R393" s="13">
        <f t="shared" si="103"/>
        <v>0</v>
      </c>
      <c r="S393">
        <f t="shared" si="104"/>
        <v>13</v>
      </c>
      <c r="T393">
        <f t="shared" si="105"/>
        <v>0</v>
      </c>
      <c r="U393" s="14">
        <f t="shared" si="106"/>
        <v>780</v>
      </c>
      <c r="V393" s="15"/>
      <c r="Z393" s="14"/>
    </row>
    <row r="394" spans="1:26" x14ac:dyDescent="0.25">
      <c r="A394" s="16"/>
      <c r="B394" s="17" t="b">
        <f t="shared" si="108"/>
        <v>0</v>
      </c>
      <c r="C394" s="17" t="b">
        <f t="shared" si="107"/>
        <v>0</v>
      </c>
      <c r="D394" s="17">
        <f t="shared" si="98"/>
        <v>1</v>
      </c>
      <c r="E394" s="17" t="str">
        <f t="shared" si="99"/>
        <v>Section 5 - Next steps</v>
      </c>
      <c r="F394" s="18" t="str">
        <f t="shared" si="100"/>
        <v/>
      </c>
      <c r="G394" s="13" t="str">
        <f t="shared" si="92"/>
        <v/>
      </c>
      <c r="H394">
        <f t="shared" si="93"/>
        <v>0</v>
      </c>
      <c r="I394" s="14">
        <f t="shared" si="101"/>
        <v>0</v>
      </c>
      <c r="J394" s="13">
        <f t="shared" si="94"/>
        <v>300</v>
      </c>
      <c r="K394">
        <f t="shared" si="95"/>
        <v>0</v>
      </c>
      <c r="L394">
        <f t="shared" si="96"/>
        <v>5</v>
      </c>
      <c r="M394" s="14">
        <f t="shared" si="97"/>
        <v>0</v>
      </c>
      <c r="N394" s="13">
        <f t="shared" si="109"/>
        <v>0</v>
      </c>
      <c r="O394">
        <f t="shared" si="109"/>
        <v>13</v>
      </c>
      <c r="P394">
        <f t="shared" si="109"/>
        <v>0</v>
      </c>
      <c r="Q394" s="14">
        <f t="shared" si="102"/>
        <v>780</v>
      </c>
      <c r="R394" s="13">
        <f t="shared" si="103"/>
        <v>0</v>
      </c>
      <c r="S394">
        <f t="shared" si="104"/>
        <v>13</v>
      </c>
      <c r="T394">
        <f t="shared" si="105"/>
        <v>0</v>
      </c>
      <c r="U394" s="14">
        <f t="shared" si="106"/>
        <v>780</v>
      </c>
      <c r="V394" s="15"/>
      <c r="Z394" s="14"/>
    </row>
    <row r="395" spans="1:26" x14ac:dyDescent="0.25">
      <c r="A395" s="16"/>
      <c r="B395" s="17" t="b">
        <f t="shared" si="108"/>
        <v>0</v>
      </c>
      <c r="C395" s="17" t="b">
        <f t="shared" si="107"/>
        <v>0</v>
      </c>
      <c r="D395" s="17">
        <f t="shared" si="98"/>
        <v>1</v>
      </c>
      <c r="E395" s="17" t="str">
        <f t="shared" si="99"/>
        <v>Section 5 - Next steps</v>
      </c>
      <c r="F395" s="18" t="str">
        <f t="shared" si="100"/>
        <v/>
      </c>
      <c r="G395" s="13" t="str">
        <f t="shared" ref="G395:G458" si="110">IF(C395,IF(ISERROR(FIND("s",A396)),LEFT(A396,FIND("m",A396)),LEFT(A396,FIND("s",A396))),"")</f>
        <v/>
      </c>
      <c r="H395">
        <f t="shared" ref="H395:H458" si="111">IF(OR(G395="",ISERROR(FIND("m",G395))),0,VALUE(LEFT(G395,FIND("m",G395)-1)))</f>
        <v>0</v>
      </c>
      <c r="I395" s="14">
        <f t="shared" si="101"/>
        <v>0</v>
      </c>
      <c r="J395" s="13">
        <f t="shared" ref="J395:J458" si="112">J394+(H395*60+I395)</f>
        <v>300</v>
      </c>
      <c r="K395">
        <f t="shared" ref="K395:K458" si="113">INT(J395/60/60)</f>
        <v>0</v>
      </c>
      <c r="L395">
        <f t="shared" ref="L395:L458" si="114">INT((J395-(K395*60*60))/60)</f>
        <v>5</v>
      </c>
      <c r="M395" s="14">
        <f t="shared" ref="M395:M458" si="115">J395-(((K395*60)+L395)*60)</f>
        <v>0</v>
      </c>
      <c r="N395" s="13">
        <f t="shared" si="109"/>
        <v>0</v>
      </c>
      <c r="O395">
        <f t="shared" si="109"/>
        <v>13</v>
      </c>
      <c r="P395">
        <f t="shared" si="109"/>
        <v>0</v>
      </c>
      <c r="Q395" s="14">
        <f t="shared" si="102"/>
        <v>780</v>
      </c>
      <c r="R395" s="13">
        <f t="shared" si="103"/>
        <v>0</v>
      </c>
      <c r="S395">
        <f t="shared" si="104"/>
        <v>13</v>
      </c>
      <c r="T395">
        <f t="shared" si="105"/>
        <v>0</v>
      </c>
      <c r="U395" s="14">
        <f t="shared" si="106"/>
        <v>780</v>
      </c>
      <c r="V395" s="15"/>
      <c r="Z395" s="14"/>
    </row>
    <row r="396" spans="1:26" x14ac:dyDescent="0.25">
      <c r="A396" s="16"/>
      <c r="B396" s="17" t="b">
        <f t="shared" si="108"/>
        <v>0</v>
      </c>
      <c r="C396" s="17" t="b">
        <f t="shared" si="107"/>
        <v>0</v>
      </c>
      <c r="D396" s="17">
        <f t="shared" ref="D396:D459" si="116">IF(B396,0,IF(C396,D395+1,D395))</f>
        <v>1</v>
      </c>
      <c r="E396" s="17" t="str">
        <f t="shared" ref="E396:E459" si="117">SUBSTITUTE(IF(B396,A396,E395),":", " -")</f>
        <v>Section 5 - Next steps</v>
      </c>
      <c r="F396" s="18" t="str">
        <f t="shared" ref="F396:F459" si="118">IF(C396,A396,"")</f>
        <v/>
      </c>
      <c r="G396" s="13" t="str">
        <f t="shared" si="110"/>
        <v/>
      </c>
      <c r="H396">
        <f t="shared" si="111"/>
        <v>0</v>
      </c>
      <c r="I396" s="14">
        <f t="shared" ref="I396:I459" si="119">IF(OR(G396="",ISERROR(FIND("s",G396))),0,VALUE(SUBSTITUTE(MID(G396,IF(ISERROR(FIND("m",G396)), 0,FIND("m",G396))+1,LEN(G396)),"s","")))</f>
        <v>0</v>
      </c>
      <c r="J396" s="13">
        <f t="shared" si="112"/>
        <v>300</v>
      </c>
      <c r="K396">
        <f t="shared" si="113"/>
        <v>0</v>
      </c>
      <c r="L396">
        <f t="shared" si="114"/>
        <v>5</v>
      </c>
      <c r="M396" s="14">
        <f t="shared" si="115"/>
        <v>0</v>
      </c>
      <c r="N396" s="13">
        <f t="shared" si="109"/>
        <v>0</v>
      </c>
      <c r="O396">
        <f t="shared" si="109"/>
        <v>13</v>
      </c>
      <c r="P396">
        <f t="shared" si="109"/>
        <v>0</v>
      </c>
      <c r="Q396" s="14">
        <f t="shared" si="102"/>
        <v>780</v>
      </c>
      <c r="R396" s="13">
        <f t="shared" si="103"/>
        <v>0</v>
      </c>
      <c r="S396">
        <f t="shared" si="104"/>
        <v>13</v>
      </c>
      <c r="T396">
        <f t="shared" si="105"/>
        <v>0</v>
      </c>
      <c r="U396" s="14">
        <f t="shared" si="106"/>
        <v>780</v>
      </c>
      <c r="V396" s="15"/>
      <c r="Z396" s="14"/>
    </row>
    <row r="397" spans="1:26" x14ac:dyDescent="0.25">
      <c r="A397" s="16"/>
      <c r="B397" s="17" t="b">
        <f t="shared" si="108"/>
        <v>0</v>
      </c>
      <c r="C397" s="17" t="b">
        <f t="shared" si="107"/>
        <v>0</v>
      </c>
      <c r="D397" s="17">
        <f t="shared" si="116"/>
        <v>1</v>
      </c>
      <c r="E397" s="17" t="str">
        <f t="shared" si="117"/>
        <v>Section 5 - Next steps</v>
      </c>
      <c r="F397" s="18" t="str">
        <f t="shared" si="118"/>
        <v/>
      </c>
      <c r="G397" s="13" t="str">
        <f t="shared" si="110"/>
        <v/>
      </c>
      <c r="H397">
        <f t="shared" si="111"/>
        <v>0</v>
      </c>
      <c r="I397" s="14">
        <f t="shared" si="119"/>
        <v>0</v>
      </c>
      <c r="J397" s="13">
        <f t="shared" si="112"/>
        <v>300</v>
      </c>
      <c r="K397">
        <f t="shared" si="113"/>
        <v>0</v>
      </c>
      <c r="L397">
        <f t="shared" si="114"/>
        <v>5</v>
      </c>
      <c r="M397" s="14">
        <f t="shared" si="115"/>
        <v>0</v>
      </c>
      <c r="N397" s="13">
        <f t="shared" si="109"/>
        <v>0</v>
      </c>
      <c r="O397">
        <f t="shared" si="109"/>
        <v>13</v>
      </c>
      <c r="P397">
        <f t="shared" si="109"/>
        <v>0</v>
      </c>
      <c r="Q397" s="14">
        <f t="shared" si="102"/>
        <v>780</v>
      </c>
      <c r="R397" s="13">
        <f t="shared" si="103"/>
        <v>0</v>
      </c>
      <c r="S397">
        <f t="shared" si="104"/>
        <v>13</v>
      </c>
      <c r="T397">
        <f t="shared" si="105"/>
        <v>0</v>
      </c>
      <c r="U397" s="14">
        <f t="shared" si="106"/>
        <v>780</v>
      </c>
      <c r="V397" s="15"/>
      <c r="Z397" s="14"/>
    </row>
    <row r="398" spans="1:26" x14ac:dyDescent="0.25">
      <c r="A398" s="16"/>
      <c r="B398" s="17" t="b">
        <f t="shared" si="108"/>
        <v>0</v>
      </c>
      <c r="C398" s="17" t="b">
        <f t="shared" si="107"/>
        <v>0</v>
      </c>
      <c r="D398" s="17">
        <f t="shared" si="116"/>
        <v>1</v>
      </c>
      <c r="E398" s="17" t="str">
        <f t="shared" si="117"/>
        <v>Section 5 - Next steps</v>
      </c>
      <c r="F398" s="18" t="str">
        <f t="shared" si="118"/>
        <v/>
      </c>
      <c r="G398" s="13" t="str">
        <f t="shared" si="110"/>
        <v/>
      </c>
      <c r="H398">
        <f t="shared" si="111"/>
        <v>0</v>
      </c>
      <c r="I398" s="14">
        <f t="shared" si="119"/>
        <v>0</v>
      </c>
      <c r="J398" s="13">
        <f t="shared" si="112"/>
        <v>300</v>
      </c>
      <c r="K398">
        <f t="shared" si="113"/>
        <v>0</v>
      </c>
      <c r="L398">
        <f t="shared" si="114"/>
        <v>5</v>
      </c>
      <c r="M398" s="14">
        <f t="shared" si="115"/>
        <v>0</v>
      </c>
      <c r="N398" s="13">
        <f t="shared" si="109"/>
        <v>0</v>
      </c>
      <c r="O398">
        <f t="shared" si="109"/>
        <v>13</v>
      </c>
      <c r="P398">
        <f t="shared" si="109"/>
        <v>0</v>
      </c>
      <c r="Q398" s="14">
        <f t="shared" ref="Q398:Q461" si="120">(((N398*60)+O398)*60)+P398</f>
        <v>780</v>
      </c>
      <c r="R398" s="13">
        <f t="shared" ref="R398:R461" si="121">INT(U398/60/60)</f>
        <v>0</v>
      </c>
      <c r="S398">
        <f t="shared" ref="S398:S461" si="122">INT((U398-(R398*60*60))/60)</f>
        <v>13</v>
      </c>
      <c r="T398">
        <f t="shared" ref="T398:T461" si="123">U398-(((R398*60)+S398)*60)</f>
        <v>0</v>
      </c>
      <c r="U398" s="14">
        <f t="shared" ref="U398:U461" si="124">((H398*60)+I398)+Q398</f>
        <v>780</v>
      </c>
      <c r="V398" s="15"/>
      <c r="Z398" s="14"/>
    </row>
    <row r="399" spans="1:26" x14ac:dyDescent="0.25">
      <c r="A399" s="16"/>
      <c r="B399" s="17" t="b">
        <f t="shared" si="108"/>
        <v>0</v>
      </c>
      <c r="C399" s="17" t="b">
        <f t="shared" si="107"/>
        <v>0</v>
      </c>
      <c r="D399" s="17">
        <f t="shared" si="116"/>
        <v>1</v>
      </c>
      <c r="E399" s="17" t="str">
        <f t="shared" si="117"/>
        <v>Section 5 - Next steps</v>
      </c>
      <c r="F399" s="18" t="str">
        <f t="shared" si="118"/>
        <v/>
      </c>
      <c r="G399" s="13" t="str">
        <f t="shared" si="110"/>
        <v/>
      </c>
      <c r="H399">
        <f t="shared" si="111"/>
        <v>0</v>
      </c>
      <c r="I399" s="14">
        <f t="shared" si="119"/>
        <v>0</v>
      </c>
      <c r="J399" s="13">
        <f t="shared" si="112"/>
        <v>300</v>
      </c>
      <c r="K399">
        <f t="shared" si="113"/>
        <v>0</v>
      </c>
      <c r="L399">
        <f t="shared" si="114"/>
        <v>5</v>
      </c>
      <c r="M399" s="14">
        <f t="shared" si="115"/>
        <v>0</v>
      </c>
      <c r="N399" s="13">
        <f t="shared" si="109"/>
        <v>0</v>
      </c>
      <c r="O399">
        <f t="shared" si="109"/>
        <v>13</v>
      </c>
      <c r="P399">
        <f t="shared" si="109"/>
        <v>0</v>
      </c>
      <c r="Q399" s="14">
        <f t="shared" si="120"/>
        <v>780</v>
      </c>
      <c r="R399" s="13">
        <f t="shared" si="121"/>
        <v>0</v>
      </c>
      <c r="S399">
        <f t="shared" si="122"/>
        <v>13</v>
      </c>
      <c r="T399">
        <f t="shared" si="123"/>
        <v>0</v>
      </c>
      <c r="U399" s="14">
        <f t="shared" si="124"/>
        <v>780</v>
      </c>
      <c r="V399" s="15"/>
      <c r="Z399" s="14"/>
    </row>
    <row r="400" spans="1:26" x14ac:dyDescent="0.25">
      <c r="A400" s="16"/>
      <c r="B400" s="17" t="b">
        <f t="shared" si="108"/>
        <v>0</v>
      </c>
      <c r="C400" s="17" t="b">
        <f t="shared" ref="C400:C463" si="125">OR(AND(NOT(ISERROR(FIND("m",A401))),ISNUMBER(VALUE(LEFT(A401,FIND("m",A401)-1)))),AND(NOT(ISERROR(FIND("s",A401))),ISNUMBER(VALUE(LEFT(A401,FIND("s",A401)-1)))))</f>
        <v>0</v>
      </c>
      <c r="D400" s="17">
        <f t="shared" si="116"/>
        <v>1</v>
      </c>
      <c r="E400" s="17" t="str">
        <f t="shared" si="117"/>
        <v>Section 5 - Next steps</v>
      </c>
      <c r="F400" s="18" t="str">
        <f t="shared" si="118"/>
        <v/>
      </c>
      <c r="G400" s="13" t="str">
        <f t="shared" si="110"/>
        <v/>
      </c>
      <c r="H400">
        <f t="shared" si="111"/>
        <v>0</v>
      </c>
      <c r="I400" s="14">
        <f t="shared" si="119"/>
        <v>0</v>
      </c>
      <c r="J400" s="13">
        <f t="shared" si="112"/>
        <v>300</v>
      </c>
      <c r="K400">
        <f t="shared" si="113"/>
        <v>0</v>
      </c>
      <c r="L400">
        <f t="shared" si="114"/>
        <v>5</v>
      </c>
      <c r="M400" s="14">
        <f t="shared" si="115"/>
        <v>0</v>
      </c>
      <c r="N400" s="13">
        <f t="shared" si="109"/>
        <v>0</v>
      </c>
      <c r="O400">
        <f t="shared" si="109"/>
        <v>13</v>
      </c>
      <c r="P400">
        <f t="shared" si="109"/>
        <v>0</v>
      </c>
      <c r="Q400" s="14">
        <f t="shared" si="120"/>
        <v>780</v>
      </c>
      <c r="R400" s="13">
        <f t="shared" si="121"/>
        <v>0</v>
      </c>
      <c r="S400">
        <f t="shared" si="122"/>
        <v>13</v>
      </c>
      <c r="T400">
        <f t="shared" si="123"/>
        <v>0</v>
      </c>
      <c r="U400" s="14">
        <f t="shared" si="124"/>
        <v>780</v>
      </c>
      <c r="V400" s="15"/>
      <c r="Z400" s="14"/>
    </row>
    <row r="401" spans="1:26" x14ac:dyDescent="0.25">
      <c r="A401" s="16"/>
      <c r="B401" s="17" t="b">
        <f t="shared" si="108"/>
        <v>0</v>
      </c>
      <c r="C401" s="17" t="b">
        <f t="shared" si="125"/>
        <v>0</v>
      </c>
      <c r="D401" s="17">
        <f t="shared" si="116"/>
        <v>1</v>
      </c>
      <c r="E401" s="17" t="str">
        <f t="shared" si="117"/>
        <v>Section 5 - Next steps</v>
      </c>
      <c r="F401" s="18" t="str">
        <f t="shared" si="118"/>
        <v/>
      </c>
      <c r="G401" s="13" t="str">
        <f t="shared" si="110"/>
        <v/>
      </c>
      <c r="H401">
        <f t="shared" si="111"/>
        <v>0</v>
      </c>
      <c r="I401" s="14">
        <f t="shared" si="119"/>
        <v>0</v>
      </c>
      <c r="J401" s="13">
        <f t="shared" si="112"/>
        <v>300</v>
      </c>
      <c r="K401">
        <f t="shared" si="113"/>
        <v>0</v>
      </c>
      <c r="L401">
        <f t="shared" si="114"/>
        <v>5</v>
      </c>
      <c r="M401" s="14">
        <f t="shared" si="115"/>
        <v>0</v>
      </c>
      <c r="N401" s="13">
        <f t="shared" si="109"/>
        <v>0</v>
      </c>
      <c r="O401">
        <f t="shared" si="109"/>
        <v>13</v>
      </c>
      <c r="P401">
        <f t="shared" si="109"/>
        <v>0</v>
      </c>
      <c r="Q401" s="14">
        <f t="shared" si="120"/>
        <v>780</v>
      </c>
      <c r="R401" s="13">
        <f t="shared" si="121"/>
        <v>0</v>
      </c>
      <c r="S401">
        <f t="shared" si="122"/>
        <v>13</v>
      </c>
      <c r="T401">
        <f t="shared" si="123"/>
        <v>0</v>
      </c>
      <c r="U401" s="14">
        <f t="shared" si="124"/>
        <v>780</v>
      </c>
      <c r="V401" s="15"/>
      <c r="Z401" s="14"/>
    </row>
    <row r="402" spans="1:26" x14ac:dyDescent="0.25">
      <c r="A402" s="16"/>
      <c r="B402" s="17" t="b">
        <f t="shared" si="108"/>
        <v>0</v>
      </c>
      <c r="C402" s="17" t="b">
        <f t="shared" si="125"/>
        <v>0</v>
      </c>
      <c r="D402" s="17">
        <f t="shared" si="116"/>
        <v>1</v>
      </c>
      <c r="E402" s="17" t="str">
        <f t="shared" si="117"/>
        <v>Section 5 - Next steps</v>
      </c>
      <c r="F402" s="18" t="str">
        <f t="shared" si="118"/>
        <v/>
      </c>
      <c r="G402" s="13" t="str">
        <f t="shared" si="110"/>
        <v/>
      </c>
      <c r="H402">
        <f t="shared" si="111"/>
        <v>0</v>
      </c>
      <c r="I402" s="14">
        <f t="shared" si="119"/>
        <v>0</v>
      </c>
      <c r="J402" s="13">
        <f t="shared" si="112"/>
        <v>300</v>
      </c>
      <c r="K402">
        <f t="shared" si="113"/>
        <v>0</v>
      </c>
      <c r="L402">
        <f t="shared" si="114"/>
        <v>5</v>
      </c>
      <c r="M402" s="14">
        <f t="shared" si="115"/>
        <v>0</v>
      </c>
      <c r="N402" s="13">
        <f t="shared" si="109"/>
        <v>0</v>
      </c>
      <c r="O402">
        <f t="shared" si="109"/>
        <v>13</v>
      </c>
      <c r="P402">
        <f t="shared" si="109"/>
        <v>0</v>
      </c>
      <c r="Q402" s="14">
        <f t="shared" si="120"/>
        <v>780</v>
      </c>
      <c r="R402" s="13">
        <f t="shared" si="121"/>
        <v>0</v>
      </c>
      <c r="S402">
        <f t="shared" si="122"/>
        <v>13</v>
      </c>
      <c r="T402">
        <f t="shared" si="123"/>
        <v>0</v>
      </c>
      <c r="U402" s="14">
        <f t="shared" si="124"/>
        <v>780</v>
      </c>
      <c r="V402" s="15"/>
      <c r="Z402" s="14"/>
    </row>
    <row r="403" spans="1:26" x14ac:dyDescent="0.25">
      <c r="A403" s="16"/>
      <c r="B403" s="17" t="b">
        <f t="shared" ref="B403:B466" si="126">AND(NOT(ISERROR(FIND("Section ",A403))),NOT(ISERROR(FIND("Section ",A403))))</f>
        <v>0</v>
      </c>
      <c r="C403" s="17" t="b">
        <f t="shared" si="125"/>
        <v>0</v>
      </c>
      <c r="D403" s="17">
        <f t="shared" si="116"/>
        <v>1</v>
      </c>
      <c r="E403" s="17" t="str">
        <f t="shared" si="117"/>
        <v>Section 5 - Next steps</v>
      </c>
      <c r="F403" s="18" t="str">
        <f t="shared" si="118"/>
        <v/>
      </c>
      <c r="G403" s="13" t="str">
        <f t="shared" si="110"/>
        <v/>
      </c>
      <c r="H403">
        <f t="shared" si="111"/>
        <v>0</v>
      </c>
      <c r="I403" s="14">
        <f t="shared" si="119"/>
        <v>0</v>
      </c>
      <c r="J403" s="13">
        <f t="shared" si="112"/>
        <v>300</v>
      </c>
      <c r="K403">
        <f t="shared" si="113"/>
        <v>0</v>
      </c>
      <c r="L403">
        <f t="shared" si="114"/>
        <v>5</v>
      </c>
      <c r="M403" s="14">
        <f t="shared" si="115"/>
        <v>0</v>
      </c>
      <c r="N403" s="13">
        <f t="shared" si="109"/>
        <v>0</v>
      </c>
      <c r="O403">
        <f t="shared" si="109"/>
        <v>13</v>
      </c>
      <c r="P403">
        <f t="shared" si="109"/>
        <v>0</v>
      </c>
      <c r="Q403" s="14">
        <f t="shared" si="120"/>
        <v>780</v>
      </c>
      <c r="R403" s="13">
        <f t="shared" si="121"/>
        <v>0</v>
      </c>
      <c r="S403">
        <f t="shared" si="122"/>
        <v>13</v>
      </c>
      <c r="T403">
        <f t="shared" si="123"/>
        <v>0</v>
      </c>
      <c r="U403" s="14">
        <f t="shared" si="124"/>
        <v>780</v>
      </c>
      <c r="V403" s="15"/>
      <c r="Z403" s="14"/>
    </row>
    <row r="404" spans="1:26" x14ac:dyDescent="0.25">
      <c r="A404" s="16"/>
      <c r="B404" s="17" t="b">
        <f t="shared" si="126"/>
        <v>0</v>
      </c>
      <c r="C404" s="17" t="b">
        <f t="shared" si="125"/>
        <v>0</v>
      </c>
      <c r="D404" s="17">
        <f t="shared" si="116"/>
        <v>1</v>
      </c>
      <c r="E404" s="17" t="str">
        <f t="shared" si="117"/>
        <v>Section 5 - Next steps</v>
      </c>
      <c r="F404" s="18" t="str">
        <f t="shared" si="118"/>
        <v/>
      </c>
      <c r="G404" s="13" t="str">
        <f t="shared" si="110"/>
        <v/>
      </c>
      <c r="H404">
        <f t="shared" si="111"/>
        <v>0</v>
      </c>
      <c r="I404" s="14">
        <f t="shared" si="119"/>
        <v>0</v>
      </c>
      <c r="J404" s="13">
        <f t="shared" si="112"/>
        <v>300</v>
      </c>
      <c r="K404">
        <f t="shared" si="113"/>
        <v>0</v>
      </c>
      <c r="L404">
        <f t="shared" si="114"/>
        <v>5</v>
      </c>
      <c r="M404" s="14">
        <f t="shared" si="115"/>
        <v>0</v>
      </c>
      <c r="N404" s="13">
        <f t="shared" si="109"/>
        <v>0</v>
      </c>
      <c r="O404">
        <f t="shared" si="109"/>
        <v>13</v>
      </c>
      <c r="P404">
        <f t="shared" si="109"/>
        <v>0</v>
      </c>
      <c r="Q404" s="14">
        <f t="shared" si="120"/>
        <v>780</v>
      </c>
      <c r="R404" s="13">
        <f t="shared" si="121"/>
        <v>0</v>
      </c>
      <c r="S404">
        <f t="shared" si="122"/>
        <v>13</v>
      </c>
      <c r="T404">
        <f t="shared" si="123"/>
        <v>0</v>
      </c>
      <c r="U404" s="14">
        <f t="shared" si="124"/>
        <v>780</v>
      </c>
      <c r="V404" s="15"/>
      <c r="Z404" s="14"/>
    </row>
    <row r="405" spans="1:26" x14ac:dyDescent="0.25">
      <c r="A405" s="16"/>
      <c r="B405" s="17" t="b">
        <f t="shared" si="126"/>
        <v>0</v>
      </c>
      <c r="C405" s="17" t="b">
        <f t="shared" si="125"/>
        <v>0</v>
      </c>
      <c r="D405" s="17">
        <f t="shared" si="116"/>
        <v>1</v>
      </c>
      <c r="E405" s="17" t="str">
        <f t="shared" si="117"/>
        <v>Section 5 - Next steps</v>
      </c>
      <c r="F405" s="18" t="str">
        <f t="shared" si="118"/>
        <v/>
      </c>
      <c r="G405" s="13" t="str">
        <f t="shared" si="110"/>
        <v/>
      </c>
      <c r="H405">
        <f t="shared" si="111"/>
        <v>0</v>
      </c>
      <c r="I405" s="14">
        <f t="shared" si="119"/>
        <v>0</v>
      </c>
      <c r="J405" s="13">
        <f t="shared" si="112"/>
        <v>300</v>
      </c>
      <c r="K405">
        <f t="shared" si="113"/>
        <v>0</v>
      </c>
      <c r="L405">
        <f t="shared" si="114"/>
        <v>5</v>
      </c>
      <c r="M405" s="14">
        <f t="shared" si="115"/>
        <v>0</v>
      </c>
      <c r="N405" s="13">
        <f t="shared" si="109"/>
        <v>0</v>
      </c>
      <c r="O405">
        <f t="shared" si="109"/>
        <v>13</v>
      </c>
      <c r="P405">
        <f t="shared" si="109"/>
        <v>0</v>
      </c>
      <c r="Q405" s="14">
        <f t="shared" si="120"/>
        <v>780</v>
      </c>
      <c r="R405" s="13">
        <f t="shared" si="121"/>
        <v>0</v>
      </c>
      <c r="S405">
        <f t="shared" si="122"/>
        <v>13</v>
      </c>
      <c r="T405">
        <f t="shared" si="123"/>
        <v>0</v>
      </c>
      <c r="U405" s="14">
        <f t="shared" si="124"/>
        <v>780</v>
      </c>
      <c r="V405" s="15"/>
      <c r="Z405" s="14"/>
    </row>
    <row r="406" spans="1:26" x14ac:dyDescent="0.25">
      <c r="A406" s="16"/>
      <c r="B406" s="17" t="b">
        <f t="shared" si="126"/>
        <v>0</v>
      </c>
      <c r="C406" s="17" t="b">
        <f t="shared" si="125"/>
        <v>0</v>
      </c>
      <c r="D406" s="17">
        <f t="shared" si="116"/>
        <v>1</v>
      </c>
      <c r="E406" s="17" t="str">
        <f t="shared" si="117"/>
        <v>Section 5 - Next steps</v>
      </c>
      <c r="F406" s="18" t="str">
        <f t="shared" si="118"/>
        <v/>
      </c>
      <c r="G406" s="13" t="str">
        <f t="shared" si="110"/>
        <v/>
      </c>
      <c r="H406">
        <f t="shared" si="111"/>
        <v>0</v>
      </c>
      <c r="I406" s="14">
        <f t="shared" si="119"/>
        <v>0</v>
      </c>
      <c r="J406" s="13">
        <f t="shared" si="112"/>
        <v>300</v>
      </c>
      <c r="K406">
        <f t="shared" si="113"/>
        <v>0</v>
      </c>
      <c r="L406">
        <f t="shared" si="114"/>
        <v>5</v>
      </c>
      <c r="M406" s="14">
        <f t="shared" si="115"/>
        <v>0</v>
      </c>
      <c r="N406" s="13">
        <f t="shared" si="109"/>
        <v>0</v>
      </c>
      <c r="O406">
        <f t="shared" si="109"/>
        <v>13</v>
      </c>
      <c r="P406">
        <f t="shared" si="109"/>
        <v>0</v>
      </c>
      <c r="Q406" s="14">
        <f t="shared" si="120"/>
        <v>780</v>
      </c>
      <c r="R406" s="13">
        <f t="shared" si="121"/>
        <v>0</v>
      </c>
      <c r="S406">
        <f t="shared" si="122"/>
        <v>13</v>
      </c>
      <c r="T406">
        <f t="shared" si="123"/>
        <v>0</v>
      </c>
      <c r="U406" s="14">
        <f t="shared" si="124"/>
        <v>780</v>
      </c>
      <c r="V406" s="15"/>
      <c r="Z406" s="14"/>
    </row>
    <row r="407" spans="1:26" x14ac:dyDescent="0.25">
      <c r="A407" s="16"/>
      <c r="B407" s="17" t="b">
        <f t="shared" si="126"/>
        <v>0</v>
      </c>
      <c r="C407" s="17" t="b">
        <f t="shared" si="125"/>
        <v>0</v>
      </c>
      <c r="D407" s="17">
        <f t="shared" si="116"/>
        <v>1</v>
      </c>
      <c r="E407" s="17" t="str">
        <f t="shared" si="117"/>
        <v>Section 5 - Next steps</v>
      </c>
      <c r="F407" s="18" t="str">
        <f t="shared" si="118"/>
        <v/>
      </c>
      <c r="G407" s="13" t="str">
        <f t="shared" si="110"/>
        <v/>
      </c>
      <c r="H407">
        <f t="shared" si="111"/>
        <v>0</v>
      </c>
      <c r="I407" s="14">
        <f t="shared" si="119"/>
        <v>0</v>
      </c>
      <c r="J407" s="13">
        <f t="shared" si="112"/>
        <v>300</v>
      </c>
      <c r="K407">
        <f t="shared" si="113"/>
        <v>0</v>
      </c>
      <c r="L407">
        <f t="shared" si="114"/>
        <v>5</v>
      </c>
      <c r="M407" s="14">
        <f t="shared" si="115"/>
        <v>0</v>
      </c>
      <c r="N407" s="13">
        <f t="shared" si="109"/>
        <v>0</v>
      </c>
      <c r="O407">
        <f t="shared" si="109"/>
        <v>13</v>
      </c>
      <c r="P407">
        <f t="shared" si="109"/>
        <v>0</v>
      </c>
      <c r="Q407" s="14">
        <f t="shared" si="120"/>
        <v>780</v>
      </c>
      <c r="R407" s="13">
        <f t="shared" si="121"/>
        <v>0</v>
      </c>
      <c r="S407">
        <f t="shared" si="122"/>
        <v>13</v>
      </c>
      <c r="T407">
        <f t="shared" si="123"/>
        <v>0</v>
      </c>
      <c r="U407" s="14">
        <f t="shared" si="124"/>
        <v>780</v>
      </c>
      <c r="V407" s="15"/>
      <c r="Z407" s="14"/>
    </row>
    <row r="408" spans="1:26" x14ac:dyDescent="0.25">
      <c r="A408" s="16"/>
      <c r="B408" s="17" t="b">
        <f t="shared" si="126"/>
        <v>0</v>
      </c>
      <c r="C408" s="17" t="b">
        <f t="shared" si="125"/>
        <v>0</v>
      </c>
      <c r="D408" s="17">
        <f t="shared" si="116"/>
        <v>1</v>
      </c>
      <c r="E408" s="17" t="str">
        <f t="shared" si="117"/>
        <v>Section 5 - Next steps</v>
      </c>
      <c r="F408" s="18" t="str">
        <f t="shared" si="118"/>
        <v/>
      </c>
      <c r="G408" s="13" t="str">
        <f t="shared" si="110"/>
        <v/>
      </c>
      <c r="H408">
        <f t="shared" si="111"/>
        <v>0</v>
      </c>
      <c r="I408" s="14">
        <f t="shared" si="119"/>
        <v>0</v>
      </c>
      <c r="J408" s="13">
        <f t="shared" si="112"/>
        <v>300</v>
      </c>
      <c r="K408">
        <f t="shared" si="113"/>
        <v>0</v>
      </c>
      <c r="L408">
        <f t="shared" si="114"/>
        <v>5</v>
      </c>
      <c r="M408" s="14">
        <f t="shared" si="115"/>
        <v>0</v>
      </c>
      <c r="N408" s="13">
        <f t="shared" si="109"/>
        <v>0</v>
      </c>
      <c r="O408">
        <f t="shared" si="109"/>
        <v>13</v>
      </c>
      <c r="P408">
        <f t="shared" si="109"/>
        <v>0</v>
      </c>
      <c r="Q408" s="14">
        <f t="shared" si="120"/>
        <v>780</v>
      </c>
      <c r="R408" s="13">
        <f t="shared" si="121"/>
        <v>0</v>
      </c>
      <c r="S408">
        <f t="shared" si="122"/>
        <v>13</v>
      </c>
      <c r="T408">
        <f t="shared" si="123"/>
        <v>0</v>
      </c>
      <c r="U408" s="14">
        <f t="shared" si="124"/>
        <v>780</v>
      </c>
      <c r="V408" s="15"/>
      <c r="Z408" s="14"/>
    </row>
    <row r="409" spans="1:26" x14ac:dyDescent="0.25">
      <c r="A409" s="16"/>
      <c r="B409" s="17" t="b">
        <f t="shared" si="126"/>
        <v>0</v>
      </c>
      <c r="C409" s="17" t="b">
        <f t="shared" si="125"/>
        <v>0</v>
      </c>
      <c r="D409" s="17">
        <f t="shared" si="116"/>
        <v>1</v>
      </c>
      <c r="E409" s="17" t="str">
        <f t="shared" si="117"/>
        <v>Section 5 - Next steps</v>
      </c>
      <c r="F409" s="18" t="str">
        <f t="shared" si="118"/>
        <v/>
      </c>
      <c r="G409" s="13" t="str">
        <f t="shared" si="110"/>
        <v/>
      </c>
      <c r="H409">
        <f t="shared" si="111"/>
        <v>0</v>
      </c>
      <c r="I409" s="14">
        <f t="shared" si="119"/>
        <v>0</v>
      </c>
      <c r="J409" s="13">
        <f t="shared" si="112"/>
        <v>300</v>
      </c>
      <c r="K409">
        <f t="shared" si="113"/>
        <v>0</v>
      </c>
      <c r="L409">
        <f t="shared" si="114"/>
        <v>5</v>
      </c>
      <c r="M409" s="14">
        <f t="shared" si="115"/>
        <v>0</v>
      </c>
      <c r="N409" s="13">
        <f t="shared" si="109"/>
        <v>0</v>
      </c>
      <c r="O409">
        <f t="shared" si="109"/>
        <v>13</v>
      </c>
      <c r="P409">
        <f t="shared" si="109"/>
        <v>0</v>
      </c>
      <c r="Q409" s="14">
        <f t="shared" si="120"/>
        <v>780</v>
      </c>
      <c r="R409" s="13">
        <f t="shared" si="121"/>
        <v>0</v>
      </c>
      <c r="S409">
        <f t="shared" si="122"/>
        <v>13</v>
      </c>
      <c r="T409">
        <f t="shared" si="123"/>
        <v>0</v>
      </c>
      <c r="U409" s="14">
        <f t="shared" si="124"/>
        <v>780</v>
      </c>
      <c r="V409" s="15"/>
      <c r="Z409" s="14"/>
    </row>
    <row r="410" spans="1:26" x14ac:dyDescent="0.25">
      <c r="A410" s="16"/>
      <c r="B410" s="17" t="b">
        <f t="shared" si="126"/>
        <v>0</v>
      </c>
      <c r="C410" s="17" t="b">
        <f t="shared" si="125"/>
        <v>0</v>
      </c>
      <c r="D410" s="17">
        <f t="shared" si="116"/>
        <v>1</v>
      </c>
      <c r="E410" s="17" t="str">
        <f t="shared" si="117"/>
        <v>Section 5 - Next steps</v>
      </c>
      <c r="F410" s="18" t="str">
        <f t="shared" si="118"/>
        <v/>
      </c>
      <c r="G410" s="13" t="str">
        <f t="shared" si="110"/>
        <v/>
      </c>
      <c r="H410">
        <f t="shared" si="111"/>
        <v>0</v>
      </c>
      <c r="I410" s="14">
        <f t="shared" si="119"/>
        <v>0</v>
      </c>
      <c r="J410" s="13">
        <f t="shared" si="112"/>
        <v>300</v>
      </c>
      <c r="K410">
        <f t="shared" si="113"/>
        <v>0</v>
      </c>
      <c r="L410">
        <f t="shared" si="114"/>
        <v>5</v>
      </c>
      <c r="M410" s="14">
        <f t="shared" si="115"/>
        <v>0</v>
      </c>
      <c r="N410" s="13">
        <f t="shared" si="109"/>
        <v>0</v>
      </c>
      <c r="O410">
        <f t="shared" si="109"/>
        <v>13</v>
      </c>
      <c r="P410">
        <f t="shared" si="109"/>
        <v>0</v>
      </c>
      <c r="Q410" s="14">
        <f t="shared" si="120"/>
        <v>780</v>
      </c>
      <c r="R410" s="13">
        <f t="shared" si="121"/>
        <v>0</v>
      </c>
      <c r="S410">
        <f t="shared" si="122"/>
        <v>13</v>
      </c>
      <c r="T410">
        <f t="shared" si="123"/>
        <v>0</v>
      </c>
      <c r="U410" s="14">
        <f t="shared" si="124"/>
        <v>780</v>
      </c>
      <c r="V410" s="15"/>
      <c r="Z410" s="14"/>
    </row>
    <row r="411" spans="1:26" x14ac:dyDescent="0.25">
      <c r="A411" s="16"/>
      <c r="B411" s="17" t="b">
        <f t="shared" si="126"/>
        <v>0</v>
      </c>
      <c r="C411" s="17" t="b">
        <f t="shared" si="125"/>
        <v>0</v>
      </c>
      <c r="D411" s="17">
        <f t="shared" si="116"/>
        <v>1</v>
      </c>
      <c r="E411" s="17" t="str">
        <f t="shared" si="117"/>
        <v>Section 5 - Next steps</v>
      </c>
      <c r="F411" s="18" t="str">
        <f t="shared" si="118"/>
        <v/>
      </c>
      <c r="G411" s="13" t="str">
        <f t="shared" si="110"/>
        <v/>
      </c>
      <c r="H411">
        <f t="shared" si="111"/>
        <v>0</v>
      </c>
      <c r="I411" s="14">
        <f t="shared" si="119"/>
        <v>0</v>
      </c>
      <c r="J411" s="13">
        <f t="shared" si="112"/>
        <v>300</v>
      </c>
      <c r="K411">
        <f t="shared" si="113"/>
        <v>0</v>
      </c>
      <c r="L411">
        <f t="shared" si="114"/>
        <v>5</v>
      </c>
      <c r="M411" s="14">
        <f t="shared" si="115"/>
        <v>0</v>
      </c>
      <c r="N411" s="13">
        <f t="shared" si="109"/>
        <v>0</v>
      </c>
      <c r="O411">
        <f t="shared" si="109"/>
        <v>13</v>
      </c>
      <c r="P411">
        <f t="shared" si="109"/>
        <v>0</v>
      </c>
      <c r="Q411" s="14">
        <f t="shared" si="120"/>
        <v>780</v>
      </c>
      <c r="R411" s="13">
        <f t="shared" si="121"/>
        <v>0</v>
      </c>
      <c r="S411">
        <f t="shared" si="122"/>
        <v>13</v>
      </c>
      <c r="T411">
        <f t="shared" si="123"/>
        <v>0</v>
      </c>
      <c r="U411" s="14">
        <f t="shared" si="124"/>
        <v>780</v>
      </c>
      <c r="V411" s="15"/>
      <c r="Z411" s="14"/>
    </row>
    <row r="412" spans="1:26" x14ac:dyDescent="0.25">
      <c r="A412" s="16"/>
      <c r="B412" s="17" t="b">
        <f t="shared" si="126"/>
        <v>0</v>
      </c>
      <c r="C412" s="17" t="b">
        <f t="shared" si="125"/>
        <v>0</v>
      </c>
      <c r="D412" s="17">
        <f t="shared" si="116"/>
        <v>1</v>
      </c>
      <c r="E412" s="17" t="str">
        <f t="shared" si="117"/>
        <v>Section 5 - Next steps</v>
      </c>
      <c r="F412" s="18" t="str">
        <f t="shared" si="118"/>
        <v/>
      </c>
      <c r="G412" s="13" t="str">
        <f t="shared" si="110"/>
        <v/>
      </c>
      <c r="H412">
        <f t="shared" si="111"/>
        <v>0</v>
      </c>
      <c r="I412" s="14">
        <f t="shared" si="119"/>
        <v>0</v>
      </c>
      <c r="J412" s="13">
        <f t="shared" si="112"/>
        <v>300</v>
      </c>
      <c r="K412">
        <f t="shared" si="113"/>
        <v>0</v>
      </c>
      <c r="L412">
        <f t="shared" si="114"/>
        <v>5</v>
      </c>
      <c r="M412" s="14">
        <f t="shared" si="115"/>
        <v>0</v>
      </c>
      <c r="N412" s="13">
        <f t="shared" ref="N412:P475" si="127">R411</f>
        <v>0</v>
      </c>
      <c r="O412">
        <f t="shared" si="127"/>
        <v>13</v>
      </c>
      <c r="P412">
        <f t="shared" si="127"/>
        <v>0</v>
      </c>
      <c r="Q412" s="14">
        <f t="shared" si="120"/>
        <v>780</v>
      </c>
      <c r="R412" s="13">
        <f t="shared" si="121"/>
        <v>0</v>
      </c>
      <c r="S412">
        <f t="shared" si="122"/>
        <v>13</v>
      </c>
      <c r="T412">
        <f t="shared" si="123"/>
        <v>0</v>
      </c>
      <c r="U412" s="14">
        <f t="shared" si="124"/>
        <v>780</v>
      </c>
      <c r="V412" s="15"/>
      <c r="Z412" s="14"/>
    </row>
    <row r="413" spans="1:26" x14ac:dyDescent="0.25">
      <c r="A413" s="16"/>
      <c r="B413" s="17" t="b">
        <f t="shared" si="126"/>
        <v>0</v>
      </c>
      <c r="C413" s="17" t="b">
        <f t="shared" si="125"/>
        <v>0</v>
      </c>
      <c r="D413" s="17">
        <f t="shared" si="116"/>
        <v>1</v>
      </c>
      <c r="E413" s="17" t="str">
        <f t="shared" si="117"/>
        <v>Section 5 - Next steps</v>
      </c>
      <c r="F413" s="18" t="str">
        <f t="shared" si="118"/>
        <v/>
      </c>
      <c r="G413" s="13" t="str">
        <f t="shared" si="110"/>
        <v/>
      </c>
      <c r="H413">
        <f t="shared" si="111"/>
        <v>0</v>
      </c>
      <c r="I413" s="14">
        <f t="shared" si="119"/>
        <v>0</v>
      </c>
      <c r="J413" s="13">
        <f t="shared" si="112"/>
        <v>300</v>
      </c>
      <c r="K413">
        <f t="shared" si="113"/>
        <v>0</v>
      </c>
      <c r="L413">
        <f t="shared" si="114"/>
        <v>5</v>
      </c>
      <c r="M413" s="14">
        <f t="shared" si="115"/>
        <v>0</v>
      </c>
      <c r="N413" s="13">
        <f t="shared" si="127"/>
        <v>0</v>
      </c>
      <c r="O413">
        <f t="shared" si="127"/>
        <v>13</v>
      </c>
      <c r="P413">
        <f t="shared" si="127"/>
        <v>0</v>
      </c>
      <c r="Q413" s="14">
        <f t="shared" si="120"/>
        <v>780</v>
      </c>
      <c r="R413" s="13">
        <f t="shared" si="121"/>
        <v>0</v>
      </c>
      <c r="S413">
        <f t="shared" si="122"/>
        <v>13</v>
      </c>
      <c r="T413">
        <f t="shared" si="123"/>
        <v>0</v>
      </c>
      <c r="U413" s="14">
        <f t="shared" si="124"/>
        <v>780</v>
      </c>
      <c r="V413" s="15"/>
      <c r="Z413" s="14"/>
    </row>
    <row r="414" spans="1:26" x14ac:dyDescent="0.25">
      <c r="A414" s="16"/>
      <c r="B414" s="17" t="b">
        <f t="shared" si="126"/>
        <v>0</v>
      </c>
      <c r="C414" s="17" t="b">
        <f t="shared" si="125"/>
        <v>0</v>
      </c>
      <c r="D414" s="17">
        <f t="shared" si="116"/>
        <v>1</v>
      </c>
      <c r="E414" s="17" t="str">
        <f t="shared" si="117"/>
        <v>Section 5 - Next steps</v>
      </c>
      <c r="F414" s="18" t="str">
        <f t="shared" si="118"/>
        <v/>
      </c>
      <c r="G414" s="13" t="str">
        <f t="shared" si="110"/>
        <v/>
      </c>
      <c r="H414">
        <f t="shared" si="111"/>
        <v>0</v>
      </c>
      <c r="I414" s="14">
        <f t="shared" si="119"/>
        <v>0</v>
      </c>
      <c r="J414" s="13">
        <f t="shared" si="112"/>
        <v>300</v>
      </c>
      <c r="K414">
        <f t="shared" si="113"/>
        <v>0</v>
      </c>
      <c r="L414">
        <f t="shared" si="114"/>
        <v>5</v>
      </c>
      <c r="M414" s="14">
        <f t="shared" si="115"/>
        <v>0</v>
      </c>
      <c r="N414" s="13">
        <f t="shared" si="127"/>
        <v>0</v>
      </c>
      <c r="O414">
        <f t="shared" si="127"/>
        <v>13</v>
      </c>
      <c r="P414">
        <f t="shared" si="127"/>
        <v>0</v>
      </c>
      <c r="Q414" s="14">
        <f t="shared" si="120"/>
        <v>780</v>
      </c>
      <c r="R414" s="13">
        <f t="shared" si="121"/>
        <v>0</v>
      </c>
      <c r="S414">
        <f t="shared" si="122"/>
        <v>13</v>
      </c>
      <c r="T414">
        <f t="shared" si="123"/>
        <v>0</v>
      </c>
      <c r="U414" s="14">
        <f t="shared" si="124"/>
        <v>780</v>
      </c>
      <c r="V414" s="15"/>
      <c r="Z414" s="14"/>
    </row>
    <row r="415" spans="1:26" x14ac:dyDescent="0.25">
      <c r="A415" s="16"/>
      <c r="B415" s="17" t="b">
        <f t="shared" si="126"/>
        <v>0</v>
      </c>
      <c r="C415" s="17" t="b">
        <f t="shared" si="125"/>
        <v>0</v>
      </c>
      <c r="D415" s="17">
        <f t="shared" si="116"/>
        <v>1</v>
      </c>
      <c r="E415" s="17" t="str">
        <f t="shared" si="117"/>
        <v>Section 5 - Next steps</v>
      </c>
      <c r="F415" s="18" t="str">
        <f t="shared" si="118"/>
        <v/>
      </c>
      <c r="G415" s="13" t="str">
        <f t="shared" si="110"/>
        <v/>
      </c>
      <c r="H415">
        <f t="shared" si="111"/>
        <v>0</v>
      </c>
      <c r="I415" s="14">
        <f t="shared" si="119"/>
        <v>0</v>
      </c>
      <c r="J415" s="13">
        <f t="shared" si="112"/>
        <v>300</v>
      </c>
      <c r="K415">
        <f t="shared" si="113"/>
        <v>0</v>
      </c>
      <c r="L415">
        <f t="shared" si="114"/>
        <v>5</v>
      </c>
      <c r="M415" s="14">
        <f t="shared" si="115"/>
        <v>0</v>
      </c>
      <c r="N415" s="13">
        <f t="shared" si="127"/>
        <v>0</v>
      </c>
      <c r="O415">
        <f t="shared" si="127"/>
        <v>13</v>
      </c>
      <c r="P415">
        <f t="shared" si="127"/>
        <v>0</v>
      </c>
      <c r="Q415" s="14">
        <f t="shared" si="120"/>
        <v>780</v>
      </c>
      <c r="R415" s="13">
        <f t="shared" si="121"/>
        <v>0</v>
      </c>
      <c r="S415">
        <f t="shared" si="122"/>
        <v>13</v>
      </c>
      <c r="T415">
        <f t="shared" si="123"/>
        <v>0</v>
      </c>
      <c r="U415" s="14">
        <f t="shared" si="124"/>
        <v>780</v>
      </c>
      <c r="V415" s="15"/>
      <c r="Z415" s="14"/>
    </row>
    <row r="416" spans="1:26" x14ac:dyDescent="0.25">
      <c r="A416" s="16"/>
      <c r="B416" s="17" t="b">
        <f t="shared" si="126"/>
        <v>0</v>
      </c>
      <c r="C416" s="17" t="b">
        <f t="shared" si="125"/>
        <v>0</v>
      </c>
      <c r="D416" s="17">
        <f t="shared" si="116"/>
        <v>1</v>
      </c>
      <c r="E416" s="17" t="str">
        <f t="shared" si="117"/>
        <v>Section 5 - Next steps</v>
      </c>
      <c r="F416" s="18" t="str">
        <f t="shared" si="118"/>
        <v/>
      </c>
      <c r="G416" s="13" t="str">
        <f t="shared" si="110"/>
        <v/>
      </c>
      <c r="H416">
        <f t="shared" si="111"/>
        <v>0</v>
      </c>
      <c r="I416" s="14">
        <f t="shared" si="119"/>
        <v>0</v>
      </c>
      <c r="J416" s="13">
        <f t="shared" si="112"/>
        <v>300</v>
      </c>
      <c r="K416">
        <f t="shared" si="113"/>
        <v>0</v>
      </c>
      <c r="L416">
        <f t="shared" si="114"/>
        <v>5</v>
      </c>
      <c r="M416" s="14">
        <f t="shared" si="115"/>
        <v>0</v>
      </c>
      <c r="N416" s="13">
        <f t="shared" si="127"/>
        <v>0</v>
      </c>
      <c r="O416">
        <f t="shared" si="127"/>
        <v>13</v>
      </c>
      <c r="P416">
        <f t="shared" si="127"/>
        <v>0</v>
      </c>
      <c r="Q416" s="14">
        <f t="shared" si="120"/>
        <v>780</v>
      </c>
      <c r="R416" s="13">
        <f t="shared" si="121"/>
        <v>0</v>
      </c>
      <c r="S416">
        <f t="shared" si="122"/>
        <v>13</v>
      </c>
      <c r="T416">
        <f t="shared" si="123"/>
        <v>0</v>
      </c>
      <c r="U416" s="14">
        <f t="shared" si="124"/>
        <v>780</v>
      </c>
      <c r="V416" s="15"/>
      <c r="Z416" s="14"/>
    </row>
    <row r="417" spans="1:26" x14ac:dyDescent="0.25">
      <c r="A417" s="16"/>
      <c r="B417" s="17" t="b">
        <f t="shared" si="126"/>
        <v>0</v>
      </c>
      <c r="C417" s="17" t="b">
        <f t="shared" si="125"/>
        <v>0</v>
      </c>
      <c r="D417" s="17">
        <f t="shared" si="116"/>
        <v>1</v>
      </c>
      <c r="E417" s="17" t="str">
        <f t="shared" si="117"/>
        <v>Section 5 - Next steps</v>
      </c>
      <c r="F417" s="18" t="str">
        <f t="shared" si="118"/>
        <v/>
      </c>
      <c r="G417" s="13" t="str">
        <f t="shared" si="110"/>
        <v/>
      </c>
      <c r="H417">
        <f t="shared" si="111"/>
        <v>0</v>
      </c>
      <c r="I417" s="14">
        <f t="shared" si="119"/>
        <v>0</v>
      </c>
      <c r="J417" s="13">
        <f t="shared" si="112"/>
        <v>300</v>
      </c>
      <c r="K417">
        <f t="shared" si="113"/>
        <v>0</v>
      </c>
      <c r="L417">
        <f t="shared" si="114"/>
        <v>5</v>
      </c>
      <c r="M417" s="14">
        <f t="shared" si="115"/>
        <v>0</v>
      </c>
      <c r="N417" s="13">
        <f t="shared" si="127"/>
        <v>0</v>
      </c>
      <c r="O417">
        <f t="shared" si="127"/>
        <v>13</v>
      </c>
      <c r="P417">
        <f t="shared" si="127"/>
        <v>0</v>
      </c>
      <c r="Q417" s="14">
        <f t="shared" si="120"/>
        <v>780</v>
      </c>
      <c r="R417" s="13">
        <f t="shared" si="121"/>
        <v>0</v>
      </c>
      <c r="S417">
        <f t="shared" si="122"/>
        <v>13</v>
      </c>
      <c r="T417">
        <f t="shared" si="123"/>
        <v>0</v>
      </c>
      <c r="U417" s="14">
        <f t="shared" si="124"/>
        <v>780</v>
      </c>
      <c r="V417" s="15"/>
      <c r="Z417" s="14"/>
    </row>
    <row r="418" spans="1:26" x14ac:dyDescent="0.25">
      <c r="A418" s="16"/>
      <c r="B418" s="17" t="b">
        <f t="shared" si="126"/>
        <v>0</v>
      </c>
      <c r="C418" s="17" t="b">
        <f t="shared" si="125"/>
        <v>0</v>
      </c>
      <c r="D418" s="17">
        <f t="shared" si="116"/>
        <v>1</v>
      </c>
      <c r="E418" s="17" t="str">
        <f t="shared" si="117"/>
        <v>Section 5 - Next steps</v>
      </c>
      <c r="F418" s="18" t="str">
        <f t="shared" si="118"/>
        <v/>
      </c>
      <c r="G418" s="13" t="str">
        <f t="shared" si="110"/>
        <v/>
      </c>
      <c r="H418">
        <f t="shared" si="111"/>
        <v>0</v>
      </c>
      <c r="I418" s="14">
        <f t="shared" si="119"/>
        <v>0</v>
      </c>
      <c r="J418" s="13">
        <f t="shared" si="112"/>
        <v>300</v>
      </c>
      <c r="K418">
        <f t="shared" si="113"/>
        <v>0</v>
      </c>
      <c r="L418">
        <f t="shared" si="114"/>
        <v>5</v>
      </c>
      <c r="M418" s="14">
        <f t="shared" si="115"/>
        <v>0</v>
      </c>
      <c r="N418" s="13">
        <f t="shared" si="127"/>
        <v>0</v>
      </c>
      <c r="O418">
        <f t="shared" si="127"/>
        <v>13</v>
      </c>
      <c r="P418">
        <f t="shared" si="127"/>
        <v>0</v>
      </c>
      <c r="Q418" s="14">
        <f t="shared" si="120"/>
        <v>780</v>
      </c>
      <c r="R418" s="13">
        <f t="shared" si="121"/>
        <v>0</v>
      </c>
      <c r="S418">
        <f t="shared" si="122"/>
        <v>13</v>
      </c>
      <c r="T418">
        <f t="shared" si="123"/>
        <v>0</v>
      </c>
      <c r="U418" s="14">
        <f t="shared" si="124"/>
        <v>780</v>
      </c>
      <c r="V418" s="15"/>
      <c r="Z418" s="14"/>
    </row>
    <row r="419" spans="1:26" x14ac:dyDescent="0.25">
      <c r="A419" s="16"/>
      <c r="B419" s="17" t="b">
        <f t="shared" si="126"/>
        <v>0</v>
      </c>
      <c r="C419" s="17" t="b">
        <f t="shared" si="125"/>
        <v>0</v>
      </c>
      <c r="D419" s="17">
        <f t="shared" si="116"/>
        <v>1</v>
      </c>
      <c r="E419" s="17" t="str">
        <f t="shared" si="117"/>
        <v>Section 5 - Next steps</v>
      </c>
      <c r="F419" s="18" t="str">
        <f t="shared" si="118"/>
        <v/>
      </c>
      <c r="G419" s="13" t="str">
        <f t="shared" si="110"/>
        <v/>
      </c>
      <c r="H419">
        <f t="shared" si="111"/>
        <v>0</v>
      </c>
      <c r="I419" s="14">
        <f t="shared" si="119"/>
        <v>0</v>
      </c>
      <c r="J419" s="13">
        <f t="shared" si="112"/>
        <v>300</v>
      </c>
      <c r="K419">
        <f t="shared" si="113"/>
        <v>0</v>
      </c>
      <c r="L419">
        <f t="shared" si="114"/>
        <v>5</v>
      </c>
      <c r="M419" s="14">
        <f t="shared" si="115"/>
        <v>0</v>
      </c>
      <c r="N419" s="13">
        <f t="shared" si="127"/>
        <v>0</v>
      </c>
      <c r="O419">
        <f t="shared" si="127"/>
        <v>13</v>
      </c>
      <c r="P419">
        <f t="shared" si="127"/>
        <v>0</v>
      </c>
      <c r="Q419" s="14">
        <f t="shared" si="120"/>
        <v>780</v>
      </c>
      <c r="R419" s="13">
        <f t="shared" si="121"/>
        <v>0</v>
      </c>
      <c r="S419">
        <f t="shared" si="122"/>
        <v>13</v>
      </c>
      <c r="T419">
        <f t="shared" si="123"/>
        <v>0</v>
      </c>
      <c r="U419" s="14">
        <f t="shared" si="124"/>
        <v>780</v>
      </c>
      <c r="V419" s="15"/>
      <c r="Z419" s="14"/>
    </row>
    <row r="420" spans="1:26" x14ac:dyDescent="0.25">
      <c r="A420" s="16"/>
      <c r="B420" s="17" t="b">
        <f t="shared" si="126"/>
        <v>0</v>
      </c>
      <c r="C420" s="17" t="b">
        <f t="shared" si="125"/>
        <v>0</v>
      </c>
      <c r="D420" s="17">
        <f t="shared" si="116"/>
        <v>1</v>
      </c>
      <c r="E420" s="17" t="str">
        <f t="shared" si="117"/>
        <v>Section 5 - Next steps</v>
      </c>
      <c r="F420" s="18" t="str">
        <f t="shared" si="118"/>
        <v/>
      </c>
      <c r="G420" s="13" t="str">
        <f t="shared" si="110"/>
        <v/>
      </c>
      <c r="H420">
        <f t="shared" si="111"/>
        <v>0</v>
      </c>
      <c r="I420" s="14">
        <f t="shared" si="119"/>
        <v>0</v>
      </c>
      <c r="J420" s="13">
        <f t="shared" si="112"/>
        <v>300</v>
      </c>
      <c r="K420">
        <f t="shared" si="113"/>
        <v>0</v>
      </c>
      <c r="L420">
        <f t="shared" si="114"/>
        <v>5</v>
      </c>
      <c r="M420" s="14">
        <f t="shared" si="115"/>
        <v>0</v>
      </c>
      <c r="N420" s="13">
        <f t="shared" si="127"/>
        <v>0</v>
      </c>
      <c r="O420">
        <f t="shared" si="127"/>
        <v>13</v>
      </c>
      <c r="P420">
        <f t="shared" si="127"/>
        <v>0</v>
      </c>
      <c r="Q420" s="14">
        <f t="shared" si="120"/>
        <v>780</v>
      </c>
      <c r="R420" s="13">
        <f t="shared" si="121"/>
        <v>0</v>
      </c>
      <c r="S420">
        <f t="shared" si="122"/>
        <v>13</v>
      </c>
      <c r="T420">
        <f t="shared" si="123"/>
        <v>0</v>
      </c>
      <c r="U420" s="14">
        <f t="shared" si="124"/>
        <v>780</v>
      </c>
      <c r="V420" s="15"/>
      <c r="Z420" s="14"/>
    </row>
    <row r="421" spans="1:26" x14ac:dyDescent="0.25">
      <c r="A421" s="16"/>
      <c r="B421" s="17" t="b">
        <f t="shared" si="126"/>
        <v>0</v>
      </c>
      <c r="C421" s="17" t="b">
        <f t="shared" si="125"/>
        <v>0</v>
      </c>
      <c r="D421" s="17">
        <f t="shared" si="116"/>
        <v>1</v>
      </c>
      <c r="E421" s="17" t="str">
        <f t="shared" si="117"/>
        <v>Section 5 - Next steps</v>
      </c>
      <c r="F421" s="18" t="str">
        <f t="shared" si="118"/>
        <v/>
      </c>
      <c r="G421" s="13" t="str">
        <f t="shared" si="110"/>
        <v/>
      </c>
      <c r="H421">
        <f t="shared" si="111"/>
        <v>0</v>
      </c>
      <c r="I421" s="14">
        <f t="shared" si="119"/>
        <v>0</v>
      </c>
      <c r="J421" s="13">
        <f t="shared" si="112"/>
        <v>300</v>
      </c>
      <c r="K421">
        <f t="shared" si="113"/>
        <v>0</v>
      </c>
      <c r="L421">
        <f t="shared" si="114"/>
        <v>5</v>
      </c>
      <c r="M421" s="14">
        <f t="shared" si="115"/>
        <v>0</v>
      </c>
      <c r="N421" s="13">
        <f t="shared" si="127"/>
        <v>0</v>
      </c>
      <c r="O421">
        <f t="shared" si="127"/>
        <v>13</v>
      </c>
      <c r="P421">
        <f t="shared" si="127"/>
        <v>0</v>
      </c>
      <c r="Q421" s="14">
        <f t="shared" si="120"/>
        <v>780</v>
      </c>
      <c r="R421" s="13">
        <f t="shared" si="121"/>
        <v>0</v>
      </c>
      <c r="S421">
        <f t="shared" si="122"/>
        <v>13</v>
      </c>
      <c r="T421">
        <f t="shared" si="123"/>
        <v>0</v>
      </c>
      <c r="U421" s="14">
        <f t="shared" si="124"/>
        <v>780</v>
      </c>
      <c r="V421" s="15"/>
      <c r="Z421" s="14"/>
    </row>
    <row r="422" spans="1:26" x14ac:dyDescent="0.25">
      <c r="A422" s="16"/>
      <c r="B422" s="17" t="b">
        <f t="shared" si="126"/>
        <v>0</v>
      </c>
      <c r="C422" s="17" t="b">
        <f t="shared" si="125"/>
        <v>0</v>
      </c>
      <c r="D422" s="17">
        <f t="shared" si="116"/>
        <v>1</v>
      </c>
      <c r="E422" s="17" t="str">
        <f t="shared" si="117"/>
        <v>Section 5 - Next steps</v>
      </c>
      <c r="F422" s="18" t="str">
        <f t="shared" si="118"/>
        <v/>
      </c>
      <c r="G422" s="13" t="str">
        <f t="shared" si="110"/>
        <v/>
      </c>
      <c r="H422">
        <f t="shared" si="111"/>
        <v>0</v>
      </c>
      <c r="I422" s="14">
        <f t="shared" si="119"/>
        <v>0</v>
      </c>
      <c r="J422" s="13">
        <f t="shared" si="112"/>
        <v>300</v>
      </c>
      <c r="K422">
        <f t="shared" si="113"/>
        <v>0</v>
      </c>
      <c r="L422">
        <f t="shared" si="114"/>
        <v>5</v>
      </c>
      <c r="M422" s="14">
        <f t="shared" si="115"/>
        <v>0</v>
      </c>
      <c r="N422" s="13">
        <f t="shared" si="127"/>
        <v>0</v>
      </c>
      <c r="O422">
        <f t="shared" si="127"/>
        <v>13</v>
      </c>
      <c r="P422">
        <f t="shared" si="127"/>
        <v>0</v>
      </c>
      <c r="Q422" s="14">
        <f t="shared" si="120"/>
        <v>780</v>
      </c>
      <c r="R422" s="13">
        <f t="shared" si="121"/>
        <v>0</v>
      </c>
      <c r="S422">
        <f t="shared" si="122"/>
        <v>13</v>
      </c>
      <c r="T422">
        <f t="shared" si="123"/>
        <v>0</v>
      </c>
      <c r="U422" s="14">
        <f t="shared" si="124"/>
        <v>780</v>
      </c>
      <c r="V422" s="15"/>
      <c r="Z422" s="14"/>
    </row>
    <row r="423" spans="1:26" x14ac:dyDescent="0.25">
      <c r="A423" s="16"/>
      <c r="B423" s="17" t="b">
        <f t="shared" si="126"/>
        <v>0</v>
      </c>
      <c r="C423" s="17" t="b">
        <f t="shared" si="125"/>
        <v>0</v>
      </c>
      <c r="D423" s="17">
        <f t="shared" si="116"/>
        <v>1</v>
      </c>
      <c r="E423" s="17" t="str">
        <f t="shared" si="117"/>
        <v>Section 5 - Next steps</v>
      </c>
      <c r="F423" s="18" t="str">
        <f t="shared" si="118"/>
        <v/>
      </c>
      <c r="G423" s="13" t="str">
        <f t="shared" si="110"/>
        <v/>
      </c>
      <c r="H423">
        <f t="shared" si="111"/>
        <v>0</v>
      </c>
      <c r="I423" s="14">
        <f t="shared" si="119"/>
        <v>0</v>
      </c>
      <c r="J423" s="13">
        <f t="shared" si="112"/>
        <v>300</v>
      </c>
      <c r="K423">
        <f t="shared" si="113"/>
        <v>0</v>
      </c>
      <c r="L423">
        <f t="shared" si="114"/>
        <v>5</v>
      </c>
      <c r="M423" s="14">
        <f t="shared" si="115"/>
        <v>0</v>
      </c>
      <c r="N423" s="13">
        <f t="shared" si="127"/>
        <v>0</v>
      </c>
      <c r="O423">
        <f t="shared" si="127"/>
        <v>13</v>
      </c>
      <c r="P423">
        <f t="shared" si="127"/>
        <v>0</v>
      </c>
      <c r="Q423" s="14">
        <f t="shared" si="120"/>
        <v>780</v>
      </c>
      <c r="R423" s="13">
        <f t="shared" si="121"/>
        <v>0</v>
      </c>
      <c r="S423">
        <f t="shared" si="122"/>
        <v>13</v>
      </c>
      <c r="T423">
        <f t="shared" si="123"/>
        <v>0</v>
      </c>
      <c r="U423" s="14">
        <f t="shared" si="124"/>
        <v>780</v>
      </c>
      <c r="V423" s="15"/>
      <c r="Z423" s="14"/>
    </row>
    <row r="424" spans="1:26" x14ac:dyDescent="0.25">
      <c r="A424" s="16"/>
      <c r="B424" s="17" t="b">
        <f t="shared" si="126"/>
        <v>0</v>
      </c>
      <c r="C424" s="17" t="b">
        <f t="shared" si="125"/>
        <v>0</v>
      </c>
      <c r="D424" s="17">
        <f t="shared" si="116"/>
        <v>1</v>
      </c>
      <c r="E424" s="17" t="str">
        <f t="shared" si="117"/>
        <v>Section 5 - Next steps</v>
      </c>
      <c r="F424" s="18" t="str">
        <f t="shared" si="118"/>
        <v/>
      </c>
      <c r="G424" s="13" t="str">
        <f t="shared" si="110"/>
        <v/>
      </c>
      <c r="H424">
        <f t="shared" si="111"/>
        <v>0</v>
      </c>
      <c r="I424" s="14">
        <f t="shared" si="119"/>
        <v>0</v>
      </c>
      <c r="J424" s="13">
        <f t="shared" si="112"/>
        <v>300</v>
      </c>
      <c r="K424">
        <f t="shared" si="113"/>
        <v>0</v>
      </c>
      <c r="L424">
        <f t="shared" si="114"/>
        <v>5</v>
      </c>
      <c r="M424" s="14">
        <f t="shared" si="115"/>
        <v>0</v>
      </c>
      <c r="N424" s="13">
        <f t="shared" si="127"/>
        <v>0</v>
      </c>
      <c r="O424">
        <f t="shared" si="127"/>
        <v>13</v>
      </c>
      <c r="P424">
        <f t="shared" si="127"/>
        <v>0</v>
      </c>
      <c r="Q424" s="14">
        <f t="shared" si="120"/>
        <v>780</v>
      </c>
      <c r="R424" s="13">
        <f t="shared" si="121"/>
        <v>0</v>
      </c>
      <c r="S424">
        <f t="shared" si="122"/>
        <v>13</v>
      </c>
      <c r="T424">
        <f t="shared" si="123"/>
        <v>0</v>
      </c>
      <c r="U424" s="14">
        <f t="shared" si="124"/>
        <v>780</v>
      </c>
      <c r="V424" s="15"/>
      <c r="Z424" s="14"/>
    </row>
    <row r="425" spans="1:26" x14ac:dyDescent="0.25">
      <c r="A425" s="16"/>
      <c r="B425" s="17" t="b">
        <f t="shared" si="126"/>
        <v>0</v>
      </c>
      <c r="C425" s="17" t="b">
        <f t="shared" si="125"/>
        <v>0</v>
      </c>
      <c r="D425" s="17">
        <f t="shared" si="116"/>
        <v>1</v>
      </c>
      <c r="E425" s="17" t="str">
        <f t="shared" si="117"/>
        <v>Section 5 - Next steps</v>
      </c>
      <c r="F425" s="18" t="str">
        <f t="shared" si="118"/>
        <v/>
      </c>
      <c r="G425" s="13" t="str">
        <f t="shared" si="110"/>
        <v/>
      </c>
      <c r="H425">
        <f t="shared" si="111"/>
        <v>0</v>
      </c>
      <c r="I425" s="14">
        <f t="shared" si="119"/>
        <v>0</v>
      </c>
      <c r="J425" s="13">
        <f t="shared" si="112"/>
        <v>300</v>
      </c>
      <c r="K425">
        <f t="shared" si="113"/>
        <v>0</v>
      </c>
      <c r="L425">
        <f t="shared" si="114"/>
        <v>5</v>
      </c>
      <c r="M425" s="14">
        <f t="shared" si="115"/>
        <v>0</v>
      </c>
      <c r="N425" s="13">
        <f t="shared" si="127"/>
        <v>0</v>
      </c>
      <c r="O425">
        <f t="shared" si="127"/>
        <v>13</v>
      </c>
      <c r="P425">
        <f t="shared" si="127"/>
        <v>0</v>
      </c>
      <c r="Q425" s="14">
        <f t="shared" si="120"/>
        <v>780</v>
      </c>
      <c r="R425" s="13">
        <f t="shared" si="121"/>
        <v>0</v>
      </c>
      <c r="S425">
        <f t="shared" si="122"/>
        <v>13</v>
      </c>
      <c r="T425">
        <f t="shared" si="123"/>
        <v>0</v>
      </c>
      <c r="U425" s="14">
        <f t="shared" si="124"/>
        <v>780</v>
      </c>
      <c r="V425" s="15"/>
      <c r="Z425" s="14"/>
    </row>
    <row r="426" spans="1:26" x14ac:dyDescent="0.25">
      <c r="A426" s="16"/>
      <c r="B426" s="17" t="b">
        <f t="shared" si="126"/>
        <v>0</v>
      </c>
      <c r="C426" s="17" t="b">
        <f t="shared" si="125"/>
        <v>0</v>
      </c>
      <c r="D426" s="17">
        <f t="shared" si="116"/>
        <v>1</v>
      </c>
      <c r="E426" s="17" t="str">
        <f t="shared" si="117"/>
        <v>Section 5 - Next steps</v>
      </c>
      <c r="F426" s="18" t="str">
        <f t="shared" si="118"/>
        <v/>
      </c>
      <c r="G426" s="13" t="str">
        <f t="shared" si="110"/>
        <v/>
      </c>
      <c r="H426">
        <f t="shared" si="111"/>
        <v>0</v>
      </c>
      <c r="I426" s="14">
        <f t="shared" si="119"/>
        <v>0</v>
      </c>
      <c r="J426" s="13">
        <f t="shared" si="112"/>
        <v>300</v>
      </c>
      <c r="K426">
        <f t="shared" si="113"/>
        <v>0</v>
      </c>
      <c r="L426">
        <f t="shared" si="114"/>
        <v>5</v>
      </c>
      <c r="M426" s="14">
        <f t="shared" si="115"/>
        <v>0</v>
      </c>
      <c r="N426" s="13">
        <f t="shared" si="127"/>
        <v>0</v>
      </c>
      <c r="O426">
        <f t="shared" si="127"/>
        <v>13</v>
      </c>
      <c r="P426">
        <f t="shared" si="127"/>
        <v>0</v>
      </c>
      <c r="Q426" s="14">
        <f t="shared" si="120"/>
        <v>780</v>
      </c>
      <c r="R426" s="13">
        <f t="shared" si="121"/>
        <v>0</v>
      </c>
      <c r="S426">
        <f t="shared" si="122"/>
        <v>13</v>
      </c>
      <c r="T426">
        <f t="shared" si="123"/>
        <v>0</v>
      </c>
      <c r="U426" s="14">
        <f t="shared" si="124"/>
        <v>780</v>
      </c>
      <c r="V426" s="15"/>
      <c r="Z426" s="14"/>
    </row>
    <row r="427" spans="1:26" x14ac:dyDescent="0.25">
      <c r="A427" s="16"/>
      <c r="B427" s="17" t="b">
        <f t="shared" si="126"/>
        <v>0</v>
      </c>
      <c r="C427" s="17" t="b">
        <f t="shared" si="125"/>
        <v>0</v>
      </c>
      <c r="D427" s="17">
        <f t="shared" si="116"/>
        <v>1</v>
      </c>
      <c r="E427" s="17" t="str">
        <f t="shared" si="117"/>
        <v>Section 5 - Next steps</v>
      </c>
      <c r="F427" s="18" t="str">
        <f t="shared" si="118"/>
        <v/>
      </c>
      <c r="G427" s="13" t="str">
        <f t="shared" si="110"/>
        <v/>
      </c>
      <c r="H427">
        <f t="shared" si="111"/>
        <v>0</v>
      </c>
      <c r="I427" s="14">
        <f t="shared" si="119"/>
        <v>0</v>
      </c>
      <c r="J427" s="13">
        <f t="shared" si="112"/>
        <v>300</v>
      </c>
      <c r="K427">
        <f t="shared" si="113"/>
        <v>0</v>
      </c>
      <c r="L427">
        <f t="shared" si="114"/>
        <v>5</v>
      </c>
      <c r="M427" s="14">
        <f t="shared" si="115"/>
        <v>0</v>
      </c>
      <c r="N427" s="13">
        <f t="shared" si="127"/>
        <v>0</v>
      </c>
      <c r="O427">
        <f t="shared" si="127"/>
        <v>13</v>
      </c>
      <c r="P427">
        <f t="shared" si="127"/>
        <v>0</v>
      </c>
      <c r="Q427" s="14">
        <f t="shared" si="120"/>
        <v>780</v>
      </c>
      <c r="R427" s="13">
        <f t="shared" si="121"/>
        <v>0</v>
      </c>
      <c r="S427">
        <f t="shared" si="122"/>
        <v>13</v>
      </c>
      <c r="T427">
        <f t="shared" si="123"/>
        <v>0</v>
      </c>
      <c r="U427" s="14">
        <f t="shared" si="124"/>
        <v>780</v>
      </c>
      <c r="V427" s="15"/>
      <c r="Z427" s="14"/>
    </row>
    <row r="428" spans="1:26" x14ac:dyDescent="0.25">
      <c r="A428" s="16"/>
      <c r="B428" s="17" t="b">
        <f t="shared" si="126"/>
        <v>0</v>
      </c>
      <c r="C428" s="17" t="b">
        <f t="shared" si="125"/>
        <v>0</v>
      </c>
      <c r="D428" s="17">
        <f t="shared" si="116"/>
        <v>1</v>
      </c>
      <c r="E428" s="17" t="str">
        <f t="shared" si="117"/>
        <v>Section 5 - Next steps</v>
      </c>
      <c r="F428" s="18" t="str">
        <f t="shared" si="118"/>
        <v/>
      </c>
      <c r="G428" s="13" t="str">
        <f t="shared" si="110"/>
        <v/>
      </c>
      <c r="H428">
        <f t="shared" si="111"/>
        <v>0</v>
      </c>
      <c r="I428" s="14">
        <f t="shared" si="119"/>
        <v>0</v>
      </c>
      <c r="J428" s="13">
        <f t="shared" si="112"/>
        <v>300</v>
      </c>
      <c r="K428">
        <f t="shared" si="113"/>
        <v>0</v>
      </c>
      <c r="L428">
        <f t="shared" si="114"/>
        <v>5</v>
      </c>
      <c r="M428" s="14">
        <f t="shared" si="115"/>
        <v>0</v>
      </c>
      <c r="N428" s="13">
        <f t="shared" si="127"/>
        <v>0</v>
      </c>
      <c r="O428">
        <f t="shared" si="127"/>
        <v>13</v>
      </c>
      <c r="P428">
        <f t="shared" si="127"/>
        <v>0</v>
      </c>
      <c r="Q428" s="14">
        <f t="shared" si="120"/>
        <v>780</v>
      </c>
      <c r="R428" s="13">
        <f t="shared" si="121"/>
        <v>0</v>
      </c>
      <c r="S428">
        <f t="shared" si="122"/>
        <v>13</v>
      </c>
      <c r="T428">
        <f t="shared" si="123"/>
        <v>0</v>
      </c>
      <c r="U428" s="14">
        <f t="shared" si="124"/>
        <v>780</v>
      </c>
      <c r="V428" s="15"/>
      <c r="Z428" s="14"/>
    </row>
    <row r="429" spans="1:26" x14ac:dyDescent="0.25">
      <c r="A429" s="16"/>
      <c r="B429" s="17" t="b">
        <f t="shared" si="126"/>
        <v>0</v>
      </c>
      <c r="C429" s="17" t="b">
        <f t="shared" si="125"/>
        <v>0</v>
      </c>
      <c r="D429" s="17">
        <f t="shared" si="116"/>
        <v>1</v>
      </c>
      <c r="E429" s="17" t="str">
        <f t="shared" si="117"/>
        <v>Section 5 - Next steps</v>
      </c>
      <c r="F429" s="18" t="str">
        <f t="shared" si="118"/>
        <v/>
      </c>
      <c r="G429" s="13" t="str">
        <f t="shared" si="110"/>
        <v/>
      </c>
      <c r="H429">
        <f t="shared" si="111"/>
        <v>0</v>
      </c>
      <c r="I429" s="14">
        <f t="shared" si="119"/>
        <v>0</v>
      </c>
      <c r="J429" s="13">
        <f t="shared" si="112"/>
        <v>300</v>
      </c>
      <c r="K429">
        <f t="shared" si="113"/>
        <v>0</v>
      </c>
      <c r="L429">
        <f t="shared" si="114"/>
        <v>5</v>
      </c>
      <c r="M429" s="14">
        <f t="shared" si="115"/>
        <v>0</v>
      </c>
      <c r="N429" s="13">
        <f t="shared" si="127"/>
        <v>0</v>
      </c>
      <c r="O429">
        <f t="shared" si="127"/>
        <v>13</v>
      </c>
      <c r="P429">
        <f t="shared" si="127"/>
        <v>0</v>
      </c>
      <c r="Q429" s="14">
        <f t="shared" si="120"/>
        <v>780</v>
      </c>
      <c r="R429" s="13">
        <f t="shared" si="121"/>
        <v>0</v>
      </c>
      <c r="S429">
        <f t="shared" si="122"/>
        <v>13</v>
      </c>
      <c r="T429">
        <f t="shared" si="123"/>
        <v>0</v>
      </c>
      <c r="U429" s="14">
        <f t="shared" si="124"/>
        <v>780</v>
      </c>
      <c r="V429" s="15"/>
      <c r="Z429" s="14"/>
    </row>
    <row r="430" spans="1:26" x14ac:dyDescent="0.25">
      <c r="A430" s="16"/>
      <c r="B430" s="17" t="b">
        <f t="shared" si="126"/>
        <v>0</v>
      </c>
      <c r="C430" s="17" t="b">
        <f t="shared" si="125"/>
        <v>0</v>
      </c>
      <c r="D430" s="17">
        <f t="shared" si="116"/>
        <v>1</v>
      </c>
      <c r="E430" s="17" t="str">
        <f t="shared" si="117"/>
        <v>Section 5 - Next steps</v>
      </c>
      <c r="F430" s="18" t="str">
        <f t="shared" si="118"/>
        <v/>
      </c>
      <c r="G430" s="13" t="str">
        <f t="shared" si="110"/>
        <v/>
      </c>
      <c r="H430">
        <f t="shared" si="111"/>
        <v>0</v>
      </c>
      <c r="I430" s="14">
        <f t="shared" si="119"/>
        <v>0</v>
      </c>
      <c r="J430" s="13">
        <f t="shared" si="112"/>
        <v>300</v>
      </c>
      <c r="K430">
        <f t="shared" si="113"/>
        <v>0</v>
      </c>
      <c r="L430">
        <f t="shared" si="114"/>
        <v>5</v>
      </c>
      <c r="M430" s="14">
        <f t="shared" si="115"/>
        <v>0</v>
      </c>
      <c r="N430" s="13">
        <f t="shared" si="127"/>
        <v>0</v>
      </c>
      <c r="O430">
        <f t="shared" si="127"/>
        <v>13</v>
      </c>
      <c r="P430">
        <f t="shared" si="127"/>
        <v>0</v>
      </c>
      <c r="Q430" s="14">
        <f t="shared" si="120"/>
        <v>780</v>
      </c>
      <c r="R430" s="13">
        <f t="shared" si="121"/>
        <v>0</v>
      </c>
      <c r="S430">
        <f t="shared" si="122"/>
        <v>13</v>
      </c>
      <c r="T430">
        <f t="shared" si="123"/>
        <v>0</v>
      </c>
      <c r="U430" s="14">
        <f t="shared" si="124"/>
        <v>780</v>
      </c>
      <c r="V430" s="15"/>
      <c r="Z430" s="14"/>
    </row>
    <row r="431" spans="1:26" x14ac:dyDescent="0.25">
      <c r="A431" s="16"/>
      <c r="B431" s="17" t="b">
        <f t="shared" si="126"/>
        <v>0</v>
      </c>
      <c r="C431" s="17" t="b">
        <f t="shared" si="125"/>
        <v>0</v>
      </c>
      <c r="D431" s="17">
        <f t="shared" si="116"/>
        <v>1</v>
      </c>
      <c r="E431" s="17" t="str">
        <f t="shared" si="117"/>
        <v>Section 5 - Next steps</v>
      </c>
      <c r="F431" s="18" t="str">
        <f t="shared" si="118"/>
        <v/>
      </c>
      <c r="G431" s="13" t="str">
        <f t="shared" si="110"/>
        <v/>
      </c>
      <c r="H431">
        <f t="shared" si="111"/>
        <v>0</v>
      </c>
      <c r="I431" s="14">
        <f t="shared" si="119"/>
        <v>0</v>
      </c>
      <c r="J431" s="13">
        <f t="shared" si="112"/>
        <v>300</v>
      </c>
      <c r="K431">
        <f t="shared" si="113"/>
        <v>0</v>
      </c>
      <c r="L431">
        <f t="shared" si="114"/>
        <v>5</v>
      </c>
      <c r="M431" s="14">
        <f t="shared" si="115"/>
        <v>0</v>
      </c>
      <c r="N431" s="13">
        <f t="shared" si="127"/>
        <v>0</v>
      </c>
      <c r="O431">
        <f t="shared" si="127"/>
        <v>13</v>
      </c>
      <c r="P431">
        <f t="shared" si="127"/>
        <v>0</v>
      </c>
      <c r="Q431" s="14">
        <f t="shared" si="120"/>
        <v>780</v>
      </c>
      <c r="R431" s="13">
        <f t="shared" si="121"/>
        <v>0</v>
      </c>
      <c r="S431">
        <f t="shared" si="122"/>
        <v>13</v>
      </c>
      <c r="T431">
        <f t="shared" si="123"/>
        <v>0</v>
      </c>
      <c r="U431" s="14">
        <f t="shared" si="124"/>
        <v>780</v>
      </c>
      <c r="V431" s="15"/>
      <c r="Z431" s="14"/>
    </row>
    <row r="432" spans="1:26" x14ac:dyDescent="0.25">
      <c r="A432" s="16"/>
      <c r="B432" s="17" t="b">
        <f t="shared" si="126"/>
        <v>0</v>
      </c>
      <c r="C432" s="17" t="b">
        <f t="shared" si="125"/>
        <v>0</v>
      </c>
      <c r="D432" s="17">
        <f t="shared" si="116"/>
        <v>1</v>
      </c>
      <c r="E432" s="17" t="str">
        <f t="shared" si="117"/>
        <v>Section 5 - Next steps</v>
      </c>
      <c r="F432" s="18" t="str">
        <f t="shared" si="118"/>
        <v/>
      </c>
      <c r="G432" s="13" t="str">
        <f t="shared" si="110"/>
        <v/>
      </c>
      <c r="H432">
        <f t="shared" si="111"/>
        <v>0</v>
      </c>
      <c r="I432" s="14">
        <f t="shared" si="119"/>
        <v>0</v>
      </c>
      <c r="J432" s="13">
        <f t="shared" si="112"/>
        <v>300</v>
      </c>
      <c r="K432">
        <f t="shared" si="113"/>
        <v>0</v>
      </c>
      <c r="L432">
        <f t="shared" si="114"/>
        <v>5</v>
      </c>
      <c r="M432" s="14">
        <f t="shared" si="115"/>
        <v>0</v>
      </c>
      <c r="N432" s="13">
        <f t="shared" si="127"/>
        <v>0</v>
      </c>
      <c r="O432">
        <f t="shared" si="127"/>
        <v>13</v>
      </c>
      <c r="P432">
        <f t="shared" si="127"/>
        <v>0</v>
      </c>
      <c r="Q432" s="14">
        <f t="shared" si="120"/>
        <v>780</v>
      </c>
      <c r="R432" s="13">
        <f t="shared" si="121"/>
        <v>0</v>
      </c>
      <c r="S432">
        <f t="shared" si="122"/>
        <v>13</v>
      </c>
      <c r="T432">
        <f t="shared" si="123"/>
        <v>0</v>
      </c>
      <c r="U432" s="14">
        <f t="shared" si="124"/>
        <v>780</v>
      </c>
      <c r="V432" s="15"/>
      <c r="Z432" s="14"/>
    </row>
    <row r="433" spans="1:26" x14ac:dyDescent="0.25">
      <c r="A433" s="16"/>
      <c r="B433" s="17" t="b">
        <f t="shared" si="126"/>
        <v>0</v>
      </c>
      <c r="C433" s="17" t="b">
        <f t="shared" si="125"/>
        <v>0</v>
      </c>
      <c r="D433" s="17">
        <f t="shared" si="116"/>
        <v>1</v>
      </c>
      <c r="E433" s="17" t="str">
        <f t="shared" si="117"/>
        <v>Section 5 - Next steps</v>
      </c>
      <c r="F433" s="18" t="str">
        <f t="shared" si="118"/>
        <v/>
      </c>
      <c r="G433" s="13" t="str">
        <f t="shared" si="110"/>
        <v/>
      </c>
      <c r="H433">
        <f t="shared" si="111"/>
        <v>0</v>
      </c>
      <c r="I433" s="14">
        <f t="shared" si="119"/>
        <v>0</v>
      </c>
      <c r="J433" s="13">
        <f t="shared" si="112"/>
        <v>300</v>
      </c>
      <c r="K433">
        <f t="shared" si="113"/>
        <v>0</v>
      </c>
      <c r="L433">
        <f t="shared" si="114"/>
        <v>5</v>
      </c>
      <c r="M433" s="14">
        <f t="shared" si="115"/>
        <v>0</v>
      </c>
      <c r="N433" s="13">
        <f t="shared" si="127"/>
        <v>0</v>
      </c>
      <c r="O433">
        <f t="shared" si="127"/>
        <v>13</v>
      </c>
      <c r="P433">
        <f t="shared" si="127"/>
        <v>0</v>
      </c>
      <c r="Q433" s="14">
        <f t="shared" si="120"/>
        <v>780</v>
      </c>
      <c r="R433" s="13">
        <f t="shared" si="121"/>
        <v>0</v>
      </c>
      <c r="S433">
        <f t="shared" si="122"/>
        <v>13</v>
      </c>
      <c r="T433">
        <f t="shared" si="123"/>
        <v>0</v>
      </c>
      <c r="U433" s="14">
        <f t="shared" si="124"/>
        <v>780</v>
      </c>
      <c r="V433" s="15"/>
      <c r="Z433" s="14"/>
    </row>
    <row r="434" spans="1:26" x14ac:dyDescent="0.25">
      <c r="A434" s="16"/>
      <c r="B434" s="17" t="b">
        <f t="shared" si="126"/>
        <v>0</v>
      </c>
      <c r="C434" s="17" t="b">
        <f t="shared" si="125"/>
        <v>0</v>
      </c>
      <c r="D434" s="17">
        <f t="shared" si="116"/>
        <v>1</v>
      </c>
      <c r="E434" s="17" t="str">
        <f t="shared" si="117"/>
        <v>Section 5 - Next steps</v>
      </c>
      <c r="F434" s="18" t="str">
        <f t="shared" si="118"/>
        <v/>
      </c>
      <c r="G434" s="13" t="str">
        <f t="shared" si="110"/>
        <v/>
      </c>
      <c r="H434">
        <f t="shared" si="111"/>
        <v>0</v>
      </c>
      <c r="I434" s="14">
        <f t="shared" si="119"/>
        <v>0</v>
      </c>
      <c r="J434" s="13">
        <f t="shared" si="112"/>
        <v>300</v>
      </c>
      <c r="K434">
        <f t="shared" si="113"/>
        <v>0</v>
      </c>
      <c r="L434">
        <f t="shared" si="114"/>
        <v>5</v>
      </c>
      <c r="M434" s="14">
        <f t="shared" si="115"/>
        <v>0</v>
      </c>
      <c r="N434" s="13">
        <f t="shared" si="127"/>
        <v>0</v>
      </c>
      <c r="O434">
        <f t="shared" si="127"/>
        <v>13</v>
      </c>
      <c r="P434">
        <f t="shared" si="127"/>
        <v>0</v>
      </c>
      <c r="Q434" s="14">
        <f t="shared" si="120"/>
        <v>780</v>
      </c>
      <c r="R434" s="13">
        <f t="shared" si="121"/>
        <v>0</v>
      </c>
      <c r="S434">
        <f t="shared" si="122"/>
        <v>13</v>
      </c>
      <c r="T434">
        <f t="shared" si="123"/>
        <v>0</v>
      </c>
      <c r="U434" s="14">
        <f t="shared" si="124"/>
        <v>780</v>
      </c>
      <c r="V434" s="15"/>
      <c r="Z434" s="14"/>
    </row>
    <row r="435" spans="1:26" x14ac:dyDescent="0.25">
      <c r="A435" s="16"/>
      <c r="B435" s="17" t="b">
        <f t="shared" si="126"/>
        <v>0</v>
      </c>
      <c r="C435" s="17" t="b">
        <f t="shared" si="125"/>
        <v>0</v>
      </c>
      <c r="D435" s="17">
        <f t="shared" si="116"/>
        <v>1</v>
      </c>
      <c r="E435" s="17" t="str">
        <f t="shared" si="117"/>
        <v>Section 5 - Next steps</v>
      </c>
      <c r="F435" s="18" t="str">
        <f t="shared" si="118"/>
        <v/>
      </c>
      <c r="G435" s="13" t="str">
        <f t="shared" si="110"/>
        <v/>
      </c>
      <c r="H435">
        <f t="shared" si="111"/>
        <v>0</v>
      </c>
      <c r="I435" s="14">
        <f t="shared" si="119"/>
        <v>0</v>
      </c>
      <c r="J435" s="13">
        <f t="shared" si="112"/>
        <v>300</v>
      </c>
      <c r="K435">
        <f t="shared" si="113"/>
        <v>0</v>
      </c>
      <c r="L435">
        <f t="shared" si="114"/>
        <v>5</v>
      </c>
      <c r="M435" s="14">
        <f t="shared" si="115"/>
        <v>0</v>
      </c>
      <c r="N435" s="13">
        <f t="shared" si="127"/>
        <v>0</v>
      </c>
      <c r="O435">
        <f t="shared" si="127"/>
        <v>13</v>
      </c>
      <c r="P435">
        <f t="shared" si="127"/>
        <v>0</v>
      </c>
      <c r="Q435" s="14">
        <f t="shared" si="120"/>
        <v>780</v>
      </c>
      <c r="R435" s="13">
        <f t="shared" si="121"/>
        <v>0</v>
      </c>
      <c r="S435">
        <f t="shared" si="122"/>
        <v>13</v>
      </c>
      <c r="T435">
        <f t="shared" si="123"/>
        <v>0</v>
      </c>
      <c r="U435" s="14">
        <f t="shared" si="124"/>
        <v>780</v>
      </c>
      <c r="V435" s="15"/>
      <c r="Z435" s="14"/>
    </row>
    <row r="436" spans="1:26" x14ac:dyDescent="0.25">
      <c r="A436" s="16"/>
      <c r="B436" s="17" t="b">
        <f t="shared" si="126"/>
        <v>0</v>
      </c>
      <c r="C436" s="17" t="b">
        <f t="shared" si="125"/>
        <v>0</v>
      </c>
      <c r="D436" s="17">
        <f t="shared" si="116"/>
        <v>1</v>
      </c>
      <c r="E436" s="17" t="str">
        <f t="shared" si="117"/>
        <v>Section 5 - Next steps</v>
      </c>
      <c r="F436" s="18" t="str">
        <f t="shared" si="118"/>
        <v/>
      </c>
      <c r="G436" s="13" t="str">
        <f t="shared" si="110"/>
        <v/>
      </c>
      <c r="H436">
        <f t="shared" si="111"/>
        <v>0</v>
      </c>
      <c r="I436" s="14">
        <f t="shared" si="119"/>
        <v>0</v>
      </c>
      <c r="J436" s="13">
        <f t="shared" si="112"/>
        <v>300</v>
      </c>
      <c r="K436">
        <f t="shared" si="113"/>
        <v>0</v>
      </c>
      <c r="L436">
        <f t="shared" si="114"/>
        <v>5</v>
      </c>
      <c r="M436" s="14">
        <f t="shared" si="115"/>
        <v>0</v>
      </c>
      <c r="N436" s="13">
        <f t="shared" si="127"/>
        <v>0</v>
      </c>
      <c r="O436">
        <f t="shared" si="127"/>
        <v>13</v>
      </c>
      <c r="P436">
        <f t="shared" si="127"/>
        <v>0</v>
      </c>
      <c r="Q436" s="14">
        <f t="shared" si="120"/>
        <v>780</v>
      </c>
      <c r="R436" s="13">
        <f t="shared" si="121"/>
        <v>0</v>
      </c>
      <c r="S436">
        <f t="shared" si="122"/>
        <v>13</v>
      </c>
      <c r="T436">
        <f t="shared" si="123"/>
        <v>0</v>
      </c>
      <c r="U436" s="14">
        <f t="shared" si="124"/>
        <v>780</v>
      </c>
      <c r="V436" s="15"/>
      <c r="Z436" s="14"/>
    </row>
    <row r="437" spans="1:26" x14ac:dyDescent="0.25">
      <c r="A437" s="16"/>
      <c r="B437" s="17" t="b">
        <f t="shared" si="126"/>
        <v>0</v>
      </c>
      <c r="C437" s="17" t="b">
        <f t="shared" si="125"/>
        <v>0</v>
      </c>
      <c r="D437" s="17">
        <f t="shared" si="116"/>
        <v>1</v>
      </c>
      <c r="E437" s="17" t="str">
        <f t="shared" si="117"/>
        <v>Section 5 - Next steps</v>
      </c>
      <c r="F437" s="18" t="str">
        <f t="shared" si="118"/>
        <v/>
      </c>
      <c r="G437" s="13" t="str">
        <f t="shared" si="110"/>
        <v/>
      </c>
      <c r="H437">
        <f t="shared" si="111"/>
        <v>0</v>
      </c>
      <c r="I437" s="14">
        <f t="shared" si="119"/>
        <v>0</v>
      </c>
      <c r="J437" s="13">
        <f t="shared" si="112"/>
        <v>300</v>
      </c>
      <c r="K437">
        <f t="shared" si="113"/>
        <v>0</v>
      </c>
      <c r="L437">
        <f t="shared" si="114"/>
        <v>5</v>
      </c>
      <c r="M437" s="14">
        <f t="shared" si="115"/>
        <v>0</v>
      </c>
      <c r="N437" s="13">
        <f t="shared" si="127"/>
        <v>0</v>
      </c>
      <c r="O437">
        <f t="shared" si="127"/>
        <v>13</v>
      </c>
      <c r="P437">
        <f t="shared" si="127"/>
        <v>0</v>
      </c>
      <c r="Q437" s="14">
        <f t="shared" si="120"/>
        <v>780</v>
      </c>
      <c r="R437" s="13">
        <f t="shared" si="121"/>
        <v>0</v>
      </c>
      <c r="S437">
        <f t="shared" si="122"/>
        <v>13</v>
      </c>
      <c r="T437">
        <f t="shared" si="123"/>
        <v>0</v>
      </c>
      <c r="U437" s="14">
        <f t="shared" si="124"/>
        <v>780</v>
      </c>
      <c r="V437" s="15"/>
      <c r="Z437" s="14"/>
    </row>
    <row r="438" spans="1:26" x14ac:dyDescent="0.25">
      <c r="A438" s="16"/>
      <c r="B438" s="17" t="b">
        <f t="shared" si="126"/>
        <v>0</v>
      </c>
      <c r="C438" s="17" t="b">
        <f t="shared" si="125"/>
        <v>0</v>
      </c>
      <c r="D438" s="17">
        <f t="shared" si="116"/>
        <v>1</v>
      </c>
      <c r="E438" s="17" t="str">
        <f t="shared" si="117"/>
        <v>Section 5 - Next steps</v>
      </c>
      <c r="F438" s="18" t="str">
        <f t="shared" si="118"/>
        <v/>
      </c>
      <c r="G438" s="13" t="str">
        <f t="shared" si="110"/>
        <v/>
      </c>
      <c r="H438">
        <f t="shared" si="111"/>
        <v>0</v>
      </c>
      <c r="I438" s="14">
        <f t="shared" si="119"/>
        <v>0</v>
      </c>
      <c r="J438" s="13">
        <f t="shared" si="112"/>
        <v>300</v>
      </c>
      <c r="K438">
        <f t="shared" si="113"/>
        <v>0</v>
      </c>
      <c r="L438">
        <f t="shared" si="114"/>
        <v>5</v>
      </c>
      <c r="M438" s="14">
        <f t="shared" si="115"/>
        <v>0</v>
      </c>
      <c r="N438" s="13">
        <f t="shared" si="127"/>
        <v>0</v>
      </c>
      <c r="O438">
        <f t="shared" si="127"/>
        <v>13</v>
      </c>
      <c r="P438">
        <f t="shared" si="127"/>
        <v>0</v>
      </c>
      <c r="Q438" s="14">
        <f t="shared" si="120"/>
        <v>780</v>
      </c>
      <c r="R438" s="13">
        <f t="shared" si="121"/>
        <v>0</v>
      </c>
      <c r="S438">
        <f t="shared" si="122"/>
        <v>13</v>
      </c>
      <c r="T438">
        <f t="shared" si="123"/>
        <v>0</v>
      </c>
      <c r="U438" s="14">
        <f t="shared" si="124"/>
        <v>780</v>
      </c>
      <c r="V438" s="15"/>
      <c r="Z438" s="14"/>
    </row>
    <row r="439" spans="1:26" x14ac:dyDescent="0.25">
      <c r="A439" s="16"/>
      <c r="B439" s="17" t="b">
        <f t="shared" si="126"/>
        <v>0</v>
      </c>
      <c r="C439" s="17" t="b">
        <f t="shared" si="125"/>
        <v>0</v>
      </c>
      <c r="D439" s="17">
        <f t="shared" si="116"/>
        <v>1</v>
      </c>
      <c r="E439" s="17" t="str">
        <f t="shared" si="117"/>
        <v>Section 5 - Next steps</v>
      </c>
      <c r="F439" s="18" t="str">
        <f t="shared" si="118"/>
        <v/>
      </c>
      <c r="G439" s="13" t="str">
        <f t="shared" si="110"/>
        <v/>
      </c>
      <c r="H439">
        <f t="shared" si="111"/>
        <v>0</v>
      </c>
      <c r="I439" s="14">
        <f t="shared" si="119"/>
        <v>0</v>
      </c>
      <c r="J439" s="13">
        <f t="shared" si="112"/>
        <v>300</v>
      </c>
      <c r="K439">
        <f t="shared" si="113"/>
        <v>0</v>
      </c>
      <c r="L439">
        <f t="shared" si="114"/>
        <v>5</v>
      </c>
      <c r="M439" s="14">
        <f t="shared" si="115"/>
        <v>0</v>
      </c>
      <c r="N439" s="13">
        <f t="shared" si="127"/>
        <v>0</v>
      </c>
      <c r="O439">
        <f t="shared" si="127"/>
        <v>13</v>
      </c>
      <c r="P439">
        <f t="shared" si="127"/>
        <v>0</v>
      </c>
      <c r="Q439" s="14">
        <f t="shared" si="120"/>
        <v>780</v>
      </c>
      <c r="R439" s="13">
        <f t="shared" si="121"/>
        <v>0</v>
      </c>
      <c r="S439">
        <f t="shared" si="122"/>
        <v>13</v>
      </c>
      <c r="T439">
        <f t="shared" si="123"/>
        <v>0</v>
      </c>
      <c r="U439" s="14">
        <f t="shared" si="124"/>
        <v>780</v>
      </c>
      <c r="V439" s="15"/>
      <c r="Z439" s="14"/>
    </row>
    <row r="440" spans="1:26" x14ac:dyDescent="0.25">
      <c r="A440" s="16"/>
      <c r="B440" s="17" t="b">
        <f t="shared" si="126"/>
        <v>0</v>
      </c>
      <c r="C440" s="17" t="b">
        <f t="shared" si="125"/>
        <v>0</v>
      </c>
      <c r="D440" s="17">
        <f t="shared" si="116"/>
        <v>1</v>
      </c>
      <c r="E440" s="17" t="str">
        <f t="shared" si="117"/>
        <v>Section 5 - Next steps</v>
      </c>
      <c r="F440" s="18" t="str">
        <f t="shared" si="118"/>
        <v/>
      </c>
      <c r="G440" s="13" t="str">
        <f t="shared" si="110"/>
        <v/>
      </c>
      <c r="H440">
        <f t="shared" si="111"/>
        <v>0</v>
      </c>
      <c r="I440" s="14">
        <f t="shared" si="119"/>
        <v>0</v>
      </c>
      <c r="J440" s="13">
        <f t="shared" si="112"/>
        <v>300</v>
      </c>
      <c r="K440">
        <f t="shared" si="113"/>
        <v>0</v>
      </c>
      <c r="L440">
        <f t="shared" si="114"/>
        <v>5</v>
      </c>
      <c r="M440" s="14">
        <f t="shared" si="115"/>
        <v>0</v>
      </c>
      <c r="N440" s="13">
        <f t="shared" si="127"/>
        <v>0</v>
      </c>
      <c r="O440">
        <f t="shared" si="127"/>
        <v>13</v>
      </c>
      <c r="P440">
        <f t="shared" si="127"/>
        <v>0</v>
      </c>
      <c r="Q440" s="14">
        <f t="shared" si="120"/>
        <v>780</v>
      </c>
      <c r="R440" s="13">
        <f t="shared" si="121"/>
        <v>0</v>
      </c>
      <c r="S440">
        <f t="shared" si="122"/>
        <v>13</v>
      </c>
      <c r="T440">
        <f t="shared" si="123"/>
        <v>0</v>
      </c>
      <c r="U440" s="14">
        <f t="shared" si="124"/>
        <v>780</v>
      </c>
      <c r="V440" s="15"/>
      <c r="Z440" s="14"/>
    </row>
    <row r="441" spans="1:26" x14ac:dyDescent="0.25">
      <c r="A441" s="16"/>
      <c r="B441" s="17" t="b">
        <f t="shared" si="126"/>
        <v>0</v>
      </c>
      <c r="C441" s="17" t="b">
        <f t="shared" si="125"/>
        <v>0</v>
      </c>
      <c r="D441" s="17">
        <f t="shared" si="116"/>
        <v>1</v>
      </c>
      <c r="E441" s="17" t="str">
        <f t="shared" si="117"/>
        <v>Section 5 - Next steps</v>
      </c>
      <c r="F441" s="18" t="str">
        <f t="shared" si="118"/>
        <v/>
      </c>
      <c r="G441" s="13" t="str">
        <f t="shared" si="110"/>
        <v/>
      </c>
      <c r="H441">
        <f t="shared" si="111"/>
        <v>0</v>
      </c>
      <c r="I441" s="14">
        <f t="shared" si="119"/>
        <v>0</v>
      </c>
      <c r="J441" s="13">
        <f t="shared" si="112"/>
        <v>300</v>
      </c>
      <c r="K441">
        <f t="shared" si="113"/>
        <v>0</v>
      </c>
      <c r="L441">
        <f t="shared" si="114"/>
        <v>5</v>
      </c>
      <c r="M441" s="14">
        <f t="shared" si="115"/>
        <v>0</v>
      </c>
      <c r="N441" s="13">
        <f t="shared" si="127"/>
        <v>0</v>
      </c>
      <c r="O441">
        <f t="shared" si="127"/>
        <v>13</v>
      </c>
      <c r="P441">
        <f t="shared" si="127"/>
        <v>0</v>
      </c>
      <c r="Q441" s="14">
        <f t="shared" si="120"/>
        <v>780</v>
      </c>
      <c r="R441" s="13">
        <f t="shared" si="121"/>
        <v>0</v>
      </c>
      <c r="S441">
        <f t="shared" si="122"/>
        <v>13</v>
      </c>
      <c r="T441">
        <f t="shared" si="123"/>
        <v>0</v>
      </c>
      <c r="U441" s="14">
        <f t="shared" si="124"/>
        <v>780</v>
      </c>
      <c r="V441" s="15"/>
      <c r="Z441" s="14"/>
    </row>
    <row r="442" spans="1:26" x14ac:dyDescent="0.25">
      <c r="A442" s="16"/>
      <c r="B442" s="17" t="b">
        <f t="shared" si="126"/>
        <v>0</v>
      </c>
      <c r="C442" s="17" t="b">
        <f t="shared" si="125"/>
        <v>0</v>
      </c>
      <c r="D442" s="17">
        <f t="shared" si="116"/>
        <v>1</v>
      </c>
      <c r="E442" s="17" t="str">
        <f t="shared" si="117"/>
        <v>Section 5 - Next steps</v>
      </c>
      <c r="F442" s="18" t="str">
        <f t="shared" si="118"/>
        <v/>
      </c>
      <c r="G442" s="13" t="str">
        <f t="shared" si="110"/>
        <v/>
      </c>
      <c r="H442">
        <f t="shared" si="111"/>
        <v>0</v>
      </c>
      <c r="I442" s="14">
        <f t="shared" si="119"/>
        <v>0</v>
      </c>
      <c r="J442" s="13">
        <f t="shared" si="112"/>
        <v>300</v>
      </c>
      <c r="K442">
        <f t="shared" si="113"/>
        <v>0</v>
      </c>
      <c r="L442">
        <f t="shared" si="114"/>
        <v>5</v>
      </c>
      <c r="M442" s="14">
        <f t="shared" si="115"/>
        <v>0</v>
      </c>
      <c r="N442" s="13">
        <f t="shared" si="127"/>
        <v>0</v>
      </c>
      <c r="O442">
        <f t="shared" si="127"/>
        <v>13</v>
      </c>
      <c r="P442">
        <f t="shared" si="127"/>
        <v>0</v>
      </c>
      <c r="Q442" s="14">
        <f t="shared" si="120"/>
        <v>780</v>
      </c>
      <c r="R442" s="13">
        <f t="shared" si="121"/>
        <v>0</v>
      </c>
      <c r="S442">
        <f t="shared" si="122"/>
        <v>13</v>
      </c>
      <c r="T442">
        <f t="shared" si="123"/>
        <v>0</v>
      </c>
      <c r="U442" s="14">
        <f t="shared" si="124"/>
        <v>780</v>
      </c>
      <c r="V442" s="15"/>
      <c r="Z442" s="14"/>
    </row>
    <row r="443" spans="1:26" x14ac:dyDescent="0.25">
      <c r="A443" s="16"/>
      <c r="B443" s="17" t="b">
        <f t="shared" si="126"/>
        <v>0</v>
      </c>
      <c r="C443" s="17" t="b">
        <f t="shared" si="125"/>
        <v>0</v>
      </c>
      <c r="D443" s="17">
        <f t="shared" si="116"/>
        <v>1</v>
      </c>
      <c r="E443" s="17" t="str">
        <f t="shared" si="117"/>
        <v>Section 5 - Next steps</v>
      </c>
      <c r="F443" s="18" t="str">
        <f t="shared" si="118"/>
        <v/>
      </c>
      <c r="G443" s="13" t="str">
        <f t="shared" si="110"/>
        <v/>
      </c>
      <c r="H443">
        <f t="shared" si="111"/>
        <v>0</v>
      </c>
      <c r="I443" s="14">
        <f t="shared" si="119"/>
        <v>0</v>
      </c>
      <c r="J443" s="13">
        <f t="shared" si="112"/>
        <v>300</v>
      </c>
      <c r="K443">
        <f t="shared" si="113"/>
        <v>0</v>
      </c>
      <c r="L443">
        <f t="shared" si="114"/>
        <v>5</v>
      </c>
      <c r="M443" s="14">
        <f t="shared" si="115"/>
        <v>0</v>
      </c>
      <c r="N443" s="13">
        <f t="shared" si="127"/>
        <v>0</v>
      </c>
      <c r="O443">
        <f t="shared" si="127"/>
        <v>13</v>
      </c>
      <c r="P443">
        <f t="shared" si="127"/>
        <v>0</v>
      </c>
      <c r="Q443" s="14">
        <f t="shared" si="120"/>
        <v>780</v>
      </c>
      <c r="R443" s="13">
        <f t="shared" si="121"/>
        <v>0</v>
      </c>
      <c r="S443">
        <f t="shared" si="122"/>
        <v>13</v>
      </c>
      <c r="T443">
        <f t="shared" si="123"/>
        <v>0</v>
      </c>
      <c r="U443" s="14">
        <f t="shared" si="124"/>
        <v>780</v>
      </c>
      <c r="V443" s="15"/>
      <c r="Z443" s="14"/>
    </row>
    <row r="444" spans="1:26" x14ac:dyDescent="0.25">
      <c r="A444" s="16"/>
      <c r="B444" s="17" t="b">
        <f t="shared" si="126"/>
        <v>0</v>
      </c>
      <c r="C444" s="17" t="b">
        <f t="shared" si="125"/>
        <v>0</v>
      </c>
      <c r="D444" s="17">
        <f t="shared" si="116"/>
        <v>1</v>
      </c>
      <c r="E444" s="17" t="str">
        <f t="shared" si="117"/>
        <v>Section 5 - Next steps</v>
      </c>
      <c r="F444" s="18" t="str">
        <f t="shared" si="118"/>
        <v/>
      </c>
      <c r="G444" s="13" t="str">
        <f t="shared" si="110"/>
        <v/>
      </c>
      <c r="H444">
        <f t="shared" si="111"/>
        <v>0</v>
      </c>
      <c r="I444" s="14">
        <f t="shared" si="119"/>
        <v>0</v>
      </c>
      <c r="J444" s="13">
        <f t="shared" si="112"/>
        <v>300</v>
      </c>
      <c r="K444">
        <f t="shared" si="113"/>
        <v>0</v>
      </c>
      <c r="L444">
        <f t="shared" si="114"/>
        <v>5</v>
      </c>
      <c r="M444" s="14">
        <f t="shared" si="115"/>
        <v>0</v>
      </c>
      <c r="N444" s="13">
        <f t="shared" si="127"/>
        <v>0</v>
      </c>
      <c r="O444">
        <f t="shared" si="127"/>
        <v>13</v>
      </c>
      <c r="P444">
        <f t="shared" si="127"/>
        <v>0</v>
      </c>
      <c r="Q444" s="14">
        <f t="shared" si="120"/>
        <v>780</v>
      </c>
      <c r="R444" s="13">
        <f t="shared" si="121"/>
        <v>0</v>
      </c>
      <c r="S444">
        <f t="shared" si="122"/>
        <v>13</v>
      </c>
      <c r="T444">
        <f t="shared" si="123"/>
        <v>0</v>
      </c>
      <c r="U444" s="14">
        <f t="shared" si="124"/>
        <v>780</v>
      </c>
      <c r="V444" s="15"/>
      <c r="Z444" s="14"/>
    </row>
    <row r="445" spans="1:26" x14ac:dyDescent="0.25">
      <c r="A445" s="16"/>
      <c r="B445" s="17" t="b">
        <f t="shared" si="126"/>
        <v>0</v>
      </c>
      <c r="C445" s="17" t="b">
        <f t="shared" si="125"/>
        <v>0</v>
      </c>
      <c r="D445" s="17">
        <f t="shared" si="116"/>
        <v>1</v>
      </c>
      <c r="E445" s="17" t="str">
        <f t="shared" si="117"/>
        <v>Section 5 - Next steps</v>
      </c>
      <c r="F445" s="18" t="str">
        <f t="shared" si="118"/>
        <v/>
      </c>
      <c r="G445" s="13" t="str">
        <f t="shared" si="110"/>
        <v/>
      </c>
      <c r="H445">
        <f t="shared" si="111"/>
        <v>0</v>
      </c>
      <c r="I445" s="14">
        <f t="shared" si="119"/>
        <v>0</v>
      </c>
      <c r="J445" s="13">
        <f t="shared" si="112"/>
        <v>300</v>
      </c>
      <c r="K445">
        <f t="shared" si="113"/>
        <v>0</v>
      </c>
      <c r="L445">
        <f t="shared" si="114"/>
        <v>5</v>
      </c>
      <c r="M445" s="14">
        <f t="shared" si="115"/>
        <v>0</v>
      </c>
      <c r="N445" s="13">
        <f t="shared" si="127"/>
        <v>0</v>
      </c>
      <c r="O445">
        <f t="shared" si="127"/>
        <v>13</v>
      </c>
      <c r="P445">
        <f t="shared" si="127"/>
        <v>0</v>
      </c>
      <c r="Q445" s="14">
        <f t="shared" si="120"/>
        <v>780</v>
      </c>
      <c r="R445" s="13">
        <f t="shared" si="121"/>
        <v>0</v>
      </c>
      <c r="S445">
        <f t="shared" si="122"/>
        <v>13</v>
      </c>
      <c r="T445">
        <f t="shared" si="123"/>
        <v>0</v>
      </c>
      <c r="U445" s="14">
        <f t="shared" si="124"/>
        <v>780</v>
      </c>
      <c r="V445" s="15"/>
      <c r="Z445" s="14"/>
    </row>
    <row r="446" spans="1:26" x14ac:dyDescent="0.25">
      <c r="A446" s="16"/>
      <c r="B446" s="17" t="b">
        <f t="shared" si="126"/>
        <v>0</v>
      </c>
      <c r="C446" s="17" t="b">
        <f t="shared" si="125"/>
        <v>0</v>
      </c>
      <c r="D446" s="17">
        <f t="shared" si="116"/>
        <v>1</v>
      </c>
      <c r="E446" s="17" t="str">
        <f t="shared" si="117"/>
        <v>Section 5 - Next steps</v>
      </c>
      <c r="F446" s="18" t="str">
        <f t="shared" si="118"/>
        <v/>
      </c>
      <c r="G446" s="13" t="str">
        <f t="shared" si="110"/>
        <v/>
      </c>
      <c r="H446">
        <f t="shared" si="111"/>
        <v>0</v>
      </c>
      <c r="I446" s="14">
        <f t="shared" si="119"/>
        <v>0</v>
      </c>
      <c r="J446" s="13">
        <f t="shared" si="112"/>
        <v>300</v>
      </c>
      <c r="K446">
        <f t="shared" si="113"/>
        <v>0</v>
      </c>
      <c r="L446">
        <f t="shared" si="114"/>
        <v>5</v>
      </c>
      <c r="M446" s="14">
        <f t="shared" si="115"/>
        <v>0</v>
      </c>
      <c r="N446" s="13">
        <f t="shared" si="127"/>
        <v>0</v>
      </c>
      <c r="O446">
        <f t="shared" si="127"/>
        <v>13</v>
      </c>
      <c r="P446">
        <f t="shared" si="127"/>
        <v>0</v>
      </c>
      <c r="Q446" s="14">
        <f t="shared" si="120"/>
        <v>780</v>
      </c>
      <c r="R446" s="13">
        <f t="shared" si="121"/>
        <v>0</v>
      </c>
      <c r="S446">
        <f t="shared" si="122"/>
        <v>13</v>
      </c>
      <c r="T446">
        <f t="shared" si="123"/>
        <v>0</v>
      </c>
      <c r="U446" s="14">
        <f t="shared" si="124"/>
        <v>780</v>
      </c>
      <c r="V446" s="15"/>
      <c r="Z446" s="14"/>
    </row>
    <row r="447" spans="1:26" x14ac:dyDescent="0.25">
      <c r="A447" s="16"/>
      <c r="B447" s="17" t="b">
        <f t="shared" si="126"/>
        <v>0</v>
      </c>
      <c r="C447" s="17" t="b">
        <f t="shared" si="125"/>
        <v>0</v>
      </c>
      <c r="D447" s="17">
        <f t="shared" si="116"/>
        <v>1</v>
      </c>
      <c r="E447" s="17" t="str">
        <f t="shared" si="117"/>
        <v>Section 5 - Next steps</v>
      </c>
      <c r="F447" s="18" t="str">
        <f t="shared" si="118"/>
        <v/>
      </c>
      <c r="G447" s="13" t="str">
        <f t="shared" si="110"/>
        <v/>
      </c>
      <c r="H447">
        <f t="shared" si="111"/>
        <v>0</v>
      </c>
      <c r="I447" s="14">
        <f t="shared" si="119"/>
        <v>0</v>
      </c>
      <c r="J447" s="13">
        <f t="shared" si="112"/>
        <v>300</v>
      </c>
      <c r="K447">
        <f t="shared" si="113"/>
        <v>0</v>
      </c>
      <c r="L447">
        <f t="shared" si="114"/>
        <v>5</v>
      </c>
      <c r="M447" s="14">
        <f t="shared" si="115"/>
        <v>0</v>
      </c>
      <c r="N447" s="13">
        <f t="shared" si="127"/>
        <v>0</v>
      </c>
      <c r="O447">
        <f t="shared" si="127"/>
        <v>13</v>
      </c>
      <c r="P447">
        <f t="shared" si="127"/>
        <v>0</v>
      </c>
      <c r="Q447" s="14">
        <f t="shared" si="120"/>
        <v>780</v>
      </c>
      <c r="R447" s="13">
        <f t="shared" si="121"/>
        <v>0</v>
      </c>
      <c r="S447">
        <f t="shared" si="122"/>
        <v>13</v>
      </c>
      <c r="T447">
        <f t="shared" si="123"/>
        <v>0</v>
      </c>
      <c r="U447" s="14">
        <f t="shared" si="124"/>
        <v>780</v>
      </c>
      <c r="V447" s="15"/>
      <c r="Z447" s="14"/>
    </row>
    <row r="448" spans="1:26" x14ac:dyDescent="0.25">
      <c r="A448" s="16"/>
      <c r="B448" s="17" t="b">
        <f t="shared" si="126"/>
        <v>0</v>
      </c>
      <c r="C448" s="17" t="b">
        <f t="shared" si="125"/>
        <v>0</v>
      </c>
      <c r="D448" s="17">
        <f t="shared" si="116"/>
        <v>1</v>
      </c>
      <c r="E448" s="17" t="str">
        <f t="shared" si="117"/>
        <v>Section 5 - Next steps</v>
      </c>
      <c r="F448" s="18" t="str">
        <f t="shared" si="118"/>
        <v/>
      </c>
      <c r="G448" s="13" t="str">
        <f t="shared" si="110"/>
        <v/>
      </c>
      <c r="H448">
        <f t="shared" si="111"/>
        <v>0</v>
      </c>
      <c r="I448" s="14">
        <f t="shared" si="119"/>
        <v>0</v>
      </c>
      <c r="J448" s="13">
        <f t="shared" si="112"/>
        <v>300</v>
      </c>
      <c r="K448">
        <f t="shared" si="113"/>
        <v>0</v>
      </c>
      <c r="L448">
        <f t="shared" si="114"/>
        <v>5</v>
      </c>
      <c r="M448" s="14">
        <f t="shared" si="115"/>
        <v>0</v>
      </c>
      <c r="N448" s="13">
        <f t="shared" si="127"/>
        <v>0</v>
      </c>
      <c r="O448">
        <f t="shared" si="127"/>
        <v>13</v>
      </c>
      <c r="P448">
        <f t="shared" si="127"/>
        <v>0</v>
      </c>
      <c r="Q448" s="14">
        <f t="shared" si="120"/>
        <v>780</v>
      </c>
      <c r="R448" s="13">
        <f t="shared" si="121"/>
        <v>0</v>
      </c>
      <c r="S448">
        <f t="shared" si="122"/>
        <v>13</v>
      </c>
      <c r="T448">
        <f t="shared" si="123"/>
        <v>0</v>
      </c>
      <c r="U448" s="14">
        <f t="shared" si="124"/>
        <v>780</v>
      </c>
      <c r="V448" s="15"/>
      <c r="Z448" s="14"/>
    </row>
    <row r="449" spans="1:26" x14ac:dyDescent="0.25">
      <c r="A449" s="16"/>
      <c r="B449" s="17" t="b">
        <f t="shared" si="126"/>
        <v>0</v>
      </c>
      <c r="C449" s="17" t="b">
        <f t="shared" si="125"/>
        <v>0</v>
      </c>
      <c r="D449" s="17">
        <f t="shared" si="116"/>
        <v>1</v>
      </c>
      <c r="E449" s="17" t="str">
        <f t="shared" si="117"/>
        <v>Section 5 - Next steps</v>
      </c>
      <c r="F449" s="18" t="str">
        <f t="shared" si="118"/>
        <v/>
      </c>
      <c r="G449" s="13" t="str">
        <f t="shared" si="110"/>
        <v/>
      </c>
      <c r="H449">
        <f t="shared" si="111"/>
        <v>0</v>
      </c>
      <c r="I449" s="14">
        <f t="shared" si="119"/>
        <v>0</v>
      </c>
      <c r="J449" s="13">
        <f t="shared" si="112"/>
        <v>300</v>
      </c>
      <c r="K449">
        <f t="shared" si="113"/>
        <v>0</v>
      </c>
      <c r="L449">
        <f t="shared" si="114"/>
        <v>5</v>
      </c>
      <c r="M449" s="14">
        <f t="shared" si="115"/>
        <v>0</v>
      </c>
      <c r="N449" s="13">
        <f t="shared" si="127"/>
        <v>0</v>
      </c>
      <c r="O449">
        <f t="shared" si="127"/>
        <v>13</v>
      </c>
      <c r="P449">
        <f t="shared" si="127"/>
        <v>0</v>
      </c>
      <c r="Q449" s="14">
        <f t="shared" si="120"/>
        <v>780</v>
      </c>
      <c r="R449" s="13">
        <f t="shared" si="121"/>
        <v>0</v>
      </c>
      <c r="S449">
        <f t="shared" si="122"/>
        <v>13</v>
      </c>
      <c r="T449">
        <f t="shared" si="123"/>
        <v>0</v>
      </c>
      <c r="U449" s="14">
        <f t="shared" si="124"/>
        <v>780</v>
      </c>
      <c r="V449" s="15"/>
      <c r="Z449" s="14"/>
    </row>
    <row r="450" spans="1:26" x14ac:dyDescent="0.25">
      <c r="A450" s="16"/>
      <c r="B450" s="17" t="b">
        <f t="shared" si="126"/>
        <v>0</v>
      </c>
      <c r="C450" s="17" t="b">
        <f t="shared" si="125"/>
        <v>0</v>
      </c>
      <c r="D450" s="17">
        <f t="shared" si="116"/>
        <v>1</v>
      </c>
      <c r="E450" s="17" t="str">
        <f t="shared" si="117"/>
        <v>Section 5 - Next steps</v>
      </c>
      <c r="F450" s="18" t="str">
        <f t="shared" si="118"/>
        <v/>
      </c>
      <c r="G450" s="13" t="str">
        <f t="shared" si="110"/>
        <v/>
      </c>
      <c r="H450">
        <f t="shared" si="111"/>
        <v>0</v>
      </c>
      <c r="I450" s="14">
        <f t="shared" si="119"/>
        <v>0</v>
      </c>
      <c r="J450" s="13">
        <f t="shared" si="112"/>
        <v>300</v>
      </c>
      <c r="K450">
        <f t="shared" si="113"/>
        <v>0</v>
      </c>
      <c r="L450">
        <f t="shared" si="114"/>
        <v>5</v>
      </c>
      <c r="M450" s="14">
        <f t="shared" si="115"/>
        <v>0</v>
      </c>
      <c r="N450" s="13">
        <f t="shared" si="127"/>
        <v>0</v>
      </c>
      <c r="O450">
        <f t="shared" si="127"/>
        <v>13</v>
      </c>
      <c r="P450">
        <f t="shared" si="127"/>
        <v>0</v>
      </c>
      <c r="Q450" s="14">
        <f t="shared" si="120"/>
        <v>780</v>
      </c>
      <c r="R450" s="13">
        <f t="shared" si="121"/>
        <v>0</v>
      </c>
      <c r="S450">
        <f t="shared" si="122"/>
        <v>13</v>
      </c>
      <c r="T450">
        <f t="shared" si="123"/>
        <v>0</v>
      </c>
      <c r="U450" s="14">
        <f t="shared" si="124"/>
        <v>780</v>
      </c>
      <c r="V450" s="15"/>
      <c r="Z450" s="14"/>
    </row>
    <row r="451" spans="1:26" x14ac:dyDescent="0.25">
      <c r="A451" s="16"/>
      <c r="B451" s="17" t="b">
        <f t="shared" si="126"/>
        <v>0</v>
      </c>
      <c r="C451" s="17" t="b">
        <f t="shared" si="125"/>
        <v>0</v>
      </c>
      <c r="D451" s="17">
        <f t="shared" si="116"/>
        <v>1</v>
      </c>
      <c r="E451" s="17" t="str">
        <f t="shared" si="117"/>
        <v>Section 5 - Next steps</v>
      </c>
      <c r="F451" s="18" t="str">
        <f t="shared" si="118"/>
        <v/>
      </c>
      <c r="G451" s="13" t="str">
        <f t="shared" si="110"/>
        <v/>
      </c>
      <c r="H451">
        <f t="shared" si="111"/>
        <v>0</v>
      </c>
      <c r="I451" s="14">
        <f t="shared" si="119"/>
        <v>0</v>
      </c>
      <c r="J451" s="13">
        <f t="shared" si="112"/>
        <v>300</v>
      </c>
      <c r="K451">
        <f t="shared" si="113"/>
        <v>0</v>
      </c>
      <c r="L451">
        <f t="shared" si="114"/>
        <v>5</v>
      </c>
      <c r="M451" s="14">
        <f t="shared" si="115"/>
        <v>0</v>
      </c>
      <c r="N451" s="13">
        <f t="shared" si="127"/>
        <v>0</v>
      </c>
      <c r="O451">
        <f t="shared" si="127"/>
        <v>13</v>
      </c>
      <c r="P451">
        <f t="shared" si="127"/>
        <v>0</v>
      </c>
      <c r="Q451" s="14">
        <f t="shared" si="120"/>
        <v>780</v>
      </c>
      <c r="R451" s="13">
        <f t="shared" si="121"/>
        <v>0</v>
      </c>
      <c r="S451">
        <f t="shared" si="122"/>
        <v>13</v>
      </c>
      <c r="T451">
        <f t="shared" si="123"/>
        <v>0</v>
      </c>
      <c r="U451" s="14">
        <f t="shared" si="124"/>
        <v>780</v>
      </c>
      <c r="V451" s="15"/>
      <c r="Z451" s="14"/>
    </row>
    <row r="452" spans="1:26" x14ac:dyDescent="0.25">
      <c r="A452" s="16"/>
      <c r="B452" s="17" t="b">
        <f t="shared" si="126"/>
        <v>0</v>
      </c>
      <c r="C452" s="17" t="b">
        <f t="shared" si="125"/>
        <v>0</v>
      </c>
      <c r="D452" s="17">
        <f t="shared" si="116"/>
        <v>1</v>
      </c>
      <c r="E452" s="17" t="str">
        <f t="shared" si="117"/>
        <v>Section 5 - Next steps</v>
      </c>
      <c r="F452" s="18" t="str">
        <f t="shared" si="118"/>
        <v/>
      </c>
      <c r="G452" s="13" t="str">
        <f t="shared" si="110"/>
        <v/>
      </c>
      <c r="H452">
        <f t="shared" si="111"/>
        <v>0</v>
      </c>
      <c r="I452" s="14">
        <f t="shared" si="119"/>
        <v>0</v>
      </c>
      <c r="J452" s="13">
        <f t="shared" si="112"/>
        <v>300</v>
      </c>
      <c r="K452">
        <f t="shared" si="113"/>
        <v>0</v>
      </c>
      <c r="L452">
        <f t="shared" si="114"/>
        <v>5</v>
      </c>
      <c r="M452" s="14">
        <f t="shared" si="115"/>
        <v>0</v>
      </c>
      <c r="N452" s="13">
        <f t="shared" si="127"/>
        <v>0</v>
      </c>
      <c r="O452">
        <f t="shared" si="127"/>
        <v>13</v>
      </c>
      <c r="P452">
        <f t="shared" si="127"/>
        <v>0</v>
      </c>
      <c r="Q452" s="14">
        <f t="shared" si="120"/>
        <v>780</v>
      </c>
      <c r="R452" s="13">
        <f t="shared" si="121"/>
        <v>0</v>
      </c>
      <c r="S452">
        <f t="shared" si="122"/>
        <v>13</v>
      </c>
      <c r="T452">
        <f t="shared" si="123"/>
        <v>0</v>
      </c>
      <c r="U452" s="14">
        <f t="shared" si="124"/>
        <v>780</v>
      </c>
      <c r="V452" s="15"/>
      <c r="Z452" s="14"/>
    </row>
    <row r="453" spans="1:26" x14ac:dyDescent="0.25">
      <c r="A453" s="16"/>
      <c r="B453" s="17" t="b">
        <f t="shared" si="126"/>
        <v>0</v>
      </c>
      <c r="C453" s="17" t="b">
        <f t="shared" si="125"/>
        <v>0</v>
      </c>
      <c r="D453" s="17">
        <f t="shared" si="116"/>
        <v>1</v>
      </c>
      <c r="E453" s="17" t="str">
        <f t="shared" si="117"/>
        <v>Section 5 - Next steps</v>
      </c>
      <c r="F453" s="18" t="str">
        <f t="shared" si="118"/>
        <v/>
      </c>
      <c r="G453" s="13" t="str">
        <f t="shared" si="110"/>
        <v/>
      </c>
      <c r="H453">
        <f t="shared" si="111"/>
        <v>0</v>
      </c>
      <c r="I453" s="14">
        <f t="shared" si="119"/>
        <v>0</v>
      </c>
      <c r="J453" s="13">
        <f t="shared" si="112"/>
        <v>300</v>
      </c>
      <c r="K453">
        <f t="shared" si="113"/>
        <v>0</v>
      </c>
      <c r="L453">
        <f t="shared" si="114"/>
        <v>5</v>
      </c>
      <c r="M453" s="14">
        <f t="shared" si="115"/>
        <v>0</v>
      </c>
      <c r="N453" s="13">
        <f t="shared" si="127"/>
        <v>0</v>
      </c>
      <c r="O453">
        <f t="shared" si="127"/>
        <v>13</v>
      </c>
      <c r="P453">
        <f t="shared" si="127"/>
        <v>0</v>
      </c>
      <c r="Q453" s="14">
        <f t="shared" si="120"/>
        <v>780</v>
      </c>
      <c r="R453" s="13">
        <f t="shared" si="121"/>
        <v>0</v>
      </c>
      <c r="S453">
        <f t="shared" si="122"/>
        <v>13</v>
      </c>
      <c r="T453">
        <f t="shared" si="123"/>
        <v>0</v>
      </c>
      <c r="U453" s="14">
        <f t="shared" si="124"/>
        <v>780</v>
      </c>
      <c r="V453" s="15"/>
      <c r="Z453" s="14"/>
    </row>
    <row r="454" spans="1:26" x14ac:dyDescent="0.25">
      <c r="A454" s="16"/>
      <c r="B454" s="17" t="b">
        <f t="shared" si="126"/>
        <v>0</v>
      </c>
      <c r="C454" s="17" t="b">
        <f t="shared" si="125"/>
        <v>0</v>
      </c>
      <c r="D454" s="17">
        <f t="shared" si="116"/>
        <v>1</v>
      </c>
      <c r="E454" s="17" t="str">
        <f t="shared" si="117"/>
        <v>Section 5 - Next steps</v>
      </c>
      <c r="F454" s="18" t="str">
        <f t="shared" si="118"/>
        <v/>
      </c>
      <c r="G454" s="13" t="str">
        <f t="shared" si="110"/>
        <v/>
      </c>
      <c r="H454">
        <f t="shared" si="111"/>
        <v>0</v>
      </c>
      <c r="I454" s="14">
        <f t="shared" si="119"/>
        <v>0</v>
      </c>
      <c r="J454" s="13">
        <f t="shared" si="112"/>
        <v>300</v>
      </c>
      <c r="K454">
        <f t="shared" si="113"/>
        <v>0</v>
      </c>
      <c r="L454">
        <f t="shared" si="114"/>
        <v>5</v>
      </c>
      <c r="M454" s="14">
        <f t="shared" si="115"/>
        <v>0</v>
      </c>
      <c r="N454" s="13">
        <f t="shared" si="127"/>
        <v>0</v>
      </c>
      <c r="O454">
        <f t="shared" si="127"/>
        <v>13</v>
      </c>
      <c r="P454">
        <f t="shared" si="127"/>
        <v>0</v>
      </c>
      <c r="Q454" s="14">
        <f t="shared" si="120"/>
        <v>780</v>
      </c>
      <c r="R454" s="13">
        <f t="shared" si="121"/>
        <v>0</v>
      </c>
      <c r="S454">
        <f t="shared" si="122"/>
        <v>13</v>
      </c>
      <c r="T454">
        <f t="shared" si="123"/>
        <v>0</v>
      </c>
      <c r="U454" s="14">
        <f t="shared" si="124"/>
        <v>780</v>
      </c>
      <c r="V454" s="15"/>
      <c r="Z454" s="14"/>
    </row>
    <row r="455" spans="1:26" x14ac:dyDescent="0.25">
      <c r="A455" s="16"/>
      <c r="B455" s="17" t="b">
        <f t="shared" si="126"/>
        <v>0</v>
      </c>
      <c r="C455" s="17" t="b">
        <f t="shared" si="125"/>
        <v>0</v>
      </c>
      <c r="D455" s="17">
        <f t="shared" si="116"/>
        <v>1</v>
      </c>
      <c r="E455" s="17" t="str">
        <f t="shared" si="117"/>
        <v>Section 5 - Next steps</v>
      </c>
      <c r="F455" s="18" t="str">
        <f t="shared" si="118"/>
        <v/>
      </c>
      <c r="G455" s="13" t="str">
        <f t="shared" si="110"/>
        <v/>
      </c>
      <c r="H455">
        <f t="shared" si="111"/>
        <v>0</v>
      </c>
      <c r="I455" s="14">
        <f t="shared" si="119"/>
        <v>0</v>
      </c>
      <c r="J455" s="13">
        <f t="shared" si="112"/>
        <v>300</v>
      </c>
      <c r="K455">
        <f t="shared" si="113"/>
        <v>0</v>
      </c>
      <c r="L455">
        <f t="shared" si="114"/>
        <v>5</v>
      </c>
      <c r="M455" s="14">
        <f t="shared" si="115"/>
        <v>0</v>
      </c>
      <c r="N455" s="13">
        <f t="shared" si="127"/>
        <v>0</v>
      </c>
      <c r="O455">
        <f t="shared" si="127"/>
        <v>13</v>
      </c>
      <c r="P455">
        <f t="shared" si="127"/>
        <v>0</v>
      </c>
      <c r="Q455" s="14">
        <f t="shared" si="120"/>
        <v>780</v>
      </c>
      <c r="R455" s="13">
        <f t="shared" si="121"/>
        <v>0</v>
      </c>
      <c r="S455">
        <f t="shared" si="122"/>
        <v>13</v>
      </c>
      <c r="T455">
        <f t="shared" si="123"/>
        <v>0</v>
      </c>
      <c r="U455" s="14">
        <f t="shared" si="124"/>
        <v>780</v>
      </c>
      <c r="V455" s="15"/>
      <c r="Z455" s="14"/>
    </row>
    <row r="456" spans="1:26" x14ac:dyDescent="0.25">
      <c r="A456" s="16"/>
      <c r="B456" s="17" t="b">
        <f t="shared" si="126"/>
        <v>0</v>
      </c>
      <c r="C456" s="17" t="b">
        <f t="shared" si="125"/>
        <v>0</v>
      </c>
      <c r="D456" s="17">
        <f t="shared" si="116"/>
        <v>1</v>
      </c>
      <c r="E456" s="17" t="str">
        <f t="shared" si="117"/>
        <v>Section 5 - Next steps</v>
      </c>
      <c r="F456" s="18" t="str">
        <f t="shared" si="118"/>
        <v/>
      </c>
      <c r="G456" s="13" t="str">
        <f t="shared" si="110"/>
        <v/>
      </c>
      <c r="H456">
        <f t="shared" si="111"/>
        <v>0</v>
      </c>
      <c r="I456" s="14">
        <f t="shared" si="119"/>
        <v>0</v>
      </c>
      <c r="J456" s="13">
        <f t="shared" si="112"/>
        <v>300</v>
      </c>
      <c r="K456">
        <f t="shared" si="113"/>
        <v>0</v>
      </c>
      <c r="L456">
        <f t="shared" si="114"/>
        <v>5</v>
      </c>
      <c r="M456" s="14">
        <f t="shared" si="115"/>
        <v>0</v>
      </c>
      <c r="N456" s="13">
        <f t="shared" si="127"/>
        <v>0</v>
      </c>
      <c r="O456">
        <f t="shared" si="127"/>
        <v>13</v>
      </c>
      <c r="P456">
        <f t="shared" si="127"/>
        <v>0</v>
      </c>
      <c r="Q456" s="14">
        <f t="shared" si="120"/>
        <v>780</v>
      </c>
      <c r="R456" s="13">
        <f t="shared" si="121"/>
        <v>0</v>
      </c>
      <c r="S456">
        <f t="shared" si="122"/>
        <v>13</v>
      </c>
      <c r="T456">
        <f t="shared" si="123"/>
        <v>0</v>
      </c>
      <c r="U456" s="14">
        <f t="shared" si="124"/>
        <v>780</v>
      </c>
      <c r="V456" s="15"/>
      <c r="Z456" s="14"/>
    </row>
    <row r="457" spans="1:26" x14ac:dyDescent="0.25">
      <c r="A457" s="16"/>
      <c r="B457" s="17" t="b">
        <f t="shared" si="126"/>
        <v>0</v>
      </c>
      <c r="C457" s="17" t="b">
        <f t="shared" si="125"/>
        <v>0</v>
      </c>
      <c r="D457" s="17">
        <f t="shared" si="116"/>
        <v>1</v>
      </c>
      <c r="E457" s="17" t="str">
        <f t="shared" si="117"/>
        <v>Section 5 - Next steps</v>
      </c>
      <c r="F457" s="18" t="str">
        <f t="shared" si="118"/>
        <v/>
      </c>
      <c r="G457" s="13" t="str">
        <f t="shared" si="110"/>
        <v/>
      </c>
      <c r="H457">
        <f t="shared" si="111"/>
        <v>0</v>
      </c>
      <c r="I457" s="14">
        <f t="shared" si="119"/>
        <v>0</v>
      </c>
      <c r="J457" s="13">
        <f t="shared" si="112"/>
        <v>300</v>
      </c>
      <c r="K457">
        <f t="shared" si="113"/>
        <v>0</v>
      </c>
      <c r="L457">
        <f t="shared" si="114"/>
        <v>5</v>
      </c>
      <c r="M457" s="14">
        <f t="shared" si="115"/>
        <v>0</v>
      </c>
      <c r="N457" s="13">
        <f t="shared" si="127"/>
        <v>0</v>
      </c>
      <c r="O457">
        <f t="shared" si="127"/>
        <v>13</v>
      </c>
      <c r="P457">
        <f t="shared" si="127"/>
        <v>0</v>
      </c>
      <c r="Q457" s="14">
        <f t="shared" si="120"/>
        <v>780</v>
      </c>
      <c r="R457" s="13">
        <f t="shared" si="121"/>
        <v>0</v>
      </c>
      <c r="S457">
        <f t="shared" si="122"/>
        <v>13</v>
      </c>
      <c r="T457">
        <f t="shared" si="123"/>
        <v>0</v>
      </c>
      <c r="U457" s="14">
        <f t="shared" si="124"/>
        <v>780</v>
      </c>
      <c r="V457" s="15"/>
      <c r="Z457" s="14"/>
    </row>
    <row r="458" spans="1:26" x14ac:dyDescent="0.25">
      <c r="A458" s="16"/>
      <c r="B458" s="17" t="b">
        <f t="shared" si="126"/>
        <v>0</v>
      </c>
      <c r="C458" s="17" t="b">
        <f t="shared" si="125"/>
        <v>0</v>
      </c>
      <c r="D458" s="17">
        <f t="shared" si="116"/>
        <v>1</v>
      </c>
      <c r="E458" s="17" t="str">
        <f t="shared" si="117"/>
        <v>Section 5 - Next steps</v>
      </c>
      <c r="F458" s="18" t="str">
        <f t="shared" si="118"/>
        <v/>
      </c>
      <c r="G458" s="13" t="str">
        <f t="shared" si="110"/>
        <v/>
      </c>
      <c r="H458">
        <f t="shared" si="111"/>
        <v>0</v>
      </c>
      <c r="I458" s="14">
        <f t="shared" si="119"/>
        <v>0</v>
      </c>
      <c r="J458" s="13">
        <f t="shared" si="112"/>
        <v>300</v>
      </c>
      <c r="K458">
        <f t="shared" si="113"/>
        <v>0</v>
      </c>
      <c r="L458">
        <f t="shared" si="114"/>
        <v>5</v>
      </c>
      <c r="M458" s="14">
        <f t="shared" si="115"/>
        <v>0</v>
      </c>
      <c r="N458" s="13">
        <f t="shared" si="127"/>
        <v>0</v>
      </c>
      <c r="O458">
        <f t="shared" si="127"/>
        <v>13</v>
      </c>
      <c r="P458">
        <f t="shared" si="127"/>
        <v>0</v>
      </c>
      <c r="Q458" s="14">
        <f t="shared" si="120"/>
        <v>780</v>
      </c>
      <c r="R458" s="13">
        <f t="shared" si="121"/>
        <v>0</v>
      </c>
      <c r="S458">
        <f t="shared" si="122"/>
        <v>13</v>
      </c>
      <c r="T458">
        <f t="shared" si="123"/>
        <v>0</v>
      </c>
      <c r="U458" s="14">
        <f t="shared" si="124"/>
        <v>780</v>
      </c>
      <c r="V458" s="15"/>
      <c r="Z458" s="14"/>
    </row>
    <row r="459" spans="1:26" x14ac:dyDescent="0.25">
      <c r="A459" s="16"/>
      <c r="B459" s="17" t="b">
        <f t="shared" si="126"/>
        <v>0</v>
      </c>
      <c r="C459" s="17" t="b">
        <f t="shared" si="125"/>
        <v>0</v>
      </c>
      <c r="D459" s="17">
        <f t="shared" si="116"/>
        <v>1</v>
      </c>
      <c r="E459" s="17" t="str">
        <f t="shared" si="117"/>
        <v>Section 5 - Next steps</v>
      </c>
      <c r="F459" s="18" t="str">
        <f t="shared" si="118"/>
        <v/>
      </c>
      <c r="G459" s="13" t="str">
        <f t="shared" ref="G459:G522" si="128">IF(C459,IF(ISERROR(FIND("s",A460)),LEFT(A460,FIND("m",A460)),LEFT(A460,FIND("s",A460))),"")</f>
        <v/>
      </c>
      <c r="H459">
        <f t="shared" ref="H459:H522" si="129">IF(OR(G459="",ISERROR(FIND("m",G459))),0,VALUE(LEFT(G459,FIND("m",G459)-1)))</f>
        <v>0</v>
      </c>
      <c r="I459" s="14">
        <f t="shared" si="119"/>
        <v>0</v>
      </c>
      <c r="J459" s="13">
        <f t="shared" ref="J459:J522" si="130">J458+(H459*60+I459)</f>
        <v>300</v>
      </c>
      <c r="K459">
        <f t="shared" ref="K459:K522" si="131">INT(J459/60/60)</f>
        <v>0</v>
      </c>
      <c r="L459">
        <f t="shared" ref="L459:L522" si="132">INT((J459-(K459*60*60))/60)</f>
        <v>5</v>
      </c>
      <c r="M459" s="14">
        <f t="shared" ref="M459:M522" si="133">J459-(((K459*60)+L459)*60)</f>
        <v>0</v>
      </c>
      <c r="N459" s="13">
        <f t="shared" si="127"/>
        <v>0</v>
      </c>
      <c r="O459">
        <f t="shared" si="127"/>
        <v>13</v>
      </c>
      <c r="P459">
        <f t="shared" si="127"/>
        <v>0</v>
      </c>
      <c r="Q459" s="14">
        <f t="shared" si="120"/>
        <v>780</v>
      </c>
      <c r="R459" s="13">
        <f t="shared" si="121"/>
        <v>0</v>
      </c>
      <c r="S459">
        <f t="shared" si="122"/>
        <v>13</v>
      </c>
      <c r="T459">
        <f t="shared" si="123"/>
        <v>0</v>
      </c>
      <c r="U459" s="14">
        <f t="shared" si="124"/>
        <v>780</v>
      </c>
      <c r="V459" s="15"/>
      <c r="Z459" s="14"/>
    </row>
    <row r="460" spans="1:26" x14ac:dyDescent="0.25">
      <c r="A460" s="16"/>
      <c r="B460" s="17" t="b">
        <f t="shared" si="126"/>
        <v>0</v>
      </c>
      <c r="C460" s="17" t="b">
        <f t="shared" si="125"/>
        <v>0</v>
      </c>
      <c r="D460" s="17">
        <f t="shared" ref="D460:D523" si="134">IF(B460,0,IF(C460,D459+1,D459))</f>
        <v>1</v>
      </c>
      <c r="E460" s="17" t="str">
        <f t="shared" ref="E460:E523" si="135">SUBSTITUTE(IF(B460,A460,E459),":", " -")</f>
        <v>Section 5 - Next steps</v>
      </c>
      <c r="F460" s="18" t="str">
        <f t="shared" ref="F460:F523" si="136">IF(C460,A460,"")</f>
        <v/>
      </c>
      <c r="G460" s="13" t="str">
        <f t="shared" si="128"/>
        <v/>
      </c>
      <c r="H460">
        <f t="shared" si="129"/>
        <v>0</v>
      </c>
      <c r="I460" s="14">
        <f t="shared" ref="I460:I523" si="137">IF(OR(G460="",ISERROR(FIND("s",G460))),0,VALUE(SUBSTITUTE(MID(G460,IF(ISERROR(FIND("m",G460)), 0,FIND("m",G460))+1,LEN(G460)),"s","")))</f>
        <v>0</v>
      </c>
      <c r="J460" s="13">
        <f t="shared" si="130"/>
        <v>300</v>
      </c>
      <c r="K460">
        <f t="shared" si="131"/>
        <v>0</v>
      </c>
      <c r="L460">
        <f t="shared" si="132"/>
        <v>5</v>
      </c>
      <c r="M460" s="14">
        <f t="shared" si="133"/>
        <v>0</v>
      </c>
      <c r="N460" s="13">
        <f t="shared" si="127"/>
        <v>0</v>
      </c>
      <c r="O460">
        <f t="shared" si="127"/>
        <v>13</v>
      </c>
      <c r="P460">
        <f t="shared" si="127"/>
        <v>0</v>
      </c>
      <c r="Q460" s="14">
        <f t="shared" si="120"/>
        <v>780</v>
      </c>
      <c r="R460" s="13">
        <f t="shared" si="121"/>
        <v>0</v>
      </c>
      <c r="S460">
        <f t="shared" si="122"/>
        <v>13</v>
      </c>
      <c r="T460">
        <f t="shared" si="123"/>
        <v>0</v>
      </c>
      <c r="U460" s="14">
        <f t="shared" si="124"/>
        <v>780</v>
      </c>
      <c r="V460" s="15"/>
      <c r="Z460" s="14"/>
    </row>
    <row r="461" spans="1:26" x14ac:dyDescent="0.25">
      <c r="A461" s="16"/>
      <c r="B461" s="17" t="b">
        <f t="shared" si="126"/>
        <v>0</v>
      </c>
      <c r="C461" s="17" t="b">
        <f t="shared" si="125"/>
        <v>0</v>
      </c>
      <c r="D461" s="17">
        <f t="shared" si="134"/>
        <v>1</v>
      </c>
      <c r="E461" s="17" t="str">
        <f t="shared" si="135"/>
        <v>Section 5 - Next steps</v>
      </c>
      <c r="F461" s="18" t="str">
        <f t="shared" si="136"/>
        <v/>
      </c>
      <c r="G461" s="13" t="str">
        <f t="shared" si="128"/>
        <v/>
      </c>
      <c r="H461">
        <f t="shared" si="129"/>
        <v>0</v>
      </c>
      <c r="I461" s="14">
        <f t="shared" si="137"/>
        <v>0</v>
      </c>
      <c r="J461" s="13">
        <f t="shared" si="130"/>
        <v>300</v>
      </c>
      <c r="K461">
        <f t="shared" si="131"/>
        <v>0</v>
      </c>
      <c r="L461">
        <f t="shared" si="132"/>
        <v>5</v>
      </c>
      <c r="M461" s="14">
        <f t="shared" si="133"/>
        <v>0</v>
      </c>
      <c r="N461" s="13">
        <f t="shared" si="127"/>
        <v>0</v>
      </c>
      <c r="O461">
        <f t="shared" si="127"/>
        <v>13</v>
      </c>
      <c r="P461">
        <f t="shared" si="127"/>
        <v>0</v>
      </c>
      <c r="Q461" s="14">
        <f t="shared" si="120"/>
        <v>780</v>
      </c>
      <c r="R461" s="13">
        <f t="shared" si="121"/>
        <v>0</v>
      </c>
      <c r="S461">
        <f t="shared" si="122"/>
        <v>13</v>
      </c>
      <c r="T461">
        <f t="shared" si="123"/>
        <v>0</v>
      </c>
      <c r="U461" s="14">
        <f t="shared" si="124"/>
        <v>780</v>
      </c>
      <c r="V461" s="15"/>
      <c r="Z461" s="14"/>
    </row>
    <row r="462" spans="1:26" x14ac:dyDescent="0.25">
      <c r="A462" s="16"/>
      <c r="B462" s="17" t="b">
        <f t="shared" si="126"/>
        <v>0</v>
      </c>
      <c r="C462" s="17" t="b">
        <f t="shared" si="125"/>
        <v>0</v>
      </c>
      <c r="D462" s="17">
        <f t="shared" si="134"/>
        <v>1</v>
      </c>
      <c r="E462" s="17" t="str">
        <f t="shared" si="135"/>
        <v>Section 5 - Next steps</v>
      </c>
      <c r="F462" s="18" t="str">
        <f t="shared" si="136"/>
        <v/>
      </c>
      <c r="G462" s="13" t="str">
        <f t="shared" si="128"/>
        <v/>
      </c>
      <c r="H462">
        <f t="shared" si="129"/>
        <v>0</v>
      </c>
      <c r="I462" s="14">
        <f t="shared" si="137"/>
        <v>0</v>
      </c>
      <c r="J462" s="13">
        <f t="shared" si="130"/>
        <v>300</v>
      </c>
      <c r="K462">
        <f t="shared" si="131"/>
        <v>0</v>
      </c>
      <c r="L462">
        <f t="shared" si="132"/>
        <v>5</v>
      </c>
      <c r="M462" s="14">
        <f t="shared" si="133"/>
        <v>0</v>
      </c>
      <c r="N462" s="13">
        <f t="shared" si="127"/>
        <v>0</v>
      </c>
      <c r="O462">
        <f t="shared" si="127"/>
        <v>13</v>
      </c>
      <c r="P462">
        <f t="shared" si="127"/>
        <v>0</v>
      </c>
      <c r="Q462" s="14">
        <f t="shared" ref="Q462:Q525" si="138">(((N462*60)+O462)*60)+P462</f>
        <v>780</v>
      </c>
      <c r="R462" s="13">
        <f t="shared" ref="R462:R525" si="139">INT(U462/60/60)</f>
        <v>0</v>
      </c>
      <c r="S462">
        <f t="shared" ref="S462:S525" si="140">INT((U462-(R462*60*60))/60)</f>
        <v>13</v>
      </c>
      <c r="T462">
        <f t="shared" ref="T462:T525" si="141">U462-(((R462*60)+S462)*60)</f>
        <v>0</v>
      </c>
      <c r="U462" s="14">
        <f t="shared" ref="U462:U525" si="142">((H462*60)+I462)+Q462</f>
        <v>780</v>
      </c>
      <c r="V462" s="15"/>
      <c r="Z462" s="14"/>
    </row>
    <row r="463" spans="1:26" x14ac:dyDescent="0.25">
      <c r="A463" s="16"/>
      <c r="B463" s="17" t="b">
        <f t="shared" si="126"/>
        <v>0</v>
      </c>
      <c r="C463" s="17" t="b">
        <f t="shared" si="125"/>
        <v>0</v>
      </c>
      <c r="D463" s="17">
        <f t="shared" si="134"/>
        <v>1</v>
      </c>
      <c r="E463" s="17" t="str">
        <f t="shared" si="135"/>
        <v>Section 5 - Next steps</v>
      </c>
      <c r="F463" s="18" t="str">
        <f t="shared" si="136"/>
        <v/>
      </c>
      <c r="G463" s="13" t="str">
        <f t="shared" si="128"/>
        <v/>
      </c>
      <c r="H463">
        <f t="shared" si="129"/>
        <v>0</v>
      </c>
      <c r="I463" s="14">
        <f t="shared" si="137"/>
        <v>0</v>
      </c>
      <c r="J463" s="13">
        <f t="shared" si="130"/>
        <v>300</v>
      </c>
      <c r="K463">
        <f t="shared" si="131"/>
        <v>0</v>
      </c>
      <c r="L463">
        <f t="shared" si="132"/>
        <v>5</v>
      </c>
      <c r="M463" s="14">
        <f t="shared" si="133"/>
        <v>0</v>
      </c>
      <c r="N463" s="13">
        <f t="shared" si="127"/>
        <v>0</v>
      </c>
      <c r="O463">
        <f t="shared" si="127"/>
        <v>13</v>
      </c>
      <c r="P463">
        <f t="shared" si="127"/>
        <v>0</v>
      </c>
      <c r="Q463" s="14">
        <f t="shared" si="138"/>
        <v>780</v>
      </c>
      <c r="R463" s="13">
        <f t="shared" si="139"/>
        <v>0</v>
      </c>
      <c r="S463">
        <f t="shared" si="140"/>
        <v>13</v>
      </c>
      <c r="T463">
        <f t="shared" si="141"/>
        <v>0</v>
      </c>
      <c r="U463" s="14">
        <f t="shared" si="142"/>
        <v>780</v>
      </c>
      <c r="V463" s="15"/>
      <c r="Z463" s="14"/>
    </row>
    <row r="464" spans="1:26" x14ac:dyDescent="0.25">
      <c r="A464" s="16"/>
      <c r="B464" s="17" t="b">
        <f t="shared" si="126"/>
        <v>0</v>
      </c>
      <c r="C464" s="17" t="b">
        <f t="shared" ref="C464:C527" si="143">OR(AND(NOT(ISERROR(FIND("m",A465))),ISNUMBER(VALUE(LEFT(A465,FIND("m",A465)-1)))),AND(NOT(ISERROR(FIND("s",A465))),ISNUMBER(VALUE(LEFT(A465,FIND("s",A465)-1)))))</f>
        <v>0</v>
      </c>
      <c r="D464" s="17">
        <f t="shared" si="134"/>
        <v>1</v>
      </c>
      <c r="E464" s="17" t="str">
        <f t="shared" si="135"/>
        <v>Section 5 - Next steps</v>
      </c>
      <c r="F464" s="18" t="str">
        <f t="shared" si="136"/>
        <v/>
      </c>
      <c r="G464" s="13" t="str">
        <f t="shared" si="128"/>
        <v/>
      </c>
      <c r="H464">
        <f t="shared" si="129"/>
        <v>0</v>
      </c>
      <c r="I464" s="14">
        <f t="shared" si="137"/>
        <v>0</v>
      </c>
      <c r="J464" s="13">
        <f t="shared" si="130"/>
        <v>300</v>
      </c>
      <c r="K464">
        <f t="shared" si="131"/>
        <v>0</v>
      </c>
      <c r="L464">
        <f t="shared" si="132"/>
        <v>5</v>
      </c>
      <c r="M464" s="14">
        <f t="shared" si="133"/>
        <v>0</v>
      </c>
      <c r="N464" s="13">
        <f t="shared" si="127"/>
        <v>0</v>
      </c>
      <c r="O464">
        <f t="shared" si="127"/>
        <v>13</v>
      </c>
      <c r="P464">
        <f t="shared" si="127"/>
        <v>0</v>
      </c>
      <c r="Q464" s="14">
        <f t="shared" si="138"/>
        <v>780</v>
      </c>
      <c r="R464" s="13">
        <f t="shared" si="139"/>
        <v>0</v>
      </c>
      <c r="S464">
        <f t="shared" si="140"/>
        <v>13</v>
      </c>
      <c r="T464">
        <f t="shared" si="141"/>
        <v>0</v>
      </c>
      <c r="U464" s="14">
        <f t="shared" si="142"/>
        <v>780</v>
      </c>
      <c r="V464" s="15"/>
      <c r="Z464" s="14"/>
    </row>
    <row r="465" spans="1:26" x14ac:dyDescent="0.25">
      <c r="A465" s="16"/>
      <c r="B465" s="17" t="b">
        <f t="shared" si="126"/>
        <v>0</v>
      </c>
      <c r="C465" s="17" t="b">
        <f t="shared" si="143"/>
        <v>0</v>
      </c>
      <c r="D465" s="17">
        <f t="shared" si="134"/>
        <v>1</v>
      </c>
      <c r="E465" s="17" t="str">
        <f t="shared" si="135"/>
        <v>Section 5 - Next steps</v>
      </c>
      <c r="F465" s="18" t="str">
        <f t="shared" si="136"/>
        <v/>
      </c>
      <c r="G465" s="13" t="str">
        <f t="shared" si="128"/>
        <v/>
      </c>
      <c r="H465">
        <f t="shared" si="129"/>
        <v>0</v>
      </c>
      <c r="I465" s="14">
        <f t="shared" si="137"/>
        <v>0</v>
      </c>
      <c r="J465" s="13">
        <f t="shared" si="130"/>
        <v>300</v>
      </c>
      <c r="K465">
        <f t="shared" si="131"/>
        <v>0</v>
      </c>
      <c r="L465">
        <f t="shared" si="132"/>
        <v>5</v>
      </c>
      <c r="M465" s="14">
        <f t="shared" si="133"/>
        <v>0</v>
      </c>
      <c r="N465" s="13">
        <f t="shared" si="127"/>
        <v>0</v>
      </c>
      <c r="O465">
        <f t="shared" si="127"/>
        <v>13</v>
      </c>
      <c r="P465">
        <f t="shared" si="127"/>
        <v>0</v>
      </c>
      <c r="Q465" s="14">
        <f t="shared" si="138"/>
        <v>780</v>
      </c>
      <c r="R465" s="13">
        <f t="shared" si="139"/>
        <v>0</v>
      </c>
      <c r="S465">
        <f t="shared" si="140"/>
        <v>13</v>
      </c>
      <c r="T465">
        <f t="shared" si="141"/>
        <v>0</v>
      </c>
      <c r="U465" s="14">
        <f t="shared" si="142"/>
        <v>780</v>
      </c>
      <c r="V465" s="15"/>
      <c r="Z465" s="14"/>
    </row>
    <row r="466" spans="1:26" x14ac:dyDescent="0.25">
      <c r="A466" s="16"/>
      <c r="B466" s="17" t="b">
        <f t="shared" si="126"/>
        <v>0</v>
      </c>
      <c r="C466" s="17" t="b">
        <f t="shared" si="143"/>
        <v>0</v>
      </c>
      <c r="D466" s="17">
        <f t="shared" si="134"/>
        <v>1</v>
      </c>
      <c r="E466" s="17" t="str">
        <f t="shared" si="135"/>
        <v>Section 5 - Next steps</v>
      </c>
      <c r="F466" s="18" t="str">
        <f t="shared" si="136"/>
        <v/>
      </c>
      <c r="G466" s="13" t="str">
        <f t="shared" si="128"/>
        <v/>
      </c>
      <c r="H466">
        <f t="shared" si="129"/>
        <v>0</v>
      </c>
      <c r="I466" s="14">
        <f t="shared" si="137"/>
        <v>0</v>
      </c>
      <c r="J466" s="13">
        <f t="shared" si="130"/>
        <v>300</v>
      </c>
      <c r="K466">
        <f t="shared" si="131"/>
        <v>0</v>
      </c>
      <c r="L466">
        <f t="shared" si="132"/>
        <v>5</v>
      </c>
      <c r="M466" s="14">
        <f t="shared" si="133"/>
        <v>0</v>
      </c>
      <c r="N466" s="13">
        <f t="shared" si="127"/>
        <v>0</v>
      </c>
      <c r="O466">
        <f t="shared" si="127"/>
        <v>13</v>
      </c>
      <c r="P466">
        <f t="shared" si="127"/>
        <v>0</v>
      </c>
      <c r="Q466" s="14">
        <f t="shared" si="138"/>
        <v>780</v>
      </c>
      <c r="R466" s="13">
        <f t="shared" si="139"/>
        <v>0</v>
      </c>
      <c r="S466">
        <f t="shared" si="140"/>
        <v>13</v>
      </c>
      <c r="T466">
        <f t="shared" si="141"/>
        <v>0</v>
      </c>
      <c r="U466" s="14">
        <f t="shared" si="142"/>
        <v>780</v>
      </c>
      <c r="V466" s="15"/>
      <c r="Z466" s="14"/>
    </row>
    <row r="467" spans="1:26" x14ac:dyDescent="0.25">
      <c r="A467" s="16"/>
      <c r="B467" s="17" t="b">
        <f t="shared" ref="B467:B530" si="144">AND(NOT(ISERROR(FIND("Section ",A467))),NOT(ISERROR(FIND("Section ",A467))))</f>
        <v>0</v>
      </c>
      <c r="C467" s="17" t="b">
        <f t="shared" si="143"/>
        <v>0</v>
      </c>
      <c r="D467" s="17">
        <f t="shared" si="134"/>
        <v>1</v>
      </c>
      <c r="E467" s="17" t="str">
        <f t="shared" si="135"/>
        <v>Section 5 - Next steps</v>
      </c>
      <c r="F467" s="18" t="str">
        <f t="shared" si="136"/>
        <v/>
      </c>
      <c r="G467" s="13" t="str">
        <f t="shared" si="128"/>
        <v/>
      </c>
      <c r="H467">
        <f t="shared" si="129"/>
        <v>0</v>
      </c>
      <c r="I467" s="14">
        <f t="shared" si="137"/>
        <v>0</v>
      </c>
      <c r="J467" s="13">
        <f t="shared" si="130"/>
        <v>300</v>
      </c>
      <c r="K467">
        <f t="shared" si="131"/>
        <v>0</v>
      </c>
      <c r="L467">
        <f t="shared" si="132"/>
        <v>5</v>
      </c>
      <c r="M467" s="14">
        <f t="shared" si="133"/>
        <v>0</v>
      </c>
      <c r="N467" s="13">
        <f t="shared" si="127"/>
        <v>0</v>
      </c>
      <c r="O467">
        <f t="shared" si="127"/>
        <v>13</v>
      </c>
      <c r="P467">
        <f t="shared" si="127"/>
        <v>0</v>
      </c>
      <c r="Q467" s="14">
        <f t="shared" si="138"/>
        <v>780</v>
      </c>
      <c r="R467" s="13">
        <f t="shared" si="139"/>
        <v>0</v>
      </c>
      <c r="S467">
        <f t="shared" si="140"/>
        <v>13</v>
      </c>
      <c r="T467">
        <f t="shared" si="141"/>
        <v>0</v>
      </c>
      <c r="U467" s="14">
        <f t="shared" si="142"/>
        <v>780</v>
      </c>
      <c r="V467" s="15"/>
      <c r="Z467" s="14"/>
    </row>
    <row r="468" spans="1:26" x14ac:dyDescent="0.25">
      <c r="A468" s="16"/>
      <c r="B468" s="17" t="b">
        <f t="shared" si="144"/>
        <v>0</v>
      </c>
      <c r="C468" s="17" t="b">
        <f t="shared" si="143"/>
        <v>0</v>
      </c>
      <c r="D468" s="17">
        <f t="shared" si="134"/>
        <v>1</v>
      </c>
      <c r="E468" s="17" t="str">
        <f t="shared" si="135"/>
        <v>Section 5 - Next steps</v>
      </c>
      <c r="F468" s="18" t="str">
        <f t="shared" si="136"/>
        <v/>
      </c>
      <c r="G468" s="13" t="str">
        <f t="shared" si="128"/>
        <v/>
      </c>
      <c r="H468">
        <f t="shared" si="129"/>
        <v>0</v>
      </c>
      <c r="I468" s="14">
        <f t="shared" si="137"/>
        <v>0</v>
      </c>
      <c r="J468" s="13">
        <f t="shared" si="130"/>
        <v>300</v>
      </c>
      <c r="K468">
        <f t="shared" si="131"/>
        <v>0</v>
      </c>
      <c r="L468">
        <f t="shared" si="132"/>
        <v>5</v>
      </c>
      <c r="M468" s="14">
        <f t="shared" si="133"/>
        <v>0</v>
      </c>
      <c r="N468" s="13">
        <f t="shared" si="127"/>
        <v>0</v>
      </c>
      <c r="O468">
        <f t="shared" si="127"/>
        <v>13</v>
      </c>
      <c r="P468">
        <f t="shared" si="127"/>
        <v>0</v>
      </c>
      <c r="Q468" s="14">
        <f t="shared" si="138"/>
        <v>780</v>
      </c>
      <c r="R468" s="13">
        <f t="shared" si="139"/>
        <v>0</v>
      </c>
      <c r="S468">
        <f t="shared" si="140"/>
        <v>13</v>
      </c>
      <c r="T468">
        <f t="shared" si="141"/>
        <v>0</v>
      </c>
      <c r="U468" s="14">
        <f t="shared" si="142"/>
        <v>780</v>
      </c>
      <c r="V468" s="15"/>
      <c r="Z468" s="14"/>
    </row>
    <row r="469" spans="1:26" x14ac:dyDescent="0.25">
      <c r="A469" s="16"/>
      <c r="B469" s="17" t="b">
        <f t="shared" si="144"/>
        <v>0</v>
      </c>
      <c r="C469" s="17" t="b">
        <f t="shared" si="143"/>
        <v>0</v>
      </c>
      <c r="D469" s="17">
        <f t="shared" si="134"/>
        <v>1</v>
      </c>
      <c r="E469" s="17" t="str">
        <f t="shared" si="135"/>
        <v>Section 5 - Next steps</v>
      </c>
      <c r="F469" s="18" t="str">
        <f t="shared" si="136"/>
        <v/>
      </c>
      <c r="G469" s="13" t="str">
        <f t="shared" si="128"/>
        <v/>
      </c>
      <c r="H469">
        <f t="shared" si="129"/>
        <v>0</v>
      </c>
      <c r="I469" s="14">
        <f t="shared" si="137"/>
        <v>0</v>
      </c>
      <c r="J469" s="13">
        <f t="shared" si="130"/>
        <v>300</v>
      </c>
      <c r="K469">
        <f t="shared" si="131"/>
        <v>0</v>
      </c>
      <c r="L469">
        <f t="shared" si="132"/>
        <v>5</v>
      </c>
      <c r="M469" s="14">
        <f t="shared" si="133"/>
        <v>0</v>
      </c>
      <c r="N469" s="13">
        <f t="shared" si="127"/>
        <v>0</v>
      </c>
      <c r="O469">
        <f t="shared" si="127"/>
        <v>13</v>
      </c>
      <c r="P469">
        <f t="shared" si="127"/>
        <v>0</v>
      </c>
      <c r="Q469" s="14">
        <f t="shared" si="138"/>
        <v>780</v>
      </c>
      <c r="R469" s="13">
        <f t="shared" si="139"/>
        <v>0</v>
      </c>
      <c r="S469">
        <f t="shared" si="140"/>
        <v>13</v>
      </c>
      <c r="T469">
        <f t="shared" si="141"/>
        <v>0</v>
      </c>
      <c r="U469" s="14">
        <f t="shared" si="142"/>
        <v>780</v>
      </c>
      <c r="V469" s="15"/>
      <c r="Z469" s="14"/>
    </row>
    <row r="470" spans="1:26" x14ac:dyDescent="0.25">
      <c r="A470" s="16"/>
      <c r="B470" s="17" t="b">
        <f t="shared" si="144"/>
        <v>0</v>
      </c>
      <c r="C470" s="17" t="b">
        <f t="shared" si="143"/>
        <v>0</v>
      </c>
      <c r="D470" s="17">
        <f t="shared" si="134"/>
        <v>1</v>
      </c>
      <c r="E470" s="17" t="str">
        <f t="shared" si="135"/>
        <v>Section 5 - Next steps</v>
      </c>
      <c r="F470" s="18" t="str">
        <f t="shared" si="136"/>
        <v/>
      </c>
      <c r="G470" s="13" t="str">
        <f t="shared" si="128"/>
        <v/>
      </c>
      <c r="H470">
        <f t="shared" si="129"/>
        <v>0</v>
      </c>
      <c r="I470" s="14">
        <f t="shared" si="137"/>
        <v>0</v>
      </c>
      <c r="J470" s="13">
        <f t="shared" si="130"/>
        <v>300</v>
      </c>
      <c r="K470">
        <f t="shared" si="131"/>
        <v>0</v>
      </c>
      <c r="L470">
        <f t="shared" si="132"/>
        <v>5</v>
      </c>
      <c r="M470" s="14">
        <f t="shared" si="133"/>
        <v>0</v>
      </c>
      <c r="N470" s="13">
        <f t="shared" si="127"/>
        <v>0</v>
      </c>
      <c r="O470">
        <f t="shared" si="127"/>
        <v>13</v>
      </c>
      <c r="P470">
        <f t="shared" si="127"/>
        <v>0</v>
      </c>
      <c r="Q470" s="14">
        <f t="shared" si="138"/>
        <v>780</v>
      </c>
      <c r="R470" s="13">
        <f t="shared" si="139"/>
        <v>0</v>
      </c>
      <c r="S470">
        <f t="shared" si="140"/>
        <v>13</v>
      </c>
      <c r="T470">
        <f t="shared" si="141"/>
        <v>0</v>
      </c>
      <c r="U470" s="14">
        <f t="shared" si="142"/>
        <v>780</v>
      </c>
      <c r="V470" s="15"/>
      <c r="Z470" s="14"/>
    </row>
    <row r="471" spans="1:26" x14ac:dyDescent="0.25">
      <c r="A471" s="16"/>
      <c r="B471" s="17" t="b">
        <f t="shared" si="144"/>
        <v>0</v>
      </c>
      <c r="C471" s="17" t="b">
        <f t="shared" si="143"/>
        <v>0</v>
      </c>
      <c r="D471" s="17">
        <f t="shared" si="134"/>
        <v>1</v>
      </c>
      <c r="E471" s="17" t="str">
        <f t="shared" si="135"/>
        <v>Section 5 - Next steps</v>
      </c>
      <c r="F471" s="18" t="str">
        <f t="shared" si="136"/>
        <v/>
      </c>
      <c r="G471" s="13" t="str">
        <f t="shared" si="128"/>
        <v/>
      </c>
      <c r="H471">
        <f t="shared" si="129"/>
        <v>0</v>
      </c>
      <c r="I471" s="14">
        <f t="shared" si="137"/>
        <v>0</v>
      </c>
      <c r="J471" s="13">
        <f t="shared" si="130"/>
        <v>300</v>
      </c>
      <c r="K471">
        <f t="shared" si="131"/>
        <v>0</v>
      </c>
      <c r="L471">
        <f t="shared" si="132"/>
        <v>5</v>
      </c>
      <c r="M471" s="14">
        <f t="shared" si="133"/>
        <v>0</v>
      </c>
      <c r="N471" s="13">
        <f t="shared" si="127"/>
        <v>0</v>
      </c>
      <c r="O471">
        <f t="shared" si="127"/>
        <v>13</v>
      </c>
      <c r="P471">
        <f t="shared" si="127"/>
        <v>0</v>
      </c>
      <c r="Q471" s="14">
        <f t="shared" si="138"/>
        <v>780</v>
      </c>
      <c r="R471" s="13">
        <f t="shared" si="139"/>
        <v>0</v>
      </c>
      <c r="S471">
        <f t="shared" si="140"/>
        <v>13</v>
      </c>
      <c r="T471">
        <f t="shared" si="141"/>
        <v>0</v>
      </c>
      <c r="U471" s="14">
        <f t="shared" si="142"/>
        <v>780</v>
      </c>
      <c r="V471" s="15"/>
      <c r="Z471" s="14"/>
    </row>
    <row r="472" spans="1:26" x14ac:dyDescent="0.25">
      <c r="A472" s="16"/>
      <c r="B472" s="17" t="b">
        <f t="shared" si="144"/>
        <v>0</v>
      </c>
      <c r="C472" s="17" t="b">
        <f t="shared" si="143"/>
        <v>0</v>
      </c>
      <c r="D472" s="17">
        <f t="shared" si="134"/>
        <v>1</v>
      </c>
      <c r="E472" s="17" t="str">
        <f t="shared" si="135"/>
        <v>Section 5 - Next steps</v>
      </c>
      <c r="F472" s="18" t="str">
        <f t="shared" si="136"/>
        <v/>
      </c>
      <c r="G472" s="13" t="str">
        <f t="shared" si="128"/>
        <v/>
      </c>
      <c r="H472">
        <f t="shared" si="129"/>
        <v>0</v>
      </c>
      <c r="I472" s="14">
        <f t="shared" si="137"/>
        <v>0</v>
      </c>
      <c r="J472" s="13">
        <f t="shared" si="130"/>
        <v>300</v>
      </c>
      <c r="K472">
        <f t="shared" si="131"/>
        <v>0</v>
      </c>
      <c r="L472">
        <f t="shared" si="132"/>
        <v>5</v>
      </c>
      <c r="M472" s="14">
        <f t="shared" si="133"/>
        <v>0</v>
      </c>
      <c r="N472" s="13">
        <f t="shared" si="127"/>
        <v>0</v>
      </c>
      <c r="O472">
        <f t="shared" si="127"/>
        <v>13</v>
      </c>
      <c r="P472">
        <f t="shared" si="127"/>
        <v>0</v>
      </c>
      <c r="Q472" s="14">
        <f t="shared" si="138"/>
        <v>780</v>
      </c>
      <c r="R472" s="13">
        <f t="shared" si="139"/>
        <v>0</v>
      </c>
      <c r="S472">
        <f t="shared" si="140"/>
        <v>13</v>
      </c>
      <c r="T472">
        <f t="shared" si="141"/>
        <v>0</v>
      </c>
      <c r="U472" s="14">
        <f t="shared" si="142"/>
        <v>780</v>
      </c>
      <c r="V472" s="15"/>
      <c r="Z472" s="14"/>
    </row>
    <row r="473" spans="1:26" x14ac:dyDescent="0.25">
      <c r="A473" s="16"/>
      <c r="B473" s="17" t="b">
        <f t="shared" si="144"/>
        <v>0</v>
      </c>
      <c r="C473" s="17" t="b">
        <f t="shared" si="143"/>
        <v>0</v>
      </c>
      <c r="D473" s="17">
        <f t="shared" si="134"/>
        <v>1</v>
      </c>
      <c r="E473" s="17" t="str">
        <f t="shared" si="135"/>
        <v>Section 5 - Next steps</v>
      </c>
      <c r="F473" s="18" t="str">
        <f t="shared" si="136"/>
        <v/>
      </c>
      <c r="G473" s="13" t="str">
        <f t="shared" si="128"/>
        <v/>
      </c>
      <c r="H473">
        <f t="shared" si="129"/>
        <v>0</v>
      </c>
      <c r="I473" s="14">
        <f t="shared" si="137"/>
        <v>0</v>
      </c>
      <c r="J473" s="13">
        <f t="shared" si="130"/>
        <v>300</v>
      </c>
      <c r="K473">
        <f t="shared" si="131"/>
        <v>0</v>
      </c>
      <c r="L473">
        <f t="shared" si="132"/>
        <v>5</v>
      </c>
      <c r="M473" s="14">
        <f t="shared" si="133"/>
        <v>0</v>
      </c>
      <c r="N473" s="13">
        <f t="shared" si="127"/>
        <v>0</v>
      </c>
      <c r="O473">
        <f t="shared" si="127"/>
        <v>13</v>
      </c>
      <c r="P473">
        <f t="shared" si="127"/>
        <v>0</v>
      </c>
      <c r="Q473" s="14">
        <f t="shared" si="138"/>
        <v>780</v>
      </c>
      <c r="R473" s="13">
        <f t="shared" si="139"/>
        <v>0</v>
      </c>
      <c r="S473">
        <f t="shared" si="140"/>
        <v>13</v>
      </c>
      <c r="T473">
        <f t="shared" si="141"/>
        <v>0</v>
      </c>
      <c r="U473" s="14">
        <f t="shared" si="142"/>
        <v>780</v>
      </c>
      <c r="V473" s="15"/>
      <c r="Z473" s="14"/>
    </row>
    <row r="474" spans="1:26" x14ac:dyDescent="0.25">
      <c r="A474" s="16"/>
      <c r="B474" s="17" t="b">
        <f t="shared" si="144"/>
        <v>0</v>
      </c>
      <c r="C474" s="17" t="b">
        <f t="shared" si="143"/>
        <v>0</v>
      </c>
      <c r="D474" s="17">
        <f t="shared" si="134"/>
        <v>1</v>
      </c>
      <c r="E474" s="17" t="str">
        <f t="shared" si="135"/>
        <v>Section 5 - Next steps</v>
      </c>
      <c r="F474" s="18" t="str">
        <f t="shared" si="136"/>
        <v/>
      </c>
      <c r="G474" s="13" t="str">
        <f t="shared" si="128"/>
        <v/>
      </c>
      <c r="H474">
        <f t="shared" si="129"/>
        <v>0</v>
      </c>
      <c r="I474" s="14">
        <f t="shared" si="137"/>
        <v>0</v>
      </c>
      <c r="J474" s="13">
        <f t="shared" si="130"/>
        <v>300</v>
      </c>
      <c r="K474">
        <f t="shared" si="131"/>
        <v>0</v>
      </c>
      <c r="L474">
        <f t="shared" si="132"/>
        <v>5</v>
      </c>
      <c r="M474" s="14">
        <f t="shared" si="133"/>
        <v>0</v>
      </c>
      <c r="N474" s="13">
        <f t="shared" si="127"/>
        <v>0</v>
      </c>
      <c r="O474">
        <f t="shared" si="127"/>
        <v>13</v>
      </c>
      <c r="P474">
        <f t="shared" si="127"/>
        <v>0</v>
      </c>
      <c r="Q474" s="14">
        <f t="shared" si="138"/>
        <v>780</v>
      </c>
      <c r="R474" s="13">
        <f t="shared" si="139"/>
        <v>0</v>
      </c>
      <c r="S474">
        <f t="shared" si="140"/>
        <v>13</v>
      </c>
      <c r="T474">
        <f t="shared" si="141"/>
        <v>0</v>
      </c>
      <c r="U474" s="14">
        <f t="shared" si="142"/>
        <v>780</v>
      </c>
      <c r="V474" s="15"/>
      <c r="Z474" s="14"/>
    </row>
    <row r="475" spans="1:26" x14ac:dyDescent="0.25">
      <c r="A475" s="16"/>
      <c r="B475" s="17" t="b">
        <f t="shared" si="144"/>
        <v>0</v>
      </c>
      <c r="C475" s="17" t="b">
        <f t="shared" si="143"/>
        <v>0</v>
      </c>
      <c r="D475" s="17">
        <f t="shared" si="134"/>
        <v>1</v>
      </c>
      <c r="E475" s="17" t="str">
        <f t="shared" si="135"/>
        <v>Section 5 - Next steps</v>
      </c>
      <c r="F475" s="18" t="str">
        <f t="shared" si="136"/>
        <v/>
      </c>
      <c r="G475" s="13" t="str">
        <f t="shared" si="128"/>
        <v/>
      </c>
      <c r="H475">
        <f t="shared" si="129"/>
        <v>0</v>
      </c>
      <c r="I475" s="14">
        <f t="shared" si="137"/>
        <v>0</v>
      </c>
      <c r="J475" s="13">
        <f t="shared" si="130"/>
        <v>300</v>
      </c>
      <c r="K475">
        <f t="shared" si="131"/>
        <v>0</v>
      </c>
      <c r="L475">
        <f t="shared" si="132"/>
        <v>5</v>
      </c>
      <c r="M475" s="14">
        <f t="shared" si="133"/>
        <v>0</v>
      </c>
      <c r="N475" s="13">
        <f t="shared" si="127"/>
        <v>0</v>
      </c>
      <c r="O475">
        <f t="shared" si="127"/>
        <v>13</v>
      </c>
      <c r="P475">
        <f t="shared" si="127"/>
        <v>0</v>
      </c>
      <c r="Q475" s="14">
        <f t="shared" si="138"/>
        <v>780</v>
      </c>
      <c r="R475" s="13">
        <f t="shared" si="139"/>
        <v>0</v>
      </c>
      <c r="S475">
        <f t="shared" si="140"/>
        <v>13</v>
      </c>
      <c r="T475">
        <f t="shared" si="141"/>
        <v>0</v>
      </c>
      <c r="U475" s="14">
        <f t="shared" si="142"/>
        <v>780</v>
      </c>
      <c r="V475" s="15"/>
      <c r="Z475" s="14"/>
    </row>
    <row r="476" spans="1:26" x14ac:dyDescent="0.25">
      <c r="A476" s="16"/>
      <c r="B476" s="17" t="b">
        <f t="shared" si="144"/>
        <v>0</v>
      </c>
      <c r="C476" s="17" t="b">
        <f t="shared" si="143"/>
        <v>0</v>
      </c>
      <c r="D476" s="17">
        <f t="shared" si="134"/>
        <v>1</v>
      </c>
      <c r="E476" s="17" t="str">
        <f t="shared" si="135"/>
        <v>Section 5 - Next steps</v>
      </c>
      <c r="F476" s="18" t="str">
        <f t="shared" si="136"/>
        <v/>
      </c>
      <c r="G476" s="13" t="str">
        <f t="shared" si="128"/>
        <v/>
      </c>
      <c r="H476">
        <f t="shared" si="129"/>
        <v>0</v>
      </c>
      <c r="I476" s="14">
        <f t="shared" si="137"/>
        <v>0</v>
      </c>
      <c r="J476" s="13">
        <f t="shared" si="130"/>
        <v>300</v>
      </c>
      <c r="K476">
        <f t="shared" si="131"/>
        <v>0</v>
      </c>
      <c r="L476">
        <f t="shared" si="132"/>
        <v>5</v>
      </c>
      <c r="M476" s="14">
        <f t="shared" si="133"/>
        <v>0</v>
      </c>
      <c r="N476" s="13">
        <f t="shared" ref="N476:P539" si="145">R475</f>
        <v>0</v>
      </c>
      <c r="O476">
        <f t="shared" si="145"/>
        <v>13</v>
      </c>
      <c r="P476">
        <f t="shared" si="145"/>
        <v>0</v>
      </c>
      <c r="Q476" s="14">
        <f t="shared" si="138"/>
        <v>780</v>
      </c>
      <c r="R476" s="13">
        <f t="shared" si="139"/>
        <v>0</v>
      </c>
      <c r="S476">
        <f t="shared" si="140"/>
        <v>13</v>
      </c>
      <c r="T476">
        <f t="shared" si="141"/>
        <v>0</v>
      </c>
      <c r="U476" s="14">
        <f t="shared" si="142"/>
        <v>780</v>
      </c>
      <c r="V476" s="15"/>
      <c r="Z476" s="14"/>
    </row>
    <row r="477" spans="1:26" x14ac:dyDescent="0.25">
      <c r="A477" s="16"/>
      <c r="B477" s="17" t="b">
        <f t="shared" si="144"/>
        <v>0</v>
      </c>
      <c r="C477" s="17" t="b">
        <f t="shared" si="143"/>
        <v>0</v>
      </c>
      <c r="D477" s="17">
        <f t="shared" si="134"/>
        <v>1</v>
      </c>
      <c r="E477" s="17" t="str">
        <f t="shared" si="135"/>
        <v>Section 5 - Next steps</v>
      </c>
      <c r="F477" s="18" t="str">
        <f t="shared" si="136"/>
        <v/>
      </c>
      <c r="G477" s="13" t="str">
        <f t="shared" si="128"/>
        <v/>
      </c>
      <c r="H477">
        <f t="shared" si="129"/>
        <v>0</v>
      </c>
      <c r="I477" s="14">
        <f t="shared" si="137"/>
        <v>0</v>
      </c>
      <c r="J477" s="13">
        <f t="shared" si="130"/>
        <v>300</v>
      </c>
      <c r="K477">
        <f t="shared" si="131"/>
        <v>0</v>
      </c>
      <c r="L477">
        <f t="shared" si="132"/>
        <v>5</v>
      </c>
      <c r="M477" s="14">
        <f t="shared" si="133"/>
        <v>0</v>
      </c>
      <c r="N477" s="13">
        <f t="shared" si="145"/>
        <v>0</v>
      </c>
      <c r="O477">
        <f t="shared" si="145"/>
        <v>13</v>
      </c>
      <c r="P477">
        <f t="shared" si="145"/>
        <v>0</v>
      </c>
      <c r="Q477" s="14">
        <f t="shared" si="138"/>
        <v>780</v>
      </c>
      <c r="R477" s="13">
        <f t="shared" si="139"/>
        <v>0</v>
      </c>
      <c r="S477">
        <f t="shared" si="140"/>
        <v>13</v>
      </c>
      <c r="T477">
        <f t="shared" si="141"/>
        <v>0</v>
      </c>
      <c r="U477" s="14">
        <f t="shared" si="142"/>
        <v>780</v>
      </c>
      <c r="V477" s="15"/>
      <c r="Z477" s="14"/>
    </row>
    <row r="478" spans="1:26" x14ac:dyDescent="0.25">
      <c r="A478" s="16"/>
      <c r="B478" s="17" t="b">
        <f t="shared" si="144"/>
        <v>0</v>
      </c>
      <c r="C478" s="17" t="b">
        <f t="shared" si="143"/>
        <v>0</v>
      </c>
      <c r="D478" s="17">
        <f t="shared" si="134"/>
        <v>1</v>
      </c>
      <c r="E478" s="17" t="str">
        <f t="shared" si="135"/>
        <v>Section 5 - Next steps</v>
      </c>
      <c r="F478" s="18" t="str">
        <f t="shared" si="136"/>
        <v/>
      </c>
      <c r="G478" s="13" t="str">
        <f t="shared" si="128"/>
        <v/>
      </c>
      <c r="H478">
        <f t="shared" si="129"/>
        <v>0</v>
      </c>
      <c r="I478" s="14">
        <f t="shared" si="137"/>
        <v>0</v>
      </c>
      <c r="J478" s="13">
        <f t="shared" si="130"/>
        <v>300</v>
      </c>
      <c r="K478">
        <f t="shared" si="131"/>
        <v>0</v>
      </c>
      <c r="L478">
        <f t="shared" si="132"/>
        <v>5</v>
      </c>
      <c r="M478" s="14">
        <f t="shared" si="133"/>
        <v>0</v>
      </c>
      <c r="N478" s="13">
        <f t="shared" si="145"/>
        <v>0</v>
      </c>
      <c r="O478">
        <f t="shared" si="145"/>
        <v>13</v>
      </c>
      <c r="P478">
        <f t="shared" si="145"/>
        <v>0</v>
      </c>
      <c r="Q478" s="14">
        <f t="shared" si="138"/>
        <v>780</v>
      </c>
      <c r="R478" s="13">
        <f t="shared" si="139"/>
        <v>0</v>
      </c>
      <c r="S478">
        <f t="shared" si="140"/>
        <v>13</v>
      </c>
      <c r="T478">
        <f t="shared" si="141"/>
        <v>0</v>
      </c>
      <c r="U478" s="14">
        <f t="shared" si="142"/>
        <v>780</v>
      </c>
      <c r="V478" s="15"/>
      <c r="Z478" s="14"/>
    </row>
    <row r="479" spans="1:26" x14ac:dyDescent="0.25">
      <c r="A479" s="16"/>
      <c r="B479" s="17" t="b">
        <f t="shared" si="144"/>
        <v>0</v>
      </c>
      <c r="C479" s="17" t="b">
        <f t="shared" si="143"/>
        <v>0</v>
      </c>
      <c r="D479" s="17">
        <f t="shared" si="134"/>
        <v>1</v>
      </c>
      <c r="E479" s="17" t="str">
        <f t="shared" si="135"/>
        <v>Section 5 - Next steps</v>
      </c>
      <c r="F479" s="18" t="str">
        <f t="shared" si="136"/>
        <v/>
      </c>
      <c r="G479" s="13" t="str">
        <f t="shared" si="128"/>
        <v/>
      </c>
      <c r="H479">
        <f t="shared" si="129"/>
        <v>0</v>
      </c>
      <c r="I479" s="14">
        <f t="shared" si="137"/>
        <v>0</v>
      </c>
      <c r="J479" s="13">
        <f t="shared" si="130"/>
        <v>300</v>
      </c>
      <c r="K479">
        <f t="shared" si="131"/>
        <v>0</v>
      </c>
      <c r="L479">
        <f t="shared" si="132"/>
        <v>5</v>
      </c>
      <c r="M479" s="14">
        <f t="shared" si="133"/>
        <v>0</v>
      </c>
      <c r="N479" s="13">
        <f t="shared" si="145"/>
        <v>0</v>
      </c>
      <c r="O479">
        <f t="shared" si="145"/>
        <v>13</v>
      </c>
      <c r="P479">
        <f t="shared" si="145"/>
        <v>0</v>
      </c>
      <c r="Q479" s="14">
        <f t="shared" si="138"/>
        <v>780</v>
      </c>
      <c r="R479" s="13">
        <f t="shared" si="139"/>
        <v>0</v>
      </c>
      <c r="S479">
        <f t="shared" si="140"/>
        <v>13</v>
      </c>
      <c r="T479">
        <f t="shared" si="141"/>
        <v>0</v>
      </c>
      <c r="U479" s="14">
        <f t="shared" si="142"/>
        <v>780</v>
      </c>
      <c r="V479" s="15"/>
      <c r="Z479" s="14"/>
    </row>
    <row r="480" spans="1:26" x14ac:dyDescent="0.25">
      <c r="A480" s="16"/>
      <c r="B480" s="17" t="b">
        <f t="shared" si="144"/>
        <v>0</v>
      </c>
      <c r="C480" s="17" t="b">
        <f t="shared" si="143"/>
        <v>0</v>
      </c>
      <c r="D480" s="17">
        <f t="shared" si="134"/>
        <v>1</v>
      </c>
      <c r="E480" s="17" t="str">
        <f t="shared" si="135"/>
        <v>Section 5 - Next steps</v>
      </c>
      <c r="F480" s="18" t="str">
        <f t="shared" si="136"/>
        <v/>
      </c>
      <c r="G480" s="13" t="str">
        <f t="shared" si="128"/>
        <v/>
      </c>
      <c r="H480">
        <f t="shared" si="129"/>
        <v>0</v>
      </c>
      <c r="I480" s="14">
        <f t="shared" si="137"/>
        <v>0</v>
      </c>
      <c r="J480" s="13">
        <f t="shared" si="130"/>
        <v>300</v>
      </c>
      <c r="K480">
        <f t="shared" si="131"/>
        <v>0</v>
      </c>
      <c r="L480">
        <f t="shared" si="132"/>
        <v>5</v>
      </c>
      <c r="M480" s="14">
        <f t="shared" si="133"/>
        <v>0</v>
      </c>
      <c r="N480" s="13">
        <f t="shared" si="145"/>
        <v>0</v>
      </c>
      <c r="O480">
        <f t="shared" si="145"/>
        <v>13</v>
      </c>
      <c r="P480">
        <f t="shared" si="145"/>
        <v>0</v>
      </c>
      <c r="Q480" s="14">
        <f t="shared" si="138"/>
        <v>780</v>
      </c>
      <c r="R480" s="13">
        <f t="shared" si="139"/>
        <v>0</v>
      </c>
      <c r="S480">
        <f t="shared" si="140"/>
        <v>13</v>
      </c>
      <c r="T480">
        <f t="shared" si="141"/>
        <v>0</v>
      </c>
      <c r="U480" s="14">
        <f t="shared" si="142"/>
        <v>780</v>
      </c>
      <c r="V480" s="15"/>
      <c r="Z480" s="14"/>
    </row>
    <row r="481" spans="1:26" x14ac:dyDescent="0.25">
      <c r="A481" s="16"/>
      <c r="B481" s="17" t="b">
        <f t="shared" si="144"/>
        <v>0</v>
      </c>
      <c r="C481" s="17" t="b">
        <f t="shared" si="143"/>
        <v>0</v>
      </c>
      <c r="D481" s="17">
        <f t="shared" si="134"/>
        <v>1</v>
      </c>
      <c r="E481" s="17" t="str">
        <f t="shared" si="135"/>
        <v>Section 5 - Next steps</v>
      </c>
      <c r="F481" s="18" t="str">
        <f t="shared" si="136"/>
        <v/>
      </c>
      <c r="G481" s="13" t="str">
        <f t="shared" si="128"/>
        <v/>
      </c>
      <c r="H481">
        <f t="shared" si="129"/>
        <v>0</v>
      </c>
      <c r="I481" s="14">
        <f t="shared" si="137"/>
        <v>0</v>
      </c>
      <c r="J481" s="13">
        <f t="shared" si="130"/>
        <v>300</v>
      </c>
      <c r="K481">
        <f t="shared" si="131"/>
        <v>0</v>
      </c>
      <c r="L481">
        <f t="shared" si="132"/>
        <v>5</v>
      </c>
      <c r="M481" s="14">
        <f t="shared" si="133"/>
        <v>0</v>
      </c>
      <c r="N481" s="13">
        <f t="shared" si="145"/>
        <v>0</v>
      </c>
      <c r="O481">
        <f t="shared" si="145"/>
        <v>13</v>
      </c>
      <c r="P481">
        <f t="shared" si="145"/>
        <v>0</v>
      </c>
      <c r="Q481" s="14">
        <f t="shared" si="138"/>
        <v>780</v>
      </c>
      <c r="R481" s="13">
        <f t="shared" si="139"/>
        <v>0</v>
      </c>
      <c r="S481">
        <f t="shared" si="140"/>
        <v>13</v>
      </c>
      <c r="T481">
        <f t="shared" si="141"/>
        <v>0</v>
      </c>
      <c r="U481" s="14">
        <f t="shared" si="142"/>
        <v>780</v>
      </c>
      <c r="V481" s="15"/>
      <c r="Z481" s="14"/>
    </row>
    <row r="482" spans="1:26" x14ac:dyDescent="0.25">
      <c r="A482" s="16"/>
      <c r="B482" s="17" t="b">
        <f t="shared" si="144"/>
        <v>0</v>
      </c>
      <c r="C482" s="17" t="b">
        <f t="shared" si="143"/>
        <v>0</v>
      </c>
      <c r="D482" s="17">
        <f t="shared" si="134"/>
        <v>1</v>
      </c>
      <c r="E482" s="17" t="str">
        <f t="shared" si="135"/>
        <v>Section 5 - Next steps</v>
      </c>
      <c r="F482" s="18" t="str">
        <f t="shared" si="136"/>
        <v/>
      </c>
      <c r="G482" s="13" t="str">
        <f t="shared" si="128"/>
        <v/>
      </c>
      <c r="H482">
        <f t="shared" si="129"/>
        <v>0</v>
      </c>
      <c r="I482" s="14">
        <f t="shared" si="137"/>
        <v>0</v>
      </c>
      <c r="J482" s="13">
        <f t="shared" si="130"/>
        <v>300</v>
      </c>
      <c r="K482">
        <f t="shared" si="131"/>
        <v>0</v>
      </c>
      <c r="L482">
        <f t="shared" si="132"/>
        <v>5</v>
      </c>
      <c r="M482" s="14">
        <f t="shared" si="133"/>
        <v>0</v>
      </c>
      <c r="N482" s="13">
        <f t="shared" si="145"/>
        <v>0</v>
      </c>
      <c r="O482">
        <f t="shared" si="145"/>
        <v>13</v>
      </c>
      <c r="P482">
        <f t="shared" si="145"/>
        <v>0</v>
      </c>
      <c r="Q482" s="14">
        <f t="shared" si="138"/>
        <v>780</v>
      </c>
      <c r="R482" s="13">
        <f t="shared" si="139"/>
        <v>0</v>
      </c>
      <c r="S482">
        <f t="shared" si="140"/>
        <v>13</v>
      </c>
      <c r="T482">
        <f t="shared" si="141"/>
        <v>0</v>
      </c>
      <c r="U482" s="14">
        <f t="shared" si="142"/>
        <v>780</v>
      </c>
      <c r="V482" s="15"/>
      <c r="Z482" s="14"/>
    </row>
    <row r="483" spans="1:26" x14ac:dyDescent="0.25">
      <c r="A483" s="16"/>
      <c r="B483" s="17" t="b">
        <f t="shared" si="144"/>
        <v>0</v>
      </c>
      <c r="C483" s="17" t="b">
        <f t="shared" si="143"/>
        <v>0</v>
      </c>
      <c r="D483" s="17">
        <f t="shared" si="134"/>
        <v>1</v>
      </c>
      <c r="E483" s="17" t="str">
        <f t="shared" si="135"/>
        <v>Section 5 - Next steps</v>
      </c>
      <c r="F483" s="18" t="str">
        <f t="shared" si="136"/>
        <v/>
      </c>
      <c r="G483" s="13" t="str">
        <f t="shared" si="128"/>
        <v/>
      </c>
      <c r="H483">
        <f t="shared" si="129"/>
        <v>0</v>
      </c>
      <c r="I483" s="14">
        <f t="shared" si="137"/>
        <v>0</v>
      </c>
      <c r="J483" s="13">
        <f t="shared" si="130"/>
        <v>300</v>
      </c>
      <c r="K483">
        <f t="shared" si="131"/>
        <v>0</v>
      </c>
      <c r="L483">
        <f t="shared" si="132"/>
        <v>5</v>
      </c>
      <c r="M483" s="14">
        <f t="shared" si="133"/>
        <v>0</v>
      </c>
      <c r="N483" s="13">
        <f t="shared" si="145"/>
        <v>0</v>
      </c>
      <c r="O483">
        <f t="shared" si="145"/>
        <v>13</v>
      </c>
      <c r="P483">
        <f t="shared" si="145"/>
        <v>0</v>
      </c>
      <c r="Q483" s="14">
        <f t="shared" si="138"/>
        <v>780</v>
      </c>
      <c r="R483" s="13">
        <f t="shared" si="139"/>
        <v>0</v>
      </c>
      <c r="S483">
        <f t="shared" si="140"/>
        <v>13</v>
      </c>
      <c r="T483">
        <f t="shared" si="141"/>
        <v>0</v>
      </c>
      <c r="U483" s="14">
        <f t="shared" si="142"/>
        <v>780</v>
      </c>
      <c r="V483" s="15"/>
      <c r="Z483" s="14"/>
    </row>
    <row r="484" spans="1:26" x14ac:dyDescent="0.25">
      <c r="A484" s="16"/>
      <c r="B484" s="17" t="b">
        <f t="shared" si="144"/>
        <v>0</v>
      </c>
      <c r="C484" s="17" t="b">
        <f t="shared" si="143"/>
        <v>0</v>
      </c>
      <c r="D484" s="17">
        <f t="shared" si="134"/>
        <v>1</v>
      </c>
      <c r="E484" s="17" t="str">
        <f t="shared" si="135"/>
        <v>Section 5 - Next steps</v>
      </c>
      <c r="F484" s="18" t="str">
        <f t="shared" si="136"/>
        <v/>
      </c>
      <c r="G484" s="13" t="str">
        <f t="shared" si="128"/>
        <v/>
      </c>
      <c r="H484">
        <f t="shared" si="129"/>
        <v>0</v>
      </c>
      <c r="I484" s="14">
        <f t="shared" si="137"/>
        <v>0</v>
      </c>
      <c r="J484" s="13">
        <f t="shared" si="130"/>
        <v>300</v>
      </c>
      <c r="K484">
        <f t="shared" si="131"/>
        <v>0</v>
      </c>
      <c r="L484">
        <f t="shared" si="132"/>
        <v>5</v>
      </c>
      <c r="M484" s="14">
        <f t="shared" si="133"/>
        <v>0</v>
      </c>
      <c r="N484" s="13">
        <f t="shared" si="145"/>
        <v>0</v>
      </c>
      <c r="O484">
        <f t="shared" si="145"/>
        <v>13</v>
      </c>
      <c r="P484">
        <f t="shared" si="145"/>
        <v>0</v>
      </c>
      <c r="Q484" s="14">
        <f t="shared" si="138"/>
        <v>780</v>
      </c>
      <c r="R484" s="13">
        <f t="shared" si="139"/>
        <v>0</v>
      </c>
      <c r="S484">
        <f t="shared" si="140"/>
        <v>13</v>
      </c>
      <c r="T484">
        <f t="shared" si="141"/>
        <v>0</v>
      </c>
      <c r="U484" s="14">
        <f t="shared" si="142"/>
        <v>780</v>
      </c>
      <c r="V484" s="15"/>
      <c r="Z484" s="14"/>
    </row>
    <row r="485" spans="1:26" x14ac:dyDescent="0.25">
      <c r="A485" s="16"/>
      <c r="B485" s="17" t="b">
        <f t="shared" si="144"/>
        <v>0</v>
      </c>
      <c r="C485" s="17" t="b">
        <f t="shared" si="143"/>
        <v>0</v>
      </c>
      <c r="D485" s="17">
        <f t="shared" si="134"/>
        <v>1</v>
      </c>
      <c r="E485" s="17" t="str">
        <f t="shared" si="135"/>
        <v>Section 5 - Next steps</v>
      </c>
      <c r="F485" s="18" t="str">
        <f t="shared" si="136"/>
        <v/>
      </c>
      <c r="G485" s="13" t="str">
        <f t="shared" si="128"/>
        <v/>
      </c>
      <c r="H485">
        <f t="shared" si="129"/>
        <v>0</v>
      </c>
      <c r="I485" s="14">
        <f t="shared" si="137"/>
        <v>0</v>
      </c>
      <c r="J485" s="13">
        <f t="shared" si="130"/>
        <v>300</v>
      </c>
      <c r="K485">
        <f t="shared" si="131"/>
        <v>0</v>
      </c>
      <c r="L485">
        <f t="shared" si="132"/>
        <v>5</v>
      </c>
      <c r="M485" s="14">
        <f t="shared" si="133"/>
        <v>0</v>
      </c>
      <c r="N485" s="13">
        <f t="shared" si="145"/>
        <v>0</v>
      </c>
      <c r="O485">
        <f t="shared" si="145"/>
        <v>13</v>
      </c>
      <c r="P485">
        <f t="shared" si="145"/>
        <v>0</v>
      </c>
      <c r="Q485" s="14">
        <f t="shared" si="138"/>
        <v>780</v>
      </c>
      <c r="R485" s="13">
        <f t="shared" si="139"/>
        <v>0</v>
      </c>
      <c r="S485">
        <f t="shared" si="140"/>
        <v>13</v>
      </c>
      <c r="T485">
        <f t="shared" si="141"/>
        <v>0</v>
      </c>
      <c r="U485" s="14">
        <f t="shared" si="142"/>
        <v>780</v>
      </c>
      <c r="V485" s="15"/>
      <c r="Z485" s="14"/>
    </row>
    <row r="486" spans="1:26" x14ac:dyDescent="0.25">
      <c r="A486" s="16"/>
      <c r="B486" s="17" t="b">
        <f t="shared" si="144"/>
        <v>0</v>
      </c>
      <c r="C486" s="17" t="b">
        <f t="shared" si="143"/>
        <v>0</v>
      </c>
      <c r="D486" s="17">
        <f t="shared" si="134"/>
        <v>1</v>
      </c>
      <c r="E486" s="17" t="str">
        <f t="shared" si="135"/>
        <v>Section 5 - Next steps</v>
      </c>
      <c r="F486" s="18" t="str">
        <f t="shared" si="136"/>
        <v/>
      </c>
      <c r="G486" s="13" t="str">
        <f t="shared" si="128"/>
        <v/>
      </c>
      <c r="H486">
        <f t="shared" si="129"/>
        <v>0</v>
      </c>
      <c r="I486" s="14">
        <f t="shared" si="137"/>
        <v>0</v>
      </c>
      <c r="J486" s="13">
        <f t="shared" si="130"/>
        <v>300</v>
      </c>
      <c r="K486">
        <f t="shared" si="131"/>
        <v>0</v>
      </c>
      <c r="L486">
        <f t="shared" si="132"/>
        <v>5</v>
      </c>
      <c r="M486" s="14">
        <f t="shared" si="133"/>
        <v>0</v>
      </c>
      <c r="N486" s="13">
        <f t="shared" si="145"/>
        <v>0</v>
      </c>
      <c r="O486">
        <f t="shared" si="145"/>
        <v>13</v>
      </c>
      <c r="P486">
        <f t="shared" si="145"/>
        <v>0</v>
      </c>
      <c r="Q486" s="14">
        <f t="shared" si="138"/>
        <v>780</v>
      </c>
      <c r="R486" s="13">
        <f t="shared" si="139"/>
        <v>0</v>
      </c>
      <c r="S486">
        <f t="shared" si="140"/>
        <v>13</v>
      </c>
      <c r="T486">
        <f t="shared" si="141"/>
        <v>0</v>
      </c>
      <c r="U486" s="14">
        <f t="shared" si="142"/>
        <v>780</v>
      </c>
      <c r="V486" s="15"/>
      <c r="Z486" s="14"/>
    </row>
    <row r="487" spans="1:26" x14ac:dyDescent="0.25">
      <c r="A487" s="16"/>
      <c r="B487" s="17" t="b">
        <f t="shared" si="144"/>
        <v>0</v>
      </c>
      <c r="C487" s="17" t="b">
        <f t="shared" si="143"/>
        <v>0</v>
      </c>
      <c r="D487" s="17">
        <f t="shared" si="134"/>
        <v>1</v>
      </c>
      <c r="E487" s="17" t="str">
        <f t="shared" si="135"/>
        <v>Section 5 - Next steps</v>
      </c>
      <c r="F487" s="18" t="str">
        <f t="shared" si="136"/>
        <v/>
      </c>
      <c r="G487" s="13" t="str">
        <f t="shared" si="128"/>
        <v/>
      </c>
      <c r="H487">
        <f t="shared" si="129"/>
        <v>0</v>
      </c>
      <c r="I487" s="14">
        <f t="shared" si="137"/>
        <v>0</v>
      </c>
      <c r="J487" s="13">
        <f t="shared" si="130"/>
        <v>300</v>
      </c>
      <c r="K487">
        <f t="shared" si="131"/>
        <v>0</v>
      </c>
      <c r="L487">
        <f t="shared" si="132"/>
        <v>5</v>
      </c>
      <c r="M487" s="14">
        <f t="shared" si="133"/>
        <v>0</v>
      </c>
      <c r="N487" s="13">
        <f t="shared" si="145"/>
        <v>0</v>
      </c>
      <c r="O487">
        <f t="shared" si="145"/>
        <v>13</v>
      </c>
      <c r="P487">
        <f t="shared" si="145"/>
        <v>0</v>
      </c>
      <c r="Q487" s="14">
        <f t="shared" si="138"/>
        <v>780</v>
      </c>
      <c r="R487" s="13">
        <f t="shared" si="139"/>
        <v>0</v>
      </c>
      <c r="S487">
        <f t="shared" si="140"/>
        <v>13</v>
      </c>
      <c r="T487">
        <f t="shared" si="141"/>
        <v>0</v>
      </c>
      <c r="U487" s="14">
        <f t="shared" si="142"/>
        <v>780</v>
      </c>
      <c r="V487" s="15"/>
      <c r="Z487" s="14"/>
    </row>
    <row r="488" spans="1:26" x14ac:dyDescent="0.25">
      <c r="A488" s="16"/>
      <c r="B488" s="17" t="b">
        <f t="shared" si="144"/>
        <v>0</v>
      </c>
      <c r="C488" s="17" t="b">
        <f t="shared" si="143"/>
        <v>0</v>
      </c>
      <c r="D488" s="17">
        <f t="shared" si="134"/>
        <v>1</v>
      </c>
      <c r="E488" s="17" t="str">
        <f t="shared" si="135"/>
        <v>Section 5 - Next steps</v>
      </c>
      <c r="F488" s="18" t="str">
        <f t="shared" si="136"/>
        <v/>
      </c>
      <c r="G488" s="13" t="str">
        <f t="shared" si="128"/>
        <v/>
      </c>
      <c r="H488">
        <f t="shared" si="129"/>
        <v>0</v>
      </c>
      <c r="I488" s="14">
        <f t="shared" si="137"/>
        <v>0</v>
      </c>
      <c r="J488" s="13">
        <f t="shared" si="130"/>
        <v>300</v>
      </c>
      <c r="K488">
        <f t="shared" si="131"/>
        <v>0</v>
      </c>
      <c r="L488">
        <f t="shared" si="132"/>
        <v>5</v>
      </c>
      <c r="M488" s="14">
        <f t="shared" si="133"/>
        <v>0</v>
      </c>
      <c r="N488" s="13">
        <f t="shared" si="145"/>
        <v>0</v>
      </c>
      <c r="O488">
        <f t="shared" si="145"/>
        <v>13</v>
      </c>
      <c r="P488">
        <f t="shared" si="145"/>
        <v>0</v>
      </c>
      <c r="Q488" s="14">
        <f t="shared" si="138"/>
        <v>780</v>
      </c>
      <c r="R488" s="13">
        <f t="shared" si="139"/>
        <v>0</v>
      </c>
      <c r="S488">
        <f t="shared" si="140"/>
        <v>13</v>
      </c>
      <c r="T488">
        <f t="shared" si="141"/>
        <v>0</v>
      </c>
      <c r="U488" s="14">
        <f t="shared" si="142"/>
        <v>780</v>
      </c>
      <c r="V488" s="15"/>
      <c r="Z488" s="14"/>
    </row>
    <row r="489" spans="1:26" x14ac:dyDescent="0.25">
      <c r="A489" s="16"/>
      <c r="B489" s="17" t="b">
        <f t="shared" si="144"/>
        <v>0</v>
      </c>
      <c r="C489" s="17" t="b">
        <f t="shared" si="143"/>
        <v>0</v>
      </c>
      <c r="D489" s="17">
        <f t="shared" si="134"/>
        <v>1</v>
      </c>
      <c r="E489" s="17" t="str">
        <f t="shared" si="135"/>
        <v>Section 5 - Next steps</v>
      </c>
      <c r="F489" s="18" t="str">
        <f t="shared" si="136"/>
        <v/>
      </c>
      <c r="G489" s="13" t="str">
        <f t="shared" si="128"/>
        <v/>
      </c>
      <c r="H489">
        <f t="shared" si="129"/>
        <v>0</v>
      </c>
      <c r="I489" s="14">
        <f t="shared" si="137"/>
        <v>0</v>
      </c>
      <c r="J489" s="13">
        <f t="shared" si="130"/>
        <v>300</v>
      </c>
      <c r="K489">
        <f t="shared" si="131"/>
        <v>0</v>
      </c>
      <c r="L489">
        <f t="shared" si="132"/>
        <v>5</v>
      </c>
      <c r="M489" s="14">
        <f t="shared" si="133"/>
        <v>0</v>
      </c>
      <c r="N489" s="13">
        <f t="shared" si="145"/>
        <v>0</v>
      </c>
      <c r="O489">
        <f t="shared" si="145"/>
        <v>13</v>
      </c>
      <c r="P489">
        <f t="shared" si="145"/>
        <v>0</v>
      </c>
      <c r="Q489" s="14">
        <f t="shared" si="138"/>
        <v>780</v>
      </c>
      <c r="R489" s="13">
        <f t="shared" si="139"/>
        <v>0</v>
      </c>
      <c r="S489">
        <f t="shared" si="140"/>
        <v>13</v>
      </c>
      <c r="T489">
        <f t="shared" si="141"/>
        <v>0</v>
      </c>
      <c r="U489" s="14">
        <f t="shared" si="142"/>
        <v>780</v>
      </c>
      <c r="V489" s="15"/>
      <c r="Z489" s="14"/>
    </row>
    <row r="490" spans="1:26" x14ac:dyDescent="0.25">
      <c r="A490" s="16"/>
      <c r="B490" s="17" t="b">
        <f t="shared" si="144"/>
        <v>0</v>
      </c>
      <c r="C490" s="17" t="b">
        <f t="shared" si="143"/>
        <v>0</v>
      </c>
      <c r="D490" s="17">
        <f t="shared" si="134"/>
        <v>1</v>
      </c>
      <c r="E490" s="17" t="str">
        <f t="shared" si="135"/>
        <v>Section 5 - Next steps</v>
      </c>
      <c r="F490" s="18" t="str">
        <f t="shared" si="136"/>
        <v/>
      </c>
      <c r="G490" s="13" t="str">
        <f t="shared" si="128"/>
        <v/>
      </c>
      <c r="H490">
        <f t="shared" si="129"/>
        <v>0</v>
      </c>
      <c r="I490" s="14">
        <f t="shared" si="137"/>
        <v>0</v>
      </c>
      <c r="J490" s="13">
        <f t="shared" si="130"/>
        <v>300</v>
      </c>
      <c r="K490">
        <f t="shared" si="131"/>
        <v>0</v>
      </c>
      <c r="L490">
        <f t="shared" si="132"/>
        <v>5</v>
      </c>
      <c r="M490" s="14">
        <f t="shared" si="133"/>
        <v>0</v>
      </c>
      <c r="N490" s="13">
        <f t="shared" si="145"/>
        <v>0</v>
      </c>
      <c r="O490">
        <f t="shared" si="145"/>
        <v>13</v>
      </c>
      <c r="P490">
        <f t="shared" si="145"/>
        <v>0</v>
      </c>
      <c r="Q490" s="14">
        <f t="shared" si="138"/>
        <v>780</v>
      </c>
      <c r="R490" s="13">
        <f t="shared" si="139"/>
        <v>0</v>
      </c>
      <c r="S490">
        <f t="shared" si="140"/>
        <v>13</v>
      </c>
      <c r="T490">
        <f t="shared" si="141"/>
        <v>0</v>
      </c>
      <c r="U490" s="14">
        <f t="shared" si="142"/>
        <v>780</v>
      </c>
      <c r="V490" s="15"/>
      <c r="Z490" s="14"/>
    </row>
    <row r="491" spans="1:26" x14ac:dyDescent="0.25">
      <c r="A491" s="16"/>
      <c r="B491" s="17" t="b">
        <f t="shared" si="144"/>
        <v>0</v>
      </c>
      <c r="C491" s="17" t="b">
        <f t="shared" si="143"/>
        <v>0</v>
      </c>
      <c r="D491" s="17">
        <f t="shared" si="134"/>
        <v>1</v>
      </c>
      <c r="E491" s="17" t="str">
        <f t="shared" si="135"/>
        <v>Section 5 - Next steps</v>
      </c>
      <c r="F491" s="18" t="str">
        <f t="shared" si="136"/>
        <v/>
      </c>
      <c r="G491" s="13" t="str">
        <f t="shared" si="128"/>
        <v/>
      </c>
      <c r="H491">
        <f t="shared" si="129"/>
        <v>0</v>
      </c>
      <c r="I491" s="14">
        <f t="shared" si="137"/>
        <v>0</v>
      </c>
      <c r="J491" s="13">
        <f t="shared" si="130"/>
        <v>300</v>
      </c>
      <c r="K491">
        <f t="shared" si="131"/>
        <v>0</v>
      </c>
      <c r="L491">
        <f t="shared" si="132"/>
        <v>5</v>
      </c>
      <c r="M491" s="14">
        <f t="shared" si="133"/>
        <v>0</v>
      </c>
      <c r="N491" s="13">
        <f t="shared" si="145"/>
        <v>0</v>
      </c>
      <c r="O491">
        <f t="shared" si="145"/>
        <v>13</v>
      </c>
      <c r="P491">
        <f t="shared" si="145"/>
        <v>0</v>
      </c>
      <c r="Q491" s="14">
        <f t="shared" si="138"/>
        <v>780</v>
      </c>
      <c r="R491" s="13">
        <f t="shared" si="139"/>
        <v>0</v>
      </c>
      <c r="S491">
        <f t="shared" si="140"/>
        <v>13</v>
      </c>
      <c r="T491">
        <f t="shared" si="141"/>
        <v>0</v>
      </c>
      <c r="U491" s="14">
        <f t="shared" si="142"/>
        <v>780</v>
      </c>
      <c r="V491" s="15"/>
      <c r="Z491" s="14"/>
    </row>
    <row r="492" spans="1:26" x14ac:dyDescent="0.25">
      <c r="A492" s="16"/>
      <c r="B492" s="17" t="b">
        <f t="shared" si="144"/>
        <v>0</v>
      </c>
      <c r="C492" s="17" t="b">
        <f t="shared" si="143"/>
        <v>0</v>
      </c>
      <c r="D492" s="17">
        <f t="shared" si="134"/>
        <v>1</v>
      </c>
      <c r="E492" s="17" t="str">
        <f t="shared" si="135"/>
        <v>Section 5 - Next steps</v>
      </c>
      <c r="F492" s="18" t="str">
        <f t="shared" si="136"/>
        <v/>
      </c>
      <c r="G492" s="13" t="str">
        <f t="shared" si="128"/>
        <v/>
      </c>
      <c r="H492">
        <f t="shared" si="129"/>
        <v>0</v>
      </c>
      <c r="I492" s="14">
        <f t="shared" si="137"/>
        <v>0</v>
      </c>
      <c r="J492" s="13">
        <f t="shared" si="130"/>
        <v>300</v>
      </c>
      <c r="K492">
        <f t="shared" si="131"/>
        <v>0</v>
      </c>
      <c r="L492">
        <f t="shared" si="132"/>
        <v>5</v>
      </c>
      <c r="M492" s="14">
        <f t="shared" si="133"/>
        <v>0</v>
      </c>
      <c r="N492" s="13">
        <f t="shared" si="145"/>
        <v>0</v>
      </c>
      <c r="O492">
        <f t="shared" si="145"/>
        <v>13</v>
      </c>
      <c r="P492">
        <f t="shared" si="145"/>
        <v>0</v>
      </c>
      <c r="Q492" s="14">
        <f t="shared" si="138"/>
        <v>780</v>
      </c>
      <c r="R492" s="13">
        <f t="shared" si="139"/>
        <v>0</v>
      </c>
      <c r="S492">
        <f t="shared" si="140"/>
        <v>13</v>
      </c>
      <c r="T492">
        <f t="shared" si="141"/>
        <v>0</v>
      </c>
      <c r="U492" s="14">
        <f t="shared" si="142"/>
        <v>780</v>
      </c>
      <c r="V492" s="15"/>
      <c r="Z492" s="14"/>
    </row>
    <row r="493" spans="1:26" x14ac:dyDescent="0.25">
      <c r="A493" s="16"/>
      <c r="B493" s="17" t="b">
        <f t="shared" si="144"/>
        <v>0</v>
      </c>
      <c r="C493" s="17" t="b">
        <f t="shared" si="143"/>
        <v>0</v>
      </c>
      <c r="D493" s="17">
        <f t="shared" si="134"/>
        <v>1</v>
      </c>
      <c r="E493" s="17" t="str">
        <f t="shared" si="135"/>
        <v>Section 5 - Next steps</v>
      </c>
      <c r="F493" s="18" t="str">
        <f t="shared" si="136"/>
        <v/>
      </c>
      <c r="G493" s="13" t="str">
        <f t="shared" si="128"/>
        <v/>
      </c>
      <c r="H493">
        <f t="shared" si="129"/>
        <v>0</v>
      </c>
      <c r="I493" s="14">
        <f t="shared" si="137"/>
        <v>0</v>
      </c>
      <c r="J493" s="13">
        <f t="shared" si="130"/>
        <v>300</v>
      </c>
      <c r="K493">
        <f t="shared" si="131"/>
        <v>0</v>
      </c>
      <c r="L493">
        <f t="shared" si="132"/>
        <v>5</v>
      </c>
      <c r="M493" s="14">
        <f t="shared" si="133"/>
        <v>0</v>
      </c>
      <c r="N493" s="13">
        <f t="shared" si="145"/>
        <v>0</v>
      </c>
      <c r="O493">
        <f t="shared" si="145"/>
        <v>13</v>
      </c>
      <c r="P493">
        <f t="shared" si="145"/>
        <v>0</v>
      </c>
      <c r="Q493" s="14">
        <f t="shared" si="138"/>
        <v>780</v>
      </c>
      <c r="R493" s="13">
        <f t="shared" si="139"/>
        <v>0</v>
      </c>
      <c r="S493">
        <f t="shared" si="140"/>
        <v>13</v>
      </c>
      <c r="T493">
        <f t="shared" si="141"/>
        <v>0</v>
      </c>
      <c r="U493" s="14">
        <f t="shared" si="142"/>
        <v>780</v>
      </c>
      <c r="V493" s="15"/>
      <c r="Z493" s="14"/>
    </row>
    <row r="494" spans="1:26" x14ac:dyDescent="0.25">
      <c r="A494" s="16"/>
      <c r="B494" s="17" t="b">
        <f t="shared" si="144"/>
        <v>0</v>
      </c>
      <c r="C494" s="17" t="b">
        <f t="shared" si="143"/>
        <v>0</v>
      </c>
      <c r="D494" s="17">
        <f t="shared" si="134"/>
        <v>1</v>
      </c>
      <c r="E494" s="17" t="str">
        <f t="shared" si="135"/>
        <v>Section 5 - Next steps</v>
      </c>
      <c r="F494" s="18" t="str">
        <f t="shared" si="136"/>
        <v/>
      </c>
      <c r="G494" s="13" t="str">
        <f t="shared" si="128"/>
        <v/>
      </c>
      <c r="H494">
        <f t="shared" si="129"/>
        <v>0</v>
      </c>
      <c r="I494" s="14">
        <f t="shared" si="137"/>
        <v>0</v>
      </c>
      <c r="J494" s="13">
        <f t="shared" si="130"/>
        <v>300</v>
      </c>
      <c r="K494">
        <f t="shared" si="131"/>
        <v>0</v>
      </c>
      <c r="L494">
        <f t="shared" si="132"/>
        <v>5</v>
      </c>
      <c r="M494" s="14">
        <f t="shared" si="133"/>
        <v>0</v>
      </c>
      <c r="N494" s="13">
        <f t="shared" si="145"/>
        <v>0</v>
      </c>
      <c r="O494">
        <f t="shared" si="145"/>
        <v>13</v>
      </c>
      <c r="P494">
        <f t="shared" si="145"/>
        <v>0</v>
      </c>
      <c r="Q494" s="14">
        <f t="shared" si="138"/>
        <v>780</v>
      </c>
      <c r="R494" s="13">
        <f t="shared" si="139"/>
        <v>0</v>
      </c>
      <c r="S494">
        <f t="shared" si="140"/>
        <v>13</v>
      </c>
      <c r="T494">
        <f t="shared" si="141"/>
        <v>0</v>
      </c>
      <c r="U494" s="14">
        <f t="shared" si="142"/>
        <v>780</v>
      </c>
      <c r="V494" s="15"/>
      <c r="Z494" s="14"/>
    </row>
    <row r="495" spans="1:26" x14ac:dyDescent="0.25">
      <c r="A495" s="16"/>
      <c r="B495" s="17" t="b">
        <f t="shared" si="144"/>
        <v>0</v>
      </c>
      <c r="C495" s="17" t="b">
        <f t="shared" si="143"/>
        <v>0</v>
      </c>
      <c r="D495" s="17">
        <f t="shared" si="134"/>
        <v>1</v>
      </c>
      <c r="E495" s="17" t="str">
        <f t="shared" si="135"/>
        <v>Section 5 - Next steps</v>
      </c>
      <c r="F495" s="18" t="str">
        <f t="shared" si="136"/>
        <v/>
      </c>
      <c r="G495" s="13" t="str">
        <f t="shared" si="128"/>
        <v/>
      </c>
      <c r="H495">
        <f t="shared" si="129"/>
        <v>0</v>
      </c>
      <c r="I495" s="14">
        <f t="shared" si="137"/>
        <v>0</v>
      </c>
      <c r="J495" s="13">
        <f t="shared" si="130"/>
        <v>300</v>
      </c>
      <c r="K495">
        <f t="shared" si="131"/>
        <v>0</v>
      </c>
      <c r="L495">
        <f t="shared" si="132"/>
        <v>5</v>
      </c>
      <c r="M495" s="14">
        <f t="shared" si="133"/>
        <v>0</v>
      </c>
      <c r="N495" s="13">
        <f t="shared" si="145"/>
        <v>0</v>
      </c>
      <c r="O495">
        <f t="shared" si="145"/>
        <v>13</v>
      </c>
      <c r="P495">
        <f t="shared" si="145"/>
        <v>0</v>
      </c>
      <c r="Q495" s="14">
        <f t="shared" si="138"/>
        <v>780</v>
      </c>
      <c r="R495" s="13">
        <f t="shared" si="139"/>
        <v>0</v>
      </c>
      <c r="S495">
        <f t="shared" si="140"/>
        <v>13</v>
      </c>
      <c r="T495">
        <f t="shared" si="141"/>
        <v>0</v>
      </c>
      <c r="U495" s="14">
        <f t="shared" si="142"/>
        <v>780</v>
      </c>
      <c r="V495" s="15"/>
      <c r="Z495" s="14"/>
    </row>
    <row r="496" spans="1:26" x14ac:dyDescent="0.25">
      <c r="A496" s="16"/>
      <c r="B496" s="17" t="b">
        <f t="shared" si="144"/>
        <v>0</v>
      </c>
      <c r="C496" s="17" t="b">
        <f t="shared" si="143"/>
        <v>0</v>
      </c>
      <c r="D496" s="17">
        <f t="shared" si="134"/>
        <v>1</v>
      </c>
      <c r="E496" s="17" t="str">
        <f t="shared" si="135"/>
        <v>Section 5 - Next steps</v>
      </c>
      <c r="F496" s="18" t="str">
        <f t="shared" si="136"/>
        <v/>
      </c>
      <c r="G496" s="13" t="str">
        <f t="shared" si="128"/>
        <v/>
      </c>
      <c r="H496">
        <f t="shared" si="129"/>
        <v>0</v>
      </c>
      <c r="I496" s="14">
        <f t="shared" si="137"/>
        <v>0</v>
      </c>
      <c r="J496" s="13">
        <f t="shared" si="130"/>
        <v>300</v>
      </c>
      <c r="K496">
        <f t="shared" si="131"/>
        <v>0</v>
      </c>
      <c r="L496">
        <f t="shared" si="132"/>
        <v>5</v>
      </c>
      <c r="M496" s="14">
        <f t="shared" si="133"/>
        <v>0</v>
      </c>
      <c r="N496" s="13">
        <f t="shared" si="145"/>
        <v>0</v>
      </c>
      <c r="O496">
        <f t="shared" si="145"/>
        <v>13</v>
      </c>
      <c r="P496">
        <f t="shared" si="145"/>
        <v>0</v>
      </c>
      <c r="Q496" s="14">
        <f t="shared" si="138"/>
        <v>780</v>
      </c>
      <c r="R496" s="13">
        <f t="shared" si="139"/>
        <v>0</v>
      </c>
      <c r="S496">
        <f t="shared" si="140"/>
        <v>13</v>
      </c>
      <c r="T496">
        <f t="shared" si="141"/>
        <v>0</v>
      </c>
      <c r="U496" s="14">
        <f t="shared" si="142"/>
        <v>780</v>
      </c>
      <c r="V496" s="15"/>
      <c r="Z496" s="14"/>
    </row>
    <row r="497" spans="1:26" x14ac:dyDescent="0.25">
      <c r="A497" s="16"/>
      <c r="B497" s="17" t="b">
        <f t="shared" si="144"/>
        <v>0</v>
      </c>
      <c r="C497" s="17" t="b">
        <f t="shared" si="143"/>
        <v>0</v>
      </c>
      <c r="D497" s="17">
        <f t="shared" si="134"/>
        <v>1</v>
      </c>
      <c r="E497" s="17" t="str">
        <f t="shared" si="135"/>
        <v>Section 5 - Next steps</v>
      </c>
      <c r="F497" s="18" t="str">
        <f t="shared" si="136"/>
        <v/>
      </c>
      <c r="G497" s="13" t="str">
        <f t="shared" si="128"/>
        <v/>
      </c>
      <c r="H497">
        <f t="shared" si="129"/>
        <v>0</v>
      </c>
      <c r="I497" s="14">
        <f t="shared" si="137"/>
        <v>0</v>
      </c>
      <c r="J497" s="13">
        <f t="shared" si="130"/>
        <v>300</v>
      </c>
      <c r="K497">
        <f t="shared" si="131"/>
        <v>0</v>
      </c>
      <c r="L497">
        <f t="shared" si="132"/>
        <v>5</v>
      </c>
      <c r="M497" s="14">
        <f t="shared" si="133"/>
        <v>0</v>
      </c>
      <c r="N497" s="13">
        <f t="shared" si="145"/>
        <v>0</v>
      </c>
      <c r="O497">
        <f t="shared" si="145"/>
        <v>13</v>
      </c>
      <c r="P497">
        <f t="shared" si="145"/>
        <v>0</v>
      </c>
      <c r="Q497" s="14">
        <f t="shared" si="138"/>
        <v>780</v>
      </c>
      <c r="R497" s="13">
        <f t="shared" si="139"/>
        <v>0</v>
      </c>
      <c r="S497">
        <f t="shared" si="140"/>
        <v>13</v>
      </c>
      <c r="T497">
        <f t="shared" si="141"/>
        <v>0</v>
      </c>
      <c r="U497" s="14">
        <f t="shared" si="142"/>
        <v>780</v>
      </c>
      <c r="V497" s="15"/>
      <c r="Z497" s="14"/>
    </row>
    <row r="498" spans="1:26" x14ac:dyDescent="0.25">
      <c r="A498" s="16"/>
      <c r="B498" s="17" t="b">
        <f t="shared" si="144"/>
        <v>0</v>
      </c>
      <c r="C498" s="17" t="b">
        <f t="shared" si="143"/>
        <v>0</v>
      </c>
      <c r="D498" s="17">
        <f t="shared" si="134"/>
        <v>1</v>
      </c>
      <c r="E498" s="17" t="str">
        <f t="shared" si="135"/>
        <v>Section 5 - Next steps</v>
      </c>
      <c r="F498" s="18" t="str">
        <f t="shared" si="136"/>
        <v/>
      </c>
      <c r="G498" s="13" t="str">
        <f t="shared" si="128"/>
        <v/>
      </c>
      <c r="H498">
        <f t="shared" si="129"/>
        <v>0</v>
      </c>
      <c r="I498" s="14">
        <f t="shared" si="137"/>
        <v>0</v>
      </c>
      <c r="J498" s="13">
        <f t="shared" si="130"/>
        <v>300</v>
      </c>
      <c r="K498">
        <f t="shared" si="131"/>
        <v>0</v>
      </c>
      <c r="L498">
        <f t="shared" si="132"/>
        <v>5</v>
      </c>
      <c r="M498" s="14">
        <f t="shared" si="133"/>
        <v>0</v>
      </c>
      <c r="N498" s="13">
        <f t="shared" si="145"/>
        <v>0</v>
      </c>
      <c r="O498">
        <f t="shared" si="145"/>
        <v>13</v>
      </c>
      <c r="P498">
        <f t="shared" si="145"/>
        <v>0</v>
      </c>
      <c r="Q498" s="14">
        <f t="shared" si="138"/>
        <v>780</v>
      </c>
      <c r="R498" s="13">
        <f t="shared" si="139"/>
        <v>0</v>
      </c>
      <c r="S498">
        <f t="shared" si="140"/>
        <v>13</v>
      </c>
      <c r="T498">
        <f t="shared" si="141"/>
        <v>0</v>
      </c>
      <c r="U498" s="14">
        <f t="shared" si="142"/>
        <v>780</v>
      </c>
      <c r="V498" s="15"/>
      <c r="Z498" s="14"/>
    </row>
    <row r="499" spans="1:26" x14ac:dyDescent="0.25">
      <c r="A499" s="16"/>
      <c r="B499" s="17" t="b">
        <f t="shared" si="144"/>
        <v>0</v>
      </c>
      <c r="C499" s="17" t="b">
        <f t="shared" si="143"/>
        <v>0</v>
      </c>
      <c r="D499" s="17">
        <f t="shared" si="134"/>
        <v>1</v>
      </c>
      <c r="E499" s="17" t="str">
        <f t="shared" si="135"/>
        <v>Section 5 - Next steps</v>
      </c>
      <c r="F499" s="18" t="str">
        <f t="shared" si="136"/>
        <v/>
      </c>
      <c r="G499" s="13" t="str">
        <f t="shared" si="128"/>
        <v/>
      </c>
      <c r="H499">
        <f t="shared" si="129"/>
        <v>0</v>
      </c>
      <c r="I499" s="14">
        <f t="shared" si="137"/>
        <v>0</v>
      </c>
      <c r="J499" s="13">
        <f t="shared" si="130"/>
        <v>300</v>
      </c>
      <c r="K499">
        <f t="shared" si="131"/>
        <v>0</v>
      </c>
      <c r="L499">
        <f t="shared" si="132"/>
        <v>5</v>
      </c>
      <c r="M499" s="14">
        <f t="shared" si="133"/>
        <v>0</v>
      </c>
      <c r="N499" s="13">
        <f t="shared" si="145"/>
        <v>0</v>
      </c>
      <c r="O499">
        <f t="shared" si="145"/>
        <v>13</v>
      </c>
      <c r="P499">
        <f t="shared" si="145"/>
        <v>0</v>
      </c>
      <c r="Q499" s="14">
        <f t="shared" si="138"/>
        <v>780</v>
      </c>
      <c r="R499" s="13">
        <f t="shared" si="139"/>
        <v>0</v>
      </c>
      <c r="S499">
        <f t="shared" si="140"/>
        <v>13</v>
      </c>
      <c r="T499">
        <f t="shared" si="141"/>
        <v>0</v>
      </c>
      <c r="U499" s="14">
        <f t="shared" si="142"/>
        <v>780</v>
      </c>
      <c r="V499" s="15"/>
      <c r="Z499" s="14"/>
    </row>
    <row r="500" spans="1:26" x14ac:dyDescent="0.25">
      <c r="A500" s="16"/>
      <c r="B500" s="17" t="b">
        <f t="shared" si="144"/>
        <v>0</v>
      </c>
      <c r="C500" s="17" t="b">
        <f t="shared" si="143"/>
        <v>0</v>
      </c>
      <c r="D500" s="17">
        <f t="shared" si="134"/>
        <v>1</v>
      </c>
      <c r="E500" s="17" t="str">
        <f t="shared" si="135"/>
        <v>Section 5 - Next steps</v>
      </c>
      <c r="F500" s="18" t="str">
        <f t="shared" si="136"/>
        <v/>
      </c>
      <c r="G500" s="13" t="str">
        <f t="shared" si="128"/>
        <v/>
      </c>
      <c r="H500">
        <f t="shared" si="129"/>
        <v>0</v>
      </c>
      <c r="I500" s="14">
        <f t="shared" si="137"/>
        <v>0</v>
      </c>
      <c r="J500" s="13">
        <f t="shared" si="130"/>
        <v>300</v>
      </c>
      <c r="K500">
        <f t="shared" si="131"/>
        <v>0</v>
      </c>
      <c r="L500">
        <f t="shared" si="132"/>
        <v>5</v>
      </c>
      <c r="M500" s="14">
        <f t="shared" si="133"/>
        <v>0</v>
      </c>
      <c r="N500" s="13">
        <f t="shared" si="145"/>
        <v>0</v>
      </c>
      <c r="O500">
        <f t="shared" si="145"/>
        <v>13</v>
      </c>
      <c r="P500">
        <f t="shared" si="145"/>
        <v>0</v>
      </c>
      <c r="Q500" s="14">
        <f t="shared" si="138"/>
        <v>780</v>
      </c>
      <c r="R500" s="13">
        <f t="shared" si="139"/>
        <v>0</v>
      </c>
      <c r="S500">
        <f t="shared" si="140"/>
        <v>13</v>
      </c>
      <c r="T500">
        <f t="shared" si="141"/>
        <v>0</v>
      </c>
      <c r="U500" s="14">
        <f t="shared" si="142"/>
        <v>780</v>
      </c>
      <c r="V500" s="15"/>
      <c r="Z500" s="14"/>
    </row>
    <row r="501" spans="1:26" x14ac:dyDescent="0.25">
      <c r="A501" s="16"/>
      <c r="B501" s="17" t="b">
        <f t="shared" si="144"/>
        <v>0</v>
      </c>
      <c r="C501" s="17" t="b">
        <f t="shared" si="143"/>
        <v>0</v>
      </c>
      <c r="D501" s="17">
        <f t="shared" si="134"/>
        <v>1</v>
      </c>
      <c r="E501" s="17" t="str">
        <f t="shared" si="135"/>
        <v>Section 5 - Next steps</v>
      </c>
      <c r="F501" s="18" t="str">
        <f t="shared" si="136"/>
        <v/>
      </c>
      <c r="G501" s="13" t="str">
        <f t="shared" si="128"/>
        <v/>
      </c>
      <c r="H501">
        <f t="shared" si="129"/>
        <v>0</v>
      </c>
      <c r="I501" s="14">
        <f t="shared" si="137"/>
        <v>0</v>
      </c>
      <c r="J501" s="13">
        <f t="shared" si="130"/>
        <v>300</v>
      </c>
      <c r="K501">
        <f t="shared" si="131"/>
        <v>0</v>
      </c>
      <c r="L501">
        <f t="shared" si="132"/>
        <v>5</v>
      </c>
      <c r="M501" s="14">
        <f t="shared" si="133"/>
        <v>0</v>
      </c>
      <c r="N501" s="13">
        <f t="shared" si="145"/>
        <v>0</v>
      </c>
      <c r="O501">
        <f t="shared" si="145"/>
        <v>13</v>
      </c>
      <c r="P501">
        <f t="shared" si="145"/>
        <v>0</v>
      </c>
      <c r="Q501" s="14">
        <f t="shared" si="138"/>
        <v>780</v>
      </c>
      <c r="R501" s="13">
        <f t="shared" si="139"/>
        <v>0</v>
      </c>
      <c r="S501">
        <f t="shared" si="140"/>
        <v>13</v>
      </c>
      <c r="T501">
        <f t="shared" si="141"/>
        <v>0</v>
      </c>
      <c r="U501" s="14">
        <f t="shared" si="142"/>
        <v>780</v>
      </c>
      <c r="V501" s="15"/>
      <c r="Z501" s="14"/>
    </row>
    <row r="502" spans="1:26" x14ac:dyDescent="0.25">
      <c r="A502" s="16"/>
      <c r="B502" s="17" t="b">
        <f t="shared" si="144"/>
        <v>0</v>
      </c>
      <c r="C502" s="17" t="b">
        <f t="shared" si="143"/>
        <v>0</v>
      </c>
      <c r="D502" s="17">
        <f t="shared" si="134"/>
        <v>1</v>
      </c>
      <c r="E502" s="17" t="str">
        <f t="shared" si="135"/>
        <v>Section 5 - Next steps</v>
      </c>
      <c r="F502" s="18" t="str">
        <f t="shared" si="136"/>
        <v/>
      </c>
      <c r="G502" s="13" t="str">
        <f t="shared" si="128"/>
        <v/>
      </c>
      <c r="H502">
        <f t="shared" si="129"/>
        <v>0</v>
      </c>
      <c r="I502" s="14">
        <f t="shared" si="137"/>
        <v>0</v>
      </c>
      <c r="J502" s="13">
        <f t="shared" si="130"/>
        <v>300</v>
      </c>
      <c r="K502">
        <f t="shared" si="131"/>
        <v>0</v>
      </c>
      <c r="L502">
        <f t="shared" si="132"/>
        <v>5</v>
      </c>
      <c r="M502" s="14">
        <f t="shared" si="133"/>
        <v>0</v>
      </c>
      <c r="N502" s="13">
        <f t="shared" si="145"/>
        <v>0</v>
      </c>
      <c r="O502">
        <f t="shared" si="145"/>
        <v>13</v>
      </c>
      <c r="P502">
        <f t="shared" si="145"/>
        <v>0</v>
      </c>
      <c r="Q502" s="14">
        <f t="shared" si="138"/>
        <v>780</v>
      </c>
      <c r="R502" s="13">
        <f t="shared" si="139"/>
        <v>0</v>
      </c>
      <c r="S502">
        <f t="shared" si="140"/>
        <v>13</v>
      </c>
      <c r="T502">
        <f t="shared" si="141"/>
        <v>0</v>
      </c>
      <c r="U502" s="14">
        <f t="shared" si="142"/>
        <v>780</v>
      </c>
      <c r="V502" s="15"/>
      <c r="Z502" s="14"/>
    </row>
    <row r="503" spans="1:26" x14ac:dyDescent="0.25">
      <c r="A503" s="16"/>
      <c r="B503" s="17" t="b">
        <f t="shared" si="144"/>
        <v>0</v>
      </c>
      <c r="C503" s="17" t="b">
        <f t="shared" si="143"/>
        <v>0</v>
      </c>
      <c r="D503" s="17">
        <f t="shared" si="134"/>
        <v>1</v>
      </c>
      <c r="E503" s="17" t="str">
        <f t="shared" si="135"/>
        <v>Section 5 - Next steps</v>
      </c>
      <c r="F503" s="18" t="str">
        <f t="shared" si="136"/>
        <v/>
      </c>
      <c r="G503" s="13" t="str">
        <f t="shared" si="128"/>
        <v/>
      </c>
      <c r="H503">
        <f t="shared" si="129"/>
        <v>0</v>
      </c>
      <c r="I503" s="14">
        <f t="shared" si="137"/>
        <v>0</v>
      </c>
      <c r="J503" s="13">
        <f t="shared" si="130"/>
        <v>300</v>
      </c>
      <c r="K503">
        <f t="shared" si="131"/>
        <v>0</v>
      </c>
      <c r="L503">
        <f t="shared" si="132"/>
        <v>5</v>
      </c>
      <c r="M503" s="14">
        <f t="shared" si="133"/>
        <v>0</v>
      </c>
      <c r="N503" s="13">
        <f t="shared" si="145"/>
        <v>0</v>
      </c>
      <c r="O503">
        <f t="shared" si="145"/>
        <v>13</v>
      </c>
      <c r="P503">
        <f t="shared" si="145"/>
        <v>0</v>
      </c>
      <c r="Q503" s="14">
        <f t="shared" si="138"/>
        <v>780</v>
      </c>
      <c r="R503" s="13">
        <f t="shared" si="139"/>
        <v>0</v>
      </c>
      <c r="S503">
        <f t="shared" si="140"/>
        <v>13</v>
      </c>
      <c r="T503">
        <f t="shared" si="141"/>
        <v>0</v>
      </c>
      <c r="U503" s="14">
        <f t="shared" si="142"/>
        <v>780</v>
      </c>
      <c r="V503" s="15"/>
      <c r="Z503" s="14"/>
    </row>
    <row r="504" spans="1:26" x14ac:dyDescent="0.25">
      <c r="A504" s="16"/>
      <c r="B504" s="17" t="b">
        <f t="shared" si="144"/>
        <v>0</v>
      </c>
      <c r="C504" s="17" t="b">
        <f t="shared" si="143"/>
        <v>0</v>
      </c>
      <c r="D504" s="17">
        <f t="shared" si="134"/>
        <v>1</v>
      </c>
      <c r="E504" s="17" t="str">
        <f t="shared" si="135"/>
        <v>Section 5 - Next steps</v>
      </c>
      <c r="F504" s="18" t="str">
        <f t="shared" si="136"/>
        <v/>
      </c>
      <c r="G504" s="13" t="str">
        <f t="shared" si="128"/>
        <v/>
      </c>
      <c r="H504">
        <f t="shared" si="129"/>
        <v>0</v>
      </c>
      <c r="I504" s="14">
        <f t="shared" si="137"/>
        <v>0</v>
      </c>
      <c r="J504" s="13">
        <f t="shared" si="130"/>
        <v>300</v>
      </c>
      <c r="K504">
        <f t="shared" si="131"/>
        <v>0</v>
      </c>
      <c r="L504">
        <f t="shared" si="132"/>
        <v>5</v>
      </c>
      <c r="M504" s="14">
        <f t="shared" si="133"/>
        <v>0</v>
      </c>
      <c r="N504" s="13">
        <f t="shared" si="145"/>
        <v>0</v>
      </c>
      <c r="O504">
        <f t="shared" si="145"/>
        <v>13</v>
      </c>
      <c r="P504">
        <f t="shared" si="145"/>
        <v>0</v>
      </c>
      <c r="Q504" s="14">
        <f t="shared" si="138"/>
        <v>780</v>
      </c>
      <c r="R504" s="13">
        <f t="shared" si="139"/>
        <v>0</v>
      </c>
      <c r="S504">
        <f t="shared" si="140"/>
        <v>13</v>
      </c>
      <c r="T504">
        <f t="shared" si="141"/>
        <v>0</v>
      </c>
      <c r="U504" s="14">
        <f t="shared" si="142"/>
        <v>780</v>
      </c>
      <c r="V504" s="15"/>
      <c r="Z504" s="14"/>
    </row>
    <row r="505" spans="1:26" x14ac:dyDescent="0.25">
      <c r="A505" s="16"/>
      <c r="B505" s="17" t="b">
        <f t="shared" si="144"/>
        <v>0</v>
      </c>
      <c r="C505" s="17" t="b">
        <f t="shared" si="143"/>
        <v>0</v>
      </c>
      <c r="D505" s="17">
        <f t="shared" si="134"/>
        <v>1</v>
      </c>
      <c r="E505" s="17" t="str">
        <f t="shared" si="135"/>
        <v>Section 5 - Next steps</v>
      </c>
      <c r="F505" s="18" t="str">
        <f t="shared" si="136"/>
        <v/>
      </c>
      <c r="G505" s="13" t="str">
        <f t="shared" si="128"/>
        <v/>
      </c>
      <c r="H505">
        <f t="shared" si="129"/>
        <v>0</v>
      </c>
      <c r="I505" s="14">
        <f t="shared" si="137"/>
        <v>0</v>
      </c>
      <c r="J505" s="13">
        <f t="shared" si="130"/>
        <v>300</v>
      </c>
      <c r="K505">
        <f t="shared" si="131"/>
        <v>0</v>
      </c>
      <c r="L505">
        <f t="shared" si="132"/>
        <v>5</v>
      </c>
      <c r="M505" s="14">
        <f t="shared" si="133"/>
        <v>0</v>
      </c>
      <c r="N505" s="13">
        <f t="shared" si="145"/>
        <v>0</v>
      </c>
      <c r="O505">
        <f t="shared" si="145"/>
        <v>13</v>
      </c>
      <c r="P505">
        <f t="shared" si="145"/>
        <v>0</v>
      </c>
      <c r="Q505" s="14">
        <f t="shared" si="138"/>
        <v>780</v>
      </c>
      <c r="R505" s="13">
        <f t="shared" si="139"/>
        <v>0</v>
      </c>
      <c r="S505">
        <f t="shared" si="140"/>
        <v>13</v>
      </c>
      <c r="T505">
        <f t="shared" si="141"/>
        <v>0</v>
      </c>
      <c r="U505" s="14">
        <f t="shared" si="142"/>
        <v>780</v>
      </c>
      <c r="V505" s="15"/>
      <c r="Z505" s="14"/>
    </row>
    <row r="506" spans="1:26" x14ac:dyDescent="0.25">
      <c r="A506" s="16"/>
      <c r="B506" s="17" t="b">
        <f t="shared" si="144"/>
        <v>0</v>
      </c>
      <c r="C506" s="17" t="b">
        <f t="shared" si="143"/>
        <v>0</v>
      </c>
      <c r="D506" s="17">
        <f t="shared" si="134"/>
        <v>1</v>
      </c>
      <c r="E506" s="17" t="str">
        <f t="shared" si="135"/>
        <v>Section 5 - Next steps</v>
      </c>
      <c r="F506" s="18" t="str">
        <f t="shared" si="136"/>
        <v/>
      </c>
      <c r="G506" s="13" t="str">
        <f t="shared" si="128"/>
        <v/>
      </c>
      <c r="H506">
        <f t="shared" si="129"/>
        <v>0</v>
      </c>
      <c r="I506" s="14">
        <f t="shared" si="137"/>
        <v>0</v>
      </c>
      <c r="J506" s="13">
        <f t="shared" si="130"/>
        <v>300</v>
      </c>
      <c r="K506">
        <f t="shared" si="131"/>
        <v>0</v>
      </c>
      <c r="L506">
        <f t="shared" si="132"/>
        <v>5</v>
      </c>
      <c r="M506" s="14">
        <f t="shared" si="133"/>
        <v>0</v>
      </c>
      <c r="N506" s="13">
        <f t="shared" si="145"/>
        <v>0</v>
      </c>
      <c r="O506">
        <f t="shared" si="145"/>
        <v>13</v>
      </c>
      <c r="P506">
        <f t="shared" si="145"/>
        <v>0</v>
      </c>
      <c r="Q506" s="14">
        <f t="shared" si="138"/>
        <v>780</v>
      </c>
      <c r="R506" s="13">
        <f t="shared" si="139"/>
        <v>0</v>
      </c>
      <c r="S506">
        <f t="shared" si="140"/>
        <v>13</v>
      </c>
      <c r="T506">
        <f t="shared" si="141"/>
        <v>0</v>
      </c>
      <c r="U506" s="14">
        <f t="shared" si="142"/>
        <v>780</v>
      </c>
      <c r="V506" s="15"/>
      <c r="Z506" s="14"/>
    </row>
    <row r="507" spans="1:26" x14ac:dyDescent="0.25">
      <c r="A507" s="16"/>
      <c r="B507" s="17" t="b">
        <f t="shared" si="144"/>
        <v>0</v>
      </c>
      <c r="C507" s="17" t="b">
        <f t="shared" si="143"/>
        <v>0</v>
      </c>
      <c r="D507" s="17">
        <f t="shared" si="134"/>
        <v>1</v>
      </c>
      <c r="E507" s="17" t="str">
        <f t="shared" si="135"/>
        <v>Section 5 - Next steps</v>
      </c>
      <c r="F507" s="18" t="str">
        <f t="shared" si="136"/>
        <v/>
      </c>
      <c r="G507" s="13" t="str">
        <f t="shared" si="128"/>
        <v/>
      </c>
      <c r="H507">
        <f t="shared" si="129"/>
        <v>0</v>
      </c>
      <c r="I507" s="14">
        <f t="shared" si="137"/>
        <v>0</v>
      </c>
      <c r="J507" s="13">
        <f t="shared" si="130"/>
        <v>300</v>
      </c>
      <c r="K507">
        <f t="shared" si="131"/>
        <v>0</v>
      </c>
      <c r="L507">
        <f t="shared" si="132"/>
        <v>5</v>
      </c>
      <c r="M507" s="14">
        <f t="shared" si="133"/>
        <v>0</v>
      </c>
      <c r="N507" s="13">
        <f t="shared" si="145"/>
        <v>0</v>
      </c>
      <c r="O507">
        <f t="shared" si="145"/>
        <v>13</v>
      </c>
      <c r="P507">
        <f t="shared" si="145"/>
        <v>0</v>
      </c>
      <c r="Q507" s="14">
        <f t="shared" si="138"/>
        <v>780</v>
      </c>
      <c r="R507" s="13">
        <f t="shared" si="139"/>
        <v>0</v>
      </c>
      <c r="S507">
        <f t="shared" si="140"/>
        <v>13</v>
      </c>
      <c r="T507">
        <f t="shared" si="141"/>
        <v>0</v>
      </c>
      <c r="U507" s="14">
        <f t="shared" si="142"/>
        <v>780</v>
      </c>
      <c r="V507" s="15"/>
      <c r="Z507" s="14"/>
    </row>
    <row r="508" spans="1:26" x14ac:dyDescent="0.25">
      <c r="A508" s="16"/>
      <c r="B508" s="17" t="b">
        <f t="shared" si="144"/>
        <v>0</v>
      </c>
      <c r="C508" s="17" t="b">
        <f t="shared" si="143"/>
        <v>0</v>
      </c>
      <c r="D508" s="17">
        <f t="shared" si="134"/>
        <v>1</v>
      </c>
      <c r="E508" s="17" t="str">
        <f t="shared" si="135"/>
        <v>Section 5 - Next steps</v>
      </c>
      <c r="F508" s="18" t="str">
        <f t="shared" si="136"/>
        <v/>
      </c>
      <c r="G508" s="13" t="str">
        <f t="shared" si="128"/>
        <v/>
      </c>
      <c r="H508">
        <f t="shared" si="129"/>
        <v>0</v>
      </c>
      <c r="I508" s="14">
        <f t="shared" si="137"/>
        <v>0</v>
      </c>
      <c r="J508" s="13">
        <f t="shared" si="130"/>
        <v>300</v>
      </c>
      <c r="K508">
        <f t="shared" si="131"/>
        <v>0</v>
      </c>
      <c r="L508">
        <f t="shared" si="132"/>
        <v>5</v>
      </c>
      <c r="M508" s="14">
        <f t="shared" si="133"/>
        <v>0</v>
      </c>
      <c r="N508" s="13">
        <f t="shared" si="145"/>
        <v>0</v>
      </c>
      <c r="O508">
        <f t="shared" si="145"/>
        <v>13</v>
      </c>
      <c r="P508">
        <f t="shared" si="145"/>
        <v>0</v>
      </c>
      <c r="Q508" s="14">
        <f t="shared" si="138"/>
        <v>780</v>
      </c>
      <c r="R508" s="13">
        <f t="shared" si="139"/>
        <v>0</v>
      </c>
      <c r="S508">
        <f t="shared" si="140"/>
        <v>13</v>
      </c>
      <c r="T508">
        <f t="shared" si="141"/>
        <v>0</v>
      </c>
      <c r="U508" s="14">
        <f t="shared" si="142"/>
        <v>780</v>
      </c>
      <c r="V508" s="15"/>
      <c r="Z508" s="14"/>
    </row>
    <row r="509" spans="1:26" x14ac:dyDescent="0.25">
      <c r="A509" s="16"/>
      <c r="B509" s="17" t="b">
        <f t="shared" si="144"/>
        <v>0</v>
      </c>
      <c r="C509" s="17" t="b">
        <f t="shared" si="143"/>
        <v>0</v>
      </c>
      <c r="D509" s="17">
        <f t="shared" si="134"/>
        <v>1</v>
      </c>
      <c r="E509" s="17" t="str">
        <f t="shared" si="135"/>
        <v>Section 5 - Next steps</v>
      </c>
      <c r="F509" s="18" t="str">
        <f t="shared" si="136"/>
        <v/>
      </c>
      <c r="G509" s="13" t="str">
        <f t="shared" si="128"/>
        <v/>
      </c>
      <c r="H509">
        <f t="shared" si="129"/>
        <v>0</v>
      </c>
      <c r="I509" s="14">
        <f t="shared" si="137"/>
        <v>0</v>
      </c>
      <c r="J509" s="13">
        <f t="shared" si="130"/>
        <v>300</v>
      </c>
      <c r="K509">
        <f t="shared" si="131"/>
        <v>0</v>
      </c>
      <c r="L509">
        <f t="shared" si="132"/>
        <v>5</v>
      </c>
      <c r="M509" s="14">
        <f t="shared" si="133"/>
        <v>0</v>
      </c>
      <c r="N509" s="13">
        <f t="shared" si="145"/>
        <v>0</v>
      </c>
      <c r="O509">
        <f t="shared" si="145"/>
        <v>13</v>
      </c>
      <c r="P509">
        <f t="shared" si="145"/>
        <v>0</v>
      </c>
      <c r="Q509" s="14">
        <f t="shared" si="138"/>
        <v>780</v>
      </c>
      <c r="R509" s="13">
        <f t="shared" si="139"/>
        <v>0</v>
      </c>
      <c r="S509">
        <f t="shared" si="140"/>
        <v>13</v>
      </c>
      <c r="T509">
        <f t="shared" si="141"/>
        <v>0</v>
      </c>
      <c r="U509" s="14">
        <f t="shared" si="142"/>
        <v>780</v>
      </c>
      <c r="V509" s="15"/>
      <c r="Z509" s="14"/>
    </row>
    <row r="510" spans="1:26" x14ac:dyDescent="0.25">
      <c r="A510" s="16"/>
      <c r="B510" s="17" t="b">
        <f t="shared" si="144"/>
        <v>0</v>
      </c>
      <c r="C510" s="17" t="b">
        <f t="shared" si="143"/>
        <v>0</v>
      </c>
      <c r="D510" s="17">
        <f t="shared" si="134"/>
        <v>1</v>
      </c>
      <c r="E510" s="17" t="str">
        <f t="shared" si="135"/>
        <v>Section 5 - Next steps</v>
      </c>
      <c r="F510" s="18" t="str">
        <f t="shared" si="136"/>
        <v/>
      </c>
      <c r="G510" s="13" t="str">
        <f t="shared" si="128"/>
        <v/>
      </c>
      <c r="H510">
        <f t="shared" si="129"/>
        <v>0</v>
      </c>
      <c r="I510" s="14">
        <f t="shared" si="137"/>
        <v>0</v>
      </c>
      <c r="J510" s="13">
        <f t="shared" si="130"/>
        <v>300</v>
      </c>
      <c r="K510">
        <f t="shared" si="131"/>
        <v>0</v>
      </c>
      <c r="L510">
        <f t="shared" si="132"/>
        <v>5</v>
      </c>
      <c r="M510" s="14">
        <f t="shared" si="133"/>
        <v>0</v>
      </c>
      <c r="N510" s="13">
        <f t="shared" si="145"/>
        <v>0</v>
      </c>
      <c r="O510">
        <f t="shared" si="145"/>
        <v>13</v>
      </c>
      <c r="P510">
        <f t="shared" si="145"/>
        <v>0</v>
      </c>
      <c r="Q510" s="14">
        <f t="shared" si="138"/>
        <v>780</v>
      </c>
      <c r="R510" s="13">
        <f t="shared" si="139"/>
        <v>0</v>
      </c>
      <c r="S510">
        <f t="shared" si="140"/>
        <v>13</v>
      </c>
      <c r="T510">
        <f t="shared" si="141"/>
        <v>0</v>
      </c>
      <c r="U510" s="14">
        <f t="shared" si="142"/>
        <v>780</v>
      </c>
      <c r="V510" s="15"/>
      <c r="Z510" s="14"/>
    </row>
    <row r="511" spans="1:26" x14ac:dyDescent="0.25">
      <c r="A511" s="16"/>
      <c r="B511" s="17" t="b">
        <f t="shared" si="144"/>
        <v>0</v>
      </c>
      <c r="C511" s="17" t="b">
        <f t="shared" si="143"/>
        <v>0</v>
      </c>
      <c r="D511" s="17">
        <f t="shared" si="134"/>
        <v>1</v>
      </c>
      <c r="E511" s="17" t="str">
        <f t="shared" si="135"/>
        <v>Section 5 - Next steps</v>
      </c>
      <c r="F511" s="18" t="str">
        <f t="shared" si="136"/>
        <v/>
      </c>
      <c r="G511" s="13" t="str">
        <f t="shared" si="128"/>
        <v/>
      </c>
      <c r="H511">
        <f t="shared" si="129"/>
        <v>0</v>
      </c>
      <c r="I511" s="14">
        <f t="shared" si="137"/>
        <v>0</v>
      </c>
      <c r="J511" s="13">
        <f t="shared" si="130"/>
        <v>300</v>
      </c>
      <c r="K511">
        <f t="shared" si="131"/>
        <v>0</v>
      </c>
      <c r="L511">
        <f t="shared" si="132"/>
        <v>5</v>
      </c>
      <c r="M511" s="14">
        <f t="shared" si="133"/>
        <v>0</v>
      </c>
      <c r="N511" s="13">
        <f t="shared" si="145"/>
        <v>0</v>
      </c>
      <c r="O511">
        <f t="shared" si="145"/>
        <v>13</v>
      </c>
      <c r="P511">
        <f t="shared" si="145"/>
        <v>0</v>
      </c>
      <c r="Q511" s="14">
        <f t="shared" si="138"/>
        <v>780</v>
      </c>
      <c r="R511" s="13">
        <f t="shared" si="139"/>
        <v>0</v>
      </c>
      <c r="S511">
        <f t="shared" si="140"/>
        <v>13</v>
      </c>
      <c r="T511">
        <f t="shared" si="141"/>
        <v>0</v>
      </c>
      <c r="U511" s="14">
        <f t="shared" si="142"/>
        <v>780</v>
      </c>
      <c r="V511" s="15"/>
      <c r="Z511" s="14"/>
    </row>
    <row r="512" spans="1:26" x14ac:dyDescent="0.25">
      <c r="A512" s="16"/>
      <c r="B512" s="17" t="b">
        <f t="shared" si="144"/>
        <v>0</v>
      </c>
      <c r="C512" s="17" t="b">
        <f t="shared" si="143"/>
        <v>0</v>
      </c>
      <c r="D512" s="17">
        <f t="shared" si="134"/>
        <v>1</v>
      </c>
      <c r="E512" s="17" t="str">
        <f t="shared" si="135"/>
        <v>Section 5 - Next steps</v>
      </c>
      <c r="F512" s="18" t="str">
        <f t="shared" si="136"/>
        <v/>
      </c>
      <c r="G512" s="13" t="str">
        <f t="shared" si="128"/>
        <v/>
      </c>
      <c r="H512">
        <f t="shared" si="129"/>
        <v>0</v>
      </c>
      <c r="I512" s="14">
        <f t="shared" si="137"/>
        <v>0</v>
      </c>
      <c r="J512" s="13">
        <f t="shared" si="130"/>
        <v>300</v>
      </c>
      <c r="K512">
        <f t="shared" si="131"/>
        <v>0</v>
      </c>
      <c r="L512">
        <f t="shared" si="132"/>
        <v>5</v>
      </c>
      <c r="M512" s="14">
        <f t="shared" si="133"/>
        <v>0</v>
      </c>
      <c r="N512" s="13">
        <f t="shared" si="145"/>
        <v>0</v>
      </c>
      <c r="O512">
        <f t="shared" si="145"/>
        <v>13</v>
      </c>
      <c r="P512">
        <f t="shared" si="145"/>
        <v>0</v>
      </c>
      <c r="Q512" s="14">
        <f t="shared" si="138"/>
        <v>780</v>
      </c>
      <c r="R512" s="13">
        <f t="shared" si="139"/>
        <v>0</v>
      </c>
      <c r="S512">
        <f t="shared" si="140"/>
        <v>13</v>
      </c>
      <c r="T512">
        <f t="shared" si="141"/>
        <v>0</v>
      </c>
      <c r="U512" s="14">
        <f t="shared" si="142"/>
        <v>780</v>
      </c>
      <c r="V512" s="15"/>
      <c r="Z512" s="14"/>
    </row>
    <row r="513" spans="1:26" x14ac:dyDescent="0.25">
      <c r="A513" s="16"/>
      <c r="B513" s="17" t="b">
        <f t="shared" si="144"/>
        <v>0</v>
      </c>
      <c r="C513" s="17" t="b">
        <f t="shared" si="143"/>
        <v>0</v>
      </c>
      <c r="D513" s="17">
        <f t="shared" si="134"/>
        <v>1</v>
      </c>
      <c r="E513" s="17" t="str">
        <f t="shared" si="135"/>
        <v>Section 5 - Next steps</v>
      </c>
      <c r="F513" s="18" t="str">
        <f t="shared" si="136"/>
        <v/>
      </c>
      <c r="G513" s="13" t="str">
        <f t="shared" si="128"/>
        <v/>
      </c>
      <c r="H513">
        <f t="shared" si="129"/>
        <v>0</v>
      </c>
      <c r="I513" s="14">
        <f t="shared" si="137"/>
        <v>0</v>
      </c>
      <c r="J513" s="13">
        <f t="shared" si="130"/>
        <v>300</v>
      </c>
      <c r="K513">
        <f t="shared" si="131"/>
        <v>0</v>
      </c>
      <c r="L513">
        <f t="shared" si="132"/>
        <v>5</v>
      </c>
      <c r="M513" s="14">
        <f t="shared" si="133"/>
        <v>0</v>
      </c>
      <c r="N513" s="13">
        <f t="shared" si="145"/>
        <v>0</v>
      </c>
      <c r="O513">
        <f t="shared" si="145"/>
        <v>13</v>
      </c>
      <c r="P513">
        <f t="shared" si="145"/>
        <v>0</v>
      </c>
      <c r="Q513" s="14">
        <f t="shared" si="138"/>
        <v>780</v>
      </c>
      <c r="R513" s="13">
        <f t="shared" si="139"/>
        <v>0</v>
      </c>
      <c r="S513">
        <f t="shared" si="140"/>
        <v>13</v>
      </c>
      <c r="T513">
        <f t="shared" si="141"/>
        <v>0</v>
      </c>
      <c r="U513" s="14">
        <f t="shared" si="142"/>
        <v>780</v>
      </c>
      <c r="V513" s="15"/>
      <c r="Z513" s="14"/>
    </row>
    <row r="514" spans="1:26" x14ac:dyDescent="0.25">
      <c r="A514" s="16"/>
      <c r="B514" s="17" t="b">
        <f t="shared" si="144"/>
        <v>0</v>
      </c>
      <c r="C514" s="17" t="b">
        <f t="shared" si="143"/>
        <v>0</v>
      </c>
      <c r="D514" s="17">
        <f t="shared" si="134"/>
        <v>1</v>
      </c>
      <c r="E514" s="17" t="str">
        <f t="shared" si="135"/>
        <v>Section 5 - Next steps</v>
      </c>
      <c r="F514" s="18" t="str">
        <f t="shared" si="136"/>
        <v/>
      </c>
      <c r="G514" s="13" t="str">
        <f t="shared" si="128"/>
        <v/>
      </c>
      <c r="H514">
        <f t="shared" si="129"/>
        <v>0</v>
      </c>
      <c r="I514" s="14">
        <f t="shared" si="137"/>
        <v>0</v>
      </c>
      <c r="J514" s="13">
        <f t="shared" si="130"/>
        <v>300</v>
      </c>
      <c r="K514">
        <f t="shared" si="131"/>
        <v>0</v>
      </c>
      <c r="L514">
        <f t="shared" si="132"/>
        <v>5</v>
      </c>
      <c r="M514" s="14">
        <f t="shared" si="133"/>
        <v>0</v>
      </c>
      <c r="N514" s="13">
        <f t="shared" si="145"/>
        <v>0</v>
      </c>
      <c r="O514">
        <f t="shared" si="145"/>
        <v>13</v>
      </c>
      <c r="P514">
        <f t="shared" si="145"/>
        <v>0</v>
      </c>
      <c r="Q514" s="14">
        <f t="shared" si="138"/>
        <v>780</v>
      </c>
      <c r="R514" s="13">
        <f t="shared" si="139"/>
        <v>0</v>
      </c>
      <c r="S514">
        <f t="shared" si="140"/>
        <v>13</v>
      </c>
      <c r="T514">
        <f t="shared" si="141"/>
        <v>0</v>
      </c>
      <c r="U514" s="14">
        <f t="shared" si="142"/>
        <v>780</v>
      </c>
      <c r="V514" s="15"/>
      <c r="Z514" s="14"/>
    </row>
    <row r="515" spans="1:26" x14ac:dyDescent="0.25">
      <c r="A515" s="16"/>
      <c r="B515" s="17" t="b">
        <f t="shared" si="144"/>
        <v>0</v>
      </c>
      <c r="C515" s="17" t="b">
        <f t="shared" si="143"/>
        <v>0</v>
      </c>
      <c r="D515" s="17">
        <f t="shared" si="134"/>
        <v>1</v>
      </c>
      <c r="E515" s="17" t="str">
        <f t="shared" si="135"/>
        <v>Section 5 - Next steps</v>
      </c>
      <c r="F515" s="18" t="str">
        <f t="shared" si="136"/>
        <v/>
      </c>
      <c r="G515" s="13" t="str">
        <f t="shared" si="128"/>
        <v/>
      </c>
      <c r="H515">
        <f t="shared" si="129"/>
        <v>0</v>
      </c>
      <c r="I515" s="14">
        <f t="shared" si="137"/>
        <v>0</v>
      </c>
      <c r="J515" s="13">
        <f t="shared" si="130"/>
        <v>300</v>
      </c>
      <c r="K515">
        <f t="shared" si="131"/>
        <v>0</v>
      </c>
      <c r="L515">
        <f t="shared" si="132"/>
        <v>5</v>
      </c>
      <c r="M515" s="14">
        <f t="shared" si="133"/>
        <v>0</v>
      </c>
      <c r="N515" s="13">
        <f t="shared" si="145"/>
        <v>0</v>
      </c>
      <c r="O515">
        <f t="shared" si="145"/>
        <v>13</v>
      </c>
      <c r="P515">
        <f t="shared" si="145"/>
        <v>0</v>
      </c>
      <c r="Q515" s="14">
        <f t="shared" si="138"/>
        <v>780</v>
      </c>
      <c r="R515" s="13">
        <f t="shared" si="139"/>
        <v>0</v>
      </c>
      <c r="S515">
        <f t="shared" si="140"/>
        <v>13</v>
      </c>
      <c r="T515">
        <f t="shared" si="141"/>
        <v>0</v>
      </c>
      <c r="U515" s="14">
        <f t="shared" si="142"/>
        <v>780</v>
      </c>
      <c r="V515" s="15"/>
      <c r="Z515" s="14"/>
    </row>
    <row r="516" spans="1:26" x14ac:dyDescent="0.25">
      <c r="A516" s="16"/>
      <c r="B516" s="17" t="b">
        <f t="shared" si="144"/>
        <v>0</v>
      </c>
      <c r="C516" s="17" t="b">
        <f t="shared" si="143"/>
        <v>0</v>
      </c>
      <c r="D516" s="17">
        <f t="shared" si="134"/>
        <v>1</v>
      </c>
      <c r="E516" s="17" t="str">
        <f t="shared" si="135"/>
        <v>Section 5 - Next steps</v>
      </c>
      <c r="F516" s="18" t="str">
        <f t="shared" si="136"/>
        <v/>
      </c>
      <c r="G516" s="13" t="str">
        <f t="shared" si="128"/>
        <v/>
      </c>
      <c r="H516">
        <f t="shared" si="129"/>
        <v>0</v>
      </c>
      <c r="I516" s="14">
        <f t="shared" si="137"/>
        <v>0</v>
      </c>
      <c r="J516" s="13">
        <f t="shared" si="130"/>
        <v>300</v>
      </c>
      <c r="K516">
        <f t="shared" si="131"/>
        <v>0</v>
      </c>
      <c r="L516">
        <f t="shared" si="132"/>
        <v>5</v>
      </c>
      <c r="M516" s="14">
        <f t="shared" si="133"/>
        <v>0</v>
      </c>
      <c r="N516" s="13">
        <f t="shared" si="145"/>
        <v>0</v>
      </c>
      <c r="O516">
        <f t="shared" si="145"/>
        <v>13</v>
      </c>
      <c r="P516">
        <f t="shared" si="145"/>
        <v>0</v>
      </c>
      <c r="Q516" s="14">
        <f t="shared" si="138"/>
        <v>780</v>
      </c>
      <c r="R516" s="13">
        <f t="shared" si="139"/>
        <v>0</v>
      </c>
      <c r="S516">
        <f t="shared" si="140"/>
        <v>13</v>
      </c>
      <c r="T516">
        <f t="shared" si="141"/>
        <v>0</v>
      </c>
      <c r="U516" s="14">
        <f t="shared" si="142"/>
        <v>780</v>
      </c>
      <c r="V516" s="15"/>
      <c r="Z516" s="14"/>
    </row>
    <row r="517" spans="1:26" x14ac:dyDescent="0.25">
      <c r="A517" s="16"/>
      <c r="B517" s="17" t="b">
        <f t="shared" si="144"/>
        <v>0</v>
      </c>
      <c r="C517" s="17" t="b">
        <f t="shared" si="143"/>
        <v>0</v>
      </c>
      <c r="D517" s="17">
        <f t="shared" si="134"/>
        <v>1</v>
      </c>
      <c r="E517" s="17" t="str">
        <f t="shared" si="135"/>
        <v>Section 5 - Next steps</v>
      </c>
      <c r="F517" s="18" t="str">
        <f t="shared" si="136"/>
        <v/>
      </c>
      <c r="G517" s="13" t="str">
        <f t="shared" si="128"/>
        <v/>
      </c>
      <c r="H517">
        <f t="shared" si="129"/>
        <v>0</v>
      </c>
      <c r="I517" s="14">
        <f t="shared" si="137"/>
        <v>0</v>
      </c>
      <c r="J517" s="13">
        <f t="shared" si="130"/>
        <v>300</v>
      </c>
      <c r="K517">
        <f t="shared" si="131"/>
        <v>0</v>
      </c>
      <c r="L517">
        <f t="shared" si="132"/>
        <v>5</v>
      </c>
      <c r="M517" s="14">
        <f t="shared" si="133"/>
        <v>0</v>
      </c>
      <c r="N517" s="13">
        <f t="shared" si="145"/>
        <v>0</v>
      </c>
      <c r="O517">
        <f t="shared" si="145"/>
        <v>13</v>
      </c>
      <c r="P517">
        <f t="shared" si="145"/>
        <v>0</v>
      </c>
      <c r="Q517" s="14">
        <f t="shared" si="138"/>
        <v>780</v>
      </c>
      <c r="R517" s="13">
        <f t="shared" si="139"/>
        <v>0</v>
      </c>
      <c r="S517">
        <f t="shared" si="140"/>
        <v>13</v>
      </c>
      <c r="T517">
        <f t="shared" si="141"/>
        <v>0</v>
      </c>
      <c r="U517" s="14">
        <f t="shared" si="142"/>
        <v>780</v>
      </c>
      <c r="V517" s="15"/>
      <c r="Z517" s="14"/>
    </row>
    <row r="518" spans="1:26" x14ac:dyDescent="0.25">
      <c r="A518" s="16"/>
      <c r="B518" s="17" t="b">
        <f t="shared" si="144"/>
        <v>0</v>
      </c>
      <c r="C518" s="17" t="b">
        <f t="shared" si="143"/>
        <v>0</v>
      </c>
      <c r="D518" s="17">
        <f t="shared" si="134"/>
        <v>1</v>
      </c>
      <c r="E518" s="17" t="str">
        <f t="shared" si="135"/>
        <v>Section 5 - Next steps</v>
      </c>
      <c r="F518" s="18" t="str">
        <f t="shared" si="136"/>
        <v/>
      </c>
      <c r="G518" s="13" t="str">
        <f t="shared" si="128"/>
        <v/>
      </c>
      <c r="H518">
        <f t="shared" si="129"/>
        <v>0</v>
      </c>
      <c r="I518" s="14">
        <f t="shared" si="137"/>
        <v>0</v>
      </c>
      <c r="J518" s="13">
        <f t="shared" si="130"/>
        <v>300</v>
      </c>
      <c r="K518">
        <f t="shared" si="131"/>
        <v>0</v>
      </c>
      <c r="L518">
        <f t="shared" si="132"/>
        <v>5</v>
      </c>
      <c r="M518" s="14">
        <f t="shared" si="133"/>
        <v>0</v>
      </c>
      <c r="N518" s="13">
        <f t="shared" si="145"/>
        <v>0</v>
      </c>
      <c r="O518">
        <f t="shared" si="145"/>
        <v>13</v>
      </c>
      <c r="P518">
        <f t="shared" si="145"/>
        <v>0</v>
      </c>
      <c r="Q518" s="14">
        <f t="shared" si="138"/>
        <v>780</v>
      </c>
      <c r="R518" s="13">
        <f t="shared" si="139"/>
        <v>0</v>
      </c>
      <c r="S518">
        <f t="shared" si="140"/>
        <v>13</v>
      </c>
      <c r="T518">
        <f t="shared" si="141"/>
        <v>0</v>
      </c>
      <c r="U518" s="14">
        <f t="shared" si="142"/>
        <v>780</v>
      </c>
      <c r="V518" s="15"/>
      <c r="Z518" s="14"/>
    </row>
    <row r="519" spans="1:26" x14ac:dyDescent="0.25">
      <c r="A519" s="16"/>
      <c r="B519" s="17" t="b">
        <f t="shared" si="144"/>
        <v>0</v>
      </c>
      <c r="C519" s="17" t="b">
        <f t="shared" si="143"/>
        <v>0</v>
      </c>
      <c r="D519" s="17">
        <f t="shared" si="134"/>
        <v>1</v>
      </c>
      <c r="E519" s="17" t="str">
        <f t="shared" si="135"/>
        <v>Section 5 - Next steps</v>
      </c>
      <c r="F519" s="18" t="str">
        <f t="shared" si="136"/>
        <v/>
      </c>
      <c r="G519" s="13" t="str">
        <f t="shared" si="128"/>
        <v/>
      </c>
      <c r="H519">
        <f t="shared" si="129"/>
        <v>0</v>
      </c>
      <c r="I519" s="14">
        <f t="shared" si="137"/>
        <v>0</v>
      </c>
      <c r="J519" s="13">
        <f t="shared" si="130"/>
        <v>300</v>
      </c>
      <c r="K519">
        <f t="shared" si="131"/>
        <v>0</v>
      </c>
      <c r="L519">
        <f t="shared" si="132"/>
        <v>5</v>
      </c>
      <c r="M519" s="14">
        <f t="shared" si="133"/>
        <v>0</v>
      </c>
      <c r="N519" s="13">
        <f t="shared" si="145"/>
        <v>0</v>
      </c>
      <c r="O519">
        <f t="shared" si="145"/>
        <v>13</v>
      </c>
      <c r="P519">
        <f t="shared" si="145"/>
        <v>0</v>
      </c>
      <c r="Q519" s="14">
        <f t="shared" si="138"/>
        <v>780</v>
      </c>
      <c r="R519" s="13">
        <f t="shared" si="139"/>
        <v>0</v>
      </c>
      <c r="S519">
        <f t="shared" si="140"/>
        <v>13</v>
      </c>
      <c r="T519">
        <f t="shared" si="141"/>
        <v>0</v>
      </c>
      <c r="U519" s="14">
        <f t="shared" si="142"/>
        <v>780</v>
      </c>
      <c r="V519" s="15"/>
      <c r="Z519" s="14"/>
    </row>
    <row r="520" spans="1:26" x14ac:dyDescent="0.25">
      <c r="A520" s="16"/>
      <c r="B520" s="17" t="b">
        <f t="shared" si="144"/>
        <v>0</v>
      </c>
      <c r="C520" s="17" t="b">
        <f t="shared" si="143"/>
        <v>0</v>
      </c>
      <c r="D520" s="17">
        <f t="shared" si="134"/>
        <v>1</v>
      </c>
      <c r="E520" s="17" t="str">
        <f t="shared" si="135"/>
        <v>Section 5 - Next steps</v>
      </c>
      <c r="F520" s="18" t="str">
        <f t="shared" si="136"/>
        <v/>
      </c>
      <c r="G520" s="13" t="str">
        <f t="shared" si="128"/>
        <v/>
      </c>
      <c r="H520">
        <f t="shared" si="129"/>
        <v>0</v>
      </c>
      <c r="I520" s="14">
        <f t="shared" si="137"/>
        <v>0</v>
      </c>
      <c r="J520" s="13">
        <f t="shared" si="130"/>
        <v>300</v>
      </c>
      <c r="K520">
        <f t="shared" si="131"/>
        <v>0</v>
      </c>
      <c r="L520">
        <f t="shared" si="132"/>
        <v>5</v>
      </c>
      <c r="M520" s="14">
        <f t="shared" si="133"/>
        <v>0</v>
      </c>
      <c r="N520" s="13">
        <f t="shared" si="145"/>
        <v>0</v>
      </c>
      <c r="O520">
        <f t="shared" si="145"/>
        <v>13</v>
      </c>
      <c r="P520">
        <f t="shared" si="145"/>
        <v>0</v>
      </c>
      <c r="Q520" s="14">
        <f t="shared" si="138"/>
        <v>780</v>
      </c>
      <c r="R520" s="13">
        <f t="shared" si="139"/>
        <v>0</v>
      </c>
      <c r="S520">
        <f t="shared" si="140"/>
        <v>13</v>
      </c>
      <c r="T520">
        <f t="shared" si="141"/>
        <v>0</v>
      </c>
      <c r="U520" s="14">
        <f t="shared" si="142"/>
        <v>780</v>
      </c>
      <c r="V520" s="15"/>
      <c r="Z520" s="14"/>
    </row>
    <row r="521" spans="1:26" x14ac:dyDescent="0.25">
      <c r="A521" s="16"/>
      <c r="B521" s="17" t="b">
        <f t="shared" si="144"/>
        <v>0</v>
      </c>
      <c r="C521" s="17" t="b">
        <f t="shared" si="143"/>
        <v>0</v>
      </c>
      <c r="D521" s="17">
        <f t="shared" si="134"/>
        <v>1</v>
      </c>
      <c r="E521" s="17" t="str">
        <f t="shared" si="135"/>
        <v>Section 5 - Next steps</v>
      </c>
      <c r="F521" s="18" t="str">
        <f t="shared" si="136"/>
        <v/>
      </c>
      <c r="G521" s="13" t="str">
        <f t="shared" si="128"/>
        <v/>
      </c>
      <c r="H521">
        <f t="shared" si="129"/>
        <v>0</v>
      </c>
      <c r="I521" s="14">
        <f t="shared" si="137"/>
        <v>0</v>
      </c>
      <c r="J521" s="13">
        <f t="shared" si="130"/>
        <v>300</v>
      </c>
      <c r="K521">
        <f t="shared" si="131"/>
        <v>0</v>
      </c>
      <c r="L521">
        <f t="shared" si="132"/>
        <v>5</v>
      </c>
      <c r="M521" s="14">
        <f t="shared" si="133"/>
        <v>0</v>
      </c>
      <c r="N521" s="13">
        <f t="shared" si="145"/>
        <v>0</v>
      </c>
      <c r="O521">
        <f t="shared" si="145"/>
        <v>13</v>
      </c>
      <c r="P521">
        <f t="shared" si="145"/>
        <v>0</v>
      </c>
      <c r="Q521" s="14">
        <f t="shared" si="138"/>
        <v>780</v>
      </c>
      <c r="R521" s="13">
        <f t="shared" si="139"/>
        <v>0</v>
      </c>
      <c r="S521">
        <f t="shared" si="140"/>
        <v>13</v>
      </c>
      <c r="T521">
        <f t="shared" si="141"/>
        <v>0</v>
      </c>
      <c r="U521" s="14">
        <f t="shared" si="142"/>
        <v>780</v>
      </c>
      <c r="V521" s="15"/>
      <c r="Z521" s="14"/>
    </row>
    <row r="522" spans="1:26" x14ac:dyDescent="0.25">
      <c r="A522" s="16"/>
      <c r="B522" s="17" t="b">
        <f t="shared" si="144"/>
        <v>0</v>
      </c>
      <c r="C522" s="17" t="b">
        <f t="shared" si="143"/>
        <v>0</v>
      </c>
      <c r="D522" s="17">
        <f t="shared" si="134"/>
        <v>1</v>
      </c>
      <c r="E522" s="17" t="str">
        <f t="shared" si="135"/>
        <v>Section 5 - Next steps</v>
      </c>
      <c r="F522" s="18" t="str">
        <f t="shared" si="136"/>
        <v/>
      </c>
      <c r="G522" s="13" t="str">
        <f t="shared" si="128"/>
        <v/>
      </c>
      <c r="H522">
        <f t="shared" si="129"/>
        <v>0</v>
      </c>
      <c r="I522" s="14">
        <f t="shared" si="137"/>
        <v>0</v>
      </c>
      <c r="J522" s="13">
        <f t="shared" si="130"/>
        <v>300</v>
      </c>
      <c r="K522">
        <f t="shared" si="131"/>
        <v>0</v>
      </c>
      <c r="L522">
        <f t="shared" si="132"/>
        <v>5</v>
      </c>
      <c r="M522" s="14">
        <f t="shared" si="133"/>
        <v>0</v>
      </c>
      <c r="N522" s="13">
        <f t="shared" si="145"/>
        <v>0</v>
      </c>
      <c r="O522">
        <f t="shared" si="145"/>
        <v>13</v>
      </c>
      <c r="P522">
        <f t="shared" si="145"/>
        <v>0</v>
      </c>
      <c r="Q522" s="14">
        <f t="shared" si="138"/>
        <v>780</v>
      </c>
      <c r="R522" s="13">
        <f t="shared" si="139"/>
        <v>0</v>
      </c>
      <c r="S522">
        <f t="shared" si="140"/>
        <v>13</v>
      </c>
      <c r="T522">
        <f t="shared" si="141"/>
        <v>0</v>
      </c>
      <c r="U522" s="14">
        <f t="shared" si="142"/>
        <v>780</v>
      </c>
      <c r="V522" s="15"/>
      <c r="Z522" s="14"/>
    </row>
    <row r="523" spans="1:26" x14ac:dyDescent="0.25">
      <c r="A523" s="16"/>
      <c r="B523" s="17" t="b">
        <f t="shared" si="144"/>
        <v>0</v>
      </c>
      <c r="C523" s="17" t="b">
        <f t="shared" si="143"/>
        <v>0</v>
      </c>
      <c r="D523" s="17">
        <f t="shared" si="134"/>
        <v>1</v>
      </c>
      <c r="E523" s="17" t="str">
        <f t="shared" si="135"/>
        <v>Section 5 - Next steps</v>
      </c>
      <c r="F523" s="18" t="str">
        <f t="shared" si="136"/>
        <v/>
      </c>
      <c r="G523" s="13" t="str">
        <f t="shared" ref="G523:G566" si="146">IF(C523,IF(ISERROR(FIND("s",A524)),LEFT(A524,FIND("m",A524)),LEFT(A524,FIND("s",A524))),"")</f>
        <v/>
      </c>
      <c r="H523">
        <f t="shared" ref="H523:H566" si="147">IF(OR(G523="",ISERROR(FIND("m",G523))),0,VALUE(LEFT(G523,FIND("m",G523)-1)))</f>
        <v>0</v>
      </c>
      <c r="I523" s="14">
        <f t="shared" si="137"/>
        <v>0</v>
      </c>
      <c r="J523" s="13">
        <f t="shared" ref="J523:J566" si="148">J522+(H523*60+I523)</f>
        <v>300</v>
      </c>
      <c r="K523">
        <f t="shared" ref="K523:K566" si="149">INT(J523/60/60)</f>
        <v>0</v>
      </c>
      <c r="L523">
        <f t="shared" ref="L523:L566" si="150">INT((J523-(K523*60*60))/60)</f>
        <v>5</v>
      </c>
      <c r="M523" s="14">
        <f t="shared" ref="M523:M566" si="151">J523-(((K523*60)+L523)*60)</f>
        <v>0</v>
      </c>
      <c r="N523" s="13">
        <f t="shared" si="145"/>
        <v>0</v>
      </c>
      <c r="O523">
        <f t="shared" si="145"/>
        <v>13</v>
      </c>
      <c r="P523">
        <f t="shared" si="145"/>
        <v>0</v>
      </c>
      <c r="Q523" s="14">
        <f t="shared" si="138"/>
        <v>780</v>
      </c>
      <c r="R523" s="13">
        <f t="shared" si="139"/>
        <v>0</v>
      </c>
      <c r="S523">
        <f t="shared" si="140"/>
        <v>13</v>
      </c>
      <c r="T523">
        <f t="shared" si="141"/>
        <v>0</v>
      </c>
      <c r="U523" s="14">
        <f t="shared" si="142"/>
        <v>780</v>
      </c>
      <c r="V523" s="15"/>
      <c r="Z523" s="14"/>
    </row>
    <row r="524" spans="1:26" x14ac:dyDescent="0.25">
      <c r="A524" s="16"/>
      <c r="B524" s="17" t="b">
        <f t="shared" si="144"/>
        <v>0</v>
      </c>
      <c r="C524" s="17" t="b">
        <f t="shared" si="143"/>
        <v>0</v>
      </c>
      <c r="D524" s="17">
        <f t="shared" ref="D524:D566" si="152">IF(B524,0,IF(C524,D523+1,D523))</f>
        <v>1</v>
      </c>
      <c r="E524" s="17" t="str">
        <f t="shared" ref="E524:E566" si="153">SUBSTITUTE(IF(B524,A524,E523),":", " -")</f>
        <v>Section 5 - Next steps</v>
      </c>
      <c r="F524" s="18" t="str">
        <f t="shared" ref="F524:F566" si="154">IF(C524,A524,"")</f>
        <v/>
      </c>
      <c r="G524" s="13" t="str">
        <f t="shared" si="146"/>
        <v/>
      </c>
      <c r="H524">
        <f t="shared" si="147"/>
        <v>0</v>
      </c>
      <c r="I524" s="14">
        <f t="shared" ref="I524:I566" si="155">IF(OR(G524="",ISERROR(FIND("s",G524))),0,VALUE(SUBSTITUTE(MID(G524,IF(ISERROR(FIND("m",G524)), 0,FIND("m",G524))+1,LEN(G524)),"s","")))</f>
        <v>0</v>
      </c>
      <c r="J524" s="13">
        <f t="shared" si="148"/>
        <v>300</v>
      </c>
      <c r="K524">
        <f t="shared" si="149"/>
        <v>0</v>
      </c>
      <c r="L524">
        <f t="shared" si="150"/>
        <v>5</v>
      </c>
      <c r="M524" s="14">
        <f t="shared" si="151"/>
        <v>0</v>
      </c>
      <c r="N524" s="13">
        <f t="shared" si="145"/>
        <v>0</v>
      </c>
      <c r="O524">
        <f t="shared" si="145"/>
        <v>13</v>
      </c>
      <c r="P524">
        <f t="shared" si="145"/>
        <v>0</v>
      </c>
      <c r="Q524" s="14">
        <f t="shared" si="138"/>
        <v>780</v>
      </c>
      <c r="R524" s="13">
        <f t="shared" si="139"/>
        <v>0</v>
      </c>
      <c r="S524">
        <f t="shared" si="140"/>
        <v>13</v>
      </c>
      <c r="T524">
        <f t="shared" si="141"/>
        <v>0</v>
      </c>
      <c r="U524" s="14">
        <f t="shared" si="142"/>
        <v>780</v>
      </c>
      <c r="V524" s="15"/>
      <c r="Z524" s="14"/>
    </row>
    <row r="525" spans="1:26" x14ac:dyDescent="0.25">
      <c r="A525" s="16"/>
      <c r="B525" s="17" t="b">
        <f t="shared" si="144"/>
        <v>0</v>
      </c>
      <c r="C525" s="17" t="b">
        <f t="shared" si="143"/>
        <v>0</v>
      </c>
      <c r="D525" s="17">
        <f t="shared" si="152"/>
        <v>1</v>
      </c>
      <c r="E525" s="17" t="str">
        <f t="shared" si="153"/>
        <v>Section 5 - Next steps</v>
      </c>
      <c r="F525" s="18" t="str">
        <f t="shared" si="154"/>
        <v/>
      </c>
      <c r="G525" s="13" t="str">
        <f t="shared" si="146"/>
        <v/>
      </c>
      <c r="H525">
        <f t="shared" si="147"/>
        <v>0</v>
      </c>
      <c r="I525" s="14">
        <f t="shared" si="155"/>
        <v>0</v>
      </c>
      <c r="J525" s="13">
        <f t="shared" si="148"/>
        <v>300</v>
      </c>
      <c r="K525">
        <f t="shared" si="149"/>
        <v>0</v>
      </c>
      <c r="L525">
        <f t="shared" si="150"/>
        <v>5</v>
      </c>
      <c r="M525" s="14">
        <f t="shared" si="151"/>
        <v>0</v>
      </c>
      <c r="N525" s="13">
        <f t="shared" si="145"/>
        <v>0</v>
      </c>
      <c r="O525">
        <f t="shared" si="145"/>
        <v>13</v>
      </c>
      <c r="P525">
        <f t="shared" si="145"/>
        <v>0</v>
      </c>
      <c r="Q525" s="14">
        <f t="shared" si="138"/>
        <v>780</v>
      </c>
      <c r="R525" s="13">
        <f t="shared" si="139"/>
        <v>0</v>
      </c>
      <c r="S525">
        <f t="shared" si="140"/>
        <v>13</v>
      </c>
      <c r="T525">
        <f t="shared" si="141"/>
        <v>0</v>
      </c>
      <c r="U525" s="14">
        <f t="shared" si="142"/>
        <v>780</v>
      </c>
      <c r="V525" s="15"/>
      <c r="Z525" s="14"/>
    </row>
    <row r="526" spans="1:26" x14ac:dyDescent="0.25">
      <c r="A526" s="16"/>
      <c r="B526" s="17" t="b">
        <f t="shared" si="144"/>
        <v>0</v>
      </c>
      <c r="C526" s="17" t="b">
        <f t="shared" si="143"/>
        <v>0</v>
      </c>
      <c r="D526" s="17">
        <f t="shared" si="152"/>
        <v>1</v>
      </c>
      <c r="E526" s="17" t="str">
        <f t="shared" si="153"/>
        <v>Section 5 - Next steps</v>
      </c>
      <c r="F526" s="18" t="str">
        <f t="shared" si="154"/>
        <v/>
      </c>
      <c r="G526" s="13" t="str">
        <f t="shared" si="146"/>
        <v/>
      </c>
      <c r="H526">
        <f t="shared" si="147"/>
        <v>0</v>
      </c>
      <c r="I526" s="14">
        <f t="shared" si="155"/>
        <v>0</v>
      </c>
      <c r="J526" s="13">
        <f t="shared" si="148"/>
        <v>300</v>
      </c>
      <c r="K526">
        <f t="shared" si="149"/>
        <v>0</v>
      </c>
      <c r="L526">
        <f t="shared" si="150"/>
        <v>5</v>
      </c>
      <c r="M526" s="14">
        <f t="shared" si="151"/>
        <v>0</v>
      </c>
      <c r="N526" s="13">
        <f t="shared" si="145"/>
        <v>0</v>
      </c>
      <c r="O526">
        <f t="shared" si="145"/>
        <v>13</v>
      </c>
      <c r="P526">
        <f t="shared" si="145"/>
        <v>0</v>
      </c>
      <c r="Q526" s="14">
        <f t="shared" ref="Q526:Q566" si="156">(((N526*60)+O526)*60)+P526</f>
        <v>780</v>
      </c>
      <c r="R526" s="13">
        <f t="shared" ref="R526:R566" si="157">INT(U526/60/60)</f>
        <v>0</v>
      </c>
      <c r="S526">
        <f t="shared" ref="S526:S566" si="158">INT((U526-(R526*60*60))/60)</f>
        <v>13</v>
      </c>
      <c r="T526">
        <f t="shared" ref="T526:T566" si="159">U526-(((R526*60)+S526)*60)</f>
        <v>0</v>
      </c>
      <c r="U526" s="14">
        <f t="shared" ref="U526:U566" si="160">((H526*60)+I526)+Q526</f>
        <v>780</v>
      </c>
      <c r="V526" s="15"/>
      <c r="Z526" s="14"/>
    </row>
    <row r="527" spans="1:26" x14ac:dyDescent="0.25">
      <c r="A527" s="16"/>
      <c r="B527" s="17" t="b">
        <f t="shared" si="144"/>
        <v>0</v>
      </c>
      <c r="C527" s="17" t="b">
        <f t="shared" si="143"/>
        <v>0</v>
      </c>
      <c r="D527" s="17">
        <f t="shared" si="152"/>
        <v>1</v>
      </c>
      <c r="E527" s="17" t="str">
        <f t="shared" si="153"/>
        <v>Section 5 - Next steps</v>
      </c>
      <c r="F527" s="18" t="str">
        <f t="shared" si="154"/>
        <v/>
      </c>
      <c r="G527" s="13" t="str">
        <f t="shared" si="146"/>
        <v/>
      </c>
      <c r="H527">
        <f t="shared" si="147"/>
        <v>0</v>
      </c>
      <c r="I527" s="14">
        <f t="shared" si="155"/>
        <v>0</v>
      </c>
      <c r="J527" s="13">
        <f t="shared" si="148"/>
        <v>300</v>
      </c>
      <c r="K527">
        <f t="shared" si="149"/>
        <v>0</v>
      </c>
      <c r="L527">
        <f t="shared" si="150"/>
        <v>5</v>
      </c>
      <c r="M527" s="14">
        <f t="shared" si="151"/>
        <v>0</v>
      </c>
      <c r="N527" s="13">
        <f t="shared" si="145"/>
        <v>0</v>
      </c>
      <c r="O527">
        <f t="shared" si="145"/>
        <v>13</v>
      </c>
      <c r="P527">
        <f t="shared" si="145"/>
        <v>0</v>
      </c>
      <c r="Q527" s="14">
        <f t="shared" si="156"/>
        <v>780</v>
      </c>
      <c r="R527" s="13">
        <f t="shared" si="157"/>
        <v>0</v>
      </c>
      <c r="S527">
        <f t="shared" si="158"/>
        <v>13</v>
      </c>
      <c r="T527">
        <f t="shared" si="159"/>
        <v>0</v>
      </c>
      <c r="U527" s="14">
        <f t="shared" si="160"/>
        <v>780</v>
      </c>
      <c r="V527" s="15"/>
      <c r="Z527" s="14"/>
    </row>
    <row r="528" spans="1:26" x14ac:dyDescent="0.25">
      <c r="A528" s="16"/>
      <c r="B528" s="17" t="b">
        <f t="shared" si="144"/>
        <v>0</v>
      </c>
      <c r="C528" s="17" t="b">
        <f t="shared" ref="C528:C566" si="161">OR(AND(NOT(ISERROR(FIND("m",A529))),ISNUMBER(VALUE(LEFT(A529,FIND("m",A529)-1)))),AND(NOT(ISERROR(FIND("s",A529))),ISNUMBER(VALUE(LEFT(A529,FIND("s",A529)-1)))))</f>
        <v>0</v>
      </c>
      <c r="D528" s="17">
        <f t="shared" si="152"/>
        <v>1</v>
      </c>
      <c r="E528" s="17" t="str">
        <f t="shared" si="153"/>
        <v>Section 5 - Next steps</v>
      </c>
      <c r="F528" s="18" t="str">
        <f t="shared" si="154"/>
        <v/>
      </c>
      <c r="G528" s="13" t="str">
        <f t="shared" si="146"/>
        <v/>
      </c>
      <c r="H528">
        <f t="shared" si="147"/>
        <v>0</v>
      </c>
      <c r="I528" s="14">
        <f t="shared" si="155"/>
        <v>0</v>
      </c>
      <c r="J528" s="13">
        <f t="shared" si="148"/>
        <v>300</v>
      </c>
      <c r="K528">
        <f t="shared" si="149"/>
        <v>0</v>
      </c>
      <c r="L528">
        <f t="shared" si="150"/>
        <v>5</v>
      </c>
      <c r="M528" s="14">
        <f t="shared" si="151"/>
        <v>0</v>
      </c>
      <c r="N528" s="13">
        <f t="shared" si="145"/>
        <v>0</v>
      </c>
      <c r="O528">
        <f t="shared" si="145"/>
        <v>13</v>
      </c>
      <c r="P528">
        <f t="shared" si="145"/>
        <v>0</v>
      </c>
      <c r="Q528" s="14">
        <f t="shared" si="156"/>
        <v>780</v>
      </c>
      <c r="R528" s="13">
        <f t="shared" si="157"/>
        <v>0</v>
      </c>
      <c r="S528">
        <f t="shared" si="158"/>
        <v>13</v>
      </c>
      <c r="T528">
        <f t="shared" si="159"/>
        <v>0</v>
      </c>
      <c r="U528" s="14">
        <f t="shared" si="160"/>
        <v>780</v>
      </c>
      <c r="V528" s="15"/>
      <c r="Z528" s="14"/>
    </row>
    <row r="529" spans="1:26" x14ac:dyDescent="0.25">
      <c r="A529" s="16"/>
      <c r="B529" s="17" t="b">
        <f t="shared" si="144"/>
        <v>0</v>
      </c>
      <c r="C529" s="17" t="b">
        <f t="shared" si="161"/>
        <v>0</v>
      </c>
      <c r="D529" s="17">
        <f t="shared" si="152"/>
        <v>1</v>
      </c>
      <c r="E529" s="17" t="str">
        <f t="shared" si="153"/>
        <v>Section 5 - Next steps</v>
      </c>
      <c r="F529" s="18" t="str">
        <f t="shared" si="154"/>
        <v/>
      </c>
      <c r="G529" s="13" t="str">
        <f t="shared" si="146"/>
        <v/>
      </c>
      <c r="H529">
        <f t="shared" si="147"/>
        <v>0</v>
      </c>
      <c r="I529" s="14">
        <f t="shared" si="155"/>
        <v>0</v>
      </c>
      <c r="J529" s="13">
        <f t="shared" si="148"/>
        <v>300</v>
      </c>
      <c r="K529">
        <f t="shared" si="149"/>
        <v>0</v>
      </c>
      <c r="L529">
        <f t="shared" si="150"/>
        <v>5</v>
      </c>
      <c r="M529" s="14">
        <f t="shared" si="151"/>
        <v>0</v>
      </c>
      <c r="N529" s="13">
        <f t="shared" si="145"/>
        <v>0</v>
      </c>
      <c r="O529">
        <f t="shared" si="145"/>
        <v>13</v>
      </c>
      <c r="P529">
        <f t="shared" si="145"/>
        <v>0</v>
      </c>
      <c r="Q529" s="14">
        <f t="shared" si="156"/>
        <v>780</v>
      </c>
      <c r="R529" s="13">
        <f t="shared" si="157"/>
        <v>0</v>
      </c>
      <c r="S529">
        <f t="shared" si="158"/>
        <v>13</v>
      </c>
      <c r="T529">
        <f t="shared" si="159"/>
        <v>0</v>
      </c>
      <c r="U529" s="14">
        <f t="shared" si="160"/>
        <v>780</v>
      </c>
      <c r="V529" s="15"/>
      <c r="Z529" s="14"/>
    </row>
    <row r="530" spans="1:26" x14ac:dyDescent="0.25">
      <c r="A530" s="16"/>
      <c r="B530" s="17" t="b">
        <f t="shared" si="144"/>
        <v>0</v>
      </c>
      <c r="C530" s="17" t="b">
        <f t="shared" si="161"/>
        <v>0</v>
      </c>
      <c r="D530" s="17">
        <f t="shared" si="152"/>
        <v>1</v>
      </c>
      <c r="E530" s="17" t="str">
        <f t="shared" si="153"/>
        <v>Section 5 - Next steps</v>
      </c>
      <c r="F530" s="18" t="str">
        <f t="shared" si="154"/>
        <v/>
      </c>
      <c r="G530" s="13" t="str">
        <f t="shared" si="146"/>
        <v/>
      </c>
      <c r="H530">
        <f t="shared" si="147"/>
        <v>0</v>
      </c>
      <c r="I530" s="14">
        <f t="shared" si="155"/>
        <v>0</v>
      </c>
      <c r="J530" s="13">
        <f t="shared" si="148"/>
        <v>300</v>
      </c>
      <c r="K530">
        <f t="shared" si="149"/>
        <v>0</v>
      </c>
      <c r="L530">
        <f t="shared" si="150"/>
        <v>5</v>
      </c>
      <c r="M530" s="14">
        <f t="shared" si="151"/>
        <v>0</v>
      </c>
      <c r="N530" s="13">
        <f t="shared" si="145"/>
        <v>0</v>
      </c>
      <c r="O530">
        <f t="shared" si="145"/>
        <v>13</v>
      </c>
      <c r="P530">
        <f t="shared" si="145"/>
        <v>0</v>
      </c>
      <c r="Q530" s="14">
        <f t="shared" si="156"/>
        <v>780</v>
      </c>
      <c r="R530" s="13">
        <f t="shared" si="157"/>
        <v>0</v>
      </c>
      <c r="S530">
        <f t="shared" si="158"/>
        <v>13</v>
      </c>
      <c r="T530">
        <f t="shared" si="159"/>
        <v>0</v>
      </c>
      <c r="U530" s="14">
        <f t="shared" si="160"/>
        <v>780</v>
      </c>
      <c r="V530" s="15"/>
      <c r="Z530" s="14"/>
    </row>
    <row r="531" spans="1:26" x14ac:dyDescent="0.25">
      <c r="A531" s="16"/>
      <c r="B531" s="17" t="b">
        <f t="shared" ref="B531:B566" si="162">AND(NOT(ISERROR(FIND("Section ",A531))),NOT(ISERROR(FIND("Section ",A531))))</f>
        <v>0</v>
      </c>
      <c r="C531" s="17" t="b">
        <f t="shared" si="161"/>
        <v>0</v>
      </c>
      <c r="D531" s="17">
        <f t="shared" si="152"/>
        <v>1</v>
      </c>
      <c r="E531" s="17" t="str">
        <f t="shared" si="153"/>
        <v>Section 5 - Next steps</v>
      </c>
      <c r="F531" s="18" t="str">
        <f t="shared" si="154"/>
        <v/>
      </c>
      <c r="G531" s="13" t="str">
        <f t="shared" si="146"/>
        <v/>
      </c>
      <c r="H531">
        <f t="shared" si="147"/>
        <v>0</v>
      </c>
      <c r="I531" s="14">
        <f t="shared" si="155"/>
        <v>0</v>
      </c>
      <c r="J531" s="13">
        <f t="shared" si="148"/>
        <v>300</v>
      </c>
      <c r="K531">
        <f t="shared" si="149"/>
        <v>0</v>
      </c>
      <c r="L531">
        <f t="shared" si="150"/>
        <v>5</v>
      </c>
      <c r="M531" s="14">
        <f t="shared" si="151"/>
        <v>0</v>
      </c>
      <c r="N531" s="13">
        <f t="shared" si="145"/>
        <v>0</v>
      </c>
      <c r="O531">
        <f t="shared" si="145"/>
        <v>13</v>
      </c>
      <c r="P531">
        <f t="shared" si="145"/>
        <v>0</v>
      </c>
      <c r="Q531" s="14">
        <f t="shared" si="156"/>
        <v>780</v>
      </c>
      <c r="R531" s="13">
        <f t="shared" si="157"/>
        <v>0</v>
      </c>
      <c r="S531">
        <f t="shared" si="158"/>
        <v>13</v>
      </c>
      <c r="T531">
        <f t="shared" si="159"/>
        <v>0</v>
      </c>
      <c r="U531" s="14">
        <f t="shared" si="160"/>
        <v>780</v>
      </c>
      <c r="V531" s="15"/>
      <c r="Z531" s="14"/>
    </row>
    <row r="532" spans="1:26" x14ac:dyDescent="0.25">
      <c r="A532" s="16"/>
      <c r="B532" s="17" t="b">
        <f t="shared" si="162"/>
        <v>0</v>
      </c>
      <c r="C532" s="17" t="b">
        <f t="shared" si="161"/>
        <v>0</v>
      </c>
      <c r="D532" s="17">
        <f t="shared" si="152"/>
        <v>1</v>
      </c>
      <c r="E532" s="17" t="str">
        <f t="shared" si="153"/>
        <v>Section 5 - Next steps</v>
      </c>
      <c r="F532" s="18" t="str">
        <f t="shared" si="154"/>
        <v/>
      </c>
      <c r="G532" s="13" t="str">
        <f t="shared" si="146"/>
        <v/>
      </c>
      <c r="H532">
        <f t="shared" si="147"/>
        <v>0</v>
      </c>
      <c r="I532" s="14">
        <f t="shared" si="155"/>
        <v>0</v>
      </c>
      <c r="J532" s="13">
        <f t="shared" si="148"/>
        <v>300</v>
      </c>
      <c r="K532">
        <f t="shared" si="149"/>
        <v>0</v>
      </c>
      <c r="L532">
        <f t="shared" si="150"/>
        <v>5</v>
      </c>
      <c r="M532" s="14">
        <f t="shared" si="151"/>
        <v>0</v>
      </c>
      <c r="N532" s="13">
        <f t="shared" si="145"/>
        <v>0</v>
      </c>
      <c r="O532">
        <f t="shared" si="145"/>
        <v>13</v>
      </c>
      <c r="P532">
        <f t="shared" si="145"/>
        <v>0</v>
      </c>
      <c r="Q532" s="14">
        <f t="shared" si="156"/>
        <v>780</v>
      </c>
      <c r="R532" s="13">
        <f t="shared" si="157"/>
        <v>0</v>
      </c>
      <c r="S532">
        <f t="shared" si="158"/>
        <v>13</v>
      </c>
      <c r="T532">
        <f t="shared" si="159"/>
        <v>0</v>
      </c>
      <c r="U532" s="14">
        <f t="shared" si="160"/>
        <v>780</v>
      </c>
      <c r="V532" s="15"/>
      <c r="Z532" s="14"/>
    </row>
    <row r="533" spans="1:26" x14ac:dyDescent="0.25">
      <c r="A533" s="16"/>
      <c r="B533" s="17" t="b">
        <f t="shared" si="162"/>
        <v>0</v>
      </c>
      <c r="C533" s="17" t="b">
        <f t="shared" si="161"/>
        <v>0</v>
      </c>
      <c r="D533" s="17">
        <f t="shared" si="152"/>
        <v>1</v>
      </c>
      <c r="E533" s="17" t="str">
        <f t="shared" si="153"/>
        <v>Section 5 - Next steps</v>
      </c>
      <c r="F533" s="18" t="str">
        <f t="shared" si="154"/>
        <v/>
      </c>
      <c r="G533" s="13" t="str">
        <f t="shared" si="146"/>
        <v/>
      </c>
      <c r="H533">
        <f t="shared" si="147"/>
        <v>0</v>
      </c>
      <c r="I533" s="14">
        <f t="shared" si="155"/>
        <v>0</v>
      </c>
      <c r="J533" s="13">
        <f t="shared" si="148"/>
        <v>300</v>
      </c>
      <c r="K533">
        <f t="shared" si="149"/>
        <v>0</v>
      </c>
      <c r="L533">
        <f t="shared" si="150"/>
        <v>5</v>
      </c>
      <c r="M533" s="14">
        <f t="shared" si="151"/>
        <v>0</v>
      </c>
      <c r="N533" s="13">
        <f t="shared" si="145"/>
        <v>0</v>
      </c>
      <c r="O533">
        <f t="shared" si="145"/>
        <v>13</v>
      </c>
      <c r="P533">
        <f t="shared" si="145"/>
        <v>0</v>
      </c>
      <c r="Q533" s="14">
        <f t="shared" si="156"/>
        <v>780</v>
      </c>
      <c r="R533" s="13">
        <f t="shared" si="157"/>
        <v>0</v>
      </c>
      <c r="S533">
        <f t="shared" si="158"/>
        <v>13</v>
      </c>
      <c r="T533">
        <f t="shared" si="159"/>
        <v>0</v>
      </c>
      <c r="U533" s="14">
        <f t="shared" si="160"/>
        <v>780</v>
      </c>
      <c r="V533" s="15"/>
      <c r="Z533" s="14"/>
    </row>
    <row r="534" spans="1:26" x14ac:dyDescent="0.25">
      <c r="A534" s="16"/>
      <c r="B534" s="17" t="b">
        <f t="shared" si="162"/>
        <v>0</v>
      </c>
      <c r="C534" s="17" t="b">
        <f t="shared" si="161"/>
        <v>0</v>
      </c>
      <c r="D534" s="17">
        <f t="shared" si="152"/>
        <v>1</v>
      </c>
      <c r="E534" s="17" t="str">
        <f t="shared" si="153"/>
        <v>Section 5 - Next steps</v>
      </c>
      <c r="F534" s="18" t="str">
        <f t="shared" si="154"/>
        <v/>
      </c>
      <c r="G534" s="13" t="str">
        <f t="shared" si="146"/>
        <v/>
      </c>
      <c r="H534">
        <f t="shared" si="147"/>
        <v>0</v>
      </c>
      <c r="I534" s="14">
        <f t="shared" si="155"/>
        <v>0</v>
      </c>
      <c r="J534" s="13">
        <f t="shared" si="148"/>
        <v>300</v>
      </c>
      <c r="K534">
        <f t="shared" si="149"/>
        <v>0</v>
      </c>
      <c r="L534">
        <f t="shared" si="150"/>
        <v>5</v>
      </c>
      <c r="M534" s="14">
        <f t="shared" si="151"/>
        <v>0</v>
      </c>
      <c r="N534" s="13">
        <f t="shared" si="145"/>
        <v>0</v>
      </c>
      <c r="O534">
        <f t="shared" si="145"/>
        <v>13</v>
      </c>
      <c r="P534">
        <f t="shared" si="145"/>
        <v>0</v>
      </c>
      <c r="Q534" s="14">
        <f t="shared" si="156"/>
        <v>780</v>
      </c>
      <c r="R534" s="13">
        <f t="shared" si="157"/>
        <v>0</v>
      </c>
      <c r="S534">
        <f t="shared" si="158"/>
        <v>13</v>
      </c>
      <c r="T534">
        <f t="shared" si="159"/>
        <v>0</v>
      </c>
      <c r="U534" s="14">
        <f t="shared" si="160"/>
        <v>780</v>
      </c>
      <c r="V534" s="15"/>
      <c r="Z534" s="14"/>
    </row>
    <row r="535" spans="1:26" x14ac:dyDescent="0.25">
      <c r="A535" s="16"/>
      <c r="B535" s="17" t="b">
        <f t="shared" si="162"/>
        <v>0</v>
      </c>
      <c r="C535" s="17" t="b">
        <f t="shared" si="161"/>
        <v>0</v>
      </c>
      <c r="D535" s="17">
        <f t="shared" si="152"/>
        <v>1</v>
      </c>
      <c r="E535" s="17" t="str">
        <f t="shared" si="153"/>
        <v>Section 5 - Next steps</v>
      </c>
      <c r="F535" s="18" t="str">
        <f t="shared" si="154"/>
        <v/>
      </c>
      <c r="G535" s="13" t="str">
        <f t="shared" si="146"/>
        <v/>
      </c>
      <c r="H535">
        <f t="shared" si="147"/>
        <v>0</v>
      </c>
      <c r="I535" s="14">
        <f t="shared" si="155"/>
        <v>0</v>
      </c>
      <c r="J535" s="13">
        <f t="shared" si="148"/>
        <v>300</v>
      </c>
      <c r="K535">
        <f t="shared" si="149"/>
        <v>0</v>
      </c>
      <c r="L535">
        <f t="shared" si="150"/>
        <v>5</v>
      </c>
      <c r="M535" s="14">
        <f t="shared" si="151"/>
        <v>0</v>
      </c>
      <c r="N535" s="13">
        <f t="shared" si="145"/>
        <v>0</v>
      </c>
      <c r="O535">
        <f t="shared" si="145"/>
        <v>13</v>
      </c>
      <c r="P535">
        <f t="shared" si="145"/>
        <v>0</v>
      </c>
      <c r="Q535" s="14">
        <f t="shared" si="156"/>
        <v>780</v>
      </c>
      <c r="R535" s="13">
        <f t="shared" si="157"/>
        <v>0</v>
      </c>
      <c r="S535">
        <f t="shared" si="158"/>
        <v>13</v>
      </c>
      <c r="T535">
        <f t="shared" si="159"/>
        <v>0</v>
      </c>
      <c r="U535" s="14">
        <f t="shared" si="160"/>
        <v>780</v>
      </c>
      <c r="V535" s="15"/>
      <c r="Z535" s="14"/>
    </row>
    <row r="536" spans="1:26" x14ac:dyDescent="0.25">
      <c r="A536" s="16"/>
      <c r="B536" s="17" t="b">
        <f t="shared" si="162"/>
        <v>0</v>
      </c>
      <c r="C536" s="17" t="b">
        <f t="shared" si="161"/>
        <v>0</v>
      </c>
      <c r="D536" s="17">
        <f t="shared" si="152"/>
        <v>1</v>
      </c>
      <c r="E536" s="17" t="str">
        <f t="shared" si="153"/>
        <v>Section 5 - Next steps</v>
      </c>
      <c r="F536" s="18" t="str">
        <f t="shared" si="154"/>
        <v/>
      </c>
      <c r="G536" s="13" t="str">
        <f t="shared" si="146"/>
        <v/>
      </c>
      <c r="H536">
        <f t="shared" si="147"/>
        <v>0</v>
      </c>
      <c r="I536" s="14">
        <f t="shared" si="155"/>
        <v>0</v>
      </c>
      <c r="J536" s="13">
        <f t="shared" si="148"/>
        <v>300</v>
      </c>
      <c r="K536">
        <f t="shared" si="149"/>
        <v>0</v>
      </c>
      <c r="L536">
        <f t="shared" si="150"/>
        <v>5</v>
      </c>
      <c r="M536" s="14">
        <f t="shared" si="151"/>
        <v>0</v>
      </c>
      <c r="N536" s="13">
        <f t="shared" si="145"/>
        <v>0</v>
      </c>
      <c r="O536">
        <f t="shared" si="145"/>
        <v>13</v>
      </c>
      <c r="P536">
        <f t="shared" si="145"/>
        <v>0</v>
      </c>
      <c r="Q536" s="14">
        <f t="shared" si="156"/>
        <v>780</v>
      </c>
      <c r="R536" s="13">
        <f t="shared" si="157"/>
        <v>0</v>
      </c>
      <c r="S536">
        <f t="shared" si="158"/>
        <v>13</v>
      </c>
      <c r="T536">
        <f t="shared" si="159"/>
        <v>0</v>
      </c>
      <c r="U536" s="14">
        <f t="shared" si="160"/>
        <v>780</v>
      </c>
      <c r="V536" s="15"/>
      <c r="Z536" s="14"/>
    </row>
    <row r="537" spans="1:26" x14ac:dyDescent="0.25">
      <c r="A537" s="16"/>
      <c r="B537" s="17" t="b">
        <f t="shared" si="162"/>
        <v>0</v>
      </c>
      <c r="C537" s="17" t="b">
        <f t="shared" si="161"/>
        <v>0</v>
      </c>
      <c r="D537" s="17">
        <f t="shared" si="152"/>
        <v>1</v>
      </c>
      <c r="E537" s="17" t="str">
        <f t="shared" si="153"/>
        <v>Section 5 - Next steps</v>
      </c>
      <c r="F537" s="18" t="str">
        <f t="shared" si="154"/>
        <v/>
      </c>
      <c r="G537" s="13" t="str">
        <f t="shared" si="146"/>
        <v/>
      </c>
      <c r="H537">
        <f t="shared" si="147"/>
        <v>0</v>
      </c>
      <c r="I537" s="14">
        <f t="shared" si="155"/>
        <v>0</v>
      </c>
      <c r="J537" s="13">
        <f t="shared" si="148"/>
        <v>300</v>
      </c>
      <c r="K537">
        <f t="shared" si="149"/>
        <v>0</v>
      </c>
      <c r="L537">
        <f t="shared" si="150"/>
        <v>5</v>
      </c>
      <c r="M537" s="14">
        <f t="shared" si="151"/>
        <v>0</v>
      </c>
      <c r="N537" s="13">
        <f t="shared" si="145"/>
        <v>0</v>
      </c>
      <c r="O537">
        <f t="shared" si="145"/>
        <v>13</v>
      </c>
      <c r="P537">
        <f t="shared" si="145"/>
        <v>0</v>
      </c>
      <c r="Q537" s="14">
        <f t="shared" si="156"/>
        <v>780</v>
      </c>
      <c r="R537" s="13">
        <f t="shared" si="157"/>
        <v>0</v>
      </c>
      <c r="S537">
        <f t="shared" si="158"/>
        <v>13</v>
      </c>
      <c r="T537">
        <f t="shared" si="159"/>
        <v>0</v>
      </c>
      <c r="U537" s="14">
        <f t="shared" si="160"/>
        <v>780</v>
      </c>
      <c r="V537" s="15"/>
      <c r="Z537" s="14"/>
    </row>
    <row r="538" spans="1:26" x14ac:dyDescent="0.25">
      <c r="A538" s="16"/>
      <c r="B538" s="17" t="b">
        <f t="shared" si="162"/>
        <v>0</v>
      </c>
      <c r="C538" s="17" t="b">
        <f t="shared" si="161"/>
        <v>0</v>
      </c>
      <c r="D538" s="17">
        <f t="shared" si="152"/>
        <v>1</v>
      </c>
      <c r="E538" s="17" t="str">
        <f t="shared" si="153"/>
        <v>Section 5 - Next steps</v>
      </c>
      <c r="F538" s="18" t="str">
        <f t="shared" si="154"/>
        <v/>
      </c>
      <c r="G538" s="13" t="str">
        <f t="shared" si="146"/>
        <v/>
      </c>
      <c r="H538">
        <f t="shared" si="147"/>
        <v>0</v>
      </c>
      <c r="I538" s="14">
        <f t="shared" si="155"/>
        <v>0</v>
      </c>
      <c r="J538" s="13">
        <f t="shared" si="148"/>
        <v>300</v>
      </c>
      <c r="K538">
        <f t="shared" si="149"/>
        <v>0</v>
      </c>
      <c r="L538">
        <f t="shared" si="150"/>
        <v>5</v>
      </c>
      <c r="M538" s="14">
        <f t="shared" si="151"/>
        <v>0</v>
      </c>
      <c r="N538" s="13">
        <f t="shared" si="145"/>
        <v>0</v>
      </c>
      <c r="O538">
        <f t="shared" si="145"/>
        <v>13</v>
      </c>
      <c r="P538">
        <f t="shared" si="145"/>
        <v>0</v>
      </c>
      <c r="Q538" s="14">
        <f t="shared" si="156"/>
        <v>780</v>
      </c>
      <c r="R538" s="13">
        <f t="shared" si="157"/>
        <v>0</v>
      </c>
      <c r="S538">
        <f t="shared" si="158"/>
        <v>13</v>
      </c>
      <c r="T538">
        <f t="shared" si="159"/>
        <v>0</v>
      </c>
      <c r="U538" s="14">
        <f t="shared" si="160"/>
        <v>780</v>
      </c>
      <c r="V538" s="15"/>
      <c r="Z538" s="14"/>
    </row>
    <row r="539" spans="1:26" x14ac:dyDescent="0.25">
      <c r="A539" s="16"/>
      <c r="B539" s="17" t="b">
        <f t="shared" si="162"/>
        <v>0</v>
      </c>
      <c r="C539" s="17" t="b">
        <f t="shared" si="161"/>
        <v>0</v>
      </c>
      <c r="D539" s="17">
        <f t="shared" si="152"/>
        <v>1</v>
      </c>
      <c r="E539" s="17" t="str">
        <f t="shared" si="153"/>
        <v>Section 5 - Next steps</v>
      </c>
      <c r="F539" s="18" t="str">
        <f t="shared" si="154"/>
        <v/>
      </c>
      <c r="G539" s="13" t="str">
        <f t="shared" si="146"/>
        <v/>
      </c>
      <c r="H539">
        <f t="shared" si="147"/>
        <v>0</v>
      </c>
      <c r="I539" s="14">
        <f t="shared" si="155"/>
        <v>0</v>
      </c>
      <c r="J539" s="13">
        <f t="shared" si="148"/>
        <v>300</v>
      </c>
      <c r="K539">
        <f t="shared" si="149"/>
        <v>0</v>
      </c>
      <c r="L539">
        <f t="shared" si="150"/>
        <v>5</v>
      </c>
      <c r="M539" s="14">
        <f t="shared" si="151"/>
        <v>0</v>
      </c>
      <c r="N539" s="13">
        <f t="shared" si="145"/>
        <v>0</v>
      </c>
      <c r="O539">
        <f t="shared" si="145"/>
        <v>13</v>
      </c>
      <c r="P539">
        <f t="shared" si="145"/>
        <v>0</v>
      </c>
      <c r="Q539" s="14">
        <f t="shared" si="156"/>
        <v>780</v>
      </c>
      <c r="R539" s="13">
        <f t="shared" si="157"/>
        <v>0</v>
      </c>
      <c r="S539">
        <f t="shared" si="158"/>
        <v>13</v>
      </c>
      <c r="T539">
        <f t="shared" si="159"/>
        <v>0</v>
      </c>
      <c r="U539" s="14">
        <f t="shared" si="160"/>
        <v>780</v>
      </c>
      <c r="V539" s="15"/>
      <c r="Z539" s="14"/>
    </row>
    <row r="540" spans="1:26" x14ac:dyDescent="0.25">
      <c r="A540" s="16"/>
      <c r="B540" s="17" t="b">
        <f t="shared" si="162"/>
        <v>0</v>
      </c>
      <c r="C540" s="17" t="b">
        <f t="shared" si="161"/>
        <v>0</v>
      </c>
      <c r="D540" s="17">
        <f t="shared" si="152"/>
        <v>1</v>
      </c>
      <c r="E540" s="17" t="str">
        <f t="shared" si="153"/>
        <v>Section 5 - Next steps</v>
      </c>
      <c r="F540" s="18" t="str">
        <f t="shared" si="154"/>
        <v/>
      </c>
      <c r="G540" s="13" t="str">
        <f t="shared" si="146"/>
        <v/>
      </c>
      <c r="H540">
        <f t="shared" si="147"/>
        <v>0</v>
      </c>
      <c r="I540" s="14">
        <f t="shared" si="155"/>
        <v>0</v>
      </c>
      <c r="J540" s="13">
        <f t="shared" si="148"/>
        <v>300</v>
      </c>
      <c r="K540">
        <f t="shared" si="149"/>
        <v>0</v>
      </c>
      <c r="L540">
        <f t="shared" si="150"/>
        <v>5</v>
      </c>
      <c r="M540" s="14">
        <f t="shared" si="151"/>
        <v>0</v>
      </c>
      <c r="N540" s="13">
        <f t="shared" ref="N540:P566" si="163">R539</f>
        <v>0</v>
      </c>
      <c r="O540">
        <f t="shared" si="163"/>
        <v>13</v>
      </c>
      <c r="P540">
        <f t="shared" si="163"/>
        <v>0</v>
      </c>
      <c r="Q540" s="14">
        <f t="shared" si="156"/>
        <v>780</v>
      </c>
      <c r="R540" s="13">
        <f t="shared" si="157"/>
        <v>0</v>
      </c>
      <c r="S540">
        <f t="shared" si="158"/>
        <v>13</v>
      </c>
      <c r="T540">
        <f t="shared" si="159"/>
        <v>0</v>
      </c>
      <c r="U540" s="14">
        <f t="shared" si="160"/>
        <v>780</v>
      </c>
      <c r="V540" s="15"/>
      <c r="Z540" s="14"/>
    </row>
    <row r="541" spans="1:26" x14ac:dyDescent="0.25">
      <c r="A541" s="16"/>
      <c r="B541" s="17" t="b">
        <f t="shared" si="162"/>
        <v>0</v>
      </c>
      <c r="C541" s="17" t="b">
        <f t="shared" si="161"/>
        <v>0</v>
      </c>
      <c r="D541" s="17">
        <f t="shared" si="152"/>
        <v>1</v>
      </c>
      <c r="E541" s="17" t="str">
        <f t="shared" si="153"/>
        <v>Section 5 - Next steps</v>
      </c>
      <c r="F541" s="18" t="str">
        <f t="shared" si="154"/>
        <v/>
      </c>
      <c r="G541" s="13" t="str">
        <f t="shared" si="146"/>
        <v/>
      </c>
      <c r="H541">
        <f t="shared" si="147"/>
        <v>0</v>
      </c>
      <c r="I541" s="14">
        <f t="shared" si="155"/>
        <v>0</v>
      </c>
      <c r="J541" s="13">
        <f t="shared" si="148"/>
        <v>300</v>
      </c>
      <c r="K541">
        <f t="shared" si="149"/>
        <v>0</v>
      </c>
      <c r="L541">
        <f t="shared" si="150"/>
        <v>5</v>
      </c>
      <c r="M541" s="14">
        <f t="shared" si="151"/>
        <v>0</v>
      </c>
      <c r="N541" s="13">
        <f t="shared" si="163"/>
        <v>0</v>
      </c>
      <c r="O541">
        <f t="shared" si="163"/>
        <v>13</v>
      </c>
      <c r="P541">
        <f t="shared" si="163"/>
        <v>0</v>
      </c>
      <c r="Q541" s="14">
        <f t="shared" si="156"/>
        <v>780</v>
      </c>
      <c r="R541" s="13">
        <f t="shared" si="157"/>
        <v>0</v>
      </c>
      <c r="S541">
        <f t="shared" si="158"/>
        <v>13</v>
      </c>
      <c r="T541">
        <f t="shared" si="159"/>
        <v>0</v>
      </c>
      <c r="U541" s="14">
        <f t="shared" si="160"/>
        <v>780</v>
      </c>
      <c r="V541" s="15"/>
      <c r="Z541" s="14"/>
    </row>
    <row r="542" spans="1:26" x14ac:dyDescent="0.25">
      <c r="A542" s="16"/>
      <c r="B542" s="17" t="b">
        <f t="shared" si="162"/>
        <v>0</v>
      </c>
      <c r="C542" s="17" t="b">
        <f t="shared" si="161"/>
        <v>0</v>
      </c>
      <c r="D542" s="17">
        <f t="shared" si="152"/>
        <v>1</v>
      </c>
      <c r="E542" s="17" t="str">
        <f t="shared" si="153"/>
        <v>Section 5 - Next steps</v>
      </c>
      <c r="F542" s="18" t="str">
        <f t="shared" si="154"/>
        <v/>
      </c>
      <c r="G542" s="13" t="str">
        <f t="shared" si="146"/>
        <v/>
      </c>
      <c r="H542">
        <f t="shared" si="147"/>
        <v>0</v>
      </c>
      <c r="I542" s="14">
        <f t="shared" si="155"/>
        <v>0</v>
      </c>
      <c r="J542" s="13">
        <f t="shared" si="148"/>
        <v>300</v>
      </c>
      <c r="K542">
        <f t="shared" si="149"/>
        <v>0</v>
      </c>
      <c r="L542">
        <f t="shared" si="150"/>
        <v>5</v>
      </c>
      <c r="M542" s="14">
        <f t="shared" si="151"/>
        <v>0</v>
      </c>
      <c r="N542" s="13">
        <f t="shared" si="163"/>
        <v>0</v>
      </c>
      <c r="O542">
        <f t="shared" si="163"/>
        <v>13</v>
      </c>
      <c r="P542">
        <f t="shared" si="163"/>
        <v>0</v>
      </c>
      <c r="Q542" s="14">
        <f t="shared" si="156"/>
        <v>780</v>
      </c>
      <c r="R542" s="13">
        <f t="shared" si="157"/>
        <v>0</v>
      </c>
      <c r="S542">
        <f t="shared" si="158"/>
        <v>13</v>
      </c>
      <c r="T542">
        <f t="shared" si="159"/>
        <v>0</v>
      </c>
      <c r="U542" s="14">
        <f t="shared" si="160"/>
        <v>780</v>
      </c>
      <c r="V542" s="15"/>
      <c r="Z542" s="14"/>
    </row>
    <row r="543" spans="1:26" x14ac:dyDescent="0.25">
      <c r="A543" s="16"/>
      <c r="B543" s="17" t="b">
        <f t="shared" si="162"/>
        <v>0</v>
      </c>
      <c r="C543" s="17" t="b">
        <f t="shared" si="161"/>
        <v>0</v>
      </c>
      <c r="D543" s="17">
        <f t="shared" si="152"/>
        <v>1</v>
      </c>
      <c r="E543" s="17" t="str">
        <f t="shared" si="153"/>
        <v>Section 5 - Next steps</v>
      </c>
      <c r="F543" s="18" t="str">
        <f t="shared" si="154"/>
        <v/>
      </c>
      <c r="G543" s="13" t="str">
        <f t="shared" si="146"/>
        <v/>
      </c>
      <c r="H543">
        <f t="shared" si="147"/>
        <v>0</v>
      </c>
      <c r="I543" s="14">
        <f t="shared" si="155"/>
        <v>0</v>
      </c>
      <c r="J543" s="13">
        <f t="shared" si="148"/>
        <v>300</v>
      </c>
      <c r="K543">
        <f t="shared" si="149"/>
        <v>0</v>
      </c>
      <c r="L543">
        <f t="shared" si="150"/>
        <v>5</v>
      </c>
      <c r="M543" s="14">
        <f t="shared" si="151"/>
        <v>0</v>
      </c>
      <c r="N543" s="13">
        <f t="shared" si="163"/>
        <v>0</v>
      </c>
      <c r="O543">
        <f t="shared" si="163"/>
        <v>13</v>
      </c>
      <c r="P543">
        <f t="shared" si="163"/>
        <v>0</v>
      </c>
      <c r="Q543" s="14">
        <f t="shared" si="156"/>
        <v>780</v>
      </c>
      <c r="R543" s="13">
        <f t="shared" si="157"/>
        <v>0</v>
      </c>
      <c r="S543">
        <f t="shared" si="158"/>
        <v>13</v>
      </c>
      <c r="T543">
        <f t="shared" si="159"/>
        <v>0</v>
      </c>
      <c r="U543" s="14">
        <f t="shared" si="160"/>
        <v>780</v>
      </c>
      <c r="V543" s="15"/>
      <c r="Z543" s="14"/>
    </row>
    <row r="544" spans="1:26" x14ac:dyDescent="0.25">
      <c r="A544" s="16"/>
      <c r="B544" s="17" t="b">
        <f t="shared" si="162"/>
        <v>0</v>
      </c>
      <c r="C544" s="17" t="b">
        <f t="shared" si="161"/>
        <v>0</v>
      </c>
      <c r="D544" s="17">
        <f t="shared" si="152"/>
        <v>1</v>
      </c>
      <c r="E544" s="17" t="str">
        <f t="shared" si="153"/>
        <v>Section 5 - Next steps</v>
      </c>
      <c r="F544" s="18" t="str">
        <f t="shared" si="154"/>
        <v/>
      </c>
      <c r="G544" s="13" t="str">
        <f t="shared" si="146"/>
        <v/>
      </c>
      <c r="H544">
        <f t="shared" si="147"/>
        <v>0</v>
      </c>
      <c r="I544" s="14">
        <f t="shared" si="155"/>
        <v>0</v>
      </c>
      <c r="J544" s="13">
        <f t="shared" si="148"/>
        <v>300</v>
      </c>
      <c r="K544">
        <f t="shared" si="149"/>
        <v>0</v>
      </c>
      <c r="L544">
        <f t="shared" si="150"/>
        <v>5</v>
      </c>
      <c r="M544" s="14">
        <f t="shared" si="151"/>
        <v>0</v>
      </c>
      <c r="N544" s="13">
        <f t="shared" si="163"/>
        <v>0</v>
      </c>
      <c r="O544">
        <f t="shared" si="163"/>
        <v>13</v>
      </c>
      <c r="P544">
        <f t="shared" si="163"/>
        <v>0</v>
      </c>
      <c r="Q544" s="14">
        <f t="shared" si="156"/>
        <v>780</v>
      </c>
      <c r="R544" s="13">
        <f t="shared" si="157"/>
        <v>0</v>
      </c>
      <c r="S544">
        <f t="shared" si="158"/>
        <v>13</v>
      </c>
      <c r="T544">
        <f t="shared" si="159"/>
        <v>0</v>
      </c>
      <c r="U544" s="14">
        <f t="shared" si="160"/>
        <v>780</v>
      </c>
      <c r="V544" s="15"/>
      <c r="Z544" s="14"/>
    </row>
    <row r="545" spans="1:26" x14ac:dyDescent="0.25">
      <c r="A545" s="16"/>
      <c r="B545" s="17" t="b">
        <f t="shared" si="162"/>
        <v>0</v>
      </c>
      <c r="C545" s="17" t="b">
        <f t="shared" si="161"/>
        <v>0</v>
      </c>
      <c r="D545" s="17">
        <f t="shared" si="152"/>
        <v>1</v>
      </c>
      <c r="E545" s="17" t="str">
        <f t="shared" si="153"/>
        <v>Section 5 - Next steps</v>
      </c>
      <c r="F545" s="18" t="str">
        <f t="shared" si="154"/>
        <v/>
      </c>
      <c r="G545" s="13" t="str">
        <f t="shared" si="146"/>
        <v/>
      </c>
      <c r="H545">
        <f t="shared" si="147"/>
        <v>0</v>
      </c>
      <c r="I545" s="14">
        <f t="shared" si="155"/>
        <v>0</v>
      </c>
      <c r="J545" s="13">
        <f t="shared" si="148"/>
        <v>300</v>
      </c>
      <c r="K545">
        <f t="shared" si="149"/>
        <v>0</v>
      </c>
      <c r="L545">
        <f t="shared" si="150"/>
        <v>5</v>
      </c>
      <c r="M545" s="14">
        <f t="shared" si="151"/>
        <v>0</v>
      </c>
      <c r="N545" s="13">
        <f t="shared" si="163"/>
        <v>0</v>
      </c>
      <c r="O545">
        <f t="shared" si="163"/>
        <v>13</v>
      </c>
      <c r="P545">
        <f t="shared" si="163"/>
        <v>0</v>
      </c>
      <c r="Q545" s="14">
        <f t="shared" si="156"/>
        <v>780</v>
      </c>
      <c r="R545" s="13">
        <f t="shared" si="157"/>
        <v>0</v>
      </c>
      <c r="S545">
        <f t="shared" si="158"/>
        <v>13</v>
      </c>
      <c r="T545">
        <f t="shared" si="159"/>
        <v>0</v>
      </c>
      <c r="U545" s="14">
        <f t="shared" si="160"/>
        <v>780</v>
      </c>
      <c r="V545" s="15"/>
      <c r="Z545" s="14"/>
    </row>
    <row r="546" spans="1:26" x14ac:dyDescent="0.25">
      <c r="A546" s="16"/>
      <c r="B546" s="17" t="b">
        <f t="shared" si="162"/>
        <v>0</v>
      </c>
      <c r="C546" s="17" t="b">
        <f t="shared" si="161"/>
        <v>0</v>
      </c>
      <c r="D546" s="17">
        <f t="shared" si="152"/>
        <v>1</v>
      </c>
      <c r="E546" s="17" t="str">
        <f t="shared" si="153"/>
        <v>Section 5 - Next steps</v>
      </c>
      <c r="F546" s="18" t="str">
        <f t="shared" si="154"/>
        <v/>
      </c>
      <c r="G546" s="13" t="str">
        <f t="shared" si="146"/>
        <v/>
      </c>
      <c r="H546">
        <f t="shared" si="147"/>
        <v>0</v>
      </c>
      <c r="I546" s="14">
        <f t="shared" si="155"/>
        <v>0</v>
      </c>
      <c r="J546" s="13">
        <f t="shared" si="148"/>
        <v>300</v>
      </c>
      <c r="K546">
        <f t="shared" si="149"/>
        <v>0</v>
      </c>
      <c r="L546">
        <f t="shared" si="150"/>
        <v>5</v>
      </c>
      <c r="M546" s="14">
        <f t="shared" si="151"/>
        <v>0</v>
      </c>
      <c r="N546" s="13">
        <f t="shared" si="163"/>
        <v>0</v>
      </c>
      <c r="O546">
        <f t="shared" si="163"/>
        <v>13</v>
      </c>
      <c r="P546">
        <f t="shared" si="163"/>
        <v>0</v>
      </c>
      <c r="Q546" s="14">
        <f t="shared" si="156"/>
        <v>780</v>
      </c>
      <c r="R546" s="13">
        <f t="shared" si="157"/>
        <v>0</v>
      </c>
      <c r="S546">
        <f t="shared" si="158"/>
        <v>13</v>
      </c>
      <c r="T546">
        <f t="shared" si="159"/>
        <v>0</v>
      </c>
      <c r="U546" s="14">
        <f t="shared" si="160"/>
        <v>780</v>
      </c>
      <c r="V546" s="15"/>
      <c r="Z546" s="14"/>
    </row>
    <row r="547" spans="1:26" x14ac:dyDescent="0.25">
      <c r="A547" s="16"/>
      <c r="B547" s="17" t="b">
        <f t="shared" si="162"/>
        <v>0</v>
      </c>
      <c r="C547" s="17" t="b">
        <f t="shared" si="161"/>
        <v>0</v>
      </c>
      <c r="D547" s="17">
        <f t="shared" si="152"/>
        <v>1</v>
      </c>
      <c r="E547" s="17" t="str">
        <f t="shared" si="153"/>
        <v>Section 5 - Next steps</v>
      </c>
      <c r="F547" s="18" t="str">
        <f t="shared" si="154"/>
        <v/>
      </c>
      <c r="G547" s="13" t="str">
        <f t="shared" si="146"/>
        <v/>
      </c>
      <c r="H547">
        <f t="shared" si="147"/>
        <v>0</v>
      </c>
      <c r="I547" s="14">
        <f t="shared" si="155"/>
        <v>0</v>
      </c>
      <c r="J547" s="13">
        <f t="shared" si="148"/>
        <v>300</v>
      </c>
      <c r="K547">
        <f t="shared" si="149"/>
        <v>0</v>
      </c>
      <c r="L547">
        <f t="shared" si="150"/>
        <v>5</v>
      </c>
      <c r="M547" s="14">
        <f t="shared" si="151"/>
        <v>0</v>
      </c>
      <c r="N547" s="13">
        <f t="shared" si="163"/>
        <v>0</v>
      </c>
      <c r="O547">
        <f t="shared" si="163"/>
        <v>13</v>
      </c>
      <c r="P547">
        <f t="shared" si="163"/>
        <v>0</v>
      </c>
      <c r="Q547" s="14">
        <f t="shared" si="156"/>
        <v>780</v>
      </c>
      <c r="R547" s="13">
        <f t="shared" si="157"/>
        <v>0</v>
      </c>
      <c r="S547">
        <f t="shared" si="158"/>
        <v>13</v>
      </c>
      <c r="T547">
        <f t="shared" si="159"/>
        <v>0</v>
      </c>
      <c r="U547" s="14">
        <f t="shared" si="160"/>
        <v>780</v>
      </c>
      <c r="V547" s="15"/>
      <c r="Z547" s="14"/>
    </row>
    <row r="548" spans="1:26" x14ac:dyDescent="0.25">
      <c r="A548" s="16"/>
      <c r="B548" s="17" t="b">
        <f t="shared" si="162"/>
        <v>0</v>
      </c>
      <c r="C548" s="17" t="b">
        <f t="shared" si="161"/>
        <v>0</v>
      </c>
      <c r="D548" s="17">
        <f t="shared" si="152"/>
        <v>1</v>
      </c>
      <c r="E548" s="17" t="str">
        <f t="shared" si="153"/>
        <v>Section 5 - Next steps</v>
      </c>
      <c r="F548" s="18" t="str">
        <f t="shared" si="154"/>
        <v/>
      </c>
      <c r="G548" s="13" t="str">
        <f t="shared" si="146"/>
        <v/>
      </c>
      <c r="H548">
        <f t="shared" si="147"/>
        <v>0</v>
      </c>
      <c r="I548" s="14">
        <f t="shared" si="155"/>
        <v>0</v>
      </c>
      <c r="J548" s="13">
        <f t="shared" si="148"/>
        <v>300</v>
      </c>
      <c r="K548">
        <f t="shared" si="149"/>
        <v>0</v>
      </c>
      <c r="L548">
        <f t="shared" si="150"/>
        <v>5</v>
      </c>
      <c r="M548" s="14">
        <f t="shared" si="151"/>
        <v>0</v>
      </c>
      <c r="N548" s="13">
        <f t="shared" si="163"/>
        <v>0</v>
      </c>
      <c r="O548">
        <f t="shared" si="163"/>
        <v>13</v>
      </c>
      <c r="P548">
        <f t="shared" si="163"/>
        <v>0</v>
      </c>
      <c r="Q548" s="14">
        <f t="shared" si="156"/>
        <v>780</v>
      </c>
      <c r="R548" s="13">
        <f t="shared" si="157"/>
        <v>0</v>
      </c>
      <c r="S548">
        <f t="shared" si="158"/>
        <v>13</v>
      </c>
      <c r="T548">
        <f t="shared" si="159"/>
        <v>0</v>
      </c>
      <c r="U548" s="14">
        <f t="shared" si="160"/>
        <v>780</v>
      </c>
      <c r="V548" s="15"/>
      <c r="Z548" s="14"/>
    </row>
    <row r="549" spans="1:26" x14ac:dyDescent="0.25">
      <c r="A549" s="16"/>
      <c r="B549" s="17" t="b">
        <f t="shared" si="162"/>
        <v>0</v>
      </c>
      <c r="C549" s="17" t="b">
        <f t="shared" si="161"/>
        <v>0</v>
      </c>
      <c r="D549" s="17">
        <f t="shared" si="152"/>
        <v>1</v>
      </c>
      <c r="E549" s="17" t="str">
        <f t="shared" si="153"/>
        <v>Section 5 - Next steps</v>
      </c>
      <c r="F549" s="18" t="str">
        <f t="shared" si="154"/>
        <v/>
      </c>
      <c r="G549" s="13" t="str">
        <f t="shared" si="146"/>
        <v/>
      </c>
      <c r="H549">
        <f t="shared" si="147"/>
        <v>0</v>
      </c>
      <c r="I549" s="14">
        <f t="shared" si="155"/>
        <v>0</v>
      </c>
      <c r="J549" s="13">
        <f t="shared" si="148"/>
        <v>300</v>
      </c>
      <c r="K549">
        <f t="shared" si="149"/>
        <v>0</v>
      </c>
      <c r="L549">
        <f t="shared" si="150"/>
        <v>5</v>
      </c>
      <c r="M549" s="14">
        <f t="shared" si="151"/>
        <v>0</v>
      </c>
      <c r="N549" s="13">
        <f t="shared" si="163"/>
        <v>0</v>
      </c>
      <c r="O549">
        <f t="shared" si="163"/>
        <v>13</v>
      </c>
      <c r="P549">
        <f t="shared" si="163"/>
        <v>0</v>
      </c>
      <c r="Q549" s="14">
        <f t="shared" si="156"/>
        <v>780</v>
      </c>
      <c r="R549" s="13">
        <f t="shared" si="157"/>
        <v>0</v>
      </c>
      <c r="S549">
        <f t="shared" si="158"/>
        <v>13</v>
      </c>
      <c r="T549">
        <f t="shared" si="159"/>
        <v>0</v>
      </c>
      <c r="U549" s="14">
        <f t="shared" si="160"/>
        <v>780</v>
      </c>
      <c r="V549" s="15"/>
      <c r="Z549" s="14"/>
    </row>
    <row r="550" spans="1:26" x14ac:dyDescent="0.25">
      <c r="A550" s="16"/>
      <c r="B550" s="17" t="b">
        <f t="shared" si="162"/>
        <v>0</v>
      </c>
      <c r="C550" s="17" t="b">
        <f t="shared" si="161"/>
        <v>0</v>
      </c>
      <c r="D550" s="17">
        <f t="shared" si="152"/>
        <v>1</v>
      </c>
      <c r="E550" s="17" t="str">
        <f t="shared" si="153"/>
        <v>Section 5 - Next steps</v>
      </c>
      <c r="F550" s="18" t="str">
        <f t="shared" si="154"/>
        <v/>
      </c>
      <c r="G550" s="13" t="str">
        <f t="shared" si="146"/>
        <v/>
      </c>
      <c r="H550">
        <f t="shared" si="147"/>
        <v>0</v>
      </c>
      <c r="I550" s="14">
        <f t="shared" si="155"/>
        <v>0</v>
      </c>
      <c r="J550" s="13">
        <f t="shared" si="148"/>
        <v>300</v>
      </c>
      <c r="K550">
        <f t="shared" si="149"/>
        <v>0</v>
      </c>
      <c r="L550">
        <f t="shared" si="150"/>
        <v>5</v>
      </c>
      <c r="M550" s="14">
        <f t="shared" si="151"/>
        <v>0</v>
      </c>
      <c r="N550" s="13">
        <f t="shared" si="163"/>
        <v>0</v>
      </c>
      <c r="O550">
        <f t="shared" si="163"/>
        <v>13</v>
      </c>
      <c r="P550">
        <f t="shared" si="163"/>
        <v>0</v>
      </c>
      <c r="Q550" s="14">
        <f t="shared" si="156"/>
        <v>780</v>
      </c>
      <c r="R550" s="13">
        <f t="shared" si="157"/>
        <v>0</v>
      </c>
      <c r="S550">
        <f t="shared" si="158"/>
        <v>13</v>
      </c>
      <c r="T550">
        <f t="shared" si="159"/>
        <v>0</v>
      </c>
      <c r="U550" s="14">
        <f t="shared" si="160"/>
        <v>780</v>
      </c>
      <c r="V550" s="15"/>
      <c r="Z550" s="14"/>
    </row>
    <row r="551" spans="1:26" x14ac:dyDescent="0.25">
      <c r="A551" s="16"/>
      <c r="B551" s="17" t="b">
        <f t="shared" si="162"/>
        <v>0</v>
      </c>
      <c r="C551" s="17" t="b">
        <f t="shared" si="161"/>
        <v>0</v>
      </c>
      <c r="D551" s="17">
        <f t="shared" si="152"/>
        <v>1</v>
      </c>
      <c r="E551" s="17" t="str">
        <f t="shared" si="153"/>
        <v>Section 5 - Next steps</v>
      </c>
      <c r="F551" s="18" t="str">
        <f t="shared" si="154"/>
        <v/>
      </c>
      <c r="G551" s="13" t="str">
        <f t="shared" si="146"/>
        <v/>
      </c>
      <c r="H551">
        <f t="shared" si="147"/>
        <v>0</v>
      </c>
      <c r="I551" s="14">
        <f t="shared" si="155"/>
        <v>0</v>
      </c>
      <c r="J551" s="13">
        <f t="shared" si="148"/>
        <v>300</v>
      </c>
      <c r="K551">
        <f t="shared" si="149"/>
        <v>0</v>
      </c>
      <c r="L551">
        <f t="shared" si="150"/>
        <v>5</v>
      </c>
      <c r="M551" s="14">
        <f t="shared" si="151"/>
        <v>0</v>
      </c>
      <c r="N551" s="13">
        <f t="shared" si="163"/>
        <v>0</v>
      </c>
      <c r="O551">
        <f t="shared" si="163"/>
        <v>13</v>
      </c>
      <c r="P551">
        <f t="shared" si="163"/>
        <v>0</v>
      </c>
      <c r="Q551" s="14">
        <f t="shared" si="156"/>
        <v>780</v>
      </c>
      <c r="R551" s="13">
        <f t="shared" si="157"/>
        <v>0</v>
      </c>
      <c r="S551">
        <f t="shared" si="158"/>
        <v>13</v>
      </c>
      <c r="T551">
        <f t="shared" si="159"/>
        <v>0</v>
      </c>
      <c r="U551" s="14">
        <f t="shared" si="160"/>
        <v>780</v>
      </c>
      <c r="V551" s="15"/>
      <c r="Z551" s="14"/>
    </row>
    <row r="552" spans="1:26" x14ac:dyDescent="0.25">
      <c r="A552" s="16"/>
      <c r="B552" s="17" t="b">
        <f t="shared" si="162"/>
        <v>0</v>
      </c>
      <c r="C552" s="17" t="b">
        <f t="shared" si="161"/>
        <v>0</v>
      </c>
      <c r="D552" s="17">
        <f t="shared" si="152"/>
        <v>1</v>
      </c>
      <c r="E552" s="17" t="str">
        <f t="shared" si="153"/>
        <v>Section 5 - Next steps</v>
      </c>
      <c r="F552" s="18" t="str">
        <f t="shared" si="154"/>
        <v/>
      </c>
      <c r="G552" s="13" t="str">
        <f t="shared" si="146"/>
        <v/>
      </c>
      <c r="H552">
        <f t="shared" si="147"/>
        <v>0</v>
      </c>
      <c r="I552" s="14">
        <f t="shared" si="155"/>
        <v>0</v>
      </c>
      <c r="J552" s="13">
        <f t="shared" si="148"/>
        <v>300</v>
      </c>
      <c r="K552">
        <f t="shared" si="149"/>
        <v>0</v>
      </c>
      <c r="L552">
        <f t="shared" si="150"/>
        <v>5</v>
      </c>
      <c r="M552" s="14">
        <f t="shared" si="151"/>
        <v>0</v>
      </c>
      <c r="N552" s="13">
        <f t="shared" si="163"/>
        <v>0</v>
      </c>
      <c r="O552">
        <f t="shared" si="163"/>
        <v>13</v>
      </c>
      <c r="P552">
        <f t="shared" si="163"/>
        <v>0</v>
      </c>
      <c r="Q552" s="14">
        <f t="shared" si="156"/>
        <v>780</v>
      </c>
      <c r="R552" s="13">
        <f t="shared" si="157"/>
        <v>0</v>
      </c>
      <c r="S552">
        <f t="shared" si="158"/>
        <v>13</v>
      </c>
      <c r="T552">
        <f t="shared" si="159"/>
        <v>0</v>
      </c>
      <c r="U552" s="14">
        <f t="shared" si="160"/>
        <v>780</v>
      </c>
      <c r="V552" s="15"/>
      <c r="Z552" s="14"/>
    </row>
    <row r="553" spans="1:26" x14ac:dyDescent="0.25">
      <c r="A553" s="16"/>
      <c r="B553" s="17" t="b">
        <f t="shared" si="162"/>
        <v>0</v>
      </c>
      <c r="C553" s="17" t="b">
        <f t="shared" si="161"/>
        <v>0</v>
      </c>
      <c r="D553" s="17">
        <f t="shared" si="152"/>
        <v>1</v>
      </c>
      <c r="E553" s="17" t="str">
        <f t="shared" si="153"/>
        <v>Section 5 - Next steps</v>
      </c>
      <c r="F553" s="18" t="str">
        <f t="shared" si="154"/>
        <v/>
      </c>
      <c r="G553" s="13" t="str">
        <f t="shared" si="146"/>
        <v/>
      </c>
      <c r="H553">
        <f t="shared" si="147"/>
        <v>0</v>
      </c>
      <c r="I553" s="14">
        <f t="shared" si="155"/>
        <v>0</v>
      </c>
      <c r="J553" s="13">
        <f t="shared" si="148"/>
        <v>300</v>
      </c>
      <c r="K553">
        <f t="shared" si="149"/>
        <v>0</v>
      </c>
      <c r="L553">
        <f t="shared" si="150"/>
        <v>5</v>
      </c>
      <c r="M553" s="14">
        <f t="shared" si="151"/>
        <v>0</v>
      </c>
      <c r="N553" s="13">
        <f t="shared" si="163"/>
        <v>0</v>
      </c>
      <c r="O553">
        <f t="shared" si="163"/>
        <v>13</v>
      </c>
      <c r="P553">
        <f t="shared" si="163"/>
        <v>0</v>
      </c>
      <c r="Q553" s="14">
        <f t="shared" si="156"/>
        <v>780</v>
      </c>
      <c r="R553" s="13">
        <f t="shared" si="157"/>
        <v>0</v>
      </c>
      <c r="S553">
        <f t="shared" si="158"/>
        <v>13</v>
      </c>
      <c r="T553">
        <f t="shared" si="159"/>
        <v>0</v>
      </c>
      <c r="U553" s="14">
        <f t="shared" si="160"/>
        <v>780</v>
      </c>
      <c r="V553" s="15"/>
      <c r="Z553" s="14"/>
    </row>
    <row r="554" spans="1:26" x14ac:dyDescent="0.25">
      <c r="A554" s="16"/>
      <c r="B554" s="17" t="b">
        <f t="shared" si="162"/>
        <v>0</v>
      </c>
      <c r="C554" s="17" t="b">
        <f t="shared" si="161"/>
        <v>0</v>
      </c>
      <c r="D554" s="17">
        <f t="shared" si="152"/>
        <v>1</v>
      </c>
      <c r="E554" s="17" t="str">
        <f t="shared" si="153"/>
        <v>Section 5 - Next steps</v>
      </c>
      <c r="F554" s="18" t="str">
        <f t="shared" si="154"/>
        <v/>
      </c>
      <c r="G554" s="13" t="str">
        <f t="shared" si="146"/>
        <v/>
      </c>
      <c r="H554">
        <f t="shared" si="147"/>
        <v>0</v>
      </c>
      <c r="I554" s="14">
        <f t="shared" si="155"/>
        <v>0</v>
      </c>
      <c r="J554" s="13">
        <f t="shared" si="148"/>
        <v>300</v>
      </c>
      <c r="K554">
        <f t="shared" si="149"/>
        <v>0</v>
      </c>
      <c r="L554">
        <f t="shared" si="150"/>
        <v>5</v>
      </c>
      <c r="M554" s="14">
        <f t="shared" si="151"/>
        <v>0</v>
      </c>
      <c r="N554" s="13">
        <f t="shared" si="163"/>
        <v>0</v>
      </c>
      <c r="O554">
        <f t="shared" si="163"/>
        <v>13</v>
      </c>
      <c r="P554">
        <f t="shared" si="163"/>
        <v>0</v>
      </c>
      <c r="Q554" s="14">
        <f t="shared" si="156"/>
        <v>780</v>
      </c>
      <c r="R554" s="13">
        <f t="shared" si="157"/>
        <v>0</v>
      </c>
      <c r="S554">
        <f t="shared" si="158"/>
        <v>13</v>
      </c>
      <c r="T554">
        <f t="shared" si="159"/>
        <v>0</v>
      </c>
      <c r="U554" s="14">
        <f t="shared" si="160"/>
        <v>780</v>
      </c>
      <c r="V554" s="15"/>
      <c r="Z554" s="14"/>
    </row>
    <row r="555" spans="1:26" x14ac:dyDescent="0.25">
      <c r="A555" s="16"/>
      <c r="B555" s="17" t="b">
        <f t="shared" si="162"/>
        <v>0</v>
      </c>
      <c r="C555" s="17" t="b">
        <f t="shared" si="161"/>
        <v>0</v>
      </c>
      <c r="D555" s="17">
        <f t="shared" si="152"/>
        <v>1</v>
      </c>
      <c r="E555" s="17" t="str">
        <f t="shared" si="153"/>
        <v>Section 5 - Next steps</v>
      </c>
      <c r="F555" s="18" t="str">
        <f t="shared" si="154"/>
        <v/>
      </c>
      <c r="G555" s="13" t="str">
        <f t="shared" si="146"/>
        <v/>
      </c>
      <c r="H555">
        <f t="shared" si="147"/>
        <v>0</v>
      </c>
      <c r="I555" s="14">
        <f t="shared" si="155"/>
        <v>0</v>
      </c>
      <c r="J555" s="13">
        <f t="shared" si="148"/>
        <v>300</v>
      </c>
      <c r="K555">
        <f t="shared" si="149"/>
        <v>0</v>
      </c>
      <c r="L555">
        <f t="shared" si="150"/>
        <v>5</v>
      </c>
      <c r="M555" s="14">
        <f t="shared" si="151"/>
        <v>0</v>
      </c>
      <c r="N555" s="13">
        <f t="shared" si="163"/>
        <v>0</v>
      </c>
      <c r="O555">
        <f t="shared" si="163"/>
        <v>13</v>
      </c>
      <c r="P555">
        <f t="shared" si="163"/>
        <v>0</v>
      </c>
      <c r="Q555" s="14">
        <f t="shared" si="156"/>
        <v>780</v>
      </c>
      <c r="R555" s="13">
        <f t="shared" si="157"/>
        <v>0</v>
      </c>
      <c r="S555">
        <f t="shared" si="158"/>
        <v>13</v>
      </c>
      <c r="T555">
        <f t="shared" si="159"/>
        <v>0</v>
      </c>
      <c r="U555" s="14">
        <f t="shared" si="160"/>
        <v>780</v>
      </c>
      <c r="V555" s="15"/>
      <c r="Z555" s="14"/>
    </row>
    <row r="556" spans="1:26" x14ac:dyDescent="0.25">
      <c r="A556" s="16"/>
      <c r="B556" s="17" t="b">
        <f t="shared" si="162"/>
        <v>0</v>
      </c>
      <c r="C556" s="17" t="b">
        <f t="shared" si="161"/>
        <v>0</v>
      </c>
      <c r="D556" s="17">
        <f t="shared" si="152"/>
        <v>1</v>
      </c>
      <c r="E556" s="17" t="str">
        <f t="shared" si="153"/>
        <v>Section 5 - Next steps</v>
      </c>
      <c r="F556" s="18" t="str">
        <f t="shared" si="154"/>
        <v/>
      </c>
      <c r="G556" s="13" t="str">
        <f t="shared" si="146"/>
        <v/>
      </c>
      <c r="H556">
        <f t="shared" si="147"/>
        <v>0</v>
      </c>
      <c r="I556" s="14">
        <f t="shared" si="155"/>
        <v>0</v>
      </c>
      <c r="J556" s="13">
        <f t="shared" si="148"/>
        <v>300</v>
      </c>
      <c r="K556">
        <f t="shared" si="149"/>
        <v>0</v>
      </c>
      <c r="L556">
        <f t="shared" si="150"/>
        <v>5</v>
      </c>
      <c r="M556" s="14">
        <f t="shared" si="151"/>
        <v>0</v>
      </c>
      <c r="N556" s="13">
        <f t="shared" si="163"/>
        <v>0</v>
      </c>
      <c r="O556">
        <f t="shared" si="163"/>
        <v>13</v>
      </c>
      <c r="P556">
        <f t="shared" si="163"/>
        <v>0</v>
      </c>
      <c r="Q556" s="14">
        <f t="shared" si="156"/>
        <v>780</v>
      </c>
      <c r="R556" s="13">
        <f t="shared" si="157"/>
        <v>0</v>
      </c>
      <c r="S556">
        <f t="shared" si="158"/>
        <v>13</v>
      </c>
      <c r="T556">
        <f t="shared" si="159"/>
        <v>0</v>
      </c>
      <c r="U556" s="14">
        <f t="shared" si="160"/>
        <v>780</v>
      </c>
      <c r="V556" s="15"/>
      <c r="Z556" s="14"/>
    </row>
    <row r="557" spans="1:26" x14ac:dyDescent="0.25">
      <c r="A557" s="16"/>
      <c r="B557" s="17" t="b">
        <f t="shared" si="162"/>
        <v>0</v>
      </c>
      <c r="C557" s="17" t="b">
        <f t="shared" si="161"/>
        <v>0</v>
      </c>
      <c r="D557" s="17">
        <f t="shared" si="152"/>
        <v>1</v>
      </c>
      <c r="E557" s="17" t="str">
        <f t="shared" si="153"/>
        <v>Section 5 - Next steps</v>
      </c>
      <c r="F557" s="18" t="str">
        <f t="shared" si="154"/>
        <v/>
      </c>
      <c r="G557" s="13" t="str">
        <f t="shared" si="146"/>
        <v/>
      </c>
      <c r="H557">
        <f t="shared" si="147"/>
        <v>0</v>
      </c>
      <c r="I557" s="14">
        <f t="shared" si="155"/>
        <v>0</v>
      </c>
      <c r="J557" s="13">
        <f t="shared" si="148"/>
        <v>300</v>
      </c>
      <c r="K557">
        <f t="shared" si="149"/>
        <v>0</v>
      </c>
      <c r="L557">
        <f t="shared" si="150"/>
        <v>5</v>
      </c>
      <c r="M557" s="14">
        <f t="shared" si="151"/>
        <v>0</v>
      </c>
      <c r="N557" s="13">
        <f t="shared" si="163"/>
        <v>0</v>
      </c>
      <c r="O557">
        <f t="shared" si="163"/>
        <v>13</v>
      </c>
      <c r="P557">
        <f t="shared" si="163"/>
        <v>0</v>
      </c>
      <c r="Q557" s="14">
        <f t="shared" si="156"/>
        <v>780</v>
      </c>
      <c r="R557" s="13">
        <f t="shared" si="157"/>
        <v>0</v>
      </c>
      <c r="S557">
        <f t="shared" si="158"/>
        <v>13</v>
      </c>
      <c r="T557">
        <f t="shared" si="159"/>
        <v>0</v>
      </c>
      <c r="U557" s="14">
        <f t="shared" si="160"/>
        <v>780</v>
      </c>
      <c r="V557" s="15"/>
      <c r="Z557" s="14"/>
    </row>
    <row r="558" spans="1:26" x14ac:dyDescent="0.25">
      <c r="A558" s="16"/>
      <c r="B558" s="17" t="b">
        <f t="shared" si="162"/>
        <v>0</v>
      </c>
      <c r="C558" s="17" t="b">
        <f t="shared" si="161"/>
        <v>0</v>
      </c>
      <c r="D558" s="17">
        <f t="shared" si="152"/>
        <v>1</v>
      </c>
      <c r="E558" s="17" t="str">
        <f t="shared" si="153"/>
        <v>Section 5 - Next steps</v>
      </c>
      <c r="F558" s="18" t="str">
        <f t="shared" si="154"/>
        <v/>
      </c>
      <c r="G558" s="13" t="str">
        <f t="shared" si="146"/>
        <v/>
      </c>
      <c r="H558">
        <f t="shared" si="147"/>
        <v>0</v>
      </c>
      <c r="I558" s="14">
        <f t="shared" si="155"/>
        <v>0</v>
      </c>
      <c r="J558" s="13">
        <f t="shared" si="148"/>
        <v>300</v>
      </c>
      <c r="K558">
        <f t="shared" si="149"/>
        <v>0</v>
      </c>
      <c r="L558">
        <f t="shared" si="150"/>
        <v>5</v>
      </c>
      <c r="M558" s="14">
        <f t="shared" si="151"/>
        <v>0</v>
      </c>
      <c r="N558" s="13">
        <f t="shared" si="163"/>
        <v>0</v>
      </c>
      <c r="O558">
        <f t="shared" si="163"/>
        <v>13</v>
      </c>
      <c r="P558">
        <f t="shared" si="163"/>
        <v>0</v>
      </c>
      <c r="Q558" s="14">
        <f t="shared" si="156"/>
        <v>780</v>
      </c>
      <c r="R558" s="13">
        <f t="shared" si="157"/>
        <v>0</v>
      </c>
      <c r="S558">
        <f t="shared" si="158"/>
        <v>13</v>
      </c>
      <c r="T558">
        <f t="shared" si="159"/>
        <v>0</v>
      </c>
      <c r="U558" s="14">
        <f t="shared" si="160"/>
        <v>780</v>
      </c>
      <c r="V558" s="15"/>
      <c r="Z558" s="14"/>
    </row>
    <row r="559" spans="1:26" x14ac:dyDescent="0.25">
      <c r="A559" s="16"/>
      <c r="B559" s="17" t="b">
        <f t="shared" si="162"/>
        <v>0</v>
      </c>
      <c r="C559" s="17" t="b">
        <f t="shared" si="161"/>
        <v>0</v>
      </c>
      <c r="D559" s="17">
        <f t="shared" si="152"/>
        <v>1</v>
      </c>
      <c r="E559" s="17" t="str">
        <f t="shared" si="153"/>
        <v>Section 5 - Next steps</v>
      </c>
      <c r="F559" s="18" t="str">
        <f t="shared" si="154"/>
        <v/>
      </c>
      <c r="G559" s="13" t="str">
        <f t="shared" si="146"/>
        <v/>
      </c>
      <c r="H559">
        <f t="shared" si="147"/>
        <v>0</v>
      </c>
      <c r="I559" s="14">
        <f t="shared" si="155"/>
        <v>0</v>
      </c>
      <c r="J559" s="13">
        <f t="shared" si="148"/>
        <v>300</v>
      </c>
      <c r="K559">
        <f t="shared" si="149"/>
        <v>0</v>
      </c>
      <c r="L559">
        <f t="shared" si="150"/>
        <v>5</v>
      </c>
      <c r="M559" s="14">
        <f t="shared" si="151"/>
        <v>0</v>
      </c>
      <c r="N559" s="13">
        <f t="shared" si="163"/>
        <v>0</v>
      </c>
      <c r="O559">
        <f t="shared" si="163"/>
        <v>13</v>
      </c>
      <c r="P559">
        <f t="shared" si="163"/>
        <v>0</v>
      </c>
      <c r="Q559" s="14">
        <f t="shared" si="156"/>
        <v>780</v>
      </c>
      <c r="R559" s="13">
        <f t="shared" si="157"/>
        <v>0</v>
      </c>
      <c r="S559">
        <f t="shared" si="158"/>
        <v>13</v>
      </c>
      <c r="T559">
        <f t="shared" si="159"/>
        <v>0</v>
      </c>
      <c r="U559" s="14">
        <f t="shared" si="160"/>
        <v>780</v>
      </c>
      <c r="V559" s="15"/>
      <c r="Z559" s="14"/>
    </row>
    <row r="560" spans="1:26" x14ac:dyDescent="0.25">
      <c r="A560" s="16"/>
      <c r="B560" s="17" t="b">
        <f t="shared" si="162"/>
        <v>0</v>
      </c>
      <c r="C560" s="17" t="b">
        <f t="shared" si="161"/>
        <v>0</v>
      </c>
      <c r="D560" s="17">
        <f t="shared" si="152"/>
        <v>1</v>
      </c>
      <c r="E560" s="17" t="str">
        <f t="shared" si="153"/>
        <v>Section 5 - Next steps</v>
      </c>
      <c r="F560" s="18" t="str">
        <f t="shared" si="154"/>
        <v/>
      </c>
      <c r="G560" s="13" t="str">
        <f t="shared" si="146"/>
        <v/>
      </c>
      <c r="H560">
        <f t="shared" si="147"/>
        <v>0</v>
      </c>
      <c r="I560" s="14">
        <f t="shared" si="155"/>
        <v>0</v>
      </c>
      <c r="J560" s="13">
        <f t="shared" si="148"/>
        <v>300</v>
      </c>
      <c r="K560">
        <f t="shared" si="149"/>
        <v>0</v>
      </c>
      <c r="L560">
        <f t="shared" si="150"/>
        <v>5</v>
      </c>
      <c r="M560" s="14">
        <f t="shared" si="151"/>
        <v>0</v>
      </c>
      <c r="N560" s="13">
        <f t="shared" si="163"/>
        <v>0</v>
      </c>
      <c r="O560">
        <f t="shared" si="163"/>
        <v>13</v>
      </c>
      <c r="P560">
        <f t="shared" si="163"/>
        <v>0</v>
      </c>
      <c r="Q560" s="14">
        <f t="shared" si="156"/>
        <v>780</v>
      </c>
      <c r="R560" s="13">
        <f t="shared" si="157"/>
        <v>0</v>
      </c>
      <c r="S560">
        <f t="shared" si="158"/>
        <v>13</v>
      </c>
      <c r="T560">
        <f t="shared" si="159"/>
        <v>0</v>
      </c>
      <c r="U560" s="14">
        <f t="shared" si="160"/>
        <v>780</v>
      </c>
      <c r="V560" s="15"/>
      <c r="Z560" s="14"/>
    </row>
    <row r="561" spans="1:26" x14ac:dyDescent="0.25">
      <c r="A561" s="16"/>
      <c r="B561" s="17" t="b">
        <f t="shared" si="162"/>
        <v>0</v>
      </c>
      <c r="C561" s="17" t="b">
        <f t="shared" si="161"/>
        <v>0</v>
      </c>
      <c r="D561" s="17">
        <f t="shared" si="152"/>
        <v>1</v>
      </c>
      <c r="E561" s="17" t="str">
        <f t="shared" si="153"/>
        <v>Section 5 - Next steps</v>
      </c>
      <c r="F561" s="18" t="str">
        <f t="shared" si="154"/>
        <v/>
      </c>
      <c r="G561" s="13" t="str">
        <f t="shared" si="146"/>
        <v/>
      </c>
      <c r="H561">
        <f t="shared" si="147"/>
        <v>0</v>
      </c>
      <c r="I561" s="14">
        <f t="shared" si="155"/>
        <v>0</v>
      </c>
      <c r="J561" s="13">
        <f t="shared" si="148"/>
        <v>300</v>
      </c>
      <c r="K561">
        <f t="shared" si="149"/>
        <v>0</v>
      </c>
      <c r="L561">
        <f t="shared" si="150"/>
        <v>5</v>
      </c>
      <c r="M561" s="14">
        <f t="shared" si="151"/>
        <v>0</v>
      </c>
      <c r="N561" s="13">
        <f t="shared" si="163"/>
        <v>0</v>
      </c>
      <c r="O561">
        <f t="shared" si="163"/>
        <v>13</v>
      </c>
      <c r="P561">
        <f t="shared" si="163"/>
        <v>0</v>
      </c>
      <c r="Q561" s="14">
        <f t="shared" si="156"/>
        <v>780</v>
      </c>
      <c r="R561" s="13">
        <f t="shared" si="157"/>
        <v>0</v>
      </c>
      <c r="S561">
        <f t="shared" si="158"/>
        <v>13</v>
      </c>
      <c r="T561">
        <f t="shared" si="159"/>
        <v>0</v>
      </c>
      <c r="U561" s="14">
        <f t="shared" si="160"/>
        <v>780</v>
      </c>
      <c r="V561" s="15"/>
      <c r="Z561" s="14"/>
    </row>
    <row r="562" spans="1:26" x14ac:dyDescent="0.25">
      <c r="A562" s="16"/>
      <c r="B562" s="17" t="b">
        <f t="shared" si="162"/>
        <v>0</v>
      </c>
      <c r="C562" s="17" t="b">
        <f t="shared" si="161"/>
        <v>0</v>
      </c>
      <c r="D562" s="17">
        <f t="shared" si="152"/>
        <v>1</v>
      </c>
      <c r="E562" s="17" t="str">
        <f t="shared" si="153"/>
        <v>Section 5 - Next steps</v>
      </c>
      <c r="F562" s="18" t="str">
        <f t="shared" si="154"/>
        <v/>
      </c>
      <c r="G562" s="13" t="str">
        <f t="shared" si="146"/>
        <v/>
      </c>
      <c r="H562">
        <f t="shared" si="147"/>
        <v>0</v>
      </c>
      <c r="I562" s="14">
        <f t="shared" si="155"/>
        <v>0</v>
      </c>
      <c r="J562" s="13">
        <f t="shared" si="148"/>
        <v>300</v>
      </c>
      <c r="K562">
        <f t="shared" si="149"/>
        <v>0</v>
      </c>
      <c r="L562">
        <f t="shared" si="150"/>
        <v>5</v>
      </c>
      <c r="M562" s="14">
        <f t="shared" si="151"/>
        <v>0</v>
      </c>
      <c r="N562" s="13">
        <f t="shared" si="163"/>
        <v>0</v>
      </c>
      <c r="O562">
        <f t="shared" si="163"/>
        <v>13</v>
      </c>
      <c r="P562">
        <f t="shared" si="163"/>
        <v>0</v>
      </c>
      <c r="Q562" s="14">
        <f t="shared" si="156"/>
        <v>780</v>
      </c>
      <c r="R562" s="13">
        <f t="shared" si="157"/>
        <v>0</v>
      </c>
      <c r="S562">
        <f t="shared" si="158"/>
        <v>13</v>
      </c>
      <c r="T562">
        <f t="shared" si="159"/>
        <v>0</v>
      </c>
      <c r="U562" s="14">
        <f t="shared" si="160"/>
        <v>780</v>
      </c>
      <c r="V562" s="15"/>
      <c r="Z562" s="14"/>
    </row>
    <row r="563" spans="1:26" x14ac:dyDescent="0.25">
      <c r="A563" s="16"/>
      <c r="B563" s="17" t="b">
        <f t="shared" si="162"/>
        <v>0</v>
      </c>
      <c r="C563" s="17" t="b">
        <f t="shared" si="161"/>
        <v>0</v>
      </c>
      <c r="D563" s="17">
        <f t="shared" si="152"/>
        <v>1</v>
      </c>
      <c r="E563" s="17" t="str">
        <f t="shared" si="153"/>
        <v>Section 5 - Next steps</v>
      </c>
      <c r="F563" s="18" t="str">
        <f t="shared" si="154"/>
        <v/>
      </c>
      <c r="G563" s="13" t="str">
        <f t="shared" si="146"/>
        <v/>
      </c>
      <c r="H563">
        <f t="shared" si="147"/>
        <v>0</v>
      </c>
      <c r="I563" s="14">
        <f t="shared" si="155"/>
        <v>0</v>
      </c>
      <c r="J563" s="13">
        <f t="shared" si="148"/>
        <v>300</v>
      </c>
      <c r="K563">
        <f t="shared" si="149"/>
        <v>0</v>
      </c>
      <c r="L563">
        <f t="shared" si="150"/>
        <v>5</v>
      </c>
      <c r="M563" s="14">
        <f t="shared" si="151"/>
        <v>0</v>
      </c>
      <c r="N563" s="13">
        <f t="shared" si="163"/>
        <v>0</v>
      </c>
      <c r="O563">
        <f t="shared" si="163"/>
        <v>13</v>
      </c>
      <c r="P563">
        <f t="shared" si="163"/>
        <v>0</v>
      </c>
      <c r="Q563" s="14">
        <f t="shared" si="156"/>
        <v>780</v>
      </c>
      <c r="R563" s="13">
        <f t="shared" si="157"/>
        <v>0</v>
      </c>
      <c r="S563">
        <f t="shared" si="158"/>
        <v>13</v>
      </c>
      <c r="T563">
        <f t="shared" si="159"/>
        <v>0</v>
      </c>
      <c r="U563" s="14">
        <f t="shared" si="160"/>
        <v>780</v>
      </c>
      <c r="V563" s="15"/>
      <c r="Z563" s="14"/>
    </row>
    <row r="564" spans="1:26" x14ac:dyDescent="0.25">
      <c r="A564" s="16"/>
      <c r="B564" s="17" t="b">
        <f t="shared" si="162"/>
        <v>0</v>
      </c>
      <c r="C564" s="17" t="b">
        <f t="shared" si="161"/>
        <v>0</v>
      </c>
      <c r="D564" s="17">
        <f t="shared" si="152"/>
        <v>1</v>
      </c>
      <c r="E564" s="17" t="str">
        <f t="shared" si="153"/>
        <v>Section 5 - Next steps</v>
      </c>
      <c r="F564" s="18" t="str">
        <f t="shared" si="154"/>
        <v/>
      </c>
      <c r="G564" s="13" t="str">
        <f t="shared" si="146"/>
        <v/>
      </c>
      <c r="H564">
        <f t="shared" si="147"/>
        <v>0</v>
      </c>
      <c r="I564" s="14">
        <f t="shared" si="155"/>
        <v>0</v>
      </c>
      <c r="J564" s="13">
        <f t="shared" si="148"/>
        <v>300</v>
      </c>
      <c r="K564">
        <f t="shared" si="149"/>
        <v>0</v>
      </c>
      <c r="L564">
        <f t="shared" si="150"/>
        <v>5</v>
      </c>
      <c r="M564" s="14">
        <f t="shared" si="151"/>
        <v>0</v>
      </c>
      <c r="N564" s="13">
        <f t="shared" si="163"/>
        <v>0</v>
      </c>
      <c r="O564">
        <f t="shared" si="163"/>
        <v>13</v>
      </c>
      <c r="P564">
        <f t="shared" si="163"/>
        <v>0</v>
      </c>
      <c r="Q564" s="14">
        <f t="shared" si="156"/>
        <v>780</v>
      </c>
      <c r="R564" s="13">
        <f t="shared" si="157"/>
        <v>0</v>
      </c>
      <c r="S564">
        <f t="shared" si="158"/>
        <v>13</v>
      </c>
      <c r="T564">
        <f t="shared" si="159"/>
        <v>0</v>
      </c>
      <c r="U564" s="14">
        <f t="shared" si="160"/>
        <v>780</v>
      </c>
      <c r="V564" s="15"/>
      <c r="Z564" s="14"/>
    </row>
    <row r="565" spans="1:26" x14ac:dyDescent="0.25">
      <c r="A565" s="16"/>
      <c r="B565" s="17" t="b">
        <f t="shared" si="162"/>
        <v>0</v>
      </c>
      <c r="C565" s="17" t="b">
        <f t="shared" si="161"/>
        <v>0</v>
      </c>
      <c r="D565" s="17">
        <f t="shared" si="152"/>
        <v>1</v>
      </c>
      <c r="E565" s="17" t="str">
        <f t="shared" si="153"/>
        <v>Section 5 - Next steps</v>
      </c>
      <c r="F565" s="18" t="str">
        <f t="shared" si="154"/>
        <v/>
      </c>
      <c r="G565" s="13" t="str">
        <f t="shared" si="146"/>
        <v/>
      </c>
      <c r="H565">
        <f t="shared" si="147"/>
        <v>0</v>
      </c>
      <c r="I565" s="14">
        <f t="shared" si="155"/>
        <v>0</v>
      </c>
      <c r="J565" s="13">
        <f t="shared" si="148"/>
        <v>300</v>
      </c>
      <c r="K565">
        <f t="shared" si="149"/>
        <v>0</v>
      </c>
      <c r="L565">
        <f t="shared" si="150"/>
        <v>5</v>
      </c>
      <c r="M565" s="14">
        <f t="shared" si="151"/>
        <v>0</v>
      </c>
      <c r="N565" s="13">
        <f t="shared" si="163"/>
        <v>0</v>
      </c>
      <c r="O565">
        <f t="shared" si="163"/>
        <v>13</v>
      </c>
      <c r="P565">
        <f t="shared" si="163"/>
        <v>0</v>
      </c>
      <c r="Q565" s="14">
        <f t="shared" si="156"/>
        <v>780</v>
      </c>
      <c r="R565" s="13">
        <f t="shared" si="157"/>
        <v>0</v>
      </c>
      <c r="S565">
        <f t="shared" si="158"/>
        <v>13</v>
      </c>
      <c r="T565">
        <f t="shared" si="159"/>
        <v>0</v>
      </c>
      <c r="U565" s="14">
        <f t="shared" si="160"/>
        <v>780</v>
      </c>
      <c r="V565" s="15"/>
      <c r="Z565" s="14"/>
    </row>
    <row r="566" spans="1:26" x14ac:dyDescent="0.25">
      <c r="A566" s="16"/>
      <c r="B566" s="17" t="b">
        <f t="shared" si="162"/>
        <v>0</v>
      </c>
      <c r="C566" s="17" t="b">
        <f t="shared" si="161"/>
        <v>0</v>
      </c>
      <c r="D566" s="17">
        <f t="shared" si="152"/>
        <v>1</v>
      </c>
      <c r="E566" s="17" t="str">
        <f t="shared" si="153"/>
        <v>Section 5 - Next steps</v>
      </c>
      <c r="F566" s="18" t="str">
        <f t="shared" si="154"/>
        <v/>
      </c>
      <c r="G566" s="13" t="str">
        <f t="shared" si="146"/>
        <v/>
      </c>
      <c r="H566">
        <f t="shared" si="147"/>
        <v>0</v>
      </c>
      <c r="I566" s="14">
        <f t="shared" si="155"/>
        <v>0</v>
      </c>
      <c r="J566" s="13">
        <f t="shared" si="148"/>
        <v>300</v>
      </c>
      <c r="K566">
        <f t="shared" si="149"/>
        <v>0</v>
      </c>
      <c r="L566">
        <f t="shared" si="150"/>
        <v>5</v>
      </c>
      <c r="M566" s="14">
        <f t="shared" si="151"/>
        <v>0</v>
      </c>
      <c r="N566" s="13">
        <f t="shared" si="163"/>
        <v>0</v>
      </c>
      <c r="O566">
        <f t="shared" si="163"/>
        <v>13</v>
      </c>
      <c r="P566">
        <f t="shared" si="163"/>
        <v>0</v>
      </c>
      <c r="Q566" s="14">
        <f t="shared" si="156"/>
        <v>780</v>
      </c>
      <c r="R566" s="13">
        <f t="shared" si="157"/>
        <v>0</v>
      </c>
      <c r="S566">
        <f t="shared" si="158"/>
        <v>13</v>
      </c>
      <c r="T566">
        <f t="shared" si="159"/>
        <v>0</v>
      </c>
      <c r="U566" s="14">
        <f t="shared" si="160"/>
        <v>780</v>
      </c>
      <c r="V566" s="15"/>
      <c r="Z566" s="14"/>
    </row>
  </sheetData>
  <mergeCells count="12">
    <mergeCell ref="N8:Q8"/>
    <mergeCell ref="R8:U8"/>
    <mergeCell ref="V8:Z8"/>
    <mergeCell ref="A1:M1"/>
    <mergeCell ref="A8:A9"/>
    <mergeCell ref="B8:B9"/>
    <mergeCell ref="C8:C9"/>
    <mergeCell ref="D8:D9"/>
    <mergeCell ref="E8:E9"/>
    <mergeCell ref="F8:F9"/>
    <mergeCell ref="G8:I8"/>
    <mergeCell ref="J8:M8"/>
  </mergeCells>
  <conditionalFormatting sqref="A11:D566 F11:U566">
    <cfRule type="expression" dxfId="33" priority="5">
      <formula>$F11&lt;&gt;""</formula>
    </cfRule>
  </conditionalFormatting>
  <conditionalFormatting sqref="E10">
    <cfRule type="cellIs" dxfId="32" priority="4" operator="equal">
      <formula>"No"</formula>
    </cfRule>
  </conditionalFormatting>
  <conditionalFormatting sqref="A1:M1">
    <cfRule type="cellIs" dxfId="31" priority="3" operator="equal">
      <formula>""</formula>
    </cfRule>
  </conditionalFormatting>
  <conditionalFormatting sqref="G3:G6 E3:E6">
    <cfRule type="cellIs" dxfId="30" priority="2" operator="equal">
      <formula>"No"</formula>
    </cfRule>
  </conditionalFormatting>
  <conditionalFormatting sqref="E11:E566">
    <cfRule type="expression" dxfId="29" priority="1">
      <formula>$F11&lt;&gt;""</formula>
    </cfRule>
  </conditionalFormatting>
  <dataValidations count="1">
    <dataValidation type="list" allowBlank="1" showInputMessage="1" sqref="G3:G6 E3:E5" xr:uid="{565FCC11-23D4-417A-B282-F78535ACD583}">
      <formula1>"Yes, No, N/A"</formula1>
    </dataValidation>
  </dataValidations>
  <hyperlinks>
    <hyperlink ref="E2" r:id="rId1" xr:uid="{0D2DCB08-D054-4AA5-8F47-6F128B68E36E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9FB5-B3E8-44F0-B0FF-00400D2C66B9}">
  <dimension ref="A1:W565"/>
  <sheetViews>
    <sheetView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F5" sqref="F5"/>
    </sheetView>
  </sheetViews>
  <sheetFormatPr defaultRowHeight="15" x14ac:dyDescent="0.25"/>
  <cols>
    <col min="1" max="1" width="66.7109375" bestFit="1" customWidth="1"/>
    <col min="2" max="4" width="9.140625" hidden="1" customWidth="1"/>
    <col min="5" max="6" width="48.85546875" bestFit="1" customWidth="1"/>
    <col min="19" max="19" width="11.42578125" style="4" bestFit="1" customWidth="1"/>
    <col min="20" max="20" width="27.5703125" customWidth="1"/>
    <col min="21" max="21" width="37" customWidth="1"/>
    <col min="22" max="22" width="12.7109375" customWidth="1"/>
    <col min="23" max="23" width="14.140625" customWidth="1"/>
  </cols>
  <sheetData>
    <row r="1" spans="1:23" ht="36" x14ac:dyDescent="0.55000000000000004">
      <c r="A1" s="26" t="s">
        <v>157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1" t="s">
        <v>85</v>
      </c>
      <c r="B2" s="5"/>
      <c r="E2" s="5" t="s">
        <v>158</v>
      </c>
    </row>
    <row r="3" spans="1:23" x14ac:dyDescent="0.25">
      <c r="A3" s="1" t="s">
        <v>93</v>
      </c>
      <c r="E3" t="s">
        <v>92</v>
      </c>
      <c r="F3" s="1" t="s">
        <v>86</v>
      </c>
      <c r="G3" t="s">
        <v>87</v>
      </c>
    </row>
    <row r="4" spans="1:23" x14ac:dyDescent="0.25">
      <c r="A4" s="1" t="s">
        <v>90</v>
      </c>
      <c r="E4" t="s">
        <v>92</v>
      </c>
      <c r="F4" s="1" t="s">
        <v>91</v>
      </c>
      <c r="G4" t="s">
        <v>92</v>
      </c>
    </row>
    <row r="5" spans="1:23" x14ac:dyDescent="0.25">
      <c r="A5" s="1" t="s">
        <v>140</v>
      </c>
      <c r="E5" t="s">
        <v>141</v>
      </c>
      <c r="F5" s="1" t="s">
        <v>94</v>
      </c>
      <c r="G5" t="s">
        <v>87</v>
      </c>
    </row>
    <row r="6" spans="1:23" ht="15.75" thickBot="1" x14ac:dyDescent="0.3"/>
    <row r="7" spans="1:23" ht="15.75" thickTop="1" x14ac:dyDescent="0.25">
      <c r="A7" s="27" t="s">
        <v>95</v>
      </c>
      <c r="B7" s="29" t="s">
        <v>96</v>
      </c>
      <c r="C7" s="29" t="s">
        <v>97</v>
      </c>
      <c r="D7" s="29" t="s">
        <v>98</v>
      </c>
      <c r="E7" s="29" t="s">
        <v>5</v>
      </c>
      <c r="F7" s="31" t="s">
        <v>99</v>
      </c>
      <c r="G7" s="33" t="s">
        <v>77</v>
      </c>
      <c r="H7" s="34"/>
      <c r="I7" s="34"/>
      <c r="J7" s="33" t="s">
        <v>100</v>
      </c>
      <c r="K7" s="34"/>
      <c r="L7" s="34"/>
      <c r="M7" s="33" t="s">
        <v>101</v>
      </c>
      <c r="N7" s="34"/>
      <c r="O7" s="35"/>
      <c r="P7" s="33" t="s">
        <v>102</v>
      </c>
      <c r="Q7" s="34"/>
      <c r="R7" s="35"/>
      <c r="S7" s="33" t="s">
        <v>103</v>
      </c>
      <c r="T7" s="34"/>
      <c r="U7" s="34"/>
      <c r="V7" s="34"/>
      <c r="W7" s="35"/>
    </row>
    <row r="8" spans="1:23" ht="15.75" thickBot="1" x14ac:dyDescent="0.3">
      <c r="A8" s="28"/>
      <c r="B8" s="30"/>
      <c r="C8" s="30"/>
      <c r="D8" s="30"/>
      <c r="E8" s="30"/>
      <c r="F8" s="32"/>
      <c r="G8" s="6" t="s">
        <v>104</v>
      </c>
      <c r="H8" s="7" t="s">
        <v>142</v>
      </c>
      <c r="I8" s="7" t="s">
        <v>105</v>
      </c>
      <c r="J8" s="6" t="s">
        <v>106</v>
      </c>
      <c r="K8" s="7" t="s">
        <v>73</v>
      </c>
      <c r="L8" s="7" t="s">
        <v>105</v>
      </c>
      <c r="M8" s="9" t="s">
        <v>107</v>
      </c>
      <c r="N8" s="10" t="s">
        <v>105</v>
      </c>
      <c r="O8" s="11" t="s">
        <v>106</v>
      </c>
      <c r="P8" s="6" t="s">
        <v>107</v>
      </c>
      <c r="Q8" s="7" t="s">
        <v>105</v>
      </c>
      <c r="R8" s="8" t="s">
        <v>106</v>
      </c>
      <c r="S8" s="12" t="s">
        <v>108</v>
      </c>
      <c r="T8" s="7" t="s">
        <v>109</v>
      </c>
      <c r="U8" s="7" t="s">
        <v>110</v>
      </c>
      <c r="V8" s="7" t="s">
        <v>111</v>
      </c>
      <c r="W8" s="8" t="s">
        <v>112</v>
      </c>
    </row>
    <row r="9" spans="1:23" ht="15.75" thickTop="1" x14ac:dyDescent="0.25">
      <c r="E9" t="s">
        <v>113</v>
      </c>
      <c r="G9" s="13"/>
      <c r="J9" s="13"/>
      <c r="M9" s="13"/>
      <c r="O9" s="14"/>
      <c r="P9" s="13"/>
      <c r="R9" s="14"/>
      <c r="S9" s="15"/>
      <c r="W9" s="14"/>
    </row>
    <row r="10" spans="1:23" x14ac:dyDescent="0.25">
      <c r="A10" s="16" t="s">
        <v>114</v>
      </c>
      <c r="B10" s="17" t="b">
        <f t="shared" ref="B10:B16" si="0">AND(NOT(ISERROR(FIND("Section ",A10))),NOT(ISERROR(FIND("Section ",A10))))</f>
        <v>0</v>
      </c>
      <c r="C10" s="17" t="b">
        <f t="shared" ref="C10:C62" si="1">OR(NOT(ISERROR(FIND("hr",A11))), NOT(ISERROR(FIND("min ",A11))),RIGHT(A11,3)="min")</f>
        <v>0</v>
      </c>
      <c r="D10" s="17">
        <f>IF(B10,0,IF(C10,D9+1,D9))</f>
        <v>0</v>
      </c>
      <c r="E10" s="17" t="str">
        <f>SUBSTITUTE(IF(B10,A10,E9),":"," -")</f>
        <v xml:space="preserve"> </v>
      </c>
      <c r="F10" s="18" t="str">
        <f>IF(C10,A10,"")</f>
        <v/>
      </c>
      <c r="G10" s="13" t="str">
        <f t="shared" ref="G10:G19" si="2">IF(C10,A11,"")</f>
        <v/>
      </c>
      <c r="H10">
        <f t="shared" ref="H10:H19" si="3">VALUE(IF(NOT(ISERROR(FIND("hr",G10))),LEFT(G10,FIND("hr",G10)-1),0))</f>
        <v>0</v>
      </c>
      <c r="I10">
        <f t="shared" ref="I10:I19" si="4">VALUE(IF(ISERROR(FIND("min",G10)),0,SUBSTITUTE(MID(G10,IF(ISERROR(FIND("hr ",G10)),1,FIND("hr ",G10)+3),LEN(G10)),"min","")))</f>
        <v>0</v>
      </c>
      <c r="J10" s="13">
        <f t="shared" ref="J10:J19" si="5">J9+(H10*60+I10)</f>
        <v>0</v>
      </c>
      <c r="K10">
        <f t="shared" ref="K10:K73" si="6">INT(J10/60/60)</f>
        <v>0</v>
      </c>
      <c r="L10">
        <f t="shared" ref="L10:L73" si="7">INT((J10-(K10*60*60))/60)</f>
        <v>0</v>
      </c>
      <c r="M10" s="13">
        <f t="shared" ref="M10:N19" si="8">P9</f>
        <v>0</v>
      </c>
      <c r="N10">
        <f t="shared" si="8"/>
        <v>0</v>
      </c>
      <c r="O10" s="14">
        <f t="shared" ref="O10:O73" si="9">((M10*60)+N10)</f>
        <v>0</v>
      </c>
      <c r="P10" s="13">
        <f>INT(R10/60)</f>
        <v>0</v>
      </c>
      <c r="Q10">
        <f t="shared" ref="Q10:Q19" si="10">R10-(P10*60)</f>
        <v>0</v>
      </c>
      <c r="R10" s="14">
        <f t="shared" ref="R10:R19" si="11">((H10*60)+I10)+O10</f>
        <v>0</v>
      </c>
      <c r="S10" s="15">
        <v>45107</v>
      </c>
      <c r="W10" s="14"/>
    </row>
    <row r="11" spans="1:23" x14ac:dyDescent="0.25">
      <c r="A11" s="16" t="s">
        <v>115</v>
      </c>
      <c r="B11" s="17" t="b">
        <f t="shared" si="0"/>
        <v>1</v>
      </c>
      <c r="C11" s="17" t="b">
        <f t="shared" si="1"/>
        <v>0</v>
      </c>
      <c r="D11" s="17">
        <f t="shared" ref="D11:D74" si="12">IF(B11,0,IF(C11,D10+1,D10))</f>
        <v>0</v>
      </c>
      <c r="E11" s="17" t="str">
        <f t="shared" ref="E11:E74" si="13">SUBSTITUTE(IF(B11,A11,E10),":"," -")</f>
        <v>Section 1 - Introduction</v>
      </c>
      <c r="F11" s="18" t="str">
        <f t="shared" ref="F11:F74" si="14">IF(C11,A11,"")</f>
        <v/>
      </c>
      <c r="G11" s="13" t="str">
        <f t="shared" si="2"/>
        <v/>
      </c>
      <c r="H11">
        <f t="shared" si="3"/>
        <v>0</v>
      </c>
      <c r="I11">
        <f t="shared" si="4"/>
        <v>0</v>
      </c>
      <c r="J11" s="13">
        <f t="shared" si="5"/>
        <v>0</v>
      </c>
      <c r="K11">
        <f t="shared" si="6"/>
        <v>0</v>
      </c>
      <c r="L11">
        <f t="shared" si="7"/>
        <v>0</v>
      </c>
      <c r="M11" s="13">
        <f t="shared" si="8"/>
        <v>0</v>
      </c>
      <c r="N11">
        <f t="shared" si="8"/>
        <v>0</v>
      </c>
      <c r="O11" s="14">
        <f t="shared" si="9"/>
        <v>0</v>
      </c>
      <c r="P11" s="13">
        <f t="shared" ref="P11:P74" si="15">INT(R11/60)</f>
        <v>0</v>
      </c>
      <c r="Q11">
        <f t="shared" si="10"/>
        <v>0</v>
      </c>
      <c r="R11" s="14">
        <f t="shared" si="11"/>
        <v>0</v>
      </c>
      <c r="S11" s="15"/>
      <c r="W11" s="14"/>
    </row>
    <row r="12" spans="1:23" x14ac:dyDescent="0.25">
      <c r="A12" s="16" t="s">
        <v>121</v>
      </c>
      <c r="B12" s="17" t="b">
        <f t="shared" si="0"/>
        <v>0</v>
      </c>
      <c r="C12" s="17" t="b">
        <f t="shared" si="1"/>
        <v>0</v>
      </c>
      <c r="D12" s="17">
        <f t="shared" si="12"/>
        <v>0</v>
      </c>
      <c r="E12" s="17" t="str">
        <f t="shared" si="13"/>
        <v>Section 1 - Introduction</v>
      </c>
      <c r="F12" s="18" t="str">
        <f t="shared" si="14"/>
        <v/>
      </c>
      <c r="G12" s="13" t="str">
        <f t="shared" si="2"/>
        <v/>
      </c>
      <c r="H12">
        <f t="shared" si="3"/>
        <v>0</v>
      </c>
      <c r="I12">
        <f t="shared" si="4"/>
        <v>0</v>
      </c>
      <c r="J12" s="13">
        <f t="shared" si="5"/>
        <v>0</v>
      </c>
      <c r="K12">
        <f t="shared" si="6"/>
        <v>0</v>
      </c>
      <c r="L12">
        <f t="shared" si="7"/>
        <v>0</v>
      </c>
      <c r="M12" s="13">
        <f t="shared" si="8"/>
        <v>0</v>
      </c>
      <c r="N12">
        <f t="shared" si="8"/>
        <v>0</v>
      </c>
      <c r="O12" s="14">
        <f t="shared" si="9"/>
        <v>0</v>
      </c>
      <c r="P12" s="13">
        <f t="shared" si="15"/>
        <v>0</v>
      </c>
      <c r="Q12">
        <f t="shared" si="10"/>
        <v>0</v>
      </c>
      <c r="R12" s="14">
        <f t="shared" si="11"/>
        <v>0</v>
      </c>
      <c r="S12" s="15"/>
      <c r="W12" s="14"/>
    </row>
    <row r="13" spans="1:23" x14ac:dyDescent="0.25">
      <c r="A13" s="16" t="s">
        <v>143</v>
      </c>
      <c r="B13" s="17" t="b">
        <f t="shared" si="0"/>
        <v>0</v>
      </c>
      <c r="C13" s="17" t="b">
        <f t="shared" si="1"/>
        <v>1</v>
      </c>
      <c r="D13" s="17">
        <f t="shared" si="12"/>
        <v>1</v>
      </c>
      <c r="E13" s="17" t="str">
        <f t="shared" si="13"/>
        <v>Section 1 - Introduction</v>
      </c>
      <c r="F13" s="18" t="str">
        <f t="shared" si="14"/>
        <v>1. Introduction</v>
      </c>
      <c r="G13" s="13" t="str">
        <f t="shared" si="2"/>
        <v>1min</v>
      </c>
      <c r="H13">
        <f t="shared" si="3"/>
        <v>0</v>
      </c>
      <c r="I13">
        <f t="shared" si="4"/>
        <v>1</v>
      </c>
      <c r="J13" s="13">
        <f t="shared" si="5"/>
        <v>1</v>
      </c>
      <c r="K13">
        <f t="shared" si="6"/>
        <v>0</v>
      </c>
      <c r="L13">
        <f t="shared" si="7"/>
        <v>0</v>
      </c>
      <c r="M13" s="13">
        <f t="shared" si="8"/>
        <v>0</v>
      </c>
      <c r="N13">
        <f t="shared" si="8"/>
        <v>0</v>
      </c>
      <c r="O13" s="14">
        <f t="shared" si="9"/>
        <v>0</v>
      </c>
      <c r="P13" s="13">
        <f t="shared" si="15"/>
        <v>0</v>
      </c>
      <c r="Q13">
        <f t="shared" si="10"/>
        <v>1</v>
      </c>
      <c r="R13" s="14">
        <f t="shared" si="11"/>
        <v>1</v>
      </c>
      <c r="S13" s="15"/>
      <c r="W13" s="14"/>
    </row>
    <row r="14" spans="1:23" x14ac:dyDescent="0.25">
      <c r="A14" s="16" t="s">
        <v>144</v>
      </c>
      <c r="B14" s="17" t="b">
        <f t="shared" si="0"/>
        <v>0</v>
      </c>
      <c r="C14" s="17" t="b">
        <f t="shared" si="1"/>
        <v>0</v>
      </c>
      <c r="D14" s="17">
        <f t="shared" si="12"/>
        <v>1</v>
      </c>
      <c r="E14" s="17" t="str">
        <f t="shared" si="13"/>
        <v>Section 1 - Introduction</v>
      </c>
      <c r="F14" s="18" t="str">
        <f t="shared" si="14"/>
        <v/>
      </c>
      <c r="G14" s="13" t="str">
        <f t="shared" si="2"/>
        <v/>
      </c>
      <c r="H14">
        <f t="shared" si="3"/>
        <v>0</v>
      </c>
      <c r="I14">
        <f t="shared" si="4"/>
        <v>0</v>
      </c>
      <c r="J14" s="13">
        <f t="shared" si="5"/>
        <v>1</v>
      </c>
      <c r="K14">
        <f t="shared" si="6"/>
        <v>0</v>
      </c>
      <c r="L14">
        <f t="shared" si="7"/>
        <v>0</v>
      </c>
      <c r="M14" s="13">
        <f t="shared" si="8"/>
        <v>0</v>
      </c>
      <c r="N14">
        <f t="shared" si="8"/>
        <v>1</v>
      </c>
      <c r="O14" s="14">
        <f t="shared" si="9"/>
        <v>1</v>
      </c>
      <c r="P14" s="13">
        <f t="shared" si="15"/>
        <v>0</v>
      </c>
      <c r="Q14">
        <f t="shared" si="10"/>
        <v>1</v>
      </c>
      <c r="R14" s="14">
        <f t="shared" si="11"/>
        <v>1</v>
      </c>
      <c r="S14" s="15"/>
      <c r="W14" s="14"/>
    </row>
    <row r="15" spans="1:23" x14ac:dyDescent="0.25">
      <c r="A15" s="16" t="s">
        <v>101</v>
      </c>
      <c r="B15" s="17" t="b">
        <f t="shared" si="0"/>
        <v>0</v>
      </c>
      <c r="C15" s="17" t="b">
        <f t="shared" si="1"/>
        <v>0</v>
      </c>
      <c r="D15" s="17">
        <f t="shared" si="12"/>
        <v>1</v>
      </c>
      <c r="E15" s="17" t="str">
        <f t="shared" si="13"/>
        <v>Section 1 - Introduction</v>
      </c>
      <c r="F15" s="18" t="str">
        <f t="shared" si="14"/>
        <v/>
      </c>
      <c r="G15" s="13" t="str">
        <f t="shared" si="2"/>
        <v/>
      </c>
      <c r="H15">
        <f t="shared" si="3"/>
        <v>0</v>
      </c>
      <c r="I15">
        <f t="shared" si="4"/>
        <v>0</v>
      </c>
      <c r="J15" s="13">
        <f t="shared" si="5"/>
        <v>1</v>
      </c>
      <c r="K15">
        <f t="shared" si="6"/>
        <v>0</v>
      </c>
      <c r="L15">
        <f t="shared" si="7"/>
        <v>0</v>
      </c>
      <c r="M15" s="13">
        <f t="shared" si="8"/>
        <v>0</v>
      </c>
      <c r="N15">
        <f t="shared" si="8"/>
        <v>1</v>
      </c>
      <c r="O15" s="14">
        <f t="shared" si="9"/>
        <v>1</v>
      </c>
      <c r="P15" s="13">
        <f t="shared" si="15"/>
        <v>0</v>
      </c>
      <c r="Q15">
        <f t="shared" si="10"/>
        <v>1</v>
      </c>
      <c r="R15" s="14">
        <f t="shared" si="11"/>
        <v>1</v>
      </c>
      <c r="S15" s="15"/>
      <c r="W15" s="14"/>
    </row>
    <row r="16" spans="1:23" x14ac:dyDescent="0.25">
      <c r="A16" s="16"/>
      <c r="B16" s="17" t="b">
        <f t="shared" si="0"/>
        <v>0</v>
      </c>
      <c r="C16" s="17" t="b">
        <f t="shared" si="1"/>
        <v>0</v>
      </c>
      <c r="D16" s="17">
        <f t="shared" si="12"/>
        <v>1</v>
      </c>
      <c r="E16" s="17" t="str">
        <f t="shared" si="13"/>
        <v>Section 1 - Introduction</v>
      </c>
      <c r="F16" s="18" t="str">
        <f t="shared" si="14"/>
        <v/>
      </c>
      <c r="G16" s="13" t="str">
        <f t="shared" si="2"/>
        <v/>
      </c>
      <c r="H16">
        <f t="shared" si="3"/>
        <v>0</v>
      </c>
      <c r="I16">
        <f t="shared" si="4"/>
        <v>0</v>
      </c>
      <c r="J16" s="13">
        <f t="shared" si="5"/>
        <v>1</v>
      </c>
      <c r="K16">
        <f t="shared" si="6"/>
        <v>0</v>
      </c>
      <c r="L16">
        <f t="shared" si="7"/>
        <v>0</v>
      </c>
      <c r="M16" s="13">
        <f t="shared" si="8"/>
        <v>0</v>
      </c>
      <c r="N16">
        <f t="shared" si="8"/>
        <v>1</v>
      </c>
      <c r="O16" s="14">
        <f t="shared" si="9"/>
        <v>1</v>
      </c>
      <c r="P16" s="13">
        <f t="shared" si="15"/>
        <v>0</v>
      </c>
      <c r="Q16">
        <f t="shared" si="10"/>
        <v>1</v>
      </c>
      <c r="R16" s="14">
        <f t="shared" si="11"/>
        <v>1</v>
      </c>
      <c r="S16" s="15"/>
      <c r="W16" s="14"/>
    </row>
    <row r="17" spans="1:23" x14ac:dyDescent="0.25">
      <c r="A17" s="16" t="s">
        <v>145</v>
      </c>
      <c r="B17" s="17" t="b">
        <f>AND(NOT(ISERROR(FIND("Section ",A17))),NOT(ISERROR(FIND("Section ",A17))))</f>
        <v>0</v>
      </c>
      <c r="C17" s="17" t="b">
        <f t="shared" si="1"/>
        <v>1</v>
      </c>
      <c r="D17" s="17">
        <f t="shared" si="12"/>
        <v>2</v>
      </c>
      <c r="E17" s="17" t="str">
        <f t="shared" si="13"/>
        <v>Section 1 - Introduction</v>
      </c>
      <c r="F17" s="18" t="str">
        <f t="shared" si="14"/>
        <v>2. Steps to setup</v>
      </c>
      <c r="G17" s="13" t="str">
        <f t="shared" si="2"/>
        <v>1min</v>
      </c>
      <c r="H17">
        <f t="shared" si="3"/>
        <v>0</v>
      </c>
      <c r="I17">
        <f t="shared" si="4"/>
        <v>1</v>
      </c>
      <c r="J17" s="13">
        <f t="shared" si="5"/>
        <v>2</v>
      </c>
      <c r="K17">
        <f t="shared" si="6"/>
        <v>0</v>
      </c>
      <c r="L17">
        <f t="shared" si="7"/>
        <v>0</v>
      </c>
      <c r="M17" s="13">
        <f t="shared" si="8"/>
        <v>0</v>
      </c>
      <c r="N17">
        <f t="shared" si="8"/>
        <v>1</v>
      </c>
      <c r="O17" s="14">
        <f t="shared" si="9"/>
        <v>1</v>
      </c>
      <c r="P17" s="13">
        <f t="shared" si="15"/>
        <v>0</v>
      </c>
      <c r="Q17">
        <f t="shared" si="10"/>
        <v>2</v>
      </c>
      <c r="R17" s="14">
        <f t="shared" si="11"/>
        <v>2</v>
      </c>
      <c r="S17" s="15"/>
      <c r="W17" s="14"/>
    </row>
    <row r="18" spans="1:23" x14ac:dyDescent="0.25">
      <c r="A18" s="16" t="s">
        <v>144</v>
      </c>
      <c r="B18" s="17" t="b">
        <f t="shared" ref="B18:B81" si="16">AND(NOT(ISERROR(FIND("Section ",A18))),NOT(ISERROR(FIND("Section ",A18))))</f>
        <v>0</v>
      </c>
      <c r="C18" s="17" t="b">
        <f t="shared" si="1"/>
        <v>0</v>
      </c>
      <c r="D18" s="17">
        <f t="shared" si="12"/>
        <v>2</v>
      </c>
      <c r="E18" s="17" t="str">
        <f t="shared" si="13"/>
        <v>Section 1 - Introduction</v>
      </c>
      <c r="F18" s="18" t="str">
        <f t="shared" si="14"/>
        <v/>
      </c>
      <c r="G18" s="13" t="str">
        <f t="shared" si="2"/>
        <v/>
      </c>
      <c r="H18">
        <f t="shared" si="3"/>
        <v>0</v>
      </c>
      <c r="I18">
        <f t="shared" si="4"/>
        <v>0</v>
      </c>
      <c r="J18" s="13">
        <f t="shared" si="5"/>
        <v>2</v>
      </c>
      <c r="K18">
        <f t="shared" si="6"/>
        <v>0</v>
      </c>
      <c r="L18">
        <f t="shared" si="7"/>
        <v>0</v>
      </c>
      <c r="M18" s="13">
        <f t="shared" si="8"/>
        <v>0</v>
      </c>
      <c r="N18">
        <f t="shared" si="8"/>
        <v>2</v>
      </c>
      <c r="O18" s="14">
        <f t="shared" si="9"/>
        <v>2</v>
      </c>
      <c r="P18" s="13">
        <f t="shared" si="15"/>
        <v>0</v>
      </c>
      <c r="Q18">
        <f t="shared" si="10"/>
        <v>2</v>
      </c>
      <c r="R18" s="14">
        <f t="shared" si="11"/>
        <v>2</v>
      </c>
      <c r="S18" s="15"/>
      <c r="W18" s="14"/>
    </row>
    <row r="19" spans="1:23" x14ac:dyDescent="0.25">
      <c r="A19" s="16" t="s">
        <v>154</v>
      </c>
      <c r="B19" s="17" t="b">
        <f t="shared" si="16"/>
        <v>1</v>
      </c>
      <c r="C19" s="17" t="b">
        <f t="shared" si="1"/>
        <v>0</v>
      </c>
      <c r="D19" s="17">
        <f t="shared" si="12"/>
        <v>0</v>
      </c>
      <c r="E19" s="17" t="str">
        <f t="shared" si="13"/>
        <v>Section 2 - Setup and create Java and spring boot project</v>
      </c>
      <c r="F19" s="18" t="str">
        <f t="shared" si="14"/>
        <v/>
      </c>
      <c r="G19" s="13" t="str">
        <f t="shared" si="2"/>
        <v/>
      </c>
      <c r="H19">
        <f t="shared" si="3"/>
        <v>0</v>
      </c>
      <c r="I19">
        <f t="shared" si="4"/>
        <v>0</v>
      </c>
      <c r="J19" s="13">
        <f t="shared" si="5"/>
        <v>2</v>
      </c>
      <c r="K19">
        <f t="shared" si="6"/>
        <v>0</v>
      </c>
      <c r="L19">
        <f t="shared" si="7"/>
        <v>0</v>
      </c>
      <c r="M19" s="13">
        <f t="shared" si="8"/>
        <v>0</v>
      </c>
      <c r="N19">
        <f t="shared" si="8"/>
        <v>2</v>
      </c>
      <c r="O19" s="14">
        <f t="shared" si="9"/>
        <v>2</v>
      </c>
      <c r="P19" s="13">
        <f t="shared" si="15"/>
        <v>0</v>
      </c>
      <c r="Q19">
        <f t="shared" si="10"/>
        <v>2</v>
      </c>
      <c r="R19" s="14">
        <f t="shared" si="11"/>
        <v>2</v>
      </c>
      <c r="S19" s="15"/>
      <c r="W19" s="14"/>
    </row>
    <row r="20" spans="1:23" x14ac:dyDescent="0.25">
      <c r="A20" s="16" t="s">
        <v>121</v>
      </c>
      <c r="B20" s="17" t="b">
        <f t="shared" si="16"/>
        <v>0</v>
      </c>
      <c r="C20" s="17" t="b">
        <f t="shared" si="1"/>
        <v>0</v>
      </c>
      <c r="D20" s="17">
        <f t="shared" si="12"/>
        <v>0</v>
      </c>
      <c r="E20" s="17" t="str">
        <f t="shared" si="13"/>
        <v>Section 2 - Setup and create Java and spring boot project</v>
      </c>
      <c r="F20" s="18" t="str">
        <f t="shared" si="14"/>
        <v/>
      </c>
      <c r="G20" s="13" t="str">
        <f>IF(C20,A21,"")</f>
        <v/>
      </c>
      <c r="H20">
        <f>VALUE(IF(NOT(ISERROR(FIND("hr",G20))),LEFT(G20,FIND("hr",G20)-1),0))</f>
        <v>0</v>
      </c>
      <c r="I20">
        <f>VALUE(IF(ISERROR(FIND("min",G20)),0,SUBSTITUTE(MID(G20,IF(ISERROR(FIND("hr ",G20)),1,FIND("hr ",G20)+3),LEN(G20)),"min","")))</f>
        <v>0</v>
      </c>
      <c r="J20" s="13">
        <f>J19+(H20*60+I20)</f>
        <v>2</v>
      </c>
      <c r="K20">
        <f t="shared" si="6"/>
        <v>0</v>
      </c>
      <c r="L20">
        <f t="shared" si="7"/>
        <v>0</v>
      </c>
      <c r="M20" s="13">
        <f>P19</f>
        <v>0</v>
      </c>
      <c r="N20">
        <f>Q19</f>
        <v>2</v>
      </c>
      <c r="O20" s="14">
        <f t="shared" si="9"/>
        <v>2</v>
      </c>
      <c r="P20" s="13">
        <f t="shared" si="15"/>
        <v>0</v>
      </c>
      <c r="Q20">
        <f>R20-(P20*60)</f>
        <v>2</v>
      </c>
      <c r="R20" s="14">
        <f>((H20*60)+I20)+O20</f>
        <v>2</v>
      </c>
      <c r="S20" s="15"/>
      <c r="W20" s="14"/>
    </row>
    <row r="21" spans="1:23" x14ac:dyDescent="0.25">
      <c r="A21" s="16" t="s">
        <v>146</v>
      </c>
      <c r="B21" s="17" t="b">
        <f t="shared" si="16"/>
        <v>0</v>
      </c>
      <c r="C21" s="17" t="b">
        <f t="shared" si="1"/>
        <v>1</v>
      </c>
      <c r="D21" s="17">
        <f t="shared" si="12"/>
        <v>1</v>
      </c>
      <c r="E21" s="17" t="str">
        <f t="shared" si="13"/>
        <v>Section 2 - Setup and create Java and spring boot project</v>
      </c>
      <c r="F21" s="18" t="str">
        <f t="shared" si="14"/>
        <v>3. Setup environment and create java project using Maven</v>
      </c>
      <c r="G21" s="13" t="str">
        <f t="shared" ref="G21:G84" si="17">IF(C21,A22,"")</f>
        <v>29min</v>
      </c>
      <c r="H21">
        <f t="shared" ref="H21:H84" si="18">VALUE(IF(NOT(ISERROR(FIND("hr",G21))),LEFT(G21,FIND("hr",G21)-1),0))</f>
        <v>0</v>
      </c>
      <c r="I21">
        <f t="shared" ref="I21:I84" si="19">VALUE(IF(ISERROR(FIND("min",G21)),0,SUBSTITUTE(MID(G21,IF(ISERROR(FIND("hr ",G21)),1,FIND("hr ",G21)+3),LEN(G21)),"min","")))</f>
        <v>29</v>
      </c>
      <c r="J21" s="13">
        <f t="shared" ref="J21:J84" si="20">J20+(H21*60+I21)</f>
        <v>31</v>
      </c>
      <c r="K21">
        <f t="shared" si="6"/>
        <v>0</v>
      </c>
      <c r="L21">
        <f t="shared" si="7"/>
        <v>0</v>
      </c>
      <c r="M21" s="13">
        <f t="shared" ref="M21:N84" si="21">P20</f>
        <v>0</v>
      </c>
      <c r="N21">
        <v>1</v>
      </c>
      <c r="O21" s="14">
        <f t="shared" si="9"/>
        <v>1</v>
      </c>
      <c r="P21" s="13">
        <f t="shared" si="15"/>
        <v>0</v>
      </c>
      <c r="Q21">
        <f t="shared" ref="Q21:Q84" si="22">R21-(P21*60)</f>
        <v>30</v>
      </c>
      <c r="R21" s="14">
        <f t="shared" ref="R21:R84" si="23">((H21*60)+I21)+O21</f>
        <v>30</v>
      </c>
      <c r="S21" s="15"/>
      <c r="W21" s="14"/>
    </row>
    <row r="22" spans="1:23" x14ac:dyDescent="0.25">
      <c r="A22" s="16" t="s">
        <v>147</v>
      </c>
      <c r="B22" s="17" t="b">
        <f t="shared" si="16"/>
        <v>0</v>
      </c>
      <c r="C22" s="17" t="b">
        <f t="shared" si="1"/>
        <v>0</v>
      </c>
      <c r="D22" s="17">
        <f t="shared" si="12"/>
        <v>1</v>
      </c>
      <c r="E22" s="17" t="str">
        <f t="shared" si="13"/>
        <v>Section 2 - Setup and create Java and spring boot project</v>
      </c>
      <c r="F22" s="18" t="str">
        <f t="shared" si="14"/>
        <v/>
      </c>
      <c r="G22" s="13" t="str">
        <f t="shared" si="17"/>
        <v/>
      </c>
      <c r="H22">
        <f t="shared" si="18"/>
        <v>0</v>
      </c>
      <c r="I22">
        <f t="shared" si="19"/>
        <v>0</v>
      </c>
      <c r="J22" s="13">
        <f t="shared" si="20"/>
        <v>31</v>
      </c>
      <c r="K22">
        <f t="shared" si="6"/>
        <v>0</v>
      </c>
      <c r="L22">
        <f t="shared" si="7"/>
        <v>0</v>
      </c>
      <c r="M22" s="13">
        <f t="shared" si="21"/>
        <v>0</v>
      </c>
      <c r="N22">
        <f t="shared" si="21"/>
        <v>30</v>
      </c>
      <c r="O22" s="14">
        <f t="shared" si="9"/>
        <v>30</v>
      </c>
      <c r="P22" s="13">
        <f t="shared" si="15"/>
        <v>0</v>
      </c>
      <c r="Q22">
        <f t="shared" si="22"/>
        <v>30</v>
      </c>
      <c r="R22" s="14">
        <f t="shared" si="23"/>
        <v>30</v>
      </c>
      <c r="S22" s="15"/>
      <c r="W22" s="14"/>
    </row>
    <row r="23" spans="1:23" x14ac:dyDescent="0.25">
      <c r="A23" s="16" t="s">
        <v>121</v>
      </c>
      <c r="B23" s="17" t="b">
        <f t="shared" si="16"/>
        <v>0</v>
      </c>
      <c r="C23" s="17" t="b">
        <f t="shared" si="1"/>
        <v>0</v>
      </c>
      <c r="D23" s="17">
        <f t="shared" si="12"/>
        <v>1</v>
      </c>
      <c r="E23" s="17" t="str">
        <f t="shared" si="13"/>
        <v>Section 2 - Setup and create Java and spring boot project</v>
      </c>
      <c r="F23" s="18" t="str">
        <f t="shared" si="14"/>
        <v/>
      </c>
      <c r="G23" s="13" t="str">
        <f t="shared" si="17"/>
        <v/>
      </c>
      <c r="H23">
        <f t="shared" si="18"/>
        <v>0</v>
      </c>
      <c r="I23">
        <f t="shared" si="19"/>
        <v>0</v>
      </c>
      <c r="J23" s="13">
        <f t="shared" si="20"/>
        <v>31</v>
      </c>
      <c r="K23">
        <f t="shared" si="6"/>
        <v>0</v>
      </c>
      <c r="L23">
        <f t="shared" si="7"/>
        <v>0</v>
      </c>
      <c r="M23" s="13">
        <f t="shared" si="21"/>
        <v>0</v>
      </c>
      <c r="N23">
        <f t="shared" si="21"/>
        <v>30</v>
      </c>
      <c r="O23" s="14">
        <f t="shared" si="9"/>
        <v>30</v>
      </c>
      <c r="P23" s="13">
        <f t="shared" si="15"/>
        <v>0</v>
      </c>
      <c r="Q23">
        <f t="shared" si="22"/>
        <v>30</v>
      </c>
      <c r="R23" s="14">
        <f t="shared" si="23"/>
        <v>30</v>
      </c>
      <c r="S23" s="15"/>
      <c r="W23" s="14"/>
    </row>
    <row r="24" spans="1:23" x14ac:dyDescent="0.25">
      <c r="A24" s="16"/>
      <c r="B24" s="17" t="b">
        <f t="shared" si="16"/>
        <v>0</v>
      </c>
      <c r="C24" s="17" t="b">
        <f t="shared" si="1"/>
        <v>0</v>
      </c>
      <c r="D24" s="17">
        <f t="shared" si="12"/>
        <v>1</v>
      </c>
      <c r="E24" s="17" t="str">
        <f t="shared" si="13"/>
        <v>Section 2 - Setup and create Java and spring boot project</v>
      </c>
      <c r="F24" s="18" t="str">
        <f t="shared" si="14"/>
        <v/>
      </c>
      <c r="G24" s="13" t="str">
        <f t="shared" si="17"/>
        <v/>
      </c>
      <c r="H24">
        <f t="shared" si="18"/>
        <v>0</v>
      </c>
      <c r="I24">
        <f t="shared" si="19"/>
        <v>0</v>
      </c>
      <c r="J24" s="13">
        <f t="shared" si="20"/>
        <v>31</v>
      </c>
      <c r="K24">
        <f t="shared" si="6"/>
        <v>0</v>
      </c>
      <c r="L24">
        <f t="shared" si="7"/>
        <v>0</v>
      </c>
      <c r="M24" s="13">
        <f t="shared" si="21"/>
        <v>0</v>
      </c>
      <c r="N24">
        <f t="shared" si="21"/>
        <v>30</v>
      </c>
      <c r="O24" s="14">
        <f t="shared" si="9"/>
        <v>30</v>
      </c>
      <c r="P24" s="13">
        <f t="shared" si="15"/>
        <v>0</v>
      </c>
      <c r="Q24">
        <f t="shared" si="22"/>
        <v>30</v>
      </c>
      <c r="R24" s="14">
        <f t="shared" si="23"/>
        <v>30</v>
      </c>
      <c r="S24" s="15"/>
      <c r="W24" s="14"/>
    </row>
    <row r="25" spans="1:23" x14ac:dyDescent="0.25">
      <c r="A25" s="16" t="s">
        <v>148</v>
      </c>
      <c r="B25" s="17" t="b">
        <f t="shared" si="16"/>
        <v>0</v>
      </c>
      <c r="C25" s="17" t="b">
        <f t="shared" si="1"/>
        <v>1</v>
      </c>
      <c r="D25" s="17">
        <f t="shared" si="12"/>
        <v>2</v>
      </c>
      <c r="E25" s="17" t="str">
        <f t="shared" si="13"/>
        <v>Section 2 - Setup and create Java and spring boot project</v>
      </c>
      <c r="F25" s="18" t="str">
        <f t="shared" si="14"/>
        <v>4. Setup and Create Spring boot project</v>
      </c>
      <c r="G25" s="13" t="str">
        <f t="shared" si="17"/>
        <v>12min</v>
      </c>
      <c r="H25">
        <f t="shared" si="18"/>
        <v>0</v>
      </c>
      <c r="I25">
        <f t="shared" si="19"/>
        <v>12</v>
      </c>
      <c r="J25" s="13">
        <f t="shared" si="20"/>
        <v>43</v>
      </c>
      <c r="K25">
        <f t="shared" si="6"/>
        <v>0</v>
      </c>
      <c r="L25">
        <f t="shared" si="7"/>
        <v>0</v>
      </c>
      <c r="M25" s="13">
        <f t="shared" si="21"/>
        <v>0</v>
      </c>
      <c r="N25">
        <f t="shared" si="21"/>
        <v>30</v>
      </c>
      <c r="O25" s="14">
        <f t="shared" si="9"/>
        <v>30</v>
      </c>
      <c r="P25" s="13">
        <f t="shared" si="15"/>
        <v>0</v>
      </c>
      <c r="Q25">
        <f t="shared" si="22"/>
        <v>42</v>
      </c>
      <c r="R25" s="14">
        <f t="shared" si="23"/>
        <v>42</v>
      </c>
      <c r="S25" s="15"/>
      <c r="W25" s="14"/>
    </row>
    <row r="26" spans="1:23" x14ac:dyDescent="0.25">
      <c r="A26" s="16" t="s">
        <v>149</v>
      </c>
      <c r="B26" s="17" t="b">
        <f t="shared" si="16"/>
        <v>0</v>
      </c>
      <c r="C26" s="17" t="b">
        <f t="shared" si="1"/>
        <v>0</v>
      </c>
      <c r="D26" s="17">
        <f t="shared" si="12"/>
        <v>2</v>
      </c>
      <c r="E26" s="17" t="str">
        <f t="shared" si="13"/>
        <v>Section 2 - Setup and create Java and spring boot project</v>
      </c>
      <c r="F26" s="18" t="str">
        <f t="shared" si="14"/>
        <v/>
      </c>
      <c r="G26" s="13" t="str">
        <f t="shared" si="17"/>
        <v/>
      </c>
      <c r="H26">
        <f t="shared" si="18"/>
        <v>0</v>
      </c>
      <c r="I26">
        <f t="shared" si="19"/>
        <v>0</v>
      </c>
      <c r="J26" s="13">
        <f t="shared" si="20"/>
        <v>43</v>
      </c>
      <c r="K26">
        <f t="shared" si="6"/>
        <v>0</v>
      </c>
      <c r="L26">
        <f t="shared" si="7"/>
        <v>0</v>
      </c>
      <c r="M26" s="13">
        <f t="shared" si="21"/>
        <v>0</v>
      </c>
      <c r="N26">
        <f t="shared" si="21"/>
        <v>42</v>
      </c>
      <c r="O26" s="14">
        <f t="shared" si="9"/>
        <v>42</v>
      </c>
      <c r="P26" s="13">
        <f t="shared" si="15"/>
        <v>0</v>
      </c>
      <c r="Q26">
        <f t="shared" si="22"/>
        <v>42</v>
      </c>
      <c r="R26" s="14">
        <f t="shared" si="23"/>
        <v>42</v>
      </c>
      <c r="S26" s="15"/>
      <c r="W26" s="14"/>
    </row>
    <row r="27" spans="1:23" x14ac:dyDescent="0.25">
      <c r="A27" s="16" t="s">
        <v>155</v>
      </c>
      <c r="B27" s="17" t="b">
        <f t="shared" si="16"/>
        <v>1</v>
      </c>
      <c r="C27" s="17" t="b">
        <f t="shared" si="1"/>
        <v>0</v>
      </c>
      <c r="D27" s="17">
        <f t="shared" si="12"/>
        <v>0</v>
      </c>
      <c r="E27" s="17" t="str">
        <f t="shared" si="13"/>
        <v>Section 3 - Docker setup and Dockerize java and spring-boot image</v>
      </c>
      <c r="F27" s="18" t="str">
        <f t="shared" si="14"/>
        <v/>
      </c>
      <c r="G27" s="13" t="str">
        <f t="shared" si="17"/>
        <v/>
      </c>
      <c r="H27">
        <f t="shared" si="18"/>
        <v>0</v>
      </c>
      <c r="I27">
        <f t="shared" si="19"/>
        <v>0</v>
      </c>
      <c r="J27" s="13">
        <f t="shared" si="20"/>
        <v>43</v>
      </c>
      <c r="K27">
        <f t="shared" si="6"/>
        <v>0</v>
      </c>
      <c r="L27">
        <f t="shared" si="7"/>
        <v>0</v>
      </c>
      <c r="M27" s="13">
        <f t="shared" si="21"/>
        <v>0</v>
      </c>
      <c r="N27">
        <f t="shared" si="21"/>
        <v>42</v>
      </c>
      <c r="O27" s="14">
        <f t="shared" si="9"/>
        <v>42</v>
      </c>
      <c r="P27" s="13">
        <f t="shared" si="15"/>
        <v>0</v>
      </c>
      <c r="Q27">
        <f t="shared" si="22"/>
        <v>42</v>
      </c>
      <c r="R27" s="14">
        <f t="shared" si="23"/>
        <v>42</v>
      </c>
      <c r="S27" s="15"/>
      <c r="W27" s="14"/>
    </row>
    <row r="28" spans="1:23" x14ac:dyDescent="0.25">
      <c r="A28" s="16" t="s">
        <v>121</v>
      </c>
      <c r="B28" s="17" t="b">
        <f t="shared" si="16"/>
        <v>0</v>
      </c>
      <c r="C28" s="17" t="b">
        <f t="shared" si="1"/>
        <v>0</v>
      </c>
      <c r="D28" s="17">
        <f t="shared" si="12"/>
        <v>0</v>
      </c>
      <c r="E28" s="17" t="str">
        <f t="shared" si="13"/>
        <v>Section 3 - Docker setup and Dockerize java and spring-boot image</v>
      </c>
      <c r="F28" s="18" t="str">
        <f t="shared" si="14"/>
        <v/>
      </c>
      <c r="G28" s="13" t="str">
        <f t="shared" si="17"/>
        <v/>
      </c>
      <c r="H28">
        <f t="shared" si="18"/>
        <v>0</v>
      </c>
      <c r="I28">
        <f t="shared" si="19"/>
        <v>0</v>
      </c>
      <c r="J28" s="13">
        <f t="shared" si="20"/>
        <v>43</v>
      </c>
      <c r="K28">
        <f t="shared" si="6"/>
        <v>0</v>
      </c>
      <c r="L28">
        <f t="shared" si="7"/>
        <v>0</v>
      </c>
      <c r="M28" s="13">
        <f t="shared" si="21"/>
        <v>0</v>
      </c>
      <c r="N28">
        <f t="shared" si="21"/>
        <v>42</v>
      </c>
      <c r="O28" s="14">
        <f t="shared" si="9"/>
        <v>42</v>
      </c>
      <c r="P28" s="13">
        <f t="shared" si="15"/>
        <v>0</v>
      </c>
      <c r="Q28">
        <f t="shared" si="22"/>
        <v>42</v>
      </c>
      <c r="R28" s="14">
        <f t="shared" si="23"/>
        <v>42</v>
      </c>
      <c r="S28" s="15"/>
      <c r="W28" s="14"/>
    </row>
    <row r="29" spans="1:23" x14ac:dyDescent="0.25">
      <c r="A29" s="16" t="s">
        <v>150</v>
      </c>
      <c r="B29" s="17" t="b">
        <f t="shared" si="16"/>
        <v>0</v>
      </c>
      <c r="C29" s="17" t="b">
        <f t="shared" si="1"/>
        <v>1</v>
      </c>
      <c r="D29" s="17">
        <f t="shared" si="12"/>
        <v>1</v>
      </c>
      <c r="E29" s="17" t="str">
        <f t="shared" si="13"/>
        <v>Section 3 - Docker setup and Dockerize java and spring-boot image</v>
      </c>
      <c r="F29" s="18" t="str">
        <f t="shared" si="14"/>
        <v>5. Docker set-up on local</v>
      </c>
      <c r="G29" s="13" t="str">
        <f t="shared" si="17"/>
        <v>4min</v>
      </c>
      <c r="H29">
        <f t="shared" si="18"/>
        <v>0</v>
      </c>
      <c r="I29">
        <f t="shared" si="19"/>
        <v>4</v>
      </c>
      <c r="J29" s="13">
        <f t="shared" si="20"/>
        <v>47</v>
      </c>
      <c r="K29">
        <f t="shared" si="6"/>
        <v>0</v>
      </c>
      <c r="L29">
        <f t="shared" si="7"/>
        <v>0</v>
      </c>
      <c r="M29" s="13">
        <f t="shared" si="21"/>
        <v>0</v>
      </c>
      <c r="N29">
        <f t="shared" si="21"/>
        <v>42</v>
      </c>
      <c r="O29" s="14">
        <f t="shared" si="9"/>
        <v>42</v>
      </c>
      <c r="P29" s="13">
        <f t="shared" si="15"/>
        <v>0</v>
      </c>
      <c r="Q29">
        <f t="shared" si="22"/>
        <v>46</v>
      </c>
      <c r="R29" s="14">
        <f t="shared" si="23"/>
        <v>46</v>
      </c>
      <c r="S29" s="15"/>
      <c r="W29" s="14"/>
    </row>
    <row r="30" spans="1:23" x14ac:dyDescent="0.25">
      <c r="A30" s="16" t="s">
        <v>125</v>
      </c>
      <c r="B30" s="17" t="b">
        <f t="shared" si="16"/>
        <v>0</v>
      </c>
      <c r="C30" s="17" t="b">
        <f t="shared" si="1"/>
        <v>0</v>
      </c>
      <c r="D30" s="17">
        <f t="shared" si="12"/>
        <v>1</v>
      </c>
      <c r="E30" s="17" t="str">
        <f t="shared" si="13"/>
        <v>Section 3 - Docker setup and Dockerize java and spring-boot image</v>
      </c>
      <c r="F30" s="18" t="str">
        <f t="shared" si="14"/>
        <v/>
      </c>
      <c r="G30" s="13" t="str">
        <f t="shared" si="17"/>
        <v/>
      </c>
      <c r="H30">
        <f t="shared" si="18"/>
        <v>0</v>
      </c>
      <c r="I30">
        <f t="shared" si="19"/>
        <v>0</v>
      </c>
      <c r="J30" s="13">
        <f t="shared" si="20"/>
        <v>47</v>
      </c>
      <c r="K30">
        <f t="shared" si="6"/>
        <v>0</v>
      </c>
      <c r="L30">
        <f t="shared" si="7"/>
        <v>0</v>
      </c>
      <c r="M30" s="13">
        <f t="shared" si="21"/>
        <v>0</v>
      </c>
      <c r="N30">
        <f t="shared" si="21"/>
        <v>46</v>
      </c>
      <c r="O30" s="14">
        <f t="shared" si="9"/>
        <v>46</v>
      </c>
      <c r="P30" s="13">
        <f t="shared" si="15"/>
        <v>0</v>
      </c>
      <c r="Q30">
        <f t="shared" si="22"/>
        <v>46</v>
      </c>
      <c r="R30" s="14">
        <f t="shared" si="23"/>
        <v>46</v>
      </c>
      <c r="S30" s="15"/>
      <c r="W30" s="14"/>
    </row>
    <row r="31" spans="1:23" x14ac:dyDescent="0.25">
      <c r="A31" s="16" t="s">
        <v>121</v>
      </c>
      <c r="B31" s="17" t="b">
        <f t="shared" si="16"/>
        <v>0</v>
      </c>
      <c r="C31" s="17" t="b">
        <f t="shared" si="1"/>
        <v>0</v>
      </c>
      <c r="D31" s="17">
        <f t="shared" si="12"/>
        <v>1</v>
      </c>
      <c r="E31" s="17" t="str">
        <f t="shared" si="13"/>
        <v>Section 3 - Docker setup and Dockerize java and spring-boot image</v>
      </c>
      <c r="F31" s="18" t="str">
        <f t="shared" si="14"/>
        <v/>
      </c>
      <c r="G31" s="13" t="str">
        <f t="shared" si="17"/>
        <v/>
      </c>
      <c r="H31">
        <f t="shared" si="18"/>
        <v>0</v>
      </c>
      <c r="I31">
        <f t="shared" si="19"/>
        <v>0</v>
      </c>
      <c r="J31" s="13">
        <f t="shared" si="20"/>
        <v>47</v>
      </c>
      <c r="K31">
        <f t="shared" si="6"/>
        <v>0</v>
      </c>
      <c r="L31">
        <f t="shared" si="7"/>
        <v>0</v>
      </c>
      <c r="M31" s="13">
        <f t="shared" si="21"/>
        <v>0</v>
      </c>
      <c r="N31">
        <f t="shared" si="21"/>
        <v>46</v>
      </c>
      <c r="O31" s="14">
        <f t="shared" si="9"/>
        <v>46</v>
      </c>
      <c r="P31" s="13">
        <f t="shared" si="15"/>
        <v>0</v>
      </c>
      <c r="Q31">
        <f t="shared" si="22"/>
        <v>46</v>
      </c>
      <c r="R31" s="14">
        <f t="shared" si="23"/>
        <v>46</v>
      </c>
      <c r="S31" s="15"/>
      <c r="W31" s="14"/>
    </row>
    <row r="32" spans="1:23" x14ac:dyDescent="0.25">
      <c r="A32" s="16"/>
      <c r="B32" s="17" t="b">
        <f t="shared" si="16"/>
        <v>0</v>
      </c>
      <c r="C32" s="17" t="b">
        <f t="shared" si="1"/>
        <v>0</v>
      </c>
      <c r="D32" s="17">
        <f t="shared" si="12"/>
        <v>1</v>
      </c>
      <c r="E32" s="17" t="str">
        <f t="shared" si="13"/>
        <v>Section 3 - Docker setup and Dockerize java and spring-boot image</v>
      </c>
      <c r="F32" s="18" t="str">
        <f t="shared" si="14"/>
        <v/>
      </c>
      <c r="G32" s="13" t="str">
        <f t="shared" si="17"/>
        <v/>
      </c>
      <c r="H32">
        <f t="shared" si="18"/>
        <v>0</v>
      </c>
      <c r="I32">
        <f t="shared" si="19"/>
        <v>0</v>
      </c>
      <c r="J32" s="13">
        <f t="shared" si="20"/>
        <v>47</v>
      </c>
      <c r="K32">
        <f t="shared" si="6"/>
        <v>0</v>
      </c>
      <c r="L32">
        <f t="shared" si="7"/>
        <v>0</v>
      </c>
      <c r="M32" s="13">
        <f t="shared" si="21"/>
        <v>0</v>
      </c>
      <c r="N32">
        <f t="shared" si="21"/>
        <v>46</v>
      </c>
      <c r="O32" s="14">
        <f t="shared" si="9"/>
        <v>46</v>
      </c>
      <c r="P32" s="13">
        <f t="shared" si="15"/>
        <v>0</v>
      </c>
      <c r="Q32">
        <f t="shared" si="22"/>
        <v>46</v>
      </c>
      <c r="R32" s="14">
        <f t="shared" si="23"/>
        <v>46</v>
      </c>
      <c r="S32" s="15"/>
      <c r="W32" s="14"/>
    </row>
    <row r="33" spans="1:23" x14ac:dyDescent="0.25">
      <c r="A33" s="16" t="s">
        <v>151</v>
      </c>
      <c r="B33" s="17" t="b">
        <f t="shared" si="16"/>
        <v>0</v>
      </c>
      <c r="C33" s="17" t="b">
        <f t="shared" si="1"/>
        <v>1</v>
      </c>
      <c r="D33" s="17">
        <f t="shared" si="12"/>
        <v>2</v>
      </c>
      <c r="E33" s="17" t="str">
        <f t="shared" si="13"/>
        <v>Section 3 - Docker setup and Dockerize java and spring-boot image</v>
      </c>
      <c r="F33" s="18" t="str">
        <f t="shared" si="14"/>
        <v>6. Dockerize Spring-boot and java project</v>
      </c>
      <c r="G33" s="13" t="str">
        <f t="shared" si="17"/>
        <v>12min</v>
      </c>
      <c r="H33">
        <f t="shared" si="18"/>
        <v>0</v>
      </c>
      <c r="I33">
        <f t="shared" si="19"/>
        <v>12</v>
      </c>
      <c r="J33" s="13">
        <f t="shared" si="20"/>
        <v>59</v>
      </c>
      <c r="K33">
        <f t="shared" si="6"/>
        <v>0</v>
      </c>
      <c r="L33">
        <f t="shared" si="7"/>
        <v>0</v>
      </c>
      <c r="M33" s="13">
        <f t="shared" si="21"/>
        <v>0</v>
      </c>
      <c r="N33">
        <f t="shared" si="21"/>
        <v>46</v>
      </c>
      <c r="O33" s="14">
        <f t="shared" si="9"/>
        <v>46</v>
      </c>
      <c r="P33" s="13">
        <f t="shared" si="15"/>
        <v>0</v>
      </c>
      <c r="Q33">
        <f t="shared" si="22"/>
        <v>58</v>
      </c>
      <c r="R33" s="14">
        <f t="shared" si="23"/>
        <v>58</v>
      </c>
      <c r="S33" s="15"/>
      <c r="W33" s="14"/>
    </row>
    <row r="34" spans="1:23" x14ac:dyDescent="0.25">
      <c r="A34" s="16" t="s">
        <v>149</v>
      </c>
      <c r="B34" s="17" t="b">
        <f t="shared" si="16"/>
        <v>0</v>
      </c>
      <c r="C34" s="17" t="b">
        <f t="shared" si="1"/>
        <v>0</v>
      </c>
      <c r="D34" s="17">
        <f t="shared" si="12"/>
        <v>2</v>
      </c>
      <c r="E34" s="17" t="str">
        <f t="shared" si="13"/>
        <v>Section 3 - Docker setup and Dockerize java and spring-boot image</v>
      </c>
      <c r="F34" s="18" t="str">
        <f t="shared" si="14"/>
        <v/>
      </c>
      <c r="G34" s="13" t="str">
        <f t="shared" si="17"/>
        <v/>
      </c>
      <c r="H34">
        <f t="shared" si="18"/>
        <v>0</v>
      </c>
      <c r="I34">
        <f t="shared" si="19"/>
        <v>0</v>
      </c>
      <c r="J34" s="13">
        <f t="shared" si="20"/>
        <v>59</v>
      </c>
      <c r="K34">
        <f t="shared" si="6"/>
        <v>0</v>
      </c>
      <c r="L34">
        <f t="shared" si="7"/>
        <v>0</v>
      </c>
      <c r="M34" s="13">
        <f t="shared" si="21"/>
        <v>0</v>
      </c>
      <c r="N34">
        <f t="shared" si="21"/>
        <v>58</v>
      </c>
      <c r="O34" s="14">
        <f t="shared" si="9"/>
        <v>58</v>
      </c>
      <c r="P34" s="13">
        <f t="shared" si="15"/>
        <v>0</v>
      </c>
      <c r="Q34">
        <f t="shared" si="22"/>
        <v>58</v>
      </c>
      <c r="R34" s="14">
        <f t="shared" si="23"/>
        <v>58</v>
      </c>
      <c r="S34" s="15"/>
      <c r="W34" s="14"/>
    </row>
    <row r="35" spans="1:23" x14ac:dyDescent="0.25">
      <c r="A35" s="16" t="s">
        <v>156</v>
      </c>
      <c r="B35" s="17" t="b">
        <f t="shared" si="16"/>
        <v>1</v>
      </c>
      <c r="C35" s="17" t="b">
        <f t="shared" si="1"/>
        <v>0</v>
      </c>
      <c r="D35" s="17">
        <f t="shared" si="12"/>
        <v>0</v>
      </c>
      <c r="E35" s="17" t="str">
        <f t="shared" si="13"/>
        <v>Section 4 - Create spring-boot starter microservice, containerize it and push to DockerHub</v>
      </c>
      <c r="F35" s="18" t="str">
        <f t="shared" si="14"/>
        <v/>
      </c>
      <c r="G35" s="13" t="str">
        <f t="shared" si="17"/>
        <v/>
      </c>
      <c r="H35">
        <f t="shared" si="18"/>
        <v>0</v>
      </c>
      <c r="I35">
        <f t="shared" si="19"/>
        <v>0</v>
      </c>
      <c r="J35" s="13">
        <f t="shared" si="20"/>
        <v>59</v>
      </c>
      <c r="K35">
        <f t="shared" si="6"/>
        <v>0</v>
      </c>
      <c r="L35">
        <f t="shared" si="7"/>
        <v>0</v>
      </c>
      <c r="M35" s="13">
        <f t="shared" si="21"/>
        <v>0</v>
      </c>
      <c r="N35">
        <f t="shared" si="21"/>
        <v>58</v>
      </c>
      <c r="O35" s="14">
        <f t="shared" si="9"/>
        <v>58</v>
      </c>
      <c r="P35" s="13">
        <f t="shared" si="15"/>
        <v>0</v>
      </c>
      <c r="Q35">
        <f t="shared" si="22"/>
        <v>58</v>
      </c>
      <c r="R35" s="14">
        <f t="shared" si="23"/>
        <v>58</v>
      </c>
      <c r="S35" s="15"/>
      <c r="W35" s="14"/>
    </row>
    <row r="36" spans="1:23" x14ac:dyDescent="0.25">
      <c r="A36" s="16" t="s">
        <v>121</v>
      </c>
      <c r="B36" s="17" t="b">
        <f t="shared" si="16"/>
        <v>0</v>
      </c>
      <c r="C36" s="17" t="b">
        <f t="shared" si="1"/>
        <v>0</v>
      </c>
      <c r="D36" s="17">
        <f t="shared" si="12"/>
        <v>0</v>
      </c>
      <c r="E36" s="17" t="str">
        <f t="shared" si="13"/>
        <v>Section 4 - Create spring-boot starter microservice, containerize it and push to DockerHub</v>
      </c>
      <c r="F36" s="18" t="str">
        <f t="shared" si="14"/>
        <v/>
      </c>
      <c r="G36" s="13" t="str">
        <f t="shared" si="17"/>
        <v/>
      </c>
      <c r="H36">
        <f t="shared" si="18"/>
        <v>0</v>
      </c>
      <c r="I36">
        <f t="shared" si="19"/>
        <v>0</v>
      </c>
      <c r="J36" s="13">
        <f t="shared" si="20"/>
        <v>59</v>
      </c>
      <c r="K36">
        <f t="shared" si="6"/>
        <v>0</v>
      </c>
      <c r="L36">
        <f t="shared" si="7"/>
        <v>0</v>
      </c>
      <c r="M36" s="13">
        <f t="shared" si="21"/>
        <v>0</v>
      </c>
      <c r="N36">
        <f t="shared" si="21"/>
        <v>58</v>
      </c>
      <c r="O36" s="14">
        <f t="shared" si="9"/>
        <v>58</v>
      </c>
      <c r="P36" s="13">
        <f t="shared" si="15"/>
        <v>0</v>
      </c>
      <c r="Q36">
        <f t="shared" si="22"/>
        <v>58</v>
      </c>
      <c r="R36" s="14">
        <f t="shared" si="23"/>
        <v>58</v>
      </c>
      <c r="S36" s="15"/>
      <c r="W36" s="14"/>
    </row>
    <row r="37" spans="1:23" x14ac:dyDescent="0.25">
      <c r="A37" s="16" t="s">
        <v>152</v>
      </c>
      <c r="B37" s="17" t="b">
        <f t="shared" si="16"/>
        <v>0</v>
      </c>
      <c r="C37" s="17" t="b">
        <f t="shared" si="1"/>
        <v>1</v>
      </c>
      <c r="D37" s="17">
        <f t="shared" si="12"/>
        <v>1</v>
      </c>
      <c r="E37" s="17" t="str">
        <f t="shared" si="13"/>
        <v>Section 4 - Create spring-boot starter microservice, containerize it and push to DockerHub</v>
      </c>
      <c r="F37" s="18" t="str">
        <f t="shared" si="14"/>
        <v>7. Creating and dockerizing spring-boot microservice</v>
      </c>
      <c r="G37" s="13" t="str">
        <f t="shared" si="17"/>
        <v>6min</v>
      </c>
      <c r="H37">
        <f t="shared" si="18"/>
        <v>0</v>
      </c>
      <c r="I37">
        <f t="shared" si="19"/>
        <v>6</v>
      </c>
      <c r="J37" s="13">
        <f t="shared" si="20"/>
        <v>65</v>
      </c>
      <c r="K37">
        <f t="shared" si="6"/>
        <v>0</v>
      </c>
      <c r="L37">
        <f t="shared" si="7"/>
        <v>1</v>
      </c>
      <c r="M37" s="13">
        <f t="shared" si="21"/>
        <v>0</v>
      </c>
      <c r="N37">
        <f t="shared" si="21"/>
        <v>58</v>
      </c>
      <c r="O37" s="14">
        <f t="shared" si="9"/>
        <v>58</v>
      </c>
      <c r="P37" s="13">
        <f t="shared" si="15"/>
        <v>1</v>
      </c>
      <c r="Q37">
        <f t="shared" si="22"/>
        <v>4</v>
      </c>
      <c r="R37" s="14">
        <f t="shared" si="23"/>
        <v>64</v>
      </c>
      <c r="S37" s="15"/>
      <c r="W37" s="14"/>
    </row>
    <row r="38" spans="1:23" x14ac:dyDescent="0.25">
      <c r="A38" s="16" t="s">
        <v>153</v>
      </c>
      <c r="B38" s="17" t="b">
        <f t="shared" si="16"/>
        <v>0</v>
      </c>
      <c r="C38" s="17" t="b">
        <f t="shared" si="1"/>
        <v>0</v>
      </c>
      <c r="D38" s="17">
        <f t="shared" si="12"/>
        <v>1</v>
      </c>
      <c r="E38" s="17" t="str">
        <f t="shared" si="13"/>
        <v>Section 4 - Create spring-boot starter microservice, containerize it and push to DockerHub</v>
      </c>
      <c r="F38" s="18" t="str">
        <f t="shared" si="14"/>
        <v/>
      </c>
      <c r="G38" s="13" t="str">
        <f t="shared" si="17"/>
        <v/>
      </c>
      <c r="H38">
        <f t="shared" si="18"/>
        <v>0</v>
      </c>
      <c r="I38">
        <f t="shared" si="19"/>
        <v>0</v>
      </c>
      <c r="J38" s="13">
        <f t="shared" si="20"/>
        <v>65</v>
      </c>
      <c r="K38">
        <f t="shared" si="6"/>
        <v>0</v>
      </c>
      <c r="L38">
        <f t="shared" si="7"/>
        <v>1</v>
      </c>
      <c r="M38" s="13">
        <f t="shared" si="21"/>
        <v>1</v>
      </c>
      <c r="N38">
        <f t="shared" si="21"/>
        <v>4</v>
      </c>
      <c r="O38" s="14">
        <f t="shared" si="9"/>
        <v>64</v>
      </c>
      <c r="P38" s="13">
        <f t="shared" si="15"/>
        <v>1</v>
      </c>
      <c r="Q38">
        <f t="shared" si="22"/>
        <v>4</v>
      </c>
      <c r="R38" s="14">
        <f t="shared" si="23"/>
        <v>64</v>
      </c>
      <c r="S38" s="15"/>
      <c r="W38" s="14"/>
    </row>
    <row r="39" spans="1:23" x14ac:dyDescent="0.25">
      <c r="A39" s="16"/>
      <c r="B39" s="17" t="b">
        <f t="shared" si="16"/>
        <v>0</v>
      </c>
      <c r="C39" s="17" t="b">
        <f t="shared" si="1"/>
        <v>0</v>
      </c>
      <c r="D39" s="17">
        <f t="shared" si="12"/>
        <v>1</v>
      </c>
      <c r="E39" s="17" t="str">
        <f t="shared" si="13"/>
        <v>Section 4 - Create spring-boot starter microservice, containerize it and push to DockerHub</v>
      </c>
      <c r="F39" s="18" t="str">
        <f t="shared" si="14"/>
        <v/>
      </c>
      <c r="G39" s="13" t="str">
        <f t="shared" si="17"/>
        <v/>
      </c>
      <c r="H39">
        <f t="shared" si="18"/>
        <v>0</v>
      </c>
      <c r="I39">
        <f t="shared" si="19"/>
        <v>0</v>
      </c>
      <c r="J39" s="13">
        <f t="shared" si="20"/>
        <v>65</v>
      </c>
      <c r="K39">
        <f t="shared" si="6"/>
        <v>0</v>
      </c>
      <c r="L39">
        <f t="shared" si="7"/>
        <v>1</v>
      </c>
      <c r="M39" s="13">
        <f t="shared" si="21"/>
        <v>1</v>
      </c>
      <c r="N39">
        <f t="shared" si="21"/>
        <v>4</v>
      </c>
      <c r="O39" s="14">
        <f t="shared" si="9"/>
        <v>64</v>
      </c>
      <c r="P39" s="13">
        <f t="shared" si="15"/>
        <v>1</v>
      </c>
      <c r="Q39">
        <f t="shared" si="22"/>
        <v>4</v>
      </c>
      <c r="R39" s="14">
        <f t="shared" si="23"/>
        <v>64</v>
      </c>
      <c r="S39" s="15"/>
      <c r="W39" s="14"/>
    </row>
    <row r="40" spans="1:23" x14ac:dyDescent="0.25">
      <c r="A40" s="16"/>
      <c r="B40" s="17" t="b">
        <f t="shared" si="16"/>
        <v>0</v>
      </c>
      <c r="C40" s="17" t="b">
        <f t="shared" si="1"/>
        <v>0</v>
      </c>
      <c r="D40" s="17">
        <f t="shared" si="12"/>
        <v>1</v>
      </c>
      <c r="E40" s="17" t="str">
        <f t="shared" si="13"/>
        <v>Section 4 - Create spring-boot starter microservice, containerize it and push to DockerHub</v>
      </c>
      <c r="F40" s="18" t="str">
        <f t="shared" si="14"/>
        <v/>
      </c>
      <c r="G40" s="13" t="str">
        <f t="shared" si="17"/>
        <v/>
      </c>
      <c r="H40">
        <f t="shared" si="18"/>
        <v>0</v>
      </c>
      <c r="I40">
        <f t="shared" si="19"/>
        <v>0</v>
      </c>
      <c r="J40" s="13">
        <f t="shared" si="20"/>
        <v>65</v>
      </c>
      <c r="K40">
        <f t="shared" si="6"/>
        <v>0</v>
      </c>
      <c r="L40">
        <f t="shared" si="7"/>
        <v>1</v>
      </c>
      <c r="M40" s="13">
        <f t="shared" si="21"/>
        <v>1</v>
      </c>
      <c r="N40">
        <f t="shared" si="21"/>
        <v>4</v>
      </c>
      <c r="O40" s="14">
        <f t="shared" si="9"/>
        <v>64</v>
      </c>
      <c r="P40" s="13">
        <f t="shared" si="15"/>
        <v>1</v>
      </c>
      <c r="Q40">
        <f t="shared" si="22"/>
        <v>4</v>
      </c>
      <c r="R40" s="14">
        <f t="shared" si="23"/>
        <v>64</v>
      </c>
      <c r="S40" s="15"/>
      <c r="W40" s="14"/>
    </row>
    <row r="41" spans="1:23" x14ac:dyDescent="0.25">
      <c r="A41" s="16"/>
      <c r="B41" s="17" t="b">
        <f t="shared" si="16"/>
        <v>0</v>
      </c>
      <c r="C41" s="17" t="b">
        <f t="shared" si="1"/>
        <v>0</v>
      </c>
      <c r="D41" s="17">
        <f t="shared" si="12"/>
        <v>1</v>
      </c>
      <c r="E41" s="17" t="str">
        <f t="shared" si="13"/>
        <v>Section 4 - Create spring-boot starter microservice, containerize it and push to DockerHub</v>
      </c>
      <c r="F41" s="18" t="str">
        <f t="shared" si="14"/>
        <v/>
      </c>
      <c r="G41" s="13" t="str">
        <f t="shared" si="17"/>
        <v/>
      </c>
      <c r="H41">
        <f t="shared" si="18"/>
        <v>0</v>
      </c>
      <c r="I41">
        <f t="shared" si="19"/>
        <v>0</v>
      </c>
      <c r="J41" s="13">
        <f t="shared" si="20"/>
        <v>65</v>
      </c>
      <c r="K41">
        <f t="shared" si="6"/>
        <v>0</v>
      </c>
      <c r="L41">
        <f t="shared" si="7"/>
        <v>1</v>
      </c>
      <c r="M41" s="13">
        <f t="shared" si="21"/>
        <v>1</v>
      </c>
      <c r="N41">
        <f t="shared" si="21"/>
        <v>4</v>
      </c>
      <c r="O41" s="14">
        <f t="shared" si="9"/>
        <v>64</v>
      </c>
      <c r="P41" s="13">
        <f t="shared" si="15"/>
        <v>1</v>
      </c>
      <c r="Q41">
        <f t="shared" si="22"/>
        <v>4</v>
      </c>
      <c r="R41" s="14">
        <f t="shared" si="23"/>
        <v>64</v>
      </c>
      <c r="S41" s="15"/>
      <c r="W41" s="14"/>
    </row>
    <row r="42" spans="1:23" x14ac:dyDescent="0.25">
      <c r="A42" s="16"/>
      <c r="B42" s="17" t="b">
        <f t="shared" si="16"/>
        <v>0</v>
      </c>
      <c r="C42" s="17" t="b">
        <f t="shared" si="1"/>
        <v>0</v>
      </c>
      <c r="D42" s="17">
        <f t="shared" si="12"/>
        <v>1</v>
      </c>
      <c r="E42" s="17" t="str">
        <f t="shared" si="13"/>
        <v>Section 4 - Create spring-boot starter microservice, containerize it and push to DockerHub</v>
      </c>
      <c r="F42" s="18" t="str">
        <f t="shared" si="14"/>
        <v/>
      </c>
      <c r="G42" s="13" t="str">
        <f t="shared" si="17"/>
        <v/>
      </c>
      <c r="H42">
        <f t="shared" si="18"/>
        <v>0</v>
      </c>
      <c r="I42">
        <f t="shared" si="19"/>
        <v>0</v>
      </c>
      <c r="J42" s="13">
        <f t="shared" si="20"/>
        <v>65</v>
      </c>
      <c r="K42">
        <f t="shared" si="6"/>
        <v>0</v>
      </c>
      <c r="L42">
        <f t="shared" si="7"/>
        <v>1</v>
      </c>
      <c r="M42" s="13">
        <f t="shared" si="21"/>
        <v>1</v>
      </c>
      <c r="N42">
        <f t="shared" si="21"/>
        <v>4</v>
      </c>
      <c r="O42" s="14">
        <f t="shared" si="9"/>
        <v>64</v>
      </c>
      <c r="P42" s="13">
        <f t="shared" si="15"/>
        <v>1</v>
      </c>
      <c r="Q42">
        <f t="shared" si="22"/>
        <v>4</v>
      </c>
      <c r="R42" s="14">
        <f t="shared" si="23"/>
        <v>64</v>
      </c>
      <c r="S42" s="15"/>
      <c r="W42" s="14"/>
    </row>
    <row r="43" spans="1:23" x14ac:dyDescent="0.25">
      <c r="A43" s="16"/>
      <c r="B43" s="17" t="b">
        <f t="shared" si="16"/>
        <v>0</v>
      </c>
      <c r="C43" s="17" t="b">
        <f t="shared" si="1"/>
        <v>0</v>
      </c>
      <c r="D43" s="17">
        <f t="shared" si="12"/>
        <v>1</v>
      </c>
      <c r="E43" s="17" t="str">
        <f t="shared" si="13"/>
        <v>Section 4 - Create spring-boot starter microservice, containerize it and push to DockerHub</v>
      </c>
      <c r="F43" s="18" t="str">
        <f t="shared" si="14"/>
        <v/>
      </c>
      <c r="G43" s="13" t="str">
        <f t="shared" si="17"/>
        <v/>
      </c>
      <c r="H43">
        <f t="shared" si="18"/>
        <v>0</v>
      </c>
      <c r="I43">
        <f t="shared" si="19"/>
        <v>0</v>
      </c>
      <c r="J43" s="13">
        <f t="shared" si="20"/>
        <v>65</v>
      </c>
      <c r="K43">
        <f t="shared" si="6"/>
        <v>0</v>
      </c>
      <c r="L43">
        <f t="shared" si="7"/>
        <v>1</v>
      </c>
      <c r="M43" s="13">
        <f t="shared" si="21"/>
        <v>1</v>
      </c>
      <c r="N43">
        <f t="shared" si="21"/>
        <v>4</v>
      </c>
      <c r="O43" s="14">
        <f t="shared" si="9"/>
        <v>64</v>
      </c>
      <c r="P43" s="13">
        <f t="shared" si="15"/>
        <v>1</v>
      </c>
      <c r="Q43">
        <f t="shared" si="22"/>
        <v>4</v>
      </c>
      <c r="R43" s="14">
        <f t="shared" si="23"/>
        <v>64</v>
      </c>
      <c r="S43" s="15"/>
      <c r="W43" s="14"/>
    </row>
    <row r="44" spans="1:23" x14ac:dyDescent="0.25">
      <c r="A44" s="16"/>
      <c r="B44" s="17" t="b">
        <f t="shared" si="16"/>
        <v>0</v>
      </c>
      <c r="C44" s="17" t="b">
        <f t="shared" si="1"/>
        <v>0</v>
      </c>
      <c r="D44" s="17">
        <f t="shared" si="12"/>
        <v>1</v>
      </c>
      <c r="E44" s="17" t="str">
        <f t="shared" si="13"/>
        <v>Section 4 - Create spring-boot starter microservice, containerize it and push to DockerHub</v>
      </c>
      <c r="F44" s="18" t="str">
        <f t="shared" si="14"/>
        <v/>
      </c>
      <c r="G44" s="13" t="str">
        <f t="shared" si="17"/>
        <v/>
      </c>
      <c r="H44">
        <f t="shared" si="18"/>
        <v>0</v>
      </c>
      <c r="I44">
        <f t="shared" si="19"/>
        <v>0</v>
      </c>
      <c r="J44" s="13">
        <f t="shared" si="20"/>
        <v>65</v>
      </c>
      <c r="K44">
        <f t="shared" si="6"/>
        <v>0</v>
      </c>
      <c r="L44">
        <f t="shared" si="7"/>
        <v>1</v>
      </c>
      <c r="M44" s="13">
        <f t="shared" si="21"/>
        <v>1</v>
      </c>
      <c r="N44">
        <f t="shared" si="21"/>
        <v>4</v>
      </c>
      <c r="O44" s="14">
        <f t="shared" si="9"/>
        <v>64</v>
      </c>
      <c r="P44" s="13">
        <f t="shared" si="15"/>
        <v>1</v>
      </c>
      <c r="Q44">
        <f t="shared" si="22"/>
        <v>4</v>
      </c>
      <c r="R44" s="14">
        <f t="shared" si="23"/>
        <v>64</v>
      </c>
      <c r="S44" s="15"/>
      <c r="W44" s="14"/>
    </row>
    <row r="45" spans="1:23" x14ac:dyDescent="0.25">
      <c r="A45" s="16"/>
      <c r="B45" s="17" t="b">
        <f t="shared" si="16"/>
        <v>0</v>
      </c>
      <c r="C45" s="17" t="b">
        <f t="shared" si="1"/>
        <v>0</v>
      </c>
      <c r="D45" s="17">
        <f t="shared" si="12"/>
        <v>1</v>
      </c>
      <c r="E45" s="17" t="str">
        <f t="shared" si="13"/>
        <v>Section 4 - Create spring-boot starter microservice, containerize it and push to DockerHub</v>
      </c>
      <c r="F45" s="18" t="str">
        <f t="shared" si="14"/>
        <v/>
      </c>
      <c r="G45" s="13" t="str">
        <f t="shared" si="17"/>
        <v/>
      </c>
      <c r="H45">
        <f t="shared" si="18"/>
        <v>0</v>
      </c>
      <c r="I45">
        <f t="shared" si="19"/>
        <v>0</v>
      </c>
      <c r="J45" s="13">
        <f t="shared" si="20"/>
        <v>65</v>
      </c>
      <c r="K45">
        <f t="shared" si="6"/>
        <v>0</v>
      </c>
      <c r="L45">
        <f t="shared" si="7"/>
        <v>1</v>
      </c>
      <c r="M45" s="13">
        <f t="shared" si="21"/>
        <v>1</v>
      </c>
      <c r="N45">
        <f t="shared" si="21"/>
        <v>4</v>
      </c>
      <c r="O45" s="14">
        <f t="shared" si="9"/>
        <v>64</v>
      </c>
      <c r="P45" s="13">
        <f t="shared" si="15"/>
        <v>1</v>
      </c>
      <c r="Q45">
        <f t="shared" si="22"/>
        <v>4</v>
      </c>
      <c r="R45" s="14">
        <f t="shared" si="23"/>
        <v>64</v>
      </c>
      <c r="S45" s="15"/>
      <c r="W45" s="14"/>
    </row>
    <row r="46" spans="1:23" x14ac:dyDescent="0.25">
      <c r="A46" s="16"/>
      <c r="B46" s="17" t="b">
        <f t="shared" si="16"/>
        <v>0</v>
      </c>
      <c r="C46" s="17" t="b">
        <f t="shared" si="1"/>
        <v>0</v>
      </c>
      <c r="D46" s="17">
        <f t="shared" si="12"/>
        <v>1</v>
      </c>
      <c r="E46" s="17" t="str">
        <f t="shared" si="13"/>
        <v>Section 4 - Create spring-boot starter microservice, containerize it and push to DockerHub</v>
      </c>
      <c r="F46" s="18" t="str">
        <f t="shared" si="14"/>
        <v/>
      </c>
      <c r="G46" s="13" t="str">
        <f t="shared" si="17"/>
        <v/>
      </c>
      <c r="H46">
        <f t="shared" si="18"/>
        <v>0</v>
      </c>
      <c r="I46">
        <f t="shared" si="19"/>
        <v>0</v>
      </c>
      <c r="J46" s="13">
        <f t="shared" si="20"/>
        <v>65</v>
      </c>
      <c r="K46">
        <f t="shared" si="6"/>
        <v>0</v>
      </c>
      <c r="L46">
        <f t="shared" si="7"/>
        <v>1</v>
      </c>
      <c r="M46" s="13">
        <f t="shared" si="21"/>
        <v>1</v>
      </c>
      <c r="N46">
        <f t="shared" si="21"/>
        <v>4</v>
      </c>
      <c r="O46" s="14">
        <f t="shared" si="9"/>
        <v>64</v>
      </c>
      <c r="P46" s="13">
        <f t="shared" si="15"/>
        <v>1</v>
      </c>
      <c r="Q46">
        <f t="shared" si="22"/>
        <v>4</v>
      </c>
      <c r="R46" s="14">
        <f t="shared" si="23"/>
        <v>64</v>
      </c>
      <c r="S46" s="15"/>
      <c r="W46" s="14"/>
    </row>
    <row r="47" spans="1:23" x14ac:dyDescent="0.25">
      <c r="A47" s="16"/>
      <c r="B47" s="17" t="b">
        <f t="shared" si="16"/>
        <v>0</v>
      </c>
      <c r="C47" s="17" t="b">
        <f t="shared" si="1"/>
        <v>0</v>
      </c>
      <c r="D47" s="17">
        <f t="shared" si="12"/>
        <v>1</v>
      </c>
      <c r="E47" s="17" t="str">
        <f t="shared" si="13"/>
        <v>Section 4 - Create spring-boot starter microservice, containerize it and push to DockerHub</v>
      </c>
      <c r="F47" s="18" t="str">
        <f t="shared" si="14"/>
        <v/>
      </c>
      <c r="G47" s="13" t="str">
        <f t="shared" si="17"/>
        <v/>
      </c>
      <c r="H47">
        <f t="shared" si="18"/>
        <v>0</v>
      </c>
      <c r="I47">
        <f t="shared" si="19"/>
        <v>0</v>
      </c>
      <c r="J47" s="13">
        <f t="shared" si="20"/>
        <v>65</v>
      </c>
      <c r="K47">
        <f t="shared" si="6"/>
        <v>0</v>
      </c>
      <c r="L47">
        <f t="shared" si="7"/>
        <v>1</v>
      </c>
      <c r="M47" s="13">
        <f t="shared" si="21"/>
        <v>1</v>
      </c>
      <c r="N47">
        <f t="shared" si="21"/>
        <v>4</v>
      </c>
      <c r="O47" s="14">
        <f t="shared" si="9"/>
        <v>64</v>
      </c>
      <c r="P47" s="13">
        <f t="shared" si="15"/>
        <v>1</v>
      </c>
      <c r="Q47">
        <f t="shared" si="22"/>
        <v>4</v>
      </c>
      <c r="R47" s="14">
        <f t="shared" si="23"/>
        <v>64</v>
      </c>
      <c r="S47" s="15"/>
      <c r="W47" s="14"/>
    </row>
    <row r="48" spans="1:23" x14ac:dyDescent="0.25">
      <c r="A48" s="16"/>
      <c r="B48" s="17" t="b">
        <f t="shared" si="16"/>
        <v>0</v>
      </c>
      <c r="C48" s="17" t="b">
        <f t="shared" si="1"/>
        <v>0</v>
      </c>
      <c r="D48" s="17">
        <f t="shared" si="12"/>
        <v>1</v>
      </c>
      <c r="E48" s="17" t="str">
        <f t="shared" si="13"/>
        <v>Section 4 - Create spring-boot starter microservice, containerize it and push to DockerHub</v>
      </c>
      <c r="F48" s="18" t="str">
        <f t="shared" si="14"/>
        <v/>
      </c>
      <c r="G48" s="13" t="str">
        <f t="shared" si="17"/>
        <v/>
      </c>
      <c r="H48">
        <f t="shared" si="18"/>
        <v>0</v>
      </c>
      <c r="I48">
        <f t="shared" si="19"/>
        <v>0</v>
      </c>
      <c r="J48" s="13">
        <f t="shared" si="20"/>
        <v>65</v>
      </c>
      <c r="K48">
        <f t="shared" si="6"/>
        <v>0</v>
      </c>
      <c r="L48">
        <f t="shared" si="7"/>
        <v>1</v>
      </c>
      <c r="M48" s="13">
        <f t="shared" si="21"/>
        <v>1</v>
      </c>
      <c r="N48">
        <f t="shared" si="21"/>
        <v>4</v>
      </c>
      <c r="O48" s="14">
        <f t="shared" si="9"/>
        <v>64</v>
      </c>
      <c r="P48" s="13">
        <f t="shared" si="15"/>
        <v>1</v>
      </c>
      <c r="Q48">
        <f t="shared" si="22"/>
        <v>4</v>
      </c>
      <c r="R48" s="14">
        <f t="shared" si="23"/>
        <v>64</v>
      </c>
      <c r="S48" s="15"/>
      <c r="W48" s="14"/>
    </row>
    <row r="49" spans="1:23" x14ac:dyDescent="0.25">
      <c r="A49" s="16"/>
      <c r="B49" s="17" t="b">
        <f t="shared" si="16"/>
        <v>0</v>
      </c>
      <c r="C49" s="17" t="b">
        <f t="shared" si="1"/>
        <v>0</v>
      </c>
      <c r="D49" s="17">
        <f t="shared" si="12"/>
        <v>1</v>
      </c>
      <c r="E49" s="17" t="str">
        <f t="shared" si="13"/>
        <v>Section 4 - Create spring-boot starter microservice, containerize it and push to DockerHub</v>
      </c>
      <c r="F49" s="18" t="str">
        <f t="shared" si="14"/>
        <v/>
      </c>
      <c r="G49" s="13" t="str">
        <f t="shared" si="17"/>
        <v/>
      </c>
      <c r="H49">
        <f t="shared" si="18"/>
        <v>0</v>
      </c>
      <c r="I49">
        <f t="shared" si="19"/>
        <v>0</v>
      </c>
      <c r="J49" s="13">
        <f t="shared" si="20"/>
        <v>65</v>
      </c>
      <c r="K49">
        <f t="shared" si="6"/>
        <v>0</v>
      </c>
      <c r="L49">
        <f t="shared" si="7"/>
        <v>1</v>
      </c>
      <c r="M49" s="13">
        <f t="shared" si="21"/>
        <v>1</v>
      </c>
      <c r="N49">
        <f t="shared" si="21"/>
        <v>4</v>
      </c>
      <c r="O49" s="14">
        <f t="shared" si="9"/>
        <v>64</v>
      </c>
      <c r="P49" s="13">
        <f t="shared" si="15"/>
        <v>1</v>
      </c>
      <c r="Q49">
        <f t="shared" si="22"/>
        <v>4</v>
      </c>
      <c r="R49" s="14">
        <f t="shared" si="23"/>
        <v>64</v>
      </c>
      <c r="S49" s="15"/>
      <c r="W49" s="14"/>
    </row>
    <row r="50" spans="1:23" x14ac:dyDescent="0.25">
      <c r="A50" s="16"/>
      <c r="B50" s="17" t="b">
        <f t="shared" si="16"/>
        <v>0</v>
      </c>
      <c r="C50" s="17" t="b">
        <f t="shared" si="1"/>
        <v>0</v>
      </c>
      <c r="D50" s="17">
        <f t="shared" si="12"/>
        <v>1</v>
      </c>
      <c r="E50" s="17" t="str">
        <f t="shared" si="13"/>
        <v>Section 4 - Create spring-boot starter microservice, containerize it and push to DockerHub</v>
      </c>
      <c r="F50" s="18" t="str">
        <f t="shared" si="14"/>
        <v/>
      </c>
      <c r="G50" s="13" t="str">
        <f t="shared" si="17"/>
        <v/>
      </c>
      <c r="H50">
        <f t="shared" si="18"/>
        <v>0</v>
      </c>
      <c r="I50">
        <f t="shared" si="19"/>
        <v>0</v>
      </c>
      <c r="J50" s="13">
        <f t="shared" si="20"/>
        <v>65</v>
      </c>
      <c r="K50">
        <f t="shared" si="6"/>
        <v>0</v>
      </c>
      <c r="L50">
        <f t="shared" si="7"/>
        <v>1</v>
      </c>
      <c r="M50" s="13">
        <f t="shared" si="21"/>
        <v>1</v>
      </c>
      <c r="N50">
        <f t="shared" si="21"/>
        <v>4</v>
      </c>
      <c r="O50" s="14">
        <f t="shared" si="9"/>
        <v>64</v>
      </c>
      <c r="P50" s="13">
        <f t="shared" si="15"/>
        <v>1</v>
      </c>
      <c r="Q50">
        <f t="shared" si="22"/>
        <v>4</v>
      </c>
      <c r="R50" s="14">
        <f t="shared" si="23"/>
        <v>64</v>
      </c>
      <c r="S50" s="15"/>
      <c r="W50" s="14"/>
    </row>
    <row r="51" spans="1:23" x14ac:dyDescent="0.25">
      <c r="A51" s="16"/>
      <c r="B51" s="17" t="b">
        <f t="shared" si="16"/>
        <v>0</v>
      </c>
      <c r="C51" s="17" t="b">
        <f t="shared" si="1"/>
        <v>0</v>
      </c>
      <c r="D51" s="17">
        <f t="shared" si="12"/>
        <v>1</v>
      </c>
      <c r="E51" s="17" t="str">
        <f t="shared" si="13"/>
        <v>Section 4 - Create spring-boot starter microservice, containerize it and push to DockerHub</v>
      </c>
      <c r="F51" s="18" t="str">
        <f t="shared" si="14"/>
        <v/>
      </c>
      <c r="G51" s="13" t="str">
        <f t="shared" si="17"/>
        <v/>
      </c>
      <c r="H51">
        <f t="shared" si="18"/>
        <v>0</v>
      </c>
      <c r="I51">
        <f t="shared" si="19"/>
        <v>0</v>
      </c>
      <c r="J51" s="13">
        <f t="shared" si="20"/>
        <v>65</v>
      </c>
      <c r="K51">
        <f t="shared" si="6"/>
        <v>0</v>
      </c>
      <c r="L51">
        <f t="shared" si="7"/>
        <v>1</v>
      </c>
      <c r="M51" s="13">
        <f t="shared" si="21"/>
        <v>1</v>
      </c>
      <c r="N51">
        <f t="shared" si="21"/>
        <v>4</v>
      </c>
      <c r="O51" s="14">
        <f t="shared" si="9"/>
        <v>64</v>
      </c>
      <c r="P51" s="13">
        <f t="shared" si="15"/>
        <v>1</v>
      </c>
      <c r="Q51">
        <f t="shared" si="22"/>
        <v>4</v>
      </c>
      <c r="R51" s="14">
        <f t="shared" si="23"/>
        <v>64</v>
      </c>
      <c r="S51" s="15"/>
      <c r="W51" s="14"/>
    </row>
    <row r="52" spans="1:23" x14ac:dyDescent="0.25">
      <c r="A52" s="16"/>
      <c r="B52" s="17" t="b">
        <f t="shared" si="16"/>
        <v>0</v>
      </c>
      <c r="C52" s="17" t="b">
        <f t="shared" si="1"/>
        <v>0</v>
      </c>
      <c r="D52" s="17">
        <f t="shared" si="12"/>
        <v>1</v>
      </c>
      <c r="E52" s="17" t="str">
        <f t="shared" si="13"/>
        <v>Section 4 - Create spring-boot starter microservice, containerize it and push to DockerHub</v>
      </c>
      <c r="F52" s="18" t="str">
        <f t="shared" si="14"/>
        <v/>
      </c>
      <c r="G52" s="13" t="str">
        <f t="shared" si="17"/>
        <v/>
      </c>
      <c r="H52">
        <f t="shared" si="18"/>
        <v>0</v>
      </c>
      <c r="I52">
        <f t="shared" si="19"/>
        <v>0</v>
      </c>
      <c r="J52" s="13">
        <f t="shared" si="20"/>
        <v>65</v>
      </c>
      <c r="K52">
        <f t="shared" si="6"/>
        <v>0</v>
      </c>
      <c r="L52">
        <f t="shared" si="7"/>
        <v>1</v>
      </c>
      <c r="M52" s="13">
        <f t="shared" si="21"/>
        <v>1</v>
      </c>
      <c r="N52">
        <f t="shared" si="21"/>
        <v>4</v>
      </c>
      <c r="O52" s="14">
        <f t="shared" si="9"/>
        <v>64</v>
      </c>
      <c r="P52" s="13">
        <f t="shared" si="15"/>
        <v>1</v>
      </c>
      <c r="Q52">
        <f t="shared" si="22"/>
        <v>4</v>
      </c>
      <c r="R52" s="14">
        <f t="shared" si="23"/>
        <v>64</v>
      </c>
      <c r="S52" s="15"/>
      <c r="W52" s="14"/>
    </row>
    <row r="53" spans="1:23" x14ac:dyDescent="0.25">
      <c r="A53" s="16"/>
      <c r="B53" s="17" t="b">
        <f t="shared" si="16"/>
        <v>0</v>
      </c>
      <c r="C53" s="17" t="b">
        <f t="shared" si="1"/>
        <v>0</v>
      </c>
      <c r="D53" s="17">
        <f t="shared" si="12"/>
        <v>1</v>
      </c>
      <c r="E53" s="17" t="str">
        <f t="shared" si="13"/>
        <v>Section 4 - Create spring-boot starter microservice, containerize it and push to DockerHub</v>
      </c>
      <c r="F53" s="18" t="str">
        <f t="shared" si="14"/>
        <v/>
      </c>
      <c r="G53" s="13" t="str">
        <f t="shared" si="17"/>
        <v/>
      </c>
      <c r="H53">
        <f t="shared" si="18"/>
        <v>0</v>
      </c>
      <c r="I53">
        <f t="shared" si="19"/>
        <v>0</v>
      </c>
      <c r="J53" s="13">
        <f t="shared" si="20"/>
        <v>65</v>
      </c>
      <c r="K53">
        <f t="shared" si="6"/>
        <v>0</v>
      </c>
      <c r="L53">
        <f t="shared" si="7"/>
        <v>1</v>
      </c>
      <c r="M53" s="13">
        <f t="shared" si="21"/>
        <v>1</v>
      </c>
      <c r="N53">
        <f t="shared" si="21"/>
        <v>4</v>
      </c>
      <c r="O53" s="14">
        <f t="shared" si="9"/>
        <v>64</v>
      </c>
      <c r="P53" s="13">
        <f t="shared" si="15"/>
        <v>1</v>
      </c>
      <c r="Q53">
        <f t="shared" si="22"/>
        <v>4</v>
      </c>
      <c r="R53" s="14">
        <f t="shared" si="23"/>
        <v>64</v>
      </c>
      <c r="S53" s="15"/>
      <c r="W53" s="14"/>
    </row>
    <row r="54" spans="1:23" x14ac:dyDescent="0.25">
      <c r="A54" s="16"/>
      <c r="B54" s="17" t="b">
        <f t="shared" si="16"/>
        <v>0</v>
      </c>
      <c r="C54" s="17" t="b">
        <f t="shared" si="1"/>
        <v>0</v>
      </c>
      <c r="D54" s="17">
        <f t="shared" si="12"/>
        <v>1</v>
      </c>
      <c r="E54" s="17" t="str">
        <f t="shared" si="13"/>
        <v>Section 4 - Create spring-boot starter microservice, containerize it and push to DockerHub</v>
      </c>
      <c r="F54" s="18" t="str">
        <f t="shared" si="14"/>
        <v/>
      </c>
      <c r="G54" s="13" t="str">
        <f t="shared" si="17"/>
        <v/>
      </c>
      <c r="H54">
        <f t="shared" si="18"/>
        <v>0</v>
      </c>
      <c r="I54">
        <f t="shared" si="19"/>
        <v>0</v>
      </c>
      <c r="J54" s="13">
        <f t="shared" si="20"/>
        <v>65</v>
      </c>
      <c r="K54">
        <f t="shared" si="6"/>
        <v>0</v>
      </c>
      <c r="L54">
        <f t="shared" si="7"/>
        <v>1</v>
      </c>
      <c r="M54" s="13">
        <f t="shared" si="21"/>
        <v>1</v>
      </c>
      <c r="N54">
        <f t="shared" si="21"/>
        <v>4</v>
      </c>
      <c r="O54" s="14">
        <f t="shared" si="9"/>
        <v>64</v>
      </c>
      <c r="P54" s="13">
        <f t="shared" si="15"/>
        <v>1</v>
      </c>
      <c r="Q54">
        <f t="shared" si="22"/>
        <v>4</v>
      </c>
      <c r="R54" s="14">
        <f t="shared" si="23"/>
        <v>64</v>
      </c>
      <c r="S54" s="15"/>
      <c r="W54" s="14"/>
    </row>
    <row r="55" spans="1:23" x14ac:dyDescent="0.25">
      <c r="A55" s="16"/>
      <c r="B55" s="17" t="b">
        <f t="shared" si="16"/>
        <v>0</v>
      </c>
      <c r="C55" s="17" t="b">
        <f t="shared" si="1"/>
        <v>0</v>
      </c>
      <c r="D55" s="17">
        <f t="shared" si="12"/>
        <v>1</v>
      </c>
      <c r="E55" s="17" t="str">
        <f t="shared" si="13"/>
        <v>Section 4 - Create spring-boot starter microservice, containerize it and push to DockerHub</v>
      </c>
      <c r="F55" s="18" t="str">
        <f t="shared" si="14"/>
        <v/>
      </c>
      <c r="G55" s="13" t="str">
        <f t="shared" si="17"/>
        <v/>
      </c>
      <c r="H55">
        <f t="shared" si="18"/>
        <v>0</v>
      </c>
      <c r="I55">
        <f t="shared" si="19"/>
        <v>0</v>
      </c>
      <c r="J55" s="13">
        <f t="shared" si="20"/>
        <v>65</v>
      </c>
      <c r="K55">
        <f t="shared" si="6"/>
        <v>0</v>
      </c>
      <c r="L55">
        <f t="shared" si="7"/>
        <v>1</v>
      </c>
      <c r="M55" s="13">
        <f t="shared" si="21"/>
        <v>1</v>
      </c>
      <c r="N55">
        <f t="shared" si="21"/>
        <v>4</v>
      </c>
      <c r="O55" s="14">
        <f t="shared" si="9"/>
        <v>64</v>
      </c>
      <c r="P55" s="13">
        <f t="shared" si="15"/>
        <v>1</v>
      </c>
      <c r="Q55">
        <f t="shared" si="22"/>
        <v>4</v>
      </c>
      <c r="R55" s="14">
        <f t="shared" si="23"/>
        <v>64</v>
      </c>
      <c r="S55" s="15"/>
      <c r="W55" s="14"/>
    </row>
    <row r="56" spans="1:23" x14ac:dyDescent="0.25">
      <c r="A56" s="16"/>
      <c r="B56" s="17" t="b">
        <f t="shared" si="16"/>
        <v>0</v>
      </c>
      <c r="C56" s="17" t="b">
        <f t="shared" si="1"/>
        <v>0</v>
      </c>
      <c r="D56" s="17">
        <f t="shared" si="12"/>
        <v>1</v>
      </c>
      <c r="E56" s="17" t="str">
        <f t="shared" si="13"/>
        <v>Section 4 - Create spring-boot starter microservice, containerize it and push to DockerHub</v>
      </c>
      <c r="F56" s="18" t="str">
        <f t="shared" si="14"/>
        <v/>
      </c>
      <c r="G56" s="13" t="str">
        <f t="shared" si="17"/>
        <v/>
      </c>
      <c r="H56">
        <f t="shared" si="18"/>
        <v>0</v>
      </c>
      <c r="I56">
        <f t="shared" si="19"/>
        <v>0</v>
      </c>
      <c r="J56" s="13">
        <f t="shared" si="20"/>
        <v>65</v>
      </c>
      <c r="K56">
        <f t="shared" si="6"/>
        <v>0</v>
      </c>
      <c r="L56">
        <f t="shared" si="7"/>
        <v>1</v>
      </c>
      <c r="M56" s="13">
        <f t="shared" si="21"/>
        <v>1</v>
      </c>
      <c r="N56">
        <f t="shared" si="21"/>
        <v>4</v>
      </c>
      <c r="O56" s="14">
        <f t="shared" si="9"/>
        <v>64</v>
      </c>
      <c r="P56" s="13">
        <f t="shared" si="15"/>
        <v>1</v>
      </c>
      <c r="Q56">
        <f t="shared" si="22"/>
        <v>4</v>
      </c>
      <c r="R56" s="14">
        <f t="shared" si="23"/>
        <v>64</v>
      </c>
      <c r="S56" s="15"/>
      <c r="W56" s="14"/>
    </row>
    <row r="57" spans="1:23" x14ac:dyDescent="0.25">
      <c r="A57" s="16"/>
      <c r="B57" s="17" t="b">
        <f t="shared" si="16"/>
        <v>0</v>
      </c>
      <c r="C57" s="17" t="b">
        <f t="shared" si="1"/>
        <v>0</v>
      </c>
      <c r="D57" s="17">
        <f t="shared" si="12"/>
        <v>1</v>
      </c>
      <c r="E57" s="17" t="str">
        <f t="shared" si="13"/>
        <v>Section 4 - Create spring-boot starter microservice, containerize it and push to DockerHub</v>
      </c>
      <c r="F57" s="18" t="str">
        <f t="shared" si="14"/>
        <v/>
      </c>
      <c r="G57" s="13" t="str">
        <f t="shared" si="17"/>
        <v/>
      </c>
      <c r="H57">
        <f t="shared" si="18"/>
        <v>0</v>
      </c>
      <c r="I57">
        <f t="shared" si="19"/>
        <v>0</v>
      </c>
      <c r="J57" s="13">
        <f t="shared" si="20"/>
        <v>65</v>
      </c>
      <c r="K57">
        <f t="shared" si="6"/>
        <v>0</v>
      </c>
      <c r="L57">
        <f t="shared" si="7"/>
        <v>1</v>
      </c>
      <c r="M57" s="13">
        <f t="shared" si="21"/>
        <v>1</v>
      </c>
      <c r="N57">
        <f t="shared" si="21"/>
        <v>4</v>
      </c>
      <c r="O57" s="14">
        <f t="shared" si="9"/>
        <v>64</v>
      </c>
      <c r="P57" s="13">
        <f t="shared" si="15"/>
        <v>1</v>
      </c>
      <c r="Q57">
        <f t="shared" si="22"/>
        <v>4</v>
      </c>
      <c r="R57" s="14">
        <f t="shared" si="23"/>
        <v>64</v>
      </c>
      <c r="S57" s="15"/>
      <c r="W57" s="14"/>
    </row>
    <row r="58" spans="1:23" x14ac:dyDescent="0.25">
      <c r="A58" s="16"/>
      <c r="B58" s="17" t="b">
        <f t="shared" si="16"/>
        <v>0</v>
      </c>
      <c r="C58" s="17" t="b">
        <f t="shared" si="1"/>
        <v>0</v>
      </c>
      <c r="D58" s="17">
        <f t="shared" si="12"/>
        <v>1</v>
      </c>
      <c r="E58" s="17" t="str">
        <f t="shared" si="13"/>
        <v>Section 4 - Create spring-boot starter microservice, containerize it and push to DockerHub</v>
      </c>
      <c r="F58" s="18" t="str">
        <f t="shared" si="14"/>
        <v/>
      </c>
      <c r="G58" s="13" t="str">
        <f t="shared" si="17"/>
        <v/>
      </c>
      <c r="H58">
        <f t="shared" si="18"/>
        <v>0</v>
      </c>
      <c r="I58">
        <f t="shared" si="19"/>
        <v>0</v>
      </c>
      <c r="J58" s="13">
        <f t="shared" si="20"/>
        <v>65</v>
      </c>
      <c r="K58">
        <f t="shared" si="6"/>
        <v>0</v>
      </c>
      <c r="L58">
        <f t="shared" si="7"/>
        <v>1</v>
      </c>
      <c r="M58" s="13">
        <f t="shared" si="21"/>
        <v>1</v>
      </c>
      <c r="N58">
        <f t="shared" si="21"/>
        <v>4</v>
      </c>
      <c r="O58" s="14">
        <f t="shared" si="9"/>
        <v>64</v>
      </c>
      <c r="P58" s="13">
        <f t="shared" si="15"/>
        <v>1</v>
      </c>
      <c r="Q58">
        <f t="shared" si="22"/>
        <v>4</v>
      </c>
      <c r="R58" s="14">
        <f t="shared" si="23"/>
        <v>64</v>
      </c>
      <c r="S58" s="15"/>
      <c r="W58" s="14"/>
    </row>
    <row r="59" spans="1:23" x14ac:dyDescent="0.25">
      <c r="A59" s="16"/>
      <c r="B59" s="17" t="b">
        <f t="shared" si="16"/>
        <v>0</v>
      </c>
      <c r="C59" s="17" t="b">
        <f t="shared" si="1"/>
        <v>0</v>
      </c>
      <c r="D59" s="17">
        <f t="shared" si="12"/>
        <v>1</v>
      </c>
      <c r="E59" s="17" t="str">
        <f t="shared" si="13"/>
        <v>Section 4 - Create spring-boot starter microservice, containerize it and push to DockerHub</v>
      </c>
      <c r="F59" s="18" t="str">
        <f t="shared" si="14"/>
        <v/>
      </c>
      <c r="G59" s="13" t="str">
        <f t="shared" si="17"/>
        <v/>
      </c>
      <c r="H59">
        <f t="shared" si="18"/>
        <v>0</v>
      </c>
      <c r="I59">
        <f t="shared" si="19"/>
        <v>0</v>
      </c>
      <c r="J59" s="13">
        <f t="shared" si="20"/>
        <v>65</v>
      </c>
      <c r="K59">
        <f t="shared" si="6"/>
        <v>0</v>
      </c>
      <c r="L59">
        <f t="shared" si="7"/>
        <v>1</v>
      </c>
      <c r="M59" s="13">
        <f t="shared" si="21"/>
        <v>1</v>
      </c>
      <c r="N59">
        <f t="shared" si="21"/>
        <v>4</v>
      </c>
      <c r="O59" s="14">
        <f t="shared" si="9"/>
        <v>64</v>
      </c>
      <c r="P59" s="13">
        <f t="shared" si="15"/>
        <v>1</v>
      </c>
      <c r="Q59">
        <f t="shared" si="22"/>
        <v>4</v>
      </c>
      <c r="R59" s="14">
        <f t="shared" si="23"/>
        <v>64</v>
      </c>
      <c r="S59" s="15"/>
      <c r="W59" s="14"/>
    </row>
    <row r="60" spans="1:23" x14ac:dyDescent="0.25">
      <c r="A60" s="16"/>
      <c r="B60" s="17" t="b">
        <f t="shared" si="16"/>
        <v>0</v>
      </c>
      <c r="C60" s="17" t="b">
        <f t="shared" si="1"/>
        <v>0</v>
      </c>
      <c r="D60" s="17">
        <f t="shared" si="12"/>
        <v>1</v>
      </c>
      <c r="E60" s="17" t="str">
        <f t="shared" si="13"/>
        <v>Section 4 - Create spring-boot starter microservice, containerize it and push to DockerHub</v>
      </c>
      <c r="F60" s="18" t="str">
        <f t="shared" si="14"/>
        <v/>
      </c>
      <c r="G60" s="13" t="str">
        <f t="shared" si="17"/>
        <v/>
      </c>
      <c r="H60">
        <f t="shared" si="18"/>
        <v>0</v>
      </c>
      <c r="I60">
        <f t="shared" si="19"/>
        <v>0</v>
      </c>
      <c r="J60" s="13">
        <f t="shared" si="20"/>
        <v>65</v>
      </c>
      <c r="K60">
        <f t="shared" si="6"/>
        <v>0</v>
      </c>
      <c r="L60">
        <f t="shared" si="7"/>
        <v>1</v>
      </c>
      <c r="M60" s="13">
        <f t="shared" si="21"/>
        <v>1</v>
      </c>
      <c r="N60">
        <f t="shared" si="21"/>
        <v>4</v>
      </c>
      <c r="O60" s="14">
        <f t="shared" si="9"/>
        <v>64</v>
      </c>
      <c r="P60" s="13">
        <f t="shared" si="15"/>
        <v>1</v>
      </c>
      <c r="Q60">
        <f t="shared" si="22"/>
        <v>4</v>
      </c>
      <c r="R60" s="14">
        <f t="shared" si="23"/>
        <v>64</v>
      </c>
      <c r="S60" s="15"/>
      <c r="W60" s="14"/>
    </row>
    <row r="61" spans="1:23" x14ac:dyDescent="0.25">
      <c r="A61" s="16"/>
      <c r="B61" s="17" t="b">
        <f t="shared" si="16"/>
        <v>0</v>
      </c>
      <c r="C61" s="17" t="b">
        <f t="shared" si="1"/>
        <v>0</v>
      </c>
      <c r="D61" s="17">
        <f t="shared" si="12"/>
        <v>1</v>
      </c>
      <c r="E61" s="17" t="str">
        <f t="shared" si="13"/>
        <v>Section 4 - Create spring-boot starter microservice, containerize it and push to DockerHub</v>
      </c>
      <c r="F61" s="18" t="str">
        <f t="shared" si="14"/>
        <v/>
      </c>
      <c r="G61" s="13" t="str">
        <f t="shared" si="17"/>
        <v/>
      </c>
      <c r="H61">
        <f t="shared" si="18"/>
        <v>0</v>
      </c>
      <c r="I61">
        <f t="shared" si="19"/>
        <v>0</v>
      </c>
      <c r="J61" s="13">
        <f t="shared" si="20"/>
        <v>65</v>
      </c>
      <c r="K61">
        <f t="shared" si="6"/>
        <v>0</v>
      </c>
      <c r="L61">
        <f t="shared" si="7"/>
        <v>1</v>
      </c>
      <c r="M61" s="13">
        <f t="shared" si="21"/>
        <v>1</v>
      </c>
      <c r="N61">
        <f t="shared" si="21"/>
        <v>4</v>
      </c>
      <c r="O61" s="14">
        <f t="shared" si="9"/>
        <v>64</v>
      </c>
      <c r="P61" s="13">
        <f t="shared" si="15"/>
        <v>1</v>
      </c>
      <c r="Q61">
        <f t="shared" si="22"/>
        <v>4</v>
      </c>
      <c r="R61" s="14">
        <f t="shared" si="23"/>
        <v>64</v>
      </c>
      <c r="S61" s="15"/>
      <c r="W61" s="14"/>
    </row>
    <row r="62" spans="1:23" x14ac:dyDescent="0.25">
      <c r="A62" s="16"/>
      <c r="B62" s="17" t="b">
        <f t="shared" si="16"/>
        <v>0</v>
      </c>
      <c r="C62" s="17" t="b">
        <f t="shared" si="1"/>
        <v>0</v>
      </c>
      <c r="D62" s="17">
        <f t="shared" si="12"/>
        <v>1</v>
      </c>
      <c r="E62" s="17" t="str">
        <f t="shared" si="13"/>
        <v>Section 4 - Create spring-boot starter microservice, containerize it and push to DockerHub</v>
      </c>
      <c r="F62" s="18" t="str">
        <f t="shared" si="14"/>
        <v/>
      </c>
      <c r="G62" s="13" t="str">
        <f t="shared" si="17"/>
        <v/>
      </c>
      <c r="H62">
        <f t="shared" si="18"/>
        <v>0</v>
      </c>
      <c r="I62">
        <f t="shared" si="19"/>
        <v>0</v>
      </c>
      <c r="J62" s="13">
        <f t="shared" si="20"/>
        <v>65</v>
      </c>
      <c r="K62">
        <f t="shared" si="6"/>
        <v>0</v>
      </c>
      <c r="L62">
        <f t="shared" si="7"/>
        <v>1</v>
      </c>
      <c r="M62" s="13">
        <f t="shared" si="21"/>
        <v>1</v>
      </c>
      <c r="N62">
        <f t="shared" si="21"/>
        <v>4</v>
      </c>
      <c r="O62" s="14">
        <f t="shared" si="9"/>
        <v>64</v>
      </c>
      <c r="P62" s="13">
        <f t="shared" si="15"/>
        <v>1</v>
      </c>
      <c r="Q62">
        <f t="shared" si="22"/>
        <v>4</v>
      </c>
      <c r="R62" s="14">
        <f t="shared" si="23"/>
        <v>64</v>
      </c>
      <c r="S62" s="15"/>
      <c r="W62" s="14"/>
    </row>
    <row r="63" spans="1:23" x14ac:dyDescent="0.25">
      <c r="A63" s="16"/>
      <c r="B63" s="17" t="b">
        <f t="shared" si="16"/>
        <v>0</v>
      </c>
      <c r="C63" s="17" t="b">
        <f>OR(NOT(ISERROR(FIND("hr",A64))), NOT(ISERROR(FIND("min ",A64))),RIGHT(A64,3)="min")</f>
        <v>0</v>
      </c>
      <c r="D63" s="17">
        <f t="shared" si="12"/>
        <v>1</v>
      </c>
      <c r="E63" s="17" t="str">
        <f t="shared" si="13"/>
        <v>Section 4 - Create spring-boot starter microservice, containerize it and push to DockerHub</v>
      </c>
      <c r="F63" s="18" t="str">
        <f t="shared" si="14"/>
        <v/>
      </c>
      <c r="G63" s="13" t="str">
        <f t="shared" si="17"/>
        <v/>
      </c>
      <c r="H63">
        <f t="shared" si="18"/>
        <v>0</v>
      </c>
      <c r="I63">
        <f t="shared" si="19"/>
        <v>0</v>
      </c>
      <c r="J63" s="13">
        <f t="shared" si="20"/>
        <v>65</v>
      </c>
      <c r="K63">
        <f t="shared" si="6"/>
        <v>0</v>
      </c>
      <c r="L63">
        <f t="shared" si="7"/>
        <v>1</v>
      </c>
      <c r="M63" s="13">
        <f t="shared" si="21"/>
        <v>1</v>
      </c>
      <c r="N63">
        <f t="shared" si="21"/>
        <v>4</v>
      </c>
      <c r="O63" s="14">
        <f t="shared" si="9"/>
        <v>64</v>
      </c>
      <c r="P63" s="13">
        <f t="shared" si="15"/>
        <v>1</v>
      </c>
      <c r="Q63">
        <f t="shared" si="22"/>
        <v>4</v>
      </c>
      <c r="R63" s="14">
        <f t="shared" si="23"/>
        <v>64</v>
      </c>
      <c r="S63" s="15"/>
      <c r="W63" s="14"/>
    </row>
    <row r="64" spans="1:23" x14ac:dyDescent="0.25">
      <c r="A64" s="16"/>
      <c r="B64" s="17" t="b">
        <f t="shared" si="16"/>
        <v>0</v>
      </c>
      <c r="C64" s="17" t="b">
        <f t="shared" ref="C64:C127" si="24">OR(NOT(ISERROR(FIND("hr",A65))), NOT(ISERROR(FIND("min ",A65))),RIGHT(A65,3)="min")</f>
        <v>0</v>
      </c>
      <c r="D64" s="17">
        <f t="shared" si="12"/>
        <v>1</v>
      </c>
      <c r="E64" s="17" t="str">
        <f t="shared" si="13"/>
        <v>Section 4 - Create spring-boot starter microservice, containerize it and push to DockerHub</v>
      </c>
      <c r="F64" s="18" t="str">
        <f t="shared" si="14"/>
        <v/>
      </c>
      <c r="G64" s="13" t="str">
        <f t="shared" si="17"/>
        <v/>
      </c>
      <c r="H64">
        <f t="shared" si="18"/>
        <v>0</v>
      </c>
      <c r="I64">
        <f t="shared" si="19"/>
        <v>0</v>
      </c>
      <c r="J64" s="13">
        <f t="shared" si="20"/>
        <v>65</v>
      </c>
      <c r="K64">
        <f t="shared" si="6"/>
        <v>0</v>
      </c>
      <c r="L64">
        <f t="shared" si="7"/>
        <v>1</v>
      </c>
      <c r="M64" s="13">
        <f t="shared" si="21"/>
        <v>1</v>
      </c>
      <c r="N64">
        <f t="shared" si="21"/>
        <v>4</v>
      </c>
      <c r="O64" s="14">
        <f t="shared" si="9"/>
        <v>64</v>
      </c>
      <c r="P64" s="13">
        <f t="shared" si="15"/>
        <v>1</v>
      </c>
      <c r="Q64">
        <f t="shared" si="22"/>
        <v>4</v>
      </c>
      <c r="R64" s="14">
        <f t="shared" si="23"/>
        <v>64</v>
      </c>
      <c r="S64" s="15"/>
      <c r="W64" s="14"/>
    </row>
    <row r="65" spans="1:23" x14ac:dyDescent="0.25">
      <c r="A65" s="16"/>
      <c r="B65" s="17" t="b">
        <f t="shared" si="16"/>
        <v>0</v>
      </c>
      <c r="C65" s="17" t="b">
        <f t="shared" si="24"/>
        <v>0</v>
      </c>
      <c r="D65" s="17">
        <f t="shared" si="12"/>
        <v>1</v>
      </c>
      <c r="E65" s="17" t="str">
        <f t="shared" si="13"/>
        <v>Section 4 - Create spring-boot starter microservice, containerize it and push to DockerHub</v>
      </c>
      <c r="F65" s="18" t="str">
        <f t="shared" si="14"/>
        <v/>
      </c>
      <c r="G65" s="13" t="str">
        <f t="shared" si="17"/>
        <v/>
      </c>
      <c r="H65">
        <f t="shared" si="18"/>
        <v>0</v>
      </c>
      <c r="I65">
        <f t="shared" si="19"/>
        <v>0</v>
      </c>
      <c r="J65" s="13">
        <f t="shared" si="20"/>
        <v>65</v>
      </c>
      <c r="K65">
        <f t="shared" si="6"/>
        <v>0</v>
      </c>
      <c r="L65">
        <f t="shared" si="7"/>
        <v>1</v>
      </c>
      <c r="M65" s="13">
        <f t="shared" si="21"/>
        <v>1</v>
      </c>
      <c r="N65">
        <f t="shared" si="21"/>
        <v>4</v>
      </c>
      <c r="O65" s="14">
        <f t="shared" si="9"/>
        <v>64</v>
      </c>
      <c r="P65" s="13">
        <f t="shared" si="15"/>
        <v>1</v>
      </c>
      <c r="Q65">
        <f t="shared" si="22"/>
        <v>4</v>
      </c>
      <c r="R65" s="14">
        <f t="shared" si="23"/>
        <v>64</v>
      </c>
      <c r="S65" s="15"/>
      <c r="W65" s="14"/>
    </row>
    <row r="66" spans="1:23" x14ac:dyDescent="0.25">
      <c r="A66" s="16"/>
      <c r="B66" s="17" t="b">
        <f t="shared" si="16"/>
        <v>0</v>
      </c>
      <c r="C66" s="17" t="b">
        <f t="shared" si="24"/>
        <v>0</v>
      </c>
      <c r="D66" s="17">
        <f t="shared" si="12"/>
        <v>1</v>
      </c>
      <c r="E66" s="17" t="str">
        <f t="shared" si="13"/>
        <v>Section 4 - Create spring-boot starter microservice, containerize it and push to DockerHub</v>
      </c>
      <c r="F66" s="18" t="str">
        <f t="shared" si="14"/>
        <v/>
      </c>
      <c r="G66" s="13" t="str">
        <f t="shared" si="17"/>
        <v/>
      </c>
      <c r="H66">
        <f t="shared" si="18"/>
        <v>0</v>
      </c>
      <c r="I66">
        <f t="shared" si="19"/>
        <v>0</v>
      </c>
      <c r="J66" s="13">
        <f t="shared" si="20"/>
        <v>65</v>
      </c>
      <c r="K66">
        <f t="shared" si="6"/>
        <v>0</v>
      </c>
      <c r="L66">
        <f t="shared" si="7"/>
        <v>1</v>
      </c>
      <c r="M66" s="13">
        <f t="shared" si="21"/>
        <v>1</v>
      </c>
      <c r="N66">
        <f t="shared" si="21"/>
        <v>4</v>
      </c>
      <c r="O66" s="14">
        <f t="shared" si="9"/>
        <v>64</v>
      </c>
      <c r="P66" s="13">
        <f t="shared" si="15"/>
        <v>1</v>
      </c>
      <c r="Q66">
        <f t="shared" si="22"/>
        <v>4</v>
      </c>
      <c r="R66" s="14">
        <f t="shared" si="23"/>
        <v>64</v>
      </c>
      <c r="S66" s="15"/>
      <c r="W66" s="14"/>
    </row>
    <row r="67" spans="1:23" x14ac:dyDescent="0.25">
      <c r="A67" s="16"/>
      <c r="B67" s="17" t="b">
        <f t="shared" si="16"/>
        <v>0</v>
      </c>
      <c r="C67" s="17" t="b">
        <f t="shared" si="24"/>
        <v>0</v>
      </c>
      <c r="D67" s="17">
        <f t="shared" si="12"/>
        <v>1</v>
      </c>
      <c r="E67" s="17" t="str">
        <f t="shared" si="13"/>
        <v>Section 4 - Create spring-boot starter microservice, containerize it and push to DockerHub</v>
      </c>
      <c r="F67" s="18" t="str">
        <f t="shared" si="14"/>
        <v/>
      </c>
      <c r="G67" s="13" t="str">
        <f t="shared" si="17"/>
        <v/>
      </c>
      <c r="H67">
        <f t="shared" si="18"/>
        <v>0</v>
      </c>
      <c r="I67">
        <f t="shared" si="19"/>
        <v>0</v>
      </c>
      <c r="J67" s="13">
        <f t="shared" si="20"/>
        <v>65</v>
      </c>
      <c r="K67">
        <f t="shared" si="6"/>
        <v>0</v>
      </c>
      <c r="L67">
        <f t="shared" si="7"/>
        <v>1</v>
      </c>
      <c r="M67" s="13">
        <f t="shared" si="21"/>
        <v>1</v>
      </c>
      <c r="N67">
        <f t="shared" si="21"/>
        <v>4</v>
      </c>
      <c r="O67" s="14">
        <f t="shared" si="9"/>
        <v>64</v>
      </c>
      <c r="P67" s="13">
        <f t="shared" si="15"/>
        <v>1</v>
      </c>
      <c r="Q67">
        <f t="shared" si="22"/>
        <v>4</v>
      </c>
      <c r="R67" s="14">
        <f t="shared" si="23"/>
        <v>64</v>
      </c>
      <c r="S67" s="15"/>
      <c r="W67" s="14"/>
    </row>
    <row r="68" spans="1:23" x14ac:dyDescent="0.25">
      <c r="A68" s="16"/>
      <c r="B68" s="17" t="b">
        <f t="shared" si="16"/>
        <v>0</v>
      </c>
      <c r="C68" s="17" t="b">
        <f t="shared" si="24"/>
        <v>0</v>
      </c>
      <c r="D68" s="17">
        <f t="shared" si="12"/>
        <v>1</v>
      </c>
      <c r="E68" s="17" t="str">
        <f t="shared" si="13"/>
        <v>Section 4 - Create spring-boot starter microservice, containerize it and push to DockerHub</v>
      </c>
      <c r="F68" s="18" t="str">
        <f t="shared" si="14"/>
        <v/>
      </c>
      <c r="G68" s="13" t="str">
        <f t="shared" si="17"/>
        <v/>
      </c>
      <c r="H68">
        <f t="shared" si="18"/>
        <v>0</v>
      </c>
      <c r="I68">
        <f t="shared" si="19"/>
        <v>0</v>
      </c>
      <c r="J68" s="13">
        <f t="shared" si="20"/>
        <v>65</v>
      </c>
      <c r="K68">
        <f t="shared" si="6"/>
        <v>0</v>
      </c>
      <c r="L68">
        <f t="shared" si="7"/>
        <v>1</v>
      </c>
      <c r="M68" s="13">
        <f t="shared" si="21"/>
        <v>1</v>
      </c>
      <c r="N68">
        <f t="shared" si="21"/>
        <v>4</v>
      </c>
      <c r="O68" s="14">
        <f t="shared" si="9"/>
        <v>64</v>
      </c>
      <c r="P68" s="13">
        <f t="shared" si="15"/>
        <v>1</v>
      </c>
      <c r="Q68">
        <f t="shared" si="22"/>
        <v>4</v>
      </c>
      <c r="R68" s="14">
        <f t="shared" si="23"/>
        <v>64</v>
      </c>
      <c r="S68" s="15"/>
      <c r="W68" s="14"/>
    </row>
    <row r="69" spans="1:23" x14ac:dyDescent="0.25">
      <c r="A69" s="16"/>
      <c r="B69" s="17" t="b">
        <f t="shared" si="16"/>
        <v>0</v>
      </c>
      <c r="C69" s="17" t="b">
        <f t="shared" si="24"/>
        <v>0</v>
      </c>
      <c r="D69" s="17">
        <f t="shared" si="12"/>
        <v>1</v>
      </c>
      <c r="E69" s="17" t="str">
        <f t="shared" si="13"/>
        <v>Section 4 - Create spring-boot starter microservice, containerize it and push to DockerHub</v>
      </c>
      <c r="F69" s="18" t="str">
        <f t="shared" si="14"/>
        <v/>
      </c>
      <c r="G69" s="13" t="str">
        <f t="shared" si="17"/>
        <v/>
      </c>
      <c r="H69">
        <f t="shared" si="18"/>
        <v>0</v>
      </c>
      <c r="I69">
        <f t="shared" si="19"/>
        <v>0</v>
      </c>
      <c r="J69" s="13">
        <f t="shared" si="20"/>
        <v>65</v>
      </c>
      <c r="K69">
        <f t="shared" si="6"/>
        <v>0</v>
      </c>
      <c r="L69">
        <f t="shared" si="7"/>
        <v>1</v>
      </c>
      <c r="M69" s="13">
        <f t="shared" si="21"/>
        <v>1</v>
      </c>
      <c r="N69">
        <f t="shared" si="21"/>
        <v>4</v>
      </c>
      <c r="O69" s="14">
        <f t="shared" si="9"/>
        <v>64</v>
      </c>
      <c r="P69" s="13">
        <f t="shared" si="15"/>
        <v>1</v>
      </c>
      <c r="Q69">
        <f t="shared" si="22"/>
        <v>4</v>
      </c>
      <c r="R69" s="14">
        <f t="shared" si="23"/>
        <v>64</v>
      </c>
      <c r="S69" s="15"/>
      <c r="W69" s="14"/>
    </row>
    <row r="70" spans="1:23" x14ac:dyDescent="0.25">
      <c r="A70" s="16"/>
      <c r="B70" s="17" t="b">
        <f t="shared" si="16"/>
        <v>0</v>
      </c>
      <c r="C70" s="17" t="b">
        <f t="shared" si="24"/>
        <v>0</v>
      </c>
      <c r="D70" s="17">
        <f t="shared" si="12"/>
        <v>1</v>
      </c>
      <c r="E70" s="17" t="str">
        <f t="shared" si="13"/>
        <v>Section 4 - Create spring-boot starter microservice, containerize it and push to DockerHub</v>
      </c>
      <c r="F70" s="18" t="str">
        <f t="shared" si="14"/>
        <v/>
      </c>
      <c r="G70" s="13" t="str">
        <f t="shared" si="17"/>
        <v/>
      </c>
      <c r="H70">
        <f t="shared" si="18"/>
        <v>0</v>
      </c>
      <c r="I70">
        <f t="shared" si="19"/>
        <v>0</v>
      </c>
      <c r="J70" s="13">
        <f t="shared" si="20"/>
        <v>65</v>
      </c>
      <c r="K70">
        <f t="shared" si="6"/>
        <v>0</v>
      </c>
      <c r="L70">
        <f t="shared" si="7"/>
        <v>1</v>
      </c>
      <c r="M70" s="13">
        <f t="shared" si="21"/>
        <v>1</v>
      </c>
      <c r="N70">
        <f t="shared" si="21"/>
        <v>4</v>
      </c>
      <c r="O70" s="14">
        <f t="shared" si="9"/>
        <v>64</v>
      </c>
      <c r="P70" s="13">
        <f t="shared" si="15"/>
        <v>1</v>
      </c>
      <c r="Q70">
        <f t="shared" si="22"/>
        <v>4</v>
      </c>
      <c r="R70" s="14">
        <f t="shared" si="23"/>
        <v>64</v>
      </c>
      <c r="S70" s="15"/>
      <c r="W70" s="14"/>
    </row>
    <row r="71" spans="1:23" x14ac:dyDescent="0.25">
      <c r="A71" s="16"/>
      <c r="B71" s="17" t="b">
        <f t="shared" si="16"/>
        <v>0</v>
      </c>
      <c r="C71" s="17" t="b">
        <f t="shared" si="24"/>
        <v>0</v>
      </c>
      <c r="D71" s="17">
        <f t="shared" si="12"/>
        <v>1</v>
      </c>
      <c r="E71" s="17" t="str">
        <f t="shared" si="13"/>
        <v>Section 4 - Create spring-boot starter microservice, containerize it and push to DockerHub</v>
      </c>
      <c r="F71" s="18" t="str">
        <f t="shared" si="14"/>
        <v/>
      </c>
      <c r="G71" s="13" t="str">
        <f t="shared" si="17"/>
        <v/>
      </c>
      <c r="H71">
        <f t="shared" si="18"/>
        <v>0</v>
      </c>
      <c r="I71">
        <f t="shared" si="19"/>
        <v>0</v>
      </c>
      <c r="J71" s="13">
        <f t="shared" si="20"/>
        <v>65</v>
      </c>
      <c r="K71">
        <f t="shared" si="6"/>
        <v>0</v>
      </c>
      <c r="L71">
        <f t="shared" si="7"/>
        <v>1</v>
      </c>
      <c r="M71" s="13">
        <f t="shared" si="21"/>
        <v>1</v>
      </c>
      <c r="N71">
        <f t="shared" si="21"/>
        <v>4</v>
      </c>
      <c r="O71" s="14">
        <f t="shared" si="9"/>
        <v>64</v>
      </c>
      <c r="P71" s="13">
        <f t="shared" si="15"/>
        <v>1</v>
      </c>
      <c r="Q71">
        <f t="shared" si="22"/>
        <v>4</v>
      </c>
      <c r="R71" s="14">
        <f t="shared" si="23"/>
        <v>64</v>
      </c>
      <c r="S71" s="15"/>
      <c r="W71" s="14"/>
    </row>
    <row r="72" spans="1:23" x14ac:dyDescent="0.25">
      <c r="A72" s="16"/>
      <c r="B72" s="17" t="b">
        <f t="shared" si="16"/>
        <v>0</v>
      </c>
      <c r="C72" s="17" t="b">
        <f t="shared" si="24"/>
        <v>0</v>
      </c>
      <c r="D72" s="17">
        <f t="shared" si="12"/>
        <v>1</v>
      </c>
      <c r="E72" s="17" t="str">
        <f t="shared" si="13"/>
        <v>Section 4 - Create spring-boot starter microservice, containerize it and push to DockerHub</v>
      </c>
      <c r="F72" s="18" t="str">
        <f t="shared" si="14"/>
        <v/>
      </c>
      <c r="G72" s="13" t="str">
        <f t="shared" si="17"/>
        <v/>
      </c>
      <c r="H72">
        <f t="shared" si="18"/>
        <v>0</v>
      </c>
      <c r="I72">
        <f t="shared" si="19"/>
        <v>0</v>
      </c>
      <c r="J72" s="13">
        <f t="shared" si="20"/>
        <v>65</v>
      </c>
      <c r="K72">
        <f t="shared" si="6"/>
        <v>0</v>
      </c>
      <c r="L72">
        <f t="shared" si="7"/>
        <v>1</v>
      </c>
      <c r="M72" s="13">
        <f t="shared" si="21"/>
        <v>1</v>
      </c>
      <c r="N72">
        <f t="shared" si="21"/>
        <v>4</v>
      </c>
      <c r="O72" s="14">
        <f t="shared" si="9"/>
        <v>64</v>
      </c>
      <c r="P72" s="13">
        <f t="shared" si="15"/>
        <v>1</v>
      </c>
      <c r="Q72">
        <f t="shared" si="22"/>
        <v>4</v>
      </c>
      <c r="R72" s="14">
        <f t="shared" si="23"/>
        <v>64</v>
      </c>
      <c r="S72" s="15"/>
      <c r="W72" s="14"/>
    </row>
    <row r="73" spans="1:23" x14ac:dyDescent="0.25">
      <c r="A73" s="16"/>
      <c r="B73" s="17" t="b">
        <f t="shared" si="16"/>
        <v>0</v>
      </c>
      <c r="C73" s="17" t="b">
        <f t="shared" si="24"/>
        <v>0</v>
      </c>
      <c r="D73" s="17">
        <f t="shared" si="12"/>
        <v>1</v>
      </c>
      <c r="E73" s="17" t="str">
        <f t="shared" si="13"/>
        <v>Section 4 - Create spring-boot starter microservice, containerize it and push to DockerHub</v>
      </c>
      <c r="F73" s="18" t="str">
        <f t="shared" si="14"/>
        <v/>
      </c>
      <c r="G73" s="13" t="str">
        <f t="shared" si="17"/>
        <v/>
      </c>
      <c r="H73">
        <f t="shared" si="18"/>
        <v>0</v>
      </c>
      <c r="I73">
        <f t="shared" si="19"/>
        <v>0</v>
      </c>
      <c r="J73" s="13">
        <f t="shared" si="20"/>
        <v>65</v>
      </c>
      <c r="K73">
        <f t="shared" si="6"/>
        <v>0</v>
      </c>
      <c r="L73">
        <f t="shared" si="7"/>
        <v>1</v>
      </c>
      <c r="M73" s="13">
        <f t="shared" si="21"/>
        <v>1</v>
      </c>
      <c r="N73">
        <f t="shared" si="21"/>
        <v>4</v>
      </c>
      <c r="O73" s="14">
        <f t="shared" si="9"/>
        <v>64</v>
      </c>
      <c r="P73" s="13">
        <f t="shared" si="15"/>
        <v>1</v>
      </c>
      <c r="Q73">
        <f t="shared" si="22"/>
        <v>4</v>
      </c>
      <c r="R73" s="14">
        <f t="shared" si="23"/>
        <v>64</v>
      </c>
      <c r="S73" s="15"/>
      <c r="W73" s="14"/>
    </row>
    <row r="74" spans="1:23" x14ac:dyDescent="0.25">
      <c r="A74" s="16"/>
      <c r="B74" s="17" t="b">
        <f t="shared" si="16"/>
        <v>0</v>
      </c>
      <c r="C74" s="17" t="b">
        <f t="shared" si="24"/>
        <v>0</v>
      </c>
      <c r="D74" s="17">
        <f t="shared" si="12"/>
        <v>1</v>
      </c>
      <c r="E74" s="17" t="str">
        <f t="shared" si="13"/>
        <v>Section 4 - Create spring-boot starter microservice, containerize it and push to DockerHub</v>
      </c>
      <c r="F74" s="18" t="str">
        <f t="shared" si="14"/>
        <v/>
      </c>
      <c r="G74" s="13" t="str">
        <f t="shared" si="17"/>
        <v/>
      </c>
      <c r="H74">
        <f t="shared" si="18"/>
        <v>0</v>
      </c>
      <c r="I74">
        <f t="shared" si="19"/>
        <v>0</v>
      </c>
      <c r="J74" s="13">
        <f t="shared" si="20"/>
        <v>65</v>
      </c>
      <c r="K74">
        <f t="shared" ref="K74:K137" si="25">INT(J74/60/60)</f>
        <v>0</v>
      </c>
      <c r="L74">
        <f t="shared" ref="L74:L137" si="26">INT((J74-(K74*60*60))/60)</f>
        <v>1</v>
      </c>
      <c r="M74" s="13">
        <f t="shared" si="21"/>
        <v>1</v>
      </c>
      <c r="N74">
        <f t="shared" si="21"/>
        <v>4</v>
      </c>
      <c r="O74" s="14">
        <f t="shared" ref="O74:O137" si="27">((M74*60)+N74)</f>
        <v>64</v>
      </c>
      <c r="P74" s="13">
        <f t="shared" si="15"/>
        <v>1</v>
      </c>
      <c r="Q74">
        <f t="shared" si="22"/>
        <v>4</v>
      </c>
      <c r="R74" s="14">
        <f t="shared" si="23"/>
        <v>64</v>
      </c>
      <c r="S74" s="15"/>
      <c r="W74" s="14"/>
    </row>
    <row r="75" spans="1:23" x14ac:dyDescent="0.25">
      <c r="A75" s="16"/>
      <c r="B75" s="17" t="b">
        <f t="shared" si="16"/>
        <v>0</v>
      </c>
      <c r="C75" s="17" t="b">
        <f t="shared" si="24"/>
        <v>0</v>
      </c>
      <c r="D75" s="17">
        <f t="shared" ref="D75:D138" si="28">IF(B75,0,IF(C75,D74+1,D74))</f>
        <v>1</v>
      </c>
      <c r="E75" s="17" t="str">
        <f t="shared" ref="E75:E138" si="29">SUBSTITUTE(IF(B75,A75,E74),":"," -")</f>
        <v>Section 4 - Create spring-boot starter microservice, containerize it and push to DockerHub</v>
      </c>
      <c r="F75" s="18" t="str">
        <f t="shared" ref="F75:F138" si="30">IF(C75,A75,"")</f>
        <v/>
      </c>
      <c r="G75" s="13" t="str">
        <f t="shared" si="17"/>
        <v/>
      </c>
      <c r="H75">
        <f t="shared" si="18"/>
        <v>0</v>
      </c>
      <c r="I75">
        <f t="shared" si="19"/>
        <v>0</v>
      </c>
      <c r="J75" s="13">
        <f t="shared" si="20"/>
        <v>65</v>
      </c>
      <c r="K75">
        <f t="shared" si="25"/>
        <v>0</v>
      </c>
      <c r="L75">
        <f t="shared" si="26"/>
        <v>1</v>
      </c>
      <c r="M75" s="13">
        <f t="shared" si="21"/>
        <v>1</v>
      </c>
      <c r="N75">
        <f t="shared" si="21"/>
        <v>4</v>
      </c>
      <c r="O75" s="14">
        <f t="shared" si="27"/>
        <v>64</v>
      </c>
      <c r="P75" s="13">
        <f t="shared" ref="P75:P138" si="31">INT(R75/60)</f>
        <v>1</v>
      </c>
      <c r="Q75">
        <f t="shared" si="22"/>
        <v>4</v>
      </c>
      <c r="R75" s="14">
        <f t="shared" si="23"/>
        <v>64</v>
      </c>
      <c r="S75" s="15"/>
      <c r="W75" s="14"/>
    </row>
    <row r="76" spans="1:23" x14ac:dyDescent="0.25">
      <c r="A76" s="16"/>
      <c r="B76" s="17" t="b">
        <f t="shared" si="16"/>
        <v>0</v>
      </c>
      <c r="C76" s="17" t="b">
        <f t="shared" si="24"/>
        <v>0</v>
      </c>
      <c r="D76" s="17">
        <f t="shared" si="28"/>
        <v>1</v>
      </c>
      <c r="E76" s="17" t="str">
        <f t="shared" si="29"/>
        <v>Section 4 - Create spring-boot starter microservice, containerize it and push to DockerHub</v>
      </c>
      <c r="F76" s="18" t="str">
        <f t="shared" si="30"/>
        <v/>
      </c>
      <c r="G76" s="13" t="str">
        <f t="shared" si="17"/>
        <v/>
      </c>
      <c r="H76">
        <f t="shared" si="18"/>
        <v>0</v>
      </c>
      <c r="I76">
        <f t="shared" si="19"/>
        <v>0</v>
      </c>
      <c r="J76" s="13">
        <f t="shared" si="20"/>
        <v>65</v>
      </c>
      <c r="K76">
        <f t="shared" si="25"/>
        <v>0</v>
      </c>
      <c r="L76">
        <f t="shared" si="26"/>
        <v>1</v>
      </c>
      <c r="M76" s="13">
        <f t="shared" si="21"/>
        <v>1</v>
      </c>
      <c r="N76">
        <f t="shared" si="21"/>
        <v>4</v>
      </c>
      <c r="O76" s="14">
        <f t="shared" si="27"/>
        <v>64</v>
      </c>
      <c r="P76" s="13">
        <f t="shared" si="31"/>
        <v>1</v>
      </c>
      <c r="Q76">
        <f t="shared" si="22"/>
        <v>4</v>
      </c>
      <c r="R76" s="14">
        <f t="shared" si="23"/>
        <v>64</v>
      </c>
      <c r="S76" s="15"/>
      <c r="W76" s="14"/>
    </row>
    <row r="77" spans="1:23" x14ac:dyDescent="0.25">
      <c r="A77" s="16"/>
      <c r="B77" s="17" t="b">
        <f t="shared" si="16"/>
        <v>0</v>
      </c>
      <c r="C77" s="17" t="b">
        <f t="shared" si="24"/>
        <v>0</v>
      </c>
      <c r="D77" s="17">
        <f t="shared" si="28"/>
        <v>1</v>
      </c>
      <c r="E77" s="17" t="str">
        <f t="shared" si="29"/>
        <v>Section 4 - Create spring-boot starter microservice, containerize it and push to DockerHub</v>
      </c>
      <c r="F77" s="18" t="str">
        <f t="shared" si="30"/>
        <v/>
      </c>
      <c r="G77" s="13" t="str">
        <f t="shared" si="17"/>
        <v/>
      </c>
      <c r="H77">
        <f t="shared" si="18"/>
        <v>0</v>
      </c>
      <c r="I77">
        <f t="shared" si="19"/>
        <v>0</v>
      </c>
      <c r="J77" s="13">
        <f t="shared" si="20"/>
        <v>65</v>
      </c>
      <c r="K77">
        <f t="shared" si="25"/>
        <v>0</v>
      </c>
      <c r="L77">
        <f t="shared" si="26"/>
        <v>1</v>
      </c>
      <c r="M77" s="13">
        <f t="shared" si="21"/>
        <v>1</v>
      </c>
      <c r="N77">
        <f t="shared" si="21"/>
        <v>4</v>
      </c>
      <c r="O77" s="14">
        <f t="shared" si="27"/>
        <v>64</v>
      </c>
      <c r="P77" s="13">
        <f t="shared" si="31"/>
        <v>1</v>
      </c>
      <c r="Q77">
        <f t="shared" si="22"/>
        <v>4</v>
      </c>
      <c r="R77" s="14">
        <f t="shared" si="23"/>
        <v>64</v>
      </c>
      <c r="S77" s="15"/>
      <c r="W77" s="14"/>
    </row>
    <row r="78" spans="1:23" x14ac:dyDescent="0.25">
      <c r="A78" s="16"/>
      <c r="B78" s="17" t="b">
        <f t="shared" si="16"/>
        <v>0</v>
      </c>
      <c r="C78" s="17" t="b">
        <f t="shared" si="24"/>
        <v>0</v>
      </c>
      <c r="D78" s="17">
        <f t="shared" si="28"/>
        <v>1</v>
      </c>
      <c r="E78" s="17" t="str">
        <f t="shared" si="29"/>
        <v>Section 4 - Create spring-boot starter microservice, containerize it and push to DockerHub</v>
      </c>
      <c r="F78" s="18" t="str">
        <f t="shared" si="30"/>
        <v/>
      </c>
      <c r="G78" s="13" t="str">
        <f t="shared" si="17"/>
        <v/>
      </c>
      <c r="H78">
        <f t="shared" si="18"/>
        <v>0</v>
      </c>
      <c r="I78">
        <f t="shared" si="19"/>
        <v>0</v>
      </c>
      <c r="J78" s="13">
        <f t="shared" si="20"/>
        <v>65</v>
      </c>
      <c r="K78">
        <f t="shared" si="25"/>
        <v>0</v>
      </c>
      <c r="L78">
        <f t="shared" si="26"/>
        <v>1</v>
      </c>
      <c r="M78" s="13">
        <f t="shared" si="21"/>
        <v>1</v>
      </c>
      <c r="N78">
        <f t="shared" si="21"/>
        <v>4</v>
      </c>
      <c r="O78" s="14">
        <f t="shared" si="27"/>
        <v>64</v>
      </c>
      <c r="P78" s="13">
        <f t="shared" si="31"/>
        <v>1</v>
      </c>
      <c r="Q78">
        <f t="shared" si="22"/>
        <v>4</v>
      </c>
      <c r="R78" s="14">
        <f t="shared" si="23"/>
        <v>64</v>
      </c>
      <c r="S78" s="15"/>
      <c r="W78" s="14"/>
    </row>
    <row r="79" spans="1:23" x14ac:dyDescent="0.25">
      <c r="A79" s="16"/>
      <c r="B79" s="17" t="b">
        <f t="shared" si="16"/>
        <v>0</v>
      </c>
      <c r="C79" s="17" t="b">
        <f t="shared" si="24"/>
        <v>0</v>
      </c>
      <c r="D79" s="17">
        <f t="shared" si="28"/>
        <v>1</v>
      </c>
      <c r="E79" s="17" t="str">
        <f t="shared" si="29"/>
        <v>Section 4 - Create spring-boot starter microservice, containerize it and push to DockerHub</v>
      </c>
      <c r="F79" s="18" t="str">
        <f t="shared" si="30"/>
        <v/>
      </c>
      <c r="G79" s="13" t="str">
        <f t="shared" si="17"/>
        <v/>
      </c>
      <c r="H79">
        <f t="shared" si="18"/>
        <v>0</v>
      </c>
      <c r="I79">
        <f t="shared" si="19"/>
        <v>0</v>
      </c>
      <c r="J79" s="13">
        <f t="shared" si="20"/>
        <v>65</v>
      </c>
      <c r="K79">
        <f t="shared" si="25"/>
        <v>0</v>
      </c>
      <c r="L79">
        <f t="shared" si="26"/>
        <v>1</v>
      </c>
      <c r="M79" s="13">
        <f t="shared" si="21"/>
        <v>1</v>
      </c>
      <c r="N79">
        <f t="shared" si="21"/>
        <v>4</v>
      </c>
      <c r="O79" s="14">
        <f t="shared" si="27"/>
        <v>64</v>
      </c>
      <c r="P79" s="13">
        <f t="shared" si="31"/>
        <v>1</v>
      </c>
      <c r="Q79">
        <f t="shared" si="22"/>
        <v>4</v>
      </c>
      <c r="R79" s="14">
        <f t="shared" si="23"/>
        <v>64</v>
      </c>
      <c r="S79" s="15"/>
      <c r="W79" s="14"/>
    </row>
    <row r="80" spans="1:23" x14ac:dyDescent="0.25">
      <c r="A80" s="16"/>
      <c r="B80" s="17" t="b">
        <f t="shared" si="16"/>
        <v>0</v>
      </c>
      <c r="C80" s="17" t="b">
        <f t="shared" si="24"/>
        <v>0</v>
      </c>
      <c r="D80" s="17">
        <f t="shared" si="28"/>
        <v>1</v>
      </c>
      <c r="E80" s="17" t="str">
        <f t="shared" si="29"/>
        <v>Section 4 - Create spring-boot starter microservice, containerize it and push to DockerHub</v>
      </c>
      <c r="F80" s="18" t="str">
        <f t="shared" si="30"/>
        <v/>
      </c>
      <c r="G80" s="13" t="str">
        <f t="shared" si="17"/>
        <v/>
      </c>
      <c r="H80">
        <f t="shared" si="18"/>
        <v>0</v>
      </c>
      <c r="I80">
        <f t="shared" si="19"/>
        <v>0</v>
      </c>
      <c r="J80" s="13">
        <f t="shared" si="20"/>
        <v>65</v>
      </c>
      <c r="K80">
        <f t="shared" si="25"/>
        <v>0</v>
      </c>
      <c r="L80">
        <f t="shared" si="26"/>
        <v>1</v>
      </c>
      <c r="M80" s="13">
        <f t="shared" si="21"/>
        <v>1</v>
      </c>
      <c r="N80">
        <f t="shared" si="21"/>
        <v>4</v>
      </c>
      <c r="O80" s="14">
        <f t="shared" si="27"/>
        <v>64</v>
      </c>
      <c r="P80" s="13">
        <f t="shared" si="31"/>
        <v>1</v>
      </c>
      <c r="Q80">
        <f t="shared" si="22"/>
        <v>4</v>
      </c>
      <c r="R80" s="14">
        <f t="shared" si="23"/>
        <v>64</v>
      </c>
      <c r="S80" s="15"/>
      <c r="W80" s="14"/>
    </row>
    <row r="81" spans="1:23" x14ac:dyDescent="0.25">
      <c r="A81" s="16"/>
      <c r="B81" s="17" t="b">
        <f t="shared" si="16"/>
        <v>0</v>
      </c>
      <c r="C81" s="17" t="b">
        <f t="shared" si="24"/>
        <v>0</v>
      </c>
      <c r="D81" s="17">
        <f t="shared" si="28"/>
        <v>1</v>
      </c>
      <c r="E81" s="17" t="str">
        <f t="shared" si="29"/>
        <v>Section 4 - Create spring-boot starter microservice, containerize it and push to DockerHub</v>
      </c>
      <c r="F81" s="18" t="str">
        <f t="shared" si="30"/>
        <v/>
      </c>
      <c r="G81" s="13" t="str">
        <f t="shared" si="17"/>
        <v/>
      </c>
      <c r="H81">
        <f t="shared" si="18"/>
        <v>0</v>
      </c>
      <c r="I81">
        <f t="shared" si="19"/>
        <v>0</v>
      </c>
      <c r="J81" s="13">
        <f t="shared" si="20"/>
        <v>65</v>
      </c>
      <c r="K81">
        <f t="shared" si="25"/>
        <v>0</v>
      </c>
      <c r="L81">
        <f t="shared" si="26"/>
        <v>1</v>
      </c>
      <c r="M81" s="13">
        <f t="shared" si="21"/>
        <v>1</v>
      </c>
      <c r="N81">
        <f t="shared" si="21"/>
        <v>4</v>
      </c>
      <c r="O81" s="14">
        <f t="shared" si="27"/>
        <v>64</v>
      </c>
      <c r="P81" s="13">
        <f t="shared" si="31"/>
        <v>1</v>
      </c>
      <c r="Q81">
        <f t="shared" si="22"/>
        <v>4</v>
      </c>
      <c r="R81" s="14">
        <f t="shared" si="23"/>
        <v>64</v>
      </c>
      <c r="S81" s="15"/>
      <c r="W81" s="14"/>
    </row>
    <row r="82" spans="1:23" x14ac:dyDescent="0.25">
      <c r="A82" s="16"/>
      <c r="B82" s="17" t="b">
        <f t="shared" ref="B82:B145" si="32">AND(NOT(ISERROR(FIND("Section ",A82))),NOT(ISERROR(FIND("Section ",A82))))</f>
        <v>0</v>
      </c>
      <c r="C82" s="17" t="b">
        <f t="shared" si="24"/>
        <v>0</v>
      </c>
      <c r="D82" s="17">
        <f t="shared" si="28"/>
        <v>1</v>
      </c>
      <c r="E82" s="17" t="str">
        <f t="shared" si="29"/>
        <v>Section 4 - Create spring-boot starter microservice, containerize it and push to DockerHub</v>
      </c>
      <c r="F82" s="18" t="str">
        <f t="shared" si="30"/>
        <v/>
      </c>
      <c r="G82" s="13" t="str">
        <f t="shared" si="17"/>
        <v/>
      </c>
      <c r="H82">
        <f t="shared" si="18"/>
        <v>0</v>
      </c>
      <c r="I82">
        <f t="shared" si="19"/>
        <v>0</v>
      </c>
      <c r="J82" s="13">
        <f t="shared" si="20"/>
        <v>65</v>
      </c>
      <c r="K82">
        <f t="shared" si="25"/>
        <v>0</v>
      </c>
      <c r="L82">
        <f t="shared" si="26"/>
        <v>1</v>
      </c>
      <c r="M82" s="13">
        <f t="shared" si="21"/>
        <v>1</v>
      </c>
      <c r="N82">
        <f t="shared" si="21"/>
        <v>4</v>
      </c>
      <c r="O82" s="14">
        <f t="shared" si="27"/>
        <v>64</v>
      </c>
      <c r="P82" s="13">
        <f t="shared" si="31"/>
        <v>1</v>
      </c>
      <c r="Q82">
        <f t="shared" si="22"/>
        <v>4</v>
      </c>
      <c r="R82" s="14">
        <f t="shared" si="23"/>
        <v>64</v>
      </c>
      <c r="S82" s="15"/>
      <c r="W82" s="14"/>
    </row>
    <row r="83" spans="1:23" x14ac:dyDescent="0.25">
      <c r="A83" s="16"/>
      <c r="B83" s="17" t="b">
        <f t="shared" si="32"/>
        <v>0</v>
      </c>
      <c r="C83" s="17" t="b">
        <f t="shared" si="24"/>
        <v>0</v>
      </c>
      <c r="D83" s="17">
        <f t="shared" si="28"/>
        <v>1</v>
      </c>
      <c r="E83" s="17" t="str">
        <f t="shared" si="29"/>
        <v>Section 4 - Create spring-boot starter microservice, containerize it and push to DockerHub</v>
      </c>
      <c r="F83" s="18" t="str">
        <f t="shared" si="30"/>
        <v/>
      </c>
      <c r="G83" s="13" t="str">
        <f t="shared" si="17"/>
        <v/>
      </c>
      <c r="H83">
        <f t="shared" si="18"/>
        <v>0</v>
      </c>
      <c r="I83">
        <f t="shared" si="19"/>
        <v>0</v>
      </c>
      <c r="J83" s="13">
        <f t="shared" si="20"/>
        <v>65</v>
      </c>
      <c r="K83">
        <f t="shared" si="25"/>
        <v>0</v>
      </c>
      <c r="L83">
        <f t="shared" si="26"/>
        <v>1</v>
      </c>
      <c r="M83" s="13">
        <f t="shared" si="21"/>
        <v>1</v>
      </c>
      <c r="N83">
        <f t="shared" si="21"/>
        <v>4</v>
      </c>
      <c r="O83" s="14">
        <f t="shared" si="27"/>
        <v>64</v>
      </c>
      <c r="P83" s="13">
        <f t="shared" si="31"/>
        <v>1</v>
      </c>
      <c r="Q83">
        <f t="shared" si="22"/>
        <v>4</v>
      </c>
      <c r="R83" s="14">
        <f t="shared" si="23"/>
        <v>64</v>
      </c>
      <c r="S83" s="15"/>
      <c r="W83" s="14"/>
    </row>
    <row r="84" spans="1:23" x14ac:dyDescent="0.25">
      <c r="A84" s="16"/>
      <c r="B84" s="17" t="b">
        <f t="shared" si="32"/>
        <v>0</v>
      </c>
      <c r="C84" s="17" t="b">
        <f t="shared" si="24"/>
        <v>0</v>
      </c>
      <c r="D84" s="17">
        <f t="shared" si="28"/>
        <v>1</v>
      </c>
      <c r="E84" s="17" t="str">
        <f t="shared" si="29"/>
        <v>Section 4 - Create spring-boot starter microservice, containerize it and push to DockerHub</v>
      </c>
      <c r="F84" s="18" t="str">
        <f t="shared" si="30"/>
        <v/>
      </c>
      <c r="G84" s="13" t="str">
        <f t="shared" si="17"/>
        <v/>
      </c>
      <c r="H84">
        <f t="shared" si="18"/>
        <v>0</v>
      </c>
      <c r="I84">
        <f t="shared" si="19"/>
        <v>0</v>
      </c>
      <c r="J84" s="13">
        <f t="shared" si="20"/>
        <v>65</v>
      </c>
      <c r="K84">
        <f t="shared" si="25"/>
        <v>0</v>
      </c>
      <c r="L84">
        <f t="shared" si="26"/>
        <v>1</v>
      </c>
      <c r="M84" s="13">
        <f t="shared" si="21"/>
        <v>1</v>
      </c>
      <c r="N84">
        <f t="shared" si="21"/>
        <v>4</v>
      </c>
      <c r="O84" s="14">
        <f t="shared" si="27"/>
        <v>64</v>
      </c>
      <c r="P84" s="13">
        <f t="shared" si="31"/>
        <v>1</v>
      </c>
      <c r="Q84">
        <f t="shared" si="22"/>
        <v>4</v>
      </c>
      <c r="R84" s="14">
        <f t="shared" si="23"/>
        <v>64</v>
      </c>
      <c r="S84" s="15"/>
      <c r="W84" s="14"/>
    </row>
    <row r="85" spans="1:23" x14ac:dyDescent="0.25">
      <c r="A85" s="16"/>
      <c r="B85" s="17" t="b">
        <f t="shared" si="32"/>
        <v>0</v>
      </c>
      <c r="C85" s="17" t="b">
        <f t="shared" si="24"/>
        <v>0</v>
      </c>
      <c r="D85" s="17">
        <f t="shared" si="28"/>
        <v>1</v>
      </c>
      <c r="E85" s="17" t="str">
        <f t="shared" si="29"/>
        <v>Section 4 - Create spring-boot starter microservice, containerize it and push to DockerHub</v>
      </c>
      <c r="F85" s="18" t="str">
        <f t="shared" si="30"/>
        <v/>
      </c>
      <c r="G85" s="13" t="str">
        <f t="shared" ref="G85:G148" si="33">IF(C85,A86,"")</f>
        <v/>
      </c>
      <c r="H85">
        <f t="shared" ref="H85:H148" si="34">VALUE(IF(NOT(ISERROR(FIND("hr",G85))),LEFT(G85,FIND("hr",G85)-1),0))</f>
        <v>0</v>
      </c>
      <c r="I85">
        <f t="shared" ref="I85:I148" si="35">VALUE(IF(ISERROR(FIND("min",G85)),0,SUBSTITUTE(MID(G85,IF(ISERROR(FIND("hr ",G85)),1,FIND("hr ",G85)+3),LEN(G85)),"min","")))</f>
        <v>0</v>
      </c>
      <c r="J85" s="13">
        <f t="shared" ref="J85:J148" si="36">J84+(H85*60+I85)</f>
        <v>65</v>
      </c>
      <c r="K85">
        <f t="shared" si="25"/>
        <v>0</v>
      </c>
      <c r="L85">
        <f t="shared" si="26"/>
        <v>1</v>
      </c>
      <c r="M85" s="13">
        <f t="shared" ref="M85:N148" si="37">P84</f>
        <v>1</v>
      </c>
      <c r="N85">
        <f t="shared" si="37"/>
        <v>4</v>
      </c>
      <c r="O85" s="14">
        <f t="shared" si="27"/>
        <v>64</v>
      </c>
      <c r="P85" s="13">
        <f t="shared" si="31"/>
        <v>1</v>
      </c>
      <c r="Q85">
        <f t="shared" ref="Q85:Q148" si="38">R85-(P85*60)</f>
        <v>4</v>
      </c>
      <c r="R85" s="14">
        <f t="shared" ref="R85:R148" si="39">((H85*60)+I85)+O85</f>
        <v>64</v>
      </c>
      <c r="S85" s="15"/>
      <c r="W85" s="14"/>
    </row>
    <row r="86" spans="1:23" x14ac:dyDescent="0.25">
      <c r="A86" s="16"/>
      <c r="B86" s="17" t="b">
        <f t="shared" si="32"/>
        <v>0</v>
      </c>
      <c r="C86" s="17" t="b">
        <f t="shared" si="24"/>
        <v>0</v>
      </c>
      <c r="D86" s="17">
        <f t="shared" si="28"/>
        <v>1</v>
      </c>
      <c r="E86" s="17" t="str">
        <f t="shared" si="29"/>
        <v>Section 4 - Create spring-boot starter microservice, containerize it and push to DockerHub</v>
      </c>
      <c r="F86" s="18" t="str">
        <f t="shared" si="30"/>
        <v/>
      </c>
      <c r="G86" s="13" t="str">
        <f t="shared" si="33"/>
        <v/>
      </c>
      <c r="H86">
        <f t="shared" si="34"/>
        <v>0</v>
      </c>
      <c r="I86">
        <f t="shared" si="35"/>
        <v>0</v>
      </c>
      <c r="J86" s="13">
        <f t="shared" si="36"/>
        <v>65</v>
      </c>
      <c r="K86">
        <f t="shared" si="25"/>
        <v>0</v>
      </c>
      <c r="L86">
        <f t="shared" si="26"/>
        <v>1</v>
      </c>
      <c r="M86" s="13">
        <f t="shared" si="37"/>
        <v>1</v>
      </c>
      <c r="N86">
        <f t="shared" si="37"/>
        <v>4</v>
      </c>
      <c r="O86" s="14">
        <f t="shared" si="27"/>
        <v>64</v>
      </c>
      <c r="P86" s="13">
        <f t="shared" si="31"/>
        <v>1</v>
      </c>
      <c r="Q86">
        <f t="shared" si="38"/>
        <v>4</v>
      </c>
      <c r="R86" s="14">
        <f t="shared" si="39"/>
        <v>64</v>
      </c>
      <c r="S86" s="15"/>
      <c r="W86" s="14"/>
    </row>
    <row r="87" spans="1:23" x14ac:dyDescent="0.25">
      <c r="A87" s="16"/>
      <c r="B87" s="17" t="b">
        <f t="shared" si="32"/>
        <v>0</v>
      </c>
      <c r="C87" s="17" t="b">
        <f t="shared" si="24"/>
        <v>0</v>
      </c>
      <c r="D87" s="17">
        <f t="shared" si="28"/>
        <v>1</v>
      </c>
      <c r="E87" s="17" t="str">
        <f t="shared" si="29"/>
        <v>Section 4 - Create spring-boot starter microservice, containerize it and push to DockerHub</v>
      </c>
      <c r="F87" s="18" t="str">
        <f t="shared" si="30"/>
        <v/>
      </c>
      <c r="G87" s="13" t="str">
        <f t="shared" si="33"/>
        <v/>
      </c>
      <c r="H87">
        <f t="shared" si="34"/>
        <v>0</v>
      </c>
      <c r="I87">
        <f t="shared" si="35"/>
        <v>0</v>
      </c>
      <c r="J87" s="13">
        <f t="shared" si="36"/>
        <v>65</v>
      </c>
      <c r="K87">
        <f t="shared" si="25"/>
        <v>0</v>
      </c>
      <c r="L87">
        <f t="shared" si="26"/>
        <v>1</v>
      </c>
      <c r="M87" s="13">
        <f t="shared" si="37"/>
        <v>1</v>
      </c>
      <c r="N87">
        <f t="shared" si="37"/>
        <v>4</v>
      </c>
      <c r="O87" s="14">
        <f t="shared" si="27"/>
        <v>64</v>
      </c>
      <c r="P87" s="13">
        <f t="shared" si="31"/>
        <v>1</v>
      </c>
      <c r="Q87">
        <f t="shared" si="38"/>
        <v>4</v>
      </c>
      <c r="R87" s="14">
        <f t="shared" si="39"/>
        <v>64</v>
      </c>
      <c r="S87" s="15"/>
      <c r="W87" s="14"/>
    </row>
    <row r="88" spans="1:23" x14ac:dyDescent="0.25">
      <c r="A88" s="16"/>
      <c r="B88" s="17" t="b">
        <f t="shared" si="32"/>
        <v>0</v>
      </c>
      <c r="C88" s="17" t="b">
        <f t="shared" si="24"/>
        <v>0</v>
      </c>
      <c r="D88" s="17">
        <f t="shared" si="28"/>
        <v>1</v>
      </c>
      <c r="E88" s="17" t="str">
        <f t="shared" si="29"/>
        <v>Section 4 - Create spring-boot starter microservice, containerize it and push to DockerHub</v>
      </c>
      <c r="F88" s="18" t="str">
        <f t="shared" si="30"/>
        <v/>
      </c>
      <c r="G88" s="13" t="str">
        <f t="shared" si="33"/>
        <v/>
      </c>
      <c r="H88">
        <f t="shared" si="34"/>
        <v>0</v>
      </c>
      <c r="I88">
        <f t="shared" si="35"/>
        <v>0</v>
      </c>
      <c r="J88" s="13">
        <f t="shared" si="36"/>
        <v>65</v>
      </c>
      <c r="K88">
        <f t="shared" si="25"/>
        <v>0</v>
      </c>
      <c r="L88">
        <f t="shared" si="26"/>
        <v>1</v>
      </c>
      <c r="M88" s="13">
        <f t="shared" si="37"/>
        <v>1</v>
      </c>
      <c r="N88">
        <f t="shared" si="37"/>
        <v>4</v>
      </c>
      <c r="O88" s="14">
        <f t="shared" si="27"/>
        <v>64</v>
      </c>
      <c r="P88" s="13">
        <f t="shared" si="31"/>
        <v>1</v>
      </c>
      <c r="Q88">
        <f t="shared" si="38"/>
        <v>4</v>
      </c>
      <c r="R88" s="14">
        <f t="shared" si="39"/>
        <v>64</v>
      </c>
      <c r="S88" s="15"/>
      <c r="W88" s="14"/>
    </row>
    <row r="89" spans="1:23" x14ac:dyDescent="0.25">
      <c r="A89" s="16"/>
      <c r="B89" s="17" t="b">
        <f t="shared" si="32"/>
        <v>0</v>
      </c>
      <c r="C89" s="17" t="b">
        <f t="shared" si="24"/>
        <v>0</v>
      </c>
      <c r="D89" s="17">
        <f t="shared" si="28"/>
        <v>1</v>
      </c>
      <c r="E89" s="17" t="str">
        <f t="shared" si="29"/>
        <v>Section 4 - Create spring-boot starter microservice, containerize it and push to DockerHub</v>
      </c>
      <c r="F89" s="18" t="str">
        <f t="shared" si="30"/>
        <v/>
      </c>
      <c r="G89" s="13" t="str">
        <f t="shared" si="33"/>
        <v/>
      </c>
      <c r="H89">
        <f t="shared" si="34"/>
        <v>0</v>
      </c>
      <c r="I89">
        <f t="shared" si="35"/>
        <v>0</v>
      </c>
      <c r="J89" s="13">
        <f t="shared" si="36"/>
        <v>65</v>
      </c>
      <c r="K89">
        <f t="shared" si="25"/>
        <v>0</v>
      </c>
      <c r="L89">
        <f t="shared" si="26"/>
        <v>1</v>
      </c>
      <c r="M89" s="13">
        <f t="shared" si="37"/>
        <v>1</v>
      </c>
      <c r="N89">
        <f t="shared" si="37"/>
        <v>4</v>
      </c>
      <c r="O89" s="14">
        <f t="shared" si="27"/>
        <v>64</v>
      </c>
      <c r="P89" s="13">
        <f t="shared" si="31"/>
        <v>1</v>
      </c>
      <c r="Q89">
        <f t="shared" si="38"/>
        <v>4</v>
      </c>
      <c r="R89" s="14">
        <f t="shared" si="39"/>
        <v>64</v>
      </c>
      <c r="S89" s="15"/>
      <c r="W89" s="14"/>
    </row>
    <row r="90" spans="1:23" x14ac:dyDescent="0.25">
      <c r="A90" s="16"/>
      <c r="B90" s="17" t="b">
        <f t="shared" si="32"/>
        <v>0</v>
      </c>
      <c r="C90" s="17" t="b">
        <f t="shared" si="24"/>
        <v>0</v>
      </c>
      <c r="D90" s="17">
        <f t="shared" si="28"/>
        <v>1</v>
      </c>
      <c r="E90" s="17" t="str">
        <f t="shared" si="29"/>
        <v>Section 4 - Create spring-boot starter microservice, containerize it and push to DockerHub</v>
      </c>
      <c r="F90" s="18" t="str">
        <f t="shared" si="30"/>
        <v/>
      </c>
      <c r="G90" s="13" t="str">
        <f t="shared" si="33"/>
        <v/>
      </c>
      <c r="H90">
        <f t="shared" si="34"/>
        <v>0</v>
      </c>
      <c r="I90">
        <f t="shared" si="35"/>
        <v>0</v>
      </c>
      <c r="J90" s="13">
        <f t="shared" si="36"/>
        <v>65</v>
      </c>
      <c r="K90">
        <f t="shared" si="25"/>
        <v>0</v>
      </c>
      <c r="L90">
        <f t="shared" si="26"/>
        <v>1</v>
      </c>
      <c r="M90" s="13">
        <f t="shared" si="37"/>
        <v>1</v>
      </c>
      <c r="N90">
        <f t="shared" si="37"/>
        <v>4</v>
      </c>
      <c r="O90" s="14">
        <f t="shared" si="27"/>
        <v>64</v>
      </c>
      <c r="P90" s="13">
        <f t="shared" si="31"/>
        <v>1</v>
      </c>
      <c r="Q90">
        <f t="shared" si="38"/>
        <v>4</v>
      </c>
      <c r="R90" s="14">
        <f t="shared" si="39"/>
        <v>64</v>
      </c>
      <c r="S90" s="15"/>
      <c r="W90" s="14"/>
    </row>
    <row r="91" spans="1:23" x14ac:dyDescent="0.25">
      <c r="A91" s="16"/>
      <c r="B91" s="17" t="b">
        <f t="shared" si="32"/>
        <v>0</v>
      </c>
      <c r="C91" s="17" t="b">
        <f t="shared" si="24"/>
        <v>0</v>
      </c>
      <c r="D91" s="17">
        <f t="shared" si="28"/>
        <v>1</v>
      </c>
      <c r="E91" s="17" t="str">
        <f t="shared" si="29"/>
        <v>Section 4 - Create spring-boot starter microservice, containerize it and push to DockerHub</v>
      </c>
      <c r="F91" s="18" t="str">
        <f t="shared" si="30"/>
        <v/>
      </c>
      <c r="G91" s="13" t="str">
        <f t="shared" si="33"/>
        <v/>
      </c>
      <c r="H91">
        <f t="shared" si="34"/>
        <v>0</v>
      </c>
      <c r="I91">
        <f t="shared" si="35"/>
        <v>0</v>
      </c>
      <c r="J91" s="13">
        <f t="shared" si="36"/>
        <v>65</v>
      </c>
      <c r="K91">
        <f t="shared" si="25"/>
        <v>0</v>
      </c>
      <c r="L91">
        <f t="shared" si="26"/>
        <v>1</v>
      </c>
      <c r="M91" s="13">
        <f t="shared" si="37"/>
        <v>1</v>
      </c>
      <c r="N91">
        <f t="shared" si="37"/>
        <v>4</v>
      </c>
      <c r="O91" s="14">
        <f t="shared" si="27"/>
        <v>64</v>
      </c>
      <c r="P91" s="13">
        <f t="shared" si="31"/>
        <v>1</v>
      </c>
      <c r="Q91">
        <f t="shared" si="38"/>
        <v>4</v>
      </c>
      <c r="R91" s="14">
        <f t="shared" si="39"/>
        <v>64</v>
      </c>
      <c r="S91" s="15"/>
      <c r="W91" s="14"/>
    </row>
    <row r="92" spans="1:23" x14ac:dyDescent="0.25">
      <c r="A92" s="16"/>
      <c r="B92" s="17" t="b">
        <f t="shared" si="32"/>
        <v>0</v>
      </c>
      <c r="C92" s="17" t="b">
        <f t="shared" si="24"/>
        <v>0</v>
      </c>
      <c r="D92" s="17">
        <f t="shared" si="28"/>
        <v>1</v>
      </c>
      <c r="E92" s="17" t="str">
        <f t="shared" si="29"/>
        <v>Section 4 - Create spring-boot starter microservice, containerize it and push to DockerHub</v>
      </c>
      <c r="F92" s="18" t="str">
        <f t="shared" si="30"/>
        <v/>
      </c>
      <c r="G92" s="13" t="str">
        <f t="shared" si="33"/>
        <v/>
      </c>
      <c r="H92">
        <f t="shared" si="34"/>
        <v>0</v>
      </c>
      <c r="I92">
        <f t="shared" si="35"/>
        <v>0</v>
      </c>
      <c r="J92" s="13">
        <f t="shared" si="36"/>
        <v>65</v>
      </c>
      <c r="K92">
        <f t="shared" si="25"/>
        <v>0</v>
      </c>
      <c r="L92">
        <f t="shared" si="26"/>
        <v>1</v>
      </c>
      <c r="M92" s="13">
        <f t="shared" si="37"/>
        <v>1</v>
      </c>
      <c r="N92">
        <f t="shared" si="37"/>
        <v>4</v>
      </c>
      <c r="O92" s="14">
        <f t="shared" si="27"/>
        <v>64</v>
      </c>
      <c r="P92" s="13">
        <f t="shared" si="31"/>
        <v>1</v>
      </c>
      <c r="Q92">
        <f t="shared" si="38"/>
        <v>4</v>
      </c>
      <c r="R92" s="14">
        <f t="shared" si="39"/>
        <v>64</v>
      </c>
      <c r="S92" s="15"/>
      <c r="W92" s="14"/>
    </row>
    <row r="93" spans="1:23" x14ac:dyDescent="0.25">
      <c r="A93" s="16"/>
      <c r="B93" s="17" t="b">
        <f t="shared" si="32"/>
        <v>0</v>
      </c>
      <c r="C93" s="17" t="b">
        <f t="shared" si="24"/>
        <v>0</v>
      </c>
      <c r="D93" s="17">
        <f t="shared" si="28"/>
        <v>1</v>
      </c>
      <c r="E93" s="17" t="str">
        <f t="shared" si="29"/>
        <v>Section 4 - Create spring-boot starter microservice, containerize it and push to DockerHub</v>
      </c>
      <c r="F93" s="18" t="str">
        <f t="shared" si="30"/>
        <v/>
      </c>
      <c r="G93" s="13" t="str">
        <f t="shared" si="33"/>
        <v/>
      </c>
      <c r="H93">
        <f t="shared" si="34"/>
        <v>0</v>
      </c>
      <c r="I93">
        <f t="shared" si="35"/>
        <v>0</v>
      </c>
      <c r="J93" s="13">
        <f t="shared" si="36"/>
        <v>65</v>
      </c>
      <c r="K93">
        <f t="shared" si="25"/>
        <v>0</v>
      </c>
      <c r="L93">
        <f t="shared" si="26"/>
        <v>1</v>
      </c>
      <c r="M93" s="13">
        <f t="shared" si="37"/>
        <v>1</v>
      </c>
      <c r="N93">
        <f t="shared" si="37"/>
        <v>4</v>
      </c>
      <c r="O93" s="14">
        <f t="shared" si="27"/>
        <v>64</v>
      </c>
      <c r="P93" s="13">
        <f t="shared" si="31"/>
        <v>1</v>
      </c>
      <c r="Q93">
        <f t="shared" si="38"/>
        <v>4</v>
      </c>
      <c r="R93" s="14">
        <f t="shared" si="39"/>
        <v>64</v>
      </c>
      <c r="S93" s="15"/>
      <c r="W93" s="14"/>
    </row>
    <row r="94" spans="1:23" x14ac:dyDescent="0.25">
      <c r="A94" s="16"/>
      <c r="B94" s="17" t="b">
        <f t="shared" si="32"/>
        <v>0</v>
      </c>
      <c r="C94" s="17" t="b">
        <f t="shared" si="24"/>
        <v>0</v>
      </c>
      <c r="D94" s="17">
        <f t="shared" si="28"/>
        <v>1</v>
      </c>
      <c r="E94" s="17" t="str">
        <f t="shared" si="29"/>
        <v>Section 4 - Create spring-boot starter microservice, containerize it and push to DockerHub</v>
      </c>
      <c r="F94" s="18" t="str">
        <f t="shared" si="30"/>
        <v/>
      </c>
      <c r="G94" s="13" t="str">
        <f t="shared" si="33"/>
        <v/>
      </c>
      <c r="H94">
        <f t="shared" si="34"/>
        <v>0</v>
      </c>
      <c r="I94">
        <f t="shared" si="35"/>
        <v>0</v>
      </c>
      <c r="J94" s="13">
        <f t="shared" si="36"/>
        <v>65</v>
      </c>
      <c r="K94">
        <f t="shared" si="25"/>
        <v>0</v>
      </c>
      <c r="L94">
        <f t="shared" si="26"/>
        <v>1</v>
      </c>
      <c r="M94" s="13">
        <f t="shared" si="37"/>
        <v>1</v>
      </c>
      <c r="N94">
        <f t="shared" si="37"/>
        <v>4</v>
      </c>
      <c r="O94" s="14">
        <f t="shared" si="27"/>
        <v>64</v>
      </c>
      <c r="P94" s="13">
        <f t="shared" si="31"/>
        <v>1</v>
      </c>
      <c r="Q94">
        <f t="shared" si="38"/>
        <v>4</v>
      </c>
      <c r="R94" s="14">
        <f t="shared" si="39"/>
        <v>64</v>
      </c>
      <c r="S94" s="15"/>
      <c r="W94" s="14"/>
    </row>
    <row r="95" spans="1:23" x14ac:dyDescent="0.25">
      <c r="A95" s="16"/>
      <c r="B95" s="17" t="b">
        <f t="shared" si="32"/>
        <v>0</v>
      </c>
      <c r="C95" s="17" t="b">
        <f t="shared" si="24"/>
        <v>0</v>
      </c>
      <c r="D95" s="17">
        <f t="shared" si="28"/>
        <v>1</v>
      </c>
      <c r="E95" s="17" t="str">
        <f t="shared" si="29"/>
        <v>Section 4 - Create spring-boot starter microservice, containerize it and push to DockerHub</v>
      </c>
      <c r="F95" s="18" t="str">
        <f t="shared" si="30"/>
        <v/>
      </c>
      <c r="G95" s="13" t="str">
        <f t="shared" si="33"/>
        <v/>
      </c>
      <c r="H95">
        <f t="shared" si="34"/>
        <v>0</v>
      </c>
      <c r="I95">
        <f t="shared" si="35"/>
        <v>0</v>
      </c>
      <c r="J95" s="13">
        <f t="shared" si="36"/>
        <v>65</v>
      </c>
      <c r="K95">
        <f t="shared" si="25"/>
        <v>0</v>
      </c>
      <c r="L95">
        <f t="shared" si="26"/>
        <v>1</v>
      </c>
      <c r="M95" s="13">
        <f t="shared" si="37"/>
        <v>1</v>
      </c>
      <c r="N95">
        <f t="shared" si="37"/>
        <v>4</v>
      </c>
      <c r="O95" s="14">
        <f t="shared" si="27"/>
        <v>64</v>
      </c>
      <c r="P95" s="13">
        <f t="shared" si="31"/>
        <v>1</v>
      </c>
      <c r="Q95">
        <f t="shared" si="38"/>
        <v>4</v>
      </c>
      <c r="R95" s="14">
        <f t="shared" si="39"/>
        <v>64</v>
      </c>
      <c r="S95" s="15"/>
      <c r="W95" s="14"/>
    </row>
    <row r="96" spans="1:23" x14ac:dyDescent="0.25">
      <c r="A96" s="16"/>
      <c r="B96" s="17" t="b">
        <f t="shared" si="32"/>
        <v>0</v>
      </c>
      <c r="C96" s="17" t="b">
        <f t="shared" si="24"/>
        <v>0</v>
      </c>
      <c r="D96" s="17">
        <f t="shared" si="28"/>
        <v>1</v>
      </c>
      <c r="E96" s="17" t="str">
        <f t="shared" si="29"/>
        <v>Section 4 - Create spring-boot starter microservice, containerize it and push to DockerHub</v>
      </c>
      <c r="F96" s="18" t="str">
        <f t="shared" si="30"/>
        <v/>
      </c>
      <c r="G96" s="13" t="str">
        <f t="shared" si="33"/>
        <v/>
      </c>
      <c r="H96">
        <f t="shared" si="34"/>
        <v>0</v>
      </c>
      <c r="I96">
        <f t="shared" si="35"/>
        <v>0</v>
      </c>
      <c r="J96" s="13">
        <f t="shared" si="36"/>
        <v>65</v>
      </c>
      <c r="K96">
        <f t="shared" si="25"/>
        <v>0</v>
      </c>
      <c r="L96">
        <f t="shared" si="26"/>
        <v>1</v>
      </c>
      <c r="M96" s="13">
        <f t="shared" si="37"/>
        <v>1</v>
      </c>
      <c r="N96">
        <f t="shared" si="37"/>
        <v>4</v>
      </c>
      <c r="O96" s="14">
        <f t="shared" si="27"/>
        <v>64</v>
      </c>
      <c r="P96" s="13">
        <f t="shared" si="31"/>
        <v>1</v>
      </c>
      <c r="Q96">
        <f t="shared" si="38"/>
        <v>4</v>
      </c>
      <c r="R96" s="14">
        <f t="shared" si="39"/>
        <v>64</v>
      </c>
      <c r="S96" s="15"/>
      <c r="W96" s="14"/>
    </row>
    <row r="97" spans="1:23" x14ac:dyDescent="0.25">
      <c r="A97" s="16"/>
      <c r="B97" s="17" t="b">
        <f t="shared" si="32"/>
        <v>0</v>
      </c>
      <c r="C97" s="17" t="b">
        <f t="shared" si="24"/>
        <v>0</v>
      </c>
      <c r="D97" s="17">
        <f t="shared" si="28"/>
        <v>1</v>
      </c>
      <c r="E97" s="17" t="str">
        <f t="shared" si="29"/>
        <v>Section 4 - Create spring-boot starter microservice, containerize it and push to DockerHub</v>
      </c>
      <c r="F97" s="18" t="str">
        <f t="shared" si="30"/>
        <v/>
      </c>
      <c r="G97" s="13" t="str">
        <f t="shared" si="33"/>
        <v/>
      </c>
      <c r="H97">
        <f t="shared" si="34"/>
        <v>0</v>
      </c>
      <c r="I97">
        <f t="shared" si="35"/>
        <v>0</v>
      </c>
      <c r="J97" s="13">
        <f t="shared" si="36"/>
        <v>65</v>
      </c>
      <c r="K97">
        <f t="shared" si="25"/>
        <v>0</v>
      </c>
      <c r="L97">
        <f t="shared" si="26"/>
        <v>1</v>
      </c>
      <c r="M97" s="13">
        <f t="shared" si="37"/>
        <v>1</v>
      </c>
      <c r="N97">
        <f t="shared" si="37"/>
        <v>4</v>
      </c>
      <c r="O97" s="14">
        <f t="shared" si="27"/>
        <v>64</v>
      </c>
      <c r="P97" s="13">
        <f t="shared" si="31"/>
        <v>1</v>
      </c>
      <c r="Q97">
        <f t="shared" si="38"/>
        <v>4</v>
      </c>
      <c r="R97" s="14">
        <f t="shared" si="39"/>
        <v>64</v>
      </c>
      <c r="S97" s="15"/>
      <c r="W97" s="14"/>
    </row>
    <row r="98" spans="1:23" x14ac:dyDescent="0.25">
      <c r="A98" s="16"/>
      <c r="B98" s="17" t="b">
        <f t="shared" si="32"/>
        <v>0</v>
      </c>
      <c r="C98" s="17" t="b">
        <f t="shared" si="24"/>
        <v>0</v>
      </c>
      <c r="D98" s="17">
        <f t="shared" si="28"/>
        <v>1</v>
      </c>
      <c r="E98" s="17" t="str">
        <f t="shared" si="29"/>
        <v>Section 4 - Create spring-boot starter microservice, containerize it and push to DockerHub</v>
      </c>
      <c r="F98" s="18" t="str">
        <f t="shared" si="30"/>
        <v/>
      </c>
      <c r="G98" s="13" t="str">
        <f t="shared" si="33"/>
        <v/>
      </c>
      <c r="H98">
        <f t="shared" si="34"/>
        <v>0</v>
      </c>
      <c r="I98">
        <f t="shared" si="35"/>
        <v>0</v>
      </c>
      <c r="J98" s="13">
        <f t="shared" si="36"/>
        <v>65</v>
      </c>
      <c r="K98">
        <f t="shared" si="25"/>
        <v>0</v>
      </c>
      <c r="L98">
        <f t="shared" si="26"/>
        <v>1</v>
      </c>
      <c r="M98" s="13">
        <f t="shared" si="37"/>
        <v>1</v>
      </c>
      <c r="N98">
        <f t="shared" si="37"/>
        <v>4</v>
      </c>
      <c r="O98" s="14">
        <f t="shared" si="27"/>
        <v>64</v>
      </c>
      <c r="P98" s="13">
        <f t="shared" si="31"/>
        <v>1</v>
      </c>
      <c r="Q98">
        <f t="shared" si="38"/>
        <v>4</v>
      </c>
      <c r="R98" s="14">
        <f t="shared" si="39"/>
        <v>64</v>
      </c>
      <c r="S98" s="15"/>
      <c r="W98" s="14"/>
    </row>
    <row r="99" spans="1:23" x14ac:dyDescent="0.25">
      <c r="A99" s="16"/>
      <c r="B99" s="17" t="b">
        <f t="shared" si="32"/>
        <v>0</v>
      </c>
      <c r="C99" s="17" t="b">
        <f t="shared" si="24"/>
        <v>0</v>
      </c>
      <c r="D99" s="17">
        <f t="shared" si="28"/>
        <v>1</v>
      </c>
      <c r="E99" s="17" t="str">
        <f t="shared" si="29"/>
        <v>Section 4 - Create spring-boot starter microservice, containerize it and push to DockerHub</v>
      </c>
      <c r="F99" s="18" t="str">
        <f t="shared" si="30"/>
        <v/>
      </c>
      <c r="G99" s="13" t="str">
        <f t="shared" si="33"/>
        <v/>
      </c>
      <c r="H99">
        <f t="shared" si="34"/>
        <v>0</v>
      </c>
      <c r="I99">
        <f t="shared" si="35"/>
        <v>0</v>
      </c>
      <c r="J99" s="13">
        <f t="shared" si="36"/>
        <v>65</v>
      </c>
      <c r="K99">
        <f t="shared" si="25"/>
        <v>0</v>
      </c>
      <c r="L99">
        <f t="shared" si="26"/>
        <v>1</v>
      </c>
      <c r="M99" s="13">
        <f t="shared" si="37"/>
        <v>1</v>
      </c>
      <c r="N99">
        <f t="shared" si="37"/>
        <v>4</v>
      </c>
      <c r="O99" s="14">
        <f t="shared" si="27"/>
        <v>64</v>
      </c>
      <c r="P99" s="13">
        <f t="shared" si="31"/>
        <v>1</v>
      </c>
      <c r="Q99">
        <f t="shared" si="38"/>
        <v>4</v>
      </c>
      <c r="R99" s="14">
        <f t="shared" si="39"/>
        <v>64</v>
      </c>
      <c r="S99" s="15"/>
      <c r="W99" s="14"/>
    </row>
    <row r="100" spans="1:23" x14ac:dyDescent="0.25">
      <c r="A100" s="16"/>
      <c r="B100" s="17" t="b">
        <f t="shared" si="32"/>
        <v>0</v>
      </c>
      <c r="C100" s="17" t="b">
        <f t="shared" si="24"/>
        <v>0</v>
      </c>
      <c r="D100" s="17">
        <f t="shared" si="28"/>
        <v>1</v>
      </c>
      <c r="E100" s="17" t="str">
        <f t="shared" si="29"/>
        <v>Section 4 - Create spring-boot starter microservice, containerize it and push to DockerHub</v>
      </c>
      <c r="F100" s="18" t="str">
        <f t="shared" si="30"/>
        <v/>
      </c>
      <c r="G100" s="13" t="str">
        <f t="shared" si="33"/>
        <v/>
      </c>
      <c r="H100">
        <f t="shared" si="34"/>
        <v>0</v>
      </c>
      <c r="I100">
        <f t="shared" si="35"/>
        <v>0</v>
      </c>
      <c r="J100" s="13">
        <f t="shared" si="36"/>
        <v>65</v>
      </c>
      <c r="K100">
        <f t="shared" si="25"/>
        <v>0</v>
      </c>
      <c r="L100">
        <f t="shared" si="26"/>
        <v>1</v>
      </c>
      <c r="M100" s="13">
        <f t="shared" si="37"/>
        <v>1</v>
      </c>
      <c r="N100">
        <f t="shared" si="37"/>
        <v>4</v>
      </c>
      <c r="O100" s="14">
        <f t="shared" si="27"/>
        <v>64</v>
      </c>
      <c r="P100" s="13">
        <f t="shared" si="31"/>
        <v>1</v>
      </c>
      <c r="Q100">
        <f t="shared" si="38"/>
        <v>4</v>
      </c>
      <c r="R100" s="14">
        <f t="shared" si="39"/>
        <v>64</v>
      </c>
      <c r="S100" s="15"/>
      <c r="W100" s="14"/>
    </row>
    <row r="101" spans="1:23" x14ac:dyDescent="0.25">
      <c r="A101" s="16"/>
      <c r="B101" s="17" t="b">
        <f t="shared" si="32"/>
        <v>0</v>
      </c>
      <c r="C101" s="17" t="b">
        <f t="shared" si="24"/>
        <v>0</v>
      </c>
      <c r="D101" s="17">
        <f t="shared" si="28"/>
        <v>1</v>
      </c>
      <c r="E101" s="17" t="str">
        <f t="shared" si="29"/>
        <v>Section 4 - Create spring-boot starter microservice, containerize it and push to DockerHub</v>
      </c>
      <c r="F101" s="18" t="str">
        <f t="shared" si="30"/>
        <v/>
      </c>
      <c r="G101" s="13" t="str">
        <f t="shared" si="33"/>
        <v/>
      </c>
      <c r="H101">
        <f t="shared" si="34"/>
        <v>0</v>
      </c>
      <c r="I101">
        <f t="shared" si="35"/>
        <v>0</v>
      </c>
      <c r="J101" s="13">
        <f t="shared" si="36"/>
        <v>65</v>
      </c>
      <c r="K101">
        <f t="shared" si="25"/>
        <v>0</v>
      </c>
      <c r="L101">
        <f t="shared" si="26"/>
        <v>1</v>
      </c>
      <c r="M101" s="13">
        <f t="shared" si="37"/>
        <v>1</v>
      </c>
      <c r="N101">
        <f t="shared" si="37"/>
        <v>4</v>
      </c>
      <c r="O101" s="14">
        <f t="shared" si="27"/>
        <v>64</v>
      </c>
      <c r="P101" s="13">
        <f t="shared" si="31"/>
        <v>1</v>
      </c>
      <c r="Q101">
        <f t="shared" si="38"/>
        <v>4</v>
      </c>
      <c r="R101" s="14">
        <f t="shared" si="39"/>
        <v>64</v>
      </c>
      <c r="S101" s="15"/>
      <c r="W101" s="14"/>
    </row>
    <row r="102" spans="1:23" x14ac:dyDescent="0.25">
      <c r="A102" s="16"/>
      <c r="B102" s="17" t="b">
        <f t="shared" si="32"/>
        <v>0</v>
      </c>
      <c r="C102" s="17" t="b">
        <f t="shared" si="24"/>
        <v>0</v>
      </c>
      <c r="D102" s="17">
        <f t="shared" si="28"/>
        <v>1</v>
      </c>
      <c r="E102" s="17" t="str">
        <f t="shared" si="29"/>
        <v>Section 4 - Create spring-boot starter microservice, containerize it and push to DockerHub</v>
      </c>
      <c r="F102" s="18" t="str">
        <f t="shared" si="30"/>
        <v/>
      </c>
      <c r="G102" s="13" t="str">
        <f t="shared" si="33"/>
        <v/>
      </c>
      <c r="H102">
        <f t="shared" si="34"/>
        <v>0</v>
      </c>
      <c r="I102">
        <f t="shared" si="35"/>
        <v>0</v>
      </c>
      <c r="J102" s="13">
        <f t="shared" si="36"/>
        <v>65</v>
      </c>
      <c r="K102">
        <f t="shared" si="25"/>
        <v>0</v>
      </c>
      <c r="L102">
        <f t="shared" si="26"/>
        <v>1</v>
      </c>
      <c r="M102" s="13">
        <f t="shared" si="37"/>
        <v>1</v>
      </c>
      <c r="N102">
        <f t="shared" si="37"/>
        <v>4</v>
      </c>
      <c r="O102" s="14">
        <f t="shared" si="27"/>
        <v>64</v>
      </c>
      <c r="P102" s="13">
        <f t="shared" si="31"/>
        <v>1</v>
      </c>
      <c r="Q102">
        <f t="shared" si="38"/>
        <v>4</v>
      </c>
      <c r="R102" s="14">
        <f t="shared" si="39"/>
        <v>64</v>
      </c>
      <c r="S102" s="15"/>
      <c r="W102" s="14"/>
    </row>
    <row r="103" spans="1:23" x14ac:dyDescent="0.25">
      <c r="A103" s="16"/>
      <c r="B103" s="17" t="b">
        <f t="shared" si="32"/>
        <v>0</v>
      </c>
      <c r="C103" s="17" t="b">
        <f t="shared" si="24"/>
        <v>0</v>
      </c>
      <c r="D103" s="17">
        <f t="shared" si="28"/>
        <v>1</v>
      </c>
      <c r="E103" s="17" t="str">
        <f t="shared" si="29"/>
        <v>Section 4 - Create spring-boot starter microservice, containerize it and push to DockerHub</v>
      </c>
      <c r="F103" s="18" t="str">
        <f t="shared" si="30"/>
        <v/>
      </c>
      <c r="G103" s="13" t="str">
        <f t="shared" si="33"/>
        <v/>
      </c>
      <c r="H103">
        <f t="shared" si="34"/>
        <v>0</v>
      </c>
      <c r="I103">
        <f t="shared" si="35"/>
        <v>0</v>
      </c>
      <c r="J103" s="13">
        <f t="shared" si="36"/>
        <v>65</v>
      </c>
      <c r="K103">
        <f t="shared" si="25"/>
        <v>0</v>
      </c>
      <c r="L103">
        <f t="shared" si="26"/>
        <v>1</v>
      </c>
      <c r="M103" s="13">
        <f t="shared" si="37"/>
        <v>1</v>
      </c>
      <c r="N103">
        <f t="shared" si="37"/>
        <v>4</v>
      </c>
      <c r="O103" s="14">
        <f t="shared" si="27"/>
        <v>64</v>
      </c>
      <c r="P103" s="13">
        <f t="shared" si="31"/>
        <v>1</v>
      </c>
      <c r="Q103">
        <f t="shared" si="38"/>
        <v>4</v>
      </c>
      <c r="R103" s="14">
        <f t="shared" si="39"/>
        <v>64</v>
      </c>
      <c r="S103" s="15"/>
      <c r="W103" s="14"/>
    </row>
    <row r="104" spans="1:23" x14ac:dyDescent="0.25">
      <c r="A104" s="16"/>
      <c r="B104" s="17" t="b">
        <f t="shared" si="32"/>
        <v>0</v>
      </c>
      <c r="C104" s="17" t="b">
        <f t="shared" si="24"/>
        <v>0</v>
      </c>
      <c r="D104" s="17">
        <f t="shared" si="28"/>
        <v>1</v>
      </c>
      <c r="E104" s="17" t="str">
        <f t="shared" si="29"/>
        <v>Section 4 - Create spring-boot starter microservice, containerize it and push to DockerHub</v>
      </c>
      <c r="F104" s="18" t="str">
        <f t="shared" si="30"/>
        <v/>
      </c>
      <c r="G104" s="13" t="str">
        <f t="shared" si="33"/>
        <v/>
      </c>
      <c r="H104">
        <f t="shared" si="34"/>
        <v>0</v>
      </c>
      <c r="I104">
        <f t="shared" si="35"/>
        <v>0</v>
      </c>
      <c r="J104" s="13">
        <f t="shared" si="36"/>
        <v>65</v>
      </c>
      <c r="K104">
        <f t="shared" si="25"/>
        <v>0</v>
      </c>
      <c r="L104">
        <f t="shared" si="26"/>
        <v>1</v>
      </c>
      <c r="M104" s="13">
        <f t="shared" si="37"/>
        <v>1</v>
      </c>
      <c r="N104">
        <f t="shared" si="37"/>
        <v>4</v>
      </c>
      <c r="O104" s="14">
        <f t="shared" si="27"/>
        <v>64</v>
      </c>
      <c r="P104" s="13">
        <f t="shared" si="31"/>
        <v>1</v>
      </c>
      <c r="Q104">
        <f t="shared" si="38"/>
        <v>4</v>
      </c>
      <c r="R104" s="14">
        <f t="shared" si="39"/>
        <v>64</v>
      </c>
      <c r="S104" s="15"/>
      <c r="W104" s="14"/>
    </row>
    <row r="105" spans="1:23" x14ac:dyDescent="0.25">
      <c r="A105" s="16"/>
      <c r="B105" s="17" t="b">
        <f t="shared" si="32"/>
        <v>0</v>
      </c>
      <c r="C105" s="17" t="b">
        <f t="shared" si="24"/>
        <v>0</v>
      </c>
      <c r="D105" s="17">
        <f t="shared" si="28"/>
        <v>1</v>
      </c>
      <c r="E105" s="17" t="str">
        <f t="shared" si="29"/>
        <v>Section 4 - Create spring-boot starter microservice, containerize it and push to DockerHub</v>
      </c>
      <c r="F105" s="18" t="str">
        <f t="shared" si="30"/>
        <v/>
      </c>
      <c r="G105" s="13" t="str">
        <f t="shared" si="33"/>
        <v/>
      </c>
      <c r="H105">
        <f t="shared" si="34"/>
        <v>0</v>
      </c>
      <c r="I105">
        <f t="shared" si="35"/>
        <v>0</v>
      </c>
      <c r="J105" s="13">
        <f t="shared" si="36"/>
        <v>65</v>
      </c>
      <c r="K105">
        <f t="shared" si="25"/>
        <v>0</v>
      </c>
      <c r="L105">
        <f t="shared" si="26"/>
        <v>1</v>
      </c>
      <c r="M105" s="13">
        <f t="shared" si="37"/>
        <v>1</v>
      </c>
      <c r="N105">
        <f t="shared" si="37"/>
        <v>4</v>
      </c>
      <c r="O105" s="14">
        <f t="shared" si="27"/>
        <v>64</v>
      </c>
      <c r="P105" s="13">
        <f t="shared" si="31"/>
        <v>1</v>
      </c>
      <c r="Q105">
        <f t="shared" si="38"/>
        <v>4</v>
      </c>
      <c r="R105" s="14">
        <f t="shared" si="39"/>
        <v>64</v>
      </c>
      <c r="S105" s="15"/>
      <c r="W105" s="14"/>
    </row>
    <row r="106" spans="1:23" x14ac:dyDescent="0.25">
      <c r="A106" s="16"/>
      <c r="B106" s="17" t="b">
        <f t="shared" si="32"/>
        <v>0</v>
      </c>
      <c r="C106" s="17" t="b">
        <f t="shared" si="24"/>
        <v>0</v>
      </c>
      <c r="D106" s="17">
        <f t="shared" si="28"/>
        <v>1</v>
      </c>
      <c r="E106" s="17" t="str">
        <f t="shared" si="29"/>
        <v>Section 4 - Create spring-boot starter microservice, containerize it and push to DockerHub</v>
      </c>
      <c r="F106" s="18" t="str">
        <f t="shared" si="30"/>
        <v/>
      </c>
      <c r="G106" s="13" t="str">
        <f t="shared" si="33"/>
        <v/>
      </c>
      <c r="H106">
        <f t="shared" si="34"/>
        <v>0</v>
      </c>
      <c r="I106">
        <f t="shared" si="35"/>
        <v>0</v>
      </c>
      <c r="J106" s="13">
        <f t="shared" si="36"/>
        <v>65</v>
      </c>
      <c r="K106">
        <f t="shared" si="25"/>
        <v>0</v>
      </c>
      <c r="L106">
        <f t="shared" si="26"/>
        <v>1</v>
      </c>
      <c r="M106" s="13">
        <f t="shared" si="37"/>
        <v>1</v>
      </c>
      <c r="N106">
        <f t="shared" si="37"/>
        <v>4</v>
      </c>
      <c r="O106" s="14">
        <f t="shared" si="27"/>
        <v>64</v>
      </c>
      <c r="P106" s="13">
        <f t="shared" si="31"/>
        <v>1</v>
      </c>
      <c r="Q106">
        <f t="shared" si="38"/>
        <v>4</v>
      </c>
      <c r="R106" s="14">
        <f t="shared" si="39"/>
        <v>64</v>
      </c>
      <c r="S106" s="15"/>
      <c r="W106" s="14"/>
    </row>
    <row r="107" spans="1:23" x14ac:dyDescent="0.25">
      <c r="A107" s="16"/>
      <c r="B107" s="17" t="b">
        <f t="shared" si="32"/>
        <v>0</v>
      </c>
      <c r="C107" s="17" t="b">
        <f t="shared" si="24"/>
        <v>0</v>
      </c>
      <c r="D107" s="17">
        <f t="shared" si="28"/>
        <v>1</v>
      </c>
      <c r="E107" s="17" t="str">
        <f t="shared" si="29"/>
        <v>Section 4 - Create spring-boot starter microservice, containerize it and push to DockerHub</v>
      </c>
      <c r="F107" s="18" t="str">
        <f t="shared" si="30"/>
        <v/>
      </c>
      <c r="G107" s="13" t="str">
        <f t="shared" si="33"/>
        <v/>
      </c>
      <c r="H107">
        <f t="shared" si="34"/>
        <v>0</v>
      </c>
      <c r="I107">
        <f t="shared" si="35"/>
        <v>0</v>
      </c>
      <c r="J107" s="13">
        <f t="shared" si="36"/>
        <v>65</v>
      </c>
      <c r="K107">
        <f t="shared" si="25"/>
        <v>0</v>
      </c>
      <c r="L107">
        <f t="shared" si="26"/>
        <v>1</v>
      </c>
      <c r="M107" s="13">
        <f t="shared" si="37"/>
        <v>1</v>
      </c>
      <c r="N107">
        <f t="shared" si="37"/>
        <v>4</v>
      </c>
      <c r="O107" s="14">
        <f t="shared" si="27"/>
        <v>64</v>
      </c>
      <c r="P107" s="13">
        <f t="shared" si="31"/>
        <v>1</v>
      </c>
      <c r="Q107">
        <f t="shared" si="38"/>
        <v>4</v>
      </c>
      <c r="R107" s="14">
        <f t="shared" si="39"/>
        <v>64</v>
      </c>
      <c r="S107" s="15"/>
      <c r="W107" s="14"/>
    </row>
    <row r="108" spans="1:23" x14ac:dyDescent="0.25">
      <c r="A108" s="16"/>
      <c r="B108" s="17" t="b">
        <f t="shared" si="32"/>
        <v>0</v>
      </c>
      <c r="C108" s="17" t="b">
        <f t="shared" si="24"/>
        <v>0</v>
      </c>
      <c r="D108" s="17">
        <f t="shared" si="28"/>
        <v>1</v>
      </c>
      <c r="E108" s="17" t="str">
        <f t="shared" si="29"/>
        <v>Section 4 - Create spring-boot starter microservice, containerize it and push to DockerHub</v>
      </c>
      <c r="F108" s="18" t="str">
        <f t="shared" si="30"/>
        <v/>
      </c>
      <c r="G108" s="13" t="str">
        <f t="shared" si="33"/>
        <v/>
      </c>
      <c r="H108">
        <f t="shared" si="34"/>
        <v>0</v>
      </c>
      <c r="I108">
        <f t="shared" si="35"/>
        <v>0</v>
      </c>
      <c r="J108" s="13">
        <f t="shared" si="36"/>
        <v>65</v>
      </c>
      <c r="K108">
        <f t="shared" si="25"/>
        <v>0</v>
      </c>
      <c r="L108">
        <f t="shared" si="26"/>
        <v>1</v>
      </c>
      <c r="M108" s="13">
        <f t="shared" si="37"/>
        <v>1</v>
      </c>
      <c r="N108">
        <f t="shared" si="37"/>
        <v>4</v>
      </c>
      <c r="O108" s="14">
        <f t="shared" si="27"/>
        <v>64</v>
      </c>
      <c r="P108" s="13">
        <f t="shared" si="31"/>
        <v>1</v>
      </c>
      <c r="Q108">
        <f t="shared" si="38"/>
        <v>4</v>
      </c>
      <c r="R108" s="14">
        <f t="shared" si="39"/>
        <v>64</v>
      </c>
      <c r="S108" s="15"/>
      <c r="W108" s="14"/>
    </row>
    <row r="109" spans="1:23" x14ac:dyDescent="0.25">
      <c r="A109" s="16"/>
      <c r="B109" s="17" t="b">
        <f t="shared" si="32"/>
        <v>0</v>
      </c>
      <c r="C109" s="17" t="b">
        <f t="shared" si="24"/>
        <v>0</v>
      </c>
      <c r="D109" s="17">
        <f t="shared" si="28"/>
        <v>1</v>
      </c>
      <c r="E109" s="17" t="str">
        <f t="shared" si="29"/>
        <v>Section 4 - Create spring-boot starter microservice, containerize it and push to DockerHub</v>
      </c>
      <c r="F109" s="18" t="str">
        <f t="shared" si="30"/>
        <v/>
      </c>
      <c r="G109" s="13" t="str">
        <f t="shared" si="33"/>
        <v/>
      </c>
      <c r="H109">
        <f t="shared" si="34"/>
        <v>0</v>
      </c>
      <c r="I109">
        <f t="shared" si="35"/>
        <v>0</v>
      </c>
      <c r="J109" s="13">
        <f t="shared" si="36"/>
        <v>65</v>
      </c>
      <c r="K109">
        <f t="shared" si="25"/>
        <v>0</v>
      </c>
      <c r="L109">
        <f t="shared" si="26"/>
        <v>1</v>
      </c>
      <c r="M109" s="13">
        <f t="shared" si="37"/>
        <v>1</v>
      </c>
      <c r="N109">
        <f t="shared" si="37"/>
        <v>4</v>
      </c>
      <c r="O109" s="14">
        <f t="shared" si="27"/>
        <v>64</v>
      </c>
      <c r="P109" s="13">
        <f t="shared" si="31"/>
        <v>1</v>
      </c>
      <c r="Q109">
        <f t="shared" si="38"/>
        <v>4</v>
      </c>
      <c r="R109" s="14">
        <f t="shared" si="39"/>
        <v>64</v>
      </c>
      <c r="S109" s="15"/>
      <c r="W109" s="14"/>
    </row>
    <row r="110" spans="1:23" x14ac:dyDescent="0.25">
      <c r="A110" s="16"/>
      <c r="B110" s="17" t="b">
        <f t="shared" si="32"/>
        <v>0</v>
      </c>
      <c r="C110" s="17" t="b">
        <f t="shared" si="24"/>
        <v>0</v>
      </c>
      <c r="D110" s="17">
        <f t="shared" si="28"/>
        <v>1</v>
      </c>
      <c r="E110" s="17" t="str">
        <f t="shared" si="29"/>
        <v>Section 4 - Create spring-boot starter microservice, containerize it and push to DockerHub</v>
      </c>
      <c r="F110" s="18" t="str">
        <f t="shared" si="30"/>
        <v/>
      </c>
      <c r="G110" s="13" t="str">
        <f t="shared" si="33"/>
        <v/>
      </c>
      <c r="H110">
        <f t="shared" si="34"/>
        <v>0</v>
      </c>
      <c r="I110">
        <f t="shared" si="35"/>
        <v>0</v>
      </c>
      <c r="J110" s="13">
        <f t="shared" si="36"/>
        <v>65</v>
      </c>
      <c r="K110">
        <f t="shared" si="25"/>
        <v>0</v>
      </c>
      <c r="L110">
        <f t="shared" si="26"/>
        <v>1</v>
      </c>
      <c r="M110" s="13">
        <f t="shared" si="37"/>
        <v>1</v>
      </c>
      <c r="N110">
        <f t="shared" si="37"/>
        <v>4</v>
      </c>
      <c r="O110" s="14">
        <f t="shared" si="27"/>
        <v>64</v>
      </c>
      <c r="P110" s="13">
        <f t="shared" si="31"/>
        <v>1</v>
      </c>
      <c r="Q110">
        <f t="shared" si="38"/>
        <v>4</v>
      </c>
      <c r="R110" s="14">
        <f t="shared" si="39"/>
        <v>64</v>
      </c>
      <c r="S110" s="15"/>
      <c r="W110" s="14"/>
    </row>
    <row r="111" spans="1:23" x14ac:dyDescent="0.25">
      <c r="A111" s="16"/>
      <c r="B111" s="17" t="b">
        <f t="shared" si="32"/>
        <v>0</v>
      </c>
      <c r="C111" s="17" t="b">
        <f t="shared" si="24"/>
        <v>0</v>
      </c>
      <c r="D111" s="17">
        <f t="shared" si="28"/>
        <v>1</v>
      </c>
      <c r="E111" s="17" t="str">
        <f t="shared" si="29"/>
        <v>Section 4 - Create spring-boot starter microservice, containerize it and push to DockerHub</v>
      </c>
      <c r="F111" s="18" t="str">
        <f t="shared" si="30"/>
        <v/>
      </c>
      <c r="G111" s="13" t="str">
        <f t="shared" si="33"/>
        <v/>
      </c>
      <c r="H111">
        <f t="shared" si="34"/>
        <v>0</v>
      </c>
      <c r="I111">
        <f t="shared" si="35"/>
        <v>0</v>
      </c>
      <c r="J111" s="13">
        <f t="shared" si="36"/>
        <v>65</v>
      </c>
      <c r="K111">
        <f t="shared" si="25"/>
        <v>0</v>
      </c>
      <c r="L111">
        <f t="shared" si="26"/>
        <v>1</v>
      </c>
      <c r="M111" s="13">
        <f t="shared" si="37"/>
        <v>1</v>
      </c>
      <c r="N111">
        <f t="shared" si="37"/>
        <v>4</v>
      </c>
      <c r="O111" s="14">
        <f t="shared" si="27"/>
        <v>64</v>
      </c>
      <c r="P111" s="13">
        <f t="shared" si="31"/>
        <v>1</v>
      </c>
      <c r="Q111">
        <f t="shared" si="38"/>
        <v>4</v>
      </c>
      <c r="R111" s="14">
        <f t="shared" si="39"/>
        <v>64</v>
      </c>
      <c r="S111" s="15"/>
      <c r="W111" s="14"/>
    </row>
    <row r="112" spans="1:23" x14ac:dyDescent="0.25">
      <c r="A112" s="16"/>
      <c r="B112" s="17" t="b">
        <f t="shared" si="32"/>
        <v>0</v>
      </c>
      <c r="C112" s="17" t="b">
        <f t="shared" si="24"/>
        <v>0</v>
      </c>
      <c r="D112" s="17">
        <f t="shared" si="28"/>
        <v>1</v>
      </c>
      <c r="E112" s="17" t="str">
        <f t="shared" si="29"/>
        <v>Section 4 - Create spring-boot starter microservice, containerize it and push to DockerHub</v>
      </c>
      <c r="F112" s="18" t="str">
        <f t="shared" si="30"/>
        <v/>
      </c>
      <c r="G112" s="13" t="str">
        <f t="shared" si="33"/>
        <v/>
      </c>
      <c r="H112">
        <f t="shared" si="34"/>
        <v>0</v>
      </c>
      <c r="I112">
        <f t="shared" si="35"/>
        <v>0</v>
      </c>
      <c r="J112" s="13">
        <f t="shared" si="36"/>
        <v>65</v>
      </c>
      <c r="K112">
        <f t="shared" si="25"/>
        <v>0</v>
      </c>
      <c r="L112">
        <f t="shared" si="26"/>
        <v>1</v>
      </c>
      <c r="M112" s="13">
        <f t="shared" si="37"/>
        <v>1</v>
      </c>
      <c r="N112">
        <f t="shared" si="37"/>
        <v>4</v>
      </c>
      <c r="O112" s="14">
        <f t="shared" si="27"/>
        <v>64</v>
      </c>
      <c r="P112" s="13">
        <f t="shared" si="31"/>
        <v>1</v>
      </c>
      <c r="Q112">
        <f t="shared" si="38"/>
        <v>4</v>
      </c>
      <c r="R112" s="14">
        <f t="shared" si="39"/>
        <v>64</v>
      </c>
      <c r="S112" s="15"/>
      <c r="W112" s="14"/>
    </row>
    <row r="113" spans="1:23" x14ac:dyDescent="0.25">
      <c r="A113" s="16"/>
      <c r="B113" s="17" t="b">
        <f t="shared" si="32"/>
        <v>0</v>
      </c>
      <c r="C113" s="17" t="b">
        <f t="shared" si="24"/>
        <v>0</v>
      </c>
      <c r="D113" s="17">
        <f t="shared" si="28"/>
        <v>1</v>
      </c>
      <c r="E113" s="17" t="str">
        <f t="shared" si="29"/>
        <v>Section 4 - Create spring-boot starter microservice, containerize it and push to DockerHub</v>
      </c>
      <c r="F113" s="18" t="str">
        <f t="shared" si="30"/>
        <v/>
      </c>
      <c r="G113" s="13" t="str">
        <f t="shared" si="33"/>
        <v/>
      </c>
      <c r="H113">
        <f t="shared" si="34"/>
        <v>0</v>
      </c>
      <c r="I113">
        <f t="shared" si="35"/>
        <v>0</v>
      </c>
      <c r="J113" s="13">
        <f t="shared" si="36"/>
        <v>65</v>
      </c>
      <c r="K113">
        <f t="shared" si="25"/>
        <v>0</v>
      </c>
      <c r="L113">
        <f t="shared" si="26"/>
        <v>1</v>
      </c>
      <c r="M113" s="13">
        <f t="shared" si="37"/>
        <v>1</v>
      </c>
      <c r="N113">
        <f t="shared" si="37"/>
        <v>4</v>
      </c>
      <c r="O113" s="14">
        <f t="shared" si="27"/>
        <v>64</v>
      </c>
      <c r="P113" s="13">
        <f t="shared" si="31"/>
        <v>1</v>
      </c>
      <c r="Q113">
        <f t="shared" si="38"/>
        <v>4</v>
      </c>
      <c r="R113" s="14">
        <f t="shared" si="39"/>
        <v>64</v>
      </c>
      <c r="S113" s="15"/>
      <c r="W113" s="14"/>
    </row>
    <row r="114" spans="1:23" x14ac:dyDescent="0.25">
      <c r="A114" s="16"/>
      <c r="B114" s="17" t="b">
        <f t="shared" si="32"/>
        <v>0</v>
      </c>
      <c r="C114" s="17" t="b">
        <f t="shared" si="24"/>
        <v>0</v>
      </c>
      <c r="D114" s="17">
        <f t="shared" si="28"/>
        <v>1</v>
      </c>
      <c r="E114" s="17" t="str">
        <f t="shared" si="29"/>
        <v>Section 4 - Create spring-boot starter microservice, containerize it and push to DockerHub</v>
      </c>
      <c r="F114" s="18" t="str">
        <f t="shared" si="30"/>
        <v/>
      </c>
      <c r="G114" s="13" t="str">
        <f t="shared" si="33"/>
        <v/>
      </c>
      <c r="H114">
        <f t="shared" si="34"/>
        <v>0</v>
      </c>
      <c r="I114">
        <f t="shared" si="35"/>
        <v>0</v>
      </c>
      <c r="J114" s="13">
        <f t="shared" si="36"/>
        <v>65</v>
      </c>
      <c r="K114">
        <f t="shared" si="25"/>
        <v>0</v>
      </c>
      <c r="L114">
        <f t="shared" si="26"/>
        <v>1</v>
      </c>
      <c r="M114" s="13">
        <f t="shared" si="37"/>
        <v>1</v>
      </c>
      <c r="N114">
        <f t="shared" si="37"/>
        <v>4</v>
      </c>
      <c r="O114" s="14">
        <f t="shared" si="27"/>
        <v>64</v>
      </c>
      <c r="P114" s="13">
        <f t="shared" si="31"/>
        <v>1</v>
      </c>
      <c r="Q114">
        <f t="shared" si="38"/>
        <v>4</v>
      </c>
      <c r="R114" s="14">
        <f t="shared" si="39"/>
        <v>64</v>
      </c>
      <c r="S114" s="15"/>
      <c r="W114" s="14"/>
    </row>
    <row r="115" spans="1:23" x14ac:dyDescent="0.25">
      <c r="A115" s="16"/>
      <c r="B115" s="17" t="b">
        <f t="shared" si="32"/>
        <v>0</v>
      </c>
      <c r="C115" s="17" t="b">
        <f t="shared" si="24"/>
        <v>0</v>
      </c>
      <c r="D115" s="17">
        <f t="shared" si="28"/>
        <v>1</v>
      </c>
      <c r="E115" s="17" t="str">
        <f t="shared" si="29"/>
        <v>Section 4 - Create spring-boot starter microservice, containerize it and push to DockerHub</v>
      </c>
      <c r="F115" s="18" t="str">
        <f t="shared" si="30"/>
        <v/>
      </c>
      <c r="G115" s="13" t="str">
        <f t="shared" si="33"/>
        <v/>
      </c>
      <c r="H115">
        <f t="shared" si="34"/>
        <v>0</v>
      </c>
      <c r="I115">
        <f t="shared" si="35"/>
        <v>0</v>
      </c>
      <c r="J115" s="13">
        <f t="shared" si="36"/>
        <v>65</v>
      </c>
      <c r="K115">
        <f t="shared" si="25"/>
        <v>0</v>
      </c>
      <c r="L115">
        <f t="shared" si="26"/>
        <v>1</v>
      </c>
      <c r="M115" s="13">
        <f t="shared" si="37"/>
        <v>1</v>
      </c>
      <c r="N115">
        <f t="shared" si="37"/>
        <v>4</v>
      </c>
      <c r="O115" s="14">
        <f t="shared" si="27"/>
        <v>64</v>
      </c>
      <c r="P115" s="13">
        <f t="shared" si="31"/>
        <v>1</v>
      </c>
      <c r="Q115">
        <f t="shared" si="38"/>
        <v>4</v>
      </c>
      <c r="R115" s="14">
        <f t="shared" si="39"/>
        <v>64</v>
      </c>
      <c r="S115" s="15"/>
      <c r="W115" s="14"/>
    </row>
    <row r="116" spans="1:23" x14ac:dyDescent="0.25">
      <c r="A116" s="16"/>
      <c r="B116" s="17" t="b">
        <f t="shared" si="32"/>
        <v>0</v>
      </c>
      <c r="C116" s="17" t="b">
        <f t="shared" si="24"/>
        <v>0</v>
      </c>
      <c r="D116" s="17">
        <f t="shared" si="28"/>
        <v>1</v>
      </c>
      <c r="E116" s="17" t="str">
        <f t="shared" si="29"/>
        <v>Section 4 - Create spring-boot starter microservice, containerize it and push to DockerHub</v>
      </c>
      <c r="F116" s="18" t="str">
        <f t="shared" si="30"/>
        <v/>
      </c>
      <c r="G116" s="13" t="str">
        <f t="shared" si="33"/>
        <v/>
      </c>
      <c r="H116">
        <f t="shared" si="34"/>
        <v>0</v>
      </c>
      <c r="I116">
        <f t="shared" si="35"/>
        <v>0</v>
      </c>
      <c r="J116" s="13">
        <f t="shared" si="36"/>
        <v>65</v>
      </c>
      <c r="K116">
        <f t="shared" si="25"/>
        <v>0</v>
      </c>
      <c r="L116">
        <f t="shared" si="26"/>
        <v>1</v>
      </c>
      <c r="M116" s="13">
        <f t="shared" si="37"/>
        <v>1</v>
      </c>
      <c r="N116">
        <f t="shared" si="37"/>
        <v>4</v>
      </c>
      <c r="O116" s="14">
        <f t="shared" si="27"/>
        <v>64</v>
      </c>
      <c r="P116" s="13">
        <f t="shared" si="31"/>
        <v>1</v>
      </c>
      <c r="Q116">
        <f t="shared" si="38"/>
        <v>4</v>
      </c>
      <c r="R116" s="14">
        <f t="shared" si="39"/>
        <v>64</v>
      </c>
      <c r="S116" s="15"/>
      <c r="W116" s="14"/>
    </row>
    <row r="117" spans="1:23" x14ac:dyDescent="0.25">
      <c r="A117" s="16"/>
      <c r="B117" s="17" t="b">
        <f t="shared" si="32"/>
        <v>0</v>
      </c>
      <c r="C117" s="17" t="b">
        <f t="shared" si="24"/>
        <v>0</v>
      </c>
      <c r="D117" s="17">
        <f t="shared" si="28"/>
        <v>1</v>
      </c>
      <c r="E117" s="17" t="str">
        <f t="shared" si="29"/>
        <v>Section 4 - Create spring-boot starter microservice, containerize it and push to DockerHub</v>
      </c>
      <c r="F117" s="18" t="str">
        <f t="shared" si="30"/>
        <v/>
      </c>
      <c r="G117" s="13" t="str">
        <f t="shared" si="33"/>
        <v/>
      </c>
      <c r="H117">
        <f t="shared" si="34"/>
        <v>0</v>
      </c>
      <c r="I117">
        <f t="shared" si="35"/>
        <v>0</v>
      </c>
      <c r="J117" s="13">
        <f t="shared" si="36"/>
        <v>65</v>
      </c>
      <c r="K117">
        <f t="shared" si="25"/>
        <v>0</v>
      </c>
      <c r="L117">
        <f t="shared" si="26"/>
        <v>1</v>
      </c>
      <c r="M117" s="13">
        <f t="shared" si="37"/>
        <v>1</v>
      </c>
      <c r="N117">
        <f t="shared" si="37"/>
        <v>4</v>
      </c>
      <c r="O117" s="14">
        <f t="shared" si="27"/>
        <v>64</v>
      </c>
      <c r="P117" s="13">
        <f t="shared" si="31"/>
        <v>1</v>
      </c>
      <c r="Q117">
        <f t="shared" si="38"/>
        <v>4</v>
      </c>
      <c r="R117" s="14">
        <f t="shared" si="39"/>
        <v>64</v>
      </c>
      <c r="S117" s="15"/>
      <c r="W117" s="14"/>
    </row>
    <row r="118" spans="1:23" x14ac:dyDescent="0.25">
      <c r="A118" s="16"/>
      <c r="B118" s="17" t="b">
        <f t="shared" si="32"/>
        <v>0</v>
      </c>
      <c r="C118" s="17" t="b">
        <f t="shared" si="24"/>
        <v>0</v>
      </c>
      <c r="D118" s="17">
        <f t="shared" si="28"/>
        <v>1</v>
      </c>
      <c r="E118" s="17" t="str">
        <f t="shared" si="29"/>
        <v>Section 4 - Create spring-boot starter microservice, containerize it and push to DockerHub</v>
      </c>
      <c r="F118" s="18" t="str">
        <f t="shared" si="30"/>
        <v/>
      </c>
      <c r="G118" s="13" t="str">
        <f t="shared" si="33"/>
        <v/>
      </c>
      <c r="H118">
        <f t="shared" si="34"/>
        <v>0</v>
      </c>
      <c r="I118">
        <f t="shared" si="35"/>
        <v>0</v>
      </c>
      <c r="J118" s="13">
        <f t="shared" si="36"/>
        <v>65</v>
      </c>
      <c r="K118">
        <f t="shared" si="25"/>
        <v>0</v>
      </c>
      <c r="L118">
        <f t="shared" si="26"/>
        <v>1</v>
      </c>
      <c r="M118" s="13">
        <f t="shared" si="37"/>
        <v>1</v>
      </c>
      <c r="N118">
        <f t="shared" si="37"/>
        <v>4</v>
      </c>
      <c r="O118" s="14">
        <f t="shared" si="27"/>
        <v>64</v>
      </c>
      <c r="P118" s="13">
        <f t="shared" si="31"/>
        <v>1</v>
      </c>
      <c r="Q118">
        <f t="shared" si="38"/>
        <v>4</v>
      </c>
      <c r="R118" s="14">
        <f t="shared" si="39"/>
        <v>64</v>
      </c>
      <c r="S118" s="15"/>
      <c r="W118" s="14"/>
    </row>
    <row r="119" spans="1:23" x14ac:dyDescent="0.25">
      <c r="A119" s="16"/>
      <c r="B119" s="17" t="b">
        <f t="shared" si="32"/>
        <v>0</v>
      </c>
      <c r="C119" s="17" t="b">
        <f t="shared" si="24"/>
        <v>0</v>
      </c>
      <c r="D119" s="17">
        <f t="shared" si="28"/>
        <v>1</v>
      </c>
      <c r="E119" s="17" t="str">
        <f t="shared" si="29"/>
        <v>Section 4 - Create spring-boot starter microservice, containerize it and push to DockerHub</v>
      </c>
      <c r="F119" s="18" t="str">
        <f t="shared" si="30"/>
        <v/>
      </c>
      <c r="G119" s="13" t="str">
        <f t="shared" si="33"/>
        <v/>
      </c>
      <c r="H119">
        <f t="shared" si="34"/>
        <v>0</v>
      </c>
      <c r="I119">
        <f t="shared" si="35"/>
        <v>0</v>
      </c>
      <c r="J119" s="13">
        <f t="shared" si="36"/>
        <v>65</v>
      </c>
      <c r="K119">
        <f t="shared" si="25"/>
        <v>0</v>
      </c>
      <c r="L119">
        <f t="shared" si="26"/>
        <v>1</v>
      </c>
      <c r="M119" s="13">
        <f t="shared" si="37"/>
        <v>1</v>
      </c>
      <c r="N119">
        <f t="shared" si="37"/>
        <v>4</v>
      </c>
      <c r="O119" s="14">
        <f t="shared" si="27"/>
        <v>64</v>
      </c>
      <c r="P119" s="13">
        <f t="shared" si="31"/>
        <v>1</v>
      </c>
      <c r="Q119">
        <f t="shared" si="38"/>
        <v>4</v>
      </c>
      <c r="R119" s="14">
        <f t="shared" si="39"/>
        <v>64</v>
      </c>
      <c r="S119" s="15"/>
      <c r="W119" s="14"/>
    </row>
    <row r="120" spans="1:23" x14ac:dyDescent="0.25">
      <c r="A120" s="16"/>
      <c r="B120" s="17" t="b">
        <f t="shared" si="32"/>
        <v>0</v>
      </c>
      <c r="C120" s="17" t="b">
        <f t="shared" si="24"/>
        <v>0</v>
      </c>
      <c r="D120" s="17">
        <f t="shared" si="28"/>
        <v>1</v>
      </c>
      <c r="E120" s="17" t="str">
        <f t="shared" si="29"/>
        <v>Section 4 - Create spring-boot starter microservice, containerize it and push to DockerHub</v>
      </c>
      <c r="F120" s="18" t="str">
        <f t="shared" si="30"/>
        <v/>
      </c>
      <c r="G120" s="13" t="str">
        <f t="shared" si="33"/>
        <v/>
      </c>
      <c r="H120">
        <f t="shared" si="34"/>
        <v>0</v>
      </c>
      <c r="I120">
        <f t="shared" si="35"/>
        <v>0</v>
      </c>
      <c r="J120" s="13">
        <f t="shared" si="36"/>
        <v>65</v>
      </c>
      <c r="K120">
        <f t="shared" si="25"/>
        <v>0</v>
      </c>
      <c r="L120">
        <f t="shared" si="26"/>
        <v>1</v>
      </c>
      <c r="M120" s="13">
        <f t="shared" si="37"/>
        <v>1</v>
      </c>
      <c r="N120">
        <f t="shared" si="37"/>
        <v>4</v>
      </c>
      <c r="O120" s="14">
        <f t="shared" si="27"/>
        <v>64</v>
      </c>
      <c r="P120" s="13">
        <f t="shared" si="31"/>
        <v>1</v>
      </c>
      <c r="Q120">
        <f t="shared" si="38"/>
        <v>4</v>
      </c>
      <c r="R120" s="14">
        <f t="shared" si="39"/>
        <v>64</v>
      </c>
      <c r="S120" s="15"/>
      <c r="W120" s="14"/>
    </row>
    <row r="121" spans="1:23" x14ac:dyDescent="0.25">
      <c r="A121" s="16"/>
      <c r="B121" s="17" t="b">
        <f t="shared" si="32"/>
        <v>0</v>
      </c>
      <c r="C121" s="17" t="b">
        <f t="shared" si="24"/>
        <v>0</v>
      </c>
      <c r="D121" s="17">
        <f t="shared" si="28"/>
        <v>1</v>
      </c>
      <c r="E121" s="17" t="str">
        <f t="shared" si="29"/>
        <v>Section 4 - Create spring-boot starter microservice, containerize it and push to DockerHub</v>
      </c>
      <c r="F121" s="18" t="str">
        <f t="shared" si="30"/>
        <v/>
      </c>
      <c r="G121" s="13" t="str">
        <f t="shared" si="33"/>
        <v/>
      </c>
      <c r="H121">
        <f t="shared" si="34"/>
        <v>0</v>
      </c>
      <c r="I121">
        <f t="shared" si="35"/>
        <v>0</v>
      </c>
      <c r="J121" s="13">
        <f t="shared" si="36"/>
        <v>65</v>
      </c>
      <c r="K121">
        <f t="shared" si="25"/>
        <v>0</v>
      </c>
      <c r="L121">
        <f t="shared" si="26"/>
        <v>1</v>
      </c>
      <c r="M121" s="13">
        <f t="shared" si="37"/>
        <v>1</v>
      </c>
      <c r="N121">
        <f t="shared" si="37"/>
        <v>4</v>
      </c>
      <c r="O121" s="14">
        <f t="shared" si="27"/>
        <v>64</v>
      </c>
      <c r="P121" s="13">
        <f t="shared" si="31"/>
        <v>1</v>
      </c>
      <c r="Q121">
        <f t="shared" si="38"/>
        <v>4</v>
      </c>
      <c r="R121" s="14">
        <f t="shared" si="39"/>
        <v>64</v>
      </c>
      <c r="S121" s="15"/>
      <c r="W121" s="14"/>
    </row>
    <row r="122" spans="1:23" x14ac:dyDescent="0.25">
      <c r="A122" s="16"/>
      <c r="B122" s="17" t="b">
        <f t="shared" si="32"/>
        <v>0</v>
      </c>
      <c r="C122" s="17" t="b">
        <f t="shared" si="24"/>
        <v>0</v>
      </c>
      <c r="D122" s="17">
        <f t="shared" si="28"/>
        <v>1</v>
      </c>
      <c r="E122" s="17" t="str">
        <f t="shared" si="29"/>
        <v>Section 4 - Create spring-boot starter microservice, containerize it and push to DockerHub</v>
      </c>
      <c r="F122" s="18" t="str">
        <f t="shared" si="30"/>
        <v/>
      </c>
      <c r="G122" s="13" t="str">
        <f t="shared" si="33"/>
        <v/>
      </c>
      <c r="H122">
        <f t="shared" si="34"/>
        <v>0</v>
      </c>
      <c r="I122">
        <f t="shared" si="35"/>
        <v>0</v>
      </c>
      <c r="J122" s="13">
        <f t="shared" si="36"/>
        <v>65</v>
      </c>
      <c r="K122">
        <f t="shared" si="25"/>
        <v>0</v>
      </c>
      <c r="L122">
        <f t="shared" si="26"/>
        <v>1</v>
      </c>
      <c r="M122" s="13">
        <f t="shared" si="37"/>
        <v>1</v>
      </c>
      <c r="N122">
        <f t="shared" si="37"/>
        <v>4</v>
      </c>
      <c r="O122" s="14">
        <f t="shared" si="27"/>
        <v>64</v>
      </c>
      <c r="P122" s="13">
        <f t="shared" si="31"/>
        <v>1</v>
      </c>
      <c r="Q122">
        <f t="shared" si="38"/>
        <v>4</v>
      </c>
      <c r="R122" s="14">
        <f t="shared" si="39"/>
        <v>64</v>
      </c>
      <c r="S122" s="15"/>
      <c r="W122" s="14"/>
    </row>
    <row r="123" spans="1:23" x14ac:dyDescent="0.25">
      <c r="A123" s="16"/>
      <c r="B123" s="17" t="b">
        <f t="shared" si="32"/>
        <v>0</v>
      </c>
      <c r="C123" s="17" t="b">
        <f t="shared" si="24"/>
        <v>0</v>
      </c>
      <c r="D123" s="17">
        <f t="shared" si="28"/>
        <v>1</v>
      </c>
      <c r="E123" s="17" t="str">
        <f t="shared" si="29"/>
        <v>Section 4 - Create spring-boot starter microservice, containerize it and push to DockerHub</v>
      </c>
      <c r="F123" s="18" t="str">
        <f t="shared" si="30"/>
        <v/>
      </c>
      <c r="G123" s="13" t="str">
        <f t="shared" si="33"/>
        <v/>
      </c>
      <c r="H123">
        <f t="shared" si="34"/>
        <v>0</v>
      </c>
      <c r="I123">
        <f t="shared" si="35"/>
        <v>0</v>
      </c>
      <c r="J123" s="13">
        <f t="shared" si="36"/>
        <v>65</v>
      </c>
      <c r="K123">
        <f t="shared" si="25"/>
        <v>0</v>
      </c>
      <c r="L123">
        <f t="shared" si="26"/>
        <v>1</v>
      </c>
      <c r="M123" s="13">
        <f t="shared" si="37"/>
        <v>1</v>
      </c>
      <c r="N123">
        <f t="shared" si="37"/>
        <v>4</v>
      </c>
      <c r="O123" s="14">
        <f t="shared" si="27"/>
        <v>64</v>
      </c>
      <c r="P123" s="13">
        <f t="shared" si="31"/>
        <v>1</v>
      </c>
      <c r="Q123">
        <f t="shared" si="38"/>
        <v>4</v>
      </c>
      <c r="R123" s="14">
        <f t="shared" si="39"/>
        <v>64</v>
      </c>
      <c r="S123" s="15"/>
      <c r="W123" s="14"/>
    </row>
    <row r="124" spans="1:23" x14ac:dyDescent="0.25">
      <c r="A124" s="16"/>
      <c r="B124" s="17" t="b">
        <f t="shared" si="32"/>
        <v>0</v>
      </c>
      <c r="C124" s="17" t="b">
        <f t="shared" si="24"/>
        <v>0</v>
      </c>
      <c r="D124" s="17">
        <f t="shared" si="28"/>
        <v>1</v>
      </c>
      <c r="E124" s="17" t="str">
        <f t="shared" si="29"/>
        <v>Section 4 - Create spring-boot starter microservice, containerize it and push to DockerHub</v>
      </c>
      <c r="F124" s="18" t="str">
        <f t="shared" si="30"/>
        <v/>
      </c>
      <c r="G124" s="13" t="str">
        <f t="shared" si="33"/>
        <v/>
      </c>
      <c r="H124">
        <f t="shared" si="34"/>
        <v>0</v>
      </c>
      <c r="I124">
        <f t="shared" si="35"/>
        <v>0</v>
      </c>
      <c r="J124" s="13">
        <f t="shared" si="36"/>
        <v>65</v>
      </c>
      <c r="K124">
        <f t="shared" si="25"/>
        <v>0</v>
      </c>
      <c r="L124">
        <f t="shared" si="26"/>
        <v>1</v>
      </c>
      <c r="M124" s="13">
        <f t="shared" si="37"/>
        <v>1</v>
      </c>
      <c r="N124">
        <f t="shared" si="37"/>
        <v>4</v>
      </c>
      <c r="O124" s="14">
        <f t="shared" si="27"/>
        <v>64</v>
      </c>
      <c r="P124" s="13">
        <f t="shared" si="31"/>
        <v>1</v>
      </c>
      <c r="Q124">
        <f t="shared" si="38"/>
        <v>4</v>
      </c>
      <c r="R124" s="14">
        <f t="shared" si="39"/>
        <v>64</v>
      </c>
      <c r="S124" s="15"/>
      <c r="W124" s="14"/>
    </row>
    <row r="125" spans="1:23" x14ac:dyDescent="0.25">
      <c r="A125" s="16"/>
      <c r="B125" s="17" t="b">
        <f t="shared" si="32"/>
        <v>0</v>
      </c>
      <c r="C125" s="17" t="b">
        <f t="shared" si="24"/>
        <v>0</v>
      </c>
      <c r="D125" s="17">
        <f t="shared" si="28"/>
        <v>1</v>
      </c>
      <c r="E125" s="17" t="str">
        <f t="shared" si="29"/>
        <v>Section 4 - Create spring-boot starter microservice, containerize it and push to DockerHub</v>
      </c>
      <c r="F125" s="18" t="str">
        <f t="shared" si="30"/>
        <v/>
      </c>
      <c r="G125" s="13" t="str">
        <f t="shared" si="33"/>
        <v/>
      </c>
      <c r="H125">
        <f t="shared" si="34"/>
        <v>0</v>
      </c>
      <c r="I125">
        <f t="shared" si="35"/>
        <v>0</v>
      </c>
      <c r="J125" s="13">
        <f t="shared" si="36"/>
        <v>65</v>
      </c>
      <c r="K125">
        <f t="shared" si="25"/>
        <v>0</v>
      </c>
      <c r="L125">
        <f t="shared" si="26"/>
        <v>1</v>
      </c>
      <c r="M125" s="13">
        <f t="shared" si="37"/>
        <v>1</v>
      </c>
      <c r="N125">
        <f t="shared" si="37"/>
        <v>4</v>
      </c>
      <c r="O125" s="14">
        <f t="shared" si="27"/>
        <v>64</v>
      </c>
      <c r="P125" s="13">
        <f t="shared" si="31"/>
        <v>1</v>
      </c>
      <c r="Q125">
        <f t="shared" si="38"/>
        <v>4</v>
      </c>
      <c r="R125" s="14">
        <f t="shared" si="39"/>
        <v>64</v>
      </c>
      <c r="S125" s="15"/>
      <c r="W125" s="14"/>
    </row>
    <row r="126" spans="1:23" x14ac:dyDescent="0.25">
      <c r="A126" s="16"/>
      <c r="B126" s="17" t="b">
        <f t="shared" si="32"/>
        <v>0</v>
      </c>
      <c r="C126" s="17" t="b">
        <f t="shared" si="24"/>
        <v>0</v>
      </c>
      <c r="D126" s="17">
        <f t="shared" si="28"/>
        <v>1</v>
      </c>
      <c r="E126" s="17" t="str">
        <f t="shared" si="29"/>
        <v>Section 4 - Create spring-boot starter microservice, containerize it and push to DockerHub</v>
      </c>
      <c r="F126" s="18" t="str">
        <f t="shared" si="30"/>
        <v/>
      </c>
      <c r="G126" s="13" t="str">
        <f t="shared" si="33"/>
        <v/>
      </c>
      <c r="H126">
        <f t="shared" si="34"/>
        <v>0</v>
      </c>
      <c r="I126">
        <f t="shared" si="35"/>
        <v>0</v>
      </c>
      <c r="J126" s="13">
        <f t="shared" si="36"/>
        <v>65</v>
      </c>
      <c r="K126">
        <f t="shared" si="25"/>
        <v>0</v>
      </c>
      <c r="L126">
        <f t="shared" si="26"/>
        <v>1</v>
      </c>
      <c r="M126" s="13">
        <f t="shared" si="37"/>
        <v>1</v>
      </c>
      <c r="N126">
        <f t="shared" si="37"/>
        <v>4</v>
      </c>
      <c r="O126" s="14">
        <f t="shared" si="27"/>
        <v>64</v>
      </c>
      <c r="P126" s="13">
        <f t="shared" si="31"/>
        <v>1</v>
      </c>
      <c r="Q126">
        <f t="shared" si="38"/>
        <v>4</v>
      </c>
      <c r="R126" s="14">
        <f t="shared" si="39"/>
        <v>64</v>
      </c>
      <c r="S126" s="15"/>
      <c r="W126" s="14"/>
    </row>
    <row r="127" spans="1:23" x14ac:dyDescent="0.25">
      <c r="A127" s="16"/>
      <c r="B127" s="17" t="b">
        <f t="shared" si="32"/>
        <v>0</v>
      </c>
      <c r="C127" s="17" t="b">
        <f t="shared" si="24"/>
        <v>0</v>
      </c>
      <c r="D127" s="17">
        <f t="shared" si="28"/>
        <v>1</v>
      </c>
      <c r="E127" s="17" t="str">
        <f t="shared" si="29"/>
        <v>Section 4 - Create spring-boot starter microservice, containerize it and push to DockerHub</v>
      </c>
      <c r="F127" s="18" t="str">
        <f t="shared" si="30"/>
        <v/>
      </c>
      <c r="G127" s="13" t="str">
        <f t="shared" si="33"/>
        <v/>
      </c>
      <c r="H127">
        <f t="shared" si="34"/>
        <v>0</v>
      </c>
      <c r="I127">
        <f t="shared" si="35"/>
        <v>0</v>
      </c>
      <c r="J127" s="13">
        <f t="shared" si="36"/>
        <v>65</v>
      </c>
      <c r="K127">
        <f t="shared" si="25"/>
        <v>0</v>
      </c>
      <c r="L127">
        <f t="shared" si="26"/>
        <v>1</v>
      </c>
      <c r="M127" s="13">
        <f t="shared" si="37"/>
        <v>1</v>
      </c>
      <c r="N127">
        <f t="shared" si="37"/>
        <v>4</v>
      </c>
      <c r="O127" s="14">
        <f t="shared" si="27"/>
        <v>64</v>
      </c>
      <c r="P127" s="13">
        <f t="shared" si="31"/>
        <v>1</v>
      </c>
      <c r="Q127">
        <f t="shared" si="38"/>
        <v>4</v>
      </c>
      <c r="R127" s="14">
        <f t="shared" si="39"/>
        <v>64</v>
      </c>
      <c r="S127" s="15"/>
      <c r="W127" s="14"/>
    </row>
    <row r="128" spans="1:23" x14ac:dyDescent="0.25">
      <c r="A128" s="16"/>
      <c r="B128" s="17" t="b">
        <f t="shared" si="32"/>
        <v>0</v>
      </c>
      <c r="C128" s="17" t="b">
        <f t="shared" ref="C128:C191" si="40">OR(NOT(ISERROR(FIND("hr",A129))), NOT(ISERROR(FIND("min ",A129))),RIGHT(A129,3)="min")</f>
        <v>0</v>
      </c>
      <c r="D128" s="17">
        <f t="shared" si="28"/>
        <v>1</v>
      </c>
      <c r="E128" s="17" t="str">
        <f t="shared" si="29"/>
        <v>Section 4 - Create spring-boot starter microservice, containerize it and push to DockerHub</v>
      </c>
      <c r="F128" s="18" t="str">
        <f t="shared" si="30"/>
        <v/>
      </c>
      <c r="G128" s="13" t="str">
        <f t="shared" si="33"/>
        <v/>
      </c>
      <c r="H128">
        <f t="shared" si="34"/>
        <v>0</v>
      </c>
      <c r="I128">
        <f t="shared" si="35"/>
        <v>0</v>
      </c>
      <c r="J128" s="13">
        <f t="shared" si="36"/>
        <v>65</v>
      </c>
      <c r="K128">
        <f t="shared" si="25"/>
        <v>0</v>
      </c>
      <c r="L128">
        <f t="shared" si="26"/>
        <v>1</v>
      </c>
      <c r="M128" s="13">
        <f t="shared" si="37"/>
        <v>1</v>
      </c>
      <c r="N128">
        <f t="shared" si="37"/>
        <v>4</v>
      </c>
      <c r="O128" s="14">
        <f t="shared" si="27"/>
        <v>64</v>
      </c>
      <c r="P128" s="13">
        <f t="shared" si="31"/>
        <v>1</v>
      </c>
      <c r="Q128">
        <f t="shared" si="38"/>
        <v>4</v>
      </c>
      <c r="R128" s="14">
        <f t="shared" si="39"/>
        <v>64</v>
      </c>
      <c r="S128" s="15"/>
      <c r="W128" s="14"/>
    </row>
    <row r="129" spans="1:23" x14ac:dyDescent="0.25">
      <c r="A129" s="16"/>
      <c r="B129" s="17" t="b">
        <f t="shared" si="32"/>
        <v>0</v>
      </c>
      <c r="C129" s="17" t="b">
        <f t="shared" si="40"/>
        <v>0</v>
      </c>
      <c r="D129" s="17">
        <f t="shared" si="28"/>
        <v>1</v>
      </c>
      <c r="E129" s="17" t="str">
        <f t="shared" si="29"/>
        <v>Section 4 - Create spring-boot starter microservice, containerize it and push to DockerHub</v>
      </c>
      <c r="F129" s="18" t="str">
        <f t="shared" si="30"/>
        <v/>
      </c>
      <c r="G129" s="13" t="str">
        <f t="shared" si="33"/>
        <v/>
      </c>
      <c r="H129">
        <f t="shared" si="34"/>
        <v>0</v>
      </c>
      <c r="I129">
        <f t="shared" si="35"/>
        <v>0</v>
      </c>
      <c r="J129" s="13">
        <f t="shared" si="36"/>
        <v>65</v>
      </c>
      <c r="K129">
        <f t="shared" si="25"/>
        <v>0</v>
      </c>
      <c r="L129">
        <f t="shared" si="26"/>
        <v>1</v>
      </c>
      <c r="M129" s="13">
        <f t="shared" si="37"/>
        <v>1</v>
      </c>
      <c r="N129">
        <f t="shared" si="37"/>
        <v>4</v>
      </c>
      <c r="O129" s="14">
        <f t="shared" si="27"/>
        <v>64</v>
      </c>
      <c r="P129" s="13">
        <f t="shared" si="31"/>
        <v>1</v>
      </c>
      <c r="Q129">
        <f t="shared" si="38"/>
        <v>4</v>
      </c>
      <c r="R129" s="14">
        <f t="shared" si="39"/>
        <v>64</v>
      </c>
      <c r="S129" s="15"/>
      <c r="W129" s="14"/>
    </row>
    <row r="130" spans="1:23" x14ac:dyDescent="0.25">
      <c r="A130" s="16"/>
      <c r="B130" s="17" t="b">
        <f t="shared" si="32"/>
        <v>0</v>
      </c>
      <c r="C130" s="17" t="b">
        <f t="shared" si="40"/>
        <v>0</v>
      </c>
      <c r="D130" s="17">
        <f t="shared" si="28"/>
        <v>1</v>
      </c>
      <c r="E130" s="17" t="str">
        <f t="shared" si="29"/>
        <v>Section 4 - Create spring-boot starter microservice, containerize it and push to DockerHub</v>
      </c>
      <c r="F130" s="18" t="str">
        <f t="shared" si="30"/>
        <v/>
      </c>
      <c r="G130" s="13" t="str">
        <f t="shared" si="33"/>
        <v/>
      </c>
      <c r="H130">
        <f t="shared" si="34"/>
        <v>0</v>
      </c>
      <c r="I130">
        <f t="shared" si="35"/>
        <v>0</v>
      </c>
      <c r="J130" s="13">
        <f t="shared" si="36"/>
        <v>65</v>
      </c>
      <c r="K130">
        <f t="shared" si="25"/>
        <v>0</v>
      </c>
      <c r="L130">
        <f t="shared" si="26"/>
        <v>1</v>
      </c>
      <c r="M130" s="13">
        <f t="shared" si="37"/>
        <v>1</v>
      </c>
      <c r="N130">
        <f t="shared" si="37"/>
        <v>4</v>
      </c>
      <c r="O130" s="14">
        <f t="shared" si="27"/>
        <v>64</v>
      </c>
      <c r="P130" s="13">
        <f t="shared" si="31"/>
        <v>1</v>
      </c>
      <c r="Q130">
        <f t="shared" si="38"/>
        <v>4</v>
      </c>
      <c r="R130" s="14">
        <f t="shared" si="39"/>
        <v>64</v>
      </c>
      <c r="S130" s="15"/>
      <c r="W130" s="14"/>
    </row>
    <row r="131" spans="1:23" x14ac:dyDescent="0.25">
      <c r="A131" s="16"/>
      <c r="B131" s="17" t="b">
        <f t="shared" si="32"/>
        <v>0</v>
      </c>
      <c r="C131" s="17" t="b">
        <f t="shared" si="40"/>
        <v>0</v>
      </c>
      <c r="D131" s="17">
        <f t="shared" si="28"/>
        <v>1</v>
      </c>
      <c r="E131" s="17" t="str">
        <f t="shared" si="29"/>
        <v>Section 4 - Create spring-boot starter microservice, containerize it and push to DockerHub</v>
      </c>
      <c r="F131" s="18" t="str">
        <f t="shared" si="30"/>
        <v/>
      </c>
      <c r="G131" s="13" t="str">
        <f t="shared" si="33"/>
        <v/>
      </c>
      <c r="H131">
        <f t="shared" si="34"/>
        <v>0</v>
      </c>
      <c r="I131">
        <f t="shared" si="35"/>
        <v>0</v>
      </c>
      <c r="J131" s="13">
        <f t="shared" si="36"/>
        <v>65</v>
      </c>
      <c r="K131">
        <f t="shared" si="25"/>
        <v>0</v>
      </c>
      <c r="L131">
        <f t="shared" si="26"/>
        <v>1</v>
      </c>
      <c r="M131" s="13">
        <f t="shared" si="37"/>
        <v>1</v>
      </c>
      <c r="N131">
        <f t="shared" si="37"/>
        <v>4</v>
      </c>
      <c r="O131" s="14">
        <f t="shared" si="27"/>
        <v>64</v>
      </c>
      <c r="P131" s="13">
        <f t="shared" si="31"/>
        <v>1</v>
      </c>
      <c r="Q131">
        <f t="shared" si="38"/>
        <v>4</v>
      </c>
      <c r="R131" s="14">
        <f t="shared" si="39"/>
        <v>64</v>
      </c>
      <c r="S131" s="15"/>
      <c r="W131" s="14"/>
    </row>
    <row r="132" spans="1:23" x14ac:dyDescent="0.25">
      <c r="A132" s="16"/>
      <c r="B132" s="17" t="b">
        <f t="shared" si="32"/>
        <v>0</v>
      </c>
      <c r="C132" s="17" t="b">
        <f t="shared" si="40"/>
        <v>0</v>
      </c>
      <c r="D132" s="17">
        <f t="shared" si="28"/>
        <v>1</v>
      </c>
      <c r="E132" s="17" t="str">
        <f t="shared" si="29"/>
        <v>Section 4 - Create spring-boot starter microservice, containerize it and push to DockerHub</v>
      </c>
      <c r="F132" s="18" t="str">
        <f t="shared" si="30"/>
        <v/>
      </c>
      <c r="G132" s="13" t="str">
        <f t="shared" si="33"/>
        <v/>
      </c>
      <c r="H132">
        <f t="shared" si="34"/>
        <v>0</v>
      </c>
      <c r="I132">
        <f t="shared" si="35"/>
        <v>0</v>
      </c>
      <c r="J132" s="13">
        <f t="shared" si="36"/>
        <v>65</v>
      </c>
      <c r="K132">
        <f t="shared" si="25"/>
        <v>0</v>
      </c>
      <c r="L132">
        <f t="shared" si="26"/>
        <v>1</v>
      </c>
      <c r="M132" s="13">
        <f t="shared" si="37"/>
        <v>1</v>
      </c>
      <c r="N132">
        <f t="shared" si="37"/>
        <v>4</v>
      </c>
      <c r="O132" s="14">
        <f t="shared" si="27"/>
        <v>64</v>
      </c>
      <c r="P132" s="13">
        <f t="shared" si="31"/>
        <v>1</v>
      </c>
      <c r="Q132">
        <f t="shared" si="38"/>
        <v>4</v>
      </c>
      <c r="R132" s="14">
        <f t="shared" si="39"/>
        <v>64</v>
      </c>
      <c r="S132" s="15"/>
      <c r="W132" s="14"/>
    </row>
    <row r="133" spans="1:23" x14ac:dyDescent="0.25">
      <c r="A133" s="16"/>
      <c r="B133" s="17" t="b">
        <f t="shared" si="32"/>
        <v>0</v>
      </c>
      <c r="C133" s="17" t="b">
        <f t="shared" si="40"/>
        <v>0</v>
      </c>
      <c r="D133" s="17">
        <f t="shared" si="28"/>
        <v>1</v>
      </c>
      <c r="E133" s="17" t="str">
        <f t="shared" si="29"/>
        <v>Section 4 - Create spring-boot starter microservice, containerize it and push to DockerHub</v>
      </c>
      <c r="F133" s="18" t="str">
        <f t="shared" si="30"/>
        <v/>
      </c>
      <c r="G133" s="13" t="str">
        <f t="shared" si="33"/>
        <v/>
      </c>
      <c r="H133">
        <f t="shared" si="34"/>
        <v>0</v>
      </c>
      <c r="I133">
        <f t="shared" si="35"/>
        <v>0</v>
      </c>
      <c r="J133" s="13">
        <f t="shared" si="36"/>
        <v>65</v>
      </c>
      <c r="K133">
        <f t="shared" si="25"/>
        <v>0</v>
      </c>
      <c r="L133">
        <f t="shared" si="26"/>
        <v>1</v>
      </c>
      <c r="M133" s="13">
        <f t="shared" si="37"/>
        <v>1</v>
      </c>
      <c r="N133">
        <f t="shared" si="37"/>
        <v>4</v>
      </c>
      <c r="O133" s="14">
        <f t="shared" si="27"/>
        <v>64</v>
      </c>
      <c r="P133" s="13">
        <f t="shared" si="31"/>
        <v>1</v>
      </c>
      <c r="Q133">
        <f t="shared" si="38"/>
        <v>4</v>
      </c>
      <c r="R133" s="14">
        <f t="shared" si="39"/>
        <v>64</v>
      </c>
      <c r="S133" s="15"/>
      <c r="W133" s="14"/>
    </row>
    <row r="134" spans="1:23" x14ac:dyDescent="0.25">
      <c r="A134" s="16"/>
      <c r="B134" s="17" t="b">
        <f t="shared" si="32"/>
        <v>0</v>
      </c>
      <c r="C134" s="17" t="b">
        <f t="shared" si="40"/>
        <v>0</v>
      </c>
      <c r="D134" s="17">
        <f t="shared" si="28"/>
        <v>1</v>
      </c>
      <c r="E134" s="17" t="str">
        <f t="shared" si="29"/>
        <v>Section 4 - Create spring-boot starter microservice, containerize it and push to DockerHub</v>
      </c>
      <c r="F134" s="18" t="str">
        <f t="shared" si="30"/>
        <v/>
      </c>
      <c r="G134" s="13" t="str">
        <f t="shared" si="33"/>
        <v/>
      </c>
      <c r="H134">
        <f t="shared" si="34"/>
        <v>0</v>
      </c>
      <c r="I134">
        <f t="shared" si="35"/>
        <v>0</v>
      </c>
      <c r="J134" s="13">
        <f t="shared" si="36"/>
        <v>65</v>
      </c>
      <c r="K134">
        <f t="shared" si="25"/>
        <v>0</v>
      </c>
      <c r="L134">
        <f t="shared" si="26"/>
        <v>1</v>
      </c>
      <c r="M134" s="13">
        <f t="shared" si="37"/>
        <v>1</v>
      </c>
      <c r="N134">
        <f t="shared" si="37"/>
        <v>4</v>
      </c>
      <c r="O134" s="14">
        <f t="shared" si="27"/>
        <v>64</v>
      </c>
      <c r="P134" s="13">
        <f t="shared" si="31"/>
        <v>1</v>
      </c>
      <c r="Q134">
        <f t="shared" si="38"/>
        <v>4</v>
      </c>
      <c r="R134" s="14">
        <f t="shared" si="39"/>
        <v>64</v>
      </c>
      <c r="S134" s="15"/>
      <c r="W134" s="14"/>
    </row>
    <row r="135" spans="1:23" x14ac:dyDescent="0.25">
      <c r="A135" s="16"/>
      <c r="B135" s="17" t="b">
        <f t="shared" si="32"/>
        <v>0</v>
      </c>
      <c r="C135" s="17" t="b">
        <f t="shared" si="40"/>
        <v>0</v>
      </c>
      <c r="D135" s="17">
        <f t="shared" si="28"/>
        <v>1</v>
      </c>
      <c r="E135" s="17" t="str">
        <f t="shared" si="29"/>
        <v>Section 4 - Create spring-boot starter microservice, containerize it and push to DockerHub</v>
      </c>
      <c r="F135" s="18" t="str">
        <f t="shared" si="30"/>
        <v/>
      </c>
      <c r="G135" s="13" t="str">
        <f t="shared" si="33"/>
        <v/>
      </c>
      <c r="H135">
        <f t="shared" si="34"/>
        <v>0</v>
      </c>
      <c r="I135">
        <f t="shared" si="35"/>
        <v>0</v>
      </c>
      <c r="J135" s="13">
        <f t="shared" si="36"/>
        <v>65</v>
      </c>
      <c r="K135">
        <f t="shared" si="25"/>
        <v>0</v>
      </c>
      <c r="L135">
        <f t="shared" si="26"/>
        <v>1</v>
      </c>
      <c r="M135" s="13">
        <f t="shared" si="37"/>
        <v>1</v>
      </c>
      <c r="N135">
        <f t="shared" si="37"/>
        <v>4</v>
      </c>
      <c r="O135" s="14">
        <f t="shared" si="27"/>
        <v>64</v>
      </c>
      <c r="P135" s="13">
        <f t="shared" si="31"/>
        <v>1</v>
      </c>
      <c r="Q135">
        <f t="shared" si="38"/>
        <v>4</v>
      </c>
      <c r="R135" s="14">
        <f t="shared" si="39"/>
        <v>64</v>
      </c>
      <c r="S135" s="15"/>
      <c r="W135" s="14"/>
    </row>
    <row r="136" spans="1:23" x14ac:dyDescent="0.25">
      <c r="A136" s="16"/>
      <c r="B136" s="17" t="b">
        <f t="shared" si="32"/>
        <v>0</v>
      </c>
      <c r="C136" s="17" t="b">
        <f t="shared" si="40"/>
        <v>0</v>
      </c>
      <c r="D136" s="17">
        <f t="shared" si="28"/>
        <v>1</v>
      </c>
      <c r="E136" s="17" t="str">
        <f t="shared" si="29"/>
        <v>Section 4 - Create spring-boot starter microservice, containerize it and push to DockerHub</v>
      </c>
      <c r="F136" s="18" t="str">
        <f t="shared" si="30"/>
        <v/>
      </c>
      <c r="G136" s="13" t="str">
        <f t="shared" si="33"/>
        <v/>
      </c>
      <c r="H136">
        <f t="shared" si="34"/>
        <v>0</v>
      </c>
      <c r="I136">
        <f t="shared" si="35"/>
        <v>0</v>
      </c>
      <c r="J136" s="13">
        <f t="shared" si="36"/>
        <v>65</v>
      </c>
      <c r="K136">
        <f t="shared" si="25"/>
        <v>0</v>
      </c>
      <c r="L136">
        <f t="shared" si="26"/>
        <v>1</v>
      </c>
      <c r="M136" s="13">
        <f t="shared" si="37"/>
        <v>1</v>
      </c>
      <c r="N136">
        <f t="shared" si="37"/>
        <v>4</v>
      </c>
      <c r="O136" s="14">
        <f t="shared" si="27"/>
        <v>64</v>
      </c>
      <c r="P136" s="13">
        <f t="shared" si="31"/>
        <v>1</v>
      </c>
      <c r="Q136">
        <f t="shared" si="38"/>
        <v>4</v>
      </c>
      <c r="R136" s="14">
        <f t="shared" si="39"/>
        <v>64</v>
      </c>
      <c r="S136" s="15"/>
      <c r="W136" s="14"/>
    </row>
    <row r="137" spans="1:23" x14ac:dyDescent="0.25">
      <c r="A137" s="16"/>
      <c r="B137" s="17" t="b">
        <f t="shared" si="32"/>
        <v>0</v>
      </c>
      <c r="C137" s="17" t="b">
        <f t="shared" si="40"/>
        <v>0</v>
      </c>
      <c r="D137" s="17">
        <f t="shared" si="28"/>
        <v>1</v>
      </c>
      <c r="E137" s="17" t="str">
        <f t="shared" si="29"/>
        <v>Section 4 - Create spring-boot starter microservice, containerize it and push to DockerHub</v>
      </c>
      <c r="F137" s="18" t="str">
        <f t="shared" si="30"/>
        <v/>
      </c>
      <c r="G137" s="13" t="str">
        <f t="shared" si="33"/>
        <v/>
      </c>
      <c r="H137">
        <f t="shared" si="34"/>
        <v>0</v>
      </c>
      <c r="I137">
        <f t="shared" si="35"/>
        <v>0</v>
      </c>
      <c r="J137" s="13">
        <f t="shared" si="36"/>
        <v>65</v>
      </c>
      <c r="K137">
        <f t="shared" si="25"/>
        <v>0</v>
      </c>
      <c r="L137">
        <f t="shared" si="26"/>
        <v>1</v>
      </c>
      <c r="M137" s="13">
        <f t="shared" si="37"/>
        <v>1</v>
      </c>
      <c r="N137">
        <f t="shared" si="37"/>
        <v>4</v>
      </c>
      <c r="O137" s="14">
        <f t="shared" si="27"/>
        <v>64</v>
      </c>
      <c r="P137" s="13">
        <f t="shared" si="31"/>
        <v>1</v>
      </c>
      <c r="Q137">
        <f t="shared" si="38"/>
        <v>4</v>
      </c>
      <c r="R137" s="14">
        <f t="shared" si="39"/>
        <v>64</v>
      </c>
      <c r="S137" s="15"/>
      <c r="W137" s="14"/>
    </row>
    <row r="138" spans="1:23" x14ac:dyDescent="0.25">
      <c r="A138" s="16"/>
      <c r="B138" s="17" t="b">
        <f t="shared" si="32"/>
        <v>0</v>
      </c>
      <c r="C138" s="17" t="b">
        <f t="shared" si="40"/>
        <v>0</v>
      </c>
      <c r="D138" s="17">
        <f t="shared" si="28"/>
        <v>1</v>
      </c>
      <c r="E138" s="17" t="str">
        <f t="shared" si="29"/>
        <v>Section 4 - Create spring-boot starter microservice, containerize it and push to DockerHub</v>
      </c>
      <c r="F138" s="18" t="str">
        <f t="shared" si="30"/>
        <v/>
      </c>
      <c r="G138" s="13" t="str">
        <f t="shared" si="33"/>
        <v/>
      </c>
      <c r="H138">
        <f t="shared" si="34"/>
        <v>0</v>
      </c>
      <c r="I138">
        <f t="shared" si="35"/>
        <v>0</v>
      </c>
      <c r="J138" s="13">
        <f t="shared" si="36"/>
        <v>65</v>
      </c>
      <c r="K138">
        <f t="shared" ref="K138:K201" si="41">INT(J138/60/60)</f>
        <v>0</v>
      </c>
      <c r="L138">
        <f t="shared" ref="L138:L201" si="42">INT((J138-(K138*60*60))/60)</f>
        <v>1</v>
      </c>
      <c r="M138" s="13">
        <f t="shared" si="37"/>
        <v>1</v>
      </c>
      <c r="N138">
        <f t="shared" si="37"/>
        <v>4</v>
      </c>
      <c r="O138" s="14">
        <f t="shared" ref="O138:O201" si="43">((M138*60)+N138)</f>
        <v>64</v>
      </c>
      <c r="P138" s="13">
        <f t="shared" si="31"/>
        <v>1</v>
      </c>
      <c r="Q138">
        <f t="shared" si="38"/>
        <v>4</v>
      </c>
      <c r="R138" s="14">
        <f t="shared" si="39"/>
        <v>64</v>
      </c>
      <c r="S138" s="15"/>
      <c r="W138" s="14"/>
    </row>
    <row r="139" spans="1:23" x14ac:dyDescent="0.25">
      <c r="A139" s="16"/>
      <c r="B139" s="17" t="b">
        <f t="shared" si="32"/>
        <v>0</v>
      </c>
      <c r="C139" s="17" t="b">
        <f t="shared" si="40"/>
        <v>0</v>
      </c>
      <c r="D139" s="17">
        <f t="shared" ref="D139:D202" si="44">IF(B139,0,IF(C139,D138+1,D138))</f>
        <v>1</v>
      </c>
      <c r="E139" s="17" t="str">
        <f t="shared" ref="E139:E202" si="45">SUBSTITUTE(IF(B139,A139,E138),":"," -")</f>
        <v>Section 4 - Create spring-boot starter microservice, containerize it and push to DockerHub</v>
      </c>
      <c r="F139" s="18" t="str">
        <f t="shared" ref="F139:F202" si="46">IF(C139,A139,"")</f>
        <v/>
      </c>
      <c r="G139" s="13" t="str">
        <f t="shared" si="33"/>
        <v/>
      </c>
      <c r="H139">
        <f t="shared" si="34"/>
        <v>0</v>
      </c>
      <c r="I139">
        <f t="shared" si="35"/>
        <v>0</v>
      </c>
      <c r="J139" s="13">
        <f t="shared" si="36"/>
        <v>65</v>
      </c>
      <c r="K139">
        <f t="shared" si="41"/>
        <v>0</v>
      </c>
      <c r="L139">
        <f t="shared" si="42"/>
        <v>1</v>
      </c>
      <c r="M139" s="13">
        <f t="shared" si="37"/>
        <v>1</v>
      </c>
      <c r="N139">
        <f t="shared" si="37"/>
        <v>4</v>
      </c>
      <c r="O139" s="14">
        <f t="shared" si="43"/>
        <v>64</v>
      </c>
      <c r="P139" s="13">
        <f t="shared" ref="P139:P202" si="47">INT(R139/60)</f>
        <v>1</v>
      </c>
      <c r="Q139">
        <f t="shared" si="38"/>
        <v>4</v>
      </c>
      <c r="R139" s="14">
        <f t="shared" si="39"/>
        <v>64</v>
      </c>
      <c r="S139" s="15"/>
      <c r="W139" s="14"/>
    </row>
    <row r="140" spans="1:23" x14ac:dyDescent="0.25">
      <c r="A140" s="16"/>
      <c r="B140" s="17" t="b">
        <f t="shared" si="32"/>
        <v>0</v>
      </c>
      <c r="C140" s="17" t="b">
        <f t="shared" si="40"/>
        <v>0</v>
      </c>
      <c r="D140" s="17">
        <f t="shared" si="44"/>
        <v>1</v>
      </c>
      <c r="E140" s="17" t="str">
        <f t="shared" si="45"/>
        <v>Section 4 - Create spring-boot starter microservice, containerize it and push to DockerHub</v>
      </c>
      <c r="F140" s="18" t="str">
        <f t="shared" si="46"/>
        <v/>
      </c>
      <c r="G140" s="13" t="str">
        <f t="shared" si="33"/>
        <v/>
      </c>
      <c r="H140">
        <f t="shared" si="34"/>
        <v>0</v>
      </c>
      <c r="I140">
        <f t="shared" si="35"/>
        <v>0</v>
      </c>
      <c r="J140" s="13">
        <f t="shared" si="36"/>
        <v>65</v>
      </c>
      <c r="K140">
        <f t="shared" si="41"/>
        <v>0</v>
      </c>
      <c r="L140">
        <f t="shared" si="42"/>
        <v>1</v>
      </c>
      <c r="M140" s="13">
        <f t="shared" si="37"/>
        <v>1</v>
      </c>
      <c r="N140">
        <f t="shared" si="37"/>
        <v>4</v>
      </c>
      <c r="O140" s="14">
        <f t="shared" si="43"/>
        <v>64</v>
      </c>
      <c r="P140" s="13">
        <f t="shared" si="47"/>
        <v>1</v>
      </c>
      <c r="Q140">
        <f t="shared" si="38"/>
        <v>4</v>
      </c>
      <c r="R140" s="14">
        <f t="shared" si="39"/>
        <v>64</v>
      </c>
      <c r="S140" s="15"/>
      <c r="W140" s="14"/>
    </row>
    <row r="141" spans="1:23" x14ac:dyDescent="0.25">
      <c r="A141" s="16"/>
      <c r="B141" s="17" t="b">
        <f t="shared" si="32"/>
        <v>0</v>
      </c>
      <c r="C141" s="17" t="b">
        <f t="shared" si="40"/>
        <v>0</v>
      </c>
      <c r="D141" s="17">
        <f t="shared" si="44"/>
        <v>1</v>
      </c>
      <c r="E141" s="17" t="str">
        <f t="shared" si="45"/>
        <v>Section 4 - Create spring-boot starter microservice, containerize it and push to DockerHub</v>
      </c>
      <c r="F141" s="18" t="str">
        <f t="shared" si="46"/>
        <v/>
      </c>
      <c r="G141" s="13" t="str">
        <f t="shared" si="33"/>
        <v/>
      </c>
      <c r="H141">
        <f t="shared" si="34"/>
        <v>0</v>
      </c>
      <c r="I141">
        <f t="shared" si="35"/>
        <v>0</v>
      </c>
      <c r="J141" s="13">
        <f t="shared" si="36"/>
        <v>65</v>
      </c>
      <c r="K141">
        <f t="shared" si="41"/>
        <v>0</v>
      </c>
      <c r="L141">
        <f t="shared" si="42"/>
        <v>1</v>
      </c>
      <c r="M141" s="13">
        <f t="shared" si="37"/>
        <v>1</v>
      </c>
      <c r="N141">
        <f t="shared" si="37"/>
        <v>4</v>
      </c>
      <c r="O141" s="14">
        <f t="shared" si="43"/>
        <v>64</v>
      </c>
      <c r="P141" s="13">
        <f t="shared" si="47"/>
        <v>1</v>
      </c>
      <c r="Q141">
        <f t="shared" si="38"/>
        <v>4</v>
      </c>
      <c r="R141" s="14">
        <f t="shared" si="39"/>
        <v>64</v>
      </c>
      <c r="S141" s="15"/>
      <c r="W141" s="14"/>
    </row>
    <row r="142" spans="1:23" x14ac:dyDescent="0.25">
      <c r="A142" s="16"/>
      <c r="B142" s="17" t="b">
        <f t="shared" si="32"/>
        <v>0</v>
      </c>
      <c r="C142" s="17" t="b">
        <f t="shared" si="40"/>
        <v>0</v>
      </c>
      <c r="D142" s="17">
        <f t="shared" si="44"/>
        <v>1</v>
      </c>
      <c r="E142" s="17" t="str">
        <f t="shared" si="45"/>
        <v>Section 4 - Create spring-boot starter microservice, containerize it and push to DockerHub</v>
      </c>
      <c r="F142" s="18" t="str">
        <f t="shared" si="46"/>
        <v/>
      </c>
      <c r="G142" s="13" t="str">
        <f t="shared" si="33"/>
        <v/>
      </c>
      <c r="H142">
        <f t="shared" si="34"/>
        <v>0</v>
      </c>
      <c r="I142">
        <f t="shared" si="35"/>
        <v>0</v>
      </c>
      <c r="J142" s="13">
        <f t="shared" si="36"/>
        <v>65</v>
      </c>
      <c r="K142">
        <f t="shared" si="41"/>
        <v>0</v>
      </c>
      <c r="L142">
        <f t="shared" si="42"/>
        <v>1</v>
      </c>
      <c r="M142" s="13">
        <f t="shared" si="37"/>
        <v>1</v>
      </c>
      <c r="N142">
        <f t="shared" si="37"/>
        <v>4</v>
      </c>
      <c r="O142" s="14">
        <f t="shared" si="43"/>
        <v>64</v>
      </c>
      <c r="P142" s="13">
        <f t="shared" si="47"/>
        <v>1</v>
      </c>
      <c r="Q142">
        <f t="shared" si="38"/>
        <v>4</v>
      </c>
      <c r="R142" s="14">
        <f t="shared" si="39"/>
        <v>64</v>
      </c>
      <c r="S142" s="15"/>
      <c r="W142" s="14"/>
    </row>
    <row r="143" spans="1:23" x14ac:dyDescent="0.25">
      <c r="A143" s="16"/>
      <c r="B143" s="17" t="b">
        <f t="shared" si="32"/>
        <v>0</v>
      </c>
      <c r="C143" s="17" t="b">
        <f t="shared" si="40"/>
        <v>0</v>
      </c>
      <c r="D143" s="17">
        <f t="shared" si="44"/>
        <v>1</v>
      </c>
      <c r="E143" s="17" t="str">
        <f t="shared" si="45"/>
        <v>Section 4 - Create spring-boot starter microservice, containerize it and push to DockerHub</v>
      </c>
      <c r="F143" s="18" t="str">
        <f t="shared" si="46"/>
        <v/>
      </c>
      <c r="G143" s="13" t="str">
        <f t="shared" si="33"/>
        <v/>
      </c>
      <c r="H143">
        <f t="shared" si="34"/>
        <v>0</v>
      </c>
      <c r="I143">
        <f t="shared" si="35"/>
        <v>0</v>
      </c>
      <c r="J143" s="13">
        <f t="shared" si="36"/>
        <v>65</v>
      </c>
      <c r="K143">
        <f t="shared" si="41"/>
        <v>0</v>
      </c>
      <c r="L143">
        <f t="shared" si="42"/>
        <v>1</v>
      </c>
      <c r="M143" s="13">
        <f t="shared" si="37"/>
        <v>1</v>
      </c>
      <c r="N143">
        <f t="shared" si="37"/>
        <v>4</v>
      </c>
      <c r="O143" s="14">
        <f t="shared" si="43"/>
        <v>64</v>
      </c>
      <c r="P143" s="13">
        <f t="shared" si="47"/>
        <v>1</v>
      </c>
      <c r="Q143">
        <f t="shared" si="38"/>
        <v>4</v>
      </c>
      <c r="R143" s="14">
        <f t="shared" si="39"/>
        <v>64</v>
      </c>
      <c r="S143" s="15"/>
      <c r="W143" s="14"/>
    </row>
    <row r="144" spans="1:23" x14ac:dyDescent="0.25">
      <c r="A144" s="16"/>
      <c r="B144" s="17" t="b">
        <f t="shared" si="32"/>
        <v>0</v>
      </c>
      <c r="C144" s="17" t="b">
        <f t="shared" si="40"/>
        <v>0</v>
      </c>
      <c r="D144" s="17">
        <f t="shared" si="44"/>
        <v>1</v>
      </c>
      <c r="E144" s="17" t="str">
        <f t="shared" si="45"/>
        <v>Section 4 - Create spring-boot starter microservice, containerize it and push to DockerHub</v>
      </c>
      <c r="F144" s="18" t="str">
        <f t="shared" si="46"/>
        <v/>
      </c>
      <c r="G144" s="13" t="str">
        <f t="shared" si="33"/>
        <v/>
      </c>
      <c r="H144">
        <f t="shared" si="34"/>
        <v>0</v>
      </c>
      <c r="I144">
        <f t="shared" si="35"/>
        <v>0</v>
      </c>
      <c r="J144" s="13">
        <f t="shared" si="36"/>
        <v>65</v>
      </c>
      <c r="K144">
        <f t="shared" si="41"/>
        <v>0</v>
      </c>
      <c r="L144">
        <f t="shared" si="42"/>
        <v>1</v>
      </c>
      <c r="M144" s="13">
        <f t="shared" si="37"/>
        <v>1</v>
      </c>
      <c r="N144">
        <f t="shared" si="37"/>
        <v>4</v>
      </c>
      <c r="O144" s="14">
        <f t="shared" si="43"/>
        <v>64</v>
      </c>
      <c r="P144" s="13">
        <f t="shared" si="47"/>
        <v>1</v>
      </c>
      <c r="Q144">
        <f t="shared" si="38"/>
        <v>4</v>
      </c>
      <c r="R144" s="14">
        <f t="shared" si="39"/>
        <v>64</v>
      </c>
      <c r="S144" s="15"/>
      <c r="W144" s="14"/>
    </row>
    <row r="145" spans="1:23" x14ac:dyDescent="0.25">
      <c r="A145" s="16"/>
      <c r="B145" s="17" t="b">
        <f t="shared" si="32"/>
        <v>0</v>
      </c>
      <c r="C145" s="17" t="b">
        <f t="shared" si="40"/>
        <v>0</v>
      </c>
      <c r="D145" s="17">
        <f t="shared" si="44"/>
        <v>1</v>
      </c>
      <c r="E145" s="17" t="str">
        <f t="shared" si="45"/>
        <v>Section 4 - Create spring-boot starter microservice, containerize it and push to DockerHub</v>
      </c>
      <c r="F145" s="18" t="str">
        <f t="shared" si="46"/>
        <v/>
      </c>
      <c r="G145" s="13" t="str">
        <f t="shared" si="33"/>
        <v/>
      </c>
      <c r="H145">
        <f t="shared" si="34"/>
        <v>0</v>
      </c>
      <c r="I145">
        <f t="shared" si="35"/>
        <v>0</v>
      </c>
      <c r="J145" s="13">
        <f t="shared" si="36"/>
        <v>65</v>
      </c>
      <c r="K145">
        <f t="shared" si="41"/>
        <v>0</v>
      </c>
      <c r="L145">
        <f t="shared" si="42"/>
        <v>1</v>
      </c>
      <c r="M145" s="13">
        <f t="shared" si="37"/>
        <v>1</v>
      </c>
      <c r="N145">
        <f t="shared" si="37"/>
        <v>4</v>
      </c>
      <c r="O145" s="14">
        <f t="shared" si="43"/>
        <v>64</v>
      </c>
      <c r="P145" s="13">
        <f t="shared" si="47"/>
        <v>1</v>
      </c>
      <c r="Q145">
        <f t="shared" si="38"/>
        <v>4</v>
      </c>
      <c r="R145" s="14">
        <f t="shared" si="39"/>
        <v>64</v>
      </c>
      <c r="S145" s="15"/>
      <c r="W145" s="14"/>
    </row>
    <row r="146" spans="1:23" x14ac:dyDescent="0.25">
      <c r="A146" s="16"/>
      <c r="B146" s="17" t="b">
        <f t="shared" ref="B146:B209" si="48">AND(NOT(ISERROR(FIND("Section ",A146))),NOT(ISERROR(FIND("Section ",A146))))</f>
        <v>0</v>
      </c>
      <c r="C146" s="17" t="b">
        <f t="shared" si="40"/>
        <v>0</v>
      </c>
      <c r="D146" s="17">
        <f t="shared" si="44"/>
        <v>1</v>
      </c>
      <c r="E146" s="17" t="str">
        <f t="shared" si="45"/>
        <v>Section 4 - Create spring-boot starter microservice, containerize it and push to DockerHub</v>
      </c>
      <c r="F146" s="18" t="str">
        <f t="shared" si="46"/>
        <v/>
      </c>
      <c r="G146" s="13" t="str">
        <f t="shared" si="33"/>
        <v/>
      </c>
      <c r="H146">
        <f t="shared" si="34"/>
        <v>0</v>
      </c>
      <c r="I146">
        <f t="shared" si="35"/>
        <v>0</v>
      </c>
      <c r="J146" s="13">
        <f t="shared" si="36"/>
        <v>65</v>
      </c>
      <c r="K146">
        <f t="shared" si="41"/>
        <v>0</v>
      </c>
      <c r="L146">
        <f t="shared" si="42"/>
        <v>1</v>
      </c>
      <c r="M146" s="13">
        <f t="shared" si="37"/>
        <v>1</v>
      </c>
      <c r="N146">
        <f t="shared" si="37"/>
        <v>4</v>
      </c>
      <c r="O146" s="14">
        <f t="shared" si="43"/>
        <v>64</v>
      </c>
      <c r="P146" s="13">
        <f t="shared" si="47"/>
        <v>1</v>
      </c>
      <c r="Q146">
        <f t="shared" si="38"/>
        <v>4</v>
      </c>
      <c r="R146" s="14">
        <f t="shared" si="39"/>
        <v>64</v>
      </c>
      <c r="S146" s="15"/>
      <c r="W146" s="14"/>
    </row>
    <row r="147" spans="1:23" x14ac:dyDescent="0.25">
      <c r="A147" s="16"/>
      <c r="B147" s="17" t="b">
        <f t="shared" si="48"/>
        <v>0</v>
      </c>
      <c r="C147" s="17" t="b">
        <f t="shared" si="40"/>
        <v>0</v>
      </c>
      <c r="D147" s="17">
        <f t="shared" si="44"/>
        <v>1</v>
      </c>
      <c r="E147" s="17" t="str">
        <f t="shared" si="45"/>
        <v>Section 4 - Create spring-boot starter microservice, containerize it and push to DockerHub</v>
      </c>
      <c r="F147" s="18" t="str">
        <f t="shared" si="46"/>
        <v/>
      </c>
      <c r="G147" s="13" t="str">
        <f t="shared" si="33"/>
        <v/>
      </c>
      <c r="H147">
        <f t="shared" si="34"/>
        <v>0</v>
      </c>
      <c r="I147">
        <f t="shared" si="35"/>
        <v>0</v>
      </c>
      <c r="J147" s="13">
        <f t="shared" si="36"/>
        <v>65</v>
      </c>
      <c r="K147">
        <f t="shared" si="41"/>
        <v>0</v>
      </c>
      <c r="L147">
        <f t="shared" si="42"/>
        <v>1</v>
      </c>
      <c r="M147" s="13">
        <f t="shared" si="37"/>
        <v>1</v>
      </c>
      <c r="N147">
        <f t="shared" si="37"/>
        <v>4</v>
      </c>
      <c r="O147" s="14">
        <f t="shared" si="43"/>
        <v>64</v>
      </c>
      <c r="P147" s="13">
        <f t="shared" si="47"/>
        <v>1</v>
      </c>
      <c r="Q147">
        <f t="shared" si="38"/>
        <v>4</v>
      </c>
      <c r="R147" s="14">
        <f t="shared" si="39"/>
        <v>64</v>
      </c>
      <c r="S147" s="15"/>
      <c r="W147" s="14"/>
    </row>
    <row r="148" spans="1:23" x14ac:dyDescent="0.25">
      <c r="A148" s="16"/>
      <c r="B148" s="17" t="b">
        <f t="shared" si="48"/>
        <v>0</v>
      </c>
      <c r="C148" s="17" t="b">
        <f t="shared" si="40"/>
        <v>0</v>
      </c>
      <c r="D148" s="17">
        <f t="shared" si="44"/>
        <v>1</v>
      </c>
      <c r="E148" s="17" t="str">
        <f t="shared" si="45"/>
        <v>Section 4 - Create spring-boot starter microservice, containerize it and push to DockerHub</v>
      </c>
      <c r="F148" s="18" t="str">
        <f t="shared" si="46"/>
        <v/>
      </c>
      <c r="G148" s="13" t="str">
        <f t="shared" si="33"/>
        <v/>
      </c>
      <c r="H148">
        <f t="shared" si="34"/>
        <v>0</v>
      </c>
      <c r="I148">
        <f t="shared" si="35"/>
        <v>0</v>
      </c>
      <c r="J148" s="13">
        <f t="shared" si="36"/>
        <v>65</v>
      </c>
      <c r="K148">
        <f t="shared" si="41"/>
        <v>0</v>
      </c>
      <c r="L148">
        <f t="shared" si="42"/>
        <v>1</v>
      </c>
      <c r="M148" s="13">
        <f t="shared" si="37"/>
        <v>1</v>
      </c>
      <c r="N148">
        <f t="shared" si="37"/>
        <v>4</v>
      </c>
      <c r="O148" s="14">
        <f t="shared" si="43"/>
        <v>64</v>
      </c>
      <c r="P148" s="13">
        <f t="shared" si="47"/>
        <v>1</v>
      </c>
      <c r="Q148">
        <f t="shared" si="38"/>
        <v>4</v>
      </c>
      <c r="R148" s="14">
        <f t="shared" si="39"/>
        <v>64</v>
      </c>
      <c r="S148" s="15"/>
      <c r="W148" s="14"/>
    </row>
    <row r="149" spans="1:23" x14ac:dyDescent="0.25">
      <c r="A149" s="16"/>
      <c r="B149" s="17" t="b">
        <f t="shared" si="48"/>
        <v>0</v>
      </c>
      <c r="C149" s="17" t="b">
        <f t="shared" si="40"/>
        <v>0</v>
      </c>
      <c r="D149" s="17">
        <f t="shared" si="44"/>
        <v>1</v>
      </c>
      <c r="E149" s="17" t="str">
        <f t="shared" si="45"/>
        <v>Section 4 - Create spring-boot starter microservice, containerize it and push to DockerHub</v>
      </c>
      <c r="F149" s="18" t="str">
        <f t="shared" si="46"/>
        <v/>
      </c>
      <c r="G149" s="13" t="str">
        <f t="shared" ref="G149:G212" si="49">IF(C149,A150,"")</f>
        <v/>
      </c>
      <c r="H149">
        <f t="shared" ref="H149:H212" si="50">VALUE(IF(NOT(ISERROR(FIND("hr",G149))),LEFT(G149,FIND("hr",G149)-1),0))</f>
        <v>0</v>
      </c>
      <c r="I149">
        <f t="shared" ref="I149:I212" si="51">VALUE(IF(ISERROR(FIND("min",G149)),0,SUBSTITUTE(MID(G149,IF(ISERROR(FIND("hr ",G149)),1,FIND("hr ",G149)+3),LEN(G149)),"min","")))</f>
        <v>0</v>
      </c>
      <c r="J149" s="13">
        <f t="shared" ref="J149:J212" si="52">J148+(H149*60+I149)</f>
        <v>65</v>
      </c>
      <c r="K149">
        <f t="shared" si="41"/>
        <v>0</v>
      </c>
      <c r="L149">
        <f t="shared" si="42"/>
        <v>1</v>
      </c>
      <c r="M149" s="13">
        <f t="shared" ref="M149:N212" si="53">P148</f>
        <v>1</v>
      </c>
      <c r="N149">
        <f t="shared" si="53"/>
        <v>4</v>
      </c>
      <c r="O149" s="14">
        <f t="shared" si="43"/>
        <v>64</v>
      </c>
      <c r="P149" s="13">
        <f t="shared" si="47"/>
        <v>1</v>
      </c>
      <c r="Q149">
        <f t="shared" ref="Q149:Q212" si="54">R149-(P149*60)</f>
        <v>4</v>
      </c>
      <c r="R149" s="14">
        <f t="shared" ref="R149:R212" si="55">((H149*60)+I149)+O149</f>
        <v>64</v>
      </c>
      <c r="S149" s="15"/>
      <c r="W149" s="14"/>
    </row>
    <row r="150" spans="1:23" x14ac:dyDescent="0.25">
      <c r="A150" s="16"/>
      <c r="B150" s="17" t="b">
        <f t="shared" si="48"/>
        <v>0</v>
      </c>
      <c r="C150" s="17" t="b">
        <f t="shared" si="40"/>
        <v>0</v>
      </c>
      <c r="D150" s="17">
        <f t="shared" si="44"/>
        <v>1</v>
      </c>
      <c r="E150" s="17" t="str">
        <f t="shared" si="45"/>
        <v>Section 4 - Create spring-boot starter microservice, containerize it and push to DockerHub</v>
      </c>
      <c r="F150" s="18" t="str">
        <f t="shared" si="46"/>
        <v/>
      </c>
      <c r="G150" s="13" t="str">
        <f t="shared" si="49"/>
        <v/>
      </c>
      <c r="H150">
        <f t="shared" si="50"/>
        <v>0</v>
      </c>
      <c r="I150">
        <f t="shared" si="51"/>
        <v>0</v>
      </c>
      <c r="J150" s="13">
        <f t="shared" si="52"/>
        <v>65</v>
      </c>
      <c r="K150">
        <f t="shared" si="41"/>
        <v>0</v>
      </c>
      <c r="L150">
        <f t="shared" si="42"/>
        <v>1</v>
      </c>
      <c r="M150" s="13">
        <f t="shared" si="53"/>
        <v>1</v>
      </c>
      <c r="N150">
        <f t="shared" si="53"/>
        <v>4</v>
      </c>
      <c r="O150" s="14">
        <f t="shared" si="43"/>
        <v>64</v>
      </c>
      <c r="P150" s="13">
        <f t="shared" si="47"/>
        <v>1</v>
      </c>
      <c r="Q150">
        <f t="shared" si="54"/>
        <v>4</v>
      </c>
      <c r="R150" s="14">
        <f t="shared" si="55"/>
        <v>64</v>
      </c>
      <c r="S150" s="15"/>
      <c r="W150" s="14"/>
    </row>
    <row r="151" spans="1:23" x14ac:dyDescent="0.25">
      <c r="A151" s="16"/>
      <c r="B151" s="17" t="b">
        <f t="shared" si="48"/>
        <v>0</v>
      </c>
      <c r="C151" s="17" t="b">
        <f t="shared" si="40"/>
        <v>0</v>
      </c>
      <c r="D151" s="17">
        <f t="shared" si="44"/>
        <v>1</v>
      </c>
      <c r="E151" s="17" t="str">
        <f t="shared" si="45"/>
        <v>Section 4 - Create spring-boot starter microservice, containerize it and push to DockerHub</v>
      </c>
      <c r="F151" s="18" t="str">
        <f t="shared" si="46"/>
        <v/>
      </c>
      <c r="G151" s="13" t="str">
        <f t="shared" si="49"/>
        <v/>
      </c>
      <c r="H151">
        <f t="shared" si="50"/>
        <v>0</v>
      </c>
      <c r="I151">
        <f t="shared" si="51"/>
        <v>0</v>
      </c>
      <c r="J151" s="13">
        <f t="shared" si="52"/>
        <v>65</v>
      </c>
      <c r="K151">
        <f t="shared" si="41"/>
        <v>0</v>
      </c>
      <c r="L151">
        <f t="shared" si="42"/>
        <v>1</v>
      </c>
      <c r="M151" s="13">
        <f t="shared" si="53"/>
        <v>1</v>
      </c>
      <c r="N151">
        <f t="shared" si="53"/>
        <v>4</v>
      </c>
      <c r="O151" s="14">
        <f t="shared" si="43"/>
        <v>64</v>
      </c>
      <c r="P151" s="13">
        <f t="shared" si="47"/>
        <v>1</v>
      </c>
      <c r="Q151">
        <f t="shared" si="54"/>
        <v>4</v>
      </c>
      <c r="R151" s="14">
        <f t="shared" si="55"/>
        <v>64</v>
      </c>
      <c r="S151" s="15"/>
      <c r="W151" s="14"/>
    </row>
    <row r="152" spans="1:23" x14ac:dyDescent="0.25">
      <c r="A152" s="16"/>
      <c r="B152" s="17" t="b">
        <f t="shared" si="48"/>
        <v>0</v>
      </c>
      <c r="C152" s="17" t="b">
        <f t="shared" si="40"/>
        <v>0</v>
      </c>
      <c r="D152" s="17">
        <f t="shared" si="44"/>
        <v>1</v>
      </c>
      <c r="E152" s="17" t="str">
        <f t="shared" si="45"/>
        <v>Section 4 - Create spring-boot starter microservice, containerize it and push to DockerHub</v>
      </c>
      <c r="F152" s="18" t="str">
        <f t="shared" si="46"/>
        <v/>
      </c>
      <c r="G152" s="13" t="str">
        <f t="shared" si="49"/>
        <v/>
      </c>
      <c r="H152">
        <f t="shared" si="50"/>
        <v>0</v>
      </c>
      <c r="I152">
        <f t="shared" si="51"/>
        <v>0</v>
      </c>
      <c r="J152" s="13">
        <f t="shared" si="52"/>
        <v>65</v>
      </c>
      <c r="K152">
        <f t="shared" si="41"/>
        <v>0</v>
      </c>
      <c r="L152">
        <f t="shared" si="42"/>
        <v>1</v>
      </c>
      <c r="M152" s="13">
        <f t="shared" si="53"/>
        <v>1</v>
      </c>
      <c r="N152">
        <f t="shared" si="53"/>
        <v>4</v>
      </c>
      <c r="O152" s="14">
        <f t="shared" si="43"/>
        <v>64</v>
      </c>
      <c r="P152" s="13">
        <f t="shared" si="47"/>
        <v>1</v>
      </c>
      <c r="Q152">
        <f t="shared" si="54"/>
        <v>4</v>
      </c>
      <c r="R152" s="14">
        <f t="shared" si="55"/>
        <v>64</v>
      </c>
      <c r="S152" s="15"/>
      <c r="W152" s="14"/>
    </row>
    <row r="153" spans="1:23" x14ac:dyDescent="0.25">
      <c r="A153" s="16"/>
      <c r="B153" s="17" t="b">
        <f t="shared" si="48"/>
        <v>0</v>
      </c>
      <c r="C153" s="17" t="b">
        <f t="shared" si="40"/>
        <v>0</v>
      </c>
      <c r="D153" s="17">
        <f t="shared" si="44"/>
        <v>1</v>
      </c>
      <c r="E153" s="17" t="str">
        <f t="shared" si="45"/>
        <v>Section 4 - Create spring-boot starter microservice, containerize it and push to DockerHub</v>
      </c>
      <c r="F153" s="18" t="str">
        <f t="shared" si="46"/>
        <v/>
      </c>
      <c r="G153" s="13" t="str">
        <f t="shared" si="49"/>
        <v/>
      </c>
      <c r="H153">
        <f t="shared" si="50"/>
        <v>0</v>
      </c>
      <c r="I153">
        <f t="shared" si="51"/>
        <v>0</v>
      </c>
      <c r="J153" s="13">
        <f t="shared" si="52"/>
        <v>65</v>
      </c>
      <c r="K153">
        <f t="shared" si="41"/>
        <v>0</v>
      </c>
      <c r="L153">
        <f t="shared" si="42"/>
        <v>1</v>
      </c>
      <c r="M153" s="13">
        <f t="shared" si="53"/>
        <v>1</v>
      </c>
      <c r="N153">
        <f t="shared" si="53"/>
        <v>4</v>
      </c>
      <c r="O153" s="14">
        <f t="shared" si="43"/>
        <v>64</v>
      </c>
      <c r="P153" s="13">
        <f t="shared" si="47"/>
        <v>1</v>
      </c>
      <c r="Q153">
        <f t="shared" si="54"/>
        <v>4</v>
      </c>
      <c r="R153" s="14">
        <f t="shared" si="55"/>
        <v>64</v>
      </c>
      <c r="S153" s="15"/>
      <c r="W153" s="14"/>
    </row>
    <row r="154" spans="1:23" x14ac:dyDescent="0.25">
      <c r="A154" s="16"/>
      <c r="B154" s="17" t="b">
        <f t="shared" si="48"/>
        <v>0</v>
      </c>
      <c r="C154" s="17" t="b">
        <f t="shared" si="40"/>
        <v>0</v>
      </c>
      <c r="D154" s="17">
        <f t="shared" si="44"/>
        <v>1</v>
      </c>
      <c r="E154" s="17" t="str">
        <f t="shared" si="45"/>
        <v>Section 4 - Create spring-boot starter microservice, containerize it and push to DockerHub</v>
      </c>
      <c r="F154" s="18" t="str">
        <f t="shared" si="46"/>
        <v/>
      </c>
      <c r="G154" s="13" t="str">
        <f t="shared" si="49"/>
        <v/>
      </c>
      <c r="H154">
        <f t="shared" si="50"/>
        <v>0</v>
      </c>
      <c r="I154">
        <f t="shared" si="51"/>
        <v>0</v>
      </c>
      <c r="J154" s="13">
        <f t="shared" si="52"/>
        <v>65</v>
      </c>
      <c r="K154">
        <f t="shared" si="41"/>
        <v>0</v>
      </c>
      <c r="L154">
        <f t="shared" si="42"/>
        <v>1</v>
      </c>
      <c r="M154" s="13">
        <f t="shared" si="53"/>
        <v>1</v>
      </c>
      <c r="N154">
        <f t="shared" si="53"/>
        <v>4</v>
      </c>
      <c r="O154" s="14">
        <f t="shared" si="43"/>
        <v>64</v>
      </c>
      <c r="P154" s="13">
        <f t="shared" si="47"/>
        <v>1</v>
      </c>
      <c r="Q154">
        <f t="shared" si="54"/>
        <v>4</v>
      </c>
      <c r="R154" s="14">
        <f t="shared" si="55"/>
        <v>64</v>
      </c>
      <c r="S154" s="15"/>
      <c r="W154" s="14"/>
    </row>
    <row r="155" spans="1:23" x14ac:dyDescent="0.25">
      <c r="A155" s="16"/>
      <c r="B155" s="17" t="b">
        <f t="shared" si="48"/>
        <v>0</v>
      </c>
      <c r="C155" s="17" t="b">
        <f t="shared" si="40"/>
        <v>0</v>
      </c>
      <c r="D155" s="17">
        <f t="shared" si="44"/>
        <v>1</v>
      </c>
      <c r="E155" s="17" t="str">
        <f t="shared" si="45"/>
        <v>Section 4 - Create spring-boot starter microservice, containerize it and push to DockerHub</v>
      </c>
      <c r="F155" s="18" t="str">
        <f t="shared" si="46"/>
        <v/>
      </c>
      <c r="G155" s="13" t="str">
        <f t="shared" si="49"/>
        <v/>
      </c>
      <c r="H155">
        <f t="shared" si="50"/>
        <v>0</v>
      </c>
      <c r="I155">
        <f t="shared" si="51"/>
        <v>0</v>
      </c>
      <c r="J155" s="13">
        <f t="shared" si="52"/>
        <v>65</v>
      </c>
      <c r="K155">
        <f t="shared" si="41"/>
        <v>0</v>
      </c>
      <c r="L155">
        <f t="shared" si="42"/>
        <v>1</v>
      </c>
      <c r="M155" s="13">
        <f t="shared" si="53"/>
        <v>1</v>
      </c>
      <c r="N155">
        <f t="shared" si="53"/>
        <v>4</v>
      </c>
      <c r="O155" s="14">
        <f t="shared" si="43"/>
        <v>64</v>
      </c>
      <c r="P155" s="13">
        <f t="shared" si="47"/>
        <v>1</v>
      </c>
      <c r="Q155">
        <f t="shared" si="54"/>
        <v>4</v>
      </c>
      <c r="R155" s="14">
        <f t="shared" si="55"/>
        <v>64</v>
      </c>
      <c r="S155" s="15"/>
      <c r="W155" s="14"/>
    </row>
    <row r="156" spans="1:23" x14ac:dyDescent="0.25">
      <c r="A156" s="16"/>
      <c r="B156" s="17" t="b">
        <f t="shared" si="48"/>
        <v>0</v>
      </c>
      <c r="C156" s="17" t="b">
        <f t="shared" si="40"/>
        <v>0</v>
      </c>
      <c r="D156" s="17">
        <f t="shared" si="44"/>
        <v>1</v>
      </c>
      <c r="E156" s="17" t="str">
        <f t="shared" si="45"/>
        <v>Section 4 - Create spring-boot starter microservice, containerize it and push to DockerHub</v>
      </c>
      <c r="F156" s="18" t="str">
        <f t="shared" si="46"/>
        <v/>
      </c>
      <c r="G156" s="13" t="str">
        <f t="shared" si="49"/>
        <v/>
      </c>
      <c r="H156">
        <f t="shared" si="50"/>
        <v>0</v>
      </c>
      <c r="I156">
        <f t="shared" si="51"/>
        <v>0</v>
      </c>
      <c r="J156" s="13">
        <f t="shared" si="52"/>
        <v>65</v>
      </c>
      <c r="K156">
        <f t="shared" si="41"/>
        <v>0</v>
      </c>
      <c r="L156">
        <f t="shared" si="42"/>
        <v>1</v>
      </c>
      <c r="M156" s="13">
        <f t="shared" si="53"/>
        <v>1</v>
      </c>
      <c r="N156">
        <f t="shared" si="53"/>
        <v>4</v>
      </c>
      <c r="O156" s="14">
        <f t="shared" si="43"/>
        <v>64</v>
      </c>
      <c r="P156" s="13">
        <f t="shared" si="47"/>
        <v>1</v>
      </c>
      <c r="Q156">
        <f t="shared" si="54"/>
        <v>4</v>
      </c>
      <c r="R156" s="14">
        <f t="shared" si="55"/>
        <v>64</v>
      </c>
      <c r="S156" s="15"/>
      <c r="W156" s="14"/>
    </row>
    <row r="157" spans="1:23" x14ac:dyDescent="0.25">
      <c r="A157" s="16"/>
      <c r="B157" s="17" t="b">
        <f t="shared" si="48"/>
        <v>0</v>
      </c>
      <c r="C157" s="17" t="b">
        <f t="shared" si="40"/>
        <v>0</v>
      </c>
      <c r="D157" s="17">
        <f t="shared" si="44"/>
        <v>1</v>
      </c>
      <c r="E157" s="17" t="str">
        <f t="shared" si="45"/>
        <v>Section 4 - Create spring-boot starter microservice, containerize it and push to DockerHub</v>
      </c>
      <c r="F157" s="18" t="str">
        <f t="shared" si="46"/>
        <v/>
      </c>
      <c r="G157" s="13" t="str">
        <f t="shared" si="49"/>
        <v/>
      </c>
      <c r="H157">
        <f t="shared" si="50"/>
        <v>0</v>
      </c>
      <c r="I157">
        <f t="shared" si="51"/>
        <v>0</v>
      </c>
      <c r="J157" s="13">
        <f t="shared" si="52"/>
        <v>65</v>
      </c>
      <c r="K157">
        <f t="shared" si="41"/>
        <v>0</v>
      </c>
      <c r="L157">
        <f t="shared" si="42"/>
        <v>1</v>
      </c>
      <c r="M157" s="13">
        <f t="shared" si="53"/>
        <v>1</v>
      </c>
      <c r="N157">
        <f t="shared" si="53"/>
        <v>4</v>
      </c>
      <c r="O157" s="14">
        <f t="shared" si="43"/>
        <v>64</v>
      </c>
      <c r="P157" s="13">
        <f t="shared" si="47"/>
        <v>1</v>
      </c>
      <c r="Q157">
        <f t="shared" si="54"/>
        <v>4</v>
      </c>
      <c r="R157" s="14">
        <f t="shared" si="55"/>
        <v>64</v>
      </c>
      <c r="S157" s="15"/>
      <c r="W157" s="14"/>
    </row>
    <row r="158" spans="1:23" x14ac:dyDescent="0.25">
      <c r="A158" s="16"/>
      <c r="B158" s="17" t="b">
        <f t="shared" si="48"/>
        <v>0</v>
      </c>
      <c r="C158" s="17" t="b">
        <f t="shared" si="40"/>
        <v>0</v>
      </c>
      <c r="D158" s="17">
        <f t="shared" si="44"/>
        <v>1</v>
      </c>
      <c r="E158" s="17" t="str">
        <f t="shared" si="45"/>
        <v>Section 4 - Create spring-boot starter microservice, containerize it and push to DockerHub</v>
      </c>
      <c r="F158" s="18" t="str">
        <f t="shared" si="46"/>
        <v/>
      </c>
      <c r="G158" s="13" t="str">
        <f t="shared" si="49"/>
        <v/>
      </c>
      <c r="H158">
        <f t="shared" si="50"/>
        <v>0</v>
      </c>
      <c r="I158">
        <f t="shared" si="51"/>
        <v>0</v>
      </c>
      <c r="J158" s="13">
        <f t="shared" si="52"/>
        <v>65</v>
      </c>
      <c r="K158">
        <f t="shared" si="41"/>
        <v>0</v>
      </c>
      <c r="L158">
        <f t="shared" si="42"/>
        <v>1</v>
      </c>
      <c r="M158" s="13">
        <f t="shared" si="53"/>
        <v>1</v>
      </c>
      <c r="N158">
        <f t="shared" si="53"/>
        <v>4</v>
      </c>
      <c r="O158" s="14">
        <f t="shared" si="43"/>
        <v>64</v>
      </c>
      <c r="P158" s="13">
        <f t="shared" si="47"/>
        <v>1</v>
      </c>
      <c r="Q158">
        <f t="shared" si="54"/>
        <v>4</v>
      </c>
      <c r="R158" s="14">
        <f t="shared" si="55"/>
        <v>64</v>
      </c>
      <c r="S158" s="15"/>
      <c r="W158" s="14"/>
    </row>
    <row r="159" spans="1:23" x14ac:dyDescent="0.25">
      <c r="A159" s="16"/>
      <c r="B159" s="17" t="b">
        <f t="shared" si="48"/>
        <v>0</v>
      </c>
      <c r="C159" s="17" t="b">
        <f t="shared" si="40"/>
        <v>0</v>
      </c>
      <c r="D159" s="17">
        <f t="shared" si="44"/>
        <v>1</v>
      </c>
      <c r="E159" s="17" t="str">
        <f t="shared" si="45"/>
        <v>Section 4 - Create spring-boot starter microservice, containerize it and push to DockerHub</v>
      </c>
      <c r="F159" s="18" t="str">
        <f t="shared" si="46"/>
        <v/>
      </c>
      <c r="G159" s="13" t="str">
        <f t="shared" si="49"/>
        <v/>
      </c>
      <c r="H159">
        <f t="shared" si="50"/>
        <v>0</v>
      </c>
      <c r="I159">
        <f t="shared" si="51"/>
        <v>0</v>
      </c>
      <c r="J159" s="13">
        <f t="shared" si="52"/>
        <v>65</v>
      </c>
      <c r="K159">
        <f t="shared" si="41"/>
        <v>0</v>
      </c>
      <c r="L159">
        <f t="shared" si="42"/>
        <v>1</v>
      </c>
      <c r="M159" s="13">
        <f t="shared" si="53"/>
        <v>1</v>
      </c>
      <c r="N159">
        <f t="shared" si="53"/>
        <v>4</v>
      </c>
      <c r="O159" s="14">
        <f t="shared" si="43"/>
        <v>64</v>
      </c>
      <c r="P159" s="13">
        <f t="shared" si="47"/>
        <v>1</v>
      </c>
      <c r="Q159">
        <f t="shared" si="54"/>
        <v>4</v>
      </c>
      <c r="R159" s="14">
        <f t="shared" si="55"/>
        <v>64</v>
      </c>
      <c r="S159" s="15"/>
      <c r="W159" s="14"/>
    </row>
    <row r="160" spans="1:23" x14ac:dyDescent="0.25">
      <c r="A160" s="16"/>
      <c r="B160" s="17" t="b">
        <f t="shared" si="48"/>
        <v>0</v>
      </c>
      <c r="C160" s="17" t="b">
        <f t="shared" si="40"/>
        <v>0</v>
      </c>
      <c r="D160" s="17">
        <f t="shared" si="44"/>
        <v>1</v>
      </c>
      <c r="E160" s="17" t="str">
        <f t="shared" si="45"/>
        <v>Section 4 - Create spring-boot starter microservice, containerize it and push to DockerHub</v>
      </c>
      <c r="F160" s="18" t="str">
        <f t="shared" si="46"/>
        <v/>
      </c>
      <c r="G160" s="13" t="str">
        <f t="shared" si="49"/>
        <v/>
      </c>
      <c r="H160">
        <f t="shared" si="50"/>
        <v>0</v>
      </c>
      <c r="I160">
        <f t="shared" si="51"/>
        <v>0</v>
      </c>
      <c r="J160" s="13">
        <f t="shared" si="52"/>
        <v>65</v>
      </c>
      <c r="K160">
        <f t="shared" si="41"/>
        <v>0</v>
      </c>
      <c r="L160">
        <f t="shared" si="42"/>
        <v>1</v>
      </c>
      <c r="M160" s="13">
        <f t="shared" si="53"/>
        <v>1</v>
      </c>
      <c r="N160">
        <f t="shared" si="53"/>
        <v>4</v>
      </c>
      <c r="O160" s="14">
        <f t="shared" si="43"/>
        <v>64</v>
      </c>
      <c r="P160" s="13">
        <f t="shared" si="47"/>
        <v>1</v>
      </c>
      <c r="Q160">
        <f t="shared" si="54"/>
        <v>4</v>
      </c>
      <c r="R160" s="14">
        <f t="shared" si="55"/>
        <v>64</v>
      </c>
      <c r="S160" s="15"/>
      <c r="W160" s="14"/>
    </row>
    <row r="161" spans="1:23" x14ac:dyDescent="0.25">
      <c r="A161" s="16"/>
      <c r="B161" s="17" t="b">
        <f t="shared" si="48"/>
        <v>0</v>
      </c>
      <c r="C161" s="17" t="b">
        <f t="shared" si="40"/>
        <v>0</v>
      </c>
      <c r="D161" s="17">
        <f t="shared" si="44"/>
        <v>1</v>
      </c>
      <c r="E161" s="17" t="str">
        <f t="shared" si="45"/>
        <v>Section 4 - Create spring-boot starter microservice, containerize it and push to DockerHub</v>
      </c>
      <c r="F161" s="18" t="str">
        <f t="shared" si="46"/>
        <v/>
      </c>
      <c r="G161" s="13" t="str">
        <f t="shared" si="49"/>
        <v/>
      </c>
      <c r="H161">
        <f t="shared" si="50"/>
        <v>0</v>
      </c>
      <c r="I161">
        <f t="shared" si="51"/>
        <v>0</v>
      </c>
      <c r="J161" s="13">
        <f t="shared" si="52"/>
        <v>65</v>
      </c>
      <c r="K161">
        <f t="shared" si="41"/>
        <v>0</v>
      </c>
      <c r="L161">
        <f t="shared" si="42"/>
        <v>1</v>
      </c>
      <c r="M161" s="13">
        <f t="shared" si="53"/>
        <v>1</v>
      </c>
      <c r="N161">
        <f t="shared" si="53"/>
        <v>4</v>
      </c>
      <c r="O161" s="14">
        <f t="shared" si="43"/>
        <v>64</v>
      </c>
      <c r="P161" s="13">
        <f t="shared" si="47"/>
        <v>1</v>
      </c>
      <c r="Q161">
        <f t="shared" si="54"/>
        <v>4</v>
      </c>
      <c r="R161" s="14">
        <f t="shared" si="55"/>
        <v>64</v>
      </c>
      <c r="S161" s="15"/>
      <c r="W161" s="14"/>
    </row>
    <row r="162" spans="1:23" x14ac:dyDescent="0.25">
      <c r="A162" s="16"/>
      <c r="B162" s="17" t="b">
        <f t="shared" si="48"/>
        <v>0</v>
      </c>
      <c r="C162" s="17" t="b">
        <f t="shared" si="40"/>
        <v>0</v>
      </c>
      <c r="D162" s="17">
        <f t="shared" si="44"/>
        <v>1</v>
      </c>
      <c r="E162" s="17" t="str">
        <f t="shared" si="45"/>
        <v>Section 4 - Create spring-boot starter microservice, containerize it and push to DockerHub</v>
      </c>
      <c r="F162" s="18" t="str">
        <f t="shared" si="46"/>
        <v/>
      </c>
      <c r="G162" s="13" t="str">
        <f t="shared" si="49"/>
        <v/>
      </c>
      <c r="H162">
        <f t="shared" si="50"/>
        <v>0</v>
      </c>
      <c r="I162">
        <f t="shared" si="51"/>
        <v>0</v>
      </c>
      <c r="J162" s="13">
        <f t="shared" si="52"/>
        <v>65</v>
      </c>
      <c r="K162">
        <f t="shared" si="41"/>
        <v>0</v>
      </c>
      <c r="L162">
        <f t="shared" si="42"/>
        <v>1</v>
      </c>
      <c r="M162" s="13">
        <f t="shared" si="53"/>
        <v>1</v>
      </c>
      <c r="N162">
        <f t="shared" si="53"/>
        <v>4</v>
      </c>
      <c r="O162" s="14">
        <f t="shared" si="43"/>
        <v>64</v>
      </c>
      <c r="P162" s="13">
        <f t="shared" si="47"/>
        <v>1</v>
      </c>
      <c r="Q162">
        <f t="shared" si="54"/>
        <v>4</v>
      </c>
      <c r="R162" s="14">
        <f t="shared" si="55"/>
        <v>64</v>
      </c>
      <c r="S162" s="15"/>
      <c r="W162" s="14"/>
    </row>
    <row r="163" spans="1:23" x14ac:dyDescent="0.25">
      <c r="A163" s="16"/>
      <c r="B163" s="17" t="b">
        <f t="shared" si="48"/>
        <v>0</v>
      </c>
      <c r="C163" s="17" t="b">
        <f t="shared" si="40"/>
        <v>0</v>
      </c>
      <c r="D163" s="17">
        <f t="shared" si="44"/>
        <v>1</v>
      </c>
      <c r="E163" s="17" t="str">
        <f t="shared" si="45"/>
        <v>Section 4 - Create spring-boot starter microservice, containerize it and push to DockerHub</v>
      </c>
      <c r="F163" s="18" t="str">
        <f t="shared" si="46"/>
        <v/>
      </c>
      <c r="G163" s="13" t="str">
        <f t="shared" si="49"/>
        <v/>
      </c>
      <c r="H163">
        <f t="shared" si="50"/>
        <v>0</v>
      </c>
      <c r="I163">
        <f t="shared" si="51"/>
        <v>0</v>
      </c>
      <c r="J163" s="13">
        <f t="shared" si="52"/>
        <v>65</v>
      </c>
      <c r="K163">
        <f t="shared" si="41"/>
        <v>0</v>
      </c>
      <c r="L163">
        <f t="shared" si="42"/>
        <v>1</v>
      </c>
      <c r="M163" s="13">
        <f t="shared" si="53"/>
        <v>1</v>
      </c>
      <c r="N163">
        <f t="shared" si="53"/>
        <v>4</v>
      </c>
      <c r="O163" s="14">
        <f t="shared" si="43"/>
        <v>64</v>
      </c>
      <c r="P163" s="13">
        <f t="shared" si="47"/>
        <v>1</v>
      </c>
      <c r="Q163">
        <f t="shared" si="54"/>
        <v>4</v>
      </c>
      <c r="R163" s="14">
        <f t="shared" si="55"/>
        <v>64</v>
      </c>
      <c r="S163" s="15"/>
      <c r="W163" s="14"/>
    </row>
    <row r="164" spans="1:23" x14ac:dyDescent="0.25">
      <c r="A164" s="16"/>
      <c r="B164" s="17" t="b">
        <f t="shared" si="48"/>
        <v>0</v>
      </c>
      <c r="C164" s="17" t="b">
        <f t="shared" si="40"/>
        <v>0</v>
      </c>
      <c r="D164" s="17">
        <f t="shared" si="44"/>
        <v>1</v>
      </c>
      <c r="E164" s="17" t="str">
        <f t="shared" si="45"/>
        <v>Section 4 - Create spring-boot starter microservice, containerize it and push to DockerHub</v>
      </c>
      <c r="F164" s="18" t="str">
        <f t="shared" si="46"/>
        <v/>
      </c>
      <c r="G164" s="13" t="str">
        <f t="shared" si="49"/>
        <v/>
      </c>
      <c r="H164">
        <f t="shared" si="50"/>
        <v>0</v>
      </c>
      <c r="I164">
        <f t="shared" si="51"/>
        <v>0</v>
      </c>
      <c r="J164" s="13">
        <f t="shared" si="52"/>
        <v>65</v>
      </c>
      <c r="K164">
        <f t="shared" si="41"/>
        <v>0</v>
      </c>
      <c r="L164">
        <f t="shared" si="42"/>
        <v>1</v>
      </c>
      <c r="M164" s="13">
        <f t="shared" si="53"/>
        <v>1</v>
      </c>
      <c r="N164">
        <f t="shared" si="53"/>
        <v>4</v>
      </c>
      <c r="O164" s="14">
        <f t="shared" si="43"/>
        <v>64</v>
      </c>
      <c r="P164" s="13">
        <f t="shared" si="47"/>
        <v>1</v>
      </c>
      <c r="Q164">
        <f t="shared" si="54"/>
        <v>4</v>
      </c>
      <c r="R164" s="14">
        <f t="shared" si="55"/>
        <v>64</v>
      </c>
      <c r="S164" s="15"/>
      <c r="W164" s="14"/>
    </row>
    <row r="165" spans="1:23" x14ac:dyDescent="0.25">
      <c r="A165" s="16"/>
      <c r="B165" s="17" t="b">
        <f t="shared" si="48"/>
        <v>0</v>
      </c>
      <c r="C165" s="17" t="b">
        <f t="shared" si="40"/>
        <v>0</v>
      </c>
      <c r="D165" s="17">
        <f t="shared" si="44"/>
        <v>1</v>
      </c>
      <c r="E165" s="17" t="str">
        <f t="shared" si="45"/>
        <v>Section 4 - Create spring-boot starter microservice, containerize it and push to DockerHub</v>
      </c>
      <c r="F165" s="18" t="str">
        <f t="shared" si="46"/>
        <v/>
      </c>
      <c r="G165" s="13" t="str">
        <f t="shared" si="49"/>
        <v/>
      </c>
      <c r="H165">
        <f t="shared" si="50"/>
        <v>0</v>
      </c>
      <c r="I165">
        <f t="shared" si="51"/>
        <v>0</v>
      </c>
      <c r="J165" s="13">
        <f t="shared" si="52"/>
        <v>65</v>
      </c>
      <c r="K165">
        <f t="shared" si="41"/>
        <v>0</v>
      </c>
      <c r="L165">
        <f t="shared" si="42"/>
        <v>1</v>
      </c>
      <c r="M165" s="13">
        <f t="shared" si="53"/>
        <v>1</v>
      </c>
      <c r="N165">
        <f t="shared" si="53"/>
        <v>4</v>
      </c>
      <c r="O165" s="14">
        <f t="shared" si="43"/>
        <v>64</v>
      </c>
      <c r="P165" s="13">
        <f t="shared" si="47"/>
        <v>1</v>
      </c>
      <c r="Q165">
        <f t="shared" si="54"/>
        <v>4</v>
      </c>
      <c r="R165" s="14">
        <f t="shared" si="55"/>
        <v>64</v>
      </c>
      <c r="S165" s="15"/>
      <c r="W165" s="14"/>
    </row>
    <row r="166" spans="1:23" x14ac:dyDescent="0.25">
      <c r="A166" s="16"/>
      <c r="B166" s="17" t="b">
        <f t="shared" si="48"/>
        <v>0</v>
      </c>
      <c r="C166" s="17" t="b">
        <f t="shared" si="40"/>
        <v>0</v>
      </c>
      <c r="D166" s="17">
        <f t="shared" si="44"/>
        <v>1</v>
      </c>
      <c r="E166" s="17" t="str">
        <f t="shared" si="45"/>
        <v>Section 4 - Create spring-boot starter microservice, containerize it and push to DockerHub</v>
      </c>
      <c r="F166" s="18" t="str">
        <f t="shared" si="46"/>
        <v/>
      </c>
      <c r="G166" s="13" t="str">
        <f t="shared" si="49"/>
        <v/>
      </c>
      <c r="H166">
        <f t="shared" si="50"/>
        <v>0</v>
      </c>
      <c r="I166">
        <f t="shared" si="51"/>
        <v>0</v>
      </c>
      <c r="J166" s="13">
        <f t="shared" si="52"/>
        <v>65</v>
      </c>
      <c r="K166">
        <f t="shared" si="41"/>
        <v>0</v>
      </c>
      <c r="L166">
        <f t="shared" si="42"/>
        <v>1</v>
      </c>
      <c r="M166" s="13">
        <f t="shared" si="53"/>
        <v>1</v>
      </c>
      <c r="N166">
        <f t="shared" si="53"/>
        <v>4</v>
      </c>
      <c r="O166" s="14">
        <f t="shared" si="43"/>
        <v>64</v>
      </c>
      <c r="P166" s="13">
        <f t="shared" si="47"/>
        <v>1</v>
      </c>
      <c r="Q166">
        <f t="shared" si="54"/>
        <v>4</v>
      </c>
      <c r="R166" s="14">
        <f t="shared" si="55"/>
        <v>64</v>
      </c>
      <c r="S166" s="15"/>
      <c r="W166" s="14"/>
    </row>
    <row r="167" spans="1:23" x14ac:dyDescent="0.25">
      <c r="A167" s="16"/>
      <c r="B167" s="17" t="b">
        <f t="shared" si="48"/>
        <v>0</v>
      </c>
      <c r="C167" s="17" t="b">
        <f t="shared" si="40"/>
        <v>0</v>
      </c>
      <c r="D167" s="17">
        <f t="shared" si="44"/>
        <v>1</v>
      </c>
      <c r="E167" s="17" t="str">
        <f t="shared" si="45"/>
        <v>Section 4 - Create spring-boot starter microservice, containerize it and push to DockerHub</v>
      </c>
      <c r="F167" s="18" t="str">
        <f t="shared" si="46"/>
        <v/>
      </c>
      <c r="G167" s="13" t="str">
        <f t="shared" si="49"/>
        <v/>
      </c>
      <c r="H167">
        <f t="shared" si="50"/>
        <v>0</v>
      </c>
      <c r="I167">
        <f t="shared" si="51"/>
        <v>0</v>
      </c>
      <c r="J167" s="13">
        <f t="shared" si="52"/>
        <v>65</v>
      </c>
      <c r="K167">
        <f t="shared" si="41"/>
        <v>0</v>
      </c>
      <c r="L167">
        <f t="shared" si="42"/>
        <v>1</v>
      </c>
      <c r="M167" s="13">
        <f t="shared" si="53"/>
        <v>1</v>
      </c>
      <c r="N167">
        <f t="shared" si="53"/>
        <v>4</v>
      </c>
      <c r="O167" s="14">
        <f t="shared" si="43"/>
        <v>64</v>
      </c>
      <c r="P167" s="13">
        <f t="shared" si="47"/>
        <v>1</v>
      </c>
      <c r="Q167">
        <f t="shared" si="54"/>
        <v>4</v>
      </c>
      <c r="R167" s="14">
        <f t="shared" si="55"/>
        <v>64</v>
      </c>
      <c r="S167" s="15"/>
      <c r="W167" s="14"/>
    </row>
    <row r="168" spans="1:23" x14ac:dyDescent="0.25">
      <c r="A168" s="16"/>
      <c r="B168" s="17" t="b">
        <f t="shared" si="48"/>
        <v>0</v>
      </c>
      <c r="C168" s="17" t="b">
        <f t="shared" si="40"/>
        <v>0</v>
      </c>
      <c r="D168" s="17">
        <f t="shared" si="44"/>
        <v>1</v>
      </c>
      <c r="E168" s="17" t="str">
        <f t="shared" si="45"/>
        <v>Section 4 - Create spring-boot starter microservice, containerize it and push to DockerHub</v>
      </c>
      <c r="F168" s="18" t="str">
        <f t="shared" si="46"/>
        <v/>
      </c>
      <c r="G168" s="13" t="str">
        <f t="shared" si="49"/>
        <v/>
      </c>
      <c r="H168">
        <f t="shared" si="50"/>
        <v>0</v>
      </c>
      <c r="I168">
        <f t="shared" si="51"/>
        <v>0</v>
      </c>
      <c r="J168" s="13">
        <f t="shared" si="52"/>
        <v>65</v>
      </c>
      <c r="K168">
        <f t="shared" si="41"/>
        <v>0</v>
      </c>
      <c r="L168">
        <f t="shared" si="42"/>
        <v>1</v>
      </c>
      <c r="M168" s="13">
        <f t="shared" si="53"/>
        <v>1</v>
      </c>
      <c r="N168">
        <f t="shared" si="53"/>
        <v>4</v>
      </c>
      <c r="O168" s="14">
        <f t="shared" si="43"/>
        <v>64</v>
      </c>
      <c r="P168" s="13">
        <f t="shared" si="47"/>
        <v>1</v>
      </c>
      <c r="Q168">
        <f t="shared" si="54"/>
        <v>4</v>
      </c>
      <c r="R168" s="14">
        <f t="shared" si="55"/>
        <v>64</v>
      </c>
      <c r="S168" s="15"/>
      <c r="W168" s="14"/>
    </row>
    <row r="169" spans="1:23" x14ac:dyDescent="0.25">
      <c r="A169" s="16"/>
      <c r="B169" s="17" t="b">
        <f t="shared" si="48"/>
        <v>0</v>
      </c>
      <c r="C169" s="17" t="b">
        <f t="shared" si="40"/>
        <v>0</v>
      </c>
      <c r="D169" s="17">
        <f t="shared" si="44"/>
        <v>1</v>
      </c>
      <c r="E169" s="17" t="str">
        <f t="shared" si="45"/>
        <v>Section 4 - Create spring-boot starter microservice, containerize it and push to DockerHub</v>
      </c>
      <c r="F169" s="18" t="str">
        <f t="shared" si="46"/>
        <v/>
      </c>
      <c r="G169" s="13" t="str">
        <f t="shared" si="49"/>
        <v/>
      </c>
      <c r="H169">
        <f t="shared" si="50"/>
        <v>0</v>
      </c>
      <c r="I169">
        <f t="shared" si="51"/>
        <v>0</v>
      </c>
      <c r="J169" s="13">
        <f t="shared" si="52"/>
        <v>65</v>
      </c>
      <c r="K169">
        <f t="shared" si="41"/>
        <v>0</v>
      </c>
      <c r="L169">
        <f t="shared" si="42"/>
        <v>1</v>
      </c>
      <c r="M169" s="13">
        <f t="shared" si="53"/>
        <v>1</v>
      </c>
      <c r="N169">
        <f t="shared" si="53"/>
        <v>4</v>
      </c>
      <c r="O169" s="14">
        <f t="shared" si="43"/>
        <v>64</v>
      </c>
      <c r="P169" s="13">
        <f t="shared" si="47"/>
        <v>1</v>
      </c>
      <c r="Q169">
        <f t="shared" si="54"/>
        <v>4</v>
      </c>
      <c r="R169" s="14">
        <f t="shared" si="55"/>
        <v>64</v>
      </c>
      <c r="S169" s="15"/>
      <c r="W169" s="14"/>
    </row>
    <row r="170" spans="1:23" x14ac:dyDescent="0.25">
      <c r="A170" s="16"/>
      <c r="B170" s="17" t="b">
        <f t="shared" si="48"/>
        <v>0</v>
      </c>
      <c r="C170" s="17" t="b">
        <f t="shared" si="40"/>
        <v>0</v>
      </c>
      <c r="D170" s="17">
        <f t="shared" si="44"/>
        <v>1</v>
      </c>
      <c r="E170" s="17" t="str">
        <f t="shared" si="45"/>
        <v>Section 4 - Create spring-boot starter microservice, containerize it and push to DockerHub</v>
      </c>
      <c r="F170" s="18" t="str">
        <f t="shared" si="46"/>
        <v/>
      </c>
      <c r="G170" s="13" t="str">
        <f t="shared" si="49"/>
        <v/>
      </c>
      <c r="H170">
        <f t="shared" si="50"/>
        <v>0</v>
      </c>
      <c r="I170">
        <f t="shared" si="51"/>
        <v>0</v>
      </c>
      <c r="J170" s="13">
        <f t="shared" si="52"/>
        <v>65</v>
      </c>
      <c r="K170">
        <f t="shared" si="41"/>
        <v>0</v>
      </c>
      <c r="L170">
        <f t="shared" si="42"/>
        <v>1</v>
      </c>
      <c r="M170" s="13">
        <f t="shared" si="53"/>
        <v>1</v>
      </c>
      <c r="N170">
        <f t="shared" si="53"/>
        <v>4</v>
      </c>
      <c r="O170" s="14">
        <f t="shared" si="43"/>
        <v>64</v>
      </c>
      <c r="P170" s="13">
        <f t="shared" si="47"/>
        <v>1</v>
      </c>
      <c r="Q170">
        <f t="shared" si="54"/>
        <v>4</v>
      </c>
      <c r="R170" s="14">
        <f t="shared" si="55"/>
        <v>64</v>
      </c>
      <c r="S170" s="15"/>
      <c r="W170" s="14"/>
    </row>
    <row r="171" spans="1:23" x14ac:dyDescent="0.25">
      <c r="A171" s="16"/>
      <c r="B171" s="17" t="b">
        <f t="shared" si="48"/>
        <v>0</v>
      </c>
      <c r="C171" s="17" t="b">
        <f t="shared" si="40"/>
        <v>0</v>
      </c>
      <c r="D171" s="17">
        <f t="shared" si="44"/>
        <v>1</v>
      </c>
      <c r="E171" s="17" t="str">
        <f t="shared" si="45"/>
        <v>Section 4 - Create spring-boot starter microservice, containerize it and push to DockerHub</v>
      </c>
      <c r="F171" s="18" t="str">
        <f t="shared" si="46"/>
        <v/>
      </c>
      <c r="G171" s="13" t="str">
        <f t="shared" si="49"/>
        <v/>
      </c>
      <c r="H171">
        <f t="shared" si="50"/>
        <v>0</v>
      </c>
      <c r="I171">
        <f t="shared" si="51"/>
        <v>0</v>
      </c>
      <c r="J171" s="13">
        <f t="shared" si="52"/>
        <v>65</v>
      </c>
      <c r="K171">
        <f t="shared" si="41"/>
        <v>0</v>
      </c>
      <c r="L171">
        <f t="shared" si="42"/>
        <v>1</v>
      </c>
      <c r="M171" s="13">
        <f t="shared" si="53"/>
        <v>1</v>
      </c>
      <c r="N171">
        <f t="shared" si="53"/>
        <v>4</v>
      </c>
      <c r="O171" s="14">
        <f t="shared" si="43"/>
        <v>64</v>
      </c>
      <c r="P171" s="13">
        <f t="shared" si="47"/>
        <v>1</v>
      </c>
      <c r="Q171">
        <f t="shared" si="54"/>
        <v>4</v>
      </c>
      <c r="R171" s="14">
        <f t="shared" si="55"/>
        <v>64</v>
      </c>
      <c r="S171" s="15"/>
      <c r="W171" s="14"/>
    </row>
    <row r="172" spans="1:23" x14ac:dyDescent="0.25">
      <c r="A172" s="16"/>
      <c r="B172" s="17" t="b">
        <f t="shared" si="48"/>
        <v>0</v>
      </c>
      <c r="C172" s="17" t="b">
        <f t="shared" si="40"/>
        <v>0</v>
      </c>
      <c r="D172" s="17">
        <f t="shared" si="44"/>
        <v>1</v>
      </c>
      <c r="E172" s="17" t="str">
        <f t="shared" si="45"/>
        <v>Section 4 - Create spring-boot starter microservice, containerize it and push to DockerHub</v>
      </c>
      <c r="F172" s="18" t="str">
        <f t="shared" si="46"/>
        <v/>
      </c>
      <c r="G172" s="13" t="str">
        <f t="shared" si="49"/>
        <v/>
      </c>
      <c r="H172">
        <f t="shared" si="50"/>
        <v>0</v>
      </c>
      <c r="I172">
        <f t="shared" si="51"/>
        <v>0</v>
      </c>
      <c r="J172" s="13">
        <f t="shared" si="52"/>
        <v>65</v>
      </c>
      <c r="K172">
        <f t="shared" si="41"/>
        <v>0</v>
      </c>
      <c r="L172">
        <f t="shared" si="42"/>
        <v>1</v>
      </c>
      <c r="M172" s="13">
        <f t="shared" si="53"/>
        <v>1</v>
      </c>
      <c r="N172">
        <f t="shared" si="53"/>
        <v>4</v>
      </c>
      <c r="O172" s="14">
        <f t="shared" si="43"/>
        <v>64</v>
      </c>
      <c r="P172" s="13">
        <f t="shared" si="47"/>
        <v>1</v>
      </c>
      <c r="Q172">
        <f t="shared" si="54"/>
        <v>4</v>
      </c>
      <c r="R172" s="14">
        <f t="shared" si="55"/>
        <v>64</v>
      </c>
      <c r="S172" s="15"/>
      <c r="W172" s="14"/>
    </row>
    <row r="173" spans="1:23" x14ac:dyDescent="0.25">
      <c r="A173" s="16"/>
      <c r="B173" s="17" t="b">
        <f t="shared" si="48"/>
        <v>0</v>
      </c>
      <c r="C173" s="17" t="b">
        <f t="shared" si="40"/>
        <v>0</v>
      </c>
      <c r="D173" s="17">
        <f t="shared" si="44"/>
        <v>1</v>
      </c>
      <c r="E173" s="17" t="str">
        <f t="shared" si="45"/>
        <v>Section 4 - Create spring-boot starter microservice, containerize it and push to DockerHub</v>
      </c>
      <c r="F173" s="18" t="str">
        <f t="shared" si="46"/>
        <v/>
      </c>
      <c r="G173" s="13" t="str">
        <f t="shared" si="49"/>
        <v/>
      </c>
      <c r="H173">
        <f t="shared" si="50"/>
        <v>0</v>
      </c>
      <c r="I173">
        <f t="shared" si="51"/>
        <v>0</v>
      </c>
      <c r="J173" s="13">
        <f t="shared" si="52"/>
        <v>65</v>
      </c>
      <c r="K173">
        <f t="shared" si="41"/>
        <v>0</v>
      </c>
      <c r="L173">
        <f t="shared" si="42"/>
        <v>1</v>
      </c>
      <c r="M173" s="13">
        <f t="shared" si="53"/>
        <v>1</v>
      </c>
      <c r="N173">
        <f t="shared" si="53"/>
        <v>4</v>
      </c>
      <c r="O173" s="14">
        <f t="shared" si="43"/>
        <v>64</v>
      </c>
      <c r="P173" s="13">
        <f t="shared" si="47"/>
        <v>1</v>
      </c>
      <c r="Q173">
        <f t="shared" si="54"/>
        <v>4</v>
      </c>
      <c r="R173" s="14">
        <f t="shared" si="55"/>
        <v>64</v>
      </c>
      <c r="S173" s="15"/>
      <c r="W173" s="14"/>
    </row>
    <row r="174" spans="1:23" x14ac:dyDescent="0.25">
      <c r="A174" s="16"/>
      <c r="B174" s="17" t="b">
        <f t="shared" si="48"/>
        <v>0</v>
      </c>
      <c r="C174" s="17" t="b">
        <f t="shared" si="40"/>
        <v>0</v>
      </c>
      <c r="D174" s="17">
        <f t="shared" si="44"/>
        <v>1</v>
      </c>
      <c r="E174" s="17" t="str">
        <f t="shared" si="45"/>
        <v>Section 4 - Create spring-boot starter microservice, containerize it and push to DockerHub</v>
      </c>
      <c r="F174" s="18" t="str">
        <f t="shared" si="46"/>
        <v/>
      </c>
      <c r="G174" s="13" t="str">
        <f t="shared" si="49"/>
        <v/>
      </c>
      <c r="H174">
        <f t="shared" si="50"/>
        <v>0</v>
      </c>
      <c r="I174">
        <f t="shared" si="51"/>
        <v>0</v>
      </c>
      <c r="J174" s="13">
        <f t="shared" si="52"/>
        <v>65</v>
      </c>
      <c r="K174">
        <f t="shared" si="41"/>
        <v>0</v>
      </c>
      <c r="L174">
        <f t="shared" si="42"/>
        <v>1</v>
      </c>
      <c r="M174" s="13">
        <f t="shared" si="53"/>
        <v>1</v>
      </c>
      <c r="N174">
        <f t="shared" si="53"/>
        <v>4</v>
      </c>
      <c r="O174" s="14">
        <f t="shared" si="43"/>
        <v>64</v>
      </c>
      <c r="P174" s="13">
        <f t="shared" si="47"/>
        <v>1</v>
      </c>
      <c r="Q174">
        <f t="shared" si="54"/>
        <v>4</v>
      </c>
      <c r="R174" s="14">
        <f t="shared" si="55"/>
        <v>64</v>
      </c>
      <c r="S174" s="15"/>
      <c r="W174" s="14"/>
    </row>
    <row r="175" spans="1:23" x14ac:dyDescent="0.25">
      <c r="A175" s="16"/>
      <c r="B175" s="17" t="b">
        <f t="shared" si="48"/>
        <v>0</v>
      </c>
      <c r="C175" s="17" t="b">
        <f t="shared" si="40"/>
        <v>0</v>
      </c>
      <c r="D175" s="17">
        <f t="shared" si="44"/>
        <v>1</v>
      </c>
      <c r="E175" s="17" t="str">
        <f t="shared" si="45"/>
        <v>Section 4 - Create spring-boot starter microservice, containerize it and push to DockerHub</v>
      </c>
      <c r="F175" s="18" t="str">
        <f t="shared" si="46"/>
        <v/>
      </c>
      <c r="G175" s="13" t="str">
        <f t="shared" si="49"/>
        <v/>
      </c>
      <c r="H175">
        <f t="shared" si="50"/>
        <v>0</v>
      </c>
      <c r="I175">
        <f t="shared" si="51"/>
        <v>0</v>
      </c>
      <c r="J175" s="13">
        <f t="shared" si="52"/>
        <v>65</v>
      </c>
      <c r="K175">
        <f t="shared" si="41"/>
        <v>0</v>
      </c>
      <c r="L175">
        <f t="shared" si="42"/>
        <v>1</v>
      </c>
      <c r="M175" s="13">
        <f t="shared" si="53"/>
        <v>1</v>
      </c>
      <c r="N175">
        <f t="shared" si="53"/>
        <v>4</v>
      </c>
      <c r="O175" s="14">
        <f t="shared" si="43"/>
        <v>64</v>
      </c>
      <c r="P175" s="13">
        <f t="shared" si="47"/>
        <v>1</v>
      </c>
      <c r="Q175">
        <f t="shared" si="54"/>
        <v>4</v>
      </c>
      <c r="R175" s="14">
        <f t="shared" si="55"/>
        <v>64</v>
      </c>
      <c r="S175" s="15"/>
      <c r="W175" s="14"/>
    </row>
    <row r="176" spans="1:23" x14ac:dyDescent="0.25">
      <c r="A176" s="16"/>
      <c r="B176" s="17" t="b">
        <f t="shared" si="48"/>
        <v>0</v>
      </c>
      <c r="C176" s="17" t="b">
        <f t="shared" si="40"/>
        <v>0</v>
      </c>
      <c r="D176" s="17">
        <f t="shared" si="44"/>
        <v>1</v>
      </c>
      <c r="E176" s="17" t="str">
        <f t="shared" si="45"/>
        <v>Section 4 - Create spring-boot starter microservice, containerize it and push to DockerHub</v>
      </c>
      <c r="F176" s="18" t="str">
        <f t="shared" si="46"/>
        <v/>
      </c>
      <c r="G176" s="13" t="str">
        <f t="shared" si="49"/>
        <v/>
      </c>
      <c r="H176">
        <f t="shared" si="50"/>
        <v>0</v>
      </c>
      <c r="I176">
        <f t="shared" si="51"/>
        <v>0</v>
      </c>
      <c r="J176" s="13">
        <f t="shared" si="52"/>
        <v>65</v>
      </c>
      <c r="K176">
        <f t="shared" si="41"/>
        <v>0</v>
      </c>
      <c r="L176">
        <f t="shared" si="42"/>
        <v>1</v>
      </c>
      <c r="M176" s="13">
        <f t="shared" si="53"/>
        <v>1</v>
      </c>
      <c r="N176">
        <f t="shared" si="53"/>
        <v>4</v>
      </c>
      <c r="O176" s="14">
        <f t="shared" si="43"/>
        <v>64</v>
      </c>
      <c r="P176" s="13">
        <f t="shared" si="47"/>
        <v>1</v>
      </c>
      <c r="Q176">
        <f t="shared" si="54"/>
        <v>4</v>
      </c>
      <c r="R176" s="14">
        <f t="shared" si="55"/>
        <v>64</v>
      </c>
      <c r="S176" s="15"/>
      <c r="W176" s="14"/>
    </row>
    <row r="177" spans="1:23" x14ac:dyDescent="0.25">
      <c r="A177" s="16"/>
      <c r="B177" s="17" t="b">
        <f t="shared" si="48"/>
        <v>0</v>
      </c>
      <c r="C177" s="17" t="b">
        <f t="shared" si="40"/>
        <v>0</v>
      </c>
      <c r="D177" s="17">
        <f t="shared" si="44"/>
        <v>1</v>
      </c>
      <c r="E177" s="17" t="str">
        <f t="shared" si="45"/>
        <v>Section 4 - Create spring-boot starter microservice, containerize it and push to DockerHub</v>
      </c>
      <c r="F177" s="18" t="str">
        <f t="shared" si="46"/>
        <v/>
      </c>
      <c r="G177" s="13" t="str">
        <f t="shared" si="49"/>
        <v/>
      </c>
      <c r="H177">
        <f t="shared" si="50"/>
        <v>0</v>
      </c>
      <c r="I177">
        <f t="shared" si="51"/>
        <v>0</v>
      </c>
      <c r="J177" s="13">
        <f t="shared" si="52"/>
        <v>65</v>
      </c>
      <c r="K177">
        <f t="shared" si="41"/>
        <v>0</v>
      </c>
      <c r="L177">
        <f t="shared" si="42"/>
        <v>1</v>
      </c>
      <c r="M177" s="13">
        <f t="shared" si="53"/>
        <v>1</v>
      </c>
      <c r="N177">
        <f t="shared" si="53"/>
        <v>4</v>
      </c>
      <c r="O177" s="14">
        <f t="shared" si="43"/>
        <v>64</v>
      </c>
      <c r="P177" s="13">
        <f t="shared" si="47"/>
        <v>1</v>
      </c>
      <c r="Q177">
        <f t="shared" si="54"/>
        <v>4</v>
      </c>
      <c r="R177" s="14">
        <f t="shared" si="55"/>
        <v>64</v>
      </c>
      <c r="S177" s="15"/>
      <c r="W177" s="14"/>
    </row>
    <row r="178" spans="1:23" x14ac:dyDescent="0.25">
      <c r="A178" s="16"/>
      <c r="B178" s="17" t="b">
        <f t="shared" si="48"/>
        <v>0</v>
      </c>
      <c r="C178" s="17" t="b">
        <f t="shared" si="40"/>
        <v>0</v>
      </c>
      <c r="D178" s="17">
        <f t="shared" si="44"/>
        <v>1</v>
      </c>
      <c r="E178" s="17" t="str">
        <f t="shared" si="45"/>
        <v>Section 4 - Create spring-boot starter microservice, containerize it and push to DockerHub</v>
      </c>
      <c r="F178" s="18" t="str">
        <f t="shared" si="46"/>
        <v/>
      </c>
      <c r="G178" s="13" t="str">
        <f t="shared" si="49"/>
        <v/>
      </c>
      <c r="H178">
        <f t="shared" si="50"/>
        <v>0</v>
      </c>
      <c r="I178">
        <f t="shared" si="51"/>
        <v>0</v>
      </c>
      <c r="J178" s="13">
        <f t="shared" si="52"/>
        <v>65</v>
      </c>
      <c r="K178">
        <f t="shared" si="41"/>
        <v>0</v>
      </c>
      <c r="L178">
        <f t="shared" si="42"/>
        <v>1</v>
      </c>
      <c r="M178" s="13">
        <f t="shared" si="53"/>
        <v>1</v>
      </c>
      <c r="N178">
        <f t="shared" si="53"/>
        <v>4</v>
      </c>
      <c r="O178" s="14">
        <f t="shared" si="43"/>
        <v>64</v>
      </c>
      <c r="P178" s="13">
        <f t="shared" si="47"/>
        <v>1</v>
      </c>
      <c r="Q178">
        <f t="shared" si="54"/>
        <v>4</v>
      </c>
      <c r="R178" s="14">
        <f t="shared" si="55"/>
        <v>64</v>
      </c>
      <c r="S178" s="15"/>
      <c r="W178" s="14"/>
    </row>
    <row r="179" spans="1:23" x14ac:dyDescent="0.25">
      <c r="A179" s="16"/>
      <c r="B179" s="17" t="b">
        <f t="shared" si="48"/>
        <v>0</v>
      </c>
      <c r="C179" s="17" t="b">
        <f t="shared" si="40"/>
        <v>0</v>
      </c>
      <c r="D179" s="17">
        <f t="shared" si="44"/>
        <v>1</v>
      </c>
      <c r="E179" s="17" t="str">
        <f t="shared" si="45"/>
        <v>Section 4 - Create spring-boot starter microservice, containerize it and push to DockerHub</v>
      </c>
      <c r="F179" s="18" t="str">
        <f t="shared" si="46"/>
        <v/>
      </c>
      <c r="G179" s="13" t="str">
        <f t="shared" si="49"/>
        <v/>
      </c>
      <c r="H179">
        <f t="shared" si="50"/>
        <v>0</v>
      </c>
      <c r="I179">
        <f t="shared" si="51"/>
        <v>0</v>
      </c>
      <c r="J179" s="13">
        <f t="shared" si="52"/>
        <v>65</v>
      </c>
      <c r="K179">
        <f t="shared" si="41"/>
        <v>0</v>
      </c>
      <c r="L179">
        <f t="shared" si="42"/>
        <v>1</v>
      </c>
      <c r="M179" s="13">
        <f t="shared" si="53"/>
        <v>1</v>
      </c>
      <c r="N179">
        <f t="shared" si="53"/>
        <v>4</v>
      </c>
      <c r="O179" s="14">
        <f t="shared" si="43"/>
        <v>64</v>
      </c>
      <c r="P179" s="13">
        <f t="shared" si="47"/>
        <v>1</v>
      </c>
      <c r="Q179">
        <f t="shared" si="54"/>
        <v>4</v>
      </c>
      <c r="R179" s="14">
        <f t="shared" si="55"/>
        <v>64</v>
      </c>
      <c r="S179" s="15"/>
      <c r="W179" s="14"/>
    </row>
    <row r="180" spans="1:23" x14ac:dyDescent="0.25">
      <c r="A180" s="16"/>
      <c r="B180" s="17" t="b">
        <f t="shared" si="48"/>
        <v>0</v>
      </c>
      <c r="C180" s="17" t="b">
        <f t="shared" si="40"/>
        <v>0</v>
      </c>
      <c r="D180" s="17">
        <f t="shared" si="44"/>
        <v>1</v>
      </c>
      <c r="E180" s="17" t="str">
        <f t="shared" si="45"/>
        <v>Section 4 - Create spring-boot starter microservice, containerize it and push to DockerHub</v>
      </c>
      <c r="F180" s="18" t="str">
        <f t="shared" si="46"/>
        <v/>
      </c>
      <c r="G180" s="13" t="str">
        <f t="shared" si="49"/>
        <v/>
      </c>
      <c r="H180">
        <f t="shared" si="50"/>
        <v>0</v>
      </c>
      <c r="I180">
        <f t="shared" si="51"/>
        <v>0</v>
      </c>
      <c r="J180" s="13">
        <f t="shared" si="52"/>
        <v>65</v>
      </c>
      <c r="K180">
        <f t="shared" si="41"/>
        <v>0</v>
      </c>
      <c r="L180">
        <f t="shared" si="42"/>
        <v>1</v>
      </c>
      <c r="M180" s="13">
        <f t="shared" si="53"/>
        <v>1</v>
      </c>
      <c r="N180">
        <f t="shared" si="53"/>
        <v>4</v>
      </c>
      <c r="O180" s="14">
        <f t="shared" si="43"/>
        <v>64</v>
      </c>
      <c r="P180" s="13">
        <f t="shared" si="47"/>
        <v>1</v>
      </c>
      <c r="Q180">
        <f t="shared" si="54"/>
        <v>4</v>
      </c>
      <c r="R180" s="14">
        <f t="shared" si="55"/>
        <v>64</v>
      </c>
      <c r="S180" s="15"/>
      <c r="W180" s="14"/>
    </row>
    <row r="181" spans="1:23" x14ac:dyDescent="0.25">
      <c r="A181" s="16"/>
      <c r="B181" s="17" t="b">
        <f t="shared" si="48"/>
        <v>0</v>
      </c>
      <c r="C181" s="17" t="b">
        <f t="shared" si="40"/>
        <v>0</v>
      </c>
      <c r="D181" s="17">
        <f t="shared" si="44"/>
        <v>1</v>
      </c>
      <c r="E181" s="17" t="str">
        <f t="shared" si="45"/>
        <v>Section 4 - Create spring-boot starter microservice, containerize it and push to DockerHub</v>
      </c>
      <c r="F181" s="18" t="str">
        <f t="shared" si="46"/>
        <v/>
      </c>
      <c r="G181" s="13" t="str">
        <f t="shared" si="49"/>
        <v/>
      </c>
      <c r="H181">
        <f t="shared" si="50"/>
        <v>0</v>
      </c>
      <c r="I181">
        <f t="shared" si="51"/>
        <v>0</v>
      </c>
      <c r="J181" s="13">
        <f t="shared" si="52"/>
        <v>65</v>
      </c>
      <c r="K181">
        <f t="shared" si="41"/>
        <v>0</v>
      </c>
      <c r="L181">
        <f t="shared" si="42"/>
        <v>1</v>
      </c>
      <c r="M181" s="13">
        <f t="shared" si="53"/>
        <v>1</v>
      </c>
      <c r="N181">
        <f t="shared" si="53"/>
        <v>4</v>
      </c>
      <c r="O181" s="14">
        <f t="shared" si="43"/>
        <v>64</v>
      </c>
      <c r="P181" s="13">
        <f t="shared" si="47"/>
        <v>1</v>
      </c>
      <c r="Q181">
        <f t="shared" si="54"/>
        <v>4</v>
      </c>
      <c r="R181" s="14">
        <f t="shared" si="55"/>
        <v>64</v>
      </c>
      <c r="S181" s="15"/>
      <c r="W181" s="14"/>
    </row>
    <row r="182" spans="1:23" x14ac:dyDescent="0.25">
      <c r="A182" s="16"/>
      <c r="B182" s="17" t="b">
        <f t="shared" si="48"/>
        <v>0</v>
      </c>
      <c r="C182" s="17" t="b">
        <f t="shared" si="40"/>
        <v>0</v>
      </c>
      <c r="D182" s="17">
        <f t="shared" si="44"/>
        <v>1</v>
      </c>
      <c r="E182" s="17" t="str">
        <f t="shared" si="45"/>
        <v>Section 4 - Create spring-boot starter microservice, containerize it and push to DockerHub</v>
      </c>
      <c r="F182" s="18" t="str">
        <f t="shared" si="46"/>
        <v/>
      </c>
      <c r="G182" s="13" t="str">
        <f t="shared" si="49"/>
        <v/>
      </c>
      <c r="H182">
        <f t="shared" si="50"/>
        <v>0</v>
      </c>
      <c r="I182">
        <f t="shared" si="51"/>
        <v>0</v>
      </c>
      <c r="J182" s="13">
        <f t="shared" si="52"/>
        <v>65</v>
      </c>
      <c r="K182">
        <f t="shared" si="41"/>
        <v>0</v>
      </c>
      <c r="L182">
        <f t="shared" si="42"/>
        <v>1</v>
      </c>
      <c r="M182" s="13">
        <f t="shared" si="53"/>
        <v>1</v>
      </c>
      <c r="N182">
        <f t="shared" si="53"/>
        <v>4</v>
      </c>
      <c r="O182" s="14">
        <f t="shared" si="43"/>
        <v>64</v>
      </c>
      <c r="P182" s="13">
        <f t="shared" si="47"/>
        <v>1</v>
      </c>
      <c r="Q182">
        <f t="shared" si="54"/>
        <v>4</v>
      </c>
      <c r="R182" s="14">
        <f t="shared" si="55"/>
        <v>64</v>
      </c>
      <c r="S182" s="15"/>
      <c r="W182" s="14"/>
    </row>
    <row r="183" spans="1:23" x14ac:dyDescent="0.25">
      <c r="A183" s="16"/>
      <c r="B183" s="17" t="b">
        <f t="shared" si="48"/>
        <v>0</v>
      </c>
      <c r="C183" s="17" t="b">
        <f t="shared" si="40"/>
        <v>0</v>
      </c>
      <c r="D183" s="17">
        <f t="shared" si="44"/>
        <v>1</v>
      </c>
      <c r="E183" s="17" t="str">
        <f t="shared" si="45"/>
        <v>Section 4 - Create spring-boot starter microservice, containerize it and push to DockerHub</v>
      </c>
      <c r="F183" s="18" t="str">
        <f t="shared" si="46"/>
        <v/>
      </c>
      <c r="G183" s="13" t="str">
        <f t="shared" si="49"/>
        <v/>
      </c>
      <c r="H183">
        <f t="shared" si="50"/>
        <v>0</v>
      </c>
      <c r="I183">
        <f t="shared" si="51"/>
        <v>0</v>
      </c>
      <c r="J183" s="13">
        <f t="shared" si="52"/>
        <v>65</v>
      </c>
      <c r="K183">
        <f t="shared" si="41"/>
        <v>0</v>
      </c>
      <c r="L183">
        <f t="shared" si="42"/>
        <v>1</v>
      </c>
      <c r="M183" s="13">
        <f t="shared" si="53"/>
        <v>1</v>
      </c>
      <c r="N183">
        <f t="shared" si="53"/>
        <v>4</v>
      </c>
      <c r="O183" s="14">
        <f t="shared" si="43"/>
        <v>64</v>
      </c>
      <c r="P183" s="13">
        <f t="shared" si="47"/>
        <v>1</v>
      </c>
      <c r="Q183">
        <f t="shared" si="54"/>
        <v>4</v>
      </c>
      <c r="R183" s="14">
        <f t="shared" si="55"/>
        <v>64</v>
      </c>
      <c r="S183" s="15"/>
      <c r="W183" s="14"/>
    </row>
    <row r="184" spans="1:23" x14ac:dyDescent="0.25">
      <c r="A184" s="16"/>
      <c r="B184" s="17" t="b">
        <f t="shared" si="48"/>
        <v>0</v>
      </c>
      <c r="C184" s="17" t="b">
        <f t="shared" si="40"/>
        <v>0</v>
      </c>
      <c r="D184" s="17">
        <f t="shared" si="44"/>
        <v>1</v>
      </c>
      <c r="E184" s="17" t="str">
        <f t="shared" si="45"/>
        <v>Section 4 - Create spring-boot starter microservice, containerize it and push to DockerHub</v>
      </c>
      <c r="F184" s="18" t="str">
        <f t="shared" si="46"/>
        <v/>
      </c>
      <c r="G184" s="13" t="str">
        <f t="shared" si="49"/>
        <v/>
      </c>
      <c r="H184">
        <f t="shared" si="50"/>
        <v>0</v>
      </c>
      <c r="I184">
        <f t="shared" si="51"/>
        <v>0</v>
      </c>
      <c r="J184" s="13">
        <f t="shared" si="52"/>
        <v>65</v>
      </c>
      <c r="K184">
        <f t="shared" si="41"/>
        <v>0</v>
      </c>
      <c r="L184">
        <f t="shared" si="42"/>
        <v>1</v>
      </c>
      <c r="M184" s="13">
        <f t="shared" si="53"/>
        <v>1</v>
      </c>
      <c r="N184">
        <f t="shared" si="53"/>
        <v>4</v>
      </c>
      <c r="O184" s="14">
        <f t="shared" si="43"/>
        <v>64</v>
      </c>
      <c r="P184" s="13">
        <f t="shared" si="47"/>
        <v>1</v>
      </c>
      <c r="Q184">
        <f t="shared" si="54"/>
        <v>4</v>
      </c>
      <c r="R184" s="14">
        <f t="shared" si="55"/>
        <v>64</v>
      </c>
      <c r="S184" s="15"/>
      <c r="W184" s="14"/>
    </row>
    <row r="185" spans="1:23" x14ac:dyDescent="0.25">
      <c r="A185" s="16"/>
      <c r="B185" s="17" t="b">
        <f t="shared" si="48"/>
        <v>0</v>
      </c>
      <c r="C185" s="17" t="b">
        <f t="shared" si="40"/>
        <v>0</v>
      </c>
      <c r="D185" s="17">
        <f t="shared" si="44"/>
        <v>1</v>
      </c>
      <c r="E185" s="17" t="str">
        <f t="shared" si="45"/>
        <v>Section 4 - Create spring-boot starter microservice, containerize it and push to DockerHub</v>
      </c>
      <c r="F185" s="18" t="str">
        <f t="shared" si="46"/>
        <v/>
      </c>
      <c r="G185" s="13" t="str">
        <f t="shared" si="49"/>
        <v/>
      </c>
      <c r="H185">
        <f t="shared" si="50"/>
        <v>0</v>
      </c>
      <c r="I185">
        <f t="shared" si="51"/>
        <v>0</v>
      </c>
      <c r="J185" s="13">
        <f t="shared" si="52"/>
        <v>65</v>
      </c>
      <c r="K185">
        <f t="shared" si="41"/>
        <v>0</v>
      </c>
      <c r="L185">
        <f t="shared" si="42"/>
        <v>1</v>
      </c>
      <c r="M185" s="13">
        <f t="shared" si="53"/>
        <v>1</v>
      </c>
      <c r="N185">
        <f t="shared" si="53"/>
        <v>4</v>
      </c>
      <c r="O185" s="14">
        <f t="shared" si="43"/>
        <v>64</v>
      </c>
      <c r="P185" s="13">
        <f t="shared" si="47"/>
        <v>1</v>
      </c>
      <c r="Q185">
        <f t="shared" si="54"/>
        <v>4</v>
      </c>
      <c r="R185" s="14">
        <f t="shared" si="55"/>
        <v>64</v>
      </c>
      <c r="S185" s="15"/>
      <c r="W185" s="14"/>
    </row>
    <row r="186" spans="1:23" x14ac:dyDescent="0.25">
      <c r="A186" s="16"/>
      <c r="B186" s="17" t="b">
        <f t="shared" si="48"/>
        <v>0</v>
      </c>
      <c r="C186" s="17" t="b">
        <f t="shared" si="40"/>
        <v>0</v>
      </c>
      <c r="D186" s="17">
        <f t="shared" si="44"/>
        <v>1</v>
      </c>
      <c r="E186" s="17" t="str">
        <f t="shared" si="45"/>
        <v>Section 4 - Create spring-boot starter microservice, containerize it and push to DockerHub</v>
      </c>
      <c r="F186" s="18" t="str">
        <f t="shared" si="46"/>
        <v/>
      </c>
      <c r="G186" s="13" t="str">
        <f t="shared" si="49"/>
        <v/>
      </c>
      <c r="H186">
        <f t="shared" si="50"/>
        <v>0</v>
      </c>
      <c r="I186">
        <f t="shared" si="51"/>
        <v>0</v>
      </c>
      <c r="J186" s="13">
        <f t="shared" si="52"/>
        <v>65</v>
      </c>
      <c r="K186">
        <f t="shared" si="41"/>
        <v>0</v>
      </c>
      <c r="L186">
        <f t="shared" si="42"/>
        <v>1</v>
      </c>
      <c r="M186" s="13">
        <f t="shared" si="53"/>
        <v>1</v>
      </c>
      <c r="N186">
        <f t="shared" si="53"/>
        <v>4</v>
      </c>
      <c r="O186" s="14">
        <f t="shared" si="43"/>
        <v>64</v>
      </c>
      <c r="P186" s="13">
        <f t="shared" si="47"/>
        <v>1</v>
      </c>
      <c r="Q186">
        <f t="shared" si="54"/>
        <v>4</v>
      </c>
      <c r="R186" s="14">
        <f t="shared" si="55"/>
        <v>64</v>
      </c>
      <c r="S186" s="15"/>
      <c r="W186" s="14"/>
    </row>
    <row r="187" spans="1:23" x14ac:dyDescent="0.25">
      <c r="A187" s="16"/>
      <c r="B187" s="17" t="b">
        <f t="shared" si="48"/>
        <v>0</v>
      </c>
      <c r="C187" s="17" t="b">
        <f t="shared" si="40"/>
        <v>0</v>
      </c>
      <c r="D187" s="17">
        <f t="shared" si="44"/>
        <v>1</v>
      </c>
      <c r="E187" s="17" t="str">
        <f t="shared" si="45"/>
        <v>Section 4 - Create spring-boot starter microservice, containerize it and push to DockerHub</v>
      </c>
      <c r="F187" s="18" t="str">
        <f t="shared" si="46"/>
        <v/>
      </c>
      <c r="G187" s="13" t="str">
        <f t="shared" si="49"/>
        <v/>
      </c>
      <c r="H187">
        <f t="shared" si="50"/>
        <v>0</v>
      </c>
      <c r="I187">
        <f t="shared" si="51"/>
        <v>0</v>
      </c>
      <c r="J187" s="13">
        <f t="shared" si="52"/>
        <v>65</v>
      </c>
      <c r="K187">
        <f t="shared" si="41"/>
        <v>0</v>
      </c>
      <c r="L187">
        <f t="shared" si="42"/>
        <v>1</v>
      </c>
      <c r="M187" s="13">
        <f t="shared" si="53"/>
        <v>1</v>
      </c>
      <c r="N187">
        <f t="shared" si="53"/>
        <v>4</v>
      </c>
      <c r="O187" s="14">
        <f t="shared" si="43"/>
        <v>64</v>
      </c>
      <c r="P187" s="13">
        <f t="shared" si="47"/>
        <v>1</v>
      </c>
      <c r="Q187">
        <f t="shared" si="54"/>
        <v>4</v>
      </c>
      <c r="R187" s="14">
        <f t="shared" si="55"/>
        <v>64</v>
      </c>
      <c r="S187" s="15"/>
      <c r="W187" s="14"/>
    </row>
    <row r="188" spans="1:23" x14ac:dyDescent="0.25">
      <c r="A188" s="16"/>
      <c r="B188" s="17" t="b">
        <f t="shared" si="48"/>
        <v>0</v>
      </c>
      <c r="C188" s="17" t="b">
        <f t="shared" si="40"/>
        <v>0</v>
      </c>
      <c r="D188" s="17">
        <f t="shared" si="44"/>
        <v>1</v>
      </c>
      <c r="E188" s="17" t="str">
        <f t="shared" si="45"/>
        <v>Section 4 - Create spring-boot starter microservice, containerize it and push to DockerHub</v>
      </c>
      <c r="F188" s="18" t="str">
        <f t="shared" si="46"/>
        <v/>
      </c>
      <c r="G188" s="13" t="str">
        <f t="shared" si="49"/>
        <v/>
      </c>
      <c r="H188">
        <f t="shared" si="50"/>
        <v>0</v>
      </c>
      <c r="I188">
        <f t="shared" si="51"/>
        <v>0</v>
      </c>
      <c r="J188" s="13">
        <f t="shared" si="52"/>
        <v>65</v>
      </c>
      <c r="K188">
        <f t="shared" si="41"/>
        <v>0</v>
      </c>
      <c r="L188">
        <f t="shared" si="42"/>
        <v>1</v>
      </c>
      <c r="M188" s="13">
        <f t="shared" si="53"/>
        <v>1</v>
      </c>
      <c r="N188">
        <f t="shared" si="53"/>
        <v>4</v>
      </c>
      <c r="O188" s="14">
        <f t="shared" si="43"/>
        <v>64</v>
      </c>
      <c r="P188" s="13">
        <f t="shared" si="47"/>
        <v>1</v>
      </c>
      <c r="Q188">
        <f t="shared" si="54"/>
        <v>4</v>
      </c>
      <c r="R188" s="14">
        <f t="shared" si="55"/>
        <v>64</v>
      </c>
      <c r="S188" s="15"/>
      <c r="W188" s="14"/>
    </row>
    <row r="189" spans="1:23" x14ac:dyDescent="0.25">
      <c r="A189" s="16"/>
      <c r="B189" s="17" t="b">
        <f t="shared" si="48"/>
        <v>0</v>
      </c>
      <c r="C189" s="17" t="b">
        <f t="shared" si="40"/>
        <v>0</v>
      </c>
      <c r="D189" s="17">
        <f t="shared" si="44"/>
        <v>1</v>
      </c>
      <c r="E189" s="17" t="str">
        <f t="shared" si="45"/>
        <v>Section 4 - Create spring-boot starter microservice, containerize it and push to DockerHub</v>
      </c>
      <c r="F189" s="18" t="str">
        <f t="shared" si="46"/>
        <v/>
      </c>
      <c r="G189" s="13" t="str">
        <f t="shared" si="49"/>
        <v/>
      </c>
      <c r="H189">
        <f t="shared" si="50"/>
        <v>0</v>
      </c>
      <c r="I189">
        <f t="shared" si="51"/>
        <v>0</v>
      </c>
      <c r="J189" s="13">
        <f t="shared" si="52"/>
        <v>65</v>
      </c>
      <c r="K189">
        <f t="shared" si="41"/>
        <v>0</v>
      </c>
      <c r="L189">
        <f t="shared" si="42"/>
        <v>1</v>
      </c>
      <c r="M189" s="13">
        <f t="shared" si="53"/>
        <v>1</v>
      </c>
      <c r="N189">
        <f t="shared" si="53"/>
        <v>4</v>
      </c>
      <c r="O189" s="14">
        <f t="shared" si="43"/>
        <v>64</v>
      </c>
      <c r="P189" s="13">
        <f t="shared" si="47"/>
        <v>1</v>
      </c>
      <c r="Q189">
        <f t="shared" si="54"/>
        <v>4</v>
      </c>
      <c r="R189" s="14">
        <f t="shared" si="55"/>
        <v>64</v>
      </c>
      <c r="S189" s="15"/>
      <c r="W189" s="14"/>
    </row>
    <row r="190" spans="1:23" x14ac:dyDescent="0.25">
      <c r="A190" s="16"/>
      <c r="B190" s="17" t="b">
        <f t="shared" si="48"/>
        <v>0</v>
      </c>
      <c r="C190" s="17" t="b">
        <f t="shared" si="40"/>
        <v>0</v>
      </c>
      <c r="D190" s="17">
        <f t="shared" si="44"/>
        <v>1</v>
      </c>
      <c r="E190" s="17" t="str">
        <f t="shared" si="45"/>
        <v>Section 4 - Create spring-boot starter microservice, containerize it and push to DockerHub</v>
      </c>
      <c r="F190" s="18" t="str">
        <f t="shared" si="46"/>
        <v/>
      </c>
      <c r="G190" s="13" t="str">
        <f t="shared" si="49"/>
        <v/>
      </c>
      <c r="H190">
        <f t="shared" si="50"/>
        <v>0</v>
      </c>
      <c r="I190">
        <f t="shared" si="51"/>
        <v>0</v>
      </c>
      <c r="J190" s="13">
        <f t="shared" si="52"/>
        <v>65</v>
      </c>
      <c r="K190">
        <f t="shared" si="41"/>
        <v>0</v>
      </c>
      <c r="L190">
        <f t="shared" si="42"/>
        <v>1</v>
      </c>
      <c r="M190" s="13">
        <f t="shared" si="53"/>
        <v>1</v>
      </c>
      <c r="N190">
        <f t="shared" si="53"/>
        <v>4</v>
      </c>
      <c r="O190" s="14">
        <f t="shared" si="43"/>
        <v>64</v>
      </c>
      <c r="P190" s="13">
        <f t="shared" si="47"/>
        <v>1</v>
      </c>
      <c r="Q190">
        <f t="shared" si="54"/>
        <v>4</v>
      </c>
      <c r="R190" s="14">
        <f t="shared" si="55"/>
        <v>64</v>
      </c>
      <c r="S190" s="15"/>
      <c r="W190" s="14"/>
    </row>
    <row r="191" spans="1:23" x14ac:dyDescent="0.25">
      <c r="A191" s="16"/>
      <c r="B191" s="17" t="b">
        <f t="shared" si="48"/>
        <v>0</v>
      </c>
      <c r="C191" s="17" t="b">
        <f t="shared" si="40"/>
        <v>0</v>
      </c>
      <c r="D191" s="17">
        <f t="shared" si="44"/>
        <v>1</v>
      </c>
      <c r="E191" s="17" t="str">
        <f t="shared" si="45"/>
        <v>Section 4 - Create spring-boot starter microservice, containerize it and push to DockerHub</v>
      </c>
      <c r="F191" s="18" t="str">
        <f t="shared" si="46"/>
        <v/>
      </c>
      <c r="G191" s="13" t="str">
        <f t="shared" si="49"/>
        <v/>
      </c>
      <c r="H191">
        <f t="shared" si="50"/>
        <v>0</v>
      </c>
      <c r="I191">
        <f t="shared" si="51"/>
        <v>0</v>
      </c>
      <c r="J191" s="13">
        <f t="shared" si="52"/>
        <v>65</v>
      </c>
      <c r="K191">
        <f t="shared" si="41"/>
        <v>0</v>
      </c>
      <c r="L191">
        <f t="shared" si="42"/>
        <v>1</v>
      </c>
      <c r="M191" s="13">
        <f t="shared" si="53"/>
        <v>1</v>
      </c>
      <c r="N191">
        <f t="shared" si="53"/>
        <v>4</v>
      </c>
      <c r="O191" s="14">
        <f t="shared" si="43"/>
        <v>64</v>
      </c>
      <c r="P191" s="13">
        <f t="shared" si="47"/>
        <v>1</v>
      </c>
      <c r="Q191">
        <f t="shared" si="54"/>
        <v>4</v>
      </c>
      <c r="R191" s="14">
        <f t="shared" si="55"/>
        <v>64</v>
      </c>
      <c r="S191" s="15"/>
      <c r="W191" s="14"/>
    </row>
    <row r="192" spans="1:23" x14ac:dyDescent="0.25">
      <c r="A192" s="16"/>
      <c r="B192" s="17" t="b">
        <f t="shared" si="48"/>
        <v>0</v>
      </c>
      <c r="C192" s="17" t="b">
        <f t="shared" ref="C192:C255" si="56">OR(NOT(ISERROR(FIND("hr",A193))), NOT(ISERROR(FIND("min ",A193))),RIGHT(A193,3)="min")</f>
        <v>0</v>
      </c>
      <c r="D192" s="17">
        <f t="shared" si="44"/>
        <v>1</v>
      </c>
      <c r="E192" s="17" t="str">
        <f t="shared" si="45"/>
        <v>Section 4 - Create spring-boot starter microservice, containerize it and push to DockerHub</v>
      </c>
      <c r="F192" s="18" t="str">
        <f t="shared" si="46"/>
        <v/>
      </c>
      <c r="G192" s="13" t="str">
        <f t="shared" si="49"/>
        <v/>
      </c>
      <c r="H192">
        <f t="shared" si="50"/>
        <v>0</v>
      </c>
      <c r="I192">
        <f t="shared" si="51"/>
        <v>0</v>
      </c>
      <c r="J192" s="13">
        <f t="shared" si="52"/>
        <v>65</v>
      </c>
      <c r="K192">
        <f t="shared" si="41"/>
        <v>0</v>
      </c>
      <c r="L192">
        <f t="shared" si="42"/>
        <v>1</v>
      </c>
      <c r="M192" s="13">
        <f t="shared" si="53"/>
        <v>1</v>
      </c>
      <c r="N192">
        <f t="shared" si="53"/>
        <v>4</v>
      </c>
      <c r="O192" s="14">
        <f t="shared" si="43"/>
        <v>64</v>
      </c>
      <c r="P192" s="13">
        <f t="shared" si="47"/>
        <v>1</v>
      </c>
      <c r="Q192">
        <f t="shared" si="54"/>
        <v>4</v>
      </c>
      <c r="R192" s="14">
        <f t="shared" si="55"/>
        <v>64</v>
      </c>
      <c r="S192" s="15"/>
      <c r="W192" s="14"/>
    </row>
    <row r="193" spans="1:23" x14ac:dyDescent="0.25">
      <c r="A193" s="16"/>
      <c r="B193" s="17" t="b">
        <f t="shared" si="48"/>
        <v>0</v>
      </c>
      <c r="C193" s="17" t="b">
        <f t="shared" si="56"/>
        <v>0</v>
      </c>
      <c r="D193" s="17">
        <f t="shared" si="44"/>
        <v>1</v>
      </c>
      <c r="E193" s="17" t="str">
        <f t="shared" si="45"/>
        <v>Section 4 - Create spring-boot starter microservice, containerize it and push to DockerHub</v>
      </c>
      <c r="F193" s="18" t="str">
        <f t="shared" si="46"/>
        <v/>
      </c>
      <c r="G193" s="13" t="str">
        <f t="shared" si="49"/>
        <v/>
      </c>
      <c r="H193">
        <f t="shared" si="50"/>
        <v>0</v>
      </c>
      <c r="I193">
        <f t="shared" si="51"/>
        <v>0</v>
      </c>
      <c r="J193" s="13">
        <f t="shared" si="52"/>
        <v>65</v>
      </c>
      <c r="K193">
        <f t="shared" si="41"/>
        <v>0</v>
      </c>
      <c r="L193">
        <f t="shared" si="42"/>
        <v>1</v>
      </c>
      <c r="M193" s="13">
        <f t="shared" si="53"/>
        <v>1</v>
      </c>
      <c r="N193">
        <f t="shared" si="53"/>
        <v>4</v>
      </c>
      <c r="O193" s="14">
        <f t="shared" si="43"/>
        <v>64</v>
      </c>
      <c r="P193" s="13">
        <f t="shared" si="47"/>
        <v>1</v>
      </c>
      <c r="Q193">
        <f t="shared" si="54"/>
        <v>4</v>
      </c>
      <c r="R193" s="14">
        <f t="shared" si="55"/>
        <v>64</v>
      </c>
      <c r="S193" s="15"/>
      <c r="W193" s="14"/>
    </row>
    <row r="194" spans="1:23" x14ac:dyDescent="0.25">
      <c r="A194" s="16"/>
      <c r="B194" s="17" t="b">
        <f t="shared" si="48"/>
        <v>0</v>
      </c>
      <c r="C194" s="17" t="b">
        <f t="shared" si="56"/>
        <v>0</v>
      </c>
      <c r="D194" s="17">
        <f t="shared" si="44"/>
        <v>1</v>
      </c>
      <c r="E194" s="17" t="str">
        <f t="shared" si="45"/>
        <v>Section 4 - Create spring-boot starter microservice, containerize it and push to DockerHub</v>
      </c>
      <c r="F194" s="18" t="str">
        <f t="shared" si="46"/>
        <v/>
      </c>
      <c r="G194" s="13" t="str">
        <f t="shared" si="49"/>
        <v/>
      </c>
      <c r="H194">
        <f t="shared" si="50"/>
        <v>0</v>
      </c>
      <c r="I194">
        <f t="shared" si="51"/>
        <v>0</v>
      </c>
      <c r="J194" s="13">
        <f t="shared" si="52"/>
        <v>65</v>
      </c>
      <c r="K194">
        <f t="shared" si="41"/>
        <v>0</v>
      </c>
      <c r="L194">
        <f t="shared" si="42"/>
        <v>1</v>
      </c>
      <c r="M194" s="13">
        <f t="shared" si="53"/>
        <v>1</v>
      </c>
      <c r="N194">
        <f t="shared" si="53"/>
        <v>4</v>
      </c>
      <c r="O194" s="14">
        <f t="shared" si="43"/>
        <v>64</v>
      </c>
      <c r="P194" s="13">
        <f t="shared" si="47"/>
        <v>1</v>
      </c>
      <c r="Q194">
        <f t="shared" si="54"/>
        <v>4</v>
      </c>
      <c r="R194" s="14">
        <f t="shared" si="55"/>
        <v>64</v>
      </c>
      <c r="S194" s="15"/>
      <c r="W194" s="14"/>
    </row>
    <row r="195" spans="1:23" x14ac:dyDescent="0.25">
      <c r="A195" s="16"/>
      <c r="B195" s="17" t="b">
        <f t="shared" si="48"/>
        <v>0</v>
      </c>
      <c r="C195" s="17" t="b">
        <f t="shared" si="56"/>
        <v>0</v>
      </c>
      <c r="D195" s="17">
        <f t="shared" si="44"/>
        <v>1</v>
      </c>
      <c r="E195" s="17" t="str">
        <f t="shared" si="45"/>
        <v>Section 4 - Create spring-boot starter microservice, containerize it and push to DockerHub</v>
      </c>
      <c r="F195" s="18" t="str">
        <f t="shared" si="46"/>
        <v/>
      </c>
      <c r="G195" s="13" t="str">
        <f t="shared" si="49"/>
        <v/>
      </c>
      <c r="H195">
        <f t="shared" si="50"/>
        <v>0</v>
      </c>
      <c r="I195">
        <f t="shared" si="51"/>
        <v>0</v>
      </c>
      <c r="J195" s="13">
        <f t="shared" si="52"/>
        <v>65</v>
      </c>
      <c r="K195">
        <f t="shared" si="41"/>
        <v>0</v>
      </c>
      <c r="L195">
        <f t="shared" si="42"/>
        <v>1</v>
      </c>
      <c r="M195" s="13">
        <f t="shared" si="53"/>
        <v>1</v>
      </c>
      <c r="N195">
        <f t="shared" si="53"/>
        <v>4</v>
      </c>
      <c r="O195" s="14">
        <f t="shared" si="43"/>
        <v>64</v>
      </c>
      <c r="P195" s="13">
        <f t="shared" si="47"/>
        <v>1</v>
      </c>
      <c r="Q195">
        <f t="shared" si="54"/>
        <v>4</v>
      </c>
      <c r="R195" s="14">
        <f t="shared" si="55"/>
        <v>64</v>
      </c>
      <c r="S195" s="15"/>
      <c r="W195" s="14"/>
    </row>
    <row r="196" spans="1:23" x14ac:dyDescent="0.25">
      <c r="A196" s="16"/>
      <c r="B196" s="17" t="b">
        <f t="shared" si="48"/>
        <v>0</v>
      </c>
      <c r="C196" s="17" t="b">
        <f t="shared" si="56"/>
        <v>0</v>
      </c>
      <c r="D196" s="17">
        <f t="shared" si="44"/>
        <v>1</v>
      </c>
      <c r="E196" s="17" t="str">
        <f t="shared" si="45"/>
        <v>Section 4 - Create spring-boot starter microservice, containerize it and push to DockerHub</v>
      </c>
      <c r="F196" s="18" t="str">
        <f t="shared" si="46"/>
        <v/>
      </c>
      <c r="G196" s="13" t="str">
        <f t="shared" si="49"/>
        <v/>
      </c>
      <c r="H196">
        <f t="shared" si="50"/>
        <v>0</v>
      </c>
      <c r="I196">
        <f t="shared" si="51"/>
        <v>0</v>
      </c>
      <c r="J196" s="13">
        <f t="shared" si="52"/>
        <v>65</v>
      </c>
      <c r="K196">
        <f t="shared" si="41"/>
        <v>0</v>
      </c>
      <c r="L196">
        <f t="shared" si="42"/>
        <v>1</v>
      </c>
      <c r="M196" s="13">
        <f t="shared" si="53"/>
        <v>1</v>
      </c>
      <c r="N196">
        <f t="shared" si="53"/>
        <v>4</v>
      </c>
      <c r="O196" s="14">
        <f t="shared" si="43"/>
        <v>64</v>
      </c>
      <c r="P196" s="13">
        <f t="shared" si="47"/>
        <v>1</v>
      </c>
      <c r="Q196">
        <f t="shared" si="54"/>
        <v>4</v>
      </c>
      <c r="R196" s="14">
        <f t="shared" si="55"/>
        <v>64</v>
      </c>
      <c r="S196" s="15"/>
      <c r="W196" s="14"/>
    </row>
    <row r="197" spans="1:23" x14ac:dyDescent="0.25">
      <c r="A197" s="16"/>
      <c r="B197" s="17" t="b">
        <f t="shared" si="48"/>
        <v>0</v>
      </c>
      <c r="C197" s="17" t="b">
        <f t="shared" si="56"/>
        <v>0</v>
      </c>
      <c r="D197" s="17">
        <f t="shared" si="44"/>
        <v>1</v>
      </c>
      <c r="E197" s="17" t="str">
        <f t="shared" si="45"/>
        <v>Section 4 - Create spring-boot starter microservice, containerize it and push to DockerHub</v>
      </c>
      <c r="F197" s="18" t="str">
        <f t="shared" si="46"/>
        <v/>
      </c>
      <c r="G197" s="13" t="str">
        <f t="shared" si="49"/>
        <v/>
      </c>
      <c r="H197">
        <f t="shared" si="50"/>
        <v>0</v>
      </c>
      <c r="I197">
        <f t="shared" si="51"/>
        <v>0</v>
      </c>
      <c r="J197" s="13">
        <f t="shared" si="52"/>
        <v>65</v>
      </c>
      <c r="K197">
        <f t="shared" si="41"/>
        <v>0</v>
      </c>
      <c r="L197">
        <f t="shared" si="42"/>
        <v>1</v>
      </c>
      <c r="M197" s="13">
        <f t="shared" si="53"/>
        <v>1</v>
      </c>
      <c r="N197">
        <f t="shared" si="53"/>
        <v>4</v>
      </c>
      <c r="O197" s="14">
        <f t="shared" si="43"/>
        <v>64</v>
      </c>
      <c r="P197" s="13">
        <f t="shared" si="47"/>
        <v>1</v>
      </c>
      <c r="Q197">
        <f t="shared" si="54"/>
        <v>4</v>
      </c>
      <c r="R197" s="14">
        <f t="shared" si="55"/>
        <v>64</v>
      </c>
      <c r="S197" s="15"/>
      <c r="W197" s="14"/>
    </row>
    <row r="198" spans="1:23" x14ac:dyDescent="0.25">
      <c r="A198" s="16"/>
      <c r="B198" s="17" t="b">
        <f t="shared" si="48"/>
        <v>0</v>
      </c>
      <c r="C198" s="17" t="b">
        <f t="shared" si="56"/>
        <v>0</v>
      </c>
      <c r="D198" s="17">
        <f t="shared" si="44"/>
        <v>1</v>
      </c>
      <c r="E198" s="17" t="str">
        <f t="shared" si="45"/>
        <v>Section 4 - Create spring-boot starter microservice, containerize it and push to DockerHub</v>
      </c>
      <c r="F198" s="18" t="str">
        <f t="shared" si="46"/>
        <v/>
      </c>
      <c r="G198" s="13" t="str">
        <f t="shared" si="49"/>
        <v/>
      </c>
      <c r="H198">
        <f t="shared" si="50"/>
        <v>0</v>
      </c>
      <c r="I198">
        <f t="shared" si="51"/>
        <v>0</v>
      </c>
      <c r="J198" s="13">
        <f t="shared" si="52"/>
        <v>65</v>
      </c>
      <c r="K198">
        <f t="shared" si="41"/>
        <v>0</v>
      </c>
      <c r="L198">
        <f t="shared" si="42"/>
        <v>1</v>
      </c>
      <c r="M198" s="13">
        <f t="shared" si="53"/>
        <v>1</v>
      </c>
      <c r="N198">
        <f t="shared" si="53"/>
        <v>4</v>
      </c>
      <c r="O198" s="14">
        <f t="shared" si="43"/>
        <v>64</v>
      </c>
      <c r="P198" s="13">
        <f t="shared" si="47"/>
        <v>1</v>
      </c>
      <c r="Q198">
        <f t="shared" si="54"/>
        <v>4</v>
      </c>
      <c r="R198" s="14">
        <f t="shared" si="55"/>
        <v>64</v>
      </c>
      <c r="S198" s="15"/>
      <c r="W198" s="14"/>
    </row>
    <row r="199" spans="1:23" x14ac:dyDescent="0.25">
      <c r="A199" s="16"/>
      <c r="B199" s="17" t="b">
        <f t="shared" si="48"/>
        <v>0</v>
      </c>
      <c r="C199" s="17" t="b">
        <f t="shared" si="56"/>
        <v>0</v>
      </c>
      <c r="D199" s="17">
        <f t="shared" si="44"/>
        <v>1</v>
      </c>
      <c r="E199" s="17" t="str">
        <f t="shared" si="45"/>
        <v>Section 4 - Create spring-boot starter microservice, containerize it and push to DockerHub</v>
      </c>
      <c r="F199" s="18" t="str">
        <f t="shared" si="46"/>
        <v/>
      </c>
      <c r="G199" s="13" t="str">
        <f t="shared" si="49"/>
        <v/>
      </c>
      <c r="H199">
        <f t="shared" si="50"/>
        <v>0</v>
      </c>
      <c r="I199">
        <f t="shared" si="51"/>
        <v>0</v>
      </c>
      <c r="J199" s="13">
        <f t="shared" si="52"/>
        <v>65</v>
      </c>
      <c r="K199">
        <f t="shared" si="41"/>
        <v>0</v>
      </c>
      <c r="L199">
        <f t="shared" si="42"/>
        <v>1</v>
      </c>
      <c r="M199" s="13">
        <f t="shared" si="53"/>
        <v>1</v>
      </c>
      <c r="N199">
        <f t="shared" si="53"/>
        <v>4</v>
      </c>
      <c r="O199" s="14">
        <f t="shared" si="43"/>
        <v>64</v>
      </c>
      <c r="P199" s="13">
        <f t="shared" si="47"/>
        <v>1</v>
      </c>
      <c r="Q199">
        <f t="shared" si="54"/>
        <v>4</v>
      </c>
      <c r="R199" s="14">
        <f t="shared" si="55"/>
        <v>64</v>
      </c>
      <c r="S199" s="15"/>
      <c r="W199" s="14"/>
    </row>
    <row r="200" spans="1:23" x14ac:dyDescent="0.25">
      <c r="A200" s="16"/>
      <c r="B200" s="17" t="b">
        <f t="shared" si="48"/>
        <v>0</v>
      </c>
      <c r="C200" s="17" t="b">
        <f t="shared" si="56"/>
        <v>0</v>
      </c>
      <c r="D200" s="17">
        <f t="shared" si="44"/>
        <v>1</v>
      </c>
      <c r="E200" s="17" t="str">
        <f t="shared" si="45"/>
        <v>Section 4 - Create spring-boot starter microservice, containerize it and push to DockerHub</v>
      </c>
      <c r="F200" s="18" t="str">
        <f t="shared" si="46"/>
        <v/>
      </c>
      <c r="G200" s="13" t="str">
        <f t="shared" si="49"/>
        <v/>
      </c>
      <c r="H200">
        <f t="shared" si="50"/>
        <v>0</v>
      </c>
      <c r="I200">
        <f t="shared" si="51"/>
        <v>0</v>
      </c>
      <c r="J200" s="13">
        <f t="shared" si="52"/>
        <v>65</v>
      </c>
      <c r="K200">
        <f t="shared" si="41"/>
        <v>0</v>
      </c>
      <c r="L200">
        <f t="shared" si="42"/>
        <v>1</v>
      </c>
      <c r="M200" s="13">
        <f t="shared" si="53"/>
        <v>1</v>
      </c>
      <c r="N200">
        <f t="shared" si="53"/>
        <v>4</v>
      </c>
      <c r="O200" s="14">
        <f t="shared" si="43"/>
        <v>64</v>
      </c>
      <c r="P200" s="13">
        <f t="shared" si="47"/>
        <v>1</v>
      </c>
      <c r="Q200">
        <f t="shared" si="54"/>
        <v>4</v>
      </c>
      <c r="R200" s="14">
        <f t="shared" si="55"/>
        <v>64</v>
      </c>
      <c r="S200" s="15"/>
      <c r="W200" s="14"/>
    </row>
    <row r="201" spans="1:23" x14ac:dyDescent="0.25">
      <c r="A201" s="16"/>
      <c r="B201" s="17" t="b">
        <f t="shared" si="48"/>
        <v>0</v>
      </c>
      <c r="C201" s="17" t="b">
        <f t="shared" si="56"/>
        <v>0</v>
      </c>
      <c r="D201" s="17">
        <f t="shared" si="44"/>
        <v>1</v>
      </c>
      <c r="E201" s="17" t="str">
        <f t="shared" si="45"/>
        <v>Section 4 - Create spring-boot starter microservice, containerize it and push to DockerHub</v>
      </c>
      <c r="F201" s="18" t="str">
        <f t="shared" si="46"/>
        <v/>
      </c>
      <c r="G201" s="13" t="str">
        <f t="shared" si="49"/>
        <v/>
      </c>
      <c r="H201">
        <f t="shared" si="50"/>
        <v>0</v>
      </c>
      <c r="I201">
        <f t="shared" si="51"/>
        <v>0</v>
      </c>
      <c r="J201" s="13">
        <f t="shared" si="52"/>
        <v>65</v>
      </c>
      <c r="K201">
        <f t="shared" si="41"/>
        <v>0</v>
      </c>
      <c r="L201">
        <f t="shared" si="42"/>
        <v>1</v>
      </c>
      <c r="M201" s="13">
        <f t="shared" si="53"/>
        <v>1</v>
      </c>
      <c r="N201">
        <f t="shared" si="53"/>
        <v>4</v>
      </c>
      <c r="O201" s="14">
        <f t="shared" si="43"/>
        <v>64</v>
      </c>
      <c r="P201" s="13">
        <f t="shared" si="47"/>
        <v>1</v>
      </c>
      <c r="Q201">
        <f t="shared" si="54"/>
        <v>4</v>
      </c>
      <c r="R201" s="14">
        <f t="shared" si="55"/>
        <v>64</v>
      </c>
      <c r="S201" s="15"/>
      <c r="W201" s="14"/>
    </row>
    <row r="202" spans="1:23" x14ac:dyDescent="0.25">
      <c r="A202" s="16"/>
      <c r="B202" s="17" t="b">
        <f t="shared" si="48"/>
        <v>0</v>
      </c>
      <c r="C202" s="17" t="b">
        <f t="shared" si="56"/>
        <v>0</v>
      </c>
      <c r="D202" s="17">
        <f t="shared" si="44"/>
        <v>1</v>
      </c>
      <c r="E202" s="17" t="str">
        <f t="shared" si="45"/>
        <v>Section 4 - Create spring-boot starter microservice, containerize it and push to DockerHub</v>
      </c>
      <c r="F202" s="18" t="str">
        <f t="shared" si="46"/>
        <v/>
      </c>
      <c r="G202" s="13" t="str">
        <f t="shared" si="49"/>
        <v/>
      </c>
      <c r="H202">
        <f t="shared" si="50"/>
        <v>0</v>
      </c>
      <c r="I202">
        <f t="shared" si="51"/>
        <v>0</v>
      </c>
      <c r="J202" s="13">
        <f t="shared" si="52"/>
        <v>65</v>
      </c>
      <c r="K202">
        <f t="shared" ref="K202:K265" si="57">INT(J202/60/60)</f>
        <v>0</v>
      </c>
      <c r="L202">
        <f t="shared" ref="L202:L265" si="58">INT((J202-(K202*60*60))/60)</f>
        <v>1</v>
      </c>
      <c r="M202" s="13">
        <f t="shared" si="53"/>
        <v>1</v>
      </c>
      <c r="N202">
        <f t="shared" si="53"/>
        <v>4</v>
      </c>
      <c r="O202" s="14">
        <f t="shared" ref="O202:O265" si="59">((M202*60)+N202)</f>
        <v>64</v>
      </c>
      <c r="P202" s="13">
        <f t="shared" si="47"/>
        <v>1</v>
      </c>
      <c r="Q202">
        <f t="shared" si="54"/>
        <v>4</v>
      </c>
      <c r="R202" s="14">
        <f t="shared" si="55"/>
        <v>64</v>
      </c>
      <c r="S202" s="15"/>
      <c r="W202" s="14"/>
    </row>
    <row r="203" spans="1:23" x14ac:dyDescent="0.25">
      <c r="A203" s="16"/>
      <c r="B203" s="17" t="b">
        <f t="shared" si="48"/>
        <v>0</v>
      </c>
      <c r="C203" s="17" t="b">
        <f t="shared" si="56"/>
        <v>0</v>
      </c>
      <c r="D203" s="17">
        <f t="shared" ref="D203:D266" si="60">IF(B203,0,IF(C203,D202+1,D202))</f>
        <v>1</v>
      </c>
      <c r="E203" s="17" t="str">
        <f t="shared" ref="E203:E266" si="61">SUBSTITUTE(IF(B203,A203,E202),":"," -")</f>
        <v>Section 4 - Create spring-boot starter microservice, containerize it and push to DockerHub</v>
      </c>
      <c r="F203" s="18" t="str">
        <f t="shared" ref="F203:F266" si="62">IF(C203,A203,"")</f>
        <v/>
      </c>
      <c r="G203" s="13" t="str">
        <f t="shared" si="49"/>
        <v/>
      </c>
      <c r="H203">
        <f t="shared" si="50"/>
        <v>0</v>
      </c>
      <c r="I203">
        <f t="shared" si="51"/>
        <v>0</v>
      </c>
      <c r="J203" s="13">
        <f t="shared" si="52"/>
        <v>65</v>
      </c>
      <c r="K203">
        <f t="shared" si="57"/>
        <v>0</v>
      </c>
      <c r="L203">
        <f t="shared" si="58"/>
        <v>1</v>
      </c>
      <c r="M203" s="13">
        <f t="shared" si="53"/>
        <v>1</v>
      </c>
      <c r="N203">
        <f t="shared" si="53"/>
        <v>4</v>
      </c>
      <c r="O203" s="14">
        <f t="shared" si="59"/>
        <v>64</v>
      </c>
      <c r="P203" s="13">
        <f t="shared" ref="P203:P266" si="63">INT(R203/60)</f>
        <v>1</v>
      </c>
      <c r="Q203">
        <f t="shared" si="54"/>
        <v>4</v>
      </c>
      <c r="R203" s="14">
        <f t="shared" si="55"/>
        <v>64</v>
      </c>
      <c r="S203" s="15"/>
      <c r="W203" s="14"/>
    </row>
    <row r="204" spans="1:23" x14ac:dyDescent="0.25">
      <c r="A204" s="16"/>
      <c r="B204" s="17" t="b">
        <f t="shared" si="48"/>
        <v>0</v>
      </c>
      <c r="C204" s="17" t="b">
        <f t="shared" si="56"/>
        <v>0</v>
      </c>
      <c r="D204" s="17">
        <f t="shared" si="60"/>
        <v>1</v>
      </c>
      <c r="E204" s="17" t="str">
        <f t="shared" si="61"/>
        <v>Section 4 - Create spring-boot starter microservice, containerize it and push to DockerHub</v>
      </c>
      <c r="F204" s="18" t="str">
        <f t="shared" si="62"/>
        <v/>
      </c>
      <c r="G204" s="13" t="str">
        <f t="shared" si="49"/>
        <v/>
      </c>
      <c r="H204">
        <f t="shared" si="50"/>
        <v>0</v>
      </c>
      <c r="I204">
        <f t="shared" si="51"/>
        <v>0</v>
      </c>
      <c r="J204" s="13">
        <f t="shared" si="52"/>
        <v>65</v>
      </c>
      <c r="K204">
        <f t="shared" si="57"/>
        <v>0</v>
      </c>
      <c r="L204">
        <f t="shared" si="58"/>
        <v>1</v>
      </c>
      <c r="M204" s="13">
        <f t="shared" si="53"/>
        <v>1</v>
      </c>
      <c r="N204">
        <f t="shared" si="53"/>
        <v>4</v>
      </c>
      <c r="O204" s="14">
        <f t="shared" si="59"/>
        <v>64</v>
      </c>
      <c r="P204" s="13">
        <f t="shared" si="63"/>
        <v>1</v>
      </c>
      <c r="Q204">
        <f t="shared" si="54"/>
        <v>4</v>
      </c>
      <c r="R204" s="14">
        <f t="shared" si="55"/>
        <v>64</v>
      </c>
      <c r="S204" s="15"/>
      <c r="W204" s="14"/>
    </row>
    <row r="205" spans="1:23" x14ac:dyDescent="0.25">
      <c r="A205" s="16"/>
      <c r="B205" s="17" t="b">
        <f t="shared" si="48"/>
        <v>0</v>
      </c>
      <c r="C205" s="17" t="b">
        <f t="shared" si="56"/>
        <v>0</v>
      </c>
      <c r="D205" s="17">
        <f t="shared" si="60"/>
        <v>1</v>
      </c>
      <c r="E205" s="17" t="str">
        <f t="shared" si="61"/>
        <v>Section 4 - Create spring-boot starter microservice, containerize it and push to DockerHub</v>
      </c>
      <c r="F205" s="18" t="str">
        <f t="shared" si="62"/>
        <v/>
      </c>
      <c r="G205" s="13" t="str">
        <f t="shared" si="49"/>
        <v/>
      </c>
      <c r="H205">
        <f t="shared" si="50"/>
        <v>0</v>
      </c>
      <c r="I205">
        <f t="shared" si="51"/>
        <v>0</v>
      </c>
      <c r="J205" s="13">
        <f t="shared" si="52"/>
        <v>65</v>
      </c>
      <c r="K205">
        <f t="shared" si="57"/>
        <v>0</v>
      </c>
      <c r="L205">
        <f t="shared" si="58"/>
        <v>1</v>
      </c>
      <c r="M205" s="13">
        <f t="shared" si="53"/>
        <v>1</v>
      </c>
      <c r="N205">
        <f t="shared" si="53"/>
        <v>4</v>
      </c>
      <c r="O205" s="14">
        <f t="shared" si="59"/>
        <v>64</v>
      </c>
      <c r="P205" s="13">
        <f t="shared" si="63"/>
        <v>1</v>
      </c>
      <c r="Q205">
        <f t="shared" si="54"/>
        <v>4</v>
      </c>
      <c r="R205" s="14">
        <f t="shared" si="55"/>
        <v>64</v>
      </c>
      <c r="S205" s="15"/>
      <c r="W205" s="14"/>
    </row>
    <row r="206" spans="1:23" x14ac:dyDescent="0.25">
      <c r="A206" s="16"/>
      <c r="B206" s="17" t="b">
        <f t="shared" si="48"/>
        <v>0</v>
      </c>
      <c r="C206" s="17" t="b">
        <f t="shared" si="56"/>
        <v>0</v>
      </c>
      <c r="D206" s="17">
        <f t="shared" si="60"/>
        <v>1</v>
      </c>
      <c r="E206" s="17" t="str">
        <f t="shared" si="61"/>
        <v>Section 4 - Create spring-boot starter microservice, containerize it and push to DockerHub</v>
      </c>
      <c r="F206" s="18" t="str">
        <f t="shared" si="62"/>
        <v/>
      </c>
      <c r="G206" s="13" t="str">
        <f t="shared" si="49"/>
        <v/>
      </c>
      <c r="H206">
        <f t="shared" si="50"/>
        <v>0</v>
      </c>
      <c r="I206">
        <f t="shared" si="51"/>
        <v>0</v>
      </c>
      <c r="J206" s="13">
        <f t="shared" si="52"/>
        <v>65</v>
      </c>
      <c r="K206">
        <f t="shared" si="57"/>
        <v>0</v>
      </c>
      <c r="L206">
        <f t="shared" si="58"/>
        <v>1</v>
      </c>
      <c r="M206" s="13">
        <f t="shared" si="53"/>
        <v>1</v>
      </c>
      <c r="N206">
        <f t="shared" si="53"/>
        <v>4</v>
      </c>
      <c r="O206" s="14">
        <f t="shared" si="59"/>
        <v>64</v>
      </c>
      <c r="P206" s="13">
        <f t="shared" si="63"/>
        <v>1</v>
      </c>
      <c r="Q206">
        <f t="shared" si="54"/>
        <v>4</v>
      </c>
      <c r="R206" s="14">
        <f t="shared" si="55"/>
        <v>64</v>
      </c>
      <c r="S206" s="15"/>
      <c r="W206" s="14"/>
    </row>
    <row r="207" spans="1:23" x14ac:dyDescent="0.25">
      <c r="A207" s="16"/>
      <c r="B207" s="17" t="b">
        <f t="shared" si="48"/>
        <v>0</v>
      </c>
      <c r="C207" s="17" t="b">
        <f t="shared" si="56"/>
        <v>0</v>
      </c>
      <c r="D207" s="17">
        <f t="shared" si="60"/>
        <v>1</v>
      </c>
      <c r="E207" s="17" t="str">
        <f t="shared" si="61"/>
        <v>Section 4 - Create spring-boot starter microservice, containerize it and push to DockerHub</v>
      </c>
      <c r="F207" s="18" t="str">
        <f t="shared" si="62"/>
        <v/>
      </c>
      <c r="G207" s="13" t="str">
        <f t="shared" si="49"/>
        <v/>
      </c>
      <c r="H207">
        <f t="shared" si="50"/>
        <v>0</v>
      </c>
      <c r="I207">
        <f t="shared" si="51"/>
        <v>0</v>
      </c>
      <c r="J207" s="13">
        <f t="shared" si="52"/>
        <v>65</v>
      </c>
      <c r="K207">
        <f t="shared" si="57"/>
        <v>0</v>
      </c>
      <c r="L207">
        <f t="shared" si="58"/>
        <v>1</v>
      </c>
      <c r="M207" s="13">
        <f t="shared" si="53"/>
        <v>1</v>
      </c>
      <c r="N207">
        <f t="shared" si="53"/>
        <v>4</v>
      </c>
      <c r="O207" s="14">
        <f t="shared" si="59"/>
        <v>64</v>
      </c>
      <c r="P207" s="13">
        <f t="shared" si="63"/>
        <v>1</v>
      </c>
      <c r="Q207">
        <f t="shared" si="54"/>
        <v>4</v>
      </c>
      <c r="R207" s="14">
        <f t="shared" si="55"/>
        <v>64</v>
      </c>
      <c r="S207" s="15"/>
      <c r="W207" s="14"/>
    </row>
    <row r="208" spans="1:23" x14ac:dyDescent="0.25">
      <c r="A208" s="16"/>
      <c r="B208" s="17" t="b">
        <f t="shared" si="48"/>
        <v>0</v>
      </c>
      <c r="C208" s="17" t="b">
        <f t="shared" si="56"/>
        <v>0</v>
      </c>
      <c r="D208" s="17">
        <f t="shared" si="60"/>
        <v>1</v>
      </c>
      <c r="E208" s="17" t="str">
        <f t="shared" si="61"/>
        <v>Section 4 - Create spring-boot starter microservice, containerize it and push to DockerHub</v>
      </c>
      <c r="F208" s="18" t="str">
        <f t="shared" si="62"/>
        <v/>
      </c>
      <c r="G208" s="13" t="str">
        <f t="shared" si="49"/>
        <v/>
      </c>
      <c r="H208">
        <f t="shared" si="50"/>
        <v>0</v>
      </c>
      <c r="I208">
        <f t="shared" si="51"/>
        <v>0</v>
      </c>
      <c r="J208" s="13">
        <f t="shared" si="52"/>
        <v>65</v>
      </c>
      <c r="K208">
        <f t="shared" si="57"/>
        <v>0</v>
      </c>
      <c r="L208">
        <f t="shared" si="58"/>
        <v>1</v>
      </c>
      <c r="M208" s="13">
        <f t="shared" si="53"/>
        <v>1</v>
      </c>
      <c r="N208">
        <f t="shared" si="53"/>
        <v>4</v>
      </c>
      <c r="O208" s="14">
        <f t="shared" si="59"/>
        <v>64</v>
      </c>
      <c r="P208" s="13">
        <f t="shared" si="63"/>
        <v>1</v>
      </c>
      <c r="Q208">
        <f t="shared" si="54"/>
        <v>4</v>
      </c>
      <c r="R208" s="14">
        <f t="shared" si="55"/>
        <v>64</v>
      </c>
      <c r="S208" s="15"/>
      <c r="W208" s="14"/>
    </row>
    <row r="209" spans="1:23" x14ac:dyDescent="0.25">
      <c r="A209" s="16"/>
      <c r="B209" s="17" t="b">
        <f t="shared" si="48"/>
        <v>0</v>
      </c>
      <c r="C209" s="17" t="b">
        <f t="shared" si="56"/>
        <v>0</v>
      </c>
      <c r="D209" s="17">
        <f t="shared" si="60"/>
        <v>1</v>
      </c>
      <c r="E209" s="17" t="str">
        <f t="shared" si="61"/>
        <v>Section 4 - Create spring-boot starter microservice, containerize it and push to DockerHub</v>
      </c>
      <c r="F209" s="18" t="str">
        <f t="shared" si="62"/>
        <v/>
      </c>
      <c r="G209" s="13" t="str">
        <f t="shared" si="49"/>
        <v/>
      </c>
      <c r="H209">
        <f t="shared" si="50"/>
        <v>0</v>
      </c>
      <c r="I209">
        <f t="shared" si="51"/>
        <v>0</v>
      </c>
      <c r="J209" s="13">
        <f t="shared" si="52"/>
        <v>65</v>
      </c>
      <c r="K209">
        <f t="shared" si="57"/>
        <v>0</v>
      </c>
      <c r="L209">
        <f t="shared" si="58"/>
        <v>1</v>
      </c>
      <c r="M209" s="13">
        <f t="shared" si="53"/>
        <v>1</v>
      </c>
      <c r="N209">
        <f t="shared" si="53"/>
        <v>4</v>
      </c>
      <c r="O209" s="14">
        <f t="shared" si="59"/>
        <v>64</v>
      </c>
      <c r="P209" s="13">
        <f t="shared" si="63"/>
        <v>1</v>
      </c>
      <c r="Q209">
        <f t="shared" si="54"/>
        <v>4</v>
      </c>
      <c r="R209" s="14">
        <f t="shared" si="55"/>
        <v>64</v>
      </c>
      <c r="S209" s="15"/>
      <c r="W209" s="14"/>
    </row>
    <row r="210" spans="1:23" x14ac:dyDescent="0.25">
      <c r="A210" s="16"/>
      <c r="B210" s="17" t="b">
        <f t="shared" ref="B210:B273" si="64">AND(NOT(ISERROR(FIND("Section ",A210))),NOT(ISERROR(FIND("Section ",A210))))</f>
        <v>0</v>
      </c>
      <c r="C210" s="17" t="b">
        <f t="shared" si="56"/>
        <v>0</v>
      </c>
      <c r="D210" s="17">
        <f t="shared" si="60"/>
        <v>1</v>
      </c>
      <c r="E210" s="17" t="str">
        <f t="shared" si="61"/>
        <v>Section 4 - Create spring-boot starter microservice, containerize it and push to DockerHub</v>
      </c>
      <c r="F210" s="18" t="str">
        <f t="shared" si="62"/>
        <v/>
      </c>
      <c r="G210" s="13" t="str">
        <f t="shared" si="49"/>
        <v/>
      </c>
      <c r="H210">
        <f t="shared" si="50"/>
        <v>0</v>
      </c>
      <c r="I210">
        <f t="shared" si="51"/>
        <v>0</v>
      </c>
      <c r="J210" s="13">
        <f t="shared" si="52"/>
        <v>65</v>
      </c>
      <c r="K210">
        <f t="shared" si="57"/>
        <v>0</v>
      </c>
      <c r="L210">
        <f t="shared" si="58"/>
        <v>1</v>
      </c>
      <c r="M210" s="13">
        <f t="shared" si="53"/>
        <v>1</v>
      </c>
      <c r="N210">
        <f t="shared" si="53"/>
        <v>4</v>
      </c>
      <c r="O210" s="14">
        <f t="shared" si="59"/>
        <v>64</v>
      </c>
      <c r="P210" s="13">
        <f t="shared" si="63"/>
        <v>1</v>
      </c>
      <c r="Q210">
        <f t="shared" si="54"/>
        <v>4</v>
      </c>
      <c r="R210" s="14">
        <f t="shared" si="55"/>
        <v>64</v>
      </c>
      <c r="S210" s="15"/>
      <c r="W210" s="14"/>
    </row>
    <row r="211" spans="1:23" x14ac:dyDescent="0.25">
      <c r="A211" s="16"/>
      <c r="B211" s="17" t="b">
        <f t="shared" si="64"/>
        <v>0</v>
      </c>
      <c r="C211" s="17" t="b">
        <f t="shared" si="56"/>
        <v>0</v>
      </c>
      <c r="D211" s="17">
        <f t="shared" si="60"/>
        <v>1</v>
      </c>
      <c r="E211" s="17" t="str">
        <f t="shared" si="61"/>
        <v>Section 4 - Create spring-boot starter microservice, containerize it and push to DockerHub</v>
      </c>
      <c r="F211" s="18" t="str">
        <f t="shared" si="62"/>
        <v/>
      </c>
      <c r="G211" s="13" t="str">
        <f t="shared" si="49"/>
        <v/>
      </c>
      <c r="H211">
        <f t="shared" si="50"/>
        <v>0</v>
      </c>
      <c r="I211">
        <f t="shared" si="51"/>
        <v>0</v>
      </c>
      <c r="J211" s="13">
        <f t="shared" si="52"/>
        <v>65</v>
      </c>
      <c r="K211">
        <f t="shared" si="57"/>
        <v>0</v>
      </c>
      <c r="L211">
        <f t="shared" si="58"/>
        <v>1</v>
      </c>
      <c r="M211" s="13">
        <f t="shared" si="53"/>
        <v>1</v>
      </c>
      <c r="N211">
        <f t="shared" si="53"/>
        <v>4</v>
      </c>
      <c r="O211" s="14">
        <f t="shared" si="59"/>
        <v>64</v>
      </c>
      <c r="P211" s="13">
        <f t="shared" si="63"/>
        <v>1</v>
      </c>
      <c r="Q211">
        <f t="shared" si="54"/>
        <v>4</v>
      </c>
      <c r="R211" s="14">
        <f t="shared" si="55"/>
        <v>64</v>
      </c>
      <c r="S211" s="15"/>
      <c r="W211" s="14"/>
    </row>
    <row r="212" spans="1:23" x14ac:dyDescent="0.25">
      <c r="A212" s="16"/>
      <c r="B212" s="17" t="b">
        <f t="shared" si="64"/>
        <v>0</v>
      </c>
      <c r="C212" s="17" t="b">
        <f t="shared" si="56"/>
        <v>0</v>
      </c>
      <c r="D212" s="17">
        <f t="shared" si="60"/>
        <v>1</v>
      </c>
      <c r="E212" s="17" t="str">
        <f t="shared" si="61"/>
        <v>Section 4 - Create spring-boot starter microservice, containerize it and push to DockerHub</v>
      </c>
      <c r="F212" s="18" t="str">
        <f t="shared" si="62"/>
        <v/>
      </c>
      <c r="G212" s="13" t="str">
        <f t="shared" si="49"/>
        <v/>
      </c>
      <c r="H212">
        <f t="shared" si="50"/>
        <v>0</v>
      </c>
      <c r="I212">
        <f t="shared" si="51"/>
        <v>0</v>
      </c>
      <c r="J212" s="13">
        <f t="shared" si="52"/>
        <v>65</v>
      </c>
      <c r="K212">
        <f t="shared" si="57"/>
        <v>0</v>
      </c>
      <c r="L212">
        <f t="shared" si="58"/>
        <v>1</v>
      </c>
      <c r="M212" s="13">
        <f t="shared" si="53"/>
        <v>1</v>
      </c>
      <c r="N212">
        <f t="shared" si="53"/>
        <v>4</v>
      </c>
      <c r="O212" s="14">
        <f t="shared" si="59"/>
        <v>64</v>
      </c>
      <c r="P212" s="13">
        <f t="shared" si="63"/>
        <v>1</v>
      </c>
      <c r="Q212">
        <f t="shared" si="54"/>
        <v>4</v>
      </c>
      <c r="R212" s="14">
        <f t="shared" si="55"/>
        <v>64</v>
      </c>
      <c r="S212" s="15"/>
      <c r="W212" s="14"/>
    </row>
    <row r="213" spans="1:23" x14ac:dyDescent="0.25">
      <c r="A213" s="16"/>
      <c r="B213" s="17" t="b">
        <f t="shared" si="64"/>
        <v>0</v>
      </c>
      <c r="C213" s="17" t="b">
        <f t="shared" si="56"/>
        <v>0</v>
      </c>
      <c r="D213" s="17">
        <f t="shared" si="60"/>
        <v>1</v>
      </c>
      <c r="E213" s="17" t="str">
        <f t="shared" si="61"/>
        <v>Section 4 - Create spring-boot starter microservice, containerize it and push to DockerHub</v>
      </c>
      <c r="F213" s="18" t="str">
        <f t="shared" si="62"/>
        <v/>
      </c>
      <c r="G213" s="13" t="str">
        <f t="shared" ref="G213:G276" si="65">IF(C213,A214,"")</f>
        <v/>
      </c>
      <c r="H213">
        <f t="shared" ref="H213:H276" si="66">VALUE(IF(NOT(ISERROR(FIND("hr",G213))),LEFT(G213,FIND("hr",G213)-1),0))</f>
        <v>0</v>
      </c>
      <c r="I213">
        <f t="shared" ref="I213:I276" si="67">VALUE(IF(ISERROR(FIND("min",G213)),0,SUBSTITUTE(MID(G213,IF(ISERROR(FIND("hr ",G213)),1,FIND("hr ",G213)+3),LEN(G213)),"min","")))</f>
        <v>0</v>
      </c>
      <c r="J213" s="13">
        <f t="shared" ref="J213:J276" si="68">J212+(H213*60+I213)</f>
        <v>65</v>
      </c>
      <c r="K213">
        <f t="shared" si="57"/>
        <v>0</v>
      </c>
      <c r="L213">
        <f t="shared" si="58"/>
        <v>1</v>
      </c>
      <c r="M213" s="13">
        <f t="shared" ref="M213:N276" si="69">P212</f>
        <v>1</v>
      </c>
      <c r="N213">
        <f t="shared" si="69"/>
        <v>4</v>
      </c>
      <c r="O213" s="14">
        <f t="shared" si="59"/>
        <v>64</v>
      </c>
      <c r="P213" s="13">
        <f t="shared" si="63"/>
        <v>1</v>
      </c>
      <c r="Q213">
        <f t="shared" ref="Q213:Q276" si="70">R213-(P213*60)</f>
        <v>4</v>
      </c>
      <c r="R213" s="14">
        <f t="shared" ref="R213:R276" si="71">((H213*60)+I213)+O213</f>
        <v>64</v>
      </c>
      <c r="S213" s="15"/>
      <c r="W213" s="14"/>
    </row>
    <row r="214" spans="1:23" x14ac:dyDescent="0.25">
      <c r="A214" s="16"/>
      <c r="B214" s="17" t="b">
        <f t="shared" si="64"/>
        <v>0</v>
      </c>
      <c r="C214" s="17" t="b">
        <f t="shared" si="56"/>
        <v>0</v>
      </c>
      <c r="D214" s="17">
        <f t="shared" si="60"/>
        <v>1</v>
      </c>
      <c r="E214" s="17" t="str">
        <f t="shared" si="61"/>
        <v>Section 4 - Create spring-boot starter microservice, containerize it and push to DockerHub</v>
      </c>
      <c r="F214" s="18" t="str">
        <f t="shared" si="62"/>
        <v/>
      </c>
      <c r="G214" s="13" t="str">
        <f t="shared" si="65"/>
        <v/>
      </c>
      <c r="H214">
        <f t="shared" si="66"/>
        <v>0</v>
      </c>
      <c r="I214">
        <f t="shared" si="67"/>
        <v>0</v>
      </c>
      <c r="J214" s="13">
        <f t="shared" si="68"/>
        <v>65</v>
      </c>
      <c r="K214">
        <f t="shared" si="57"/>
        <v>0</v>
      </c>
      <c r="L214">
        <f t="shared" si="58"/>
        <v>1</v>
      </c>
      <c r="M214" s="13">
        <f t="shared" si="69"/>
        <v>1</v>
      </c>
      <c r="N214">
        <f t="shared" si="69"/>
        <v>4</v>
      </c>
      <c r="O214" s="14">
        <f t="shared" si="59"/>
        <v>64</v>
      </c>
      <c r="P214" s="13">
        <f t="shared" si="63"/>
        <v>1</v>
      </c>
      <c r="Q214">
        <f t="shared" si="70"/>
        <v>4</v>
      </c>
      <c r="R214" s="14">
        <f t="shared" si="71"/>
        <v>64</v>
      </c>
      <c r="S214" s="15"/>
      <c r="W214" s="14"/>
    </row>
    <row r="215" spans="1:23" x14ac:dyDescent="0.25">
      <c r="A215" s="16"/>
      <c r="B215" s="17" t="b">
        <f t="shared" si="64"/>
        <v>0</v>
      </c>
      <c r="C215" s="17" t="b">
        <f t="shared" si="56"/>
        <v>0</v>
      </c>
      <c r="D215" s="17">
        <f t="shared" si="60"/>
        <v>1</v>
      </c>
      <c r="E215" s="17" t="str">
        <f t="shared" si="61"/>
        <v>Section 4 - Create spring-boot starter microservice, containerize it and push to DockerHub</v>
      </c>
      <c r="F215" s="18" t="str">
        <f t="shared" si="62"/>
        <v/>
      </c>
      <c r="G215" s="13" t="str">
        <f t="shared" si="65"/>
        <v/>
      </c>
      <c r="H215">
        <f t="shared" si="66"/>
        <v>0</v>
      </c>
      <c r="I215">
        <f t="shared" si="67"/>
        <v>0</v>
      </c>
      <c r="J215" s="13">
        <f t="shared" si="68"/>
        <v>65</v>
      </c>
      <c r="K215">
        <f t="shared" si="57"/>
        <v>0</v>
      </c>
      <c r="L215">
        <f t="shared" si="58"/>
        <v>1</v>
      </c>
      <c r="M215" s="13">
        <f t="shared" si="69"/>
        <v>1</v>
      </c>
      <c r="N215">
        <f t="shared" si="69"/>
        <v>4</v>
      </c>
      <c r="O215" s="14">
        <f t="shared" si="59"/>
        <v>64</v>
      </c>
      <c r="P215" s="13">
        <f t="shared" si="63"/>
        <v>1</v>
      </c>
      <c r="Q215">
        <f t="shared" si="70"/>
        <v>4</v>
      </c>
      <c r="R215" s="14">
        <f t="shared" si="71"/>
        <v>64</v>
      </c>
      <c r="S215" s="15"/>
      <c r="W215" s="14"/>
    </row>
    <row r="216" spans="1:23" x14ac:dyDescent="0.25">
      <c r="A216" s="16"/>
      <c r="B216" s="17" t="b">
        <f t="shared" si="64"/>
        <v>0</v>
      </c>
      <c r="C216" s="17" t="b">
        <f t="shared" si="56"/>
        <v>0</v>
      </c>
      <c r="D216" s="17">
        <f t="shared" si="60"/>
        <v>1</v>
      </c>
      <c r="E216" s="17" t="str">
        <f t="shared" si="61"/>
        <v>Section 4 - Create spring-boot starter microservice, containerize it and push to DockerHub</v>
      </c>
      <c r="F216" s="18" t="str">
        <f t="shared" si="62"/>
        <v/>
      </c>
      <c r="G216" s="13" t="str">
        <f t="shared" si="65"/>
        <v/>
      </c>
      <c r="H216">
        <f t="shared" si="66"/>
        <v>0</v>
      </c>
      <c r="I216">
        <f t="shared" si="67"/>
        <v>0</v>
      </c>
      <c r="J216" s="13">
        <f t="shared" si="68"/>
        <v>65</v>
      </c>
      <c r="K216">
        <f t="shared" si="57"/>
        <v>0</v>
      </c>
      <c r="L216">
        <f t="shared" si="58"/>
        <v>1</v>
      </c>
      <c r="M216" s="13">
        <f t="shared" si="69"/>
        <v>1</v>
      </c>
      <c r="N216">
        <f t="shared" si="69"/>
        <v>4</v>
      </c>
      <c r="O216" s="14">
        <f t="shared" si="59"/>
        <v>64</v>
      </c>
      <c r="P216" s="13">
        <f t="shared" si="63"/>
        <v>1</v>
      </c>
      <c r="Q216">
        <f t="shared" si="70"/>
        <v>4</v>
      </c>
      <c r="R216" s="14">
        <f t="shared" si="71"/>
        <v>64</v>
      </c>
      <c r="S216" s="15"/>
      <c r="W216" s="14"/>
    </row>
    <row r="217" spans="1:23" x14ac:dyDescent="0.25">
      <c r="A217" s="16"/>
      <c r="B217" s="17" t="b">
        <f t="shared" si="64"/>
        <v>0</v>
      </c>
      <c r="C217" s="17" t="b">
        <f t="shared" si="56"/>
        <v>0</v>
      </c>
      <c r="D217" s="17">
        <f t="shared" si="60"/>
        <v>1</v>
      </c>
      <c r="E217" s="17" t="str">
        <f t="shared" si="61"/>
        <v>Section 4 - Create spring-boot starter microservice, containerize it and push to DockerHub</v>
      </c>
      <c r="F217" s="18" t="str">
        <f t="shared" si="62"/>
        <v/>
      </c>
      <c r="G217" s="13" t="str">
        <f t="shared" si="65"/>
        <v/>
      </c>
      <c r="H217">
        <f t="shared" si="66"/>
        <v>0</v>
      </c>
      <c r="I217">
        <f t="shared" si="67"/>
        <v>0</v>
      </c>
      <c r="J217" s="13">
        <f t="shared" si="68"/>
        <v>65</v>
      </c>
      <c r="K217">
        <f t="shared" si="57"/>
        <v>0</v>
      </c>
      <c r="L217">
        <f t="shared" si="58"/>
        <v>1</v>
      </c>
      <c r="M217" s="13">
        <f t="shared" si="69"/>
        <v>1</v>
      </c>
      <c r="N217">
        <f t="shared" si="69"/>
        <v>4</v>
      </c>
      <c r="O217" s="14">
        <f t="shared" si="59"/>
        <v>64</v>
      </c>
      <c r="P217" s="13">
        <f t="shared" si="63"/>
        <v>1</v>
      </c>
      <c r="Q217">
        <f t="shared" si="70"/>
        <v>4</v>
      </c>
      <c r="R217" s="14">
        <f t="shared" si="71"/>
        <v>64</v>
      </c>
      <c r="S217" s="15"/>
      <c r="W217" s="14"/>
    </row>
    <row r="218" spans="1:23" x14ac:dyDescent="0.25">
      <c r="A218" s="16"/>
      <c r="B218" s="17" t="b">
        <f t="shared" si="64"/>
        <v>0</v>
      </c>
      <c r="C218" s="17" t="b">
        <f t="shared" si="56"/>
        <v>0</v>
      </c>
      <c r="D218" s="17">
        <f t="shared" si="60"/>
        <v>1</v>
      </c>
      <c r="E218" s="17" t="str">
        <f t="shared" si="61"/>
        <v>Section 4 - Create spring-boot starter microservice, containerize it and push to DockerHub</v>
      </c>
      <c r="F218" s="18" t="str">
        <f t="shared" si="62"/>
        <v/>
      </c>
      <c r="G218" s="13" t="str">
        <f t="shared" si="65"/>
        <v/>
      </c>
      <c r="H218">
        <f t="shared" si="66"/>
        <v>0</v>
      </c>
      <c r="I218">
        <f t="shared" si="67"/>
        <v>0</v>
      </c>
      <c r="J218" s="13">
        <f t="shared" si="68"/>
        <v>65</v>
      </c>
      <c r="K218">
        <f t="shared" si="57"/>
        <v>0</v>
      </c>
      <c r="L218">
        <f t="shared" si="58"/>
        <v>1</v>
      </c>
      <c r="M218" s="13">
        <f t="shared" si="69"/>
        <v>1</v>
      </c>
      <c r="N218">
        <f t="shared" si="69"/>
        <v>4</v>
      </c>
      <c r="O218" s="14">
        <f t="shared" si="59"/>
        <v>64</v>
      </c>
      <c r="P218" s="13">
        <f t="shared" si="63"/>
        <v>1</v>
      </c>
      <c r="Q218">
        <f t="shared" si="70"/>
        <v>4</v>
      </c>
      <c r="R218" s="14">
        <f t="shared" si="71"/>
        <v>64</v>
      </c>
      <c r="S218" s="15"/>
      <c r="W218" s="14"/>
    </row>
    <row r="219" spans="1:23" x14ac:dyDescent="0.25">
      <c r="A219" s="16"/>
      <c r="B219" s="17" t="b">
        <f t="shared" si="64"/>
        <v>0</v>
      </c>
      <c r="C219" s="17" t="b">
        <f t="shared" si="56"/>
        <v>0</v>
      </c>
      <c r="D219" s="17">
        <f t="shared" si="60"/>
        <v>1</v>
      </c>
      <c r="E219" s="17" t="str">
        <f t="shared" si="61"/>
        <v>Section 4 - Create spring-boot starter microservice, containerize it and push to DockerHub</v>
      </c>
      <c r="F219" s="18" t="str">
        <f t="shared" si="62"/>
        <v/>
      </c>
      <c r="G219" s="13" t="str">
        <f t="shared" si="65"/>
        <v/>
      </c>
      <c r="H219">
        <f t="shared" si="66"/>
        <v>0</v>
      </c>
      <c r="I219">
        <f t="shared" si="67"/>
        <v>0</v>
      </c>
      <c r="J219" s="13">
        <f t="shared" si="68"/>
        <v>65</v>
      </c>
      <c r="K219">
        <f t="shared" si="57"/>
        <v>0</v>
      </c>
      <c r="L219">
        <f t="shared" si="58"/>
        <v>1</v>
      </c>
      <c r="M219" s="13">
        <f t="shared" si="69"/>
        <v>1</v>
      </c>
      <c r="N219">
        <f t="shared" si="69"/>
        <v>4</v>
      </c>
      <c r="O219" s="14">
        <f t="shared" si="59"/>
        <v>64</v>
      </c>
      <c r="P219" s="13">
        <f t="shared" si="63"/>
        <v>1</v>
      </c>
      <c r="Q219">
        <f t="shared" si="70"/>
        <v>4</v>
      </c>
      <c r="R219" s="14">
        <f t="shared" si="71"/>
        <v>64</v>
      </c>
      <c r="S219" s="15"/>
      <c r="W219" s="14"/>
    </row>
    <row r="220" spans="1:23" x14ac:dyDescent="0.25">
      <c r="A220" s="16"/>
      <c r="B220" s="17" t="b">
        <f t="shared" si="64"/>
        <v>0</v>
      </c>
      <c r="C220" s="17" t="b">
        <f t="shared" si="56"/>
        <v>0</v>
      </c>
      <c r="D220" s="17">
        <f t="shared" si="60"/>
        <v>1</v>
      </c>
      <c r="E220" s="17" t="str">
        <f t="shared" si="61"/>
        <v>Section 4 - Create spring-boot starter microservice, containerize it and push to DockerHub</v>
      </c>
      <c r="F220" s="18" t="str">
        <f t="shared" si="62"/>
        <v/>
      </c>
      <c r="G220" s="13" t="str">
        <f t="shared" si="65"/>
        <v/>
      </c>
      <c r="H220">
        <f t="shared" si="66"/>
        <v>0</v>
      </c>
      <c r="I220">
        <f t="shared" si="67"/>
        <v>0</v>
      </c>
      <c r="J220" s="13">
        <f t="shared" si="68"/>
        <v>65</v>
      </c>
      <c r="K220">
        <f t="shared" si="57"/>
        <v>0</v>
      </c>
      <c r="L220">
        <f t="shared" si="58"/>
        <v>1</v>
      </c>
      <c r="M220" s="13">
        <f t="shared" si="69"/>
        <v>1</v>
      </c>
      <c r="N220">
        <f t="shared" si="69"/>
        <v>4</v>
      </c>
      <c r="O220" s="14">
        <f t="shared" si="59"/>
        <v>64</v>
      </c>
      <c r="P220" s="13">
        <f t="shared" si="63"/>
        <v>1</v>
      </c>
      <c r="Q220">
        <f t="shared" si="70"/>
        <v>4</v>
      </c>
      <c r="R220" s="14">
        <f t="shared" si="71"/>
        <v>64</v>
      </c>
      <c r="S220" s="15"/>
      <c r="W220" s="14"/>
    </row>
    <row r="221" spans="1:23" x14ac:dyDescent="0.25">
      <c r="A221" s="16"/>
      <c r="B221" s="17" t="b">
        <f t="shared" si="64"/>
        <v>0</v>
      </c>
      <c r="C221" s="17" t="b">
        <f t="shared" si="56"/>
        <v>0</v>
      </c>
      <c r="D221" s="17">
        <f t="shared" si="60"/>
        <v>1</v>
      </c>
      <c r="E221" s="17" t="str">
        <f t="shared" si="61"/>
        <v>Section 4 - Create spring-boot starter microservice, containerize it and push to DockerHub</v>
      </c>
      <c r="F221" s="18" t="str">
        <f t="shared" si="62"/>
        <v/>
      </c>
      <c r="G221" s="13" t="str">
        <f t="shared" si="65"/>
        <v/>
      </c>
      <c r="H221">
        <f t="shared" si="66"/>
        <v>0</v>
      </c>
      <c r="I221">
        <f t="shared" si="67"/>
        <v>0</v>
      </c>
      <c r="J221" s="13">
        <f t="shared" si="68"/>
        <v>65</v>
      </c>
      <c r="K221">
        <f t="shared" si="57"/>
        <v>0</v>
      </c>
      <c r="L221">
        <f t="shared" si="58"/>
        <v>1</v>
      </c>
      <c r="M221" s="13">
        <f t="shared" si="69"/>
        <v>1</v>
      </c>
      <c r="N221">
        <f t="shared" si="69"/>
        <v>4</v>
      </c>
      <c r="O221" s="14">
        <f t="shared" si="59"/>
        <v>64</v>
      </c>
      <c r="P221" s="13">
        <f t="shared" si="63"/>
        <v>1</v>
      </c>
      <c r="Q221">
        <f t="shared" si="70"/>
        <v>4</v>
      </c>
      <c r="R221" s="14">
        <f t="shared" si="71"/>
        <v>64</v>
      </c>
      <c r="S221" s="15"/>
      <c r="W221" s="14"/>
    </row>
    <row r="222" spans="1:23" x14ac:dyDescent="0.25">
      <c r="A222" s="16"/>
      <c r="B222" s="17" t="b">
        <f t="shared" si="64"/>
        <v>0</v>
      </c>
      <c r="C222" s="17" t="b">
        <f t="shared" si="56"/>
        <v>0</v>
      </c>
      <c r="D222" s="17">
        <f t="shared" si="60"/>
        <v>1</v>
      </c>
      <c r="E222" s="17" t="str">
        <f t="shared" si="61"/>
        <v>Section 4 - Create spring-boot starter microservice, containerize it and push to DockerHub</v>
      </c>
      <c r="F222" s="18" t="str">
        <f t="shared" si="62"/>
        <v/>
      </c>
      <c r="G222" s="13" t="str">
        <f t="shared" si="65"/>
        <v/>
      </c>
      <c r="H222">
        <f t="shared" si="66"/>
        <v>0</v>
      </c>
      <c r="I222">
        <f t="shared" si="67"/>
        <v>0</v>
      </c>
      <c r="J222" s="13">
        <f t="shared" si="68"/>
        <v>65</v>
      </c>
      <c r="K222">
        <f t="shared" si="57"/>
        <v>0</v>
      </c>
      <c r="L222">
        <f t="shared" si="58"/>
        <v>1</v>
      </c>
      <c r="M222" s="13">
        <f t="shared" si="69"/>
        <v>1</v>
      </c>
      <c r="N222">
        <f t="shared" si="69"/>
        <v>4</v>
      </c>
      <c r="O222" s="14">
        <f t="shared" si="59"/>
        <v>64</v>
      </c>
      <c r="P222" s="13">
        <f t="shared" si="63"/>
        <v>1</v>
      </c>
      <c r="Q222">
        <f t="shared" si="70"/>
        <v>4</v>
      </c>
      <c r="R222" s="14">
        <f t="shared" si="71"/>
        <v>64</v>
      </c>
      <c r="S222" s="15"/>
      <c r="W222" s="14"/>
    </row>
    <row r="223" spans="1:23" x14ac:dyDescent="0.25">
      <c r="A223" s="16"/>
      <c r="B223" s="17" t="b">
        <f t="shared" si="64"/>
        <v>0</v>
      </c>
      <c r="C223" s="17" t="b">
        <f t="shared" si="56"/>
        <v>0</v>
      </c>
      <c r="D223" s="17">
        <f t="shared" si="60"/>
        <v>1</v>
      </c>
      <c r="E223" s="17" t="str">
        <f t="shared" si="61"/>
        <v>Section 4 - Create spring-boot starter microservice, containerize it and push to DockerHub</v>
      </c>
      <c r="F223" s="18" t="str">
        <f t="shared" si="62"/>
        <v/>
      </c>
      <c r="G223" s="13" t="str">
        <f t="shared" si="65"/>
        <v/>
      </c>
      <c r="H223">
        <f t="shared" si="66"/>
        <v>0</v>
      </c>
      <c r="I223">
        <f t="shared" si="67"/>
        <v>0</v>
      </c>
      <c r="J223" s="13">
        <f t="shared" si="68"/>
        <v>65</v>
      </c>
      <c r="K223">
        <f t="shared" si="57"/>
        <v>0</v>
      </c>
      <c r="L223">
        <f t="shared" si="58"/>
        <v>1</v>
      </c>
      <c r="M223" s="13">
        <f t="shared" si="69"/>
        <v>1</v>
      </c>
      <c r="N223">
        <f t="shared" si="69"/>
        <v>4</v>
      </c>
      <c r="O223" s="14">
        <f t="shared" si="59"/>
        <v>64</v>
      </c>
      <c r="P223" s="13">
        <f t="shared" si="63"/>
        <v>1</v>
      </c>
      <c r="Q223">
        <f t="shared" si="70"/>
        <v>4</v>
      </c>
      <c r="R223" s="14">
        <f t="shared" si="71"/>
        <v>64</v>
      </c>
      <c r="S223" s="15"/>
      <c r="W223" s="14"/>
    </row>
    <row r="224" spans="1:23" x14ac:dyDescent="0.25">
      <c r="A224" s="16"/>
      <c r="B224" s="17" t="b">
        <f t="shared" si="64"/>
        <v>0</v>
      </c>
      <c r="C224" s="17" t="b">
        <f t="shared" si="56"/>
        <v>0</v>
      </c>
      <c r="D224" s="17">
        <f t="shared" si="60"/>
        <v>1</v>
      </c>
      <c r="E224" s="17" t="str">
        <f t="shared" si="61"/>
        <v>Section 4 - Create spring-boot starter microservice, containerize it and push to DockerHub</v>
      </c>
      <c r="F224" s="18" t="str">
        <f t="shared" si="62"/>
        <v/>
      </c>
      <c r="G224" s="13" t="str">
        <f t="shared" si="65"/>
        <v/>
      </c>
      <c r="H224">
        <f t="shared" si="66"/>
        <v>0</v>
      </c>
      <c r="I224">
        <f t="shared" si="67"/>
        <v>0</v>
      </c>
      <c r="J224" s="13">
        <f t="shared" si="68"/>
        <v>65</v>
      </c>
      <c r="K224">
        <f t="shared" si="57"/>
        <v>0</v>
      </c>
      <c r="L224">
        <f t="shared" si="58"/>
        <v>1</v>
      </c>
      <c r="M224" s="13">
        <f t="shared" si="69"/>
        <v>1</v>
      </c>
      <c r="N224">
        <f t="shared" si="69"/>
        <v>4</v>
      </c>
      <c r="O224" s="14">
        <f t="shared" si="59"/>
        <v>64</v>
      </c>
      <c r="P224" s="13">
        <f t="shared" si="63"/>
        <v>1</v>
      </c>
      <c r="Q224">
        <f t="shared" si="70"/>
        <v>4</v>
      </c>
      <c r="R224" s="14">
        <f t="shared" si="71"/>
        <v>64</v>
      </c>
      <c r="S224" s="15"/>
      <c r="W224" s="14"/>
    </row>
    <row r="225" spans="1:23" x14ac:dyDescent="0.25">
      <c r="A225" s="16"/>
      <c r="B225" s="17" t="b">
        <f t="shared" si="64"/>
        <v>0</v>
      </c>
      <c r="C225" s="17" t="b">
        <f t="shared" si="56"/>
        <v>0</v>
      </c>
      <c r="D225" s="17">
        <f t="shared" si="60"/>
        <v>1</v>
      </c>
      <c r="E225" s="17" t="str">
        <f t="shared" si="61"/>
        <v>Section 4 - Create spring-boot starter microservice, containerize it and push to DockerHub</v>
      </c>
      <c r="F225" s="18" t="str">
        <f t="shared" si="62"/>
        <v/>
      </c>
      <c r="G225" s="13" t="str">
        <f t="shared" si="65"/>
        <v/>
      </c>
      <c r="H225">
        <f t="shared" si="66"/>
        <v>0</v>
      </c>
      <c r="I225">
        <f t="shared" si="67"/>
        <v>0</v>
      </c>
      <c r="J225" s="13">
        <f t="shared" si="68"/>
        <v>65</v>
      </c>
      <c r="K225">
        <f t="shared" si="57"/>
        <v>0</v>
      </c>
      <c r="L225">
        <f t="shared" si="58"/>
        <v>1</v>
      </c>
      <c r="M225" s="13">
        <f t="shared" si="69"/>
        <v>1</v>
      </c>
      <c r="N225">
        <f t="shared" si="69"/>
        <v>4</v>
      </c>
      <c r="O225" s="14">
        <f t="shared" si="59"/>
        <v>64</v>
      </c>
      <c r="P225" s="13">
        <f t="shared" si="63"/>
        <v>1</v>
      </c>
      <c r="Q225">
        <f t="shared" si="70"/>
        <v>4</v>
      </c>
      <c r="R225" s="14">
        <f t="shared" si="71"/>
        <v>64</v>
      </c>
      <c r="S225" s="15"/>
      <c r="W225" s="14"/>
    </row>
    <row r="226" spans="1:23" x14ac:dyDescent="0.25">
      <c r="A226" s="16"/>
      <c r="B226" s="17" t="b">
        <f t="shared" si="64"/>
        <v>0</v>
      </c>
      <c r="C226" s="17" t="b">
        <f t="shared" si="56"/>
        <v>0</v>
      </c>
      <c r="D226" s="17">
        <f t="shared" si="60"/>
        <v>1</v>
      </c>
      <c r="E226" s="17" t="str">
        <f t="shared" si="61"/>
        <v>Section 4 - Create spring-boot starter microservice, containerize it and push to DockerHub</v>
      </c>
      <c r="F226" s="18" t="str">
        <f t="shared" si="62"/>
        <v/>
      </c>
      <c r="G226" s="13" t="str">
        <f t="shared" si="65"/>
        <v/>
      </c>
      <c r="H226">
        <f t="shared" si="66"/>
        <v>0</v>
      </c>
      <c r="I226">
        <f t="shared" si="67"/>
        <v>0</v>
      </c>
      <c r="J226" s="13">
        <f t="shared" si="68"/>
        <v>65</v>
      </c>
      <c r="K226">
        <f t="shared" si="57"/>
        <v>0</v>
      </c>
      <c r="L226">
        <f t="shared" si="58"/>
        <v>1</v>
      </c>
      <c r="M226" s="13">
        <f t="shared" si="69"/>
        <v>1</v>
      </c>
      <c r="N226">
        <f t="shared" si="69"/>
        <v>4</v>
      </c>
      <c r="O226" s="14">
        <f t="shared" si="59"/>
        <v>64</v>
      </c>
      <c r="P226" s="13">
        <f t="shared" si="63"/>
        <v>1</v>
      </c>
      <c r="Q226">
        <f t="shared" si="70"/>
        <v>4</v>
      </c>
      <c r="R226" s="14">
        <f t="shared" si="71"/>
        <v>64</v>
      </c>
      <c r="S226" s="15"/>
      <c r="W226" s="14"/>
    </row>
    <row r="227" spans="1:23" x14ac:dyDescent="0.25">
      <c r="A227" s="16"/>
      <c r="B227" s="17" t="b">
        <f t="shared" si="64"/>
        <v>0</v>
      </c>
      <c r="C227" s="17" t="b">
        <f t="shared" si="56"/>
        <v>0</v>
      </c>
      <c r="D227" s="17">
        <f t="shared" si="60"/>
        <v>1</v>
      </c>
      <c r="E227" s="17" t="str">
        <f t="shared" si="61"/>
        <v>Section 4 - Create spring-boot starter microservice, containerize it and push to DockerHub</v>
      </c>
      <c r="F227" s="18" t="str">
        <f t="shared" si="62"/>
        <v/>
      </c>
      <c r="G227" s="13" t="str">
        <f t="shared" si="65"/>
        <v/>
      </c>
      <c r="H227">
        <f t="shared" si="66"/>
        <v>0</v>
      </c>
      <c r="I227">
        <f t="shared" si="67"/>
        <v>0</v>
      </c>
      <c r="J227" s="13">
        <f t="shared" si="68"/>
        <v>65</v>
      </c>
      <c r="K227">
        <f t="shared" si="57"/>
        <v>0</v>
      </c>
      <c r="L227">
        <f t="shared" si="58"/>
        <v>1</v>
      </c>
      <c r="M227" s="13">
        <f t="shared" si="69"/>
        <v>1</v>
      </c>
      <c r="N227">
        <f t="shared" si="69"/>
        <v>4</v>
      </c>
      <c r="O227" s="14">
        <f t="shared" si="59"/>
        <v>64</v>
      </c>
      <c r="P227" s="13">
        <f t="shared" si="63"/>
        <v>1</v>
      </c>
      <c r="Q227">
        <f t="shared" si="70"/>
        <v>4</v>
      </c>
      <c r="R227" s="14">
        <f t="shared" si="71"/>
        <v>64</v>
      </c>
      <c r="S227" s="15"/>
      <c r="W227" s="14"/>
    </row>
    <row r="228" spans="1:23" x14ac:dyDescent="0.25">
      <c r="A228" s="16"/>
      <c r="B228" s="17" t="b">
        <f t="shared" si="64"/>
        <v>0</v>
      </c>
      <c r="C228" s="17" t="b">
        <f t="shared" si="56"/>
        <v>0</v>
      </c>
      <c r="D228" s="17">
        <f t="shared" si="60"/>
        <v>1</v>
      </c>
      <c r="E228" s="17" t="str">
        <f t="shared" si="61"/>
        <v>Section 4 - Create spring-boot starter microservice, containerize it and push to DockerHub</v>
      </c>
      <c r="F228" s="18" t="str">
        <f t="shared" si="62"/>
        <v/>
      </c>
      <c r="G228" s="13" t="str">
        <f t="shared" si="65"/>
        <v/>
      </c>
      <c r="H228">
        <f t="shared" si="66"/>
        <v>0</v>
      </c>
      <c r="I228">
        <f t="shared" si="67"/>
        <v>0</v>
      </c>
      <c r="J228" s="13">
        <f t="shared" si="68"/>
        <v>65</v>
      </c>
      <c r="K228">
        <f t="shared" si="57"/>
        <v>0</v>
      </c>
      <c r="L228">
        <f t="shared" si="58"/>
        <v>1</v>
      </c>
      <c r="M228" s="13">
        <f t="shared" si="69"/>
        <v>1</v>
      </c>
      <c r="N228">
        <f t="shared" si="69"/>
        <v>4</v>
      </c>
      <c r="O228" s="14">
        <f t="shared" si="59"/>
        <v>64</v>
      </c>
      <c r="P228" s="13">
        <f t="shared" si="63"/>
        <v>1</v>
      </c>
      <c r="Q228">
        <f t="shared" si="70"/>
        <v>4</v>
      </c>
      <c r="R228" s="14">
        <f t="shared" si="71"/>
        <v>64</v>
      </c>
      <c r="S228" s="15"/>
      <c r="W228" s="14"/>
    </row>
    <row r="229" spans="1:23" x14ac:dyDescent="0.25">
      <c r="A229" s="16"/>
      <c r="B229" s="17" t="b">
        <f t="shared" si="64"/>
        <v>0</v>
      </c>
      <c r="C229" s="17" t="b">
        <f t="shared" si="56"/>
        <v>0</v>
      </c>
      <c r="D229" s="17">
        <f t="shared" si="60"/>
        <v>1</v>
      </c>
      <c r="E229" s="17" t="str">
        <f t="shared" si="61"/>
        <v>Section 4 - Create spring-boot starter microservice, containerize it and push to DockerHub</v>
      </c>
      <c r="F229" s="18" t="str">
        <f t="shared" si="62"/>
        <v/>
      </c>
      <c r="G229" s="13" t="str">
        <f t="shared" si="65"/>
        <v/>
      </c>
      <c r="H229">
        <f t="shared" si="66"/>
        <v>0</v>
      </c>
      <c r="I229">
        <f t="shared" si="67"/>
        <v>0</v>
      </c>
      <c r="J229" s="13">
        <f t="shared" si="68"/>
        <v>65</v>
      </c>
      <c r="K229">
        <f t="shared" si="57"/>
        <v>0</v>
      </c>
      <c r="L229">
        <f t="shared" si="58"/>
        <v>1</v>
      </c>
      <c r="M229" s="13">
        <f t="shared" si="69"/>
        <v>1</v>
      </c>
      <c r="N229">
        <f t="shared" si="69"/>
        <v>4</v>
      </c>
      <c r="O229" s="14">
        <f t="shared" si="59"/>
        <v>64</v>
      </c>
      <c r="P229" s="13">
        <f t="shared" si="63"/>
        <v>1</v>
      </c>
      <c r="Q229">
        <f t="shared" si="70"/>
        <v>4</v>
      </c>
      <c r="R229" s="14">
        <f t="shared" si="71"/>
        <v>64</v>
      </c>
      <c r="S229" s="15"/>
      <c r="W229" s="14"/>
    </row>
    <row r="230" spans="1:23" x14ac:dyDescent="0.25">
      <c r="A230" s="16"/>
      <c r="B230" s="17" t="b">
        <f t="shared" si="64"/>
        <v>0</v>
      </c>
      <c r="C230" s="17" t="b">
        <f t="shared" si="56"/>
        <v>0</v>
      </c>
      <c r="D230" s="17">
        <f t="shared" si="60"/>
        <v>1</v>
      </c>
      <c r="E230" s="17" t="str">
        <f t="shared" si="61"/>
        <v>Section 4 - Create spring-boot starter microservice, containerize it and push to DockerHub</v>
      </c>
      <c r="F230" s="18" t="str">
        <f t="shared" si="62"/>
        <v/>
      </c>
      <c r="G230" s="13" t="str">
        <f t="shared" si="65"/>
        <v/>
      </c>
      <c r="H230">
        <f t="shared" si="66"/>
        <v>0</v>
      </c>
      <c r="I230">
        <f t="shared" si="67"/>
        <v>0</v>
      </c>
      <c r="J230" s="13">
        <f t="shared" si="68"/>
        <v>65</v>
      </c>
      <c r="K230">
        <f t="shared" si="57"/>
        <v>0</v>
      </c>
      <c r="L230">
        <f t="shared" si="58"/>
        <v>1</v>
      </c>
      <c r="M230" s="13">
        <f t="shared" si="69"/>
        <v>1</v>
      </c>
      <c r="N230">
        <f t="shared" si="69"/>
        <v>4</v>
      </c>
      <c r="O230" s="14">
        <f t="shared" si="59"/>
        <v>64</v>
      </c>
      <c r="P230" s="13">
        <f t="shared" si="63"/>
        <v>1</v>
      </c>
      <c r="Q230">
        <f t="shared" si="70"/>
        <v>4</v>
      </c>
      <c r="R230" s="14">
        <f t="shared" si="71"/>
        <v>64</v>
      </c>
      <c r="S230" s="15"/>
      <c r="W230" s="14"/>
    </row>
    <row r="231" spans="1:23" x14ac:dyDescent="0.25">
      <c r="A231" s="16"/>
      <c r="B231" s="17" t="b">
        <f t="shared" si="64"/>
        <v>0</v>
      </c>
      <c r="C231" s="17" t="b">
        <f t="shared" si="56"/>
        <v>0</v>
      </c>
      <c r="D231" s="17">
        <f t="shared" si="60"/>
        <v>1</v>
      </c>
      <c r="E231" s="17" t="str">
        <f t="shared" si="61"/>
        <v>Section 4 - Create spring-boot starter microservice, containerize it and push to DockerHub</v>
      </c>
      <c r="F231" s="18" t="str">
        <f t="shared" si="62"/>
        <v/>
      </c>
      <c r="G231" s="13" t="str">
        <f t="shared" si="65"/>
        <v/>
      </c>
      <c r="H231">
        <f t="shared" si="66"/>
        <v>0</v>
      </c>
      <c r="I231">
        <f t="shared" si="67"/>
        <v>0</v>
      </c>
      <c r="J231" s="13">
        <f t="shared" si="68"/>
        <v>65</v>
      </c>
      <c r="K231">
        <f t="shared" si="57"/>
        <v>0</v>
      </c>
      <c r="L231">
        <f t="shared" si="58"/>
        <v>1</v>
      </c>
      <c r="M231" s="13">
        <f t="shared" si="69"/>
        <v>1</v>
      </c>
      <c r="N231">
        <f t="shared" si="69"/>
        <v>4</v>
      </c>
      <c r="O231" s="14">
        <f t="shared" si="59"/>
        <v>64</v>
      </c>
      <c r="P231" s="13">
        <f t="shared" si="63"/>
        <v>1</v>
      </c>
      <c r="Q231">
        <f t="shared" si="70"/>
        <v>4</v>
      </c>
      <c r="R231" s="14">
        <f t="shared" si="71"/>
        <v>64</v>
      </c>
      <c r="S231" s="15"/>
      <c r="W231" s="14"/>
    </row>
    <row r="232" spans="1:23" x14ac:dyDescent="0.25">
      <c r="A232" s="16"/>
      <c r="B232" s="17" t="b">
        <f t="shared" si="64"/>
        <v>0</v>
      </c>
      <c r="C232" s="17" t="b">
        <f t="shared" si="56"/>
        <v>0</v>
      </c>
      <c r="D232" s="17">
        <f t="shared" si="60"/>
        <v>1</v>
      </c>
      <c r="E232" s="17" t="str">
        <f t="shared" si="61"/>
        <v>Section 4 - Create spring-boot starter microservice, containerize it and push to DockerHub</v>
      </c>
      <c r="F232" s="18" t="str">
        <f t="shared" si="62"/>
        <v/>
      </c>
      <c r="G232" s="13" t="str">
        <f t="shared" si="65"/>
        <v/>
      </c>
      <c r="H232">
        <f t="shared" si="66"/>
        <v>0</v>
      </c>
      <c r="I232">
        <f t="shared" si="67"/>
        <v>0</v>
      </c>
      <c r="J232" s="13">
        <f t="shared" si="68"/>
        <v>65</v>
      </c>
      <c r="K232">
        <f t="shared" si="57"/>
        <v>0</v>
      </c>
      <c r="L232">
        <f t="shared" si="58"/>
        <v>1</v>
      </c>
      <c r="M232" s="13">
        <f t="shared" si="69"/>
        <v>1</v>
      </c>
      <c r="N232">
        <f t="shared" si="69"/>
        <v>4</v>
      </c>
      <c r="O232" s="14">
        <f t="shared" si="59"/>
        <v>64</v>
      </c>
      <c r="P232" s="13">
        <f t="shared" si="63"/>
        <v>1</v>
      </c>
      <c r="Q232">
        <f t="shared" si="70"/>
        <v>4</v>
      </c>
      <c r="R232" s="14">
        <f t="shared" si="71"/>
        <v>64</v>
      </c>
      <c r="S232" s="15"/>
      <c r="W232" s="14"/>
    </row>
    <row r="233" spans="1:23" x14ac:dyDescent="0.25">
      <c r="A233" s="16"/>
      <c r="B233" s="17" t="b">
        <f t="shared" si="64"/>
        <v>0</v>
      </c>
      <c r="C233" s="17" t="b">
        <f t="shared" si="56"/>
        <v>0</v>
      </c>
      <c r="D233" s="17">
        <f t="shared" si="60"/>
        <v>1</v>
      </c>
      <c r="E233" s="17" t="str">
        <f t="shared" si="61"/>
        <v>Section 4 - Create spring-boot starter microservice, containerize it and push to DockerHub</v>
      </c>
      <c r="F233" s="18" t="str">
        <f t="shared" si="62"/>
        <v/>
      </c>
      <c r="G233" s="13" t="str">
        <f t="shared" si="65"/>
        <v/>
      </c>
      <c r="H233">
        <f t="shared" si="66"/>
        <v>0</v>
      </c>
      <c r="I233">
        <f t="shared" si="67"/>
        <v>0</v>
      </c>
      <c r="J233" s="13">
        <f t="shared" si="68"/>
        <v>65</v>
      </c>
      <c r="K233">
        <f t="shared" si="57"/>
        <v>0</v>
      </c>
      <c r="L233">
        <f t="shared" si="58"/>
        <v>1</v>
      </c>
      <c r="M233" s="13">
        <f t="shared" si="69"/>
        <v>1</v>
      </c>
      <c r="N233">
        <f t="shared" si="69"/>
        <v>4</v>
      </c>
      <c r="O233" s="14">
        <f t="shared" si="59"/>
        <v>64</v>
      </c>
      <c r="P233" s="13">
        <f t="shared" si="63"/>
        <v>1</v>
      </c>
      <c r="Q233">
        <f t="shared" si="70"/>
        <v>4</v>
      </c>
      <c r="R233" s="14">
        <f t="shared" si="71"/>
        <v>64</v>
      </c>
      <c r="S233" s="15"/>
      <c r="W233" s="14"/>
    </row>
    <row r="234" spans="1:23" x14ac:dyDescent="0.25">
      <c r="A234" s="16"/>
      <c r="B234" s="17" t="b">
        <f t="shared" si="64"/>
        <v>0</v>
      </c>
      <c r="C234" s="17" t="b">
        <f t="shared" si="56"/>
        <v>0</v>
      </c>
      <c r="D234" s="17">
        <f t="shared" si="60"/>
        <v>1</v>
      </c>
      <c r="E234" s="17" t="str">
        <f t="shared" si="61"/>
        <v>Section 4 - Create spring-boot starter microservice, containerize it and push to DockerHub</v>
      </c>
      <c r="F234" s="18" t="str">
        <f t="shared" si="62"/>
        <v/>
      </c>
      <c r="G234" s="13" t="str">
        <f t="shared" si="65"/>
        <v/>
      </c>
      <c r="H234">
        <f t="shared" si="66"/>
        <v>0</v>
      </c>
      <c r="I234">
        <f t="shared" si="67"/>
        <v>0</v>
      </c>
      <c r="J234" s="13">
        <f t="shared" si="68"/>
        <v>65</v>
      </c>
      <c r="K234">
        <f t="shared" si="57"/>
        <v>0</v>
      </c>
      <c r="L234">
        <f t="shared" si="58"/>
        <v>1</v>
      </c>
      <c r="M234" s="13">
        <f t="shared" si="69"/>
        <v>1</v>
      </c>
      <c r="N234">
        <f t="shared" si="69"/>
        <v>4</v>
      </c>
      <c r="O234" s="14">
        <f t="shared" si="59"/>
        <v>64</v>
      </c>
      <c r="P234" s="13">
        <f t="shared" si="63"/>
        <v>1</v>
      </c>
      <c r="Q234">
        <f t="shared" si="70"/>
        <v>4</v>
      </c>
      <c r="R234" s="14">
        <f t="shared" si="71"/>
        <v>64</v>
      </c>
      <c r="S234" s="15"/>
      <c r="W234" s="14"/>
    </row>
    <row r="235" spans="1:23" x14ac:dyDescent="0.25">
      <c r="A235" s="16"/>
      <c r="B235" s="17" t="b">
        <f t="shared" si="64"/>
        <v>0</v>
      </c>
      <c r="C235" s="17" t="b">
        <f t="shared" si="56"/>
        <v>0</v>
      </c>
      <c r="D235" s="17">
        <f t="shared" si="60"/>
        <v>1</v>
      </c>
      <c r="E235" s="17" t="str">
        <f t="shared" si="61"/>
        <v>Section 4 - Create spring-boot starter microservice, containerize it and push to DockerHub</v>
      </c>
      <c r="F235" s="18" t="str">
        <f t="shared" si="62"/>
        <v/>
      </c>
      <c r="G235" s="13" t="str">
        <f t="shared" si="65"/>
        <v/>
      </c>
      <c r="H235">
        <f t="shared" si="66"/>
        <v>0</v>
      </c>
      <c r="I235">
        <f t="shared" si="67"/>
        <v>0</v>
      </c>
      <c r="J235" s="13">
        <f t="shared" si="68"/>
        <v>65</v>
      </c>
      <c r="K235">
        <f t="shared" si="57"/>
        <v>0</v>
      </c>
      <c r="L235">
        <f t="shared" si="58"/>
        <v>1</v>
      </c>
      <c r="M235" s="13">
        <f t="shared" si="69"/>
        <v>1</v>
      </c>
      <c r="N235">
        <f t="shared" si="69"/>
        <v>4</v>
      </c>
      <c r="O235" s="14">
        <f t="shared" si="59"/>
        <v>64</v>
      </c>
      <c r="P235" s="13">
        <f t="shared" si="63"/>
        <v>1</v>
      </c>
      <c r="Q235">
        <f t="shared" si="70"/>
        <v>4</v>
      </c>
      <c r="R235" s="14">
        <f t="shared" si="71"/>
        <v>64</v>
      </c>
      <c r="S235" s="15"/>
      <c r="W235" s="14"/>
    </row>
    <row r="236" spans="1:23" x14ac:dyDescent="0.25">
      <c r="A236" s="16"/>
      <c r="B236" s="17" t="b">
        <f t="shared" si="64"/>
        <v>0</v>
      </c>
      <c r="C236" s="17" t="b">
        <f t="shared" si="56"/>
        <v>0</v>
      </c>
      <c r="D236" s="17">
        <f t="shared" si="60"/>
        <v>1</v>
      </c>
      <c r="E236" s="17" t="str">
        <f t="shared" si="61"/>
        <v>Section 4 - Create spring-boot starter microservice, containerize it and push to DockerHub</v>
      </c>
      <c r="F236" s="18" t="str">
        <f t="shared" si="62"/>
        <v/>
      </c>
      <c r="G236" s="13" t="str">
        <f t="shared" si="65"/>
        <v/>
      </c>
      <c r="H236">
        <f t="shared" si="66"/>
        <v>0</v>
      </c>
      <c r="I236">
        <f t="shared" si="67"/>
        <v>0</v>
      </c>
      <c r="J236" s="13">
        <f t="shared" si="68"/>
        <v>65</v>
      </c>
      <c r="K236">
        <f t="shared" si="57"/>
        <v>0</v>
      </c>
      <c r="L236">
        <f t="shared" si="58"/>
        <v>1</v>
      </c>
      <c r="M236" s="13">
        <f t="shared" si="69"/>
        <v>1</v>
      </c>
      <c r="N236">
        <f t="shared" si="69"/>
        <v>4</v>
      </c>
      <c r="O236" s="14">
        <f t="shared" si="59"/>
        <v>64</v>
      </c>
      <c r="P236" s="13">
        <f t="shared" si="63"/>
        <v>1</v>
      </c>
      <c r="Q236">
        <f t="shared" si="70"/>
        <v>4</v>
      </c>
      <c r="R236" s="14">
        <f t="shared" si="71"/>
        <v>64</v>
      </c>
      <c r="S236" s="15"/>
      <c r="W236" s="14"/>
    </row>
    <row r="237" spans="1:23" x14ac:dyDescent="0.25">
      <c r="A237" s="16"/>
      <c r="B237" s="17" t="b">
        <f t="shared" si="64"/>
        <v>0</v>
      </c>
      <c r="C237" s="17" t="b">
        <f t="shared" si="56"/>
        <v>0</v>
      </c>
      <c r="D237" s="17">
        <f t="shared" si="60"/>
        <v>1</v>
      </c>
      <c r="E237" s="17" t="str">
        <f t="shared" si="61"/>
        <v>Section 4 - Create spring-boot starter microservice, containerize it and push to DockerHub</v>
      </c>
      <c r="F237" s="18" t="str">
        <f t="shared" si="62"/>
        <v/>
      </c>
      <c r="G237" s="13" t="str">
        <f t="shared" si="65"/>
        <v/>
      </c>
      <c r="H237">
        <f t="shared" si="66"/>
        <v>0</v>
      </c>
      <c r="I237">
        <f t="shared" si="67"/>
        <v>0</v>
      </c>
      <c r="J237" s="13">
        <f t="shared" si="68"/>
        <v>65</v>
      </c>
      <c r="K237">
        <f t="shared" si="57"/>
        <v>0</v>
      </c>
      <c r="L237">
        <f t="shared" si="58"/>
        <v>1</v>
      </c>
      <c r="M237" s="13">
        <f t="shared" si="69"/>
        <v>1</v>
      </c>
      <c r="N237">
        <f t="shared" si="69"/>
        <v>4</v>
      </c>
      <c r="O237" s="14">
        <f t="shared" si="59"/>
        <v>64</v>
      </c>
      <c r="P237" s="13">
        <f t="shared" si="63"/>
        <v>1</v>
      </c>
      <c r="Q237">
        <f t="shared" si="70"/>
        <v>4</v>
      </c>
      <c r="R237" s="14">
        <f t="shared" si="71"/>
        <v>64</v>
      </c>
      <c r="S237" s="15"/>
      <c r="W237" s="14"/>
    </row>
    <row r="238" spans="1:23" x14ac:dyDescent="0.25">
      <c r="A238" s="16"/>
      <c r="B238" s="17" t="b">
        <f t="shared" si="64"/>
        <v>0</v>
      </c>
      <c r="C238" s="17" t="b">
        <f t="shared" si="56"/>
        <v>0</v>
      </c>
      <c r="D238" s="17">
        <f t="shared" si="60"/>
        <v>1</v>
      </c>
      <c r="E238" s="17" t="str">
        <f t="shared" si="61"/>
        <v>Section 4 - Create spring-boot starter microservice, containerize it and push to DockerHub</v>
      </c>
      <c r="F238" s="18" t="str">
        <f t="shared" si="62"/>
        <v/>
      </c>
      <c r="G238" s="13" t="str">
        <f t="shared" si="65"/>
        <v/>
      </c>
      <c r="H238">
        <f t="shared" si="66"/>
        <v>0</v>
      </c>
      <c r="I238">
        <f t="shared" si="67"/>
        <v>0</v>
      </c>
      <c r="J238" s="13">
        <f t="shared" si="68"/>
        <v>65</v>
      </c>
      <c r="K238">
        <f t="shared" si="57"/>
        <v>0</v>
      </c>
      <c r="L238">
        <f t="shared" si="58"/>
        <v>1</v>
      </c>
      <c r="M238" s="13">
        <f t="shared" si="69"/>
        <v>1</v>
      </c>
      <c r="N238">
        <f t="shared" si="69"/>
        <v>4</v>
      </c>
      <c r="O238" s="14">
        <f t="shared" si="59"/>
        <v>64</v>
      </c>
      <c r="P238" s="13">
        <f t="shared" si="63"/>
        <v>1</v>
      </c>
      <c r="Q238">
        <f t="shared" si="70"/>
        <v>4</v>
      </c>
      <c r="R238" s="14">
        <f t="shared" si="71"/>
        <v>64</v>
      </c>
      <c r="S238" s="15"/>
      <c r="W238" s="14"/>
    </row>
    <row r="239" spans="1:23" x14ac:dyDescent="0.25">
      <c r="A239" s="16"/>
      <c r="B239" s="17" t="b">
        <f t="shared" si="64"/>
        <v>0</v>
      </c>
      <c r="C239" s="17" t="b">
        <f t="shared" si="56"/>
        <v>0</v>
      </c>
      <c r="D239" s="17">
        <f t="shared" si="60"/>
        <v>1</v>
      </c>
      <c r="E239" s="17" t="str">
        <f t="shared" si="61"/>
        <v>Section 4 - Create spring-boot starter microservice, containerize it and push to DockerHub</v>
      </c>
      <c r="F239" s="18" t="str">
        <f t="shared" si="62"/>
        <v/>
      </c>
      <c r="G239" s="13" t="str">
        <f t="shared" si="65"/>
        <v/>
      </c>
      <c r="H239">
        <f t="shared" si="66"/>
        <v>0</v>
      </c>
      <c r="I239">
        <f t="shared" si="67"/>
        <v>0</v>
      </c>
      <c r="J239" s="13">
        <f t="shared" si="68"/>
        <v>65</v>
      </c>
      <c r="K239">
        <f t="shared" si="57"/>
        <v>0</v>
      </c>
      <c r="L239">
        <f t="shared" si="58"/>
        <v>1</v>
      </c>
      <c r="M239" s="13">
        <f t="shared" si="69"/>
        <v>1</v>
      </c>
      <c r="N239">
        <f t="shared" si="69"/>
        <v>4</v>
      </c>
      <c r="O239" s="14">
        <f t="shared" si="59"/>
        <v>64</v>
      </c>
      <c r="P239" s="13">
        <f t="shared" si="63"/>
        <v>1</v>
      </c>
      <c r="Q239">
        <f t="shared" si="70"/>
        <v>4</v>
      </c>
      <c r="R239" s="14">
        <f t="shared" si="71"/>
        <v>64</v>
      </c>
      <c r="S239" s="15"/>
      <c r="W239" s="14"/>
    </row>
    <row r="240" spans="1:23" x14ac:dyDescent="0.25">
      <c r="A240" s="16"/>
      <c r="B240" s="17" t="b">
        <f t="shared" si="64"/>
        <v>0</v>
      </c>
      <c r="C240" s="17" t="b">
        <f t="shared" si="56"/>
        <v>0</v>
      </c>
      <c r="D240" s="17">
        <f t="shared" si="60"/>
        <v>1</v>
      </c>
      <c r="E240" s="17" t="str">
        <f t="shared" si="61"/>
        <v>Section 4 - Create spring-boot starter microservice, containerize it and push to DockerHub</v>
      </c>
      <c r="F240" s="18" t="str">
        <f t="shared" si="62"/>
        <v/>
      </c>
      <c r="G240" s="13" t="str">
        <f t="shared" si="65"/>
        <v/>
      </c>
      <c r="H240">
        <f t="shared" si="66"/>
        <v>0</v>
      </c>
      <c r="I240">
        <f t="shared" si="67"/>
        <v>0</v>
      </c>
      <c r="J240" s="13">
        <f t="shared" si="68"/>
        <v>65</v>
      </c>
      <c r="K240">
        <f t="shared" si="57"/>
        <v>0</v>
      </c>
      <c r="L240">
        <f t="shared" si="58"/>
        <v>1</v>
      </c>
      <c r="M240" s="13">
        <f t="shared" si="69"/>
        <v>1</v>
      </c>
      <c r="N240">
        <f t="shared" si="69"/>
        <v>4</v>
      </c>
      <c r="O240" s="14">
        <f t="shared" si="59"/>
        <v>64</v>
      </c>
      <c r="P240" s="13">
        <f t="shared" si="63"/>
        <v>1</v>
      </c>
      <c r="Q240">
        <f t="shared" si="70"/>
        <v>4</v>
      </c>
      <c r="R240" s="14">
        <f t="shared" si="71"/>
        <v>64</v>
      </c>
      <c r="S240" s="15"/>
      <c r="W240" s="14"/>
    </row>
    <row r="241" spans="1:23" x14ac:dyDescent="0.25">
      <c r="A241" s="16"/>
      <c r="B241" s="17" t="b">
        <f t="shared" si="64"/>
        <v>0</v>
      </c>
      <c r="C241" s="17" t="b">
        <f t="shared" si="56"/>
        <v>0</v>
      </c>
      <c r="D241" s="17">
        <f t="shared" si="60"/>
        <v>1</v>
      </c>
      <c r="E241" s="17" t="str">
        <f t="shared" si="61"/>
        <v>Section 4 - Create spring-boot starter microservice, containerize it and push to DockerHub</v>
      </c>
      <c r="F241" s="18" t="str">
        <f t="shared" si="62"/>
        <v/>
      </c>
      <c r="G241" s="13" t="str">
        <f t="shared" si="65"/>
        <v/>
      </c>
      <c r="H241">
        <f t="shared" si="66"/>
        <v>0</v>
      </c>
      <c r="I241">
        <f t="shared" si="67"/>
        <v>0</v>
      </c>
      <c r="J241" s="13">
        <f t="shared" si="68"/>
        <v>65</v>
      </c>
      <c r="K241">
        <f t="shared" si="57"/>
        <v>0</v>
      </c>
      <c r="L241">
        <f t="shared" si="58"/>
        <v>1</v>
      </c>
      <c r="M241" s="13">
        <f t="shared" si="69"/>
        <v>1</v>
      </c>
      <c r="N241">
        <f t="shared" si="69"/>
        <v>4</v>
      </c>
      <c r="O241" s="14">
        <f t="shared" si="59"/>
        <v>64</v>
      </c>
      <c r="P241" s="13">
        <f t="shared" si="63"/>
        <v>1</v>
      </c>
      <c r="Q241">
        <f t="shared" si="70"/>
        <v>4</v>
      </c>
      <c r="R241" s="14">
        <f t="shared" si="71"/>
        <v>64</v>
      </c>
      <c r="S241" s="15"/>
      <c r="W241" s="14"/>
    </row>
    <row r="242" spans="1:23" x14ac:dyDescent="0.25">
      <c r="A242" s="16"/>
      <c r="B242" s="17" t="b">
        <f t="shared" si="64"/>
        <v>0</v>
      </c>
      <c r="C242" s="17" t="b">
        <f t="shared" si="56"/>
        <v>0</v>
      </c>
      <c r="D242" s="17">
        <f t="shared" si="60"/>
        <v>1</v>
      </c>
      <c r="E242" s="17" t="str">
        <f t="shared" si="61"/>
        <v>Section 4 - Create spring-boot starter microservice, containerize it and push to DockerHub</v>
      </c>
      <c r="F242" s="18" t="str">
        <f t="shared" si="62"/>
        <v/>
      </c>
      <c r="G242" s="13" t="str">
        <f t="shared" si="65"/>
        <v/>
      </c>
      <c r="H242">
        <f t="shared" si="66"/>
        <v>0</v>
      </c>
      <c r="I242">
        <f t="shared" si="67"/>
        <v>0</v>
      </c>
      <c r="J242" s="13">
        <f t="shared" si="68"/>
        <v>65</v>
      </c>
      <c r="K242">
        <f t="shared" si="57"/>
        <v>0</v>
      </c>
      <c r="L242">
        <f t="shared" si="58"/>
        <v>1</v>
      </c>
      <c r="M242" s="13">
        <f t="shared" si="69"/>
        <v>1</v>
      </c>
      <c r="N242">
        <f t="shared" si="69"/>
        <v>4</v>
      </c>
      <c r="O242" s="14">
        <f t="shared" si="59"/>
        <v>64</v>
      </c>
      <c r="P242" s="13">
        <f t="shared" si="63"/>
        <v>1</v>
      </c>
      <c r="Q242">
        <f t="shared" si="70"/>
        <v>4</v>
      </c>
      <c r="R242" s="14">
        <f t="shared" si="71"/>
        <v>64</v>
      </c>
      <c r="S242" s="15"/>
      <c r="W242" s="14"/>
    </row>
    <row r="243" spans="1:23" x14ac:dyDescent="0.25">
      <c r="A243" s="16"/>
      <c r="B243" s="17" t="b">
        <f t="shared" si="64"/>
        <v>0</v>
      </c>
      <c r="C243" s="17" t="b">
        <f t="shared" si="56"/>
        <v>0</v>
      </c>
      <c r="D243" s="17">
        <f t="shared" si="60"/>
        <v>1</v>
      </c>
      <c r="E243" s="17" t="str">
        <f t="shared" si="61"/>
        <v>Section 4 - Create spring-boot starter microservice, containerize it and push to DockerHub</v>
      </c>
      <c r="F243" s="18" t="str">
        <f t="shared" si="62"/>
        <v/>
      </c>
      <c r="G243" s="13" t="str">
        <f t="shared" si="65"/>
        <v/>
      </c>
      <c r="H243">
        <f t="shared" si="66"/>
        <v>0</v>
      </c>
      <c r="I243">
        <f t="shared" si="67"/>
        <v>0</v>
      </c>
      <c r="J243" s="13">
        <f t="shared" si="68"/>
        <v>65</v>
      </c>
      <c r="K243">
        <f t="shared" si="57"/>
        <v>0</v>
      </c>
      <c r="L243">
        <f t="shared" si="58"/>
        <v>1</v>
      </c>
      <c r="M243" s="13">
        <f t="shared" si="69"/>
        <v>1</v>
      </c>
      <c r="N243">
        <f t="shared" si="69"/>
        <v>4</v>
      </c>
      <c r="O243" s="14">
        <f t="shared" si="59"/>
        <v>64</v>
      </c>
      <c r="P243" s="13">
        <f t="shared" si="63"/>
        <v>1</v>
      </c>
      <c r="Q243">
        <f t="shared" si="70"/>
        <v>4</v>
      </c>
      <c r="R243" s="14">
        <f t="shared" si="71"/>
        <v>64</v>
      </c>
      <c r="S243" s="15"/>
      <c r="W243" s="14"/>
    </row>
    <row r="244" spans="1:23" x14ac:dyDescent="0.25">
      <c r="A244" s="16"/>
      <c r="B244" s="17" t="b">
        <f t="shared" si="64"/>
        <v>0</v>
      </c>
      <c r="C244" s="17" t="b">
        <f t="shared" si="56"/>
        <v>0</v>
      </c>
      <c r="D244" s="17">
        <f t="shared" si="60"/>
        <v>1</v>
      </c>
      <c r="E244" s="17" t="str">
        <f t="shared" si="61"/>
        <v>Section 4 - Create spring-boot starter microservice, containerize it and push to DockerHub</v>
      </c>
      <c r="F244" s="18" t="str">
        <f t="shared" si="62"/>
        <v/>
      </c>
      <c r="G244" s="13" t="str">
        <f t="shared" si="65"/>
        <v/>
      </c>
      <c r="H244">
        <f t="shared" si="66"/>
        <v>0</v>
      </c>
      <c r="I244">
        <f t="shared" si="67"/>
        <v>0</v>
      </c>
      <c r="J244" s="13">
        <f t="shared" si="68"/>
        <v>65</v>
      </c>
      <c r="K244">
        <f t="shared" si="57"/>
        <v>0</v>
      </c>
      <c r="L244">
        <f t="shared" si="58"/>
        <v>1</v>
      </c>
      <c r="M244" s="13">
        <f t="shared" si="69"/>
        <v>1</v>
      </c>
      <c r="N244">
        <f t="shared" si="69"/>
        <v>4</v>
      </c>
      <c r="O244" s="14">
        <f t="shared" si="59"/>
        <v>64</v>
      </c>
      <c r="P244" s="13">
        <f t="shared" si="63"/>
        <v>1</v>
      </c>
      <c r="Q244">
        <f t="shared" si="70"/>
        <v>4</v>
      </c>
      <c r="R244" s="14">
        <f t="shared" si="71"/>
        <v>64</v>
      </c>
      <c r="S244" s="15"/>
      <c r="W244" s="14"/>
    </row>
    <row r="245" spans="1:23" x14ac:dyDescent="0.25">
      <c r="A245" s="16"/>
      <c r="B245" s="17" t="b">
        <f t="shared" si="64"/>
        <v>0</v>
      </c>
      <c r="C245" s="17" t="b">
        <f t="shared" si="56"/>
        <v>0</v>
      </c>
      <c r="D245" s="17">
        <f t="shared" si="60"/>
        <v>1</v>
      </c>
      <c r="E245" s="17" t="str">
        <f t="shared" si="61"/>
        <v>Section 4 - Create spring-boot starter microservice, containerize it and push to DockerHub</v>
      </c>
      <c r="F245" s="18" t="str">
        <f t="shared" si="62"/>
        <v/>
      </c>
      <c r="G245" s="13" t="str">
        <f t="shared" si="65"/>
        <v/>
      </c>
      <c r="H245">
        <f t="shared" si="66"/>
        <v>0</v>
      </c>
      <c r="I245">
        <f t="shared" si="67"/>
        <v>0</v>
      </c>
      <c r="J245" s="13">
        <f t="shared" si="68"/>
        <v>65</v>
      </c>
      <c r="K245">
        <f t="shared" si="57"/>
        <v>0</v>
      </c>
      <c r="L245">
        <f t="shared" si="58"/>
        <v>1</v>
      </c>
      <c r="M245" s="13">
        <f t="shared" si="69"/>
        <v>1</v>
      </c>
      <c r="N245">
        <f t="shared" si="69"/>
        <v>4</v>
      </c>
      <c r="O245" s="14">
        <f t="shared" si="59"/>
        <v>64</v>
      </c>
      <c r="P245" s="13">
        <f t="shared" si="63"/>
        <v>1</v>
      </c>
      <c r="Q245">
        <f t="shared" si="70"/>
        <v>4</v>
      </c>
      <c r="R245" s="14">
        <f t="shared" si="71"/>
        <v>64</v>
      </c>
      <c r="S245" s="15"/>
      <c r="W245" s="14"/>
    </row>
    <row r="246" spans="1:23" x14ac:dyDescent="0.25">
      <c r="A246" s="16"/>
      <c r="B246" s="17" t="b">
        <f t="shared" si="64"/>
        <v>0</v>
      </c>
      <c r="C246" s="17" t="b">
        <f t="shared" si="56"/>
        <v>0</v>
      </c>
      <c r="D246" s="17">
        <f t="shared" si="60"/>
        <v>1</v>
      </c>
      <c r="E246" s="17" t="str">
        <f t="shared" si="61"/>
        <v>Section 4 - Create spring-boot starter microservice, containerize it and push to DockerHub</v>
      </c>
      <c r="F246" s="18" t="str">
        <f t="shared" si="62"/>
        <v/>
      </c>
      <c r="G246" s="13" t="str">
        <f t="shared" si="65"/>
        <v/>
      </c>
      <c r="H246">
        <f t="shared" si="66"/>
        <v>0</v>
      </c>
      <c r="I246">
        <f t="shared" si="67"/>
        <v>0</v>
      </c>
      <c r="J246" s="13">
        <f t="shared" si="68"/>
        <v>65</v>
      </c>
      <c r="K246">
        <f t="shared" si="57"/>
        <v>0</v>
      </c>
      <c r="L246">
        <f t="shared" si="58"/>
        <v>1</v>
      </c>
      <c r="M246" s="13">
        <f t="shared" si="69"/>
        <v>1</v>
      </c>
      <c r="N246">
        <f t="shared" si="69"/>
        <v>4</v>
      </c>
      <c r="O246" s="14">
        <f t="shared" si="59"/>
        <v>64</v>
      </c>
      <c r="P246" s="13">
        <f t="shared" si="63"/>
        <v>1</v>
      </c>
      <c r="Q246">
        <f t="shared" si="70"/>
        <v>4</v>
      </c>
      <c r="R246" s="14">
        <f t="shared" si="71"/>
        <v>64</v>
      </c>
      <c r="S246" s="15"/>
      <c r="W246" s="14"/>
    </row>
    <row r="247" spans="1:23" x14ac:dyDescent="0.25">
      <c r="A247" s="16"/>
      <c r="B247" s="17" t="b">
        <f t="shared" si="64"/>
        <v>0</v>
      </c>
      <c r="C247" s="17" t="b">
        <f t="shared" si="56"/>
        <v>0</v>
      </c>
      <c r="D247" s="17">
        <f t="shared" si="60"/>
        <v>1</v>
      </c>
      <c r="E247" s="17" t="str">
        <f t="shared" si="61"/>
        <v>Section 4 - Create spring-boot starter microservice, containerize it and push to DockerHub</v>
      </c>
      <c r="F247" s="18" t="str">
        <f t="shared" si="62"/>
        <v/>
      </c>
      <c r="G247" s="13" t="str">
        <f t="shared" si="65"/>
        <v/>
      </c>
      <c r="H247">
        <f t="shared" si="66"/>
        <v>0</v>
      </c>
      <c r="I247">
        <f t="shared" si="67"/>
        <v>0</v>
      </c>
      <c r="J247" s="13">
        <f t="shared" si="68"/>
        <v>65</v>
      </c>
      <c r="K247">
        <f t="shared" si="57"/>
        <v>0</v>
      </c>
      <c r="L247">
        <f t="shared" si="58"/>
        <v>1</v>
      </c>
      <c r="M247" s="13">
        <f t="shared" si="69"/>
        <v>1</v>
      </c>
      <c r="N247">
        <f t="shared" si="69"/>
        <v>4</v>
      </c>
      <c r="O247" s="14">
        <f t="shared" si="59"/>
        <v>64</v>
      </c>
      <c r="P247" s="13">
        <f t="shared" si="63"/>
        <v>1</v>
      </c>
      <c r="Q247">
        <f t="shared" si="70"/>
        <v>4</v>
      </c>
      <c r="R247" s="14">
        <f t="shared" si="71"/>
        <v>64</v>
      </c>
      <c r="S247" s="15"/>
      <c r="W247" s="14"/>
    </row>
    <row r="248" spans="1:23" x14ac:dyDescent="0.25">
      <c r="A248" s="16"/>
      <c r="B248" s="17" t="b">
        <f t="shared" si="64"/>
        <v>0</v>
      </c>
      <c r="C248" s="17" t="b">
        <f t="shared" si="56"/>
        <v>0</v>
      </c>
      <c r="D248" s="17">
        <f t="shared" si="60"/>
        <v>1</v>
      </c>
      <c r="E248" s="17" t="str">
        <f t="shared" si="61"/>
        <v>Section 4 - Create spring-boot starter microservice, containerize it and push to DockerHub</v>
      </c>
      <c r="F248" s="18" t="str">
        <f t="shared" si="62"/>
        <v/>
      </c>
      <c r="G248" s="13" t="str">
        <f t="shared" si="65"/>
        <v/>
      </c>
      <c r="H248">
        <f t="shared" si="66"/>
        <v>0</v>
      </c>
      <c r="I248">
        <f t="shared" si="67"/>
        <v>0</v>
      </c>
      <c r="J248" s="13">
        <f t="shared" si="68"/>
        <v>65</v>
      </c>
      <c r="K248">
        <f t="shared" si="57"/>
        <v>0</v>
      </c>
      <c r="L248">
        <f t="shared" si="58"/>
        <v>1</v>
      </c>
      <c r="M248" s="13">
        <f t="shared" si="69"/>
        <v>1</v>
      </c>
      <c r="N248">
        <f t="shared" si="69"/>
        <v>4</v>
      </c>
      <c r="O248" s="14">
        <f t="shared" si="59"/>
        <v>64</v>
      </c>
      <c r="P248" s="13">
        <f t="shared" si="63"/>
        <v>1</v>
      </c>
      <c r="Q248">
        <f t="shared" si="70"/>
        <v>4</v>
      </c>
      <c r="R248" s="14">
        <f t="shared" si="71"/>
        <v>64</v>
      </c>
      <c r="S248" s="15"/>
      <c r="W248" s="14"/>
    </row>
    <row r="249" spans="1:23" x14ac:dyDescent="0.25">
      <c r="A249" s="16"/>
      <c r="B249" s="17" t="b">
        <f t="shared" si="64"/>
        <v>0</v>
      </c>
      <c r="C249" s="17" t="b">
        <f t="shared" si="56"/>
        <v>0</v>
      </c>
      <c r="D249" s="17">
        <f t="shared" si="60"/>
        <v>1</v>
      </c>
      <c r="E249" s="17" t="str">
        <f t="shared" si="61"/>
        <v>Section 4 - Create spring-boot starter microservice, containerize it and push to DockerHub</v>
      </c>
      <c r="F249" s="18" t="str">
        <f t="shared" si="62"/>
        <v/>
      </c>
      <c r="G249" s="13" t="str">
        <f t="shared" si="65"/>
        <v/>
      </c>
      <c r="H249">
        <f t="shared" si="66"/>
        <v>0</v>
      </c>
      <c r="I249">
        <f t="shared" si="67"/>
        <v>0</v>
      </c>
      <c r="J249" s="13">
        <f t="shared" si="68"/>
        <v>65</v>
      </c>
      <c r="K249">
        <f t="shared" si="57"/>
        <v>0</v>
      </c>
      <c r="L249">
        <f t="shared" si="58"/>
        <v>1</v>
      </c>
      <c r="M249" s="13">
        <f t="shared" si="69"/>
        <v>1</v>
      </c>
      <c r="N249">
        <f t="shared" si="69"/>
        <v>4</v>
      </c>
      <c r="O249" s="14">
        <f t="shared" si="59"/>
        <v>64</v>
      </c>
      <c r="P249" s="13">
        <f t="shared" si="63"/>
        <v>1</v>
      </c>
      <c r="Q249">
        <f t="shared" si="70"/>
        <v>4</v>
      </c>
      <c r="R249" s="14">
        <f t="shared" si="71"/>
        <v>64</v>
      </c>
      <c r="S249" s="15"/>
      <c r="W249" s="14"/>
    </row>
    <row r="250" spans="1:23" x14ac:dyDescent="0.25">
      <c r="A250" s="16"/>
      <c r="B250" s="17" t="b">
        <f t="shared" si="64"/>
        <v>0</v>
      </c>
      <c r="C250" s="17" t="b">
        <f t="shared" si="56"/>
        <v>0</v>
      </c>
      <c r="D250" s="17">
        <f t="shared" si="60"/>
        <v>1</v>
      </c>
      <c r="E250" s="17" t="str">
        <f t="shared" si="61"/>
        <v>Section 4 - Create spring-boot starter microservice, containerize it and push to DockerHub</v>
      </c>
      <c r="F250" s="18" t="str">
        <f t="shared" si="62"/>
        <v/>
      </c>
      <c r="G250" s="13" t="str">
        <f t="shared" si="65"/>
        <v/>
      </c>
      <c r="H250">
        <f t="shared" si="66"/>
        <v>0</v>
      </c>
      <c r="I250">
        <f t="shared" si="67"/>
        <v>0</v>
      </c>
      <c r="J250" s="13">
        <f t="shared" si="68"/>
        <v>65</v>
      </c>
      <c r="K250">
        <f t="shared" si="57"/>
        <v>0</v>
      </c>
      <c r="L250">
        <f t="shared" si="58"/>
        <v>1</v>
      </c>
      <c r="M250" s="13">
        <f t="shared" si="69"/>
        <v>1</v>
      </c>
      <c r="N250">
        <f t="shared" si="69"/>
        <v>4</v>
      </c>
      <c r="O250" s="14">
        <f t="shared" si="59"/>
        <v>64</v>
      </c>
      <c r="P250" s="13">
        <f t="shared" si="63"/>
        <v>1</v>
      </c>
      <c r="Q250">
        <f t="shared" si="70"/>
        <v>4</v>
      </c>
      <c r="R250" s="14">
        <f t="shared" si="71"/>
        <v>64</v>
      </c>
      <c r="S250" s="15"/>
      <c r="W250" s="14"/>
    </row>
    <row r="251" spans="1:23" x14ac:dyDescent="0.25">
      <c r="A251" s="16"/>
      <c r="B251" s="17" t="b">
        <f t="shared" si="64"/>
        <v>0</v>
      </c>
      <c r="C251" s="17" t="b">
        <f t="shared" si="56"/>
        <v>0</v>
      </c>
      <c r="D251" s="17">
        <f t="shared" si="60"/>
        <v>1</v>
      </c>
      <c r="E251" s="17" t="str">
        <f t="shared" si="61"/>
        <v>Section 4 - Create spring-boot starter microservice, containerize it and push to DockerHub</v>
      </c>
      <c r="F251" s="18" t="str">
        <f t="shared" si="62"/>
        <v/>
      </c>
      <c r="G251" s="13" t="str">
        <f t="shared" si="65"/>
        <v/>
      </c>
      <c r="H251">
        <f t="shared" si="66"/>
        <v>0</v>
      </c>
      <c r="I251">
        <f t="shared" si="67"/>
        <v>0</v>
      </c>
      <c r="J251" s="13">
        <f t="shared" si="68"/>
        <v>65</v>
      </c>
      <c r="K251">
        <f t="shared" si="57"/>
        <v>0</v>
      </c>
      <c r="L251">
        <f t="shared" si="58"/>
        <v>1</v>
      </c>
      <c r="M251" s="13">
        <f t="shared" si="69"/>
        <v>1</v>
      </c>
      <c r="N251">
        <f t="shared" si="69"/>
        <v>4</v>
      </c>
      <c r="O251" s="14">
        <f t="shared" si="59"/>
        <v>64</v>
      </c>
      <c r="P251" s="13">
        <f t="shared" si="63"/>
        <v>1</v>
      </c>
      <c r="Q251">
        <f t="shared" si="70"/>
        <v>4</v>
      </c>
      <c r="R251" s="14">
        <f t="shared" si="71"/>
        <v>64</v>
      </c>
      <c r="S251" s="15"/>
      <c r="W251" s="14"/>
    </row>
    <row r="252" spans="1:23" x14ac:dyDescent="0.25">
      <c r="A252" s="16"/>
      <c r="B252" s="17" t="b">
        <f t="shared" si="64"/>
        <v>0</v>
      </c>
      <c r="C252" s="17" t="b">
        <f t="shared" si="56"/>
        <v>0</v>
      </c>
      <c r="D252" s="17">
        <f t="shared" si="60"/>
        <v>1</v>
      </c>
      <c r="E252" s="17" t="str">
        <f t="shared" si="61"/>
        <v>Section 4 - Create spring-boot starter microservice, containerize it and push to DockerHub</v>
      </c>
      <c r="F252" s="18" t="str">
        <f t="shared" si="62"/>
        <v/>
      </c>
      <c r="G252" s="13" t="str">
        <f t="shared" si="65"/>
        <v/>
      </c>
      <c r="H252">
        <f t="shared" si="66"/>
        <v>0</v>
      </c>
      <c r="I252">
        <f t="shared" si="67"/>
        <v>0</v>
      </c>
      <c r="J252" s="13">
        <f t="shared" si="68"/>
        <v>65</v>
      </c>
      <c r="K252">
        <f t="shared" si="57"/>
        <v>0</v>
      </c>
      <c r="L252">
        <f t="shared" si="58"/>
        <v>1</v>
      </c>
      <c r="M252" s="13">
        <f t="shared" si="69"/>
        <v>1</v>
      </c>
      <c r="N252">
        <f t="shared" si="69"/>
        <v>4</v>
      </c>
      <c r="O252" s="14">
        <f t="shared" si="59"/>
        <v>64</v>
      </c>
      <c r="P252" s="13">
        <f t="shared" si="63"/>
        <v>1</v>
      </c>
      <c r="Q252">
        <f t="shared" si="70"/>
        <v>4</v>
      </c>
      <c r="R252" s="14">
        <f t="shared" si="71"/>
        <v>64</v>
      </c>
      <c r="S252" s="15"/>
      <c r="W252" s="14"/>
    </row>
    <row r="253" spans="1:23" x14ac:dyDescent="0.25">
      <c r="A253" s="16"/>
      <c r="B253" s="17" t="b">
        <f t="shared" si="64"/>
        <v>0</v>
      </c>
      <c r="C253" s="17" t="b">
        <f t="shared" si="56"/>
        <v>0</v>
      </c>
      <c r="D253" s="17">
        <f t="shared" si="60"/>
        <v>1</v>
      </c>
      <c r="E253" s="17" t="str">
        <f t="shared" si="61"/>
        <v>Section 4 - Create spring-boot starter microservice, containerize it and push to DockerHub</v>
      </c>
      <c r="F253" s="18" t="str">
        <f t="shared" si="62"/>
        <v/>
      </c>
      <c r="G253" s="13" t="str">
        <f t="shared" si="65"/>
        <v/>
      </c>
      <c r="H253">
        <f t="shared" si="66"/>
        <v>0</v>
      </c>
      <c r="I253">
        <f t="shared" si="67"/>
        <v>0</v>
      </c>
      <c r="J253" s="13">
        <f t="shared" si="68"/>
        <v>65</v>
      </c>
      <c r="K253">
        <f t="shared" si="57"/>
        <v>0</v>
      </c>
      <c r="L253">
        <f t="shared" si="58"/>
        <v>1</v>
      </c>
      <c r="M253" s="13">
        <f t="shared" si="69"/>
        <v>1</v>
      </c>
      <c r="N253">
        <f t="shared" si="69"/>
        <v>4</v>
      </c>
      <c r="O253" s="14">
        <f t="shared" si="59"/>
        <v>64</v>
      </c>
      <c r="P253" s="13">
        <f t="shared" si="63"/>
        <v>1</v>
      </c>
      <c r="Q253">
        <f t="shared" si="70"/>
        <v>4</v>
      </c>
      <c r="R253" s="14">
        <f t="shared" si="71"/>
        <v>64</v>
      </c>
      <c r="S253" s="15"/>
      <c r="W253" s="14"/>
    </row>
    <row r="254" spans="1:23" x14ac:dyDescent="0.25">
      <c r="A254" s="16"/>
      <c r="B254" s="17" t="b">
        <f t="shared" si="64"/>
        <v>0</v>
      </c>
      <c r="C254" s="17" t="b">
        <f t="shared" si="56"/>
        <v>0</v>
      </c>
      <c r="D254" s="17">
        <f t="shared" si="60"/>
        <v>1</v>
      </c>
      <c r="E254" s="17" t="str">
        <f t="shared" si="61"/>
        <v>Section 4 - Create spring-boot starter microservice, containerize it and push to DockerHub</v>
      </c>
      <c r="F254" s="18" t="str">
        <f t="shared" si="62"/>
        <v/>
      </c>
      <c r="G254" s="13" t="str">
        <f t="shared" si="65"/>
        <v/>
      </c>
      <c r="H254">
        <f t="shared" si="66"/>
        <v>0</v>
      </c>
      <c r="I254">
        <f t="shared" si="67"/>
        <v>0</v>
      </c>
      <c r="J254" s="13">
        <f t="shared" si="68"/>
        <v>65</v>
      </c>
      <c r="K254">
        <f t="shared" si="57"/>
        <v>0</v>
      </c>
      <c r="L254">
        <f t="shared" si="58"/>
        <v>1</v>
      </c>
      <c r="M254" s="13">
        <f t="shared" si="69"/>
        <v>1</v>
      </c>
      <c r="N254">
        <f t="shared" si="69"/>
        <v>4</v>
      </c>
      <c r="O254" s="14">
        <f t="shared" si="59"/>
        <v>64</v>
      </c>
      <c r="P254" s="13">
        <f t="shared" si="63"/>
        <v>1</v>
      </c>
      <c r="Q254">
        <f t="shared" si="70"/>
        <v>4</v>
      </c>
      <c r="R254" s="14">
        <f t="shared" si="71"/>
        <v>64</v>
      </c>
      <c r="S254" s="15"/>
      <c r="W254" s="14"/>
    </row>
    <row r="255" spans="1:23" x14ac:dyDescent="0.25">
      <c r="A255" s="16"/>
      <c r="B255" s="17" t="b">
        <f t="shared" si="64"/>
        <v>0</v>
      </c>
      <c r="C255" s="17" t="b">
        <f t="shared" si="56"/>
        <v>0</v>
      </c>
      <c r="D255" s="17">
        <f t="shared" si="60"/>
        <v>1</v>
      </c>
      <c r="E255" s="17" t="str">
        <f t="shared" si="61"/>
        <v>Section 4 - Create spring-boot starter microservice, containerize it and push to DockerHub</v>
      </c>
      <c r="F255" s="18" t="str">
        <f t="shared" si="62"/>
        <v/>
      </c>
      <c r="G255" s="13" t="str">
        <f t="shared" si="65"/>
        <v/>
      </c>
      <c r="H255">
        <f t="shared" si="66"/>
        <v>0</v>
      </c>
      <c r="I255">
        <f t="shared" si="67"/>
        <v>0</v>
      </c>
      <c r="J255" s="13">
        <f t="shared" si="68"/>
        <v>65</v>
      </c>
      <c r="K255">
        <f t="shared" si="57"/>
        <v>0</v>
      </c>
      <c r="L255">
        <f t="shared" si="58"/>
        <v>1</v>
      </c>
      <c r="M255" s="13">
        <f t="shared" si="69"/>
        <v>1</v>
      </c>
      <c r="N255">
        <f t="shared" si="69"/>
        <v>4</v>
      </c>
      <c r="O255" s="14">
        <f t="shared" si="59"/>
        <v>64</v>
      </c>
      <c r="P255" s="13">
        <f t="shared" si="63"/>
        <v>1</v>
      </c>
      <c r="Q255">
        <f t="shared" si="70"/>
        <v>4</v>
      </c>
      <c r="R255" s="14">
        <f t="shared" si="71"/>
        <v>64</v>
      </c>
      <c r="S255" s="15"/>
      <c r="W255" s="14"/>
    </row>
    <row r="256" spans="1:23" x14ac:dyDescent="0.25">
      <c r="A256" s="16"/>
      <c r="B256" s="17" t="b">
        <f t="shared" si="64"/>
        <v>0</v>
      </c>
      <c r="C256" s="17" t="b">
        <f t="shared" ref="C256:C319" si="72">OR(NOT(ISERROR(FIND("hr",A257))), NOT(ISERROR(FIND("min ",A257))),RIGHT(A257,3)="min")</f>
        <v>0</v>
      </c>
      <c r="D256" s="17">
        <f t="shared" si="60"/>
        <v>1</v>
      </c>
      <c r="E256" s="17" t="str">
        <f t="shared" si="61"/>
        <v>Section 4 - Create spring-boot starter microservice, containerize it and push to DockerHub</v>
      </c>
      <c r="F256" s="18" t="str">
        <f t="shared" si="62"/>
        <v/>
      </c>
      <c r="G256" s="13" t="str">
        <f t="shared" si="65"/>
        <v/>
      </c>
      <c r="H256">
        <f t="shared" si="66"/>
        <v>0</v>
      </c>
      <c r="I256">
        <f t="shared" si="67"/>
        <v>0</v>
      </c>
      <c r="J256" s="13">
        <f t="shared" si="68"/>
        <v>65</v>
      </c>
      <c r="K256">
        <f t="shared" si="57"/>
        <v>0</v>
      </c>
      <c r="L256">
        <f t="shared" si="58"/>
        <v>1</v>
      </c>
      <c r="M256" s="13">
        <f t="shared" si="69"/>
        <v>1</v>
      </c>
      <c r="N256">
        <f t="shared" si="69"/>
        <v>4</v>
      </c>
      <c r="O256" s="14">
        <f t="shared" si="59"/>
        <v>64</v>
      </c>
      <c r="P256" s="13">
        <f t="shared" si="63"/>
        <v>1</v>
      </c>
      <c r="Q256">
        <f t="shared" si="70"/>
        <v>4</v>
      </c>
      <c r="R256" s="14">
        <f t="shared" si="71"/>
        <v>64</v>
      </c>
      <c r="S256" s="15"/>
      <c r="W256" s="14"/>
    </row>
    <row r="257" spans="1:23" x14ac:dyDescent="0.25">
      <c r="A257" s="16"/>
      <c r="B257" s="17" t="b">
        <f t="shared" si="64"/>
        <v>0</v>
      </c>
      <c r="C257" s="17" t="b">
        <f t="shared" si="72"/>
        <v>0</v>
      </c>
      <c r="D257" s="17">
        <f t="shared" si="60"/>
        <v>1</v>
      </c>
      <c r="E257" s="17" t="str">
        <f t="shared" si="61"/>
        <v>Section 4 - Create spring-boot starter microservice, containerize it and push to DockerHub</v>
      </c>
      <c r="F257" s="18" t="str">
        <f t="shared" si="62"/>
        <v/>
      </c>
      <c r="G257" s="13" t="str">
        <f t="shared" si="65"/>
        <v/>
      </c>
      <c r="H257">
        <f t="shared" si="66"/>
        <v>0</v>
      </c>
      <c r="I257">
        <f t="shared" si="67"/>
        <v>0</v>
      </c>
      <c r="J257" s="13">
        <f t="shared" si="68"/>
        <v>65</v>
      </c>
      <c r="K257">
        <f t="shared" si="57"/>
        <v>0</v>
      </c>
      <c r="L257">
        <f t="shared" si="58"/>
        <v>1</v>
      </c>
      <c r="M257" s="13">
        <f t="shared" si="69"/>
        <v>1</v>
      </c>
      <c r="N257">
        <f t="shared" si="69"/>
        <v>4</v>
      </c>
      <c r="O257" s="14">
        <f t="shared" si="59"/>
        <v>64</v>
      </c>
      <c r="P257" s="13">
        <f t="shared" si="63"/>
        <v>1</v>
      </c>
      <c r="Q257">
        <f t="shared" si="70"/>
        <v>4</v>
      </c>
      <c r="R257" s="14">
        <f t="shared" si="71"/>
        <v>64</v>
      </c>
      <c r="S257" s="15"/>
      <c r="W257" s="14"/>
    </row>
    <row r="258" spans="1:23" x14ac:dyDescent="0.25">
      <c r="A258" s="16"/>
      <c r="B258" s="17" t="b">
        <f t="shared" si="64"/>
        <v>0</v>
      </c>
      <c r="C258" s="17" t="b">
        <f t="shared" si="72"/>
        <v>0</v>
      </c>
      <c r="D258" s="17">
        <f t="shared" si="60"/>
        <v>1</v>
      </c>
      <c r="E258" s="17" t="str">
        <f t="shared" si="61"/>
        <v>Section 4 - Create spring-boot starter microservice, containerize it and push to DockerHub</v>
      </c>
      <c r="F258" s="18" t="str">
        <f t="shared" si="62"/>
        <v/>
      </c>
      <c r="G258" s="13" t="str">
        <f t="shared" si="65"/>
        <v/>
      </c>
      <c r="H258">
        <f t="shared" si="66"/>
        <v>0</v>
      </c>
      <c r="I258">
        <f t="shared" si="67"/>
        <v>0</v>
      </c>
      <c r="J258" s="13">
        <f t="shared" si="68"/>
        <v>65</v>
      </c>
      <c r="K258">
        <f t="shared" si="57"/>
        <v>0</v>
      </c>
      <c r="L258">
        <f t="shared" si="58"/>
        <v>1</v>
      </c>
      <c r="M258" s="13">
        <f t="shared" si="69"/>
        <v>1</v>
      </c>
      <c r="N258">
        <f t="shared" si="69"/>
        <v>4</v>
      </c>
      <c r="O258" s="14">
        <f t="shared" si="59"/>
        <v>64</v>
      </c>
      <c r="P258" s="13">
        <f t="shared" si="63"/>
        <v>1</v>
      </c>
      <c r="Q258">
        <f t="shared" si="70"/>
        <v>4</v>
      </c>
      <c r="R258" s="14">
        <f t="shared" si="71"/>
        <v>64</v>
      </c>
      <c r="S258" s="15"/>
      <c r="W258" s="14"/>
    </row>
    <row r="259" spans="1:23" x14ac:dyDescent="0.25">
      <c r="A259" s="16"/>
      <c r="B259" s="17" t="b">
        <f t="shared" si="64"/>
        <v>0</v>
      </c>
      <c r="C259" s="17" t="b">
        <f t="shared" si="72"/>
        <v>0</v>
      </c>
      <c r="D259" s="17">
        <f t="shared" si="60"/>
        <v>1</v>
      </c>
      <c r="E259" s="17" t="str">
        <f t="shared" si="61"/>
        <v>Section 4 - Create spring-boot starter microservice, containerize it and push to DockerHub</v>
      </c>
      <c r="F259" s="18" t="str">
        <f t="shared" si="62"/>
        <v/>
      </c>
      <c r="G259" s="13" t="str">
        <f t="shared" si="65"/>
        <v/>
      </c>
      <c r="H259">
        <f t="shared" si="66"/>
        <v>0</v>
      </c>
      <c r="I259">
        <f t="shared" si="67"/>
        <v>0</v>
      </c>
      <c r="J259" s="13">
        <f t="shared" si="68"/>
        <v>65</v>
      </c>
      <c r="K259">
        <f t="shared" si="57"/>
        <v>0</v>
      </c>
      <c r="L259">
        <f t="shared" si="58"/>
        <v>1</v>
      </c>
      <c r="M259" s="13">
        <f t="shared" si="69"/>
        <v>1</v>
      </c>
      <c r="N259">
        <f t="shared" si="69"/>
        <v>4</v>
      </c>
      <c r="O259" s="14">
        <f t="shared" si="59"/>
        <v>64</v>
      </c>
      <c r="P259" s="13">
        <f t="shared" si="63"/>
        <v>1</v>
      </c>
      <c r="Q259">
        <f t="shared" si="70"/>
        <v>4</v>
      </c>
      <c r="R259" s="14">
        <f t="shared" si="71"/>
        <v>64</v>
      </c>
      <c r="S259" s="15"/>
      <c r="W259" s="14"/>
    </row>
    <row r="260" spans="1:23" x14ac:dyDescent="0.25">
      <c r="A260" s="16"/>
      <c r="B260" s="17" t="b">
        <f t="shared" si="64"/>
        <v>0</v>
      </c>
      <c r="C260" s="17" t="b">
        <f t="shared" si="72"/>
        <v>0</v>
      </c>
      <c r="D260" s="17">
        <f t="shared" si="60"/>
        <v>1</v>
      </c>
      <c r="E260" s="17" t="str">
        <f t="shared" si="61"/>
        <v>Section 4 - Create spring-boot starter microservice, containerize it and push to DockerHub</v>
      </c>
      <c r="F260" s="18" t="str">
        <f t="shared" si="62"/>
        <v/>
      </c>
      <c r="G260" s="13" t="str">
        <f t="shared" si="65"/>
        <v/>
      </c>
      <c r="H260">
        <f t="shared" si="66"/>
        <v>0</v>
      </c>
      <c r="I260">
        <f t="shared" si="67"/>
        <v>0</v>
      </c>
      <c r="J260" s="13">
        <f t="shared" si="68"/>
        <v>65</v>
      </c>
      <c r="K260">
        <f t="shared" si="57"/>
        <v>0</v>
      </c>
      <c r="L260">
        <f t="shared" si="58"/>
        <v>1</v>
      </c>
      <c r="M260" s="13">
        <f t="shared" si="69"/>
        <v>1</v>
      </c>
      <c r="N260">
        <f t="shared" si="69"/>
        <v>4</v>
      </c>
      <c r="O260" s="14">
        <f t="shared" si="59"/>
        <v>64</v>
      </c>
      <c r="P260" s="13">
        <f t="shared" si="63"/>
        <v>1</v>
      </c>
      <c r="Q260">
        <f t="shared" si="70"/>
        <v>4</v>
      </c>
      <c r="R260" s="14">
        <f t="shared" si="71"/>
        <v>64</v>
      </c>
      <c r="S260" s="15"/>
      <c r="W260" s="14"/>
    </row>
    <row r="261" spans="1:23" x14ac:dyDescent="0.25">
      <c r="A261" s="16"/>
      <c r="B261" s="17" t="b">
        <f t="shared" si="64"/>
        <v>0</v>
      </c>
      <c r="C261" s="17" t="b">
        <f t="shared" si="72"/>
        <v>0</v>
      </c>
      <c r="D261" s="17">
        <f t="shared" si="60"/>
        <v>1</v>
      </c>
      <c r="E261" s="17" t="str">
        <f t="shared" si="61"/>
        <v>Section 4 - Create spring-boot starter microservice, containerize it and push to DockerHub</v>
      </c>
      <c r="F261" s="18" t="str">
        <f t="shared" si="62"/>
        <v/>
      </c>
      <c r="G261" s="13" t="str">
        <f t="shared" si="65"/>
        <v/>
      </c>
      <c r="H261">
        <f t="shared" si="66"/>
        <v>0</v>
      </c>
      <c r="I261">
        <f t="shared" si="67"/>
        <v>0</v>
      </c>
      <c r="J261" s="13">
        <f t="shared" si="68"/>
        <v>65</v>
      </c>
      <c r="K261">
        <f t="shared" si="57"/>
        <v>0</v>
      </c>
      <c r="L261">
        <f t="shared" si="58"/>
        <v>1</v>
      </c>
      <c r="M261" s="13">
        <f t="shared" si="69"/>
        <v>1</v>
      </c>
      <c r="N261">
        <f t="shared" si="69"/>
        <v>4</v>
      </c>
      <c r="O261" s="14">
        <f t="shared" si="59"/>
        <v>64</v>
      </c>
      <c r="P261" s="13">
        <f t="shared" si="63"/>
        <v>1</v>
      </c>
      <c r="Q261">
        <f t="shared" si="70"/>
        <v>4</v>
      </c>
      <c r="R261" s="14">
        <f t="shared" si="71"/>
        <v>64</v>
      </c>
      <c r="S261" s="15"/>
      <c r="W261" s="14"/>
    </row>
    <row r="262" spans="1:23" x14ac:dyDescent="0.25">
      <c r="A262" s="16"/>
      <c r="B262" s="17" t="b">
        <f t="shared" si="64"/>
        <v>0</v>
      </c>
      <c r="C262" s="17" t="b">
        <f t="shared" si="72"/>
        <v>0</v>
      </c>
      <c r="D262" s="17">
        <f t="shared" si="60"/>
        <v>1</v>
      </c>
      <c r="E262" s="17" t="str">
        <f t="shared" si="61"/>
        <v>Section 4 - Create spring-boot starter microservice, containerize it and push to DockerHub</v>
      </c>
      <c r="F262" s="18" t="str">
        <f t="shared" si="62"/>
        <v/>
      </c>
      <c r="G262" s="13" t="str">
        <f t="shared" si="65"/>
        <v/>
      </c>
      <c r="H262">
        <f t="shared" si="66"/>
        <v>0</v>
      </c>
      <c r="I262">
        <f t="shared" si="67"/>
        <v>0</v>
      </c>
      <c r="J262" s="13">
        <f t="shared" si="68"/>
        <v>65</v>
      </c>
      <c r="K262">
        <f t="shared" si="57"/>
        <v>0</v>
      </c>
      <c r="L262">
        <f t="shared" si="58"/>
        <v>1</v>
      </c>
      <c r="M262" s="13">
        <f t="shared" si="69"/>
        <v>1</v>
      </c>
      <c r="N262">
        <f t="shared" si="69"/>
        <v>4</v>
      </c>
      <c r="O262" s="14">
        <f t="shared" si="59"/>
        <v>64</v>
      </c>
      <c r="P262" s="13">
        <f t="shared" si="63"/>
        <v>1</v>
      </c>
      <c r="Q262">
        <f t="shared" si="70"/>
        <v>4</v>
      </c>
      <c r="R262" s="14">
        <f t="shared" si="71"/>
        <v>64</v>
      </c>
      <c r="S262" s="15"/>
      <c r="W262" s="14"/>
    </row>
    <row r="263" spans="1:23" x14ac:dyDescent="0.25">
      <c r="A263" s="16"/>
      <c r="B263" s="17" t="b">
        <f t="shared" si="64"/>
        <v>0</v>
      </c>
      <c r="C263" s="17" t="b">
        <f t="shared" si="72"/>
        <v>0</v>
      </c>
      <c r="D263" s="17">
        <f t="shared" si="60"/>
        <v>1</v>
      </c>
      <c r="E263" s="17" t="str">
        <f t="shared" si="61"/>
        <v>Section 4 - Create spring-boot starter microservice, containerize it and push to DockerHub</v>
      </c>
      <c r="F263" s="18" t="str">
        <f t="shared" si="62"/>
        <v/>
      </c>
      <c r="G263" s="13" t="str">
        <f t="shared" si="65"/>
        <v/>
      </c>
      <c r="H263">
        <f t="shared" si="66"/>
        <v>0</v>
      </c>
      <c r="I263">
        <f t="shared" si="67"/>
        <v>0</v>
      </c>
      <c r="J263" s="13">
        <f t="shared" si="68"/>
        <v>65</v>
      </c>
      <c r="K263">
        <f t="shared" si="57"/>
        <v>0</v>
      </c>
      <c r="L263">
        <f t="shared" si="58"/>
        <v>1</v>
      </c>
      <c r="M263" s="13">
        <f t="shared" si="69"/>
        <v>1</v>
      </c>
      <c r="N263">
        <f t="shared" si="69"/>
        <v>4</v>
      </c>
      <c r="O263" s="14">
        <f t="shared" si="59"/>
        <v>64</v>
      </c>
      <c r="P263" s="13">
        <f t="shared" si="63"/>
        <v>1</v>
      </c>
      <c r="Q263">
        <f t="shared" si="70"/>
        <v>4</v>
      </c>
      <c r="R263" s="14">
        <f t="shared" si="71"/>
        <v>64</v>
      </c>
      <c r="S263" s="15"/>
      <c r="W263" s="14"/>
    </row>
    <row r="264" spans="1:23" x14ac:dyDescent="0.25">
      <c r="A264" s="16"/>
      <c r="B264" s="17" t="b">
        <f t="shared" si="64"/>
        <v>0</v>
      </c>
      <c r="C264" s="17" t="b">
        <f t="shared" si="72"/>
        <v>0</v>
      </c>
      <c r="D264" s="17">
        <f t="shared" si="60"/>
        <v>1</v>
      </c>
      <c r="E264" s="17" t="str">
        <f t="shared" si="61"/>
        <v>Section 4 - Create spring-boot starter microservice, containerize it and push to DockerHub</v>
      </c>
      <c r="F264" s="18" t="str">
        <f t="shared" si="62"/>
        <v/>
      </c>
      <c r="G264" s="13" t="str">
        <f t="shared" si="65"/>
        <v/>
      </c>
      <c r="H264">
        <f t="shared" si="66"/>
        <v>0</v>
      </c>
      <c r="I264">
        <f t="shared" si="67"/>
        <v>0</v>
      </c>
      <c r="J264" s="13">
        <f t="shared" si="68"/>
        <v>65</v>
      </c>
      <c r="K264">
        <f t="shared" si="57"/>
        <v>0</v>
      </c>
      <c r="L264">
        <f t="shared" si="58"/>
        <v>1</v>
      </c>
      <c r="M264" s="13">
        <f t="shared" si="69"/>
        <v>1</v>
      </c>
      <c r="N264">
        <f t="shared" si="69"/>
        <v>4</v>
      </c>
      <c r="O264" s="14">
        <f t="shared" si="59"/>
        <v>64</v>
      </c>
      <c r="P264" s="13">
        <f t="shared" si="63"/>
        <v>1</v>
      </c>
      <c r="Q264">
        <f t="shared" si="70"/>
        <v>4</v>
      </c>
      <c r="R264" s="14">
        <f t="shared" si="71"/>
        <v>64</v>
      </c>
      <c r="S264" s="15"/>
      <c r="W264" s="14"/>
    </row>
    <row r="265" spans="1:23" x14ac:dyDescent="0.25">
      <c r="A265" s="16"/>
      <c r="B265" s="17" t="b">
        <f t="shared" si="64"/>
        <v>0</v>
      </c>
      <c r="C265" s="17" t="b">
        <f t="shared" si="72"/>
        <v>0</v>
      </c>
      <c r="D265" s="17">
        <f t="shared" si="60"/>
        <v>1</v>
      </c>
      <c r="E265" s="17" t="str">
        <f t="shared" si="61"/>
        <v>Section 4 - Create spring-boot starter microservice, containerize it and push to DockerHub</v>
      </c>
      <c r="F265" s="18" t="str">
        <f t="shared" si="62"/>
        <v/>
      </c>
      <c r="G265" s="13" t="str">
        <f t="shared" si="65"/>
        <v/>
      </c>
      <c r="H265">
        <f t="shared" si="66"/>
        <v>0</v>
      </c>
      <c r="I265">
        <f t="shared" si="67"/>
        <v>0</v>
      </c>
      <c r="J265" s="13">
        <f t="shared" si="68"/>
        <v>65</v>
      </c>
      <c r="K265">
        <f t="shared" si="57"/>
        <v>0</v>
      </c>
      <c r="L265">
        <f t="shared" si="58"/>
        <v>1</v>
      </c>
      <c r="M265" s="13">
        <f t="shared" si="69"/>
        <v>1</v>
      </c>
      <c r="N265">
        <f t="shared" si="69"/>
        <v>4</v>
      </c>
      <c r="O265" s="14">
        <f t="shared" si="59"/>
        <v>64</v>
      </c>
      <c r="P265" s="13">
        <f t="shared" si="63"/>
        <v>1</v>
      </c>
      <c r="Q265">
        <f t="shared" si="70"/>
        <v>4</v>
      </c>
      <c r="R265" s="14">
        <f t="shared" si="71"/>
        <v>64</v>
      </c>
      <c r="S265" s="15"/>
      <c r="W265" s="14"/>
    </row>
    <row r="266" spans="1:23" x14ac:dyDescent="0.25">
      <c r="A266" s="16"/>
      <c r="B266" s="17" t="b">
        <f t="shared" si="64"/>
        <v>0</v>
      </c>
      <c r="C266" s="17" t="b">
        <f t="shared" si="72"/>
        <v>0</v>
      </c>
      <c r="D266" s="17">
        <f t="shared" si="60"/>
        <v>1</v>
      </c>
      <c r="E266" s="17" t="str">
        <f t="shared" si="61"/>
        <v>Section 4 - Create spring-boot starter microservice, containerize it and push to DockerHub</v>
      </c>
      <c r="F266" s="18" t="str">
        <f t="shared" si="62"/>
        <v/>
      </c>
      <c r="G266" s="13" t="str">
        <f t="shared" si="65"/>
        <v/>
      </c>
      <c r="H266">
        <f t="shared" si="66"/>
        <v>0</v>
      </c>
      <c r="I266">
        <f t="shared" si="67"/>
        <v>0</v>
      </c>
      <c r="J266" s="13">
        <f t="shared" si="68"/>
        <v>65</v>
      </c>
      <c r="K266">
        <f t="shared" ref="K266:K329" si="73">INT(J266/60/60)</f>
        <v>0</v>
      </c>
      <c r="L266">
        <f t="shared" ref="L266:L329" si="74">INT((J266-(K266*60*60))/60)</f>
        <v>1</v>
      </c>
      <c r="M266" s="13">
        <f t="shared" si="69"/>
        <v>1</v>
      </c>
      <c r="N266">
        <f t="shared" si="69"/>
        <v>4</v>
      </c>
      <c r="O266" s="14">
        <f t="shared" ref="O266:O329" si="75">((M266*60)+N266)</f>
        <v>64</v>
      </c>
      <c r="P266" s="13">
        <f t="shared" si="63"/>
        <v>1</v>
      </c>
      <c r="Q266">
        <f t="shared" si="70"/>
        <v>4</v>
      </c>
      <c r="R266" s="14">
        <f t="shared" si="71"/>
        <v>64</v>
      </c>
      <c r="S266" s="15"/>
      <c r="W266" s="14"/>
    </row>
    <row r="267" spans="1:23" x14ac:dyDescent="0.25">
      <c r="A267" s="16"/>
      <c r="B267" s="17" t="b">
        <f t="shared" si="64"/>
        <v>0</v>
      </c>
      <c r="C267" s="17" t="b">
        <f t="shared" si="72"/>
        <v>0</v>
      </c>
      <c r="D267" s="17">
        <f t="shared" ref="D267:D330" si="76">IF(B267,0,IF(C267,D266+1,D266))</f>
        <v>1</v>
      </c>
      <c r="E267" s="17" t="str">
        <f t="shared" ref="E267:E330" si="77">SUBSTITUTE(IF(B267,A267,E266),":"," -")</f>
        <v>Section 4 - Create spring-boot starter microservice, containerize it and push to DockerHub</v>
      </c>
      <c r="F267" s="18" t="str">
        <f t="shared" ref="F267:F330" si="78">IF(C267,A267,"")</f>
        <v/>
      </c>
      <c r="G267" s="13" t="str">
        <f t="shared" si="65"/>
        <v/>
      </c>
      <c r="H267">
        <f t="shared" si="66"/>
        <v>0</v>
      </c>
      <c r="I267">
        <f t="shared" si="67"/>
        <v>0</v>
      </c>
      <c r="J267" s="13">
        <f t="shared" si="68"/>
        <v>65</v>
      </c>
      <c r="K267">
        <f t="shared" si="73"/>
        <v>0</v>
      </c>
      <c r="L267">
        <f t="shared" si="74"/>
        <v>1</v>
      </c>
      <c r="M267" s="13">
        <f t="shared" si="69"/>
        <v>1</v>
      </c>
      <c r="N267">
        <f t="shared" si="69"/>
        <v>4</v>
      </c>
      <c r="O267" s="14">
        <f t="shared" si="75"/>
        <v>64</v>
      </c>
      <c r="P267" s="13">
        <f t="shared" ref="P267:P330" si="79">INT(R267/60)</f>
        <v>1</v>
      </c>
      <c r="Q267">
        <f t="shared" si="70"/>
        <v>4</v>
      </c>
      <c r="R267" s="14">
        <f t="shared" si="71"/>
        <v>64</v>
      </c>
      <c r="S267" s="15"/>
      <c r="W267" s="14"/>
    </row>
    <row r="268" spans="1:23" x14ac:dyDescent="0.25">
      <c r="A268" s="16"/>
      <c r="B268" s="17" t="b">
        <f t="shared" si="64"/>
        <v>0</v>
      </c>
      <c r="C268" s="17" t="b">
        <f t="shared" si="72"/>
        <v>0</v>
      </c>
      <c r="D268" s="17">
        <f t="shared" si="76"/>
        <v>1</v>
      </c>
      <c r="E268" s="17" t="str">
        <f t="shared" si="77"/>
        <v>Section 4 - Create spring-boot starter microservice, containerize it and push to DockerHub</v>
      </c>
      <c r="F268" s="18" t="str">
        <f t="shared" si="78"/>
        <v/>
      </c>
      <c r="G268" s="13" t="str">
        <f t="shared" si="65"/>
        <v/>
      </c>
      <c r="H268">
        <f t="shared" si="66"/>
        <v>0</v>
      </c>
      <c r="I268">
        <f t="shared" si="67"/>
        <v>0</v>
      </c>
      <c r="J268" s="13">
        <f t="shared" si="68"/>
        <v>65</v>
      </c>
      <c r="K268">
        <f t="shared" si="73"/>
        <v>0</v>
      </c>
      <c r="L268">
        <f t="shared" si="74"/>
        <v>1</v>
      </c>
      <c r="M268" s="13">
        <f t="shared" si="69"/>
        <v>1</v>
      </c>
      <c r="N268">
        <f t="shared" si="69"/>
        <v>4</v>
      </c>
      <c r="O268" s="14">
        <f t="shared" si="75"/>
        <v>64</v>
      </c>
      <c r="P268" s="13">
        <f t="shared" si="79"/>
        <v>1</v>
      </c>
      <c r="Q268">
        <f t="shared" si="70"/>
        <v>4</v>
      </c>
      <c r="R268" s="14">
        <f t="shared" si="71"/>
        <v>64</v>
      </c>
      <c r="S268" s="15"/>
      <c r="W268" s="14"/>
    </row>
    <row r="269" spans="1:23" x14ac:dyDescent="0.25">
      <c r="A269" s="16"/>
      <c r="B269" s="17" t="b">
        <f t="shared" si="64"/>
        <v>0</v>
      </c>
      <c r="C269" s="17" t="b">
        <f t="shared" si="72"/>
        <v>0</v>
      </c>
      <c r="D269" s="17">
        <f t="shared" si="76"/>
        <v>1</v>
      </c>
      <c r="E269" s="17" t="str">
        <f t="shared" si="77"/>
        <v>Section 4 - Create spring-boot starter microservice, containerize it and push to DockerHub</v>
      </c>
      <c r="F269" s="18" t="str">
        <f t="shared" si="78"/>
        <v/>
      </c>
      <c r="G269" s="13" t="str">
        <f t="shared" si="65"/>
        <v/>
      </c>
      <c r="H269">
        <f t="shared" si="66"/>
        <v>0</v>
      </c>
      <c r="I269">
        <f t="shared" si="67"/>
        <v>0</v>
      </c>
      <c r="J269" s="13">
        <f t="shared" si="68"/>
        <v>65</v>
      </c>
      <c r="K269">
        <f t="shared" si="73"/>
        <v>0</v>
      </c>
      <c r="L269">
        <f t="shared" si="74"/>
        <v>1</v>
      </c>
      <c r="M269" s="13">
        <f t="shared" si="69"/>
        <v>1</v>
      </c>
      <c r="N269">
        <f t="shared" si="69"/>
        <v>4</v>
      </c>
      <c r="O269" s="14">
        <f t="shared" si="75"/>
        <v>64</v>
      </c>
      <c r="P269" s="13">
        <f t="shared" si="79"/>
        <v>1</v>
      </c>
      <c r="Q269">
        <f t="shared" si="70"/>
        <v>4</v>
      </c>
      <c r="R269" s="14">
        <f t="shared" si="71"/>
        <v>64</v>
      </c>
      <c r="S269" s="15"/>
      <c r="W269" s="14"/>
    </row>
    <row r="270" spans="1:23" x14ac:dyDescent="0.25">
      <c r="A270" s="16"/>
      <c r="B270" s="17" t="b">
        <f t="shared" si="64"/>
        <v>0</v>
      </c>
      <c r="C270" s="17" t="b">
        <f t="shared" si="72"/>
        <v>0</v>
      </c>
      <c r="D270" s="17">
        <f t="shared" si="76"/>
        <v>1</v>
      </c>
      <c r="E270" s="17" t="str">
        <f t="shared" si="77"/>
        <v>Section 4 - Create spring-boot starter microservice, containerize it and push to DockerHub</v>
      </c>
      <c r="F270" s="18" t="str">
        <f t="shared" si="78"/>
        <v/>
      </c>
      <c r="G270" s="13" t="str">
        <f t="shared" si="65"/>
        <v/>
      </c>
      <c r="H270">
        <f t="shared" si="66"/>
        <v>0</v>
      </c>
      <c r="I270">
        <f t="shared" si="67"/>
        <v>0</v>
      </c>
      <c r="J270" s="13">
        <f t="shared" si="68"/>
        <v>65</v>
      </c>
      <c r="K270">
        <f t="shared" si="73"/>
        <v>0</v>
      </c>
      <c r="L270">
        <f t="shared" si="74"/>
        <v>1</v>
      </c>
      <c r="M270" s="13">
        <f t="shared" si="69"/>
        <v>1</v>
      </c>
      <c r="N270">
        <f t="shared" si="69"/>
        <v>4</v>
      </c>
      <c r="O270" s="14">
        <f t="shared" si="75"/>
        <v>64</v>
      </c>
      <c r="P270" s="13">
        <f t="shared" si="79"/>
        <v>1</v>
      </c>
      <c r="Q270">
        <f t="shared" si="70"/>
        <v>4</v>
      </c>
      <c r="R270" s="14">
        <f t="shared" si="71"/>
        <v>64</v>
      </c>
      <c r="S270" s="15"/>
      <c r="W270" s="14"/>
    </row>
    <row r="271" spans="1:23" x14ac:dyDescent="0.25">
      <c r="A271" s="16"/>
      <c r="B271" s="17" t="b">
        <f t="shared" si="64"/>
        <v>0</v>
      </c>
      <c r="C271" s="17" t="b">
        <f t="shared" si="72"/>
        <v>0</v>
      </c>
      <c r="D271" s="17">
        <f t="shared" si="76"/>
        <v>1</v>
      </c>
      <c r="E271" s="17" t="str">
        <f t="shared" si="77"/>
        <v>Section 4 - Create spring-boot starter microservice, containerize it and push to DockerHub</v>
      </c>
      <c r="F271" s="18" t="str">
        <f t="shared" si="78"/>
        <v/>
      </c>
      <c r="G271" s="13" t="str">
        <f t="shared" si="65"/>
        <v/>
      </c>
      <c r="H271">
        <f t="shared" si="66"/>
        <v>0</v>
      </c>
      <c r="I271">
        <f t="shared" si="67"/>
        <v>0</v>
      </c>
      <c r="J271" s="13">
        <f t="shared" si="68"/>
        <v>65</v>
      </c>
      <c r="K271">
        <f t="shared" si="73"/>
        <v>0</v>
      </c>
      <c r="L271">
        <f t="shared" si="74"/>
        <v>1</v>
      </c>
      <c r="M271" s="13">
        <f t="shared" si="69"/>
        <v>1</v>
      </c>
      <c r="N271">
        <f t="shared" si="69"/>
        <v>4</v>
      </c>
      <c r="O271" s="14">
        <f t="shared" si="75"/>
        <v>64</v>
      </c>
      <c r="P271" s="13">
        <f t="shared" si="79"/>
        <v>1</v>
      </c>
      <c r="Q271">
        <f t="shared" si="70"/>
        <v>4</v>
      </c>
      <c r="R271" s="14">
        <f t="shared" si="71"/>
        <v>64</v>
      </c>
      <c r="S271" s="15"/>
      <c r="W271" s="14"/>
    </row>
    <row r="272" spans="1:23" x14ac:dyDescent="0.25">
      <c r="A272" s="16"/>
      <c r="B272" s="17" t="b">
        <f t="shared" si="64"/>
        <v>0</v>
      </c>
      <c r="C272" s="17" t="b">
        <f t="shared" si="72"/>
        <v>0</v>
      </c>
      <c r="D272" s="17">
        <f t="shared" si="76"/>
        <v>1</v>
      </c>
      <c r="E272" s="17" t="str">
        <f t="shared" si="77"/>
        <v>Section 4 - Create spring-boot starter microservice, containerize it and push to DockerHub</v>
      </c>
      <c r="F272" s="18" t="str">
        <f t="shared" si="78"/>
        <v/>
      </c>
      <c r="G272" s="13" t="str">
        <f t="shared" si="65"/>
        <v/>
      </c>
      <c r="H272">
        <f t="shared" si="66"/>
        <v>0</v>
      </c>
      <c r="I272">
        <f t="shared" si="67"/>
        <v>0</v>
      </c>
      <c r="J272" s="13">
        <f t="shared" si="68"/>
        <v>65</v>
      </c>
      <c r="K272">
        <f t="shared" si="73"/>
        <v>0</v>
      </c>
      <c r="L272">
        <f t="shared" si="74"/>
        <v>1</v>
      </c>
      <c r="M272" s="13">
        <f t="shared" si="69"/>
        <v>1</v>
      </c>
      <c r="N272">
        <f t="shared" si="69"/>
        <v>4</v>
      </c>
      <c r="O272" s="14">
        <f t="shared" si="75"/>
        <v>64</v>
      </c>
      <c r="P272" s="13">
        <f t="shared" si="79"/>
        <v>1</v>
      </c>
      <c r="Q272">
        <f t="shared" si="70"/>
        <v>4</v>
      </c>
      <c r="R272" s="14">
        <f t="shared" si="71"/>
        <v>64</v>
      </c>
      <c r="S272" s="15"/>
      <c r="W272" s="14"/>
    </row>
    <row r="273" spans="1:23" x14ac:dyDescent="0.25">
      <c r="A273" s="16"/>
      <c r="B273" s="17" t="b">
        <f t="shared" si="64"/>
        <v>0</v>
      </c>
      <c r="C273" s="17" t="b">
        <f t="shared" si="72"/>
        <v>0</v>
      </c>
      <c r="D273" s="17">
        <f t="shared" si="76"/>
        <v>1</v>
      </c>
      <c r="E273" s="17" t="str">
        <f t="shared" si="77"/>
        <v>Section 4 - Create spring-boot starter microservice, containerize it and push to DockerHub</v>
      </c>
      <c r="F273" s="18" t="str">
        <f t="shared" si="78"/>
        <v/>
      </c>
      <c r="G273" s="13" t="str">
        <f t="shared" si="65"/>
        <v/>
      </c>
      <c r="H273">
        <f t="shared" si="66"/>
        <v>0</v>
      </c>
      <c r="I273">
        <f t="shared" si="67"/>
        <v>0</v>
      </c>
      <c r="J273" s="13">
        <f t="shared" si="68"/>
        <v>65</v>
      </c>
      <c r="K273">
        <f t="shared" si="73"/>
        <v>0</v>
      </c>
      <c r="L273">
        <f t="shared" si="74"/>
        <v>1</v>
      </c>
      <c r="M273" s="13">
        <f t="shared" si="69"/>
        <v>1</v>
      </c>
      <c r="N273">
        <f t="shared" si="69"/>
        <v>4</v>
      </c>
      <c r="O273" s="14">
        <f t="shared" si="75"/>
        <v>64</v>
      </c>
      <c r="P273" s="13">
        <f t="shared" si="79"/>
        <v>1</v>
      </c>
      <c r="Q273">
        <f t="shared" si="70"/>
        <v>4</v>
      </c>
      <c r="R273" s="14">
        <f t="shared" si="71"/>
        <v>64</v>
      </c>
      <c r="S273" s="15"/>
      <c r="W273" s="14"/>
    </row>
    <row r="274" spans="1:23" x14ac:dyDescent="0.25">
      <c r="A274" s="16"/>
      <c r="B274" s="17" t="b">
        <f t="shared" ref="B274:B337" si="80">AND(NOT(ISERROR(FIND("Section ",A274))),NOT(ISERROR(FIND("Section ",A274))))</f>
        <v>0</v>
      </c>
      <c r="C274" s="17" t="b">
        <f t="shared" si="72"/>
        <v>0</v>
      </c>
      <c r="D274" s="17">
        <f t="shared" si="76"/>
        <v>1</v>
      </c>
      <c r="E274" s="17" t="str">
        <f t="shared" si="77"/>
        <v>Section 4 - Create spring-boot starter microservice, containerize it and push to DockerHub</v>
      </c>
      <c r="F274" s="18" t="str">
        <f t="shared" si="78"/>
        <v/>
      </c>
      <c r="G274" s="13" t="str">
        <f t="shared" si="65"/>
        <v/>
      </c>
      <c r="H274">
        <f t="shared" si="66"/>
        <v>0</v>
      </c>
      <c r="I274">
        <f t="shared" si="67"/>
        <v>0</v>
      </c>
      <c r="J274" s="13">
        <f t="shared" si="68"/>
        <v>65</v>
      </c>
      <c r="K274">
        <f t="shared" si="73"/>
        <v>0</v>
      </c>
      <c r="L274">
        <f t="shared" si="74"/>
        <v>1</v>
      </c>
      <c r="M274" s="13">
        <f t="shared" si="69"/>
        <v>1</v>
      </c>
      <c r="N274">
        <f t="shared" si="69"/>
        <v>4</v>
      </c>
      <c r="O274" s="14">
        <f t="shared" si="75"/>
        <v>64</v>
      </c>
      <c r="P274" s="13">
        <f t="shared" si="79"/>
        <v>1</v>
      </c>
      <c r="Q274">
        <f t="shared" si="70"/>
        <v>4</v>
      </c>
      <c r="R274" s="14">
        <f t="shared" si="71"/>
        <v>64</v>
      </c>
      <c r="S274" s="15"/>
      <c r="W274" s="14"/>
    </row>
    <row r="275" spans="1:23" x14ac:dyDescent="0.25">
      <c r="A275" s="16"/>
      <c r="B275" s="17" t="b">
        <f t="shared" si="80"/>
        <v>0</v>
      </c>
      <c r="C275" s="17" t="b">
        <f t="shared" si="72"/>
        <v>0</v>
      </c>
      <c r="D275" s="17">
        <f t="shared" si="76"/>
        <v>1</v>
      </c>
      <c r="E275" s="17" t="str">
        <f t="shared" si="77"/>
        <v>Section 4 - Create spring-boot starter microservice, containerize it and push to DockerHub</v>
      </c>
      <c r="F275" s="18" t="str">
        <f t="shared" si="78"/>
        <v/>
      </c>
      <c r="G275" s="13" t="str">
        <f t="shared" si="65"/>
        <v/>
      </c>
      <c r="H275">
        <f t="shared" si="66"/>
        <v>0</v>
      </c>
      <c r="I275">
        <f t="shared" si="67"/>
        <v>0</v>
      </c>
      <c r="J275" s="13">
        <f t="shared" si="68"/>
        <v>65</v>
      </c>
      <c r="K275">
        <f t="shared" si="73"/>
        <v>0</v>
      </c>
      <c r="L275">
        <f t="shared" si="74"/>
        <v>1</v>
      </c>
      <c r="M275" s="13">
        <f t="shared" si="69"/>
        <v>1</v>
      </c>
      <c r="N275">
        <f t="shared" si="69"/>
        <v>4</v>
      </c>
      <c r="O275" s="14">
        <f t="shared" si="75"/>
        <v>64</v>
      </c>
      <c r="P275" s="13">
        <f t="shared" si="79"/>
        <v>1</v>
      </c>
      <c r="Q275">
        <f t="shared" si="70"/>
        <v>4</v>
      </c>
      <c r="R275" s="14">
        <f t="shared" si="71"/>
        <v>64</v>
      </c>
      <c r="S275" s="15"/>
      <c r="W275" s="14"/>
    </row>
    <row r="276" spans="1:23" x14ac:dyDescent="0.25">
      <c r="A276" s="16"/>
      <c r="B276" s="17" t="b">
        <f t="shared" si="80"/>
        <v>0</v>
      </c>
      <c r="C276" s="17" t="b">
        <f t="shared" si="72"/>
        <v>0</v>
      </c>
      <c r="D276" s="17">
        <f t="shared" si="76"/>
        <v>1</v>
      </c>
      <c r="E276" s="17" t="str">
        <f t="shared" si="77"/>
        <v>Section 4 - Create spring-boot starter microservice, containerize it and push to DockerHub</v>
      </c>
      <c r="F276" s="18" t="str">
        <f t="shared" si="78"/>
        <v/>
      </c>
      <c r="G276" s="13" t="str">
        <f t="shared" si="65"/>
        <v/>
      </c>
      <c r="H276">
        <f t="shared" si="66"/>
        <v>0</v>
      </c>
      <c r="I276">
        <f t="shared" si="67"/>
        <v>0</v>
      </c>
      <c r="J276" s="13">
        <f t="shared" si="68"/>
        <v>65</v>
      </c>
      <c r="K276">
        <f t="shared" si="73"/>
        <v>0</v>
      </c>
      <c r="L276">
        <f t="shared" si="74"/>
        <v>1</v>
      </c>
      <c r="M276" s="13">
        <f t="shared" si="69"/>
        <v>1</v>
      </c>
      <c r="N276">
        <f t="shared" si="69"/>
        <v>4</v>
      </c>
      <c r="O276" s="14">
        <f t="shared" si="75"/>
        <v>64</v>
      </c>
      <c r="P276" s="13">
        <f t="shared" si="79"/>
        <v>1</v>
      </c>
      <c r="Q276">
        <f t="shared" si="70"/>
        <v>4</v>
      </c>
      <c r="R276" s="14">
        <f t="shared" si="71"/>
        <v>64</v>
      </c>
      <c r="S276" s="15"/>
      <c r="W276" s="14"/>
    </row>
    <row r="277" spans="1:23" x14ac:dyDescent="0.25">
      <c r="A277" s="16"/>
      <c r="B277" s="17" t="b">
        <f t="shared" si="80"/>
        <v>0</v>
      </c>
      <c r="C277" s="17" t="b">
        <f t="shared" si="72"/>
        <v>0</v>
      </c>
      <c r="D277" s="17">
        <f t="shared" si="76"/>
        <v>1</v>
      </c>
      <c r="E277" s="17" t="str">
        <f t="shared" si="77"/>
        <v>Section 4 - Create spring-boot starter microservice, containerize it and push to DockerHub</v>
      </c>
      <c r="F277" s="18" t="str">
        <f t="shared" si="78"/>
        <v/>
      </c>
      <c r="G277" s="13" t="str">
        <f t="shared" ref="G277:G340" si="81">IF(C277,A278,"")</f>
        <v/>
      </c>
      <c r="H277">
        <f t="shared" ref="H277:H340" si="82">VALUE(IF(NOT(ISERROR(FIND("hr",G277))),LEFT(G277,FIND("hr",G277)-1),0))</f>
        <v>0</v>
      </c>
      <c r="I277">
        <f t="shared" ref="I277:I340" si="83">VALUE(IF(ISERROR(FIND("min",G277)),0,SUBSTITUTE(MID(G277,IF(ISERROR(FIND("hr ",G277)),1,FIND("hr ",G277)+3),LEN(G277)),"min","")))</f>
        <v>0</v>
      </c>
      <c r="J277" s="13">
        <f t="shared" ref="J277:J340" si="84">J276+(H277*60+I277)</f>
        <v>65</v>
      </c>
      <c r="K277">
        <f t="shared" si="73"/>
        <v>0</v>
      </c>
      <c r="L277">
        <f t="shared" si="74"/>
        <v>1</v>
      </c>
      <c r="M277" s="13">
        <f t="shared" ref="M277:N340" si="85">P276</f>
        <v>1</v>
      </c>
      <c r="N277">
        <f t="shared" si="85"/>
        <v>4</v>
      </c>
      <c r="O277" s="14">
        <f t="shared" si="75"/>
        <v>64</v>
      </c>
      <c r="P277" s="13">
        <f t="shared" si="79"/>
        <v>1</v>
      </c>
      <c r="Q277">
        <f t="shared" ref="Q277:Q340" si="86">R277-(P277*60)</f>
        <v>4</v>
      </c>
      <c r="R277" s="14">
        <f t="shared" ref="R277:R340" si="87">((H277*60)+I277)+O277</f>
        <v>64</v>
      </c>
      <c r="S277" s="15"/>
      <c r="W277" s="14"/>
    </row>
    <row r="278" spans="1:23" x14ac:dyDescent="0.25">
      <c r="A278" s="16"/>
      <c r="B278" s="17" t="b">
        <f t="shared" si="80"/>
        <v>0</v>
      </c>
      <c r="C278" s="17" t="b">
        <f t="shared" si="72"/>
        <v>0</v>
      </c>
      <c r="D278" s="17">
        <f t="shared" si="76"/>
        <v>1</v>
      </c>
      <c r="E278" s="17" t="str">
        <f t="shared" si="77"/>
        <v>Section 4 - Create spring-boot starter microservice, containerize it and push to DockerHub</v>
      </c>
      <c r="F278" s="18" t="str">
        <f t="shared" si="78"/>
        <v/>
      </c>
      <c r="G278" s="13" t="str">
        <f t="shared" si="81"/>
        <v/>
      </c>
      <c r="H278">
        <f t="shared" si="82"/>
        <v>0</v>
      </c>
      <c r="I278">
        <f t="shared" si="83"/>
        <v>0</v>
      </c>
      <c r="J278" s="13">
        <f t="shared" si="84"/>
        <v>65</v>
      </c>
      <c r="K278">
        <f t="shared" si="73"/>
        <v>0</v>
      </c>
      <c r="L278">
        <f t="shared" si="74"/>
        <v>1</v>
      </c>
      <c r="M278" s="13">
        <f t="shared" si="85"/>
        <v>1</v>
      </c>
      <c r="N278">
        <f t="shared" si="85"/>
        <v>4</v>
      </c>
      <c r="O278" s="14">
        <f t="shared" si="75"/>
        <v>64</v>
      </c>
      <c r="P278" s="13">
        <f t="shared" si="79"/>
        <v>1</v>
      </c>
      <c r="Q278">
        <f t="shared" si="86"/>
        <v>4</v>
      </c>
      <c r="R278" s="14">
        <f t="shared" si="87"/>
        <v>64</v>
      </c>
      <c r="S278" s="15"/>
      <c r="W278" s="14"/>
    </row>
    <row r="279" spans="1:23" x14ac:dyDescent="0.25">
      <c r="A279" s="16"/>
      <c r="B279" s="17" t="b">
        <f t="shared" si="80"/>
        <v>0</v>
      </c>
      <c r="C279" s="17" t="b">
        <f t="shared" si="72"/>
        <v>0</v>
      </c>
      <c r="D279" s="17">
        <f t="shared" si="76"/>
        <v>1</v>
      </c>
      <c r="E279" s="17" t="str">
        <f t="shared" si="77"/>
        <v>Section 4 - Create spring-boot starter microservice, containerize it and push to DockerHub</v>
      </c>
      <c r="F279" s="18" t="str">
        <f t="shared" si="78"/>
        <v/>
      </c>
      <c r="G279" s="13" t="str">
        <f t="shared" si="81"/>
        <v/>
      </c>
      <c r="H279">
        <f t="shared" si="82"/>
        <v>0</v>
      </c>
      <c r="I279">
        <f t="shared" si="83"/>
        <v>0</v>
      </c>
      <c r="J279" s="13">
        <f t="shared" si="84"/>
        <v>65</v>
      </c>
      <c r="K279">
        <f t="shared" si="73"/>
        <v>0</v>
      </c>
      <c r="L279">
        <f t="shared" si="74"/>
        <v>1</v>
      </c>
      <c r="M279" s="13">
        <f t="shared" si="85"/>
        <v>1</v>
      </c>
      <c r="N279">
        <f t="shared" si="85"/>
        <v>4</v>
      </c>
      <c r="O279" s="14">
        <f t="shared" si="75"/>
        <v>64</v>
      </c>
      <c r="P279" s="13">
        <f t="shared" si="79"/>
        <v>1</v>
      </c>
      <c r="Q279">
        <f t="shared" si="86"/>
        <v>4</v>
      </c>
      <c r="R279" s="14">
        <f t="shared" si="87"/>
        <v>64</v>
      </c>
      <c r="S279" s="15"/>
      <c r="W279" s="14"/>
    </row>
    <row r="280" spans="1:23" x14ac:dyDescent="0.25">
      <c r="A280" s="16"/>
      <c r="B280" s="17" t="b">
        <f t="shared" si="80"/>
        <v>0</v>
      </c>
      <c r="C280" s="17" t="b">
        <f t="shared" si="72"/>
        <v>0</v>
      </c>
      <c r="D280" s="17">
        <f t="shared" si="76"/>
        <v>1</v>
      </c>
      <c r="E280" s="17" t="str">
        <f t="shared" si="77"/>
        <v>Section 4 - Create spring-boot starter microservice, containerize it and push to DockerHub</v>
      </c>
      <c r="F280" s="18" t="str">
        <f t="shared" si="78"/>
        <v/>
      </c>
      <c r="G280" s="13" t="str">
        <f t="shared" si="81"/>
        <v/>
      </c>
      <c r="H280">
        <f t="shared" si="82"/>
        <v>0</v>
      </c>
      <c r="I280">
        <f t="shared" si="83"/>
        <v>0</v>
      </c>
      <c r="J280" s="13">
        <f t="shared" si="84"/>
        <v>65</v>
      </c>
      <c r="K280">
        <f t="shared" si="73"/>
        <v>0</v>
      </c>
      <c r="L280">
        <f t="shared" si="74"/>
        <v>1</v>
      </c>
      <c r="M280" s="13">
        <f t="shared" si="85"/>
        <v>1</v>
      </c>
      <c r="N280">
        <f t="shared" si="85"/>
        <v>4</v>
      </c>
      <c r="O280" s="14">
        <f t="shared" si="75"/>
        <v>64</v>
      </c>
      <c r="P280" s="13">
        <f t="shared" si="79"/>
        <v>1</v>
      </c>
      <c r="Q280">
        <f t="shared" si="86"/>
        <v>4</v>
      </c>
      <c r="R280" s="14">
        <f t="shared" si="87"/>
        <v>64</v>
      </c>
      <c r="S280" s="15"/>
      <c r="W280" s="14"/>
    </row>
    <row r="281" spans="1:23" x14ac:dyDescent="0.25">
      <c r="A281" s="16"/>
      <c r="B281" s="17" t="b">
        <f t="shared" si="80"/>
        <v>0</v>
      </c>
      <c r="C281" s="17" t="b">
        <f t="shared" si="72"/>
        <v>0</v>
      </c>
      <c r="D281" s="17">
        <f t="shared" si="76"/>
        <v>1</v>
      </c>
      <c r="E281" s="17" t="str">
        <f t="shared" si="77"/>
        <v>Section 4 - Create spring-boot starter microservice, containerize it and push to DockerHub</v>
      </c>
      <c r="F281" s="18" t="str">
        <f t="shared" si="78"/>
        <v/>
      </c>
      <c r="G281" s="13" t="str">
        <f t="shared" si="81"/>
        <v/>
      </c>
      <c r="H281">
        <f t="shared" si="82"/>
        <v>0</v>
      </c>
      <c r="I281">
        <f t="shared" si="83"/>
        <v>0</v>
      </c>
      <c r="J281" s="13">
        <f t="shared" si="84"/>
        <v>65</v>
      </c>
      <c r="K281">
        <f t="shared" si="73"/>
        <v>0</v>
      </c>
      <c r="L281">
        <f t="shared" si="74"/>
        <v>1</v>
      </c>
      <c r="M281" s="13">
        <f t="shared" si="85"/>
        <v>1</v>
      </c>
      <c r="N281">
        <f t="shared" si="85"/>
        <v>4</v>
      </c>
      <c r="O281" s="14">
        <f t="shared" si="75"/>
        <v>64</v>
      </c>
      <c r="P281" s="13">
        <f t="shared" si="79"/>
        <v>1</v>
      </c>
      <c r="Q281">
        <f t="shared" si="86"/>
        <v>4</v>
      </c>
      <c r="R281" s="14">
        <f t="shared" si="87"/>
        <v>64</v>
      </c>
      <c r="S281" s="15"/>
      <c r="W281" s="14"/>
    </row>
    <row r="282" spans="1:23" x14ac:dyDescent="0.25">
      <c r="A282" s="16"/>
      <c r="B282" s="17" t="b">
        <f t="shared" si="80"/>
        <v>0</v>
      </c>
      <c r="C282" s="17" t="b">
        <f t="shared" si="72"/>
        <v>0</v>
      </c>
      <c r="D282" s="17">
        <f t="shared" si="76"/>
        <v>1</v>
      </c>
      <c r="E282" s="17" t="str">
        <f t="shared" si="77"/>
        <v>Section 4 - Create spring-boot starter microservice, containerize it and push to DockerHub</v>
      </c>
      <c r="F282" s="18" t="str">
        <f t="shared" si="78"/>
        <v/>
      </c>
      <c r="G282" s="13" t="str">
        <f t="shared" si="81"/>
        <v/>
      </c>
      <c r="H282">
        <f t="shared" si="82"/>
        <v>0</v>
      </c>
      <c r="I282">
        <f t="shared" si="83"/>
        <v>0</v>
      </c>
      <c r="J282" s="13">
        <f t="shared" si="84"/>
        <v>65</v>
      </c>
      <c r="K282">
        <f t="shared" si="73"/>
        <v>0</v>
      </c>
      <c r="L282">
        <f t="shared" si="74"/>
        <v>1</v>
      </c>
      <c r="M282" s="13">
        <f t="shared" si="85"/>
        <v>1</v>
      </c>
      <c r="N282">
        <f t="shared" si="85"/>
        <v>4</v>
      </c>
      <c r="O282" s="14">
        <f t="shared" si="75"/>
        <v>64</v>
      </c>
      <c r="P282" s="13">
        <f t="shared" si="79"/>
        <v>1</v>
      </c>
      <c r="Q282">
        <f t="shared" si="86"/>
        <v>4</v>
      </c>
      <c r="R282" s="14">
        <f t="shared" si="87"/>
        <v>64</v>
      </c>
      <c r="S282" s="15"/>
      <c r="W282" s="14"/>
    </row>
    <row r="283" spans="1:23" x14ac:dyDescent="0.25">
      <c r="A283" s="16"/>
      <c r="B283" s="17" t="b">
        <f t="shared" si="80"/>
        <v>0</v>
      </c>
      <c r="C283" s="17" t="b">
        <f t="shared" si="72"/>
        <v>0</v>
      </c>
      <c r="D283" s="17">
        <f t="shared" si="76"/>
        <v>1</v>
      </c>
      <c r="E283" s="17" t="str">
        <f t="shared" si="77"/>
        <v>Section 4 - Create spring-boot starter microservice, containerize it and push to DockerHub</v>
      </c>
      <c r="F283" s="18" t="str">
        <f t="shared" si="78"/>
        <v/>
      </c>
      <c r="G283" s="13" t="str">
        <f t="shared" si="81"/>
        <v/>
      </c>
      <c r="H283">
        <f t="shared" si="82"/>
        <v>0</v>
      </c>
      <c r="I283">
        <f t="shared" si="83"/>
        <v>0</v>
      </c>
      <c r="J283" s="13">
        <f t="shared" si="84"/>
        <v>65</v>
      </c>
      <c r="K283">
        <f t="shared" si="73"/>
        <v>0</v>
      </c>
      <c r="L283">
        <f t="shared" si="74"/>
        <v>1</v>
      </c>
      <c r="M283" s="13">
        <f t="shared" si="85"/>
        <v>1</v>
      </c>
      <c r="N283">
        <f t="shared" si="85"/>
        <v>4</v>
      </c>
      <c r="O283" s="14">
        <f t="shared" si="75"/>
        <v>64</v>
      </c>
      <c r="P283" s="13">
        <f t="shared" si="79"/>
        <v>1</v>
      </c>
      <c r="Q283">
        <f t="shared" si="86"/>
        <v>4</v>
      </c>
      <c r="R283" s="14">
        <f t="shared" si="87"/>
        <v>64</v>
      </c>
      <c r="S283" s="15"/>
      <c r="W283" s="14"/>
    </row>
    <row r="284" spans="1:23" x14ac:dyDescent="0.25">
      <c r="A284" s="16"/>
      <c r="B284" s="17" t="b">
        <f t="shared" si="80"/>
        <v>0</v>
      </c>
      <c r="C284" s="17" t="b">
        <f t="shared" si="72"/>
        <v>0</v>
      </c>
      <c r="D284" s="17">
        <f t="shared" si="76"/>
        <v>1</v>
      </c>
      <c r="E284" s="17" t="str">
        <f t="shared" si="77"/>
        <v>Section 4 - Create spring-boot starter microservice, containerize it and push to DockerHub</v>
      </c>
      <c r="F284" s="18" t="str">
        <f t="shared" si="78"/>
        <v/>
      </c>
      <c r="G284" s="13" t="str">
        <f t="shared" si="81"/>
        <v/>
      </c>
      <c r="H284">
        <f t="shared" si="82"/>
        <v>0</v>
      </c>
      <c r="I284">
        <f t="shared" si="83"/>
        <v>0</v>
      </c>
      <c r="J284" s="13">
        <f t="shared" si="84"/>
        <v>65</v>
      </c>
      <c r="K284">
        <f t="shared" si="73"/>
        <v>0</v>
      </c>
      <c r="L284">
        <f t="shared" si="74"/>
        <v>1</v>
      </c>
      <c r="M284" s="13">
        <f t="shared" si="85"/>
        <v>1</v>
      </c>
      <c r="N284">
        <f t="shared" si="85"/>
        <v>4</v>
      </c>
      <c r="O284" s="14">
        <f t="shared" si="75"/>
        <v>64</v>
      </c>
      <c r="P284" s="13">
        <f t="shared" si="79"/>
        <v>1</v>
      </c>
      <c r="Q284">
        <f t="shared" si="86"/>
        <v>4</v>
      </c>
      <c r="R284" s="14">
        <f t="shared" si="87"/>
        <v>64</v>
      </c>
      <c r="S284" s="15"/>
      <c r="W284" s="14"/>
    </row>
    <row r="285" spans="1:23" x14ac:dyDescent="0.25">
      <c r="A285" s="16"/>
      <c r="B285" s="17" t="b">
        <f t="shared" si="80"/>
        <v>0</v>
      </c>
      <c r="C285" s="17" t="b">
        <f t="shared" si="72"/>
        <v>0</v>
      </c>
      <c r="D285" s="17">
        <f t="shared" si="76"/>
        <v>1</v>
      </c>
      <c r="E285" s="17" t="str">
        <f t="shared" si="77"/>
        <v>Section 4 - Create spring-boot starter microservice, containerize it and push to DockerHub</v>
      </c>
      <c r="F285" s="18" t="str">
        <f t="shared" si="78"/>
        <v/>
      </c>
      <c r="G285" s="13" t="str">
        <f t="shared" si="81"/>
        <v/>
      </c>
      <c r="H285">
        <f t="shared" si="82"/>
        <v>0</v>
      </c>
      <c r="I285">
        <f t="shared" si="83"/>
        <v>0</v>
      </c>
      <c r="J285" s="13">
        <f t="shared" si="84"/>
        <v>65</v>
      </c>
      <c r="K285">
        <f t="shared" si="73"/>
        <v>0</v>
      </c>
      <c r="L285">
        <f t="shared" si="74"/>
        <v>1</v>
      </c>
      <c r="M285" s="13">
        <f t="shared" si="85"/>
        <v>1</v>
      </c>
      <c r="N285">
        <f t="shared" si="85"/>
        <v>4</v>
      </c>
      <c r="O285" s="14">
        <f t="shared" si="75"/>
        <v>64</v>
      </c>
      <c r="P285" s="13">
        <f t="shared" si="79"/>
        <v>1</v>
      </c>
      <c r="Q285">
        <f t="shared" si="86"/>
        <v>4</v>
      </c>
      <c r="R285" s="14">
        <f t="shared" si="87"/>
        <v>64</v>
      </c>
      <c r="S285" s="15"/>
      <c r="W285" s="14"/>
    </row>
    <row r="286" spans="1:23" x14ac:dyDescent="0.25">
      <c r="A286" s="16"/>
      <c r="B286" s="17" t="b">
        <f t="shared" si="80"/>
        <v>0</v>
      </c>
      <c r="C286" s="17" t="b">
        <f t="shared" si="72"/>
        <v>0</v>
      </c>
      <c r="D286" s="17">
        <f t="shared" si="76"/>
        <v>1</v>
      </c>
      <c r="E286" s="17" t="str">
        <f t="shared" si="77"/>
        <v>Section 4 - Create spring-boot starter microservice, containerize it and push to DockerHub</v>
      </c>
      <c r="F286" s="18" t="str">
        <f t="shared" si="78"/>
        <v/>
      </c>
      <c r="G286" s="13" t="str">
        <f t="shared" si="81"/>
        <v/>
      </c>
      <c r="H286">
        <f t="shared" si="82"/>
        <v>0</v>
      </c>
      <c r="I286">
        <f t="shared" si="83"/>
        <v>0</v>
      </c>
      <c r="J286" s="13">
        <f t="shared" si="84"/>
        <v>65</v>
      </c>
      <c r="K286">
        <f t="shared" si="73"/>
        <v>0</v>
      </c>
      <c r="L286">
        <f t="shared" si="74"/>
        <v>1</v>
      </c>
      <c r="M286" s="13">
        <f t="shared" si="85"/>
        <v>1</v>
      </c>
      <c r="N286">
        <f t="shared" si="85"/>
        <v>4</v>
      </c>
      <c r="O286" s="14">
        <f t="shared" si="75"/>
        <v>64</v>
      </c>
      <c r="P286" s="13">
        <f t="shared" si="79"/>
        <v>1</v>
      </c>
      <c r="Q286">
        <f t="shared" si="86"/>
        <v>4</v>
      </c>
      <c r="R286" s="14">
        <f t="shared" si="87"/>
        <v>64</v>
      </c>
      <c r="S286" s="15"/>
      <c r="W286" s="14"/>
    </row>
    <row r="287" spans="1:23" x14ac:dyDescent="0.25">
      <c r="A287" s="16"/>
      <c r="B287" s="17" t="b">
        <f t="shared" si="80"/>
        <v>0</v>
      </c>
      <c r="C287" s="17" t="b">
        <f t="shared" si="72"/>
        <v>0</v>
      </c>
      <c r="D287" s="17">
        <f t="shared" si="76"/>
        <v>1</v>
      </c>
      <c r="E287" s="17" t="str">
        <f t="shared" si="77"/>
        <v>Section 4 - Create spring-boot starter microservice, containerize it and push to DockerHub</v>
      </c>
      <c r="F287" s="18" t="str">
        <f t="shared" si="78"/>
        <v/>
      </c>
      <c r="G287" s="13" t="str">
        <f t="shared" si="81"/>
        <v/>
      </c>
      <c r="H287">
        <f t="shared" si="82"/>
        <v>0</v>
      </c>
      <c r="I287">
        <f t="shared" si="83"/>
        <v>0</v>
      </c>
      <c r="J287" s="13">
        <f t="shared" si="84"/>
        <v>65</v>
      </c>
      <c r="K287">
        <f t="shared" si="73"/>
        <v>0</v>
      </c>
      <c r="L287">
        <f t="shared" si="74"/>
        <v>1</v>
      </c>
      <c r="M287" s="13">
        <f t="shared" si="85"/>
        <v>1</v>
      </c>
      <c r="N287">
        <f t="shared" si="85"/>
        <v>4</v>
      </c>
      <c r="O287" s="14">
        <f t="shared" si="75"/>
        <v>64</v>
      </c>
      <c r="P287" s="13">
        <f t="shared" si="79"/>
        <v>1</v>
      </c>
      <c r="Q287">
        <f t="shared" si="86"/>
        <v>4</v>
      </c>
      <c r="R287" s="14">
        <f t="shared" si="87"/>
        <v>64</v>
      </c>
      <c r="S287" s="15"/>
      <c r="W287" s="14"/>
    </row>
    <row r="288" spans="1:23" x14ac:dyDescent="0.25">
      <c r="A288" s="16"/>
      <c r="B288" s="17" t="b">
        <f t="shared" si="80"/>
        <v>0</v>
      </c>
      <c r="C288" s="17" t="b">
        <f t="shared" si="72"/>
        <v>0</v>
      </c>
      <c r="D288" s="17">
        <f t="shared" si="76"/>
        <v>1</v>
      </c>
      <c r="E288" s="17" t="str">
        <f t="shared" si="77"/>
        <v>Section 4 - Create spring-boot starter microservice, containerize it and push to DockerHub</v>
      </c>
      <c r="F288" s="18" t="str">
        <f t="shared" si="78"/>
        <v/>
      </c>
      <c r="G288" s="13" t="str">
        <f t="shared" si="81"/>
        <v/>
      </c>
      <c r="H288">
        <f t="shared" si="82"/>
        <v>0</v>
      </c>
      <c r="I288">
        <f t="shared" si="83"/>
        <v>0</v>
      </c>
      <c r="J288" s="13">
        <f t="shared" si="84"/>
        <v>65</v>
      </c>
      <c r="K288">
        <f t="shared" si="73"/>
        <v>0</v>
      </c>
      <c r="L288">
        <f t="shared" si="74"/>
        <v>1</v>
      </c>
      <c r="M288" s="13">
        <f t="shared" si="85"/>
        <v>1</v>
      </c>
      <c r="N288">
        <f t="shared" si="85"/>
        <v>4</v>
      </c>
      <c r="O288" s="14">
        <f t="shared" si="75"/>
        <v>64</v>
      </c>
      <c r="P288" s="13">
        <f t="shared" si="79"/>
        <v>1</v>
      </c>
      <c r="Q288">
        <f t="shared" si="86"/>
        <v>4</v>
      </c>
      <c r="R288" s="14">
        <f t="shared" si="87"/>
        <v>64</v>
      </c>
      <c r="S288" s="15"/>
      <c r="W288" s="14"/>
    </row>
    <row r="289" spans="1:23" x14ac:dyDescent="0.25">
      <c r="A289" s="16"/>
      <c r="B289" s="17" t="b">
        <f t="shared" si="80"/>
        <v>0</v>
      </c>
      <c r="C289" s="17" t="b">
        <f t="shared" si="72"/>
        <v>0</v>
      </c>
      <c r="D289" s="17">
        <f t="shared" si="76"/>
        <v>1</v>
      </c>
      <c r="E289" s="17" t="str">
        <f t="shared" si="77"/>
        <v>Section 4 - Create spring-boot starter microservice, containerize it and push to DockerHub</v>
      </c>
      <c r="F289" s="18" t="str">
        <f t="shared" si="78"/>
        <v/>
      </c>
      <c r="G289" s="13" t="str">
        <f t="shared" si="81"/>
        <v/>
      </c>
      <c r="H289">
        <f t="shared" si="82"/>
        <v>0</v>
      </c>
      <c r="I289">
        <f t="shared" si="83"/>
        <v>0</v>
      </c>
      <c r="J289" s="13">
        <f t="shared" si="84"/>
        <v>65</v>
      </c>
      <c r="K289">
        <f t="shared" si="73"/>
        <v>0</v>
      </c>
      <c r="L289">
        <f t="shared" si="74"/>
        <v>1</v>
      </c>
      <c r="M289" s="13">
        <f t="shared" si="85"/>
        <v>1</v>
      </c>
      <c r="N289">
        <f t="shared" si="85"/>
        <v>4</v>
      </c>
      <c r="O289" s="14">
        <f t="shared" si="75"/>
        <v>64</v>
      </c>
      <c r="P289" s="13">
        <f t="shared" si="79"/>
        <v>1</v>
      </c>
      <c r="Q289">
        <f t="shared" si="86"/>
        <v>4</v>
      </c>
      <c r="R289" s="14">
        <f t="shared" si="87"/>
        <v>64</v>
      </c>
      <c r="S289" s="15"/>
      <c r="W289" s="14"/>
    </row>
    <row r="290" spans="1:23" x14ac:dyDescent="0.25">
      <c r="A290" s="16"/>
      <c r="B290" s="17" t="b">
        <f t="shared" si="80"/>
        <v>0</v>
      </c>
      <c r="C290" s="17" t="b">
        <f t="shared" si="72"/>
        <v>0</v>
      </c>
      <c r="D290" s="17">
        <f t="shared" si="76"/>
        <v>1</v>
      </c>
      <c r="E290" s="17" t="str">
        <f t="shared" si="77"/>
        <v>Section 4 - Create spring-boot starter microservice, containerize it and push to DockerHub</v>
      </c>
      <c r="F290" s="18" t="str">
        <f t="shared" si="78"/>
        <v/>
      </c>
      <c r="G290" s="13" t="str">
        <f t="shared" si="81"/>
        <v/>
      </c>
      <c r="H290">
        <f t="shared" si="82"/>
        <v>0</v>
      </c>
      <c r="I290">
        <f t="shared" si="83"/>
        <v>0</v>
      </c>
      <c r="J290" s="13">
        <f t="shared" si="84"/>
        <v>65</v>
      </c>
      <c r="K290">
        <f t="shared" si="73"/>
        <v>0</v>
      </c>
      <c r="L290">
        <f t="shared" si="74"/>
        <v>1</v>
      </c>
      <c r="M290" s="13">
        <f t="shared" si="85"/>
        <v>1</v>
      </c>
      <c r="N290">
        <f t="shared" si="85"/>
        <v>4</v>
      </c>
      <c r="O290" s="14">
        <f t="shared" si="75"/>
        <v>64</v>
      </c>
      <c r="P290" s="13">
        <f t="shared" si="79"/>
        <v>1</v>
      </c>
      <c r="Q290">
        <f t="shared" si="86"/>
        <v>4</v>
      </c>
      <c r="R290" s="14">
        <f t="shared" si="87"/>
        <v>64</v>
      </c>
      <c r="S290" s="15"/>
      <c r="W290" s="14"/>
    </row>
    <row r="291" spans="1:23" x14ac:dyDescent="0.25">
      <c r="A291" s="16"/>
      <c r="B291" s="17" t="b">
        <f t="shared" si="80"/>
        <v>0</v>
      </c>
      <c r="C291" s="17" t="b">
        <f t="shared" si="72"/>
        <v>0</v>
      </c>
      <c r="D291" s="17">
        <f t="shared" si="76"/>
        <v>1</v>
      </c>
      <c r="E291" s="17" t="str">
        <f t="shared" si="77"/>
        <v>Section 4 - Create spring-boot starter microservice, containerize it and push to DockerHub</v>
      </c>
      <c r="F291" s="18" t="str">
        <f t="shared" si="78"/>
        <v/>
      </c>
      <c r="G291" s="13" t="str">
        <f t="shared" si="81"/>
        <v/>
      </c>
      <c r="H291">
        <f t="shared" si="82"/>
        <v>0</v>
      </c>
      <c r="I291">
        <f t="shared" si="83"/>
        <v>0</v>
      </c>
      <c r="J291" s="13">
        <f t="shared" si="84"/>
        <v>65</v>
      </c>
      <c r="K291">
        <f t="shared" si="73"/>
        <v>0</v>
      </c>
      <c r="L291">
        <f t="shared" si="74"/>
        <v>1</v>
      </c>
      <c r="M291" s="13">
        <f t="shared" si="85"/>
        <v>1</v>
      </c>
      <c r="N291">
        <f t="shared" si="85"/>
        <v>4</v>
      </c>
      <c r="O291" s="14">
        <f t="shared" si="75"/>
        <v>64</v>
      </c>
      <c r="P291" s="13">
        <f t="shared" si="79"/>
        <v>1</v>
      </c>
      <c r="Q291">
        <f t="shared" si="86"/>
        <v>4</v>
      </c>
      <c r="R291" s="14">
        <f t="shared" si="87"/>
        <v>64</v>
      </c>
      <c r="S291" s="15"/>
      <c r="W291" s="14"/>
    </row>
    <row r="292" spans="1:23" x14ac:dyDescent="0.25">
      <c r="A292" s="16"/>
      <c r="B292" s="17" t="b">
        <f t="shared" si="80"/>
        <v>0</v>
      </c>
      <c r="C292" s="17" t="b">
        <f t="shared" si="72"/>
        <v>0</v>
      </c>
      <c r="D292" s="17">
        <f t="shared" si="76"/>
        <v>1</v>
      </c>
      <c r="E292" s="17" t="str">
        <f t="shared" si="77"/>
        <v>Section 4 - Create spring-boot starter microservice, containerize it and push to DockerHub</v>
      </c>
      <c r="F292" s="18" t="str">
        <f t="shared" si="78"/>
        <v/>
      </c>
      <c r="G292" s="13" t="str">
        <f t="shared" si="81"/>
        <v/>
      </c>
      <c r="H292">
        <f t="shared" si="82"/>
        <v>0</v>
      </c>
      <c r="I292">
        <f t="shared" si="83"/>
        <v>0</v>
      </c>
      <c r="J292" s="13">
        <f t="shared" si="84"/>
        <v>65</v>
      </c>
      <c r="K292">
        <f t="shared" si="73"/>
        <v>0</v>
      </c>
      <c r="L292">
        <f t="shared" si="74"/>
        <v>1</v>
      </c>
      <c r="M292" s="13">
        <f t="shared" si="85"/>
        <v>1</v>
      </c>
      <c r="N292">
        <f t="shared" si="85"/>
        <v>4</v>
      </c>
      <c r="O292" s="14">
        <f t="shared" si="75"/>
        <v>64</v>
      </c>
      <c r="P292" s="13">
        <f t="shared" si="79"/>
        <v>1</v>
      </c>
      <c r="Q292">
        <f t="shared" si="86"/>
        <v>4</v>
      </c>
      <c r="R292" s="14">
        <f t="shared" si="87"/>
        <v>64</v>
      </c>
      <c r="S292" s="15"/>
      <c r="W292" s="14"/>
    </row>
    <row r="293" spans="1:23" x14ac:dyDescent="0.25">
      <c r="A293" s="16"/>
      <c r="B293" s="17" t="b">
        <f t="shared" si="80"/>
        <v>0</v>
      </c>
      <c r="C293" s="17" t="b">
        <f t="shared" si="72"/>
        <v>0</v>
      </c>
      <c r="D293" s="17">
        <f t="shared" si="76"/>
        <v>1</v>
      </c>
      <c r="E293" s="17" t="str">
        <f t="shared" si="77"/>
        <v>Section 4 - Create spring-boot starter microservice, containerize it and push to DockerHub</v>
      </c>
      <c r="F293" s="18" t="str">
        <f t="shared" si="78"/>
        <v/>
      </c>
      <c r="G293" s="13" t="str">
        <f t="shared" si="81"/>
        <v/>
      </c>
      <c r="H293">
        <f t="shared" si="82"/>
        <v>0</v>
      </c>
      <c r="I293">
        <f t="shared" si="83"/>
        <v>0</v>
      </c>
      <c r="J293" s="13">
        <f t="shared" si="84"/>
        <v>65</v>
      </c>
      <c r="K293">
        <f t="shared" si="73"/>
        <v>0</v>
      </c>
      <c r="L293">
        <f t="shared" si="74"/>
        <v>1</v>
      </c>
      <c r="M293" s="13">
        <f t="shared" si="85"/>
        <v>1</v>
      </c>
      <c r="N293">
        <f t="shared" si="85"/>
        <v>4</v>
      </c>
      <c r="O293" s="14">
        <f t="shared" si="75"/>
        <v>64</v>
      </c>
      <c r="P293" s="13">
        <f t="shared" si="79"/>
        <v>1</v>
      </c>
      <c r="Q293">
        <f t="shared" si="86"/>
        <v>4</v>
      </c>
      <c r="R293" s="14">
        <f t="shared" si="87"/>
        <v>64</v>
      </c>
      <c r="S293" s="15"/>
      <c r="W293" s="14"/>
    </row>
    <row r="294" spans="1:23" x14ac:dyDescent="0.25">
      <c r="A294" s="16"/>
      <c r="B294" s="17" t="b">
        <f t="shared" si="80"/>
        <v>0</v>
      </c>
      <c r="C294" s="17" t="b">
        <f t="shared" si="72"/>
        <v>0</v>
      </c>
      <c r="D294" s="17">
        <f t="shared" si="76"/>
        <v>1</v>
      </c>
      <c r="E294" s="17" t="str">
        <f t="shared" si="77"/>
        <v>Section 4 - Create spring-boot starter microservice, containerize it and push to DockerHub</v>
      </c>
      <c r="F294" s="18" t="str">
        <f t="shared" si="78"/>
        <v/>
      </c>
      <c r="G294" s="13" t="str">
        <f t="shared" si="81"/>
        <v/>
      </c>
      <c r="H294">
        <f t="shared" si="82"/>
        <v>0</v>
      </c>
      <c r="I294">
        <f t="shared" si="83"/>
        <v>0</v>
      </c>
      <c r="J294" s="13">
        <f t="shared" si="84"/>
        <v>65</v>
      </c>
      <c r="K294">
        <f t="shared" si="73"/>
        <v>0</v>
      </c>
      <c r="L294">
        <f t="shared" si="74"/>
        <v>1</v>
      </c>
      <c r="M294" s="13">
        <f t="shared" si="85"/>
        <v>1</v>
      </c>
      <c r="N294">
        <f t="shared" si="85"/>
        <v>4</v>
      </c>
      <c r="O294" s="14">
        <f t="shared" si="75"/>
        <v>64</v>
      </c>
      <c r="P294" s="13">
        <f t="shared" si="79"/>
        <v>1</v>
      </c>
      <c r="Q294">
        <f t="shared" si="86"/>
        <v>4</v>
      </c>
      <c r="R294" s="14">
        <f t="shared" si="87"/>
        <v>64</v>
      </c>
      <c r="S294" s="15"/>
      <c r="W294" s="14"/>
    </row>
    <row r="295" spans="1:23" x14ac:dyDescent="0.25">
      <c r="A295" s="16"/>
      <c r="B295" s="17" t="b">
        <f t="shared" si="80"/>
        <v>0</v>
      </c>
      <c r="C295" s="17" t="b">
        <f t="shared" si="72"/>
        <v>0</v>
      </c>
      <c r="D295" s="17">
        <f t="shared" si="76"/>
        <v>1</v>
      </c>
      <c r="E295" s="17" t="str">
        <f t="shared" si="77"/>
        <v>Section 4 - Create spring-boot starter microservice, containerize it and push to DockerHub</v>
      </c>
      <c r="F295" s="18" t="str">
        <f t="shared" si="78"/>
        <v/>
      </c>
      <c r="G295" s="13" t="str">
        <f t="shared" si="81"/>
        <v/>
      </c>
      <c r="H295">
        <f t="shared" si="82"/>
        <v>0</v>
      </c>
      <c r="I295">
        <f t="shared" si="83"/>
        <v>0</v>
      </c>
      <c r="J295" s="13">
        <f t="shared" si="84"/>
        <v>65</v>
      </c>
      <c r="K295">
        <f t="shared" si="73"/>
        <v>0</v>
      </c>
      <c r="L295">
        <f t="shared" si="74"/>
        <v>1</v>
      </c>
      <c r="M295" s="13">
        <f t="shared" si="85"/>
        <v>1</v>
      </c>
      <c r="N295">
        <f t="shared" si="85"/>
        <v>4</v>
      </c>
      <c r="O295" s="14">
        <f t="shared" si="75"/>
        <v>64</v>
      </c>
      <c r="P295" s="13">
        <f t="shared" si="79"/>
        <v>1</v>
      </c>
      <c r="Q295">
        <f t="shared" si="86"/>
        <v>4</v>
      </c>
      <c r="R295" s="14">
        <f t="shared" si="87"/>
        <v>64</v>
      </c>
      <c r="S295" s="15"/>
      <c r="W295" s="14"/>
    </row>
    <row r="296" spans="1:23" x14ac:dyDescent="0.25">
      <c r="A296" s="16"/>
      <c r="B296" s="17" t="b">
        <f t="shared" si="80"/>
        <v>0</v>
      </c>
      <c r="C296" s="17" t="b">
        <f t="shared" si="72"/>
        <v>0</v>
      </c>
      <c r="D296" s="17">
        <f t="shared" si="76"/>
        <v>1</v>
      </c>
      <c r="E296" s="17" t="str">
        <f t="shared" si="77"/>
        <v>Section 4 - Create spring-boot starter microservice, containerize it and push to DockerHub</v>
      </c>
      <c r="F296" s="18" t="str">
        <f t="shared" si="78"/>
        <v/>
      </c>
      <c r="G296" s="13" t="str">
        <f t="shared" si="81"/>
        <v/>
      </c>
      <c r="H296">
        <f t="shared" si="82"/>
        <v>0</v>
      </c>
      <c r="I296">
        <f t="shared" si="83"/>
        <v>0</v>
      </c>
      <c r="J296" s="13">
        <f t="shared" si="84"/>
        <v>65</v>
      </c>
      <c r="K296">
        <f t="shared" si="73"/>
        <v>0</v>
      </c>
      <c r="L296">
        <f t="shared" si="74"/>
        <v>1</v>
      </c>
      <c r="M296" s="13">
        <f t="shared" si="85"/>
        <v>1</v>
      </c>
      <c r="N296">
        <f t="shared" si="85"/>
        <v>4</v>
      </c>
      <c r="O296" s="14">
        <f t="shared" si="75"/>
        <v>64</v>
      </c>
      <c r="P296" s="13">
        <f t="shared" si="79"/>
        <v>1</v>
      </c>
      <c r="Q296">
        <f t="shared" si="86"/>
        <v>4</v>
      </c>
      <c r="R296" s="14">
        <f t="shared" si="87"/>
        <v>64</v>
      </c>
      <c r="S296" s="15"/>
      <c r="W296" s="14"/>
    </row>
    <row r="297" spans="1:23" x14ac:dyDescent="0.25">
      <c r="A297" s="16"/>
      <c r="B297" s="17" t="b">
        <f t="shared" si="80"/>
        <v>0</v>
      </c>
      <c r="C297" s="17" t="b">
        <f t="shared" si="72"/>
        <v>0</v>
      </c>
      <c r="D297" s="17">
        <f t="shared" si="76"/>
        <v>1</v>
      </c>
      <c r="E297" s="17" t="str">
        <f t="shared" si="77"/>
        <v>Section 4 - Create spring-boot starter microservice, containerize it and push to DockerHub</v>
      </c>
      <c r="F297" s="18" t="str">
        <f t="shared" si="78"/>
        <v/>
      </c>
      <c r="G297" s="13" t="str">
        <f t="shared" si="81"/>
        <v/>
      </c>
      <c r="H297">
        <f t="shared" si="82"/>
        <v>0</v>
      </c>
      <c r="I297">
        <f t="shared" si="83"/>
        <v>0</v>
      </c>
      <c r="J297" s="13">
        <f t="shared" si="84"/>
        <v>65</v>
      </c>
      <c r="K297">
        <f t="shared" si="73"/>
        <v>0</v>
      </c>
      <c r="L297">
        <f t="shared" si="74"/>
        <v>1</v>
      </c>
      <c r="M297" s="13">
        <f t="shared" si="85"/>
        <v>1</v>
      </c>
      <c r="N297">
        <f t="shared" si="85"/>
        <v>4</v>
      </c>
      <c r="O297" s="14">
        <f t="shared" si="75"/>
        <v>64</v>
      </c>
      <c r="P297" s="13">
        <f t="shared" si="79"/>
        <v>1</v>
      </c>
      <c r="Q297">
        <f t="shared" si="86"/>
        <v>4</v>
      </c>
      <c r="R297" s="14">
        <f t="shared" si="87"/>
        <v>64</v>
      </c>
      <c r="S297" s="15"/>
      <c r="W297" s="14"/>
    </row>
    <row r="298" spans="1:23" x14ac:dyDescent="0.25">
      <c r="A298" s="16"/>
      <c r="B298" s="17" t="b">
        <f t="shared" si="80"/>
        <v>0</v>
      </c>
      <c r="C298" s="17" t="b">
        <f t="shared" si="72"/>
        <v>0</v>
      </c>
      <c r="D298" s="17">
        <f t="shared" si="76"/>
        <v>1</v>
      </c>
      <c r="E298" s="17" t="str">
        <f t="shared" si="77"/>
        <v>Section 4 - Create spring-boot starter microservice, containerize it and push to DockerHub</v>
      </c>
      <c r="F298" s="18" t="str">
        <f t="shared" si="78"/>
        <v/>
      </c>
      <c r="G298" s="13" t="str">
        <f t="shared" si="81"/>
        <v/>
      </c>
      <c r="H298">
        <f t="shared" si="82"/>
        <v>0</v>
      </c>
      <c r="I298">
        <f t="shared" si="83"/>
        <v>0</v>
      </c>
      <c r="J298" s="13">
        <f t="shared" si="84"/>
        <v>65</v>
      </c>
      <c r="K298">
        <f t="shared" si="73"/>
        <v>0</v>
      </c>
      <c r="L298">
        <f t="shared" si="74"/>
        <v>1</v>
      </c>
      <c r="M298" s="13">
        <f t="shared" si="85"/>
        <v>1</v>
      </c>
      <c r="N298">
        <f t="shared" si="85"/>
        <v>4</v>
      </c>
      <c r="O298" s="14">
        <f t="shared" si="75"/>
        <v>64</v>
      </c>
      <c r="P298" s="13">
        <f t="shared" si="79"/>
        <v>1</v>
      </c>
      <c r="Q298">
        <f t="shared" si="86"/>
        <v>4</v>
      </c>
      <c r="R298" s="14">
        <f t="shared" si="87"/>
        <v>64</v>
      </c>
      <c r="S298" s="15"/>
      <c r="W298" s="14"/>
    </row>
    <row r="299" spans="1:23" x14ac:dyDescent="0.25">
      <c r="A299" s="16"/>
      <c r="B299" s="17" t="b">
        <f t="shared" si="80"/>
        <v>0</v>
      </c>
      <c r="C299" s="17" t="b">
        <f t="shared" si="72"/>
        <v>0</v>
      </c>
      <c r="D299" s="17">
        <f t="shared" si="76"/>
        <v>1</v>
      </c>
      <c r="E299" s="17" t="str">
        <f t="shared" si="77"/>
        <v>Section 4 - Create spring-boot starter microservice, containerize it and push to DockerHub</v>
      </c>
      <c r="F299" s="18" t="str">
        <f t="shared" si="78"/>
        <v/>
      </c>
      <c r="G299" s="13" t="str">
        <f t="shared" si="81"/>
        <v/>
      </c>
      <c r="H299">
        <f t="shared" si="82"/>
        <v>0</v>
      </c>
      <c r="I299">
        <f t="shared" si="83"/>
        <v>0</v>
      </c>
      <c r="J299" s="13">
        <f t="shared" si="84"/>
        <v>65</v>
      </c>
      <c r="K299">
        <f t="shared" si="73"/>
        <v>0</v>
      </c>
      <c r="L299">
        <f t="shared" si="74"/>
        <v>1</v>
      </c>
      <c r="M299" s="13">
        <f t="shared" si="85"/>
        <v>1</v>
      </c>
      <c r="N299">
        <f t="shared" si="85"/>
        <v>4</v>
      </c>
      <c r="O299" s="14">
        <f t="shared" si="75"/>
        <v>64</v>
      </c>
      <c r="P299" s="13">
        <f t="shared" si="79"/>
        <v>1</v>
      </c>
      <c r="Q299">
        <f t="shared" si="86"/>
        <v>4</v>
      </c>
      <c r="R299" s="14">
        <f t="shared" si="87"/>
        <v>64</v>
      </c>
      <c r="S299" s="15"/>
      <c r="W299" s="14"/>
    </row>
    <row r="300" spans="1:23" x14ac:dyDescent="0.25">
      <c r="A300" s="16"/>
      <c r="B300" s="17" t="b">
        <f t="shared" si="80"/>
        <v>0</v>
      </c>
      <c r="C300" s="17" t="b">
        <f t="shared" si="72"/>
        <v>0</v>
      </c>
      <c r="D300" s="17">
        <f t="shared" si="76"/>
        <v>1</v>
      </c>
      <c r="E300" s="17" t="str">
        <f t="shared" si="77"/>
        <v>Section 4 - Create spring-boot starter microservice, containerize it and push to DockerHub</v>
      </c>
      <c r="F300" s="18" t="str">
        <f t="shared" si="78"/>
        <v/>
      </c>
      <c r="G300" s="13" t="str">
        <f t="shared" si="81"/>
        <v/>
      </c>
      <c r="H300">
        <f t="shared" si="82"/>
        <v>0</v>
      </c>
      <c r="I300">
        <f t="shared" si="83"/>
        <v>0</v>
      </c>
      <c r="J300" s="13">
        <f t="shared" si="84"/>
        <v>65</v>
      </c>
      <c r="K300">
        <f t="shared" si="73"/>
        <v>0</v>
      </c>
      <c r="L300">
        <f t="shared" si="74"/>
        <v>1</v>
      </c>
      <c r="M300" s="13">
        <f t="shared" si="85"/>
        <v>1</v>
      </c>
      <c r="N300">
        <f t="shared" si="85"/>
        <v>4</v>
      </c>
      <c r="O300" s="14">
        <f t="shared" si="75"/>
        <v>64</v>
      </c>
      <c r="P300" s="13">
        <f t="shared" si="79"/>
        <v>1</v>
      </c>
      <c r="Q300">
        <f t="shared" si="86"/>
        <v>4</v>
      </c>
      <c r="R300" s="14">
        <f t="shared" si="87"/>
        <v>64</v>
      </c>
      <c r="S300" s="15"/>
      <c r="W300" s="14"/>
    </row>
    <row r="301" spans="1:23" x14ac:dyDescent="0.25">
      <c r="A301" s="16"/>
      <c r="B301" s="17" t="b">
        <f t="shared" si="80"/>
        <v>0</v>
      </c>
      <c r="C301" s="17" t="b">
        <f t="shared" si="72"/>
        <v>0</v>
      </c>
      <c r="D301" s="17">
        <f t="shared" si="76"/>
        <v>1</v>
      </c>
      <c r="E301" s="17" t="str">
        <f t="shared" si="77"/>
        <v>Section 4 - Create spring-boot starter microservice, containerize it and push to DockerHub</v>
      </c>
      <c r="F301" s="18" t="str">
        <f t="shared" si="78"/>
        <v/>
      </c>
      <c r="G301" s="13" t="str">
        <f t="shared" si="81"/>
        <v/>
      </c>
      <c r="H301">
        <f t="shared" si="82"/>
        <v>0</v>
      </c>
      <c r="I301">
        <f t="shared" si="83"/>
        <v>0</v>
      </c>
      <c r="J301" s="13">
        <f t="shared" si="84"/>
        <v>65</v>
      </c>
      <c r="K301">
        <f t="shared" si="73"/>
        <v>0</v>
      </c>
      <c r="L301">
        <f t="shared" si="74"/>
        <v>1</v>
      </c>
      <c r="M301" s="13">
        <f t="shared" si="85"/>
        <v>1</v>
      </c>
      <c r="N301">
        <f t="shared" si="85"/>
        <v>4</v>
      </c>
      <c r="O301" s="14">
        <f t="shared" si="75"/>
        <v>64</v>
      </c>
      <c r="P301" s="13">
        <f t="shared" si="79"/>
        <v>1</v>
      </c>
      <c r="Q301">
        <f t="shared" si="86"/>
        <v>4</v>
      </c>
      <c r="R301" s="14">
        <f t="shared" si="87"/>
        <v>64</v>
      </c>
      <c r="S301" s="15"/>
      <c r="W301" s="14"/>
    </row>
    <row r="302" spans="1:23" x14ac:dyDescent="0.25">
      <c r="A302" s="16"/>
      <c r="B302" s="17" t="b">
        <f t="shared" si="80"/>
        <v>0</v>
      </c>
      <c r="C302" s="17" t="b">
        <f t="shared" si="72"/>
        <v>0</v>
      </c>
      <c r="D302" s="17">
        <f t="shared" si="76"/>
        <v>1</v>
      </c>
      <c r="E302" s="17" t="str">
        <f t="shared" si="77"/>
        <v>Section 4 - Create spring-boot starter microservice, containerize it and push to DockerHub</v>
      </c>
      <c r="F302" s="18" t="str">
        <f t="shared" si="78"/>
        <v/>
      </c>
      <c r="G302" s="13" t="str">
        <f t="shared" si="81"/>
        <v/>
      </c>
      <c r="H302">
        <f t="shared" si="82"/>
        <v>0</v>
      </c>
      <c r="I302">
        <f t="shared" si="83"/>
        <v>0</v>
      </c>
      <c r="J302" s="13">
        <f t="shared" si="84"/>
        <v>65</v>
      </c>
      <c r="K302">
        <f t="shared" si="73"/>
        <v>0</v>
      </c>
      <c r="L302">
        <f t="shared" si="74"/>
        <v>1</v>
      </c>
      <c r="M302" s="13">
        <f t="shared" si="85"/>
        <v>1</v>
      </c>
      <c r="N302">
        <f t="shared" si="85"/>
        <v>4</v>
      </c>
      <c r="O302" s="14">
        <f t="shared" si="75"/>
        <v>64</v>
      </c>
      <c r="P302" s="13">
        <f t="shared" si="79"/>
        <v>1</v>
      </c>
      <c r="Q302">
        <f t="shared" si="86"/>
        <v>4</v>
      </c>
      <c r="R302" s="14">
        <f t="shared" si="87"/>
        <v>64</v>
      </c>
      <c r="S302" s="15"/>
      <c r="W302" s="14"/>
    </row>
    <row r="303" spans="1:23" x14ac:dyDescent="0.25">
      <c r="A303" s="16"/>
      <c r="B303" s="17" t="b">
        <f t="shared" si="80"/>
        <v>0</v>
      </c>
      <c r="C303" s="17" t="b">
        <f t="shared" si="72"/>
        <v>0</v>
      </c>
      <c r="D303" s="17">
        <f t="shared" si="76"/>
        <v>1</v>
      </c>
      <c r="E303" s="17" t="str">
        <f t="shared" si="77"/>
        <v>Section 4 - Create spring-boot starter microservice, containerize it and push to DockerHub</v>
      </c>
      <c r="F303" s="18" t="str">
        <f t="shared" si="78"/>
        <v/>
      </c>
      <c r="G303" s="13" t="str">
        <f t="shared" si="81"/>
        <v/>
      </c>
      <c r="H303">
        <f t="shared" si="82"/>
        <v>0</v>
      </c>
      <c r="I303">
        <f t="shared" si="83"/>
        <v>0</v>
      </c>
      <c r="J303" s="13">
        <f t="shared" si="84"/>
        <v>65</v>
      </c>
      <c r="K303">
        <f t="shared" si="73"/>
        <v>0</v>
      </c>
      <c r="L303">
        <f t="shared" si="74"/>
        <v>1</v>
      </c>
      <c r="M303" s="13">
        <f t="shared" si="85"/>
        <v>1</v>
      </c>
      <c r="N303">
        <f t="shared" si="85"/>
        <v>4</v>
      </c>
      <c r="O303" s="14">
        <f t="shared" si="75"/>
        <v>64</v>
      </c>
      <c r="P303" s="13">
        <f t="shared" si="79"/>
        <v>1</v>
      </c>
      <c r="Q303">
        <f t="shared" si="86"/>
        <v>4</v>
      </c>
      <c r="R303" s="14">
        <f t="shared" si="87"/>
        <v>64</v>
      </c>
      <c r="S303" s="15"/>
      <c r="W303" s="14"/>
    </row>
    <row r="304" spans="1:23" x14ac:dyDescent="0.25">
      <c r="A304" s="16"/>
      <c r="B304" s="17" t="b">
        <f t="shared" si="80"/>
        <v>0</v>
      </c>
      <c r="C304" s="17" t="b">
        <f t="shared" si="72"/>
        <v>0</v>
      </c>
      <c r="D304" s="17">
        <f t="shared" si="76"/>
        <v>1</v>
      </c>
      <c r="E304" s="17" t="str">
        <f t="shared" si="77"/>
        <v>Section 4 - Create spring-boot starter microservice, containerize it and push to DockerHub</v>
      </c>
      <c r="F304" s="18" t="str">
        <f t="shared" si="78"/>
        <v/>
      </c>
      <c r="G304" s="13" t="str">
        <f t="shared" si="81"/>
        <v/>
      </c>
      <c r="H304">
        <f t="shared" si="82"/>
        <v>0</v>
      </c>
      <c r="I304">
        <f t="shared" si="83"/>
        <v>0</v>
      </c>
      <c r="J304" s="13">
        <f t="shared" si="84"/>
        <v>65</v>
      </c>
      <c r="K304">
        <f t="shared" si="73"/>
        <v>0</v>
      </c>
      <c r="L304">
        <f t="shared" si="74"/>
        <v>1</v>
      </c>
      <c r="M304" s="13">
        <f t="shared" si="85"/>
        <v>1</v>
      </c>
      <c r="N304">
        <f t="shared" si="85"/>
        <v>4</v>
      </c>
      <c r="O304" s="14">
        <f t="shared" si="75"/>
        <v>64</v>
      </c>
      <c r="P304" s="13">
        <f t="shared" si="79"/>
        <v>1</v>
      </c>
      <c r="Q304">
        <f t="shared" si="86"/>
        <v>4</v>
      </c>
      <c r="R304" s="14">
        <f t="shared" si="87"/>
        <v>64</v>
      </c>
      <c r="S304" s="15"/>
      <c r="W304" s="14"/>
    </row>
    <row r="305" spans="1:23" x14ac:dyDescent="0.25">
      <c r="A305" s="16"/>
      <c r="B305" s="17" t="b">
        <f t="shared" si="80"/>
        <v>0</v>
      </c>
      <c r="C305" s="17" t="b">
        <f t="shared" si="72"/>
        <v>0</v>
      </c>
      <c r="D305" s="17">
        <f t="shared" si="76"/>
        <v>1</v>
      </c>
      <c r="E305" s="17" t="str">
        <f t="shared" si="77"/>
        <v>Section 4 - Create spring-boot starter microservice, containerize it and push to DockerHub</v>
      </c>
      <c r="F305" s="18" t="str">
        <f t="shared" si="78"/>
        <v/>
      </c>
      <c r="G305" s="13" t="str">
        <f t="shared" si="81"/>
        <v/>
      </c>
      <c r="H305">
        <f t="shared" si="82"/>
        <v>0</v>
      </c>
      <c r="I305">
        <f t="shared" si="83"/>
        <v>0</v>
      </c>
      <c r="J305" s="13">
        <f t="shared" si="84"/>
        <v>65</v>
      </c>
      <c r="K305">
        <f t="shared" si="73"/>
        <v>0</v>
      </c>
      <c r="L305">
        <f t="shared" si="74"/>
        <v>1</v>
      </c>
      <c r="M305" s="13">
        <f t="shared" si="85"/>
        <v>1</v>
      </c>
      <c r="N305">
        <f t="shared" si="85"/>
        <v>4</v>
      </c>
      <c r="O305" s="14">
        <f t="shared" si="75"/>
        <v>64</v>
      </c>
      <c r="P305" s="13">
        <f t="shared" si="79"/>
        <v>1</v>
      </c>
      <c r="Q305">
        <f t="shared" si="86"/>
        <v>4</v>
      </c>
      <c r="R305" s="14">
        <f t="shared" si="87"/>
        <v>64</v>
      </c>
      <c r="S305" s="15"/>
      <c r="W305" s="14"/>
    </row>
    <row r="306" spans="1:23" x14ac:dyDescent="0.25">
      <c r="A306" s="16"/>
      <c r="B306" s="17" t="b">
        <f t="shared" si="80"/>
        <v>0</v>
      </c>
      <c r="C306" s="17" t="b">
        <f t="shared" si="72"/>
        <v>0</v>
      </c>
      <c r="D306" s="17">
        <f t="shared" si="76"/>
        <v>1</v>
      </c>
      <c r="E306" s="17" t="str">
        <f t="shared" si="77"/>
        <v>Section 4 - Create spring-boot starter microservice, containerize it and push to DockerHub</v>
      </c>
      <c r="F306" s="18" t="str">
        <f t="shared" si="78"/>
        <v/>
      </c>
      <c r="G306" s="13" t="str">
        <f t="shared" si="81"/>
        <v/>
      </c>
      <c r="H306">
        <f t="shared" si="82"/>
        <v>0</v>
      </c>
      <c r="I306">
        <f t="shared" si="83"/>
        <v>0</v>
      </c>
      <c r="J306" s="13">
        <f t="shared" si="84"/>
        <v>65</v>
      </c>
      <c r="K306">
        <f t="shared" si="73"/>
        <v>0</v>
      </c>
      <c r="L306">
        <f t="shared" si="74"/>
        <v>1</v>
      </c>
      <c r="M306" s="13">
        <f t="shared" si="85"/>
        <v>1</v>
      </c>
      <c r="N306">
        <f t="shared" si="85"/>
        <v>4</v>
      </c>
      <c r="O306" s="14">
        <f t="shared" si="75"/>
        <v>64</v>
      </c>
      <c r="P306" s="13">
        <f t="shared" si="79"/>
        <v>1</v>
      </c>
      <c r="Q306">
        <f t="shared" si="86"/>
        <v>4</v>
      </c>
      <c r="R306" s="14">
        <f t="shared" si="87"/>
        <v>64</v>
      </c>
      <c r="S306" s="15"/>
      <c r="W306" s="14"/>
    </row>
    <row r="307" spans="1:23" x14ac:dyDescent="0.25">
      <c r="A307" s="16"/>
      <c r="B307" s="17" t="b">
        <f t="shared" si="80"/>
        <v>0</v>
      </c>
      <c r="C307" s="17" t="b">
        <f t="shared" si="72"/>
        <v>0</v>
      </c>
      <c r="D307" s="17">
        <f t="shared" si="76"/>
        <v>1</v>
      </c>
      <c r="E307" s="17" t="str">
        <f t="shared" si="77"/>
        <v>Section 4 - Create spring-boot starter microservice, containerize it and push to DockerHub</v>
      </c>
      <c r="F307" s="18" t="str">
        <f t="shared" si="78"/>
        <v/>
      </c>
      <c r="G307" s="13" t="str">
        <f t="shared" si="81"/>
        <v/>
      </c>
      <c r="H307">
        <f t="shared" si="82"/>
        <v>0</v>
      </c>
      <c r="I307">
        <f t="shared" si="83"/>
        <v>0</v>
      </c>
      <c r="J307" s="13">
        <f t="shared" si="84"/>
        <v>65</v>
      </c>
      <c r="K307">
        <f t="shared" si="73"/>
        <v>0</v>
      </c>
      <c r="L307">
        <f t="shared" si="74"/>
        <v>1</v>
      </c>
      <c r="M307" s="13">
        <f t="shared" si="85"/>
        <v>1</v>
      </c>
      <c r="N307">
        <f t="shared" si="85"/>
        <v>4</v>
      </c>
      <c r="O307" s="14">
        <f t="shared" si="75"/>
        <v>64</v>
      </c>
      <c r="P307" s="13">
        <f t="shared" si="79"/>
        <v>1</v>
      </c>
      <c r="Q307">
        <f t="shared" si="86"/>
        <v>4</v>
      </c>
      <c r="R307" s="14">
        <f t="shared" si="87"/>
        <v>64</v>
      </c>
      <c r="S307" s="15"/>
      <c r="W307" s="14"/>
    </row>
    <row r="308" spans="1:23" x14ac:dyDescent="0.25">
      <c r="A308" s="16"/>
      <c r="B308" s="17" t="b">
        <f t="shared" si="80"/>
        <v>0</v>
      </c>
      <c r="C308" s="17" t="b">
        <f t="shared" si="72"/>
        <v>0</v>
      </c>
      <c r="D308" s="17">
        <f t="shared" si="76"/>
        <v>1</v>
      </c>
      <c r="E308" s="17" t="str">
        <f t="shared" si="77"/>
        <v>Section 4 - Create spring-boot starter microservice, containerize it and push to DockerHub</v>
      </c>
      <c r="F308" s="18" t="str">
        <f t="shared" si="78"/>
        <v/>
      </c>
      <c r="G308" s="13" t="str">
        <f t="shared" si="81"/>
        <v/>
      </c>
      <c r="H308">
        <f t="shared" si="82"/>
        <v>0</v>
      </c>
      <c r="I308">
        <f t="shared" si="83"/>
        <v>0</v>
      </c>
      <c r="J308" s="13">
        <f t="shared" si="84"/>
        <v>65</v>
      </c>
      <c r="K308">
        <f t="shared" si="73"/>
        <v>0</v>
      </c>
      <c r="L308">
        <f t="shared" si="74"/>
        <v>1</v>
      </c>
      <c r="M308" s="13">
        <f t="shared" si="85"/>
        <v>1</v>
      </c>
      <c r="N308">
        <f t="shared" si="85"/>
        <v>4</v>
      </c>
      <c r="O308" s="14">
        <f t="shared" si="75"/>
        <v>64</v>
      </c>
      <c r="P308" s="13">
        <f t="shared" si="79"/>
        <v>1</v>
      </c>
      <c r="Q308">
        <f t="shared" si="86"/>
        <v>4</v>
      </c>
      <c r="R308" s="14">
        <f t="shared" si="87"/>
        <v>64</v>
      </c>
      <c r="S308" s="15"/>
      <c r="W308" s="14"/>
    </row>
    <row r="309" spans="1:23" x14ac:dyDescent="0.25">
      <c r="A309" s="16"/>
      <c r="B309" s="17" t="b">
        <f t="shared" si="80"/>
        <v>0</v>
      </c>
      <c r="C309" s="17" t="b">
        <f t="shared" si="72"/>
        <v>0</v>
      </c>
      <c r="D309" s="17">
        <f t="shared" si="76"/>
        <v>1</v>
      </c>
      <c r="E309" s="17" t="str">
        <f t="shared" si="77"/>
        <v>Section 4 - Create spring-boot starter microservice, containerize it and push to DockerHub</v>
      </c>
      <c r="F309" s="18" t="str">
        <f t="shared" si="78"/>
        <v/>
      </c>
      <c r="G309" s="13" t="str">
        <f t="shared" si="81"/>
        <v/>
      </c>
      <c r="H309">
        <f t="shared" si="82"/>
        <v>0</v>
      </c>
      <c r="I309">
        <f t="shared" si="83"/>
        <v>0</v>
      </c>
      <c r="J309" s="13">
        <f t="shared" si="84"/>
        <v>65</v>
      </c>
      <c r="K309">
        <f t="shared" si="73"/>
        <v>0</v>
      </c>
      <c r="L309">
        <f t="shared" si="74"/>
        <v>1</v>
      </c>
      <c r="M309" s="13">
        <f t="shared" si="85"/>
        <v>1</v>
      </c>
      <c r="N309">
        <f t="shared" si="85"/>
        <v>4</v>
      </c>
      <c r="O309" s="14">
        <f t="shared" si="75"/>
        <v>64</v>
      </c>
      <c r="P309" s="13">
        <f t="shared" si="79"/>
        <v>1</v>
      </c>
      <c r="Q309">
        <f t="shared" si="86"/>
        <v>4</v>
      </c>
      <c r="R309" s="14">
        <f t="shared" si="87"/>
        <v>64</v>
      </c>
      <c r="S309" s="15"/>
      <c r="W309" s="14"/>
    </row>
    <row r="310" spans="1:23" x14ac:dyDescent="0.25">
      <c r="A310" s="16"/>
      <c r="B310" s="17" t="b">
        <f t="shared" si="80"/>
        <v>0</v>
      </c>
      <c r="C310" s="17" t="b">
        <f t="shared" si="72"/>
        <v>0</v>
      </c>
      <c r="D310" s="17">
        <f t="shared" si="76"/>
        <v>1</v>
      </c>
      <c r="E310" s="17" t="str">
        <f t="shared" si="77"/>
        <v>Section 4 - Create spring-boot starter microservice, containerize it and push to DockerHub</v>
      </c>
      <c r="F310" s="18" t="str">
        <f t="shared" si="78"/>
        <v/>
      </c>
      <c r="G310" s="13" t="str">
        <f t="shared" si="81"/>
        <v/>
      </c>
      <c r="H310">
        <f t="shared" si="82"/>
        <v>0</v>
      </c>
      <c r="I310">
        <f t="shared" si="83"/>
        <v>0</v>
      </c>
      <c r="J310" s="13">
        <f t="shared" si="84"/>
        <v>65</v>
      </c>
      <c r="K310">
        <f t="shared" si="73"/>
        <v>0</v>
      </c>
      <c r="L310">
        <f t="shared" si="74"/>
        <v>1</v>
      </c>
      <c r="M310" s="13">
        <f t="shared" si="85"/>
        <v>1</v>
      </c>
      <c r="N310">
        <f t="shared" si="85"/>
        <v>4</v>
      </c>
      <c r="O310" s="14">
        <f t="shared" si="75"/>
        <v>64</v>
      </c>
      <c r="P310" s="13">
        <f t="shared" si="79"/>
        <v>1</v>
      </c>
      <c r="Q310">
        <f t="shared" si="86"/>
        <v>4</v>
      </c>
      <c r="R310" s="14">
        <f t="shared" si="87"/>
        <v>64</v>
      </c>
      <c r="S310" s="15"/>
      <c r="W310" s="14"/>
    </row>
    <row r="311" spans="1:23" x14ac:dyDescent="0.25">
      <c r="A311" s="16"/>
      <c r="B311" s="17" t="b">
        <f t="shared" si="80"/>
        <v>0</v>
      </c>
      <c r="C311" s="17" t="b">
        <f t="shared" si="72"/>
        <v>0</v>
      </c>
      <c r="D311" s="17">
        <f t="shared" si="76"/>
        <v>1</v>
      </c>
      <c r="E311" s="17" t="str">
        <f t="shared" si="77"/>
        <v>Section 4 - Create spring-boot starter microservice, containerize it and push to DockerHub</v>
      </c>
      <c r="F311" s="18" t="str">
        <f t="shared" si="78"/>
        <v/>
      </c>
      <c r="G311" s="13" t="str">
        <f t="shared" si="81"/>
        <v/>
      </c>
      <c r="H311">
        <f t="shared" si="82"/>
        <v>0</v>
      </c>
      <c r="I311">
        <f t="shared" si="83"/>
        <v>0</v>
      </c>
      <c r="J311" s="13">
        <f t="shared" si="84"/>
        <v>65</v>
      </c>
      <c r="K311">
        <f t="shared" si="73"/>
        <v>0</v>
      </c>
      <c r="L311">
        <f t="shared" si="74"/>
        <v>1</v>
      </c>
      <c r="M311" s="13">
        <f t="shared" si="85"/>
        <v>1</v>
      </c>
      <c r="N311">
        <f t="shared" si="85"/>
        <v>4</v>
      </c>
      <c r="O311" s="14">
        <f t="shared" si="75"/>
        <v>64</v>
      </c>
      <c r="P311" s="13">
        <f t="shared" si="79"/>
        <v>1</v>
      </c>
      <c r="Q311">
        <f t="shared" si="86"/>
        <v>4</v>
      </c>
      <c r="R311" s="14">
        <f t="shared" si="87"/>
        <v>64</v>
      </c>
      <c r="S311" s="15"/>
      <c r="W311" s="14"/>
    </row>
    <row r="312" spans="1:23" x14ac:dyDescent="0.25">
      <c r="A312" s="16"/>
      <c r="B312" s="17" t="b">
        <f t="shared" si="80"/>
        <v>0</v>
      </c>
      <c r="C312" s="17" t="b">
        <f t="shared" si="72"/>
        <v>0</v>
      </c>
      <c r="D312" s="17">
        <f t="shared" si="76"/>
        <v>1</v>
      </c>
      <c r="E312" s="17" t="str">
        <f t="shared" si="77"/>
        <v>Section 4 - Create spring-boot starter microservice, containerize it and push to DockerHub</v>
      </c>
      <c r="F312" s="18" t="str">
        <f t="shared" si="78"/>
        <v/>
      </c>
      <c r="G312" s="13" t="str">
        <f t="shared" si="81"/>
        <v/>
      </c>
      <c r="H312">
        <f t="shared" si="82"/>
        <v>0</v>
      </c>
      <c r="I312">
        <f t="shared" si="83"/>
        <v>0</v>
      </c>
      <c r="J312" s="13">
        <f t="shared" si="84"/>
        <v>65</v>
      </c>
      <c r="K312">
        <f t="shared" si="73"/>
        <v>0</v>
      </c>
      <c r="L312">
        <f t="shared" si="74"/>
        <v>1</v>
      </c>
      <c r="M312" s="13">
        <f t="shared" si="85"/>
        <v>1</v>
      </c>
      <c r="N312">
        <f t="shared" si="85"/>
        <v>4</v>
      </c>
      <c r="O312" s="14">
        <f t="shared" si="75"/>
        <v>64</v>
      </c>
      <c r="P312" s="13">
        <f t="shared" si="79"/>
        <v>1</v>
      </c>
      <c r="Q312">
        <f t="shared" si="86"/>
        <v>4</v>
      </c>
      <c r="R312" s="14">
        <f t="shared" si="87"/>
        <v>64</v>
      </c>
      <c r="S312" s="15"/>
      <c r="W312" s="14"/>
    </row>
    <row r="313" spans="1:23" x14ac:dyDescent="0.25">
      <c r="A313" s="16"/>
      <c r="B313" s="17" t="b">
        <f t="shared" si="80"/>
        <v>0</v>
      </c>
      <c r="C313" s="17" t="b">
        <f t="shared" si="72"/>
        <v>0</v>
      </c>
      <c r="D313" s="17">
        <f t="shared" si="76"/>
        <v>1</v>
      </c>
      <c r="E313" s="17" t="str">
        <f t="shared" si="77"/>
        <v>Section 4 - Create spring-boot starter microservice, containerize it and push to DockerHub</v>
      </c>
      <c r="F313" s="18" t="str">
        <f t="shared" si="78"/>
        <v/>
      </c>
      <c r="G313" s="13" t="str">
        <f t="shared" si="81"/>
        <v/>
      </c>
      <c r="H313">
        <f t="shared" si="82"/>
        <v>0</v>
      </c>
      <c r="I313">
        <f t="shared" si="83"/>
        <v>0</v>
      </c>
      <c r="J313" s="13">
        <f t="shared" si="84"/>
        <v>65</v>
      </c>
      <c r="K313">
        <f t="shared" si="73"/>
        <v>0</v>
      </c>
      <c r="L313">
        <f t="shared" si="74"/>
        <v>1</v>
      </c>
      <c r="M313" s="13">
        <f t="shared" si="85"/>
        <v>1</v>
      </c>
      <c r="N313">
        <f t="shared" si="85"/>
        <v>4</v>
      </c>
      <c r="O313" s="14">
        <f t="shared" si="75"/>
        <v>64</v>
      </c>
      <c r="P313" s="13">
        <f t="shared" si="79"/>
        <v>1</v>
      </c>
      <c r="Q313">
        <f t="shared" si="86"/>
        <v>4</v>
      </c>
      <c r="R313" s="14">
        <f t="shared" si="87"/>
        <v>64</v>
      </c>
      <c r="S313" s="15"/>
      <c r="W313" s="14"/>
    </row>
    <row r="314" spans="1:23" x14ac:dyDescent="0.25">
      <c r="A314" s="16"/>
      <c r="B314" s="17" t="b">
        <f t="shared" si="80"/>
        <v>0</v>
      </c>
      <c r="C314" s="17" t="b">
        <f t="shared" si="72"/>
        <v>0</v>
      </c>
      <c r="D314" s="17">
        <f t="shared" si="76"/>
        <v>1</v>
      </c>
      <c r="E314" s="17" t="str">
        <f t="shared" si="77"/>
        <v>Section 4 - Create spring-boot starter microservice, containerize it and push to DockerHub</v>
      </c>
      <c r="F314" s="18" t="str">
        <f t="shared" si="78"/>
        <v/>
      </c>
      <c r="G314" s="13" t="str">
        <f t="shared" si="81"/>
        <v/>
      </c>
      <c r="H314">
        <f t="shared" si="82"/>
        <v>0</v>
      </c>
      <c r="I314">
        <f t="shared" si="83"/>
        <v>0</v>
      </c>
      <c r="J314" s="13">
        <f t="shared" si="84"/>
        <v>65</v>
      </c>
      <c r="K314">
        <f t="shared" si="73"/>
        <v>0</v>
      </c>
      <c r="L314">
        <f t="shared" si="74"/>
        <v>1</v>
      </c>
      <c r="M314" s="13">
        <f t="shared" si="85"/>
        <v>1</v>
      </c>
      <c r="N314">
        <f t="shared" si="85"/>
        <v>4</v>
      </c>
      <c r="O314" s="14">
        <f t="shared" si="75"/>
        <v>64</v>
      </c>
      <c r="P314" s="13">
        <f t="shared" si="79"/>
        <v>1</v>
      </c>
      <c r="Q314">
        <f t="shared" si="86"/>
        <v>4</v>
      </c>
      <c r="R314" s="14">
        <f t="shared" si="87"/>
        <v>64</v>
      </c>
      <c r="S314" s="15"/>
      <c r="W314" s="14"/>
    </row>
    <row r="315" spans="1:23" x14ac:dyDescent="0.25">
      <c r="A315" s="16"/>
      <c r="B315" s="17" t="b">
        <f t="shared" si="80"/>
        <v>0</v>
      </c>
      <c r="C315" s="17" t="b">
        <f t="shared" si="72"/>
        <v>0</v>
      </c>
      <c r="D315" s="17">
        <f t="shared" si="76"/>
        <v>1</v>
      </c>
      <c r="E315" s="17" t="str">
        <f t="shared" si="77"/>
        <v>Section 4 - Create spring-boot starter microservice, containerize it and push to DockerHub</v>
      </c>
      <c r="F315" s="18" t="str">
        <f t="shared" si="78"/>
        <v/>
      </c>
      <c r="G315" s="13" t="str">
        <f t="shared" si="81"/>
        <v/>
      </c>
      <c r="H315">
        <f t="shared" si="82"/>
        <v>0</v>
      </c>
      <c r="I315">
        <f t="shared" si="83"/>
        <v>0</v>
      </c>
      <c r="J315" s="13">
        <f t="shared" si="84"/>
        <v>65</v>
      </c>
      <c r="K315">
        <f t="shared" si="73"/>
        <v>0</v>
      </c>
      <c r="L315">
        <f t="shared" si="74"/>
        <v>1</v>
      </c>
      <c r="M315" s="13">
        <f t="shared" si="85"/>
        <v>1</v>
      </c>
      <c r="N315">
        <f t="shared" si="85"/>
        <v>4</v>
      </c>
      <c r="O315" s="14">
        <f t="shared" si="75"/>
        <v>64</v>
      </c>
      <c r="P315" s="13">
        <f t="shared" si="79"/>
        <v>1</v>
      </c>
      <c r="Q315">
        <f t="shared" si="86"/>
        <v>4</v>
      </c>
      <c r="R315" s="14">
        <f t="shared" si="87"/>
        <v>64</v>
      </c>
      <c r="S315" s="15"/>
      <c r="W315" s="14"/>
    </row>
    <row r="316" spans="1:23" x14ac:dyDescent="0.25">
      <c r="A316" s="16"/>
      <c r="B316" s="17" t="b">
        <f t="shared" si="80"/>
        <v>0</v>
      </c>
      <c r="C316" s="17" t="b">
        <f t="shared" si="72"/>
        <v>0</v>
      </c>
      <c r="D316" s="17">
        <f t="shared" si="76"/>
        <v>1</v>
      </c>
      <c r="E316" s="17" t="str">
        <f t="shared" si="77"/>
        <v>Section 4 - Create spring-boot starter microservice, containerize it and push to DockerHub</v>
      </c>
      <c r="F316" s="18" t="str">
        <f t="shared" si="78"/>
        <v/>
      </c>
      <c r="G316" s="13" t="str">
        <f t="shared" si="81"/>
        <v/>
      </c>
      <c r="H316">
        <f t="shared" si="82"/>
        <v>0</v>
      </c>
      <c r="I316">
        <f t="shared" si="83"/>
        <v>0</v>
      </c>
      <c r="J316" s="13">
        <f t="shared" si="84"/>
        <v>65</v>
      </c>
      <c r="K316">
        <f t="shared" si="73"/>
        <v>0</v>
      </c>
      <c r="L316">
        <f t="shared" si="74"/>
        <v>1</v>
      </c>
      <c r="M316" s="13">
        <f t="shared" si="85"/>
        <v>1</v>
      </c>
      <c r="N316">
        <f t="shared" si="85"/>
        <v>4</v>
      </c>
      <c r="O316" s="14">
        <f t="shared" si="75"/>
        <v>64</v>
      </c>
      <c r="P316" s="13">
        <f t="shared" si="79"/>
        <v>1</v>
      </c>
      <c r="Q316">
        <f t="shared" si="86"/>
        <v>4</v>
      </c>
      <c r="R316" s="14">
        <f t="shared" si="87"/>
        <v>64</v>
      </c>
      <c r="S316" s="15"/>
      <c r="W316" s="14"/>
    </row>
    <row r="317" spans="1:23" x14ac:dyDescent="0.25">
      <c r="A317" s="16"/>
      <c r="B317" s="17" t="b">
        <f t="shared" si="80"/>
        <v>0</v>
      </c>
      <c r="C317" s="17" t="b">
        <f t="shared" si="72"/>
        <v>0</v>
      </c>
      <c r="D317" s="17">
        <f t="shared" si="76"/>
        <v>1</v>
      </c>
      <c r="E317" s="17" t="str">
        <f t="shared" si="77"/>
        <v>Section 4 - Create spring-boot starter microservice, containerize it and push to DockerHub</v>
      </c>
      <c r="F317" s="18" t="str">
        <f t="shared" si="78"/>
        <v/>
      </c>
      <c r="G317" s="13" t="str">
        <f t="shared" si="81"/>
        <v/>
      </c>
      <c r="H317">
        <f t="shared" si="82"/>
        <v>0</v>
      </c>
      <c r="I317">
        <f t="shared" si="83"/>
        <v>0</v>
      </c>
      <c r="J317" s="13">
        <f t="shared" si="84"/>
        <v>65</v>
      </c>
      <c r="K317">
        <f t="shared" si="73"/>
        <v>0</v>
      </c>
      <c r="L317">
        <f t="shared" si="74"/>
        <v>1</v>
      </c>
      <c r="M317" s="13">
        <f t="shared" si="85"/>
        <v>1</v>
      </c>
      <c r="N317">
        <f t="shared" si="85"/>
        <v>4</v>
      </c>
      <c r="O317" s="14">
        <f t="shared" si="75"/>
        <v>64</v>
      </c>
      <c r="P317" s="13">
        <f t="shared" si="79"/>
        <v>1</v>
      </c>
      <c r="Q317">
        <f t="shared" si="86"/>
        <v>4</v>
      </c>
      <c r="R317" s="14">
        <f t="shared" si="87"/>
        <v>64</v>
      </c>
      <c r="S317" s="15"/>
      <c r="W317" s="14"/>
    </row>
    <row r="318" spans="1:23" x14ac:dyDescent="0.25">
      <c r="A318" s="16"/>
      <c r="B318" s="17" t="b">
        <f t="shared" si="80"/>
        <v>0</v>
      </c>
      <c r="C318" s="17" t="b">
        <f t="shared" si="72"/>
        <v>0</v>
      </c>
      <c r="D318" s="17">
        <f t="shared" si="76"/>
        <v>1</v>
      </c>
      <c r="E318" s="17" t="str">
        <f t="shared" si="77"/>
        <v>Section 4 - Create spring-boot starter microservice, containerize it and push to DockerHub</v>
      </c>
      <c r="F318" s="18" t="str">
        <f t="shared" si="78"/>
        <v/>
      </c>
      <c r="G318" s="13" t="str">
        <f t="shared" si="81"/>
        <v/>
      </c>
      <c r="H318">
        <f t="shared" si="82"/>
        <v>0</v>
      </c>
      <c r="I318">
        <f t="shared" si="83"/>
        <v>0</v>
      </c>
      <c r="J318" s="13">
        <f t="shared" si="84"/>
        <v>65</v>
      </c>
      <c r="K318">
        <f t="shared" si="73"/>
        <v>0</v>
      </c>
      <c r="L318">
        <f t="shared" si="74"/>
        <v>1</v>
      </c>
      <c r="M318" s="13">
        <f t="shared" si="85"/>
        <v>1</v>
      </c>
      <c r="N318">
        <f t="shared" si="85"/>
        <v>4</v>
      </c>
      <c r="O318" s="14">
        <f t="shared" si="75"/>
        <v>64</v>
      </c>
      <c r="P318" s="13">
        <f t="shared" si="79"/>
        <v>1</v>
      </c>
      <c r="Q318">
        <f t="shared" si="86"/>
        <v>4</v>
      </c>
      <c r="R318" s="14">
        <f t="shared" si="87"/>
        <v>64</v>
      </c>
      <c r="S318" s="15"/>
      <c r="W318" s="14"/>
    </row>
    <row r="319" spans="1:23" x14ac:dyDescent="0.25">
      <c r="A319" s="16"/>
      <c r="B319" s="17" t="b">
        <f t="shared" si="80"/>
        <v>0</v>
      </c>
      <c r="C319" s="17" t="b">
        <f t="shared" si="72"/>
        <v>0</v>
      </c>
      <c r="D319" s="17">
        <f t="shared" si="76"/>
        <v>1</v>
      </c>
      <c r="E319" s="17" t="str">
        <f t="shared" si="77"/>
        <v>Section 4 - Create spring-boot starter microservice, containerize it and push to DockerHub</v>
      </c>
      <c r="F319" s="18" t="str">
        <f t="shared" si="78"/>
        <v/>
      </c>
      <c r="G319" s="13" t="str">
        <f t="shared" si="81"/>
        <v/>
      </c>
      <c r="H319">
        <f t="shared" si="82"/>
        <v>0</v>
      </c>
      <c r="I319">
        <f t="shared" si="83"/>
        <v>0</v>
      </c>
      <c r="J319" s="13">
        <f t="shared" si="84"/>
        <v>65</v>
      </c>
      <c r="K319">
        <f t="shared" si="73"/>
        <v>0</v>
      </c>
      <c r="L319">
        <f t="shared" si="74"/>
        <v>1</v>
      </c>
      <c r="M319" s="13">
        <f t="shared" si="85"/>
        <v>1</v>
      </c>
      <c r="N319">
        <f t="shared" si="85"/>
        <v>4</v>
      </c>
      <c r="O319" s="14">
        <f t="shared" si="75"/>
        <v>64</v>
      </c>
      <c r="P319" s="13">
        <f t="shared" si="79"/>
        <v>1</v>
      </c>
      <c r="Q319">
        <f t="shared" si="86"/>
        <v>4</v>
      </c>
      <c r="R319" s="14">
        <f t="shared" si="87"/>
        <v>64</v>
      </c>
      <c r="S319" s="15"/>
      <c r="W319" s="14"/>
    </row>
    <row r="320" spans="1:23" x14ac:dyDescent="0.25">
      <c r="A320" s="16"/>
      <c r="B320" s="17" t="b">
        <f t="shared" si="80"/>
        <v>0</v>
      </c>
      <c r="C320" s="17" t="b">
        <f t="shared" ref="C320:C383" si="88">OR(NOT(ISERROR(FIND("hr",A321))), NOT(ISERROR(FIND("min ",A321))),RIGHT(A321,3)="min")</f>
        <v>0</v>
      </c>
      <c r="D320" s="17">
        <f t="shared" si="76"/>
        <v>1</v>
      </c>
      <c r="E320" s="17" t="str">
        <f t="shared" si="77"/>
        <v>Section 4 - Create spring-boot starter microservice, containerize it and push to DockerHub</v>
      </c>
      <c r="F320" s="18" t="str">
        <f t="shared" si="78"/>
        <v/>
      </c>
      <c r="G320" s="13" t="str">
        <f t="shared" si="81"/>
        <v/>
      </c>
      <c r="H320">
        <f t="shared" si="82"/>
        <v>0</v>
      </c>
      <c r="I320">
        <f t="shared" si="83"/>
        <v>0</v>
      </c>
      <c r="J320" s="13">
        <f t="shared" si="84"/>
        <v>65</v>
      </c>
      <c r="K320">
        <f t="shared" si="73"/>
        <v>0</v>
      </c>
      <c r="L320">
        <f t="shared" si="74"/>
        <v>1</v>
      </c>
      <c r="M320" s="13">
        <f t="shared" si="85"/>
        <v>1</v>
      </c>
      <c r="N320">
        <f t="shared" si="85"/>
        <v>4</v>
      </c>
      <c r="O320" s="14">
        <f t="shared" si="75"/>
        <v>64</v>
      </c>
      <c r="P320" s="13">
        <f t="shared" si="79"/>
        <v>1</v>
      </c>
      <c r="Q320">
        <f t="shared" si="86"/>
        <v>4</v>
      </c>
      <c r="R320" s="14">
        <f t="shared" si="87"/>
        <v>64</v>
      </c>
      <c r="S320" s="15"/>
      <c r="W320" s="14"/>
    </row>
    <row r="321" spans="1:23" x14ac:dyDescent="0.25">
      <c r="A321" s="16"/>
      <c r="B321" s="17" t="b">
        <f t="shared" si="80"/>
        <v>0</v>
      </c>
      <c r="C321" s="17" t="b">
        <f t="shared" si="88"/>
        <v>0</v>
      </c>
      <c r="D321" s="17">
        <f t="shared" si="76"/>
        <v>1</v>
      </c>
      <c r="E321" s="17" t="str">
        <f t="shared" si="77"/>
        <v>Section 4 - Create spring-boot starter microservice, containerize it and push to DockerHub</v>
      </c>
      <c r="F321" s="18" t="str">
        <f t="shared" si="78"/>
        <v/>
      </c>
      <c r="G321" s="13" t="str">
        <f t="shared" si="81"/>
        <v/>
      </c>
      <c r="H321">
        <f t="shared" si="82"/>
        <v>0</v>
      </c>
      <c r="I321">
        <f t="shared" si="83"/>
        <v>0</v>
      </c>
      <c r="J321" s="13">
        <f t="shared" si="84"/>
        <v>65</v>
      </c>
      <c r="K321">
        <f t="shared" si="73"/>
        <v>0</v>
      </c>
      <c r="L321">
        <f t="shared" si="74"/>
        <v>1</v>
      </c>
      <c r="M321" s="13">
        <f t="shared" si="85"/>
        <v>1</v>
      </c>
      <c r="N321">
        <f t="shared" si="85"/>
        <v>4</v>
      </c>
      <c r="O321" s="14">
        <f t="shared" si="75"/>
        <v>64</v>
      </c>
      <c r="P321" s="13">
        <f t="shared" si="79"/>
        <v>1</v>
      </c>
      <c r="Q321">
        <f t="shared" si="86"/>
        <v>4</v>
      </c>
      <c r="R321" s="14">
        <f t="shared" si="87"/>
        <v>64</v>
      </c>
      <c r="S321" s="15"/>
      <c r="W321" s="14"/>
    </row>
    <row r="322" spans="1:23" x14ac:dyDescent="0.25">
      <c r="A322" s="16"/>
      <c r="B322" s="17" t="b">
        <f t="shared" si="80"/>
        <v>0</v>
      </c>
      <c r="C322" s="17" t="b">
        <f t="shared" si="88"/>
        <v>0</v>
      </c>
      <c r="D322" s="17">
        <f t="shared" si="76"/>
        <v>1</v>
      </c>
      <c r="E322" s="17" t="str">
        <f t="shared" si="77"/>
        <v>Section 4 - Create spring-boot starter microservice, containerize it and push to DockerHub</v>
      </c>
      <c r="F322" s="18" t="str">
        <f t="shared" si="78"/>
        <v/>
      </c>
      <c r="G322" s="13" t="str">
        <f t="shared" si="81"/>
        <v/>
      </c>
      <c r="H322">
        <f t="shared" si="82"/>
        <v>0</v>
      </c>
      <c r="I322">
        <f t="shared" si="83"/>
        <v>0</v>
      </c>
      <c r="J322" s="13">
        <f t="shared" si="84"/>
        <v>65</v>
      </c>
      <c r="K322">
        <f t="shared" si="73"/>
        <v>0</v>
      </c>
      <c r="L322">
        <f t="shared" si="74"/>
        <v>1</v>
      </c>
      <c r="M322" s="13">
        <f t="shared" si="85"/>
        <v>1</v>
      </c>
      <c r="N322">
        <f t="shared" si="85"/>
        <v>4</v>
      </c>
      <c r="O322" s="14">
        <f t="shared" si="75"/>
        <v>64</v>
      </c>
      <c r="P322" s="13">
        <f t="shared" si="79"/>
        <v>1</v>
      </c>
      <c r="Q322">
        <f t="shared" si="86"/>
        <v>4</v>
      </c>
      <c r="R322" s="14">
        <f t="shared" si="87"/>
        <v>64</v>
      </c>
      <c r="S322" s="15"/>
      <c r="W322" s="14"/>
    </row>
    <row r="323" spans="1:23" x14ac:dyDescent="0.25">
      <c r="A323" s="16"/>
      <c r="B323" s="17" t="b">
        <f t="shared" si="80"/>
        <v>0</v>
      </c>
      <c r="C323" s="17" t="b">
        <f t="shared" si="88"/>
        <v>0</v>
      </c>
      <c r="D323" s="17">
        <f t="shared" si="76"/>
        <v>1</v>
      </c>
      <c r="E323" s="17" t="str">
        <f t="shared" si="77"/>
        <v>Section 4 - Create spring-boot starter microservice, containerize it and push to DockerHub</v>
      </c>
      <c r="F323" s="18" t="str">
        <f t="shared" si="78"/>
        <v/>
      </c>
      <c r="G323" s="13" t="str">
        <f t="shared" si="81"/>
        <v/>
      </c>
      <c r="H323">
        <f t="shared" si="82"/>
        <v>0</v>
      </c>
      <c r="I323">
        <f t="shared" si="83"/>
        <v>0</v>
      </c>
      <c r="J323" s="13">
        <f t="shared" si="84"/>
        <v>65</v>
      </c>
      <c r="K323">
        <f t="shared" si="73"/>
        <v>0</v>
      </c>
      <c r="L323">
        <f t="shared" si="74"/>
        <v>1</v>
      </c>
      <c r="M323" s="13">
        <f t="shared" si="85"/>
        <v>1</v>
      </c>
      <c r="N323">
        <f t="shared" si="85"/>
        <v>4</v>
      </c>
      <c r="O323" s="14">
        <f t="shared" si="75"/>
        <v>64</v>
      </c>
      <c r="P323" s="13">
        <f t="shared" si="79"/>
        <v>1</v>
      </c>
      <c r="Q323">
        <f t="shared" si="86"/>
        <v>4</v>
      </c>
      <c r="R323" s="14">
        <f t="shared" si="87"/>
        <v>64</v>
      </c>
      <c r="S323" s="15"/>
      <c r="W323" s="14"/>
    </row>
    <row r="324" spans="1:23" x14ac:dyDescent="0.25">
      <c r="A324" s="16"/>
      <c r="B324" s="17" t="b">
        <f t="shared" si="80"/>
        <v>0</v>
      </c>
      <c r="C324" s="17" t="b">
        <f t="shared" si="88"/>
        <v>0</v>
      </c>
      <c r="D324" s="17">
        <f t="shared" si="76"/>
        <v>1</v>
      </c>
      <c r="E324" s="17" t="str">
        <f t="shared" si="77"/>
        <v>Section 4 - Create spring-boot starter microservice, containerize it and push to DockerHub</v>
      </c>
      <c r="F324" s="18" t="str">
        <f t="shared" si="78"/>
        <v/>
      </c>
      <c r="G324" s="13" t="str">
        <f t="shared" si="81"/>
        <v/>
      </c>
      <c r="H324">
        <f t="shared" si="82"/>
        <v>0</v>
      </c>
      <c r="I324">
        <f t="shared" si="83"/>
        <v>0</v>
      </c>
      <c r="J324" s="13">
        <f t="shared" si="84"/>
        <v>65</v>
      </c>
      <c r="K324">
        <f t="shared" si="73"/>
        <v>0</v>
      </c>
      <c r="L324">
        <f t="shared" si="74"/>
        <v>1</v>
      </c>
      <c r="M324" s="13">
        <f t="shared" si="85"/>
        <v>1</v>
      </c>
      <c r="N324">
        <f t="shared" si="85"/>
        <v>4</v>
      </c>
      <c r="O324" s="14">
        <f t="shared" si="75"/>
        <v>64</v>
      </c>
      <c r="P324" s="13">
        <f t="shared" si="79"/>
        <v>1</v>
      </c>
      <c r="Q324">
        <f t="shared" si="86"/>
        <v>4</v>
      </c>
      <c r="R324" s="14">
        <f t="shared" si="87"/>
        <v>64</v>
      </c>
      <c r="S324" s="15"/>
      <c r="W324" s="14"/>
    </row>
    <row r="325" spans="1:23" x14ac:dyDescent="0.25">
      <c r="A325" s="16"/>
      <c r="B325" s="17" t="b">
        <f t="shared" si="80"/>
        <v>0</v>
      </c>
      <c r="C325" s="17" t="b">
        <f t="shared" si="88"/>
        <v>0</v>
      </c>
      <c r="D325" s="17">
        <f t="shared" si="76"/>
        <v>1</v>
      </c>
      <c r="E325" s="17" t="str">
        <f t="shared" si="77"/>
        <v>Section 4 - Create spring-boot starter microservice, containerize it and push to DockerHub</v>
      </c>
      <c r="F325" s="18" t="str">
        <f t="shared" si="78"/>
        <v/>
      </c>
      <c r="G325" s="13" t="str">
        <f t="shared" si="81"/>
        <v/>
      </c>
      <c r="H325">
        <f t="shared" si="82"/>
        <v>0</v>
      </c>
      <c r="I325">
        <f t="shared" si="83"/>
        <v>0</v>
      </c>
      <c r="J325" s="13">
        <f t="shared" si="84"/>
        <v>65</v>
      </c>
      <c r="K325">
        <f t="shared" si="73"/>
        <v>0</v>
      </c>
      <c r="L325">
        <f t="shared" si="74"/>
        <v>1</v>
      </c>
      <c r="M325" s="13">
        <f t="shared" si="85"/>
        <v>1</v>
      </c>
      <c r="N325">
        <f t="shared" si="85"/>
        <v>4</v>
      </c>
      <c r="O325" s="14">
        <f t="shared" si="75"/>
        <v>64</v>
      </c>
      <c r="P325" s="13">
        <f t="shared" si="79"/>
        <v>1</v>
      </c>
      <c r="Q325">
        <f t="shared" si="86"/>
        <v>4</v>
      </c>
      <c r="R325" s="14">
        <f t="shared" si="87"/>
        <v>64</v>
      </c>
      <c r="S325" s="15"/>
      <c r="W325" s="14"/>
    </row>
    <row r="326" spans="1:23" x14ac:dyDescent="0.25">
      <c r="A326" s="16"/>
      <c r="B326" s="17" t="b">
        <f t="shared" si="80"/>
        <v>0</v>
      </c>
      <c r="C326" s="17" t="b">
        <f t="shared" si="88"/>
        <v>0</v>
      </c>
      <c r="D326" s="17">
        <f t="shared" si="76"/>
        <v>1</v>
      </c>
      <c r="E326" s="17" t="str">
        <f t="shared" si="77"/>
        <v>Section 4 - Create spring-boot starter microservice, containerize it and push to DockerHub</v>
      </c>
      <c r="F326" s="18" t="str">
        <f t="shared" si="78"/>
        <v/>
      </c>
      <c r="G326" s="13" t="str">
        <f t="shared" si="81"/>
        <v/>
      </c>
      <c r="H326">
        <f t="shared" si="82"/>
        <v>0</v>
      </c>
      <c r="I326">
        <f t="shared" si="83"/>
        <v>0</v>
      </c>
      <c r="J326" s="13">
        <f t="shared" si="84"/>
        <v>65</v>
      </c>
      <c r="K326">
        <f t="shared" si="73"/>
        <v>0</v>
      </c>
      <c r="L326">
        <f t="shared" si="74"/>
        <v>1</v>
      </c>
      <c r="M326" s="13">
        <f t="shared" si="85"/>
        <v>1</v>
      </c>
      <c r="N326">
        <f t="shared" si="85"/>
        <v>4</v>
      </c>
      <c r="O326" s="14">
        <f t="shared" si="75"/>
        <v>64</v>
      </c>
      <c r="P326" s="13">
        <f t="shared" si="79"/>
        <v>1</v>
      </c>
      <c r="Q326">
        <f t="shared" si="86"/>
        <v>4</v>
      </c>
      <c r="R326" s="14">
        <f t="shared" si="87"/>
        <v>64</v>
      </c>
      <c r="S326" s="15"/>
      <c r="W326" s="14"/>
    </row>
    <row r="327" spans="1:23" x14ac:dyDescent="0.25">
      <c r="A327" s="16"/>
      <c r="B327" s="17" t="b">
        <f t="shared" si="80"/>
        <v>0</v>
      </c>
      <c r="C327" s="17" t="b">
        <f t="shared" si="88"/>
        <v>0</v>
      </c>
      <c r="D327" s="17">
        <f t="shared" si="76"/>
        <v>1</v>
      </c>
      <c r="E327" s="17" t="str">
        <f t="shared" si="77"/>
        <v>Section 4 - Create spring-boot starter microservice, containerize it and push to DockerHub</v>
      </c>
      <c r="F327" s="18" t="str">
        <f t="shared" si="78"/>
        <v/>
      </c>
      <c r="G327" s="13" t="str">
        <f t="shared" si="81"/>
        <v/>
      </c>
      <c r="H327">
        <f t="shared" si="82"/>
        <v>0</v>
      </c>
      <c r="I327">
        <f t="shared" si="83"/>
        <v>0</v>
      </c>
      <c r="J327" s="13">
        <f t="shared" si="84"/>
        <v>65</v>
      </c>
      <c r="K327">
        <f t="shared" si="73"/>
        <v>0</v>
      </c>
      <c r="L327">
        <f t="shared" si="74"/>
        <v>1</v>
      </c>
      <c r="M327" s="13">
        <f t="shared" si="85"/>
        <v>1</v>
      </c>
      <c r="N327">
        <f t="shared" si="85"/>
        <v>4</v>
      </c>
      <c r="O327" s="14">
        <f t="shared" si="75"/>
        <v>64</v>
      </c>
      <c r="P327" s="13">
        <f t="shared" si="79"/>
        <v>1</v>
      </c>
      <c r="Q327">
        <f t="shared" si="86"/>
        <v>4</v>
      </c>
      <c r="R327" s="14">
        <f t="shared" si="87"/>
        <v>64</v>
      </c>
      <c r="S327" s="15"/>
      <c r="W327" s="14"/>
    </row>
    <row r="328" spans="1:23" x14ac:dyDescent="0.25">
      <c r="A328" s="16"/>
      <c r="B328" s="17" t="b">
        <f t="shared" si="80"/>
        <v>0</v>
      </c>
      <c r="C328" s="17" t="b">
        <f t="shared" si="88"/>
        <v>0</v>
      </c>
      <c r="D328" s="17">
        <f t="shared" si="76"/>
        <v>1</v>
      </c>
      <c r="E328" s="17" t="str">
        <f t="shared" si="77"/>
        <v>Section 4 - Create spring-boot starter microservice, containerize it and push to DockerHub</v>
      </c>
      <c r="F328" s="18" t="str">
        <f t="shared" si="78"/>
        <v/>
      </c>
      <c r="G328" s="13" t="str">
        <f t="shared" si="81"/>
        <v/>
      </c>
      <c r="H328">
        <f t="shared" si="82"/>
        <v>0</v>
      </c>
      <c r="I328">
        <f t="shared" si="83"/>
        <v>0</v>
      </c>
      <c r="J328" s="13">
        <f t="shared" si="84"/>
        <v>65</v>
      </c>
      <c r="K328">
        <f t="shared" si="73"/>
        <v>0</v>
      </c>
      <c r="L328">
        <f t="shared" si="74"/>
        <v>1</v>
      </c>
      <c r="M328" s="13">
        <f t="shared" si="85"/>
        <v>1</v>
      </c>
      <c r="N328">
        <f t="shared" si="85"/>
        <v>4</v>
      </c>
      <c r="O328" s="14">
        <f t="shared" si="75"/>
        <v>64</v>
      </c>
      <c r="P328" s="13">
        <f t="shared" si="79"/>
        <v>1</v>
      </c>
      <c r="Q328">
        <f t="shared" si="86"/>
        <v>4</v>
      </c>
      <c r="R328" s="14">
        <f t="shared" si="87"/>
        <v>64</v>
      </c>
      <c r="S328" s="15"/>
      <c r="W328" s="14"/>
    </row>
    <row r="329" spans="1:23" x14ac:dyDescent="0.25">
      <c r="A329" s="16"/>
      <c r="B329" s="17" t="b">
        <f t="shared" si="80"/>
        <v>0</v>
      </c>
      <c r="C329" s="17" t="b">
        <f t="shared" si="88"/>
        <v>0</v>
      </c>
      <c r="D329" s="17">
        <f t="shared" si="76"/>
        <v>1</v>
      </c>
      <c r="E329" s="17" t="str">
        <f t="shared" si="77"/>
        <v>Section 4 - Create spring-boot starter microservice, containerize it and push to DockerHub</v>
      </c>
      <c r="F329" s="18" t="str">
        <f t="shared" si="78"/>
        <v/>
      </c>
      <c r="G329" s="13" t="str">
        <f t="shared" si="81"/>
        <v/>
      </c>
      <c r="H329">
        <f t="shared" si="82"/>
        <v>0</v>
      </c>
      <c r="I329">
        <f t="shared" si="83"/>
        <v>0</v>
      </c>
      <c r="J329" s="13">
        <f t="shared" si="84"/>
        <v>65</v>
      </c>
      <c r="K329">
        <f t="shared" si="73"/>
        <v>0</v>
      </c>
      <c r="L329">
        <f t="shared" si="74"/>
        <v>1</v>
      </c>
      <c r="M329" s="13">
        <f t="shared" si="85"/>
        <v>1</v>
      </c>
      <c r="N329">
        <f t="shared" si="85"/>
        <v>4</v>
      </c>
      <c r="O329" s="14">
        <f t="shared" si="75"/>
        <v>64</v>
      </c>
      <c r="P329" s="13">
        <f t="shared" si="79"/>
        <v>1</v>
      </c>
      <c r="Q329">
        <f t="shared" si="86"/>
        <v>4</v>
      </c>
      <c r="R329" s="14">
        <f t="shared" si="87"/>
        <v>64</v>
      </c>
      <c r="S329" s="15"/>
      <c r="W329" s="14"/>
    </row>
    <row r="330" spans="1:23" x14ac:dyDescent="0.25">
      <c r="A330" s="16"/>
      <c r="B330" s="17" t="b">
        <f t="shared" si="80"/>
        <v>0</v>
      </c>
      <c r="C330" s="17" t="b">
        <f t="shared" si="88"/>
        <v>0</v>
      </c>
      <c r="D330" s="17">
        <f t="shared" si="76"/>
        <v>1</v>
      </c>
      <c r="E330" s="17" t="str">
        <f t="shared" si="77"/>
        <v>Section 4 - Create spring-boot starter microservice, containerize it and push to DockerHub</v>
      </c>
      <c r="F330" s="18" t="str">
        <f t="shared" si="78"/>
        <v/>
      </c>
      <c r="G330" s="13" t="str">
        <f t="shared" si="81"/>
        <v/>
      </c>
      <c r="H330">
        <f t="shared" si="82"/>
        <v>0</v>
      </c>
      <c r="I330">
        <f t="shared" si="83"/>
        <v>0</v>
      </c>
      <c r="J330" s="13">
        <f t="shared" si="84"/>
        <v>65</v>
      </c>
      <c r="K330">
        <f t="shared" ref="K330:K393" si="89">INT(J330/60/60)</f>
        <v>0</v>
      </c>
      <c r="L330">
        <f t="shared" ref="L330:L393" si="90">INT((J330-(K330*60*60))/60)</f>
        <v>1</v>
      </c>
      <c r="M330" s="13">
        <f t="shared" si="85"/>
        <v>1</v>
      </c>
      <c r="N330">
        <f t="shared" si="85"/>
        <v>4</v>
      </c>
      <c r="O330" s="14">
        <f t="shared" ref="O330:O393" si="91">((M330*60)+N330)</f>
        <v>64</v>
      </c>
      <c r="P330" s="13">
        <f t="shared" si="79"/>
        <v>1</v>
      </c>
      <c r="Q330">
        <f t="shared" si="86"/>
        <v>4</v>
      </c>
      <c r="R330" s="14">
        <f t="shared" si="87"/>
        <v>64</v>
      </c>
      <c r="S330" s="15"/>
      <c r="W330" s="14"/>
    </row>
    <row r="331" spans="1:23" x14ac:dyDescent="0.25">
      <c r="A331" s="16"/>
      <c r="B331" s="17" t="b">
        <f t="shared" si="80"/>
        <v>0</v>
      </c>
      <c r="C331" s="17" t="b">
        <f t="shared" si="88"/>
        <v>0</v>
      </c>
      <c r="D331" s="17">
        <f t="shared" ref="D331:D394" si="92">IF(B331,0,IF(C331,D330+1,D330))</f>
        <v>1</v>
      </c>
      <c r="E331" s="17" t="str">
        <f t="shared" ref="E331:E394" si="93">SUBSTITUTE(IF(B331,A331,E330),":"," -")</f>
        <v>Section 4 - Create spring-boot starter microservice, containerize it and push to DockerHub</v>
      </c>
      <c r="F331" s="18" t="str">
        <f t="shared" ref="F331:F394" si="94">IF(C331,A331,"")</f>
        <v/>
      </c>
      <c r="G331" s="13" t="str">
        <f t="shared" si="81"/>
        <v/>
      </c>
      <c r="H331">
        <f t="shared" si="82"/>
        <v>0</v>
      </c>
      <c r="I331">
        <f t="shared" si="83"/>
        <v>0</v>
      </c>
      <c r="J331" s="13">
        <f t="shared" si="84"/>
        <v>65</v>
      </c>
      <c r="K331">
        <f t="shared" si="89"/>
        <v>0</v>
      </c>
      <c r="L331">
        <f t="shared" si="90"/>
        <v>1</v>
      </c>
      <c r="M331" s="13">
        <f t="shared" si="85"/>
        <v>1</v>
      </c>
      <c r="N331">
        <f t="shared" si="85"/>
        <v>4</v>
      </c>
      <c r="O331" s="14">
        <f t="shared" si="91"/>
        <v>64</v>
      </c>
      <c r="P331" s="13">
        <f t="shared" ref="P331:P394" si="95">INT(R331/60)</f>
        <v>1</v>
      </c>
      <c r="Q331">
        <f t="shared" si="86"/>
        <v>4</v>
      </c>
      <c r="R331" s="14">
        <f t="shared" si="87"/>
        <v>64</v>
      </c>
      <c r="S331" s="15"/>
      <c r="W331" s="14"/>
    </row>
    <row r="332" spans="1:23" x14ac:dyDescent="0.25">
      <c r="A332" s="16"/>
      <c r="B332" s="17" t="b">
        <f t="shared" si="80"/>
        <v>0</v>
      </c>
      <c r="C332" s="17" t="b">
        <f t="shared" si="88"/>
        <v>0</v>
      </c>
      <c r="D332" s="17">
        <f t="shared" si="92"/>
        <v>1</v>
      </c>
      <c r="E332" s="17" t="str">
        <f t="shared" si="93"/>
        <v>Section 4 - Create spring-boot starter microservice, containerize it and push to DockerHub</v>
      </c>
      <c r="F332" s="18" t="str">
        <f t="shared" si="94"/>
        <v/>
      </c>
      <c r="G332" s="13" t="str">
        <f t="shared" si="81"/>
        <v/>
      </c>
      <c r="H332">
        <f t="shared" si="82"/>
        <v>0</v>
      </c>
      <c r="I332">
        <f t="shared" si="83"/>
        <v>0</v>
      </c>
      <c r="J332" s="13">
        <f t="shared" si="84"/>
        <v>65</v>
      </c>
      <c r="K332">
        <f t="shared" si="89"/>
        <v>0</v>
      </c>
      <c r="L332">
        <f t="shared" si="90"/>
        <v>1</v>
      </c>
      <c r="M332" s="13">
        <f t="shared" si="85"/>
        <v>1</v>
      </c>
      <c r="N332">
        <f t="shared" si="85"/>
        <v>4</v>
      </c>
      <c r="O332" s="14">
        <f t="shared" si="91"/>
        <v>64</v>
      </c>
      <c r="P332" s="13">
        <f t="shared" si="95"/>
        <v>1</v>
      </c>
      <c r="Q332">
        <f t="shared" si="86"/>
        <v>4</v>
      </c>
      <c r="R332" s="14">
        <f t="shared" si="87"/>
        <v>64</v>
      </c>
      <c r="S332" s="15"/>
      <c r="W332" s="14"/>
    </row>
    <row r="333" spans="1:23" x14ac:dyDescent="0.25">
      <c r="A333" s="16"/>
      <c r="B333" s="17" t="b">
        <f t="shared" si="80"/>
        <v>0</v>
      </c>
      <c r="C333" s="17" t="b">
        <f t="shared" si="88"/>
        <v>0</v>
      </c>
      <c r="D333" s="17">
        <f t="shared" si="92"/>
        <v>1</v>
      </c>
      <c r="E333" s="17" t="str">
        <f t="shared" si="93"/>
        <v>Section 4 - Create spring-boot starter microservice, containerize it and push to DockerHub</v>
      </c>
      <c r="F333" s="18" t="str">
        <f t="shared" si="94"/>
        <v/>
      </c>
      <c r="G333" s="13" t="str">
        <f t="shared" si="81"/>
        <v/>
      </c>
      <c r="H333">
        <f t="shared" si="82"/>
        <v>0</v>
      </c>
      <c r="I333">
        <f t="shared" si="83"/>
        <v>0</v>
      </c>
      <c r="J333" s="13">
        <f t="shared" si="84"/>
        <v>65</v>
      </c>
      <c r="K333">
        <f t="shared" si="89"/>
        <v>0</v>
      </c>
      <c r="L333">
        <f t="shared" si="90"/>
        <v>1</v>
      </c>
      <c r="M333" s="13">
        <f t="shared" si="85"/>
        <v>1</v>
      </c>
      <c r="N333">
        <f t="shared" si="85"/>
        <v>4</v>
      </c>
      <c r="O333" s="14">
        <f t="shared" si="91"/>
        <v>64</v>
      </c>
      <c r="P333" s="13">
        <f t="shared" si="95"/>
        <v>1</v>
      </c>
      <c r="Q333">
        <f t="shared" si="86"/>
        <v>4</v>
      </c>
      <c r="R333" s="14">
        <f t="shared" si="87"/>
        <v>64</v>
      </c>
      <c r="S333" s="15"/>
      <c r="W333" s="14"/>
    </row>
    <row r="334" spans="1:23" x14ac:dyDescent="0.25">
      <c r="A334" s="16"/>
      <c r="B334" s="17" t="b">
        <f t="shared" si="80"/>
        <v>0</v>
      </c>
      <c r="C334" s="17" t="b">
        <f t="shared" si="88"/>
        <v>0</v>
      </c>
      <c r="D334" s="17">
        <f t="shared" si="92"/>
        <v>1</v>
      </c>
      <c r="E334" s="17" t="str">
        <f t="shared" si="93"/>
        <v>Section 4 - Create spring-boot starter microservice, containerize it and push to DockerHub</v>
      </c>
      <c r="F334" s="18" t="str">
        <f t="shared" si="94"/>
        <v/>
      </c>
      <c r="G334" s="13" t="str">
        <f t="shared" si="81"/>
        <v/>
      </c>
      <c r="H334">
        <f t="shared" si="82"/>
        <v>0</v>
      </c>
      <c r="I334">
        <f t="shared" si="83"/>
        <v>0</v>
      </c>
      <c r="J334" s="13">
        <f t="shared" si="84"/>
        <v>65</v>
      </c>
      <c r="K334">
        <f t="shared" si="89"/>
        <v>0</v>
      </c>
      <c r="L334">
        <f t="shared" si="90"/>
        <v>1</v>
      </c>
      <c r="M334" s="13">
        <f t="shared" si="85"/>
        <v>1</v>
      </c>
      <c r="N334">
        <f t="shared" si="85"/>
        <v>4</v>
      </c>
      <c r="O334" s="14">
        <f t="shared" si="91"/>
        <v>64</v>
      </c>
      <c r="P334" s="13">
        <f t="shared" si="95"/>
        <v>1</v>
      </c>
      <c r="Q334">
        <f t="shared" si="86"/>
        <v>4</v>
      </c>
      <c r="R334" s="14">
        <f t="shared" si="87"/>
        <v>64</v>
      </c>
      <c r="S334" s="15"/>
      <c r="W334" s="14"/>
    </row>
    <row r="335" spans="1:23" x14ac:dyDescent="0.25">
      <c r="A335" s="16"/>
      <c r="B335" s="17" t="b">
        <f t="shared" si="80"/>
        <v>0</v>
      </c>
      <c r="C335" s="17" t="b">
        <f t="shared" si="88"/>
        <v>0</v>
      </c>
      <c r="D335" s="17">
        <f t="shared" si="92"/>
        <v>1</v>
      </c>
      <c r="E335" s="17" t="str">
        <f t="shared" si="93"/>
        <v>Section 4 - Create spring-boot starter microservice, containerize it and push to DockerHub</v>
      </c>
      <c r="F335" s="18" t="str">
        <f t="shared" si="94"/>
        <v/>
      </c>
      <c r="G335" s="13" t="str">
        <f t="shared" si="81"/>
        <v/>
      </c>
      <c r="H335">
        <f t="shared" si="82"/>
        <v>0</v>
      </c>
      <c r="I335">
        <f t="shared" si="83"/>
        <v>0</v>
      </c>
      <c r="J335" s="13">
        <f t="shared" si="84"/>
        <v>65</v>
      </c>
      <c r="K335">
        <f t="shared" si="89"/>
        <v>0</v>
      </c>
      <c r="L335">
        <f t="shared" si="90"/>
        <v>1</v>
      </c>
      <c r="M335" s="13">
        <f t="shared" si="85"/>
        <v>1</v>
      </c>
      <c r="N335">
        <f t="shared" si="85"/>
        <v>4</v>
      </c>
      <c r="O335" s="14">
        <f t="shared" si="91"/>
        <v>64</v>
      </c>
      <c r="P335" s="13">
        <f t="shared" si="95"/>
        <v>1</v>
      </c>
      <c r="Q335">
        <f t="shared" si="86"/>
        <v>4</v>
      </c>
      <c r="R335" s="14">
        <f t="shared" si="87"/>
        <v>64</v>
      </c>
      <c r="S335" s="15"/>
      <c r="W335" s="14"/>
    </row>
    <row r="336" spans="1:23" x14ac:dyDescent="0.25">
      <c r="A336" s="16"/>
      <c r="B336" s="17" t="b">
        <f t="shared" si="80"/>
        <v>0</v>
      </c>
      <c r="C336" s="17" t="b">
        <f t="shared" si="88"/>
        <v>0</v>
      </c>
      <c r="D336" s="17">
        <f t="shared" si="92"/>
        <v>1</v>
      </c>
      <c r="E336" s="17" t="str">
        <f t="shared" si="93"/>
        <v>Section 4 - Create spring-boot starter microservice, containerize it and push to DockerHub</v>
      </c>
      <c r="F336" s="18" t="str">
        <f t="shared" si="94"/>
        <v/>
      </c>
      <c r="G336" s="13" t="str">
        <f t="shared" si="81"/>
        <v/>
      </c>
      <c r="H336">
        <f t="shared" si="82"/>
        <v>0</v>
      </c>
      <c r="I336">
        <f t="shared" si="83"/>
        <v>0</v>
      </c>
      <c r="J336" s="13">
        <f t="shared" si="84"/>
        <v>65</v>
      </c>
      <c r="K336">
        <f t="shared" si="89"/>
        <v>0</v>
      </c>
      <c r="L336">
        <f t="shared" si="90"/>
        <v>1</v>
      </c>
      <c r="M336" s="13">
        <f t="shared" si="85"/>
        <v>1</v>
      </c>
      <c r="N336">
        <f t="shared" si="85"/>
        <v>4</v>
      </c>
      <c r="O336" s="14">
        <f t="shared" si="91"/>
        <v>64</v>
      </c>
      <c r="P336" s="13">
        <f t="shared" si="95"/>
        <v>1</v>
      </c>
      <c r="Q336">
        <f t="shared" si="86"/>
        <v>4</v>
      </c>
      <c r="R336" s="14">
        <f t="shared" si="87"/>
        <v>64</v>
      </c>
      <c r="S336" s="15"/>
      <c r="W336" s="14"/>
    </row>
    <row r="337" spans="1:23" x14ac:dyDescent="0.25">
      <c r="A337" s="16"/>
      <c r="B337" s="17" t="b">
        <f t="shared" si="80"/>
        <v>0</v>
      </c>
      <c r="C337" s="17" t="b">
        <f t="shared" si="88"/>
        <v>0</v>
      </c>
      <c r="D337" s="17">
        <f t="shared" si="92"/>
        <v>1</v>
      </c>
      <c r="E337" s="17" t="str">
        <f t="shared" si="93"/>
        <v>Section 4 - Create spring-boot starter microservice, containerize it and push to DockerHub</v>
      </c>
      <c r="F337" s="18" t="str">
        <f t="shared" si="94"/>
        <v/>
      </c>
      <c r="G337" s="13" t="str">
        <f t="shared" si="81"/>
        <v/>
      </c>
      <c r="H337">
        <f t="shared" si="82"/>
        <v>0</v>
      </c>
      <c r="I337">
        <f t="shared" si="83"/>
        <v>0</v>
      </c>
      <c r="J337" s="13">
        <f t="shared" si="84"/>
        <v>65</v>
      </c>
      <c r="K337">
        <f t="shared" si="89"/>
        <v>0</v>
      </c>
      <c r="L337">
        <f t="shared" si="90"/>
        <v>1</v>
      </c>
      <c r="M337" s="13">
        <f t="shared" si="85"/>
        <v>1</v>
      </c>
      <c r="N337">
        <f t="shared" si="85"/>
        <v>4</v>
      </c>
      <c r="O337" s="14">
        <f t="shared" si="91"/>
        <v>64</v>
      </c>
      <c r="P337" s="13">
        <f t="shared" si="95"/>
        <v>1</v>
      </c>
      <c r="Q337">
        <f t="shared" si="86"/>
        <v>4</v>
      </c>
      <c r="R337" s="14">
        <f t="shared" si="87"/>
        <v>64</v>
      </c>
      <c r="S337" s="15"/>
      <c r="W337" s="14"/>
    </row>
    <row r="338" spans="1:23" x14ac:dyDescent="0.25">
      <c r="A338" s="16"/>
      <c r="B338" s="17" t="b">
        <f t="shared" ref="B338:B401" si="96">AND(NOT(ISERROR(FIND("Section ",A338))),NOT(ISERROR(FIND("Section ",A338))))</f>
        <v>0</v>
      </c>
      <c r="C338" s="17" t="b">
        <f t="shared" si="88"/>
        <v>0</v>
      </c>
      <c r="D338" s="17">
        <f t="shared" si="92"/>
        <v>1</v>
      </c>
      <c r="E338" s="17" t="str">
        <f t="shared" si="93"/>
        <v>Section 4 - Create spring-boot starter microservice, containerize it and push to DockerHub</v>
      </c>
      <c r="F338" s="18" t="str">
        <f t="shared" si="94"/>
        <v/>
      </c>
      <c r="G338" s="13" t="str">
        <f t="shared" si="81"/>
        <v/>
      </c>
      <c r="H338">
        <f t="shared" si="82"/>
        <v>0</v>
      </c>
      <c r="I338">
        <f t="shared" si="83"/>
        <v>0</v>
      </c>
      <c r="J338" s="13">
        <f t="shared" si="84"/>
        <v>65</v>
      </c>
      <c r="K338">
        <f t="shared" si="89"/>
        <v>0</v>
      </c>
      <c r="L338">
        <f t="shared" si="90"/>
        <v>1</v>
      </c>
      <c r="M338" s="13">
        <f t="shared" si="85"/>
        <v>1</v>
      </c>
      <c r="N338">
        <f t="shared" si="85"/>
        <v>4</v>
      </c>
      <c r="O338" s="14">
        <f t="shared" si="91"/>
        <v>64</v>
      </c>
      <c r="P338" s="13">
        <f t="shared" si="95"/>
        <v>1</v>
      </c>
      <c r="Q338">
        <f t="shared" si="86"/>
        <v>4</v>
      </c>
      <c r="R338" s="14">
        <f t="shared" si="87"/>
        <v>64</v>
      </c>
      <c r="S338" s="15"/>
      <c r="W338" s="14"/>
    </row>
    <row r="339" spans="1:23" x14ac:dyDescent="0.25">
      <c r="A339" s="16"/>
      <c r="B339" s="17" t="b">
        <f t="shared" si="96"/>
        <v>0</v>
      </c>
      <c r="C339" s="17" t="b">
        <f t="shared" si="88"/>
        <v>0</v>
      </c>
      <c r="D339" s="17">
        <f t="shared" si="92"/>
        <v>1</v>
      </c>
      <c r="E339" s="17" t="str">
        <f t="shared" si="93"/>
        <v>Section 4 - Create spring-boot starter microservice, containerize it and push to DockerHub</v>
      </c>
      <c r="F339" s="18" t="str">
        <f t="shared" si="94"/>
        <v/>
      </c>
      <c r="G339" s="13" t="str">
        <f t="shared" si="81"/>
        <v/>
      </c>
      <c r="H339">
        <f t="shared" si="82"/>
        <v>0</v>
      </c>
      <c r="I339">
        <f t="shared" si="83"/>
        <v>0</v>
      </c>
      <c r="J339" s="13">
        <f t="shared" si="84"/>
        <v>65</v>
      </c>
      <c r="K339">
        <f t="shared" si="89"/>
        <v>0</v>
      </c>
      <c r="L339">
        <f t="shared" si="90"/>
        <v>1</v>
      </c>
      <c r="M339" s="13">
        <f t="shared" si="85"/>
        <v>1</v>
      </c>
      <c r="N339">
        <f t="shared" si="85"/>
        <v>4</v>
      </c>
      <c r="O339" s="14">
        <f t="shared" si="91"/>
        <v>64</v>
      </c>
      <c r="P339" s="13">
        <f t="shared" si="95"/>
        <v>1</v>
      </c>
      <c r="Q339">
        <f t="shared" si="86"/>
        <v>4</v>
      </c>
      <c r="R339" s="14">
        <f t="shared" si="87"/>
        <v>64</v>
      </c>
      <c r="S339" s="15"/>
      <c r="W339" s="14"/>
    </row>
    <row r="340" spans="1:23" x14ac:dyDescent="0.25">
      <c r="A340" s="16"/>
      <c r="B340" s="17" t="b">
        <f t="shared" si="96"/>
        <v>0</v>
      </c>
      <c r="C340" s="17" t="b">
        <f t="shared" si="88"/>
        <v>0</v>
      </c>
      <c r="D340" s="17">
        <f t="shared" si="92"/>
        <v>1</v>
      </c>
      <c r="E340" s="17" t="str">
        <f t="shared" si="93"/>
        <v>Section 4 - Create spring-boot starter microservice, containerize it and push to DockerHub</v>
      </c>
      <c r="F340" s="18" t="str">
        <f t="shared" si="94"/>
        <v/>
      </c>
      <c r="G340" s="13" t="str">
        <f t="shared" si="81"/>
        <v/>
      </c>
      <c r="H340">
        <f t="shared" si="82"/>
        <v>0</v>
      </c>
      <c r="I340">
        <f t="shared" si="83"/>
        <v>0</v>
      </c>
      <c r="J340" s="13">
        <f t="shared" si="84"/>
        <v>65</v>
      </c>
      <c r="K340">
        <f t="shared" si="89"/>
        <v>0</v>
      </c>
      <c r="L340">
        <f t="shared" si="90"/>
        <v>1</v>
      </c>
      <c r="M340" s="13">
        <f t="shared" si="85"/>
        <v>1</v>
      </c>
      <c r="N340">
        <f t="shared" si="85"/>
        <v>4</v>
      </c>
      <c r="O340" s="14">
        <f t="shared" si="91"/>
        <v>64</v>
      </c>
      <c r="P340" s="13">
        <f t="shared" si="95"/>
        <v>1</v>
      </c>
      <c r="Q340">
        <f t="shared" si="86"/>
        <v>4</v>
      </c>
      <c r="R340" s="14">
        <f t="shared" si="87"/>
        <v>64</v>
      </c>
      <c r="S340" s="15"/>
      <c r="W340" s="14"/>
    </row>
    <row r="341" spans="1:23" x14ac:dyDescent="0.25">
      <c r="A341" s="16"/>
      <c r="B341" s="17" t="b">
        <f t="shared" si="96"/>
        <v>0</v>
      </c>
      <c r="C341" s="17" t="b">
        <f t="shared" si="88"/>
        <v>0</v>
      </c>
      <c r="D341" s="17">
        <f t="shared" si="92"/>
        <v>1</v>
      </c>
      <c r="E341" s="17" t="str">
        <f t="shared" si="93"/>
        <v>Section 4 - Create spring-boot starter microservice, containerize it and push to DockerHub</v>
      </c>
      <c r="F341" s="18" t="str">
        <f t="shared" si="94"/>
        <v/>
      </c>
      <c r="G341" s="13" t="str">
        <f t="shared" ref="G341:G404" si="97">IF(C341,A342,"")</f>
        <v/>
      </c>
      <c r="H341">
        <f t="shared" ref="H341:H404" si="98">VALUE(IF(NOT(ISERROR(FIND("hr",G341))),LEFT(G341,FIND("hr",G341)-1),0))</f>
        <v>0</v>
      </c>
      <c r="I341">
        <f t="shared" ref="I341:I404" si="99">VALUE(IF(ISERROR(FIND("min",G341)),0,SUBSTITUTE(MID(G341,IF(ISERROR(FIND("hr ",G341)),1,FIND("hr ",G341)+3),LEN(G341)),"min","")))</f>
        <v>0</v>
      </c>
      <c r="J341" s="13">
        <f t="shared" ref="J341:J404" si="100">J340+(H341*60+I341)</f>
        <v>65</v>
      </c>
      <c r="K341">
        <f t="shared" si="89"/>
        <v>0</v>
      </c>
      <c r="L341">
        <f t="shared" si="90"/>
        <v>1</v>
      </c>
      <c r="M341" s="13">
        <f t="shared" ref="M341:N404" si="101">P340</f>
        <v>1</v>
      </c>
      <c r="N341">
        <f t="shared" si="101"/>
        <v>4</v>
      </c>
      <c r="O341" s="14">
        <f t="shared" si="91"/>
        <v>64</v>
      </c>
      <c r="P341" s="13">
        <f t="shared" si="95"/>
        <v>1</v>
      </c>
      <c r="Q341">
        <f t="shared" ref="Q341:Q404" si="102">R341-(P341*60)</f>
        <v>4</v>
      </c>
      <c r="R341" s="14">
        <f t="shared" ref="R341:R404" si="103">((H341*60)+I341)+O341</f>
        <v>64</v>
      </c>
      <c r="S341" s="15"/>
      <c r="W341" s="14"/>
    </row>
    <row r="342" spans="1:23" x14ac:dyDescent="0.25">
      <c r="A342" s="16"/>
      <c r="B342" s="17" t="b">
        <f t="shared" si="96"/>
        <v>0</v>
      </c>
      <c r="C342" s="17" t="b">
        <f t="shared" si="88"/>
        <v>0</v>
      </c>
      <c r="D342" s="17">
        <f t="shared" si="92"/>
        <v>1</v>
      </c>
      <c r="E342" s="17" t="str">
        <f t="shared" si="93"/>
        <v>Section 4 - Create spring-boot starter microservice, containerize it and push to DockerHub</v>
      </c>
      <c r="F342" s="18" t="str">
        <f t="shared" si="94"/>
        <v/>
      </c>
      <c r="G342" s="13" t="str">
        <f t="shared" si="97"/>
        <v/>
      </c>
      <c r="H342">
        <f t="shared" si="98"/>
        <v>0</v>
      </c>
      <c r="I342">
        <f t="shared" si="99"/>
        <v>0</v>
      </c>
      <c r="J342" s="13">
        <f t="shared" si="100"/>
        <v>65</v>
      </c>
      <c r="K342">
        <f t="shared" si="89"/>
        <v>0</v>
      </c>
      <c r="L342">
        <f t="shared" si="90"/>
        <v>1</v>
      </c>
      <c r="M342" s="13">
        <f t="shared" si="101"/>
        <v>1</v>
      </c>
      <c r="N342">
        <f t="shared" si="101"/>
        <v>4</v>
      </c>
      <c r="O342" s="14">
        <f t="shared" si="91"/>
        <v>64</v>
      </c>
      <c r="P342" s="13">
        <f t="shared" si="95"/>
        <v>1</v>
      </c>
      <c r="Q342">
        <f t="shared" si="102"/>
        <v>4</v>
      </c>
      <c r="R342" s="14">
        <f t="shared" si="103"/>
        <v>64</v>
      </c>
      <c r="S342" s="15"/>
      <c r="W342" s="14"/>
    </row>
    <row r="343" spans="1:23" x14ac:dyDescent="0.25">
      <c r="A343" s="16"/>
      <c r="B343" s="17" t="b">
        <f t="shared" si="96"/>
        <v>0</v>
      </c>
      <c r="C343" s="17" t="b">
        <f t="shared" si="88"/>
        <v>0</v>
      </c>
      <c r="D343" s="17">
        <f t="shared" si="92"/>
        <v>1</v>
      </c>
      <c r="E343" s="17" t="str">
        <f t="shared" si="93"/>
        <v>Section 4 - Create spring-boot starter microservice, containerize it and push to DockerHub</v>
      </c>
      <c r="F343" s="18" t="str">
        <f t="shared" si="94"/>
        <v/>
      </c>
      <c r="G343" s="13" t="str">
        <f t="shared" si="97"/>
        <v/>
      </c>
      <c r="H343">
        <f t="shared" si="98"/>
        <v>0</v>
      </c>
      <c r="I343">
        <f t="shared" si="99"/>
        <v>0</v>
      </c>
      <c r="J343" s="13">
        <f t="shared" si="100"/>
        <v>65</v>
      </c>
      <c r="K343">
        <f t="shared" si="89"/>
        <v>0</v>
      </c>
      <c r="L343">
        <f t="shared" si="90"/>
        <v>1</v>
      </c>
      <c r="M343" s="13">
        <f t="shared" si="101"/>
        <v>1</v>
      </c>
      <c r="N343">
        <f t="shared" si="101"/>
        <v>4</v>
      </c>
      <c r="O343" s="14">
        <f t="shared" si="91"/>
        <v>64</v>
      </c>
      <c r="P343" s="13">
        <f t="shared" si="95"/>
        <v>1</v>
      </c>
      <c r="Q343">
        <f t="shared" si="102"/>
        <v>4</v>
      </c>
      <c r="R343" s="14">
        <f t="shared" si="103"/>
        <v>64</v>
      </c>
      <c r="S343" s="15"/>
      <c r="W343" s="14"/>
    </row>
    <row r="344" spans="1:23" x14ac:dyDescent="0.25">
      <c r="A344" s="16"/>
      <c r="B344" s="17" t="b">
        <f t="shared" si="96"/>
        <v>0</v>
      </c>
      <c r="C344" s="17" t="b">
        <f t="shared" si="88"/>
        <v>0</v>
      </c>
      <c r="D344" s="17">
        <f t="shared" si="92"/>
        <v>1</v>
      </c>
      <c r="E344" s="17" t="str">
        <f t="shared" si="93"/>
        <v>Section 4 - Create spring-boot starter microservice, containerize it and push to DockerHub</v>
      </c>
      <c r="F344" s="18" t="str">
        <f t="shared" si="94"/>
        <v/>
      </c>
      <c r="G344" s="13" t="str">
        <f t="shared" si="97"/>
        <v/>
      </c>
      <c r="H344">
        <f t="shared" si="98"/>
        <v>0</v>
      </c>
      <c r="I344">
        <f t="shared" si="99"/>
        <v>0</v>
      </c>
      <c r="J344" s="13">
        <f t="shared" si="100"/>
        <v>65</v>
      </c>
      <c r="K344">
        <f t="shared" si="89"/>
        <v>0</v>
      </c>
      <c r="L344">
        <f t="shared" si="90"/>
        <v>1</v>
      </c>
      <c r="M344" s="13">
        <f t="shared" si="101"/>
        <v>1</v>
      </c>
      <c r="N344">
        <f t="shared" si="101"/>
        <v>4</v>
      </c>
      <c r="O344" s="14">
        <f t="shared" si="91"/>
        <v>64</v>
      </c>
      <c r="P344" s="13">
        <f t="shared" si="95"/>
        <v>1</v>
      </c>
      <c r="Q344">
        <f t="shared" si="102"/>
        <v>4</v>
      </c>
      <c r="R344" s="14">
        <f t="shared" si="103"/>
        <v>64</v>
      </c>
      <c r="S344" s="15"/>
      <c r="W344" s="14"/>
    </row>
    <row r="345" spans="1:23" x14ac:dyDescent="0.25">
      <c r="A345" s="16"/>
      <c r="B345" s="17" t="b">
        <f t="shared" si="96"/>
        <v>0</v>
      </c>
      <c r="C345" s="17" t="b">
        <f t="shared" si="88"/>
        <v>0</v>
      </c>
      <c r="D345" s="17">
        <f t="shared" si="92"/>
        <v>1</v>
      </c>
      <c r="E345" s="17" t="str">
        <f t="shared" si="93"/>
        <v>Section 4 - Create spring-boot starter microservice, containerize it and push to DockerHub</v>
      </c>
      <c r="F345" s="18" t="str">
        <f t="shared" si="94"/>
        <v/>
      </c>
      <c r="G345" s="13" t="str">
        <f t="shared" si="97"/>
        <v/>
      </c>
      <c r="H345">
        <f t="shared" si="98"/>
        <v>0</v>
      </c>
      <c r="I345">
        <f t="shared" si="99"/>
        <v>0</v>
      </c>
      <c r="J345" s="13">
        <f t="shared" si="100"/>
        <v>65</v>
      </c>
      <c r="K345">
        <f t="shared" si="89"/>
        <v>0</v>
      </c>
      <c r="L345">
        <f t="shared" si="90"/>
        <v>1</v>
      </c>
      <c r="M345" s="13">
        <f t="shared" si="101"/>
        <v>1</v>
      </c>
      <c r="N345">
        <f t="shared" si="101"/>
        <v>4</v>
      </c>
      <c r="O345" s="14">
        <f t="shared" si="91"/>
        <v>64</v>
      </c>
      <c r="P345" s="13">
        <f t="shared" si="95"/>
        <v>1</v>
      </c>
      <c r="Q345">
        <f t="shared" si="102"/>
        <v>4</v>
      </c>
      <c r="R345" s="14">
        <f t="shared" si="103"/>
        <v>64</v>
      </c>
      <c r="S345" s="15"/>
      <c r="W345" s="14"/>
    </row>
    <row r="346" spans="1:23" x14ac:dyDescent="0.25">
      <c r="A346" s="16"/>
      <c r="B346" s="17" t="b">
        <f t="shared" si="96"/>
        <v>0</v>
      </c>
      <c r="C346" s="17" t="b">
        <f t="shared" si="88"/>
        <v>0</v>
      </c>
      <c r="D346" s="17">
        <f t="shared" si="92"/>
        <v>1</v>
      </c>
      <c r="E346" s="17" t="str">
        <f t="shared" si="93"/>
        <v>Section 4 - Create spring-boot starter microservice, containerize it and push to DockerHub</v>
      </c>
      <c r="F346" s="18" t="str">
        <f t="shared" si="94"/>
        <v/>
      </c>
      <c r="G346" s="13" t="str">
        <f t="shared" si="97"/>
        <v/>
      </c>
      <c r="H346">
        <f t="shared" si="98"/>
        <v>0</v>
      </c>
      <c r="I346">
        <f t="shared" si="99"/>
        <v>0</v>
      </c>
      <c r="J346" s="13">
        <f t="shared" si="100"/>
        <v>65</v>
      </c>
      <c r="K346">
        <f t="shared" si="89"/>
        <v>0</v>
      </c>
      <c r="L346">
        <f t="shared" si="90"/>
        <v>1</v>
      </c>
      <c r="M346" s="13">
        <f t="shared" si="101"/>
        <v>1</v>
      </c>
      <c r="N346">
        <f t="shared" si="101"/>
        <v>4</v>
      </c>
      <c r="O346" s="14">
        <f t="shared" si="91"/>
        <v>64</v>
      </c>
      <c r="P346" s="13">
        <f t="shared" si="95"/>
        <v>1</v>
      </c>
      <c r="Q346">
        <f t="shared" si="102"/>
        <v>4</v>
      </c>
      <c r="R346" s="14">
        <f t="shared" si="103"/>
        <v>64</v>
      </c>
      <c r="S346" s="15"/>
      <c r="W346" s="14"/>
    </row>
    <row r="347" spans="1:23" x14ac:dyDescent="0.25">
      <c r="A347" s="16"/>
      <c r="B347" s="17" t="b">
        <f t="shared" si="96"/>
        <v>0</v>
      </c>
      <c r="C347" s="17" t="b">
        <f t="shared" si="88"/>
        <v>0</v>
      </c>
      <c r="D347" s="17">
        <f t="shared" si="92"/>
        <v>1</v>
      </c>
      <c r="E347" s="17" t="str">
        <f t="shared" si="93"/>
        <v>Section 4 - Create spring-boot starter microservice, containerize it and push to DockerHub</v>
      </c>
      <c r="F347" s="18" t="str">
        <f t="shared" si="94"/>
        <v/>
      </c>
      <c r="G347" s="13" t="str">
        <f t="shared" si="97"/>
        <v/>
      </c>
      <c r="H347">
        <f t="shared" si="98"/>
        <v>0</v>
      </c>
      <c r="I347">
        <f t="shared" si="99"/>
        <v>0</v>
      </c>
      <c r="J347" s="13">
        <f t="shared" si="100"/>
        <v>65</v>
      </c>
      <c r="K347">
        <f t="shared" si="89"/>
        <v>0</v>
      </c>
      <c r="L347">
        <f t="shared" si="90"/>
        <v>1</v>
      </c>
      <c r="M347" s="13">
        <f t="shared" si="101"/>
        <v>1</v>
      </c>
      <c r="N347">
        <f t="shared" si="101"/>
        <v>4</v>
      </c>
      <c r="O347" s="14">
        <f t="shared" si="91"/>
        <v>64</v>
      </c>
      <c r="P347" s="13">
        <f t="shared" si="95"/>
        <v>1</v>
      </c>
      <c r="Q347">
        <f t="shared" si="102"/>
        <v>4</v>
      </c>
      <c r="R347" s="14">
        <f t="shared" si="103"/>
        <v>64</v>
      </c>
      <c r="S347" s="15"/>
      <c r="W347" s="14"/>
    </row>
    <row r="348" spans="1:23" x14ac:dyDescent="0.25">
      <c r="A348" s="16"/>
      <c r="B348" s="17" t="b">
        <f t="shared" si="96"/>
        <v>0</v>
      </c>
      <c r="C348" s="17" t="b">
        <f t="shared" si="88"/>
        <v>0</v>
      </c>
      <c r="D348" s="17">
        <f t="shared" si="92"/>
        <v>1</v>
      </c>
      <c r="E348" s="17" t="str">
        <f t="shared" si="93"/>
        <v>Section 4 - Create spring-boot starter microservice, containerize it and push to DockerHub</v>
      </c>
      <c r="F348" s="18" t="str">
        <f t="shared" si="94"/>
        <v/>
      </c>
      <c r="G348" s="13" t="str">
        <f t="shared" si="97"/>
        <v/>
      </c>
      <c r="H348">
        <f t="shared" si="98"/>
        <v>0</v>
      </c>
      <c r="I348">
        <f t="shared" si="99"/>
        <v>0</v>
      </c>
      <c r="J348" s="13">
        <f t="shared" si="100"/>
        <v>65</v>
      </c>
      <c r="K348">
        <f t="shared" si="89"/>
        <v>0</v>
      </c>
      <c r="L348">
        <f t="shared" si="90"/>
        <v>1</v>
      </c>
      <c r="M348" s="13">
        <f t="shared" si="101"/>
        <v>1</v>
      </c>
      <c r="N348">
        <f t="shared" si="101"/>
        <v>4</v>
      </c>
      <c r="O348" s="14">
        <f t="shared" si="91"/>
        <v>64</v>
      </c>
      <c r="P348" s="13">
        <f t="shared" si="95"/>
        <v>1</v>
      </c>
      <c r="Q348">
        <f t="shared" si="102"/>
        <v>4</v>
      </c>
      <c r="R348" s="14">
        <f t="shared" si="103"/>
        <v>64</v>
      </c>
      <c r="S348" s="15"/>
      <c r="W348" s="14"/>
    </row>
    <row r="349" spans="1:23" x14ac:dyDescent="0.25">
      <c r="A349" s="16"/>
      <c r="B349" s="17" t="b">
        <f t="shared" si="96"/>
        <v>0</v>
      </c>
      <c r="C349" s="17" t="b">
        <f t="shared" si="88"/>
        <v>0</v>
      </c>
      <c r="D349" s="17">
        <f t="shared" si="92"/>
        <v>1</v>
      </c>
      <c r="E349" s="17" t="str">
        <f t="shared" si="93"/>
        <v>Section 4 - Create spring-boot starter microservice, containerize it and push to DockerHub</v>
      </c>
      <c r="F349" s="18" t="str">
        <f t="shared" si="94"/>
        <v/>
      </c>
      <c r="G349" s="13" t="str">
        <f t="shared" si="97"/>
        <v/>
      </c>
      <c r="H349">
        <f t="shared" si="98"/>
        <v>0</v>
      </c>
      <c r="I349">
        <f t="shared" si="99"/>
        <v>0</v>
      </c>
      <c r="J349" s="13">
        <f t="shared" si="100"/>
        <v>65</v>
      </c>
      <c r="K349">
        <f t="shared" si="89"/>
        <v>0</v>
      </c>
      <c r="L349">
        <f t="shared" si="90"/>
        <v>1</v>
      </c>
      <c r="M349" s="13">
        <f t="shared" si="101"/>
        <v>1</v>
      </c>
      <c r="N349">
        <f t="shared" si="101"/>
        <v>4</v>
      </c>
      <c r="O349" s="14">
        <f t="shared" si="91"/>
        <v>64</v>
      </c>
      <c r="P349" s="13">
        <f t="shared" si="95"/>
        <v>1</v>
      </c>
      <c r="Q349">
        <f t="shared" si="102"/>
        <v>4</v>
      </c>
      <c r="R349" s="14">
        <f t="shared" si="103"/>
        <v>64</v>
      </c>
      <c r="S349" s="15"/>
      <c r="W349" s="14"/>
    </row>
    <row r="350" spans="1:23" x14ac:dyDescent="0.25">
      <c r="A350" s="16"/>
      <c r="B350" s="17" t="b">
        <f t="shared" si="96"/>
        <v>0</v>
      </c>
      <c r="C350" s="17" t="b">
        <f t="shared" si="88"/>
        <v>0</v>
      </c>
      <c r="D350" s="17">
        <f t="shared" si="92"/>
        <v>1</v>
      </c>
      <c r="E350" s="17" t="str">
        <f t="shared" si="93"/>
        <v>Section 4 - Create spring-boot starter microservice, containerize it and push to DockerHub</v>
      </c>
      <c r="F350" s="18" t="str">
        <f t="shared" si="94"/>
        <v/>
      </c>
      <c r="G350" s="13" t="str">
        <f t="shared" si="97"/>
        <v/>
      </c>
      <c r="H350">
        <f t="shared" si="98"/>
        <v>0</v>
      </c>
      <c r="I350">
        <f t="shared" si="99"/>
        <v>0</v>
      </c>
      <c r="J350" s="13">
        <f t="shared" si="100"/>
        <v>65</v>
      </c>
      <c r="K350">
        <f t="shared" si="89"/>
        <v>0</v>
      </c>
      <c r="L350">
        <f t="shared" si="90"/>
        <v>1</v>
      </c>
      <c r="M350" s="13">
        <f t="shared" si="101"/>
        <v>1</v>
      </c>
      <c r="N350">
        <f t="shared" si="101"/>
        <v>4</v>
      </c>
      <c r="O350" s="14">
        <f t="shared" si="91"/>
        <v>64</v>
      </c>
      <c r="P350" s="13">
        <f t="shared" si="95"/>
        <v>1</v>
      </c>
      <c r="Q350">
        <f t="shared" si="102"/>
        <v>4</v>
      </c>
      <c r="R350" s="14">
        <f t="shared" si="103"/>
        <v>64</v>
      </c>
      <c r="S350" s="15"/>
      <c r="W350" s="14"/>
    </row>
    <row r="351" spans="1:23" x14ac:dyDescent="0.25">
      <c r="A351" s="16"/>
      <c r="B351" s="17" t="b">
        <f t="shared" si="96"/>
        <v>0</v>
      </c>
      <c r="C351" s="17" t="b">
        <f t="shared" si="88"/>
        <v>0</v>
      </c>
      <c r="D351" s="17">
        <f t="shared" si="92"/>
        <v>1</v>
      </c>
      <c r="E351" s="17" t="str">
        <f t="shared" si="93"/>
        <v>Section 4 - Create spring-boot starter microservice, containerize it and push to DockerHub</v>
      </c>
      <c r="F351" s="18" t="str">
        <f t="shared" si="94"/>
        <v/>
      </c>
      <c r="G351" s="13" t="str">
        <f t="shared" si="97"/>
        <v/>
      </c>
      <c r="H351">
        <f t="shared" si="98"/>
        <v>0</v>
      </c>
      <c r="I351">
        <f t="shared" si="99"/>
        <v>0</v>
      </c>
      <c r="J351" s="13">
        <f t="shared" si="100"/>
        <v>65</v>
      </c>
      <c r="K351">
        <f t="shared" si="89"/>
        <v>0</v>
      </c>
      <c r="L351">
        <f t="shared" si="90"/>
        <v>1</v>
      </c>
      <c r="M351" s="13">
        <f t="shared" si="101"/>
        <v>1</v>
      </c>
      <c r="N351">
        <f t="shared" si="101"/>
        <v>4</v>
      </c>
      <c r="O351" s="14">
        <f t="shared" si="91"/>
        <v>64</v>
      </c>
      <c r="P351" s="13">
        <f t="shared" si="95"/>
        <v>1</v>
      </c>
      <c r="Q351">
        <f t="shared" si="102"/>
        <v>4</v>
      </c>
      <c r="R351" s="14">
        <f t="shared" si="103"/>
        <v>64</v>
      </c>
      <c r="S351" s="15"/>
      <c r="W351" s="14"/>
    </row>
    <row r="352" spans="1:23" x14ac:dyDescent="0.25">
      <c r="A352" s="16"/>
      <c r="B352" s="17" t="b">
        <f t="shared" si="96"/>
        <v>0</v>
      </c>
      <c r="C352" s="17" t="b">
        <f t="shared" si="88"/>
        <v>0</v>
      </c>
      <c r="D352" s="17">
        <f t="shared" si="92"/>
        <v>1</v>
      </c>
      <c r="E352" s="17" t="str">
        <f t="shared" si="93"/>
        <v>Section 4 - Create spring-boot starter microservice, containerize it and push to DockerHub</v>
      </c>
      <c r="F352" s="18" t="str">
        <f t="shared" si="94"/>
        <v/>
      </c>
      <c r="G352" s="13" t="str">
        <f t="shared" si="97"/>
        <v/>
      </c>
      <c r="H352">
        <f t="shared" si="98"/>
        <v>0</v>
      </c>
      <c r="I352">
        <f t="shared" si="99"/>
        <v>0</v>
      </c>
      <c r="J352" s="13">
        <f t="shared" si="100"/>
        <v>65</v>
      </c>
      <c r="K352">
        <f t="shared" si="89"/>
        <v>0</v>
      </c>
      <c r="L352">
        <f t="shared" si="90"/>
        <v>1</v>
      </c>
      <c r="M352" s="13">
        <f t="shared" si="101"/>
        <v>1</v>
      </c>
      <c r="N352">
        <f t="shared" si="101"/>
        <v>4</v>
      </c>
      <c r="O352" s="14">
        <f t="shared" si="91"/>
        <v>64</v>
      </c>
      <c r="P352" s="13">
        <f t="shared" si="95"/>
        <v>1</v>
      </c>
      <c r="Q352">
        <f t="shared" si="102"/>
        <v>4</v>
      </c>
      <c r="R352" s="14">
        <f t="shared" si="103"/>
        <v>64</v>
      </c>
      <c r="S352" s="15"/>
      <c r="W352" s="14"/>
    </row>
    <row r="353" spans="1:23" x14ac:dyDescent="0.25">
      <c r="A353" s="16"/>
      <c r="B353" s="17" t="b">
        <f t="shared" si="96"/>
        <v>0</v>
      </c>
      <c r="C353" s="17" t="b">
        <f t="shared" si="88"/>
        <v>0</v>
      </c>
      <c r="D353" s="17">
        <f t="shared" si="92"/>
        <v>1</v>
      </c>
      <c r="E353" s="17" t="str">
        <f t="shared" si="93"/>
        <v>Section 4 - Create spring-boot starter microservice, containerize it and push to DockerHub</v>
      </c>
      <c r="F353" s="18" t="str">
        <f t="shared" si="94"/>
        <v/>
      </c>
      <c r="G353" s="13" t="str">
        <f t="shared" si="97"/>
        <v/>
      </c>
      <c r="H353">
        <f t="shared" si="98"/>
        <v>0</v>
      </c>
      <c r="I353">
        <f t="shared" si="99"/>
        <v>0</v>
      </c>
      <c r="J353" s="13">
        <f t="shared" si="100"/>
        <v>65</v>
      </c>
      <c r="K353">
        <f t="shared" si="89"/>
        <v>0</v>
      </c>
      <c r="L353">
        <f t="shared" si="90"/>
        <v>1</v>
      </c>
      <c r="M353" s="13">
        <f t="shared" si="101"/>
        <v>1</v>
      </c>
      <c r="N353">
        <f t="shared" si="101"/>
        <v>4</v>
      </c>
      <c r="O353" s="14">
        <f t="shared" si="91"/>
        <v>64</v>
      </c>
      <c r="P353" s="13">
        <f t="shared" si="95"/>
        <v>1</v>
      </c>
      <c r="Q353">
        <f t="shared" si="102"/>
        <v>4</v>
      </c>
      <c r="R353" s="14">
        <f t="shared" si="103"/>
        <v>64</v>
      </c>
      <c r="S353" s="15"/>
      <c r="W353" s="14"/>
    </row>
    <row r="354" spans="1:23" x14ac:dyDescent="0.25">
      <c r="A354" s="16"/>
      <c r="B354" s="17" t="b">
        <f t="shared" si="96"/>
        <v>0</v>
      </c>
      <c r="C354" s="17" t="b">
        <f t="shared" si="88"/>
        <v>0</v>
      </c>
      <c r="D354" s="17">
        <f t="shared" si="92"/>
        <v>1</v>
      </c>
      <c r="E354" s="17" t="str">
        <f t="shared" si="93"/>
        <v>Section 4 - Create spring-boot starter microservice, containerize it and push to DockerHub</v>
      </c>
      <c r="F354" s="18" t="str">
        <f t="shared" si="94"/>
        <v/>
      </c>
      <c r="G354" s="13" t="str">
        <f t="shared" si="97"/>
        <v/>
      </c>
      <c r="H354">
        <f t="shared" si="98"/>
        <v>0</v>
      </c>
      <c r="I354">
        <f t="shared" si="99"/>
        <v>0</v>
      </c>
      <c r="J354" s="13">
        <f t="shared" si="100"/>
        <v>65</v>
      </c>
      <c r="K354">
        <f t="shared" si="89"/>
        <v>0</v>
      </c>
      <c r="L354">
        <f t="shared" si="90"/>
        <v>1</v>
      </c>
      <c r="M354" s="13">
        <f t="shared" si="101"/>
        <v>1</v>
      </c>
      <c r="N354">
        <f t="shared" si="101"/>
        <v>4</v>
      </c>
      <c r="O354" s="14">
        <f t="shared" si="91"/>
        <v>64</v>
      </c>
      <c r="P354" s="13">
        <f t="shared" si="95"/>
        <v>1</v>
      </c>
      <c r="Q354">
        <f t="shared" si="102"/>
        <v>4</v>
      </c>
      <c r="R354" s="14">
        <f t="shared" si="103"/>
        <v>64</v>
      </c>
      <c r="S354" s="15"/>
      <c r="W354" s="14"/>
    </row>
    <row r="355" spans="1:23" x14ac:dyDescent="0.25">
      <c r="A355" s="16"/>
      <c r="B355" s="17" t="b">
        <f t="shared" si="96"/>
        <v>0</v>
      </c>
      <c r="C355" s="17" t="b">
        <f t="shared" si="88"/>
        <v>0</v>
      </c>
      <c r="D355" s="17">
        <f t="shared" si="92"/>
        <v>1</v>
      </c>
      <c r="E355" s="17" t="str">
        <f t="shared" si="93"/>
        <v>Section 4 - Create spring-boot starter microservice, containerize it and push to DockerHub</v>
      </c>
      <c r="F355" s="18" t="str">
        <f t="shared" si="94"/>
        <v/>
      </c>
      <c r="G355" s="13" t="str">
        <f t="shared" si="97"/>
        <v/>
      </c>
      <c r="H355">
        <f t="shared" si="98"/>
        <v>0</v>
      </c>
      <c r="I355">
        <f t="shared" si="99"/>
        <v>0</v>
      </c>
      <c r="J355" s="13">
        <f t="shared" si="100"/>
        <v>65</v>
      </c>
      <c r="K355">
        <f t="shared" si="89"/>
        <v>0</v>
      </c>
      <c r="L355">
        <f t="shared" si="90"/>
        <v>1</v>
      </c>
      <c r="M355" s="13">
        <f t="shared" si="101"/>
        <v>1</v>
      </c>
      <c r="N355">
        <f t="shared" si="101"/>
        <v>4</v>
      </c>
      <c r="O355" s="14">
        <f t="shared" si="91"/>
        <v>64</v>
      </c>
      <c r="P355" s="13">
        <f t="shared" si="95"/>
        <v>1</v>
      </c>
      <c r="Q355">
        <f t="shared" si="102"/>
        <v>4</v>
      </c>
      <c r="R355" s="14">
        <f t="shared" si="103"/>
        <v>64</v>
      </c>
      <c r="S355" s="15"/>
      <c r="W355" s="14"/>
    </row>
    <row r="356" spans="1:23" x14ac:dyDescent="0.25">
      <c r="A356" s="16"/>
      <c r="B356" s="17" t="b">
        <f t="shared" si="96"/>
        <v>0</v>
      </c>
      <c r="C356" s="17" t="b">
        <f t="shared" si="88"/>
        <v>0</v>
      </c>
      <c r="D356" s="17">
        <f t="shared" si="92"/>
        <v>1</v>
      </c>
      <c r="E356" s="17" t="str">
        <f t="shared" si="93"/>
        <v>Section 4 - Create spring-boot starter microservice, containerize it and push to DockerHub</v>
      </c>
      <c r="F356" s="18" t="str">
        <f t="shared" si="94"/>
        <v/>
      </c>
      <c r="G356" s="13" t="str">
        <f t="shared" si="97"/>
        <v/>
      </c>
      <c r="H356">
        <f t="shared" si="98"/>
        <v>0</v>
      </c>
      <c r="I356">
        <f t="shared" si="99"/>
        <v>0</v>
      </c>
      <c r="J356" s="13">
        <f t="shared" si="100"/>
        <v>65</v>
      </c>
      <c r="K356">
        <f t="shared" si="89"/>
        <v>0</v>
      </c>
      <c r="L356">
        <f t="shared" si="90"/>
        <v>1</v>
      </c>
      <c r="M356" s="13">
        <f t="shared" si="101"/>
        <v>1</v>
      </c>
      <c r="N356">
        <f t="shared" si="101"/>
        <v>4</v>
      </c>
      <c r="O356" s="14">
        <f t="shared" si="91"/>
        <v>64</v>
      </c>
      <c r="P356" s="13">
        <f t="shared" si="95"/>
        <v>1</v>
      </c>
      <c r="Q356">
        <f t="shared" si="102"/>
        <v>4</v>
      </c>
      <c r="R356" s="14">
        <f t="shared" si="103"/>
        <v>64</v>
      </c>
      <c r="S356" s="15"/>
      <c r="W356" s="14"/>
    </row>
    <row r="357" spans="1:23" x14ac:dyDescent="0.25">
      <c r="A357" s="16"/>
      <c r="B357" s="17" t="b">
        <f t="shared" si="96"/>
        <v>0</v>
      </c>
      <c r="C357" s="17" t="b">
        <f t="shared" si="88"/>
        <v>0</v>
      </c>
      <c r="D357" s="17">
        <f t="shared" si="92"/>
        <v>1</v>
      </c>
      <c r="E357" s="17" t="str">
        <f t="shared" si="93"/>
        <v>Section 4 - Create spring-boot starter microservice, containerize it and push to DockerHub</v>
      </c>
      <c r="F357" s="18" t="str">
        <f t="shared" si="94"/>
        <v/>
      </c>
      <c r="G357" s="13" t="str">
        <f t="shared" si="97"/>
        <v/>
      </c>
      <c r="H357">
        <f t="shared" si="98"/>
        <v>0</v>
      </c>
      <c r="I357">
        <f t="shared" si="99"/>
        <v>0</v>
      </c>
      <c r="J357" s="13">
        <f t="shared" si="100"/>
        <v>65</v>
      </c>
      <c r="K357">
        <f t="shared" si="89"/>
        <v>0</v>
      </c>
      <c r="L357">
        <f t="shared" si="90"/>
        <v>1</v>
      </c>
      <c r="M357" s="13">
        <f t="shared" si="101"/>
        <v>1</v>
      </c>
      <c r="N357">
        <f t="shared" si="101"/>
        <v>4</v>
      </c>
      <c r="O357" s="14">
        <f t="shared" si="91"/>
        <v>64</v>
      </c>
      <c r="P357" s="13">
        <f t="shared" si="95"/>
        <v>1</v>
      </c>
      <c r="Q357">
        <f t="shared" si="102"/>
        <v>4</v>
      </c>
      <c r="R357" s="14">
        <f t="shared" si="103"/>
        <v>64</v>
      </c>
      <c r="S357" s="15"/>
      <c r="W357" s="14"/>
    </row>
    <row r="358" spans="1:23" x14ac:dyDescent="0.25">
      <c r="A358" s="16"/>
      <c r="B358" s="17" t="b">
        <f t="shared" si="96"/>
        <v>0</v>
      </c>
      <c r="C358" s="17" t="b">
        <f t="shared" si="88"/>
        <v>0</v>
      </c>
      <c r="D358" s="17">
        <f t="shared" si="92"/>
        <v>1</v>
      </c>
      <c r="E358" s="17" t="str">
        <f t="shared" si="93"/>
        <v>Section 4 - Create spring-boot starter microservice, containerize it and push to DockerHub</v>
      </c>
      <c r="F358" s="18" t="str">
        <f t="shared" si="94"/>
        <v/>
      </c>
      <c r="G358" s="13" t="str">
        <f t="shared" si="97"/>
        <v/>
      </c>
      <c r="H358">
        <f t="shared" si="98"/>
        <v>0</v>
      </c>
      <c r="I358">
        <f t="shared" si="99"/>
        <v>0</v>
      </c>
      <c r="J358" s="13">
        <f t="shared" si="100"/>
        <v>65</v>
      </c>
      <c r="K358">
        <f t="shared" si="89"/>
        <v>0</v>
      </c>
      <c r="L358">
        <f t="shared" si="90"/>
        <v>1</v>
      </c>
      <c r="M358" s="13">
        <f t="shared" si="101"/>
        <v>1</v>
      </c>
      <c r="N358">
        <f t="shared" si="101"/>
        <v>4</v>
      </c>
      <c r="O358" s="14">
        <f t="shared" si="91"/>
        <v>64</v>
      </c>
      <c r="P358" s="13">
        <f t="shared" si="95"/>
        <v>1</v>
      </c>
      <c r="Q358">
        <f t="shared" si="102"/>
        <v>4</v>
      </c>
      <c r="R358" s="14">
        <f t="shared" si="103"/>
        <v>64</v>
      </c>
      <c r="S358" s="15"/>
      <c r="W358" s="14"/>
    </row>
    <row r="359" spans="1:23" x14ac:dyDescent="0.25">
      <c r="A359" s="16"/>
      <c r="B359" s="17" t="b">
        <f t="shared" si="96"/>
        <v>0</v>
      </c>
      <c r="C359" s="17" t="b">
        <f t="shared" si="88"/>
        <v>0</v>
      </c>
      <c r="D359" s="17">
        <f t="shared" si="92"/>
        <v>1</v>
      </c>
      <c r="E359" s="17" t="str">
        <f t="shared" si="93"/>
        <v>Section 4 - Create spring-boot starter microservice, containerize it and push to DockerHub</v>
      </c>
      <c r="F359" s="18" t="str">
        <f t="shared" si="94"/>
        <v/>
      </c>
      <c r="G359" s="13" t="str">
        <f t="shared" si="97"/>
        <v/>
      </c>
      <c r="H359">
        <f t="shared" si="98"/>
        <v>0</v>
      </c>
      <c r="I359">
        <f t="shared" si="99"/>
        <v>0</v>
      </c>
      <c r="J359" s="13">
        <f t="shared" si="100"/>
        <v>65</v>
      </c>
      <c r="K359">
        <f t="shared" si="89"/>
        <v>0</v>
      </c>
      <c r="L359">
        <f t="shared" si="90"/>
        <v>1</v>
      </c>
      <c r="M359" s="13">
        <f t="shared" si="101"/>
        <v>1</v>
      </c>
      <c r="N359">
        <f t="shared" si="101"/>
        <v>4</v>
      </c>
      <c r="O359" s="14">
        <f t="shared" si="91"/>
        <v>64</v>
      </c>
      <c r="P359" s="13">
        <f t="shared" si="95"/>
        <v>1</v>
      </c>
      <c r="Q359">
        <f t="shared" si="102"/>
        <v>4</v>
      </c>
      <c r="R359" s="14">
        <f t="shared" si="103"/>
        <v>64</v>
      </c>
      <c r="S359" s="15"/>
      <c r="W359" s="14"/>
    </row>
    <row r="360" spans="1:23" x14ac:dyDescent="0.25">
      <c r="A360" s="16"/>
      <c r="B360" s="17" t="b">
        <f t="shared" si="96"/>
        <v>0</v>
      </c>
      <c r="C360" s="17" t="b">
        <f t="shared" si="88"/>
        <v>0</v>
      </c>
      <c r="D360" s="17">
        <f t="shared" si="92"/>
        <v>1</v>
      </c>
      <c r="E360" s="17" t="str">
        <f t="shared" si="93"/>
        <v>Section 4 - Create spring-boot starter microservice, containerize it and push to DockerHub</v>
      </c>
      <c r="F360" s="18" t="str">
        <f t="shared" si="94"/>
        <v/>
      </c>
      <c r="G360" s="13" t="str">
        <f t="shared" si="97"/>
        <v/>
      </c>
      <c r="H360">
        <f t="shared" si="98"/>
        <v>0</v>
      </c>
      <c r="I360">
        <f t="shared" si="99"/>
        <v>0</v>
      </c>
      <c r="J360" s="13">
        <f t="shared" si="100"/>
        <v>65</v>
      </c>
      <c r="K360">
        <f t="shared" si="89"/>
        <v>0</v>
      </c>
      <c r="L360">
        <f t="shared" si="90"/>
        <v>1</v>
      </c>
      <c r="M360" s="13">
        <f t="shared" si="101"/>
        <v>1</v>
      </c>
      <c r="N360">
        <f t="shared" si="101"/>
        <v>4</v>
      </c>
      <c r="O360" s="14">
        <f t="shared" si="91"/>
        <v>64</v>
      </c>
      <c r="P360" s="13">
        <f t="shared" si="95"/>
        <v>1</v>
      </c>
      <c r="Q360">
        <f t="shared" si="102"/>
        <v>4</v>
      </c>
      <c r="R360" s="14">
        <f t="shared" si="103"/>
        <v>64</v>
      </c>
      <c r="S360" s="15"/>
      <c r="W360" s="14"/>
    </row>
    <row r="361" spans="1:23" x14ac:dyDescent="0.25">
      <c r="A361" s="16"/>
      <c r="B361" s="17" t="b">
        <f t="shared" si="96"/>
        <v>0</v>
      </c>
      <c r="C361" s="17" t="b">
        <f t="shared" si="88"/>
        <v>0</v>
      </c>
      <c r="D361" s="17">
        <f t="shared" si="92"/>
        <v>1</v>
      </c>
      <c r="E361" s="17" t="str">
        <f t="shared" si="93"/>
        <v>Section 4 - Create spring-boot starter microservice, containerize it and push to DockerHub</v>
      </c>
      <c r="F361" s="18" t="str">
        <f t="shared" si="94"/>
        <v/>
      </c>
      <c r="G361" s="13" t="str">
        <f t="shared" si="97"/>
        <v/>
      </c>
      <c r="H361">
        <f t="shared" si="98"/>
        <v>0</v>
      </c>
      <c r="I361">
        <f t="shared" si="99"/>
        <v>0</v>
      </c>
      <c r="J361" s="13">
        <f t="shared" si="100"/>
        <v>65</v>
      </c>
      <c r="K361">
        <f t="shared" si="89"/>
        <v>0</v>
      </c>
      <c r="L361">
        <f t="shared" si="90"/>
        <v>1</v>
      </c>
      <c r="M361" s="13">
        <f t="shared" si="101"/>
        <v>1</v>
      </c>
      <c r="N361">
        <f t="shared" si="101"/>
        <v>4</v>
      </c>
      <c r="O361" s="14">
        <f t="shared" si="91"/>
        <v>64</v>
      </c>
      <c r="P361" s="13">
        <f t="shared" si="95"/>
        <v>1</v>
      </c>
      <c r="Q361">
        <f t="shared" si="102"/>
        <v>4</v>
      </c>
      <c r="R361" s="14">
        <f t="shared" si="103"/>
        <v>64</v>
      </c>
      <c r="S361" s="15"/>
      <c r="W361" s="14"/>
    </row>
    <row r="362" spans="1:23" x14ac:dyDescent="0.25">
      <c r="A362" s="16"/>
      <c r="B362" s="17" t="b">
        <f t="shared" si="96"/>
        <v>0</v>
      </c>
      <c r="C362" s="17" t="b">
        <f t="shared" si="88"/>
        <v>0</v>
      </c>
      <c r="D362" s="17">
        <f t="shared" si="92"/>
        <v>1</v>
      </c>
      <c r="E362" s="17" t="str">
        <f t="shared" si="93"/>
        <v>Section 4 - Create spring-boot starter microservice, containerize it and push to DockerHub</v>
      </c>
      <c r="F362" s="18" t="str">
        <f t="shared" si="94"/>
        <v/>
      </c>
      <c r="G362" s="13" t="str">
        <f t="shared" si="97"/>
        <v/>
      </c>
      <c r="H362">
        <f t="shared" si="98"/>
        <v>0</v>
      </c>
      <c r="I362">
        <f t="shared" si="99"/>
        <v>0</v>
      </c>
      <c r="J362" s="13">
        <f t="shared" si="100"/>
        <v>65</v>
      </c>
      <c r="K362">
        <f t="shared" si="89"/>
        <v>0</v>
      </c>
      <c r="L362">
        <f t="shared" si="90"/>
        <v>1</v>
      </c>
      <c r="M362" s="13">
        <f t="shared" si="101"/>
        <v>1</v>
      </c>
      <c r="N362">
        <f t="shared" si="101"/>
        <v>4</v>
      </c>
      <c r="O362" s="14">
        <f t="shared" si="91"/>
        <v>64</v>
      </c>
      <c r="P362" s="13">
        <f t="shared" si="95"/>
        <v>1</v>
      </c>
      <c r="Q362">
        <f t="shared" si="102"/>
        <v>4</v>
      </c>
      <c r="R362" s="14">
        <f t="shared" si="103"/>
        <v>64</v>
      </c>
      <c r="S362" s="15"/>
      <c r="W362" s="14"/>
    </row>
    <row r="363" spans="1:23" x14ac:dyDescent="0.25">
      <c r="A363" s="16"/>
      <c r="B363" s="17" t="b">
        <f t="shared" si="96"/>
        <v>0</v>
      </c>
      <c r="C363" s="17" t="b">
        <f t="shared" si="88"/>
        <v>0</v>
      </c>
      <c r="D363" s="17">
        <f t="shared" si="92"/>
        <v>1</v>
      </c>
      <c r="E363" s="17" t="str">
        <f t="shared" si="93"/>
        <v>Section 4 - Create spring-boot starter microservice, containerize it and push to DockerHub</v>
      </c>
      <c r="F363" s="18" t="str">
        <f t="shared" si="94"/>
        <v/>
      </c>
      <c r="G363" s="13" t="str">
        <f t="shared" si="97"/>
        <v/>
      </c>
      <c r="H363">
        <f t="shared" si="98"/>
        <v>0</v>
      </c>
      <c r="I363">
        <f t="shared" si="99"/>
        <v>0</v>
      </c>
      <c r="J363" s="13">
        <f t="shared" si="100"/>
        <v>65</v>
      </c>
      <c r="K363">
        <f t="shared" si="89"/>
        <v>0</v>
      </c>
      <c r="L363">
        <f t="shared" si="90"/>
        <v>1</v>
      </c>
      <c r="M363" s="13">
        <f t="shared" si="101"/>
        <v>1</v>
      </c>
      <c r="N363">
        <f t="shared" si="101"/>
        <v>4</v>
      </c>
      <c r="O363" s="14">
        <f t="shared" si="91"/>
        <v>64</v>
      </c>
      <c r="P363" s="13">
        <f t="shared" si="95"/>
        <v>1</v>
      </c>
      <c r="Q363">
        <f t="shared" si="102"/>
        <v>4</v>
      </c>
      <c r="R363" s="14">
        <f t="shared" si="103"/>
        <v>64</v>
      </c>
      <c r="S363" s="15"/>
      <c r="W363" s="14"/>
    </row>
    <row r="364" spans="1:23" x14ac:dyDescent="0.25">
      <c r="A364" s="16"/>
      <c r="B364" s="17" t="b">
        <f t="shared" si="96"/>
        <v>0</v>
      </c>
      <c r="C364" s="17" t="b">
        <f t="shared" si="88"/>
        <v>0</v>
      </c>
      <c r="D364" s="17">
        <f t="shared" si="92"/>
        <v>1</v>
      </c>
      <c r="E364" s="17" t="str">
        <f t="shared" si="93"/>
        <v>Section 4 - Create spring-boot starter microservice, containerize it and push to DockerHub</v>
      </c>
      <c r="F364" s="18" t="str">
        <f t="shared" si="94"/>
        <v/>
      </c>
      <c r="G364" s="13" t="str">
        <f t="shared" si="97"/>
        <v/>
      </c>
      <c r="H364">
        <f t="shared" si="98"/>
        <v>0</v>
      </c>
      <c r="I364">
        <f t="shared" si="99"/>
        <v>0</v>
      </c>
      <c r="J364" s="13">
        <f t="shared" si="100"/>
        <v>65</v>
      </c>
      <c r="K364">
        <f t="shared" si="89"/>
        <v>0</v>
      </c>
      <c r="L364">
        <f t="shared" si="90"/>
        <v>1</v>
      </c>
      <c r="M364" s="13">
        <f t="shared" si="101"/>
        <v>1</v>
      </c>
      <c r="N364">
        <f t="shared" si="101"/>
        <v>4</v>
      </c>
      <c r="O364" s="14">
        <f t="shared" si="91"/>
        <v>64</v>
      </c>
      <c r="P364" s="13">
        <f t="shared" si="95"/>
        <v>1</v>
      </c>
      <c r="Q364">
        <f t="shared" si="102"/>
        <v>4</v>
      </c>
      <c r="R364" s="14">
        <f t="shared" si="103"/>
        <v>64</v>
      </c>
      <c r="S364" s="15"/>
      <c r="W364" s="14"/>
    </row>
    <row r="365" spans="1:23" x14ac:dyDescent="0.25">
      <c r="A365" s="16"/>
      <c r="B365" s="17" t="b">
        <f t="shared" si="96"/>
        <v>0</v>
      </c>
      <c r="C365" s="17" t="b">
        <f t="shared" si="88"/>
        <v>0</v>
      </c>
      <c r="D365" s="17">
        <f t="shared" si="92"/>
        <v>1</v>
      </c>
      <c r="E365" s="17" t="str">
        <f t="shared" si="93"/>
        <v>Section 4 - Create spring-boot starter microservice, containerize it and push to DockerHub</v>
      </c>
      <c r="F365" s="18" t="str">
        <f t="shared" si="94"/>
        <v/>
      </c>
      <c r="G365" s="13" t="str">
        <f t="shared" si="97"/>
        <v/>
      </c>
      <c r="H365">
        <f t="shared" si="98"/>
        <v>0</v>
      </c>
      <c r="I365">
        <f t="shared" si="99"/>
        <v>0</v>
      </c>
      <c r="J365" s="13">
        <f t="shared" si="100"/>
        <v>65</v>
      </c>
      <c r="K365">
        <f t="shared" si="89"/>
        <v>0</v>
      </c>
      <c r="L365">
        <f t="shared" si="90"/>
        <v>1</v>
      </c>
      <c r="M365" s="13">
        <f t="shared" si="101"/>
        <v>1</v>
      </c>
      <c r="N365">
        <f t="shared" si="101"/>
        <v>4</v>
      </c>
      <c r="O365" s="14">
        <f t="shared" si="91"/>
        <v>64</v>
      </c>
      <c r="P365" s="13">
        <f t="shared" si="95"/>
        <v>1</v>
      </c>
      <c r="Q365">
        <f t="shared" si="102"/>
        <v>4</v>
      </c>
      <c r="R365" s="14">
        <f t="shared" si="103"/>
        <v>64</v>
      </c>
      <c r="S365" s="15"/>
      <c r="W365" s="14"/>
    </row>
    <row r="366" spans="1:23" x14ac:dyDescent="0.25">
      <c r="A366" s="16"/>
      <c r="B366" s="17" t="b">
        <f t="shared" si="96"/>
        <v>0</v>
      </c>
      <c r="C366" s="17" t="b">
        <f t="shared" si="88"/>
        <v>0</v>
      </c>
      <c r="D366" s="17">
        <f t="shared" si="92"/>
        <v>1</v>
      </c>
      <c r="E366" s="17" t="str">
        <f t="shared" si="93"/>
        <v>Section 4 - Create spring-boot starter microservice, containerize it and push to DockerHub</v>
      </c>
      <c r="F366" s="18" t="str">
        <f t="shared" si="94"/>
        <v/>
      </c>
      <c r="G366" s="13" t="str">
        <f t="shared" si="97"/>
        <v/>
      </c>
      <c r="H366">
        <f t="shared" si="98"/>
        <v>0</v>
      </c>
      <c r="I366">
        <f t="shared" si="99"/>
        <v>0</v>
      </c>
      <c r="J366" s="13">
        <f t="shared" si="100"/>
        <v>65</v>
      </c>
      <c r="K366">
        <f t="shared" si="89"/>
        <v>0</v>
      </c>
      <c r="L366">
        <f t="shared" si="90"/>
        <v>1</v>
      </c>
      <c r="M366" s="13">
        <f t="shared" si="101"/>
        <v>1</v>
      </c>
      <c r="N366">
        <f t="shared" si="101"/>
        <v>4</v>
      </c>
      <c r="O366" s="14">
        <f t="shared" si="91"/>
        <v>64</v>
      </c>
      <c r="P366" s="13">
        <f t="shared" si="95"/>
        <v>1</v>
      </c>
      <c r="Q366">
        <f t="shared" si="102"/>
        <v>4</v>
      </c>
      <c r="R366" s="14">
        <f t="shared" si="103"/>
        <v>64</v>
      </c>
      <c r="S366" s="15"/>
      <c r="W366" s="14"/>
    </row>
    <row r="367" spans="1:23" x14ac:dyDescent="0.25">
      <c r="A367" s="16"/>
      <c r="B367" s="17" t="b">
        <f t="shared" si="96"/>
        <v>0</v>
      </c>
      <c r="C367" s="17" t="b">
        <f t="shared" si="88"/>
        <v>0</v>
      </c>
      <c r="D367" s="17">
        <f t="shared" si="92"/>
        <v>1</v>
      </c>
      <c r="E367" s="17" t="str">
        <f t="shared" si="93"/>
        <v>Section 4 - Create spring-boot starter microservice, containerize it and push to DockerHub</v>
      </c>
      <c r="F367" s="18" t="str">
        <f t="shared" si="94"/>
        <v/>
      </c>
      <c r="G367" s="13" t="str">
        <f t="shared" si="97"/>
        <v/>
      </c>
      <c r="H367">
        <f t="shared" si="98"/>
        <v>0</v>
      </c>
      <c r="I367">
        <f t="shared" si="99"/>
        <v>0</v>
      </c>
      <c r="J367" s="13">
        <f t="shared" si="100"/>
        <v>65</v>
      </c>
      <c r="K367">
        <f t="shared" si="89"/>
        <v>0</v>
      </c>
      <c r="L367">
        <f t="shared" si="90"/>
        <v>1</v>
      </c>
      <c r="M367" s="13">
        <f t="shared" si="101"/>
        <v>1</v>
      </c>
      <c r="N367">
        <f t="shared" si="101"/>
        <v>4</v>
      </c>
      <c r="O367" s="14">
        <f t="shared" si="91"/>
        <v>64</v>
      </c>
      <c r="P367" s="13">
        <f t="shared" si="95"/>
        <v>1</v>
      </c>
      <c r="Q367">
        <f t="shared" si="102"/>
        <v>4</v>
      </c>
      <c r="R367" s="14">
        <f t="shared" si="103"/>
        <v>64</v>
      </c>
      <c r="S367" s="15"/>
      <c r="W367" s="14"/>
    </row>
    <row r="368" spans="1:23" x14ac:dyDescent="0.25">
      <c r="A368" s="16"/>
      <c r="B368" s="17" t="b">
        <f t="shared" si="96"/>
        <v>0</v>
      </c>
      <c r="C368" s="17" t="b">
        <f t="shared" si="88"/>
        <v>0</v>
      </c>
      <c r="D368" s="17">
        <f t="shared" si="92"/>
        <v>1</v>
      </c>
      <c r="E368" s="17" t="str">
        <f t="shared" si="93"/>
        <v>Section 4 - Create spring-boot starter microservice, containerize it and push to DockerHub</v>
      </c>
      <c r="F368" s="18" t="str">
        <f t="shared" si="94"/>
        <v/>
      </c>
      <c r="G368" s="13" t="str">
        <f t="shared" si="97"/>
        <v/>
      </c>
      <c r="H368">
        <f t="shared" si="98"/>
        <v>0</v>
      </c>
      <c r="I368">
        <f t="shared" si="99"/>
        <v>0</v>
      </c>
      <c r="J368" s="13">
        <f t="shared" si="100"/>
        <v>65</v>
      </c>
      <c r="K368">
        <f t="shared" si="89"/>
        <v>0</v>
      </c>
      <c r="L368">
        <f t="shared" si="90"/>
        <v>1</v>
      </c>
      <c r="M368" s="13">
        <f t="shared" si="101"/>
        <v>1</v>
      </c>
      <c r="N368">
        <f t="shared" si="101"/>
        <v>4</v>
      </c>
      <c r="O368" s="14">
        <f t="shared" si="91"/>
        <v>64</v>
      </c>
      <c r="P368" s="13">
        <f t="shared" si="95"/>
        <v>1</v>
      </c>
      <c r="Q368">
        <f t="shared" si="102"/>
        <v>4</v>
      </c>
      <c r="R368" s="14">
        <f t="shared" si="103"/>
        <v>64</v>
      </c>
      <c r="S368" s="15"/>
      <c r="W368" s="14"/>
    </row>
    <row r="369" spans="1:23" x14ac:dyDescent="0.25">
      <c r="A369" s="16"/>
      <c r="B369" s="17" t="b">
        <f t="shared" si="96"/>
        <v>0</v>
      </c>
      <c r="C369" s="17" t="b">
        <f t="shared" si="88"/>
        <v>0</v>
      </c>
      <c r="D369" s="17">
        <f t="shared" si="92"/>
        <v>1</v>
      </c>
      <c r="E369" s="17" t="str">
        <f t="shared" si="93"/>
        <v>Section 4 - Create spring-boot starter microservice, containerize it and push to DockerHub</v>
      </c>
      <c r="F369" s="18" t="str">
        <f t="shared" si="94"/>
        <v/>
      </c>
      <c r="G369" s="13" t="str">
        <f t="shared" si="97"/>
        <v/>
      </c>
      <c r="H369">
        <f t="shared" si="98"/>
        <v>0</v>
      </c>
      <c r="I369">
        <f t="shared" si="99"/>
        <v>0</v>
      </c>
      <c r="J369" s="13">
        <f t="shared" si="100"/>
        <v>65</v>
      </c>
      <c r="K369">
        <f t="shared" si="89"/>
        <v>0</v>
      </c>
      <c r="L369">
        <f t="shared" si="90"/>
        <v>1</v>
      </c>
      <c r="M369" s="13">
        <f t="shared" si="101"/>
        <v>1</v>
      </c>
      <c r="N369">
        <f t="shared" si="101"/>
        <v>4</v>
      </c>
      <c r="O369" s="14">
        <f t="shared" si="91"/>
        <v>64</v>
      </c>
      <c r="P369" s="13">
        <f t="shared" si="95"/>
        <v>1</v>
      </c>
      <c r="Q369">
        <f t="shared" si="102"/>
        <v>4</v>
      </c>
      <c r="R369" s="14">
        <f t="shared" si="103"/>
        <v>64</v>
      </c>
      <c r="S369" s="15"/>
      <c r="W369" s="14"/>
    </row>
    <row r="370" spans="1:23" x14ac:dyDescent="0.25">
      <c r="A370" s="16"/>
      <c r="B370" s="17" t="b">
        <f t="shared" si="96"/>
        <v>0</v>
      </c>
      <c r="C370" s="17" t="b">
        <f t="shared" si="88"/>
        <v>0</v>
      </c>
      <c r="D370" s="17">
        <f t="shared" si="92"/>
        <v>1</v>
      </c>
      <c r="E370" s="17" t="str">
        <f t="shared" si="93"/>
        <v>Section 4 - Create spring-boot starter microservice, containerize it and push to DockerHub</v>
      </c>
      <c r="F370" s="18" t="str">
        <f t="shared" si="94"/>
        <v/>
      </c>
      <c r="G370" s="13" t="str">
        <f t="shared" si="97"/>
        <v/>
      </c>
      <c r="H370">
        <f t="shared" si="98"/>
        <v>0</v>
      </c>
      <c r="I370">
        <f t="shared" si="99"/>
        <v>0</v>
      </c>
      <c r="J370" s="13">
        <f t="shared" si="100"/>
        <v>65</v>
      </c>
      <c r="K370">
        <f t="shared" si="89"/>
        <v>0</v>
      </c>
      <c r="L370">
        <f t="shared" si="90"/>
        <v>1</v>
      </c>
      <c r="M370" s="13">
        <f t="shared" si="101"/>
        <v>1</v>
      </c>
      <c r="N370">
        <f t="shared" si="101"/>
        <v>4</v>
      </c>
      <c r="O370" s="14">
        <f t="shared" si="91"/>
        <v>64</v>
      </c>
      <c r="P370" s="13">
        <f t="shared" si="95"/>
        <v>1</v>
      </c>
      <c r="Q370">
        <f t="shared" si="102"/>
        <v>4</v>
      </c>
      <c r="R370" s="14">
        <f t="shared" si="103"/>
        <v>64</v>
      </c>
      <c r="S370" s="15"/>
      <c r="W370" s="14"/>
    </row>
    <row r="371" spans="1:23" x14ac:dyDescent="0.25">
      <c r="A371" s="16"/>
      <c r="B371" s="17" t="b">
        <f t="shared" si="96"/>
        <v>0</v>
      </c>
      <c r="C371" s="17" t="b">
        <f t="shared" si="88"/>
        <v>0</v>
      </c>
      <c r="D371" s="17">
        <f t="shared" si="92"/>
        <v>1</v>
      </c>
      <c r="E371" s="17" t="str">
        <f t="shared" si="93"/>
        <v>Section 4 - Create spring-boot starter microservice, containerize it and push to DockerHub</v>
      </c>
      <c r="F371" s="18" t="str">
        <f t="shared" si="94"/>
        <v/>
      </c>
      <c r="G371" s="13" t="str">
        <f t="shared" si="97"/>
        <v/>
      </c>
      <c r="H371">
        <f t="shared" si="98"/>
        <v>0</v>
      </c>
      <c r="I371">
        <f t="shared" si="99"/>
        <v>0</v>
      </c>
      <c r="J371" s="13">
        <f t="shared" si="100"/>
        <v>65</v>
      </c>
      <c r="K371">
        <f t="shared" si="89"/>
        <v>0</v>
      </c>
      <c r="L371">
        <f t="shared" si="90"/>
        <v>1</v>
      </c>
      <c r="M371" s="13">
        <f t="shared" si="101"/>
        <v>1</v>
      </c>
      <c r="N371">
        <f t="shared" si="101"/>
        <v>4</v>
      </c>
      <c r="O371" s="14">
        <f t="shared" si="91"/>
        <v>64</v>
      </c>
      <c r="P371" s="13">
        <f t="shared" si="95"/>
        <v>1</v>
      </c>
      <c r="Q371">
        <f t="shared" si="102"/>
        <v>4</v>
      </c>
      <c r="R371" s="14">
        <f t="shared" si="103"/>
        <v>64</v>
      </c>
      <c r="S371" s="15"/>
      <c r="W371" s="14"/>
    </row>
    <row r="372" spans="1:23" x14ac:dyDescent="0.25">
      <c r="A372" s="16"/>
      <c r="B372" s="17" t="b">
        <f t="shared" si="96"/>
        <v>0</v>
      </c>
      <c r="C372" s="17" t="b">
        <f t="shared" si="88"/>
        <v>0</v>
      </c>
      <c r="D372" s="17">
        <f t="shared" si="92"/>
        <v>1</v>
      </c>
      <c r="E372" s="17" t="str">
        <f t="shared" si="93"/>
        <v>Section 4 - Create spring-boot starter microservice, containerize it and push to DockerHub</v>
      </c>
      <c r="F372" s="18" t="str">
        <f t="shared" si="94"/>
        <v/>
      </c>
      <c r="G372" s="13" t="str">
        <f t="shared" si="97"/>
        <v/>
      </c>
      <c r="H372">
        <f t="shared" si="98"/>
        <v>0</v>
      </c>
      <c r="I372">
        <f t="shared" si="99"/>
        <v>0</v>
      </c>
      <c r="J372" s="13">
        <f t="shared" si="100"/>
        <v>65</v>
      </c>
      <c r="K372">
        <f t="shared" si="89"/>
        <v>0</v>
      </c>
      <c r="L372">
        <f t="shared" si="90"/>
        <v>1</v>
      </c>
      <c r="M372" s="13">
        <f t="shared" si="101"/>
        <v>1</v>
      </c>
      <c r="N372">
        <f t="shared" si="101"/>
        <v>4</v>
      </c>
      <c r="O372" s="14">
        <f t="shared" si="91"/>
        <v>64</v>
      </c>
      <c r="P372" s="13">
        <f t="shared" si="95"/>
        <v>1</v>
      </c>
      <c r="Q372">
        <f t="shared" si="102"/>
        <v>4</v>
      </c>
      <c r="R372" s="14">
        <f t="shared" si="103"/>
        <v>64</v>
      </c>
      <c r="S372" s="15"/>
      <c r="W372" s="14"/>
    </row>
    <row r="373" spans="1:23" x14ac:dyDescent="0.25">
      <c r="A373" s="16"/>
      <c r="B373" s="17" t="b">
        <f t="shared" si="96"/>
        <v>0</v>
      </c>
      <c r="C373" s="17" t="b">
        <f t="shared" si="88"/>
        <v>0</v>
      </c>
      <c r="D373" s="17">
        <f t="shared" si="92"/>
        <v>1</v>
      </c>
      <c r="E373" s="17" t="str">
        <f t="shared" si="93"/>
        <v>Section 4 - Create spring-boot starter microservice, containerize it and push to DockerHub</v>
      </c>
      <c r="F373" s="18" t="str">
        <f t="shared" si="94"/>
        <v/>
      </c>
      <c r="G373" s="13" t="str">
        <f t="shared" si="97"/>
        <v/>
      </c>
      <c r="H373">
        <f t="shared" si="98"/>
        <v>0</v>
      </c>
      <c r="I373">
        <f t="shared" si="99"/>
        <v>0</v>
      </c>
      <c r="J373" s="13">
        <f t="shared" si="100"/>
        <v>65</v>
      </c>
      <c r="K373">
        <f t="shared" si="89"/>
        <v>0</v>
      </c>
      <c r="L373">
        <f t="shared" si="90"/>
        <v>1</v>
      </c>
      <c r="M373" s="13">
        <f t="shared" si="101"/>
        <v>1</v>
      </c>
      <c r="N373">
        <f t="shared" si="101"/>
        <v>4</v>
      </c>
      <c r="O373" s="14">
        <f t="shared" si="91"/>
        <v>64</v>
      </c>
      <c r="P373" s="13">
        <f t="shared" si="95"/>
        <v>1</v>
      </c>
      <c r="Q373">
        <f t="shared" si="102"/>
        <v>4</v>
      </c>
      <c r="R373" s="14">
        <f t="shared" si="103"/>
        <v>64</v>
      </c>
      <c r="S373" s="15"/>
      <c r="W373" s="14"/>
    </row>
    <row r="374" spans="1:23" x14ac:dyDescent="0.25">
      <c r="A374" s="16"/>
      <c r="B374" s="17" t="b">
        <f t="shared" si="96"/>
        <v>0</v>
      </c>
      <c r="C374" s="17" t="b">
        <f t="shared" si="88"/>
        <v>0</v>
      </c>
      <c r="D374" s="17">
        <f t="shared" si="92"/>
        <v>1</v>
      </c>
      <c r="E374" s="17" t="str">
        <f t="shared" si="93"/>
        <v>Section 4 - Create spring-boot starter microservice, containerize it and push to DockerHub</v>
      </c>
      <c r="F374" s="18" t="str">
        <f t="shared" si="94"/>
        <v/>
      </c>
      <c r="G374" s="13" t="str">
        <f t="shared" si="97"/>
        <v/>
      </c>
      <c r="H374">
        <f t="shared" si="98"/>
        <v>0</v>
      </c>
      <c r="I374">
        <f t="shared" si="99"/>
        <v>0</v>
      </c>
      <c r="J374" s="13">
        <f t="shared" si="100"/>
        <v>65</v>
      </c>
      <c r="K374">
        <f t="shared" si="89"/>
        <v>0</v>
      </c>
      <c r="L374">
        <f t="shared" si="90"/>
        <v>1</v>
      </c>
      <c r="M374" s="13">
        <f t="shared" si="101"/>
        <v>1</v>
      </c>
      <c r="N374">
        <f t="shared" si="101"/>
        <v>4</v>
      </c>
      <c r="O374" s="14">
        <f t="shared" si="91"/>
        <v>64</v>
      </c>
      <c r="P374" s="13">
        <f t="shared" si="95"/>
        <v>1</v>
      </c>
      <c r="Q374">
        <f t="shared" si="102"/>
        <v>4</v>
      </c>
      <c r="R374" s="14">
        <f t="shared" si="103"/>
        <v>64</v>
      </c>
      <c r="S374" s="15"/>
      <c r="W374" s="14"/>
    </row>
    <row r="375" spans="1:23" x14ac:dyDescent="0.25">
      <c r="A375" s="16"/>
      <c r="B375" s="17" t="b">
        <f t="shared" si="96"/>
        <v>0</v>
      </c>
      <c r="C375" s="17" t="b">
        <f t="shared" si="88"/>
        <v>0</v>
      </c>
      <c r="D375" s="17">
        <f t="shared" si="92"/>
        <v>1</v>
      </c>
      <c r="E375" s="17" t="str">
        <f t="shared" si="93"/>
        <v>Section 4 - Create spring-boot starter microservice, containerize it and push to DockerHub</v>
      </c>
      <c r="F375" s="18" t="str">
        <f t="shared" si="94"/>
        <v/>
      </c>
      <c r="G375" s="13" t="str">
        <f t="shared" si="97"/>
        <v/>
      </c>
      <c r="H375">
        <f t="shared" si="98"/>
        <v>0</v>
      </c>
      <c r="I375">
        <f t="shared" si="99"/>
        <v>0</v>
      </c>
      <c r="J375" s="13">
        <f t="shared" si="100"/>
        <v>65</v>
      </c>
      <c r="K375">
        <f t="shared" si="89"/>
        <v>0</v>
      </c>
      <c r="L375">
        <f t="shared" si="90"/>
        <v>1</v>
      </c>
      <c r="M375" s="13">
        <f t="shared" si="101"/>
        <v>1</v>
      </c>
      <c r="N375">
        <f t="shared" si="101"/>
        <v>4</v>
      </c>
      <c r="O375" s="14">
        <f t="shared" si="91"/>
        <v>64</v>
      </c>
      <c r="P375" s="13">
        <f t="shared" si="95"/>
        <v>1</v>
      </c>
      <c r="Q375">
        <f t="shared" si="102"/>
        <v>4</v>
      </c>
      <c r="R375" s="14">
        <f t="shared" si="103"/>
        <v>64</v>
      </c>
      <c r="S375" s="15"/>
      <c r="W375" s="14"/>
    </row>
    <row r="376" spans="1:23" x14ac:dyDescent="0.25">
      <c r="A376" s="16"/>
      <c r="B376" s="17" t="b">
        <f t="shared" si="96"/>
        <v>0</v>
      </c>
      <c r="C376" s="17" t="b">
        <f t="shared" si="88"/>
        <v>0</v>
      </c>
      <c r="D376" s="17">
        <f t="shared" si="92"/>
        <v>1</v>
      </c>
      <c r="E376" s="17" t="str">
        <f t="shared" si="93"/>
        <v>Section 4 - Create spring-boot starter microservice, containerize it and push to DockerHub</v>
      </c>
      <c r="F376" s="18" t="str">
        <f t="shared" si="94"/>
        <v/>
      </c>
      <c r="G376" s="13" t="str">
        <f t="shared" si="97"/>
        <v/>
      </c>
      <c r="H376">
        <f t="shared" si="98"/>
        <v>0</v>
      </c>
      <c r="I376">
        <f t="shared" si="99"/>
        <v>0</v>
      </c>
      <c r="J376" s="13">
        <f t="shared" si="100"/>
        <v>65</v>
      </c>
      <c r="K376">
        <f t="shared" si="89"/>
        <v>0</v>
      </c>
      <c r="L376">
        <f t="shared" si="90"/>
        <v>1</v>
      </c>
      <c r="M376" s="13">
        <f t="shared" si="101"/>
        <v>1</v>
      </c>
      <c r="N376">
        <f t="shared" si="101"/>
        <v>4</v>
      </c>
      <c r="O376" s="14">
        <f t="shared" si="91"/>
        <v>64</v>
      </c>
      <c r="P376" s="13">
        <f t="shared" si="95"/>
        <v>1</v>
      </c>
      <c r="Q376">
        <f t="shared" si="102"/>
        <v>4</v>
      </c>
      <c r="R376" s="14">
        <f t="shared" si="103"/>
        <v>64</v>
      </c>
      <c r="S376" s="15"/>
      <c r="W376" s="14"/>
    </row>
    <row r="377" spans="1:23" x14ac:dyDescent="0.25">
      <c r="A377" s="16"/>
      <c r="B377" s="17" t="b">
        <f t="shared" si="96"/>
        <v>0</v>
      </c>
      <c r="C377" s="17" t="b">
        <f t="shared" si="88"/>
        <v>0</v>
      </c>
      <c r="D377" s="17">
        <f t="shared" si="92"/>
        <v>1</v>
      </c>
      <c r="E377" s="17" t="str">
        <f t="shared" si="93"/>
        <v>Section 4 - Create spring-boot starter microservice, containerize it and push to DockerHub</v>
      </c>
      <c r="F377" s="18" t="str">
        <f t="shared" si="94"/>
        <v/>
      </c>
      <c r="G377" s="13" t="str">
        <f t="shared" si="97"/>
        <v/>
      </c>
      <c r="H377">
        <f t="shared" si="98"/>
        <v>0</v>
      </c>
      <c r="I377">
        <f t="shared" si="99"/>
        <v>0</v>
      </c>
      <c r="J377" s="13">
        <f t="shared" si="100"/>
        <v>65</v>
      </c>
      <c r="K377">
        <f t="shared" si="89"/>
        <v>0</v>
      </c>
      <c r="L377">
        <f t="shared" si="90"/>
        <v>1</v>
      </c>
      <c r="M377" s="13">
        <f t="shared" si="101"/>
        <v>1</v>
      </c>
      <c r="N377">
        <f t="shared" si="101"/>
        <v>4</v>
      </c>
      <c r="O377" s="14">
        <f t="shared" si="91"/>
        <v>64</v>
      </c>
      <c r="P377" s="13">
        <f t="shared" si="95"/>
        <v>1</v>
      </c>
      <c r="Q377">
        <f t="shared" si="102"/>
        <v>4</v>
      </c>
      <c r="R377" s="14">
        <f t="shared" si="103"/>
        <v>64</v>
      </c>
      <c r="S377" s="15"/>
      <c r="W377" s="14"/>
    </row>
    <row r="378" spans="1:23" x14ac:dyDescent="0.25">
      <c r="A378" s="16"/>
      <c r="B378" s="17" t="b">
        <f t="shared" si="96"/>
        <v>0</v>
      </c>
      <c r="C378" s="17" t="b">
        <f t="shared" si="88"/>
        <v>0</v>
      </c>
      <c r="D378" s="17">
        <f t="shared" si="92"/>
        <v>1</v>
      </c>
      <c r="E378" s="17" t="str">
        <f t="shared" si="93"/>
        <v>Section 4 - Create spring-boot starter microservice, containerize it and push to DockerHub</v>
      </c>
      <c r="F378" s="18" t="str">
        <f t="shared" si="94"/>
        <v/>
      </c>
      <c r="G378" s="13" t="str">
        <f t="shared" si="97"/>
        <v/>
      </c>
      <c r="H378">
        <f t="shared" si="98"/>
        <v>0</v>
      </c>
      <c r="I378">
        <f t="shared" si="99"/>
        <v>0</v>
      </c>
      <c r="J378" s="13">
        <f t="shared" si="100"/>
        <v>65</v>
      </c>
      <c r="K378">
        <f t="shared" si="89"/>
        <v>0</v>
      </c>
      <c r="L378">
        <f t="shared" si="90"/>
        <v>1</v>
      </c>
      <c r="M378" s="13">
        <f t="shared" si="101"/>
        <v>1</v>
      </c>
      <c r="N378">
        <f t="shared" si="101"/>
        <v>4</v>
      </c>
      <c r="O378" s="14">
        <f t="shared" si="91"/>
        <v>64</v>
      </c>
      <c r="P378" s="13">
        <f t="shared" si="95"/>
        <v>1</v>
      </c>
      <c r="Q378">
        <f t="shared" si="102"/>
        <v>4</v>
      </c>
      <c r="R378" s="14">
        <f t="shared" si="103"/>
        <v>64</v>
      </c>
      <c r="S378" s="15"/>
      <c r="W378" s="14"/>
    </row>
    <row r="379" spans="1:23" x14ac:dyDescent="0.25">
      <c r="A379" s="16"/>
      <c r="B379" s="17" t="b">
        <f t="shared" si="96"/>
        <v>0</v>
      </c>
      <c r="C379" s="17" t="b">
        <f t="shared" si="88"/>
        <v>0</v>
      </c>
      <c r="D379" s="17">
        <f t="shared" si="92"/>
        <v>1</v>
      </c>
      <c r="E379" s="17" t="str">
        <f t="shared" si="93"/>
        <v>Section 4 - Create spring-boot starter microservice, containerize it and push to DockerHub</v>
      </c>
      <c r="F379" s="18" t="str">
        <f t="shared" si="94"/>
        <v/>
      </c>
      <c r="G379" s="13" t="str">
        <f t="shared" si="97"/>
        <v/>
      </c>
      <c r="H379">
        <f t="shared" si="98"/>
        <v>0</v>
      </c>
      <c r="I379">
        <f t="shared" si="99"/>
        <v>0</v>
      </c>
      <c r="J379" s="13">
        <f t="shared" si="100"/>
        <v>65</v>
      </c>
      <c r="K379">
        <f t="shared" si="89"/>
        <v>0</v>
      </c>
      <c r="L379">
        <f t="shared" si="90"/>
        <v>1</v>
      </c>
      <c r="M379" s="13">
        <f t="shared" si="101"/>
        <v>1</v>
      </c>
      <c r="N379">
        <f t="shared" si="101"/>
        <v>4</v>
      </c>
      <c r="O379" s="14">
        <f t="shared" si="91"/>
        <v>64</v>
      </c>
      <c r="P379" s="13">
        <f t="shared" si="95"/>
        <v>1</v>
      </c>
      <c r="Q379">
        <f t="shared" si="102"/>
        <v>4</v>
      </c>
      <c r="R379" s="14">
        <f t="shared" si="103"/>
        <v>64</v>
      </c>
      <c r="S379" s="15"/>
      <c r="W379" s="14"/>
    </row>
    <row r="380" spans="1:23" x14ac:dyDescent="0.25">
      <c r="A380" s="16"/>
      <c r="B380" s="17" t="b">
        <f t="shared" si="96"/>
        <v>0</v>
      </c>
      <c r="C380" s="17" t="b">
        <f t="shared" si="88"/>
        <v>0</v>
      </c>
      <c r="D380" s="17">
        <f t="shared" si="92"/>
        <v>1</v>
      </c>
      <c r="E380" s="17" t="str">
        <f t="shared" si="93"/>
        <v>Section 4 - Create spring-boot starter microservice, containerize it and push to DockerHub</v>
      </c>
      <c r="F380" s="18" t="str">
        <f t="shared" si="94"/>
        <v/>
      </c>
      <c r="G380" s="13" t="str">
        <f t="shared" si="97"/>
        <v/>
      </c>
      <c r="H380">
        <f t="shared" si="98"/>
        <v>0</v>
      </c>
      <c r="I380">
        <f t="shared" si="99"/>
        <v>0</v>
      </c>
      <c r="J380" s="13">
        <f t="shared" si="100"/>
        <v>65</v>
      </c>
      <c r="K380">
        <f t="shared" si="89"/>
        <v>0</v>
      </c>
      <c r="L380">
        <f t="shared" si="90"/>
        <v>1</v>
      </c>
      <c r="M380" s="13">
        <f t="shared" si="101"/>
        <v>1</v>
      </c>
      <c r="N380">
        <f t="shared" si="101"/>
        <v>4</v>
      </c>
      <c r="O380" s="14">
        <f t="shared" si="91"/>
        <v>64</v>
      </c>
      <c r="P380" s="13">
        <f t="shared" si="95"/>
        <v>1</v>
      </c>
      <c r="Q380">
        <f t="shared" si="102"/>
        <v>4</v>
      </c>
      <c r="R380" s="14">
        <f t="shared" si="103"/>
        <v>64</v>
      </c>
      <c r="S380" s="15"/>
      <c r="W380" s="14"/>
    </row>
    <row r="381" spans="1:23" x14ac:dyDescent="0.25">
      <c r="A381" s="16"/>
      <c r="B381" s="17" t="b">
        <f t="shared" si="96"/>
        <v>0</v>
      </c>
      <c r="C381" s="17" t="b">
        <f t="shared" si="88"/>
        <v>0</v>
      </c>
      <c r="D381" s="17">
        <f t="shared" si="92"/>
        <v>1</v>
      </c>
      <c r="E381" s="17" t="str">
        <f t="shared" si="93"/>
        <v>Section 4 - Create spring-boot starter microservice, containerize it and push to DockerHub</v>
      </c>
      <c r="F381" s="18" t="str">
        <f t="shared" si="94"/>
        <v/>
      </c>
      <c r="G381" s="13" t="str">
        <f t="shared" si="97"/>
        <v/>
      </c>
      <c r="H381">
        <f t="shared" si="98"/>
        <v>0</v>
      </c>
      <c r="I381">
        <f t="shared" si="99"/>
        <v>0</v>
      </c>
      <c r="J381" s="13">
        <f t="shared" si="100"/>
        <v>65</v>
      </c>
      <c r="K381">
        <f t="shared" si="89"/>
        <v>0</v>
      </c>
      <c r="L381">
        <f t="shared" si="90"/>
        <v>1</v>
      </c>
      <c r="M381" s="13">
        <f t="shared" si="101"/>
        <v>1</v>
      </c>
      <c r="N381">
        <f t="shared" si="101"/>
        <v>4</v>
      </c>
      <c r="O381" s="14">
        <f t="shared" si="91"/>
        <v>64</v>
      </c>
      <c r="P381" s="13">
        <f t="shared" si="95"/>
        <v>1</v>
      </c>
      <c r="Q381">
        <f t="shared" si="102"/>
        <v>4</v>
      </c>
      <c r="R381" s="14">
        <f t="shared" si="103"/>
        <v>64</v>
      </c>
      <c r="S381" s="15"/>
      <c r="W381" s="14"/>
    </row>
    <row r="382" spans="1:23" x14ac:dyDescent="0.25">
      <c r="A382" s="16"/>
      <c r="B382" s="17" t="b">
        <f t="shared" si="96"/>
        <v>0</v>
      </c>
      <c r="C382" s="17" t="b">
        <f t="shared" si="88"/>
        <v>0</v>
      </c>
      <c r="D382" s="17">
        <f t="shared" si="92"/>
        <v>1</v>
      </c>
      <c r="E382" s="17" t="str">
        <f t="shared" si="93"/>
        <v>Section 4 - Create spring-boot starter microservice, containerize it and push to DockerHub</v>
      </c>
      <c r="F382" s="18" t="str">
        <f t="shared" si="94"/>
        <v/>
      </c>
      <c r="G382" s="13" t="str">
        <f t="shared" si="97"/>
        <v/>
      </c>
      <c r="H382">
        <f t="shared" si="98"/>
        <v>0</v>
      </c>
      <c r="I382">
        <f t="shared" si="99"/>
        <v>0</v>
      </c>
      <c r="J382" s="13">
        <f t="shared" si="100"/>
        <v>65</v>
      </c>
      <c r="K382">
        <f t="shared" si="89"/>
        <v>0</v>
      </c>
      <c r="L382">
        <f t="shared" si="90"/>
        <v>1</v>
      </c>
      <c r="M382" s="13">
        <f t="shared" si="101"/>
        <v>1</v>
      </c>
      <c r="N382">
        <f t="shared" si="101"/>
        <v>4</v>
      </c>
      <c r="O382" s="14">
        <f t="shared" si="91"/>
        <v>64</v>
      </c>
      <c r="P382" s="13">
        <f t="shared" si="95"/>
        <v>1</v>
      </c>
      <c r="Q382">
        <f t="shared" si="102"/>
        <v>4</v>
      </c>
      <c r="R382" s="14">
        <f t="shared" si="103"/>
        <v>64</v>
      </c>
      <c r="S382" s="15"/>
      <c r="W382" s="14"/>
    </row>
    <row r="383" spans="1:23" x14ac:dyDescent="0.25">
      <c r="A383" s="16"/>
      <c r="B383" s="17" t="b">
        <f t="shared" si="96"/>
        <v>0</v>
      </c>
      <c r="C383" s="17" t="b">
        <f t="shared" si="88"/>
        <v>0</v>
      </c>
      <c r="D383" s="17">
        <f t="shared" si="92"/>
        <v>1</v>
      </c>
      <c r="E383" s="17" t="str">
        <f t="shared" si="93"/>
        <v>Section 4 - Create spring-boot starter microservice, containerize it and push to DockerHub</v>
      </c>
      <c r="F383" s="18" t="str">
        <f t="shared" si="94"/>
        <v/>
      </c>
      <c r="G383" s="13" t="str">
        <f t="shared" si="97"/>
        <v/>
      </c>
      <c r="H383">
        <f t="shared" si="98"/>
        <v>0</v>
      </c>
      <c r="I383">
        <f t="shared" si="99"/>
        <v>0</v>
      </c>
      <c r="J383" s="13">
        <f t="shared" si="100"/>
        <v>65</v>
      </c>
      <c r="K383">
        <f t="shared" si="89"/>
        <v>0</v>
      </c>
      <c r="L383">
        <f t="shared" si="90"/>
        <v>1</v>
      </c>
      <c r="M383" s="13">
        <f t="shared" si="101"/>
        <v>1</v>
      </c>
      <c r="N383">
        <f t="shared" si="101"/>
        <v>4</v>
      </c>
      <c r="O383" s="14">
        <f t="shared" si="91"/>
        <v>64</v>
      </c>
      <c r="P383" s="13">
        <f t="shared" si="95"/>
        <v>1</v>
      </c>
      <c r="Q383">
        <f t="shared" si="102"/>
        <v>4</v>
      </c>
      <c r="R383" s="14">
        <f t="shared" si="103"/>
        <v>64</v>
      </c>
      <c r="S383" s="15"/>
      <c r="W383" s="14"/>
    </row>
    <row r="384" spans="1:23" x14ac:dyDescent="0.25">
      <c r="A384" s="16"/>
      <c r="B384" s="17" t="b">
        <f t="shared" si="96"/>
        <v>0</v>
      </c>
      <c r="C384" s="17" t="b">
        <f t="shared" ref="C384:C447" si="104">OR(NOT(ISERROR(FIND("hr",A385))), NOT(ISERROR(FIND("min ",A385))),RIGHT(A385,3)="min")</f>
        <v>0</v>
      </c>
      <c r="D384" s="17">
        <f t="shared" si="92"/>
        <v>1</v>
      </c>
      <c r="E384" s="17" t="str">
        <f t="shared" si="93"/>
        <v>Section 4 - Create spring-boot starter microservice, containerize it and push to DockerHub</v>
      </c>
      <c r="F384" s="18" t="str">
        <f t="shared" si="94"/>
        <v/>
      </c>
      <c r="G384" s="13" t="str">
        <f t="shared" si="97"/>
        <v/>
      </c>
      <c r="H384">
        <f t="shared" si="98"/>
        <v>0</v>
      </c>
      <c r="I384">
        <f t="shared" si="99"/>
        <v>0</v>
      </c>
      <c r="J384" s="13">
        <f t="shared" si="100"/>
        <v>65</v>
      </c>
      <c r="K384">
        <f t="shared" si="89"/>
        <v>0</v>
      </c>
      <c r="L384">
        <f t="shared" si="90"/>
        <v>1</v>
      </c>
      <c r="M384" s="13">
        <f t="shared" si="101"/>
        <v>1</v>
      </c>
      <c r="N384">
        <f t="shared" si="101"/>
        <v>4</v>
      </c>
      <c r="O384" s="14">
        <f t="shared" si="91"/>
        <v>64</v>
      </c>
      <c r="P384" s="13">
        <f t="shared" si="95"/>
        <v>1</v>
      </c>
      <c r="Q384">
        <f t="shared" si="102"/>
        <v>4</v>
      </c>
      <c r="R384" s="14">
        <f t="shared" si="103"/>
        <v>64</v>
      </c>
      <c r="S384" s="15"/>
      <c r="W384" s="14"/>
    </row>
    <row r="385" spans="1:23" x14ac:dyDescent="0.25">
      <c r="A385" s="16"/>
      <c r="B385" s="17" t="b">
        <f t="shared" si="96"/>
        <v>0</v>
      </c>
      <c r="C385" s="17" t="b">
        <f t="shared" si="104"/>
        <v>0</v>
      </c>
      <c r="D385" s="17">
        <f t="shared" si="92"/>
        <v>1</v>
      </c>
      <c r="E385" s="17" t="str">
        <f t="shared" si="93"/>
        <v>Section 4 - Create spring-boot starter microservice, containerize it and push to DockerHub</v>
      </c>
      <c r="F385" s="18" t="str">
        <f t="shared" si="94"/>
        <v/>
      </c>
      <c r="G385" s="13" t="str">
        <f t="shared" si="97"/>
        <v/>
      </c>
      <c r="H385">
        <f t="shared" si="98"/>
        <v>0</v>
      </c>
      <c r="I385">
        <f t="shared" si="99"/>
        <v>0</v>
      </c>
      <c r="J385" s="13">
        <f t="shared" si="100"/>
        <v>65</v>
      </c>
      <c r="K385">
        <f t="shared" si="89"/>
        <v>0</v>
      </c>
      <c r="L385">
        <f t="shared" si="90"/>
        <v>1</v>
      </c>
      <c r="M385" s="13">
        <f t="shared" si="101"/>
        <v>1</v>
      </c>
      <c r="N385">
        <f t="shared" si="101"/>
        <v>4</v>
      </c>
      <c r="O385" s="14">
        <f t="shared" si="91"/>
        <v>64</v>
      </c>
      <c r="P385" s="13">
        <f t="shared" si="95"/>
        <v>1</v>
      </c>
      <c r="Q385">
        <f t="shared" si="102"/>
        <v>4</v>
      </c>
      <c r="R385" s="14">
        <f t="shared" si="103"/>
        <v>64</v>
      </c>
      <c r="S385" s="15"/>
      <c r="W385" s="14"/>
    </row>
    <row r="386" spans="1:23" x14ac:dyDescent="0.25">
      <c r="A386" s="16"/>
      <c r="B386" s="17" t="b">
        <f t="shared" si="96"/>
        <v>0</v>
      </c>
      <c r="C386" s="17" t="b">
        <f t="shared" si="104"/>
        <v>0</v>
      </c>
      <c r="D386" s="17">
        <f t="shared" si="92"/>
        <v>1</v>
      </c>
      <c r="E386" s="17" t="str">
        <f t="shared" si="93"/>
        <v>Section 4 - Create spring-boot starter microservice, containerize it and push to DockerHub</v>
      </c>
      <c r="F386" s="18" t="str">
        <f t="shared" si="94"/>
        <v/>
      </c>
      <c r="G386" s="13" t="str">
        <f t="shared" si="97"/>
        <v/>
      </c>
      <c r="H386">
        <f t="shared" si="98"/>
        <v>0</v>
      </c>
      <c r="I386">
        <f t="shared" si="99"/>
        <v>0</v>
      </c>
      <c r="J386" s="13">
        <f t="shared" si="100"/>
        <v>65</v>
      </c>
      <c r="K386">
        <f t="shared" si="89"/>
        <v>0</v>
      </c>
      <c r="L386">
        <f t="shared" si="90"/>
        <v>1</v>
      </c>
      <c r="M386" s="13">
        <f t="shared" si="101"/>
        <v>1</v>
      </c>
      <c r="N386">
        <f t="shared" si="101"/>
        <v>4</v>
      </c>
      <c r="O386" s="14">
        <f t="shared" si="91"/>
        <v>64</v>
      </c>
      <c r="P386" s="13">
        <f t="shared" si="95"/>
        <v>1</v>
      </c>
      <c r="Q386">
        <f t="shared" si="102"/>
        <v>4</v>
      </c>
      <c r="R386" s="14">
        <f t="shared" si="103"/>
        <v>64</v>
      </c>
      <c r="S386" s="15"/>
      <c r="W386" s="14"/>
    </row>
    <row r="387" spans="1:23" x14ac:dyDescent="0.25">
      <c r="A387" s="16"/>
      <c r="B387" s="17" t="b">
        <f t="shared" si="96"/>
        <v>0</v>
      </c>
      <c r="C387" s="17" t="b">
        <f t="shared" si="104"/>
        <v>0</v>
      </c>
      <c r="D387" s="17">
        <f t="shared" si="92"/>
        <v>1</v>
      </c>
      <c r="E387" s="17" t="str">
        <f t="shared" si="93"/>
        <v>Section 4 - Create spring-boot starter microservice, containerize it and push to DockerHub</v>
      </c>
      <c r="F387" s="18" t="str">
        <f t="shared" si="94"/>
        <v/>
      </c>
      <c r="G387" s="13" t="str">
        <f t="shared" si="97"/>
        <v/>
      </c>
      <c r="H387">
        <f t="shared" si="98"/>
        <v>0</v>
      </c>
      <c r="I387">
        <f t="shared" si="99"/>
        <v>0</v>
      </c>
      <c r="J387" s="13">
        <f t="shared" si="100"/>
        <v>65</v>
      </c>
      <c r="K387">
        <f t="shared" si="89"/>
        <v>0</v>
      </c>
      <c r="L387">
        <f t="shared" si="90"/>
        <v>1</v>
      </c>
      <c r="M387" s="13">
        <f t="shared" si="101"/>
        <v>1</v>
      </c>
      <c r="N387">
        <f t="shared" si="101"/>
        <v>4</v>
      </c>
      <c r="O387" s="14">
        <f t="shared" si="91"/>
        <v>64</v>
      </c>
      <c r="P387" s="13">
        <f t="shared" si="95"/>
        <v>1</v>
      </c>
      <c r="Q387">
        <f t="shared" si="102"/>
        <v>4</v>
      </c>
      <c r="R387" s="14">
        <f t="shared" si="103"/>
        <v>64</v>
      </c>
      <c r="S387" s="15"/>
      <c r="W387" s="14"/>
    </row>
    <row r="388" spans="1:23" x14ac:dyDescent="0.25">
      <c r="A388" s="16"/>
      <c r="B388" s="17" t="b">
        <f t="shared" si="96"/>
        <v>0</v>
      </c>
      <c r="C388" s="17" t="b">
        <f t="shared" si="104"/>
        <v>0</v>
      </c>
      <c r="D388" s="17">
        <f t="shared" si="92"/>
        <v>1</v>
      </c>
      <c r="E388" s="17" t="str">
        <f t="shared" si="93"/>
        <v>Section 4 - Create spring-boot starter microservice, containerize it and push to DockerHub</v>
      </c>
      <c r="F388" s="18" t="str">
        <f t="shared" si="94"/>
        <v/>
      </c>
      <c r="G388" s="13" t="str">
        <f t="shared" si="97"/>
        <v/>
      </c>
      <c r="H388">
        <f t="shared" si="98"/>
        <v>0</v>
      </c>
      <c r="I388">
        <f t="shared" si="99"/>
        <v>0</v>
      </c>
      <c r="J388" s="13">
        <f t="shared" si="100"/>
        <v>65</v>
      </c>
      <c r="K388">
        <f t="shared" si="89"/>
        <v>0</v>
      </c>
      <c r="L388">
        <f t="shared" si="90"/>
        <v>1</v>
      </c>
      <c r="M388" s="13">
        <f t="shared" si="101"/>
        <v>1</v>
      </c>
      <c r="N388">
        <f t="shared" si="101"/>
        <v>4</v>
      </c>
      <c r="O388" s="14">
        <f t="shared" si="91"/>
        <v>64</v>
      </c>
      <c r="P388" s="13">
        <f t="shared" si="95"/>
        <v>1</v>
      </c>
      <c r="Q388">
        <f t="shared" si="102"/>
        <v>4</v>
      </c>
      <c r="R388" s="14">
        <f t="shared" si="103"/>
        <v>64</v>
      </c>
      <c r="S388" s="15"/>
      <c r="W388" s="14"/>
    </row>
    <row r="389" spans="1:23" x14ac:dyDescent="0.25">
      <c r="A389" s="16"/>
      <c r="B389" s="17" t="b">
        <f t="shared" si="96"/>
        <v>0</v>
      </c>
      <c r="C389" s="17" t="b">
        <f t="shared" si="104"/>
        <v>0</v>
      </c>
      <c r="D389" s="17">
        <f t="shared" si="92"/>
        <v>1</v>
      </c>
      <c r="E389" s="17" t="str">
        <f t="shared" si="93"/>
        <v>Section 4 - Create spring-boot starter microservice, containerize it and push to DockerHub</v>
      </c>
      <c r="F389" s="18" t="str">
        <f t="shared" si="94"/>
        <v/>
      </c>
      <c r="G389" s="13" t="str">
        <f t="shared" si="97"/>
        <v/>
      </c>
      <c r="H389">
        <f t="shared" si="98"/>
        <v>0</v>
      </c>
      <c r="I389">
        <f t="shared" si="99"/>
        <v>0</v>
      </c>
      <c r="J389" s="13">
        <f t="shared" si="100"/>
        <v>65</v>
      </c>
      <c r="K389">
        <f t="shared" si="89"/>
        <v>0</v>
      </c>
      <c r="L389">
        <f t="shared" si="90"/>
        <v>1</v>
      </c>
      <c r="M389" s="13">
        <f t="shared" si="101"/>
        <v>1</v>
      </c>
      <c r="N389">
        <f t="shared" si="101"/>
        <v>4</v>
      </c>
      <c r="O389" s="14">
        <f t="shared" si="91"/>
        <v>64</v>
      </c>
      <c r="P389" s="13">
        <f t="shared" si="95"/>
        <v>1</v>
      </c>
      <c r="Q389">
        <f t="shared" si="102"/>
        <v>4</v>
      </c>
      <c r="R389" s="14">
        <f t="shared" si="103"/>
        <v>64</v>
      </c>
      <c r="S389" s="15"/>
      <c r="W389" s="14"/>
    </row>
    <row r="390" spans="1:23" x14ac:dyDescent="0.25">
      <c r="A390" s="16"/>
      <c r="B390" s="17" t="b">
        <f t="shared" si="96"/>
        <v>0</v>
      </c>
      <c r="C390" s="17" t="b">
        <f t="shared" si="104"/>
        <v>0</v>
      </c>
      <c r="D390" s="17">
        <f t="shared" si="92"/>
        <v>1</v>
      </c>
      <c r="E390" s="17" t="str">
        <f t="shared" si="93"/>
        <v>Section 4 - Create spring-boot starter microservice, containerize it and push to DockerHub</v>
      </c>
      <c r="F390" s="18" t="str">
        <f t="shared" si="94"/>
        <v/>
      </c>
      <c r="G390" s="13" t="str">
        <f t="shared" si="97"/>
        <v/>
      </c>
      <c r="H390">
        <f t="shared" si="98"/>
        <v>0</v>
      </c>
      <c r="I390">
        <f t="shared" si="99"/>
        <v>0</v>
      </c>
      <c r="J390" s="13">
        <f t="shared" si="100"/>
        <v>65</v>
      </c>
      <c r="K390">
        <f t="shared" si="89"/>
        <v>0</v>
      </c>
      <c r="L390">
        <f t="shared" si="90"/>
        <v>1</v>
      </c>
      <c r="M390" s="13">
        <f t="shared" si="101"/>
        <v>1</v>
      </c>
      <c r="N390">
        <f t="shared" si="101"/>
        <v>4</v>
      </c>
      <c r="O390" s="14">
        <f t="shared" si="91"/>
        <v>64</v>
      </c>
      <c r="P390" s="13">
        <f t="shared" si="95"/>
        <v>1</v>
      </c>
      <c r="Q390">
        <f t="shared" si="102"/>
        <v>4</v>
      </c>
      <c r="R390" s="14">
        <f t="shared" si="103"/>
        <v>64</v>
      </c>
      <c r="S390" s="15"/>
      <c r="W390" s="14"/>
    </row>
    <row r="391" spans="1:23" x14ac:dyDescent="0.25">
      <c r="A391" s="16"/>
      <c r="B391" s="17" t="b">
        <f t="shared" si="96"/>
        <v>0</v>
      </c>
      <c r="C391" s="17" t="b">
        <f t="shared" si="104"/>
        <v>0</v>
      </c>
      <c r="D391" s="17">
        <f t="shared" si="92"/>
        <v>1</v>
      </c>
      <c r="E391" s="17" t="str">
        <f t="shared" si="93"/>
        <v>Section 4 - Create spring-boot starter microservice, containerize it and push to DockerHub</v>
      </c>
      <c r="F391" s="18" t="str">
        <f t="shared" si="94"/>
        <v/>
      </c>
      <c r="G391" s="13" t="str">
        <f t="shared" si="97"/>
        <v/>
      </c>
      <c r="H391">
        <f t="shared" si="98"/>
        <v>0</v>
      </c>
      <c r="I391">
        <f t="shared" si="99"/>
        <v>0</v>
      </c>
      <c r="J391" s="13">
        <f t="shared" si="100"/>
        <v>65</v>
      </c>
      <c r="K391">
        <f t="shared" si="89"/>
        <v>0</v>
      </c>
      <c r="L391">
        <f t="shared" si="90"/>
        <v>1</v>
      </c>
      <c r="M391" s="13">
        <f t="shared" si="101"/>
        <v>1</v>
      </c>
      <c r="N391">
        <f t="shared" si="101"/>
        <v>4</v>
      </c>
      <c r="O391" s="14">
        <f t="shared" si="91"/>
        <v>64</v>
      </c>
      <c r="P391" s="13">
        <f t="shared" si="95"/>
        <v>1</v>
      </c>
      <c r="Q391">
        <f t="shared" si="102"/>
        <v>4</v>
      </c>
      <c r="R391" s="14">
        <f t="shared" si="103"/>
        <v>64</v>
      </c>
      <c r="S391" s="15"/>
      <c r="W391" s="14"/>
    </row>
    <row r="392" spans="1:23" x14ac:dyDescent="0.25">
      <c r="A392" s="16"/>
      <c r="B392" s="17" t="b">
        <f t="shared" si="96"/>
        <v>0</v>
      </c>
      <c r="C392" s="17" t="b">
        <f t="shared" si="104"/>
        <v>0</v>
      </c>
      <c r="D392" s="17">
        <f t="shared" si="92"/>
        <v>1</v>
      </c>
      <c r="E392" s="17" t="str">
        <f t="shared" si="93"/>
        <v>Section 4 - Create spring-boot starter microservice, containerize it and push to DockerHub</v>
      </c>
      <c r="F392" s="18" t="str">
        <f t="shared" si="94"/>
        <v/>
      </c>
      <c r="G392" s="13" t="str">
        <f t="shared" si="97"/>
        <v/>
      </c>
      <c r="H392">
        <f t="shared" si="98"/>
        <v>0</v>
      </c>
      <c r="I392">
        <f t="shared" si="99"/>
        <v>0</v>
      </c>
      <c r="J392" s="13">
        <f t="shared" si="100"/>
        <v>65</v>
      </c>
      <c r="K392">
        <f t="shared" si="89"/>
        <v>0</v>
      </c>
      <c r="L392">
        <f t="shared" si="90"/>
        <v>1</v>
      </c>
      <c r="M392" s="13">
        <f t="shared" si="101"/>
        <v>1</v>
      </c>
      <c r="N392">
        <f t="shared" si="101"/>
        <v>4</v>
      </c>
      <c r="O392" s="14">
        <f t="shared" si="91"/>
        <v>64</v>
      </c>
      <c r="P392" s="13">
        <f t="shared" si="95"/>
        <v>1</v>
      </c>
      <c r="Q392">
        <f t="shared" si="102"/>
        <v>4</v>
      </c>
      <c r="R392" s="14">
        <f t="shared" si="103"/>
        <v>64</v>
      </c>
      <c r="S392" s="15"/>
      <c r="W392" s="14"/>
    </row>
    <row r="393" spans="1:23" x14ac:dyDescent="0.25">
      <c r="A393" s="16"/>
      <c r="B393" s="17" t="b">
        <f t="shared" si="96"/>
        <v>0</v>
      </c>
      <c r="C393" s="17" t="b">
        <f t="shared" si="104"/>
        <v>0</v>
      </c>
      <c r="D393" s="17">
        <f t="shared" si="92"/>
        <v>1</v>
      </c>
      <c r="E393" s="17" t="str">
        <f t="shared" si="93"/>
        <v>Section 4 - Create spring-boot starter microservice, containerize it and push to DockerHub</v>
      </c>
      <c r="F393" s="18" t="str">
        <f t="shared" si="94"/>
        <v/>
      </c>
      <c r="G393" s="13" t="str">
        <f t="shared" si="97"/>
        <v/>
      </c>
      <c r="H393">
        <f t="shared" si="98"/>
        <v>0</v>
      </c>
      <c r="I393">
        <f t="shared" si="99"/>
        <v>0</v>
      </c>
      <c r="J393" s="13">
        <f t="shared" si="100"/>
        <v>65</v>
      </c>
      <c r="K393">
        <f t="shared" si="89"/>
        <v>0</v>
      </c>
      <c r="L393">
        <f t="shared" si="90"/>
        <v>1</v>
      </c>
      <c r="M393" s="13">
        <f t="shared" si="101"/>
        <v>1</v>
      </c>
      <c r="N393">
        <f t="shared" si="101"/>
        <v>4</v>
      </c>
      <c r="O393" s="14">
        <f t="shared" si="91"/>
        <v>64</v>
      </c>
      <c r="P393" s="13">
        <f t="shared" si="95"/>
        <v>1</v>
      </c>
      <c r="Q393">
        <f t="shared" si="102"/>
        <v>4</v>
      </c>
      <c r="R393" s="14">
        <f t="shared" si="103"/>
        <v>64</v>
      </c>
      <c r="S393" s="15"/>
      <c r="W393" s="14"/>
    </row>
    <row r="394" spans="1:23" x14ac:dyDescent="0.25">
      <c r="A394" s="16"/>
      <c r="B394" s="17" t="b">
        <f t="shared" si="96"/>
        <v>0</v>
      </c>
      <c r="C394" s="17" t="b">
        <f t="shared" si="104"/>
        <v>0</v>
      </c>
      <c r="D394" s="17">
        <f t="shared" si="92"/>
        <v>1</v>
      </c>
      <c r="E394" s="17" t="str">
        <f t="shared" si="93"/>
        <v>Section 4 - Create spring-boot starter microservice, containerize it and push to DockerHub</v>
      </c>
      <c r="F394" s="18" t="str">
        <f t="shared" si="94"/>
        <v/>
      </c>
      <c r="G394" s="13" t="str">
        <f t="shared" si="97"/>
        <v/>
      </c>
      <c r="H394">
        <f t="shared" si="98"/>
        <v>0</v>
      </c>
      <c r="I394">
        <f t="shared" si="99"/>
        <v>0</v>
      </c>
      <c r="J394" s="13">
        <f t="shared" si="100"/>
        <v>65</v>
      </c>
      <c r="K394">
        <f t="shared" ref="K394:K457" si="105">INT(J394/60/60)</f>
        <v>0</v>
      </c>
      <c r="L394">
        <f t="shared" ref="L394:L457" si="106">INT((J394-(K394*60*60))/60)</f>
        <v>1</v>
      </c>
      <c r="M394" s="13">
        <f t="shared" si="101"/>
        <v>1</v>
      </c>
      <c r="N394">
        <f t="shared" si="101"/>
        <v>4</v>
      </c>
      <c r="O394" s="14">
        <f t="shared" ref="O394:O457" si="107">((M394*60)+N394)</f>
        <v>64</v>
      </c>
      <c r="P394" s="13">
        <f t="shared" si="95"/>
        <v>1</v>
      </c>
      <c r="Q394">
        <f t="shared" si="102"/>
        <v>4</v>
      </c>
      <c r="R394" s="14">
        <f t="shared" si="103"/>
        <v>64</v>
      </c>
      <c r="S394" s="15"/>
      <c r="W394" s="14"/>
    </row>
    <row r="395" spans="1:23" x14ac:dyDescent="0.25">
      <c r="A395" s="16"/>
      <c r="B395" s="17" t="b">
        <f t="shared" si="96"/>
        <v>0</v>
      </c>
      <c r="C395" s="17" t="b">
        <f t="shared" si="104"/>
        <v>0</v>
      </c>
      <c r="D395" s="17">
        <f t="shared" ref="D395:D458" si="108">IF(B395,0,IF(C395,D394+1,D394))</f>
        <v>1</v>
      </c>
      <c r="E395" s="17" t="str">
        <f t="shared" ref="E395:E458" si="109">SUBSTITUTE(IF(B395,A395,E394),":"," -")</f>
        <v>Section 4 - Create spring-boot starter microservice, containerize it and push to DockerHub</v>
      </c>
      <c r="F395" s="18" t="str">
        <f t="shared" ref="F395:F458" si="110">IF(C395,A395,"")</f>
        <v/>
      </c>
      <c r="G395" s="13" t="str">
        <f t="shared" si="97"/>
        <v/>
      </c>
      <c r="H395">
        <f t="shared" si="98"/>
        <v>0</v>
      </c>
      <c r="I395">
        <f t="shared" si="99"/>
        <v>0</v>
      </c>
      <c r="J395" s="13">
        <f t="shared" si="100"/>
        <v>65</v>
      </c>
      <c r="K395">
        <f t="shared" si="105"/>
        <v>0</v>
      </c>
      <c r="L395">
        <f t="shared" si="106"/>
        <v>1</v>
      </c>
      <c r="M395" s="13">
        <f t="shared" si="101"/>
        <v>1</v>
      </c>
      <c r="N395">
        <f t="shared" si="101"/>
        <v>4</v>
      </c>
      <c r="O395" s="14">
        <f t="shared" si="107"/>
        <v>64</v>
      </c>
      <c r="P395" s="13">
        <f t="shared" ref="P395:P458" si="111">INT(R395/60)</f>
        <v>1</v>
      </c>
      <c r="Q395">
        <f t="shared" si="102"/>
        <v>4</v>
      </c>
      <c r="R395" s="14">
        <f t="shared" si="103"/>
        <v>64</v>
      </c>
      <c r="S395" s="15"/>
      <c r="W395" s="14"/>
    </row>
    <row r="396" spans="1:23" x14ac:dyDescent="0.25">
      <c r="A396" s="16"/>
      <c r="B396" s="17" t="b">
        <f t="shared" si="96"/>
        <v>0</v>
      </c>
      <c r="C396" s="17" t="b">
        <f t="shared" si="104"/>
        <v>0</v>
      </c>
      <c r="D396" s="17">
        <f t="shared" si="108"/>
        <v>1</v>
      </c>
      <c r="E396" s="17" t="str">
        <f t="shared" si="109"/>
        <v>Section 4 - Create spring-boot starter microservice, containerize it and push to DockerHub</v>
      </c>
      <c r="F396" s="18" t="str">
        <f t="shared" si="110"/>
        <v/>
      </c>
      <c r="G396" s="13" t="str">
        <f t="shared" si="97"/>
        <v/>
      </c>
      <c r="H396">
        <f t="shared" si="98"/>
        <v>0</v>
      </c>
      <c r="I396">
        <f t="shared" si="99"/>
        <v>0</v>
      </c>
      <c r="J396" s="13">
        <f t="shared" si="100"/>
        <v>65</v>
      </c>
      <c r="K396">
        <f t="shared" si="105"/>
        <v>0</v>
      </c>
      <c r="L396">
        <f t="shared" si="106"/>
        <v>1</v>
      </c>
      <c r="M396" s="13">
        <f t="shared" si="101"/>
        <v>1</v>
      </c>
      <c r="N396">
        <f t="shared" si="101"/>
        <v>4</v>
      </c>
      <c r="O396" s="14">
        <f t="shared" si="107"/>
        <v>64</v>
      </c>
      <c r="P396" s="13">
        <f t="shared" si="111"/>
        <v>1</v>
      </c>
      <c r="Q396">
        <f t="shared" si="102"/>
        <v>4</v>
      </c>
      <c r="R396" s="14">
        <f t="shared" si="103"/>
        <v>64</v>
      </c>
      <c r="S396" s="15"/>
      <c r="W396" s="14"/>
    </row>
    <row r="397" spans="1:23" x14ac:dyDescent="0.25">
      <c r="A397" s="16"/>
      <c r="B397" s="17" t="b">
        <f t="shared" si="96"/>
        <v>0</v>
      </c>
      <c r="C397" s="17" t="b">
        <f t="shared" si="104"/>
        <v>0</v>
      </c>
      <c r="D397" s="17">
        <f t="shared" si="108"/>
        <v>1</v>
      </c>
      <c r="E397" s="17" t="str">
        <f t="shared" si="109"/>
        <v>Section 4 - Create spring-boot starter microservice, containerize it and push to DockerHub</v>
      </c>
      <c r="F397" s="18" t="str">
        <f t="shared" si="110"/>
        <v/>
      </c>
      <c r="G397" s="13" t="str">
        <f t="shared" si="97"/>
        <v/>
      </c>
      <c r="H397">
        <f t="shared" si="98"/>
        <v>0</v>
      </c>
      <c r="I397">
        <f t="shared" si="99"/>
        <v>0</v>
      </c>
      <c r="J397" s="13">
        <f t="shared" si="100"/>
        <v>65</v>
      </c>
      <c r="K397">
        <f t="shared" si="105"/>
        <v>0</v>
      </c>
      <c r="L397">
        <f t="shared" si="106"/>
        <v>1</v>
      </c>
      <c r="M397" s="13">
        <f t="shared" si="101"/>
        <v>1</v>
      </c>
      <c r="N397">
        <f t="shared" si="101"/>
        <v>4</v>
      </c>
      <c r="O397" s="14">
        <f t="shared" si="107"/>
        <v>64</v>
      </c>
      <c r="P397" s="13">
        <f t="shared" si="111"/>
        <v>1</v>
      </c>
      <c r="Q397">
        <f t="shared" si="102"/>
        <v>4</v>
      </c>
      <c r="R397" s="14">
        <f t="shared" si="103"/>
        <v>64</v>
      </c>
      <c r="S397" s="15"/>
      <c r="W397" s="14"/>
    </row>
    <row r="398" spans="1:23" x14ac:dyDescent="0.25">
      <c r="A398" s="16"/>
      <c r="B398" s="17" t="b">
        <f t="shared" si="96"/>
        <v>0</v>
      </c>
      <c r="C398" s="17" t="b">
        <f t="shared" si="104"/>
        <v>0</v>
      </c>
      <c r="D398" s="17">
        <f t="shared" si="108"/>
        <v>1</v>
      </c>
      <c r="E398" s="17" t="str">
        <f t="shared" si="109"/>
        <v>Section 4 - Create spring-boot starter microservice, containerize it and push to DockerHub</v>
      </c>
      <c r="F398" s="18" t="str">
        <f t="shared" si="110"/>
        <v/>
      </c>
      <c r="G398" s="13" t="str">
        <f t="shared" si="97"/>
        <v/>
      </c>
      <c r="H398">
        <f t="shared" si="98"/>
        <v>0</v>
      </c>
      <c r="I398">
        <f t="shared" si="99"/>
        <v>0</v>
      </c>
      <c r="J398" s="13">
        <f t="shared" si="100"/>
        <v>65</v>
      </c>
      <c r="K398">
        <f t="shared" si="105"/>
        <v>0</v>
      </c>
      <c r="L398">
        <f t="shared" si="106"/>
        <v>1</v>
      </c>
      <c r="M398" s="13">
        <f t="shared" si="101"/>
        <v>1</v>
      </c>
      <c r="N398">
        <f t="shared" si="101"/>
        <v>4</v>
      </c>
      <c r="O398" s="14">
        <f t="shared" si="107"/>
        <v>64</v>
      </c>
      <c r="P398" s="13">
        <f t="shared" si="111"/>
        <v>1</v>
      </c>
      <c r="Q398">
        <f t="shared" si="102"/>
        <v>4</v>
      </c>
      <c r="R398" s="14">
        <f t="shared" si="103"/>
        <v>64</v>
      </c>
      <c r="S398" s="15"/>
      <c r="W398" s="14"/>
    </row>
    <row r="399" spans="1:23" x14ac:dyDescent="0.25">
      <c r="A399" s="16"/>
      <c r="B399" s="17" t="b">
        <f t="shared" si="96"/>
        <v>0</v>
      </c>
      <c r="C399" s="17" t="b">
        <f t="shared" si="104"/>
        <v>0</v>
      </c>
      <c r="D399" s="17">
        <f t="shared" si="108"/>
        <v>1</v>
      </c>
      <c r="E399" s="17" t="str">
        <f t="shared" si="109"/>
        <v>Section 4 - Create spring-boot starter microservice, containerize it and push to DockerHub</v>
      </c>
      <c r="F399" s="18" t="str">
        <f t="shared" si="110"/>
        <v/>
      </c>
      <c r="G399" s="13" t="str">
        <f t="shared" si="97"/>
        <v/>
      </c>
      <c r="H399">
        <f t="shared" si="98"/>
        <v>0</v>
      </c>
      <c r="I399">
        <f t="shared" si="99"/>
        <v>0</v>
      </c>
      <c r="J399" s="13">
        <f t="shared" si="100"/>
        <v>65</v>
      </c>
      <c r="K399">
        <f t="shared" si="105"/>
        <v>0</v>
      </c>
      <c r="L399">
        <f t="shared" si="106"/>
        <v>1</v>
      </c>
      <c r="M399" s="13">
        <f t="shared" si="101"/>
        <v>1</v>
      </c>
      <c r="N399">
        <f t="shared" si="101"/>
        <v>4</v>
      </c>
      <c r="O399" s="14">
        <f t="shared" si="107"/>
        <v>64</v>
      </c>
      <c r="P399" s="13">
        <f t="shared" si="111"/>
        <v>1</v>
      </c>
      <c r="Q399">
        <f t="shared" si="102"/>
        <v>4</v>
      </c>
      <c r="R399" s="14">
        <f t="shared" si="103"/>
        <v>64</v>
      </c>
      <c r="S399" s="15"/>
      <c r="W399" s="14"/>
    </row>
    <row r="400" spans="1:23" x14ac:dyDescent="0.25">
      <c r="A400" s="16"/>
      <c r="B400" s="17" t="b">
        <f t="shared" si="96"/>
        <v>0</v>
      </c>
      <c r="C400" s="17" t="b">
        <f t="shared" si="104"/>
        <v>0</v>
      </c>
      <c r="D400" s="17">
        <f t="shared" si="108"/>
        <v>1</v>
      </c>
      <c r="E400" s="17" t="str">
        <f t="shared" si="109"/>
        <v>Section 4 - Create spring-boot starter microservice, containerize it and push to DockerHub</v>
      </c>
      <c r="F400" s="18" t="str">
        <f t="shared" si="110"/>
        <v/>
      </c>
      <c r="G400" s="13" t="str">
        <f t="shared" si="97"/>
        <v/>
      </c>
      <c r="H400">
        <f t="shared" si="98"/>
        <v>0</v>
      </c>
      <c r="I400">
        <f t="shared" si="99"/>
        <v>0</v>
      </c>
      <c r="J400" s="13">
        <f t="shared" si="100"/>
        <v>65</v>
      </c>
      <c r="K400">
        <f t="shared" si="105"/>
        <v>0</v>
      </c>
      <c r="L400">
        <f t="shared" si="106"/>
        <v>1</v>
      </c>
      <c r="M400" s="13">
        <f t="shared" si="101"/>
        <v>1</v>
      </c>
      <c r="N400">
        <f t="shared" si="101"/>
        <v>4</v>
      </c>
      <c r="O400" s="14">
        <f t="shared" si="107"/>
        <v>64</v>
      </c>
      <c r="P400" s="13">
        <f t="shared" si="111"/>
        <v>1</v>
      </c>
      <c r="Q400">
        <f t="shared" si="102"/>
        <v>4</v>
      </c>
      <c r="R400" s="14">
        <f t="shared" si="103"/>
        <v>64</v>
      </c>
      <c r="S400" s="15"/>
      <c r="W400" s="14"/>
    </row>
    <row r="401" spans="1:23" x14ac:dyDescent="0.25">
      <c r="A401" s="16"/>
      <c r="B401" s="17" t="b">
        <f t="shared" si="96"/>
        <v>0</v>
      </c>
      <c r="C401" s="17" t="b">
        <f t="shared" si="104"/>
        <v>0</v>
      </c>
      <c r="D401" s="17">
        <f t="shared" si="108"/>
        <v>1</v>
      </c>
      <c r="E401" s="17" t="str">
        <f t="shared" si="109"/>
        <v>Section 4 - Create spring-boot starter microservice, containerize it and push to DockerHub</v>
      </c>
      <c r="F401" s="18" t="str">
        <f t="shared" si="110"/>
        <v/>
      </c>
      <c r="G401" s="13" t="str">
        <f t="shared" si="97"/>
        <v/>
      </c>
      <c r="H401">
        <f t="shared" si="98"/>
        <v>0</v>
      </c>
      <c r="I401">
        <f t="shared" si="99"/>
        <v>0</v>
      </c>
      <c r="J401" s="13">
        <f t="shared" si="100"/>
        <v>65</v>
      </c>
      <c r="K401">
        <f t="shared" si="105"/>
        <v>0</v>
      </c>
      <c r="L401">
        <f t="shared" si="106"/>
        <v>1</v>
      </c>
      <c r="M401" s="13">
        <f t="shared" si="101"/>
        <v>1</v>
      </c>
      <c r="N401">
        <f t="shared" si="101"/>
        <v>4</v>
      </c>
      <c r="O401" s="14">
        <f t="shared" si="107"/>
        <v>64</v>
      </c>
      <c r="P401" s="13">
        <f t="shared" si="111"/>
        <v>1</v>
      </c>
      <c r="Q401">
        <f t="shared" si="102"/>
        <v>4</v>
      </c>
      <c r="R401" s="14">
        <f t="shared" si="103"/>
        <v>64</v>
      </c>
      <c r="S401" s="15"/>
      <c r="W401" s="14"/>
    </row>
    <row r="402" spans="1:23" x14ac:dyDescent="0.25">
      <c r="A402" s="16"/>
      <c r="B402" s="17" t="b">
        <f t="shared" ref="B402:B465" si="112">AND(NOT(ISERROR(FIND("Section ",A402))),NOT(ISERROR(FIND("Section ",A402))))</f>
        <v>0</v>
      </c>
      <c r="C402" s="17" t="b">
        <f t="shared" si="104"/>
        <v>0</v>
      </c>
      <c r="D402" s="17">
        <f t="shared" si="108"/>
        <v>1</v>
      </c>
      <c r="E402" s="17" t="str">
        <f t="shared" si="109"/>
        <v>Section 4 - Create spring-boot starter microservice, containerize it and push to DockerHub</v>
      </c>
      <c r="F402" s="18" t="str">
        <f t="shared" si="110"/>
        <v/>
      </c>
      <c r="G402" s="13" t="str">
        <f t="shared" si="97"/>
        <v/>
      </c>
      <c r="H402">
        <f t="shared" si="98"/>
        <v>0</v>
      </c>
      <c r="I402">
        <f t="shared" si="99"/>
        <v>0</v>
      </c>
      <c r="J402" s="13">
        <f t="shared" si="100"/>
        <v>65</v>
      </c>
      <c r="K402">
        <f t="shared" si="105"/>
        <v>0</v>
      </c>
      <c r="L402">
        <f t="shared" si="106"/>
        <v>1</v>
      </c>
      <c r="M402" s="13">
        <f t="shared" si="101"/>
        <v>1</v>
      </c>
      <c r="N402">
        <f t="shared" si="101"/>
        <v>4</v>
      </c>
      <c r="O402" s="14">
        <f t="shared" si="107"/>
        <v>64</v>
      </c>
      <c r="P402" s="13">
        <f t="shared" si="111"/>
        <v>1</v>
      </c>
      <c r="Q402">
        <f t="shared" si="102"/>
        <v>4</v>
      </c>
      <c r="R402" s="14">
        <f t="shared" si="103"/>
        <v>64</v>
      </c>
      <c r="S402" s="15"/>
      <c r="W402" s="14"/>
    </row>
    <row r="403" spans="1:23" x14ac:dyDescent="0.25">
      <c r="A403" s="16"/>
      <c r="B403" s="17" t="b">
        <f t="shared" si="112"/>
        <v>0</v>
      </c>
      <c r="C403" s="17" t="b">
        <f t="shared" si="104"/>
        <v>0</v>
      </c>
      <c r="D403" s="17">
        <f t="shared" si="108"/>
        <v>1</v>
      </c>
      <c r="E403" s="17" t="str">
        <f t="shared" si="109"/>
        <v>Section 4 - Create spring-boot starter microservice, containerize it and push to DockerHub</v>
      </c>
      <c r="F403" s="18" t="str">
        <f t="shared" si="110"/>
        <v/>
      </c>
      <c r="G403" s="13" t="str">
        <f t="shared" si="97"/>
        <v/>
      </c>
      <c r="H403">
        <f t="shared" si="98"/>
        <v>0</v>
      </c>
      <c r="I403">
        <f t="shared" si="99"/>
        <v>0</v>
      </c>
      <c r="J403" s="13">
        <f t="shared" si="100"/>
        <v>65</v>
      </c>
      <c r="K403">
        <f t="shared" si="105"/>
        <v>0</v>
      </c>
      <c r="L403">
        <f t="shared" si="106"/>
        <v>1</v>
      </c>
      <c r="M403" s="13">
        <f t="shared" si="101"/>
        <v>1</v>
      </c>
      <c r="N403">
        <f t="shared" si="101"/>
        <v>4</v>
      </c>
      <c r="O403" s="14">
        <f t="shared" si="107"/>
        <v>64</v>
      </c>
      <c r="P403" s="13">
        <f t="shared" si="111"/>
        <v>1</v>
      </c>
      <c r="Q403">
        <f t="shared" si="102"/>
        <v>4</v>
      </c>
      <c r="R403" s="14">
        <f t="shared" si="103"/>
        <v>64</v>
      </c>
      <c r="S403" s="15"/>
      <c r="W403" s="14"/>
    </row>
    <row r="404" spans="1:23" x14ac:dyDescent="0.25">
      <c r="A404" s="16"/>
      <c r="B404" s="17" t="b">
        <f t="shared" si="112"/>
        <v>0</v>
      </c>
      <c r="C404" s="17" t="b">
        <f t="shared" si="104"/>
        <v>0</v>
      </c>
      <c r="D404" s="17">
        <f t="shared" si="108"/>
        <v>1</v>
      </c>
      <c r="E404" s="17" t="str">
        <f t="shared" si="109"/>
        <v>Section 4 - Create spring-boot starter microservice, containerize it and push to DockerHub</v>
      </c>
      <c r="F404" s="18" t="str">
        <f t="shared" si="110"/>
        <v/>
      </c>
      <c r="G404" s="13" t="str">
        <f t="shared" si="97"/>
        <v/>
      </c>
      <c r="H404">
        <f t="shared" si="98"/>
        <v>0</v>
      </c>
      <c r="I404">
        <f t="shared" si="99"/>
        <v>0</v>
      </c>
      <c r="J404" s="13">
        <f t="shared" si="100"/>
        <v>65</v>
      </c>
      <c r="K404">
        <f t="shared" si="105"/>
        <v>0</v>
      </c>
      <c r="L404">
        <f t="shared" si="106"/>
        <v>1</v>
      </c>
      <c r="M404" s="13">
        <f t="shared" si="101"/>
        <v>1</v>
      </c>
      <c r="N404">
        <f t="shared" si="101"/>
        <v>4</v>
      </c>
      <c r="O404" s="14">
        <f t="shared" si="107"/>
        <v>64</v>
      </c>
      <c r="P404" s="13">
        <f t="shared" si="111"/>
        <v>1</v>
      </c>
      <c r="Q404">
        <f t="shared" si="102"/>
        <v>4</v>
      </c>
      <c r="R404" s="14">
        <f t="shared" si="103"/>
        <v>64</v>
      </c>
      <c r="S404" s="15"/>
      <c r="W404" s="14"/>
    </row>
    <row r="405" spans="1:23" x14ac:dyDescent="0.25">
      <c r="A405" s="16"/>
      <c r="B405" s="17" t="b">
        <f t="shared" si="112"/>
        <v>0</v>
      </c>
      <c r="C405" s="17" t="b">
        <f t="shared" si="104"/>
        <v>0</v>
      </c>
      <c r="D405" s="17">
        <f t="shared" si="108"/>
        <v>1</v>
      </c>
      <c r="E405" s="17" t="str">
        <f t="shared" si="109"/>
        <v>Section 4 - Create spring-boot starter microservice, containerize it and push to DockerHub</v>
      </c>
      <c r="F405" s="18" t="str">
        <f t="shared" si="110"/>
        <v/>
      </c>
      <c r="G405" s="13" t="str">
        <f t="shared" ref="G405:G468" si="113">IF(C405,A406,"")</f>
        <v/>
      </c>
      <c r="H405">
        <f t="shared" ref="H405:H468" si="114">VALUE(IF(NOT(ISERROR(FIND("hr",G405))),LEFT(G405,FIND("hr",G405)-1),0))</f>
        <v>0</v>
      </c>
      <c r="I405">
        <f t="shared" ref="I405:I468" si="115">VALUE(IF(ISERROR(FIND("min",G405)),0,SUBSTITUTE(MID(G405,IF(ISERROR(FIND("hr ",G405)),1,FIND("hr ",G405)+3),LEN(G405)),"min","")))</f>
        <v>0</v>
      </c>
      <c r="J405" s="13">
        <f t="shared" ref="J405:J468" si="116">J404+(H405*60+I405)</f>
        <v>65</v>
      </c>
      <c r="K405">
        <f t="shared" si="105"/>
        <v>0</v>
      </c>
      <c r="L405">
        <f t="shared" si="106"/>
        <v>1</v>
      </c>
      <c r="M405" s="13">
        <f t="shared" ref="M405:N468" si="117">P404</f>
        <v>1</v>
      </c>
      <c r="N405">
        <f t="shared" si="117"/>
        <v>4</v>
      </c>
      <c r="O405" s="14">
        <f t="shared" si="107"/>
        <v>64</v>
      </c>
      <c r="P405" s="13">
        <f t="shared" si="111"/>
        <v>1</v>
      </c>
      <c r="Q405">
        <f t="shared" ref="Q405:Q468" si="118">R405-(P405*60)</f>
        <v>4</v>
      </c>
      <c r="R405" s="14">
        <f t="shared" ref="R405:R468" si="119">((H405*60)+I405)+O405</f>
        <v>64</v>
      </c>
      <c r="S405" s="15"/>
      <c r="W405" s="14"/>
    </row>
    <row r="406" spans="1:23" x14ac:dyDescent="0.25">
      <c r="A406" s="16"/>
      <c r="B406" s="17" t="b">
        <f t="shared" si="112"/>
        <v>0</v>
      </c>
      <c r="C406" s="17" t="b">
        <f t="shared" si="104"/>
        <v>0</v>
      </c>
      <c r="D406" s="17">
        <f t="shared" si="108"/>
        <v>1</v>
      </c>
      <c r="E406" s="17" t="str">
        <f t="shared" si="109"/>
        <v>Section 4 - Create spring-boot starter microservice, containerize it and push to DockerHub</v>
      </c>
      <c r="F406" s="18" t="str">
        <f t="shared" si="110"/>
        <v/>
      </c>
      <c r="G406" s="13" t="str">
        <f t="shared" si="113"/>
        <v/>
      </c>
      <c r="H406">
        <f t="shared" si="114"/>
        <v>0</v>
      </c>
      <c r="I406">
        <f t="shared" si="115"/>
        <v>0</v>
      </c>
      <c r="J406" s="13">
        <f t="shared" si="116"/>
        <v>65</v>
      </c>
      <c r="K406">
        <f t="shared" si="105"/>
        <v>0</v>
      </c>
      <c r="L406">
        <f t="shared" si="106"/>
        <v>1</v>
      </c>
      <c r="M406" s="13">
        <f t="shared" si="117"/>
        <v>1</v>
      </c>
      <c r="N406">
        <f t="shared" si="117"/>
        <v>4</v>
      </c>
      <c r="O406" s="14">
        <f t="shared" si="107"/>
        <v>64</v>
      </c>
      <c r="P406" s="13">
        <f t="shared" si="111"/>
        <v>1</v>
      </c>
      <c r="Q406">
        <f t="shared" si="118"/>
        <v>4</v>
      </c>
      <c r="R406" s="14">
        <f t="shared" si="119"/>
        <v>64</v>
      </c>
      <c r="S406" s="15"/>
      <c r="W406" s="14"/>
    </row>
    <row r="407" spans="1:23" x14ac:dyDescent="0.25">
      <c r="A407" s="16"/>
      <c r="B407" s="17" t="b">
        <f t="shared" si="112"/>
        <v>0</v>
      </c>
      <c r="C407" s="17" t="b">
        <f t="shared" si="104"/>
        <v>0</v>
      </c>
      <c r="D407" s="17">
        <f t="shared" si="108"/>
        <v>1</v>
      </c>
      <c r="E407" s="17" t="str">
        <f t="shared" si="109"/>
        <v>Section 4 - Create spring-boot starter microservice, containerize it and push to DockerHub</v>
      </c>
      <c r="F407" s="18" t="str">
        <f t="shared" si="110"/>
        <v/>
      </c>
      <c r="G407" s="13" t="str">
        <f t="shared" si="113"/>
        <v/>
      </c>
      <c r="H407">
        <f t="shared" si="114"/>
        <v>0</v>
      </c>
      <c r="I407">
        <f t="shared" si="115"/>
        <v>0</v>
      </c>
      <c r="J407" s="13">
        <f t="shared" si="116"/>
        <v>65</v>
      </c>
      <c r="K407">
        <f t="shared" si="105"/>
        <v>0</v>
      </c>
      <c r="L407">
        <f t="shared" si="106"/>
        <v>1</v>
      </c>
      <c r="M407" s="13">
        <f t="shared" si="117"/>
        <v>1</v>
      </c>
      <c r="N407">
        <f t="shared" si="117"/>
        <v>4</v>
      </c>
      <c r="O407" s="14">
        <f t="shared" si="107"/>
        <v>64</v>
      </c>
      <c r="P407" s="13">
        <f t="shared" si="111"/>
        <v>1</v>
      </c>
      <c r="Q407">
        <f t="shared" si="118"/>
        <v>4</v>
      </c>
      <c r="R407" s="14">
        <f t="shared" si="119"/>
        <v>64</v>
      </c>
      <c r="S407" s="15"/>
      <c r="W407" s="14"/>
    </row>
    <row r="408" spans="1:23" x14ac:dyDescent="0.25">
      <c r="A408" s="16"/>
      <c r="B408" s="17" t="b">
        <f t="shared" si="112"/>
        <v>0</v>
      </c>
      <c r="C408" s="17" t="b">
        <f t="shared" si="104"/>
        <v>0</v>
      </c>
      <c r="D408" s="17">
        <f t="shared" si="108"/>
        <v>1</v>
      </c>
      <c r="E408" s="17" t="str">
        <f t="shared" si="109"/>
        <v>Section 4 - Create spring-boot starter microservice, containerize it and push to DockerHub</v>
      </c>
      <c r="F408" s="18" t="str">
        <f t="shared" si="110"/>
        <v/>
      </c>
      <c r="G408" s="13" t="str">
        <f t="shared" si="113"/>
        <v/>
      </c>
      <c r="H408">
        <f t="shared" si="114"/>
        <v>0</v>
      </c>
      <c r="I408">
        <f t="shared" si="115"/>
        <v>0</v>
      </c>
      <c r="J408" s="13">
        <f t="shared" si="116"/>
        <v>65</v>
      </c>
      <c r="K408">
        <f t="shared" si="105"/>
        <v>0</v>
      </c>
      <c r="L408">
        <f t="shared" si="106"/>
        <v>1</v>
      </c>
      <c r="M408" s="13">
        <f t="shared" si="117"/>
        <v>1</v>
      </c>
      <c r="N408">
        <f t="shared" si="117"/>
        <v>4</v>
      </c>
      <c r="O408" s="14">
        <f t="shared" si="107"/>
        <v>64</v>
      </c>
      <c r="P408" s="13">
        <f t="shared" si="111"/>
        <v>1</v>
      </c>
      <c r="Q408">
        <f t="shared" si="118"/>
        <v>4</v>
      </c>
      <c r="R408" s="14">
        <f t="shared" si="119"/>
        <v>64</v>
      </c>
      <c r="S408" s="15"/>
      <c r="W408" s="14"/>
    </row>
    <row r="409" spans="1:23" x14ac:dyDescent="0.25">
      <c r="A409" s="16"/>
      <c r="B409" s="17" t="b">
        <f t="shared" si="112"/>
        <v>0</v>
      </c>
      <c r="C409" s="17" t="b">
        <f t="shared" si="104"/>
        <v>0</v>
      </c>
      <c r="D409" s="17">
        <f t="shared" si="108"/>
        <v>1</v>
      </c>
      <c r="E409" s="17" t="str">
        <f t="shared" si="109"/>
        <v>Section 4 - Create spring-boot starter microservice, containerize it and push to DockerHub</v>
      </c>
      <c r="F409" s="18" t="str">
        <f t="shared" si="110"/>
        <v/>
      </c>
      <c r="G409" s="13" t="str">
        <f t="shared" si="113"/>
        <v/>
      </c>
      <c r="H409">
        <f t="shared" si="114"/>
        <v>0</v>
      </c>
      <c r="I409">
        <f t="shared" si="115"/>
        <v>0</v>
      </c>
      <c r="J409" s="13">
        <f t="shared" si="116"/>
        <v>65</v>
      </c>
      <c r="K409">
        <f t="shared" si="105"/>
        <v>0</v>
      </c>
      <c r="L409">
        <f t="shared" si="106"/>
        <v>1</v>
      </c>
      <c r="M409" s="13">
        <f t="shared" si="117"/>
        <v>1</v>
      </c>
      <c r="N409">
        <f t="shared" si="117"/>
        <v>4</v>
      </c>
      <c r="O409" s="14">
        <f t="shared" si="107"/>
        <v>64</v>
      </c>
      <c r="P409" s="13">
        <f t="shared" si="111"/>
        <v>1</v>
      </c>
      <c r="Q409">
        <f t="shared" si="118"/>
        <v>4</v>
      </c>
      <c r="R409" s="14">
        <f t="shared" si="119"/>
        <v>64</v>
      </c>
      <c r="S409" s="15"/>
      <c r="W409" s="14"/>
    </row>
    <row r="410" spans="1:23" x14ac:dyDescent="0.25">
      <c r="A410" s="16"/>
      <c r="B410" s="17" t="b">
        <f t="shared" si="112"/>
        <v>0</v>
      </c>
      <c r="C410" s="17" t="b">
        <f t="shared" si="104"/>
        <v>0</v>
      </c>
      <c r="D410" s="17">
        <f t="shared" si="108"/>
        <v>1</v>
      </c>
      <c r="E410" s="17" t="str">
        <f t="shared" si="109"/>
        <v>Section 4 - Create spring-boot starter microservice, containerize it and push to DockerHub</v>
      </c>
      <c r="F410" s="18" t="str">
        <f t="shared" si="110"/>
        <v/>
      </c>
      <c r="G410" s="13" t="str">
        <f t="shared" si="113"/>
        <v/>
      </c>
      <c r="H410">
        <f t="shared" si="114"/>
        <v>0</v>
      </c>
      <c r="I410">
        <f t="shared" si="115"/>
        <v>0</v>
      </c>
      <c r="J410" s="13">
        <f t="shared" si="116"/>
        <v>65</v>
      </c>
      <c r="K410">
        <f t="shared" si="105"/>
        <v>0</v>
      </c>
      <c r="L410">
        <f t="shared" si="106"/>
        <v>1</v>
      </c>
      <c r="M410" s="13">
        <f t="shared" si="117"/>
        <v>1</v>
      </c>
      <c r="N410">
        <f t="shared" si="117"/>
        <v>4</v>
      </c>
      <c r="O410" s="14">
        <f t="shared" si="107"/>
        <v>64</v>
      </c>
      <c r="P410" s="13">
        <f t="shared" si="111"/>
        <v>1</v>
      </c>
      <c r="Q410">
        <f t="shared" si="118"/>
        <v>4</v>
      </c>
      <c r="R410" s="14">
        <f t="shared" si="119"/>
        <v>64</v>
      </c>
      <c r="S410" s="15"/>
      <c r="W410" s="14"/>
    </row>
    <row r="411" spans="1:23" x14ac:dyDescent="0.25">
      <c r="A411" s="16"/>
      <c r="B411" s="17" t="b">
        <f t="shared" si="112"/>
        <v>0</v>
      </c>
      <c r="C411" s="17" t="b">
        <f t="shared" si="104"/>
        <v>0</v>
      </c>
      <c r="D411" s="17">
        <f t="shared" si="108"/>
        <v>1</v>
      </c>
      <c r="E411" s="17" t="str">
        <f t="shared" si="109"/>
        <v>Section 4 - Create spring-boot starter microservice, containerize it and push to DockerHub</v>
      </c>
      <c r="F411" s="18" t="str">
        <f t="shared" si="110"/>
        <v/>
      </c>
      <c r="G411" s="13" t="str">
        <f t="shared" si="113"/>
        <v/>
      </c>
      <c r="H411">
        <f t="shared" si="114"/>
        <v>0</v>
      </c>
      <c r="I411">
        <f t="shared" si="115"/>
        <v>0</v>
      </c>
      <c r="J411" s="13">
        <f t="shared" si="116"/>
        <v>65</v>
      </c>
      <c r="K411">
        <f t="shared" si="105"/>
        <v>0</v>
      </c>
      <c r="L411">
        <f t="shared" si="106"/>
        <v>1</v>
      </c>
      <c r="M411" s="13">
        <f t="shared" si="117"/>
        <v>1</v>
      </c>
      <c r="N411">
        <f t="shared" si="117"/>
        <v>4</v>
      </c>
      <c r="O411" s="14">
        <f t="shared" si="107"/>
        <v>64</v>
      </c>
      <c r="P411" s="13">
        <f t="shared" si="111"/>
        <v>1</v>
      </c>
      <c r="Q411">
        <f t="shared" si="118"/>
        <v>4</v>
      </c>
      <c r="R411" s="14">
        <f t="shared" si="119"/>
        <v>64</v>
      </c>
      <c r="S411" s="15"/>
      <c r="W411" s="14"/>
    </row>
    <row r="412" spans="1:23" x14ac:dyDescent="0.25">
      <c r="A412" s="16"/>
      <c r="B412" s="17" t="b">
        <f t="shared" si="112"/>
        <v>0</v>
      </c>
      <c r="C412" s="17" t="b">
        <f t="shared" si="104"/>
        <v>0</v>
      </c>
      <c r="D412" s="17">
        <f t="shared" si="108"/>
        <v>1</v>
      </c>
      <c r="E412" s="17" t="str">
        <f t="shared" si="109"/>
        <v>Section 4 - Create spring-boot starter microservice, containerize it and push to DockerHub</v>
      </c>
      <c r="F412" s="18" t="str">
        <f t="shared" si="110"/>
        <v/>
      </c>
      <c r="G412" s="13" t="str">
        <f t="shared" si="113"/>
        <v/>
      </c>
      <c r="H412">
        <f t="shared" si="114"/>
        <v>0</v>
      </c>
      <c r="I412">
        <f t="shared" si="115"/>
        <v>0</v>
      </c>
      <c r="J412" s="13">
        <f t="shared" si="116"/>
        <v>65</v>
      </c>
      <c r="K412">
        <f t="shared" si="105"/>
        <v>0</v>
      </c>
      <c r="L412">
        <f t="shared" si="106"/>
        <v>1</v>
      </c>
      <c r="M412" s="13">
        <f t="shared" si="117"/>
        <v>1</v>
      </c>
      <c r="N412">
        <f t="shared" si="117"/>
        <v>4</v>
      </c>
      <c r="O412" s="14">
        <f t="shared" si="107"/>
        <v>64</v>
      </c>
      <c r="P412" s="13">
        <f t="shared" si="111"/>
        <v>1</v>
      </c>
      <c r="Q412">
        <f t="shared" si="118"/>
        <v>4</v>
      </c>
      <c r="R412" s="14">
        <f t="shared" si="119"/>
        <v>64</v>
      </c>
      <c r="S412" s="15"/>
      <c r="W412" s="14"/>
    </row>
    <row r="413" spans="1:23" x14ac:dyDescent="0.25">
      <c r="A413" s="16"/>
      <c r="B413" s="17" t="b">
        <f t="shared" si="112"/>
        <v>0</v>
      </c>
      <c r="C413" s="17" t="b">
        <f t="shared" si="104"/>
        <v>0</v>
      </c>
      <c r="D413" s="17">
        <f t="shared" si="108"/>
        <v>1</v>
      </c>
      <c r="E413" s="17" t="str">
        <f t="shared" si="109"/>
        <v>Section 4 - Create spring-boot starter microservice, containerize it and push to DockerHub</v>
      </c>
      <c r="F413" s="18" t="str">
        <f t="shared" si="110"/>
        <v/>
      </c>
      <c r="G413" s="13" t="str">
        <f t="shared" si="113"/>
        <v/>
      </c>
      <c r="H413">
        <f t="shared" si="114"/>
        <v>0</v>
      </c>
      <c r="I413">
        <f t="shared" si="115"/>
        <v>0</v>
      </c>
      <c r="J413" s="13">
        <f t="shared" si="116"/>
        <v>65</v>
      </c>
      <c r="K413">
        <f t="shared" si="105"/>
        <v>0</v>
      </c>
      <c r="L413">
        <f t="shared" si="106"/>
        <v>1</v>
      </c>
      <c r="M413" s="13">
        <f t="shared" si="117"/>
        <v>1</v>
      </c>
      <c r="N413">
        <f t="shared" si="117"/>
        <v>4</v>
      </c>
      <c r="O413" s="14">
        <f t="shared" si="107"/>
        <v>64</v>
      </c>
      <c r="P413" s="13">
        <f t="shared" si="111"/>
        <v>1</v>
      </c>
      <c r="Q413">
        <f t="shared" si="118"/>
        <v>4</v>
      </c>
      <c r="R413" s="14">
        <f t="shared" si="119"/>
        <v>64</v>
      </c>
      <c r="S413" s="15"/>
      <c r="W413" s="14"/>
    </row>
    <row r="414" spans="1:23" x14ac:dyDescent="0.25">
      <c r="A414" s="16"/>
      <c r="B414" s="17" t="b">
        <f t="shared" si="112"/>
        <v>0</v>
      </c>
      <c r="C414" s="17" t="b">
        <f t="shared" si="104"/>
        <v>0</v>
      </c>
      <c r="D414" s="17">
        <f t="shared" si="108"/>
        <v>1</v>
      </c>
      <c r="E414" s="17" t="str">
        <f t="shared" si="109"/>
        <v>Section 4 - Create spring-boot starter microservice, containerize it and push to DockerHub</v>
      </c>
      <c r="F414" s="18" t="str">
        <f t="shared" si="110"/>
        <v/>
      </c>
      <c r="G414" s="13" t="str">
        <f t="shared" si="113"/>
        <v/>
      </c>
      <c r="H414">
        <f t="shared" si="114"/>
        <v>0</v>
      </c>
      <c r="I414">
        <f t="shared" si="115"/>
        <v>0</v>
      </c>
      <c r="J414" s="13">
        <f t="shared" si="116"/>
        <v>65</v>
      </c>
      <c r="K414">
        <f t="shared" si="105"/>
        <v>0</v>
      </c>
      <c r="L414">
        <f t="shared" si="106"/>
        <v>1</v>
      </c>
      <c r="M414" s="13">
        <f t="shared" si="117"/>
        <v>1</v>
      </c>
      <c r="N414">
        <f t="shared" si="117"/>
        <v>4</v>
      </c>
      <c r="O414" s="14">
        <f t="shared" si="107"/>
        <v>64</v>
      </c>
      <c r="P414" s="13">
        <f t="shared" si="111"/>
        <v>1</v>
      </c>
      <c r="Q414">
        <f t="shared" si="118"/>
        <v>4</v>
      </c>
      <c r="R414" s="14">
        <f t="shared" si="119"/>
        <v>64</v>
      </c>
      <c r="S414" s="15"/>
      <c r="W414" s="14"/>
    </row>
    <row r="415" spans="1:23" x14ac:dyDescent="0.25">
      <c r="A415" s="16"/>
      <c r="B415" s="17" t="b">
        <f t="shared" si="112"/>
        <v>0</v>
      </c>
      <c r="C415" s="17" t="b">
        <f t="shared" si="104"/>
        <v>0</v>
      </c>
      <c r="D415" s="17">
        <f t="shared" si="108"/>
        <v>1</v>
      </c>
      <c r="E415" s="17" t="str">
        <f t="shared" si="109"/>
        <v>Section 4 - Create spring-boot starter microservice, containerize it and push to DockerHub</v>
      </c>
      <c r="F415" s="18" t="str">
        <f t="shared" si="110"/>
        <v/>
      </c>
      <c r="G415" s="13" t="str">
        <f t="shared" si="113"/>
        <v/>
      </c>
      <c r="H415">
        <f t="shared" si="114"/>
        <v>0</v>
      </c>
      <c r="I415">
        <f t="shared" si="115"/>
        <v>0</v>
      </c>
      <c r="J415" s="13">
        <f t="shared" si="116"/>
        <v>65</v>
      </c>
      <c r="K415">
        <f t="shared" si="105"/>
        <v>0</v>
      </c>
      <c r="L415">
        <f t="shared" si="106"/>
        <v>1</v>
      </c>
      <c r="M415" s="13">
        <f t="shared" si="117"/>
        <v>1</v>
      </c>
      <c r="N415">
        <f t="shared" si="117"/>
        <v>4</v>
      </c>
      <c r="O415" s="14">
        <f t="shared" si="107"/>
        <v>64</v>
      </c>
      <c r="P415" s="13">
        <f t="shared" si="111"/>
        <v>1</v>
      </c>
      <c r="Q415">
        <f t="shared" si="118"/>
        <v>4</v>
      </c>
      <c r="R415" s="14">
        <f t="shared" si="119"/>
        <v>64</v>
      </c>
      <c r="S415" s="15"/>
      <c r="W415" s="14"/>
    </row>
    <row r="416" spans="1:23" x14ac:dyDescent="0.25">
      <c r="A416" s="16"/>
      <c r="B416" s="17" t="b">
        <f t="shared" si="112"/>
        <v>0</v>
      </c>
      <c r="C416" s="17" t="b">
        <f t="shared" si="104"/>
        <v>0</v>
      </c>
      <c r="D416" s="17">
        <f t="shared" si="108"/>
        <v>1</v>
      </c>
      <c r="E416" s="17" t="str">
        <f t="shared" si="109"/>
        <v>Section 4 - Create spring-boot starter microservice, containerize it and push to DockerHub</v>
      </c>
      <c r="F416" s="18" t="str">
        <f t="shared" si="110"/>
        <v/>
      </c>
      <c r="G416" s="13" t="str">
        <f t="shared" si="113"/>
        <v/>
      </c>
      <c r="H416">
        <f t="shared" si="114"/>
        <v>0</v>
      </c>
      <c r="I416">
        <f t="shared" si="115"/>
        <v>0</v>
      </c>
      <c r="J416" s="13">
        <f t="shared" si="116"/>
        <v>65</v>
      </c>
      <c r="K416">
        <f t="shared" si="105"/>
        <v>0</v>
      </c>
      <c r="L416">
        <f t="shared" si="106"/>
        <v>1</v>
      </c>
      <c r="M416" s="13">
        <f t="shared" si="117"/>
        <v>1</v>
      </c>
      <c r="N416">
        <f t="shared" si="117"/>
        <v>4</v>
      </c>
      <c r="O416" s="14">
        <f t="shared" si="107"/>
        <v>64</v>
      </c>
      <c r="P416" s="13">
        <f t="shared" si="111"/>
        <v>1</v>
      </c>
      <c r="Q416">
        <f t="shared" si="118"/>
        <v>4</v>
      </c>
      <c r="R416" s="14">
        <f t="shared" si="119"/>
        <v>64</v>
      </c>
      <c r="S416" s="15"/>
      <c r="W416" s="14"/>
    </row>
    <row r="417" spans="1:23" x14ac:dyDescent="0.25">
      <c r="A417" s="16"/>
      <c r="B417" s="17" t="b">
        <f t="shared" si="112"/>
        <v>0</v>
      </c>
      <c r="C417" s="17" t="b">
        <f t="shared" si="104"/>
        <v>0</v>
      </c>
      <c r="D417" s="17">
        <f t="shared" si="108"/>
        <v>1</v>
      </c>
      <c r="E417" s="17" t="str">
        <f t="shared" si="109"/>
        <v>Section 4 - Create spring-boot starter microservice, containerize it and push to DockerHub</v>
      </c>
      <c r="F417" s="18" t="str">
        <f t="shared" si="110"/>
        <v/>
      </c>
      <c r="G417" s="13" t="str">
        <f t="shared" si="113"/>
        <v/>
      </c>
      <c r="H417">
        <f t="shared" si="114"/>
        <v>0</v>
      </c>
      <c r="I417">
        <f t="shared" si="115"/>
        <v>0</v>
      </c>
      <c r="J417" s="13">
        <f t="shared" si="116"/>
        <v>65</v>
      </c>
      <c r="K417">
        <f t="shared" si="105"/>
        <v>0</v>
      </c>
      <c r="L417">
        <f t="shared" si="106"/>
        <v>1</v>
      </c>
      <c r="M417" s="13">
        <f t="shared" si="117"/>
        <v>1</v>
      </c>
      <c r="N417">
        <f t="shared" si="117"/>
        <v>4</v>
      </c>
      <c r="O417" s="14">
        <f t="shared" si="107"/>
        <v>64</v>
      </c>
      <c r="P417" s="13">
        <f t="shared" si="111"/>
        <v>1</v>
      </c>
      <c r="Q417">
        <f t="shared" si="118"/>
        <v>4</v>
      </c>
      <c r="R417" s="14">
        <f t="shared" si="119"/>
        <v>64</v>
      </c>
      <c r="S417" s="15"/>
      <c r="W417" s="14"/>
    </row>
    <row r="418" spans="1:23" x14ac:dyDescent="0.25">
      <c r="A418" s="16"/>
      <c r="B418" s="17" t="b">
        <f t="shared" si="112"/>
        <v>0</v>
      </c>
      <c r="C418" s="17" t="b">
        <f t="shared" si="104"/>
        <v>0</v>
      </c>
      <c r="D418" s="17">
        <f t="shared" si="108"/>
        <v>1</v>
      </c>
      <c r="E418" s="17" t="str">
        <f t="shared" si="109"/>
        <v>Section 4 - Create spring-boot starter microservice, containerize it and push to DockerHub</v>
      </c>
      <c r="F418" s="18" t="str">
        <f t="shared" si="110"/>
        <v/>
      </c>
      <c r="G418" s="13" t="str">
        <f t="shared" si="113"/>
        <v/>
      </c>
      <c r="H418">
        <f t="shared" si="114"/>
        <v>0</v>
      </c>
      <c r="I418">
        <f t="shared" si="115"/>
        <v>0</v>
      </c>
      <c r="J418" s="13">
        <f t="shared" si="116"/>
        <v>65</v>
      </c>
      <c r="K418">
        <f t="shared" si="105"/>
        <v>0</v>
      </c>
      <c r="L418">
        <f t="shared" si="106"/>
        <v>1</v>
      </c>
      <c r="M418" s="13">
        <f t="shared" si="117"/>
        <v>1</v>
      </c>
      <c r="N418">
        <f t="shared" si="117"/>
        <v>4</v>
      </c>
      <c r="O418" s="14">
        <f t="shared" si="107"/>
        <v>64</v>
      </c>
      <c r="P418" s="13">
        <f t="shared" si="111"/>
        <v>1</v>
      </c>
      <c r="Q418">
        <f t="shared" si="118"/>
        <v>4</v>
      </c>
      <c r="R418" s="14">
        <f t="shared" si="119"/>
        <v>64</v>
      </c>
      <c r="S418" s="15"/>
      <c r="W418" s="14"/>
    </row>
    <row r="419" spans="1:23" x14ac:dyDescent="0.25">
      <c r="A419" s="16"/>
      <c r="B419" s="17" t="b">
        <f t="shared" si="112"/>
        <v>0</v>
      </c>
      <c r="C419" s="17" t="b">
        <f t="shared" si="104"/>
        <v>0</v>
      </c>
      <c r="D419" s="17">
        <f t="shared" si="108"/>
        <v>1</v>
      </c>
      <c r="E419" s="17" t="str">
        <f t="shared" si="109"/>
        <v>Section 4 - Create spring-boot starter microservice, containerize it and push to DockerHub</v>
      </c>
      <c r="F419" s="18" t="str">
        <f t="shared" si="110"/>
        <v/>
      </c>
      <c r="G419" s="13" t="str">
        <f t="shared" si="113"/>
        <v/>
      </c>
      <c r="H419">
        <f t="shared" si="114"/>
        <v>0</v>
      </c>
      <c r="I419">
        <f t="shared" si="115"/>
        <v>0</v>
      </c>
      <c r="J419" s="13">
        <f t="shared" si="116"/>
        <v>65</v>
      </c>
      <c r="K419">
        <f t="shared" si="105"/>
        <v>0</v>
      </c>
      <c r="L419">
        <f t="shared" si="106"/>
        <v>1</v>
      </c>
      <c r="M419" s="13">
        <f t="shared" si="117"/>
        <v>1</v>
      </c>
      <c r="N419">
        <f t="shared" si="117"/>
        <v>4</v>
      </c>
      <c r="O419" s="14">
        <f t="shared" si="107"/>
        <v>64</v>
      </c>
      <c r="P419" s="13">
        <f t="shared" si="111"/>
        <v>1</v>
      </c>
      <c r="Q419">
        <f t="shared" si="118"/>
        <v>4</v>
      </c>
      <c r="R419" s="14">
        <f t="shared" si="119"/>
        <v>64</v>
      </c>
      <c r="S419" s="15"/>
      <c r="W419" s="14"/>
    </row>
    <row r="420" spans="1:23" x14ac:dyDescent="0.25">
      <c r="A420" s="16"/>
      <c r="B420" s="17" t="b">
        <f t="shared" si="112"/>
        <v>0</v>
      </c>
      <c r="C420" s="17" t="b">
        <f t="shared" si="104"/>
        <v>0</v>
      </c>
      <c r="D420" s="17">
        <f t="shared" si="108"/>
        <v>1</v>
      </c>
      <c r="E420" s="17" t="str">
        <f t="shared" si="109"/>
        <v>Section 4 - Create spring-boot starter microservice, containerize it and push to DockerHub</v>
      </c>
      <c r="F420" s="18" t="str">
        <f t="shared" si="110"/>
        <v/>
      </c>
      <c r="G420" s="13" t="str">
        <f t="shared" si="113"/>
        <v/>
      </c>
      <c r="H420">
        <f t="shared" si="114"/>
        <v>0</v>
      </c>
      <c r="I420">
        <f t="shared" si="115"/>
        <v>0</v>
      </c>
      <c r="J420" s="13">
        <f t="shared" si="116"/>
        <v>65</v>
      </c>
      <c r="K420">
        <f t="shared" si="105"/>
        <v>0</v>
      </c>
      <c r="L420">
        <f t="shared" si="106"/>
        <v>1</v>
      </c>
      <c r="M420" s="13">
        <f t="shared" si="117"/>
        <v>1</v>
      </c>
      <c r="N420">
        <f t="shared" si="117"/>
        <v>4</v>
      </c>
      <c r="O420" s="14">
        <f t="shared" si="107"/>
        <v>64</v>
      </c>
      <c r="P420" s="13">
        <f t="shared" si="111"/>
        <v>1</v>
      </c>
      <c r="Q420">
        <f t="shared" si="118"/>
        <v>4</v>
      </c>
      <c r="R420" s="14">
        <f t="shared" si="119"/>
        <v>64</v>
      </c>
      <c r="S420" s="15"/>
      <c r="W420" s="14"/>
    </row>
    <row r="421" spans="1:23" x14ac:dyDescent="0.25">
      <c r="A421" s="16"/>
      <c r="B421" s="17" t="b">
        <f t="shared" si="112"/>
        <v>0</v>
      </c>
      <c r="C421" s="17" t="b">
        <f t="shared" si="104"/>
        <v>0</v>
      </c>
      <c r="D421" s="17">
        <f t="shared" si="108"/>
        <v>1</v>
      </c>
      <c r="E421" s="17" t="str">
        <f t="shared" si="109"/>
        <v>Section 4 - Create spring-boot starter microservice, containerize it and push to DockerHub</v>
      </c>
      <c r="F421" s="18" t="str">
        <f t="shared" si="110"/>
        <v/>
      </c>
      <c r="G421" s="13" t="str">
        <f t="shared" si="113"/>
        <v/>
      </c>
      <c r="H421">
        <f t="shared" si="114"/>
        <v>0</v>
      </c>
      <c r="I421">
        <f t="shared" si="115"/>
        <v>0</v>
      </c>
      <c r="J421" s="13">
        <f t="shared" si="116"/>
        <v>65</v>
      </c>
      <c r="K421">
        <f t="shared" si="105"/>
        <v>0</v>
      </c>
      <c r="L421">
        <f t="shared" si="106"/>
        <v>1</v>
      </c>
      <c r="M421" s="13">
        <f t="shared" si="117"/>
        <v>1</v>
      </c>
      <c r="N421">
        <f t="shared" si="117"/>
        <v>4</v>
      </c>
      <c r="O421" s="14">
        <f t="shared" si="107"/>
        <v>64</v>
      </c>
      <c r="P421" s="13">
        <f t="shared" si="111"/>
        <v>1</v>
      </c>
      <c r="Q421">
        <f t="shared" si="118"/>
        <v>4</v>
      </c>
      <c r="R421" s="14">
        <f t="shared" si="119"/>
        <v>64</v>
      </c>
      <c r="S421" s="15"/>
      <c r="W421" s="14"/>
    </row>
    <row r="422" spans="1:23" x14ac:dyDescent="0.25">
      <c r="A422" s="16"/>
      <c r="B422" s="17" t="b">
        <f t="shared" si="112"/>
        <v>0</v>
      </c>
      <c r="C422" s="17" t="b">
        <f t="shared" si="104"/>
        <v>0</v>
      </c>
      <c r="D422" s="17">
        <f t="shared" si="108"/>
        <v>1</v>
      </c>
      <c r="E422" s="17" t="str">
        <f t="shared" si="109"/>
        <v>Section 4 - Create spring-boot starter microservice, containerize it and push to DockerHub</v>
      </c>
      <c r="F422" s="18" t="str">
        <f t="shared" si="110"/>
        <v/>
      </c>
      <c r="G422" s="13" t="str">
        <f t="shared" si="113"/>
        <v/>
      </c>
      <c r="H422">
        <f t="shared" si="114"/>
        <v>0</v>
      </c>
      <c r="I422">
        <f t="shared" si="115"/>
        <v>0</v>
      </c>
      <c r="J422" s="13">
        <f t="shared" si="116"/>
        <v>65</v>
      </c>
      <c r="K422">
        <f t="shared" si="105"/>
        <v>0</v>
      </c>
      <c r="L422">
        <f t="shared" si="106"/>
        <v>1</v>
      </c>
      <c r="M422" s="13">
        <f t="shared" si="117"/>
        <v>1</v>
      </c>
      <c r="N422">
        <f t="shared" si="117"/>
        <v>4</v>
      </c>
      <c r="O422" s="14">
        <f t="shared" si="107"/>
        <v>64</v>
      </c>
      <c r="P422" s="13">
        <f t="shared" si="111"/>
        <v>1</v>
      </c>
      <c r="Q422">
        <f t="shared" si="118"/>
        <v>4</v>
      </c>
      <c r="R422" s="14">
        <f t="shared" si="119"/>
        <v>64</v>
      </c>
      <c r="S422" s="15"/>
      <c r="W422" s="14"/>
    </row>
    <row r="423" spans="1:23" x14ac:dyDescent="0.25">
      <c r="A423" s="16"/>
      <c r="B423" s="17" t="b">
        <f t="shared" si="112"/>
        <v>0</v>
      </c>
      <c r="C423" s="17" t="b">
        <f t="shared" si="104"/>
        <v>0</v>
      </c>
      <c r="D423" s="17">
        <f t="shared" si="108"/>
        <v>1</v>
      </c>
      <c r="E423" s="17" t="str">
        <f t="shared" si="109"/>
        <v>Section 4 - Create spring-boot starter microservice, containerize it and push to DockerHub</v>
      </c>
      <c r="F423" s="18" t="str">
        <f t="shared" si="110"/>
        <v/>
      </c>
      <c r="G423" s="13" t="str">
        <f t="shared" si="113"/>
        <v/>
      </c>
      <c r="H423">
        <f t="shared" si="114"/>
        <v>0</v>
      </c>
      <c r="I423">
        <f t="shared" si="115"/>
        <v>0</v>
      </c>
      <c r="J423" s="13">
        <f t="shared" si="116"/>
        <v>65</v>
      </c>
      <c r="K423">
        <f t="shared" si="105"/>
        <v>0</v>
      </c>
      <c r="L423">
        <f t="shared" si="106"/>
        <v>1</v>
      </c>
      <c r="M423" s="13">
        <f t="shared" si="117"/>
        <v>1</v>
      </c>
      <c r="N423">
        <f t="shared" si="117"/>
        <v>4</v>
      </c>
      <c r="O423" s="14">
        <f t="shared" si="107"/>
        <v>64</v>
      </c>
      <c r="P423" s="13">
        <f t="shared" si="111"/>
        <v>1</v>
      </c>
      <c r="Q423">
        <f t="shared" si="118"/>
        <v>4</v>
      </c>
      <c r="R423" s="14">
        <f t="shared" si="119"/>
        <v>64</v>
      </c>
      <c r="S423" s="15"/>
      <c r="W423" s="14"/>
    </row>
    <row r="424" spans="1:23" x14ac:dyDescent="0.25">
      <c r="A424" s="16"/>
      <c r="B424" s="17" t="b">
        <f t="shared" si="112"/>
        <v>0</v>
      </c>
      <c r="C424" s="17" t="b">
        <f t="shared" si="104"/>
        <v>0</v>
      </c>
      <c r="D424" s="17">
        <f t="shared" si="108"/>
        <v>1</v>
      </c>
      <c r="E424" s="17" t="str">
        <f t="shared" si="109"/>
        <v>Section 4 - Create spring-boot starter microservice, containerize it and push to DockerHub</v>
      </c>
      <c r="F424" s="18" t="str">
        <f t="shared" si="110"/>
        <v/>
      </c>
      <c r="G424" s="13" t="str">
        <f t="shared" si="113"/>
        <v/>
      </c>
      <c r="H424">
        <f t="shared" si="114"/>
        <v>0</v>
      </c>
      <c r="I424">
        <f t="shared" si="115"/>
        <v>0</v>
      </c>
      <c r="J424" s="13">
        <f t="shared" si="116"/>
        <v>65</v>
      </c>
      <c r="K424">
        <f t="shared" si="105"/>
        <v>0</v>
      </c>
      <c r="L424">
        <f t="shared" si="106"/>
        <v>1</v>
      </c>
      <c r="M424" s="13">
        <f t="shared" si="117"/>
        <v>1</v>
      </c>
      <c r="N424">
        <f t="shared" si="117"/>
        <v>4</v>
      </c>
      <c r="O424" s="14">
        <f t="shared" si="107"/>
        <v>64</v>
      </c>
      <c r="P424" s="13">
        <f t="shared" si="111"/>
        <v>1</v>
      </c>
      <c r="Q424">
        <f t="shared" si="118"/>
        <v>4</v>
      </c>
      <c r="R424" s="14">
        <f t="shared" si="119"/>
        <v>64</v>
      </c>
      <c r="S424" s="15"/>
      <c r="W424" s="14"/>
    </row>
    <row r="425" spans="1:23" x14ac:dyDescent="0.25">
      <c r="A425" s="16"/>
      <c r="B425" s="17" t="b">
        <f t="shared" si="112"/>
        <v>0</v>
      </c>
      <c r="C425" s="17" t="b">
        <f t="shared" si="104"/>
        <v>0</v>
      </c>
      <c r="D425" s="17">
        <f t="shared" si="108"/>
        <v>1</v>
      </c>
      <c r="E425" s="17" t="str">
        <f t="shared" si="109"/>
        <v>Section 4 - Create spring-boot starter microservice, containerize it and push to DockerHub</v>
      </c>
      <c r="F425" s="18" t="str">
        <f t="shared" si="110"/>
        <v/>
      </c>
      <c r="G425" s="13" t="str">
        <f t="shared" si="113"/>
        <v/>
      </c>
      <c r="H425">
        <f t="shared" si="114"/>
        <v>0</v>
      </c>
      <c r="I425">
        <f t="shared" si="115"/>
        <v>0</v>
      </c>
      <c r="J425" s="13">
        <f t="shared" si="116"/>
        <v>65</v>
      </c>
      <c r="K425">
        <f t="shared" si="105"/>
        <v>0</v>
      </c>
      <c r="L425">
        <f t="shared" si="106"/>
        <v>1</v>
      </c>
      <c r="M425" s="13">
        <f t="shared" si="117"/>
        <v>1</v>
      </c>
      <c r="N425">
        <f t="shared" si="117"/>
        <v>4</v>
      </c>
      <c r="O425" s="14">
        <f t="shared" si="107"/>
        <v>64</v>
      </c>
      <c r="P425" s="13">
        <f t="shared" si="111"/>
        <v>1</v>
      </c>
      <c r="Q425">
        <f t="shared" si="118"/>
        <v>4</v>
      </c>
      <c r="R425" s="14">
        <f t="shared" si="119"/>
        <v>64</v>
      </c>
      <c r="S425" s="15"/>
      <c r="W425" s="14"/>
    </row>
    <row r="426" spans="1:23" x14ac:dyDescent="0.25">
      <c r="A426" s="16"/>
      <c r="B426" s="17" t="b">
        <f t="shared" si="112"/>
        <v>0</v>
      </c>
      <c r="C426" s="17" t="b">
        <f t="shared" si="104"/>
        <v>0</v>
      </c>
      <c r="D426" s="17">
        <f t="shared" si="108"/>
        <v>1</v>
      </c>
      <c r="E426" s="17" t="str">
        <f t="shared" si="109"/>
        <v>Section 4 - Create spring-boot starter microservice, containerize it and push to DockerHub</v>
      </c>
      <c r="F426" s="18" t="str">
        <f t="shared" si="110"/>
        <v/>
      </c>
      <c r="G426" s="13" t="str">
        <f t="shared" si="113"/>
        <v/>
      </c>
      <c r="H426">
        <f t="shared" si="114"/>
        <v>0</v>
      </c>
      <c r="I426">
        <f t="shared" si="115"/>
        <v>0</v>
      </c>
      <c r="J426" s="13">
        <f t="shared" si="116"/>
        <v>65</v>
      </c>
      <c r="K426">
        <f t="shared" si="105"/>
        <v>0</v>
      </c>
      <c r="L426">
        <f t="shared" si="106"/>
        <v>1</v>
      </c>
      <c r="M426" s="13">
        <f t="shared" si="117"/>
        <v>1</v>
      </c>
      <c r="N426">
        <f t="shared" si="117"/>
        <v>4</v>
      </c>
      <c r="O426" s="14">
        <f t="shared" si="107"/>
        <v>64</v>
      </c>
      <c r="P426" s="13">
        <f t="shared" si="111"/>
        <v>1</v>
      </c>
      <c r="Q426">
        <f t="shared" si="118"/>
        <v>4</v>
      </c>
      <c r="R426" s="14">
        <f t="shared" si="119"/>
        <v>64</v>
      </c>
      <c r="S426" s="15"/>
      <c r="W426" s="14"/>
    </row>
    <row r="427" spans="1:23" x14ac:dyDescent="0.25">
      <c r="A427" s="16"/>
      <c r="B427" s="17" t="b">
        <f t="shared" si="112"/>
        <v>0</v>
      </c>
      <c r="C427" s="17" t="b">
        <f t="shared" si="104"/>
        <v>0</v>
      </c>
      <c r="D427" s="17">
        <f t="shared" si="108"/>
        <v>1</v>
      </c>
      <c r="E427" s="17" t="str">
        <f t="shared" si="109"/>
        <v>Section 4 - Create spring-boot starter microservice, containerize it and push to DockerHub</v>
      </c>
      <c r="F427" s="18" t="str">
        <f t="shared" si="110"/>
        <v/>
      </c>
      <c r="G427" s="13" t="str">
        <f t="shared" si="113"/>
        <v/>
      </c>
      <c r="H427">
        <f t="shared" si="114"/>
        <v>0</v>
      </c>
      <c r="I427">
        <f t="shared" si="115"/>
        <v>0</v>
      </c>
      <c r="J427" s="13">
        <f t="shared" si="116"/>
        <v>65</v>
      </c>
      <c r="K427">
        <f t="shared" si="105"/>
        <v>0</v>
      </c>
      <c r="L427">
        <f t="shared" si="106"/>
        <v>1</v>
      </c>
      <c r="M427" s="13">
        <f t="shared" si="117"/>
        <v>1</v>
      </c>
      <c r="N427">
        <f t="shared" si="117"/>
        <v>4</v>
      </c>
      <c r="O427" s="14">
        <f t="shared" si="107"/>
        <v>64</v>
      </c>
      <c r="P427" s="13">
        <f t="shared" si="111"/>
        <v>1</v>
      </c>
      <c r="Q427">
        <f t="shared" si="118"/>
        <v>4</v>
      </c>
      <c r="R427" s="14">
        <f t="shared" si="119"/>
        <v>64</v>
      </c>
      <c r="S427" s="15"/>
      <c r="W427" s="14"/>
    </row>
    <row r="428" spans="1:23" x14ac:dyDescent="0.25">
      <c r="A428" s="16"/>
      <c r="B428" s="17" t="b">
        <f t="shared" si="112"/>
        <v>0</v>
      </c>
      <c r="C428" s="17" t="b">
        <f t="shared" si="104"/>
        <v>0</v>
      </c>
      <c r="D428" s="17">
        <f t="shared" si="108"/>
        <v>1</v>
      </c>
      <c r="E428" s="17" t="str">
        <f t="shared" si="109"/>
        <v>Section 4 - Create spring-boot starter microservice, containerize it and push to DockerHub</v>
      </c>
      <c r="F428" s="18" t="str">
        <f t="shared" si="110"/>
        <v/>
      </c>
      <c r="G428" s="13" t="str">
        <f t="shared" si="113"/>
        <v/>
      </c>
      <c r="H428">
        <f t="shared" si="114"/>
        <v>0</v>
      </c>
      <c r="I428">
        <f t="shared" si="115"/>
        <v>0</v>
      </c>
      <c r="J428" s="13">
        <f t="shared" si="116"/>
        <v>65</v>
      </c>
      <c r="K428">
        <f t="shared" si="105"/>
        <v>0</v>
      </c>
      <c r="L428">
        <f t="shared" si="106"/>
        <v>1</v>
      </c>
      <c r="M428" s="13">
        <f t="shared" si="117"/>
        <v>1</v>
      </c>
      <c r="N428">
        <f t="shared" si="117"/>
        <v>4</v>
      </c>
      <c r="O428" s="14">
        <f t="shared" si="107"/>
        <v>64</v>
      </c>
      <c r="P428" s="13">
        <f t="shared" si="111"/>
        <v>1</v>
      </c>
      <c r="Q428">
        <f t="shared" si="118"/>
        <v>4</v>
      </c>
      <c r="R428" s="14">
        <f t="shared" si="119"/>
        <v>64</v>
      </c>
      <c r="S428" s="15"/>
      <c r="W428" s="14"/>
    </row>
    <row r="429" spans="1:23" x14ac:dyDescent="0.25">
      <c r="A429" s="16"/>
      <c r="B429" s="17" t="b">
        <f t="shared" si="112"/>
        <v>0</v>
      </c>
      <c r="C429" s="17" t="b">
        <f t="shared" si="104"/>
        <v>0</v>
      </c>
      <c r="D429" s="17">
        <f t="shared" si="108"/>
        <v>1</v>
      </c>
      <c r="E429" s="17" t="str">
        <f t="shared" si="109"/>
        <v>Section 4 - Create spring-boot starter microservice, containerize it and push to DockerHub</v>
      </c>
      <c r="F429" s="18" t="str">
        <f t="shared" si="110"/>
        <v/>
      </c>
      <c r="G429" s="13" t="str">
        <f t="shared" si="113"/>
        <v/>
      </c>
      <c r="H429">
        <f t="shared" si="114"/>
        <v>0</v>
      </c>
      <c r="I429">
        <f t="shared" si="115"/>
        <v>0</v>
      </c>
      <c r="J429" s="13">
        <f t="shared" si="116"/>
        <v>65</v>
      </c>
      <c r="K429">
        <f t="shared" si="105"/>
        <v>0</v>
      </c>
      <c r="L429">
        <f t="shared" si="106"/>
        <v>1</v>
      </c>
      <c r="M429" s="13">
        <f t="shared" si="117"/>
        <v>1</v>
      </c>
      <c r="N429">
        <f t="shared" si="117"/>
        <v>4</v>
      </c>
      <c r="O429" s="14">
        <f t="shared" si="107"/>
        <v>64</v>
      </c>
      <c r="P429" s="13">
        <f t="shared" si="111"/>
        <v>1</v>
      </c>
      <c r="Q429">
        <f t="shared" si="118"/>
        <v>4</v>
      </c>
      <c r="R429" s="14">
        <f t="shared" si="119"/>
        <v>64</v>
      </c>
      <c r="S429" s="15"/>
      <c r="W429" s="14"/>
    </row>
    <row r="430" spans="1:23" x14ac:dyDescent="0.25">
      <c r="A430" s="16"/>
      <c r="B430" s="17" t="b">
        <f t="shared" si="112"/>
        <v>0</v>
      </c>
      <c r="C430" s="17" t="b">
        <f t="shared" si="104"/>
        <v>0</v>
      </c>
      <c r="D430" s="17">
        <f t="shared" si="108"/>
        <v>1</v>
      </c>
      <c r="E430" s="17" t="str">
        <f t="shared" si="109"/>
        <v>Section 4 - Create spring-boot starter microservice, containerize it and push to DockerHub</v>
      </c>
      <c r="F430" s="18" t="str">
        <f t="shared" si="110"/>
        <v/>
      </c>
      <c r="G430" s="13" t="str">
        <f t="shared" si="113"/>
        <v/>
      </c>
      <c r="H430">
        <f t="shared" si="114"/>
        <v>0</v>
      </c>
      <c r="I430">
        <f t="shared" si="115"/>
        <v>0</v>
      </c>
      <c r="J430" s="13">
        <f t="shared" si="116"/>
        <v>65</v>
      </c>
      <c r="K430">
        <f t="shared" si="105"/>
        <v>0</v>
      </c>
      <c r="L430">
        <f t="shared" si="106"/>
        <v>1</v>
      </c>
      <c r="M430" s="13">
        <f t="shared" si="117"/>
        <v>1</v>
      </c>
      <c r="N430">
        <f t="shared" si="117"/>
        <v>4</v>
      </c>
      <c r="O430" s="14">
        <f t="shared" si="107"/>
        <v>64</v>
      </c>
      <c r="P430" s="13">
        <f t="shared" si="111"/>
        <v>1</v>
      </c>
      <c r="Q430">
        <f t="shared" si="118"/>
        <v>4</v>
      </c>
      <c r="R430" s="14">
        <f t="shared" si="119"/>
        <v>64</v>
      </c>
      <c r="S430" s="15"/>
      <c r="W430" s="14"/>
    </row>
    <row r="431" spans="1:23" x14ac:dyDescent="0.25">
      <c r="A431" s="16"/>
      <c r="B431" s="17" t="b">
        <f t="shared" si="112"/>
        <v>0</v>
      </c>
      <c r="C431" s="17" t="b">
        <f t="shared" si="104"/>
        <v>0</v>
      </c>
      <c r="D431" s="17">
        <f t="shared" si="108"/>
        <v>1</v>
      </c>
      <c r="E431" s="17" t="str">
        <f t="shared" si="109"/>
        <v>Section 4 - Create spring-boot starter microservice, containerize it and push to DockerHub</v>
      </c>
      <c r="F431" s="18" t="str">
        <f t="shared" si="110"/>
        <v/>
      </c>
      <c r="G431" s="13" t="str">
        <f t="shared" si="113"/>
        <v/>
      </c>
      <c r="H431">
        <f t="shared" si="114"/>
        <v>0</v>
      </c>
      <c r="I431">
        <f t="shared" si="115"/>
        <v>0</v>
      </c>
      <c r="J431" s="13">
        <f t="shared" si="116"/>
        <v>65</v>
      </c>
      <c r="K431">
        <f t="shared" si="105"/>
        <v>0</v>
      </c>
      <c r="L431">
        <f t="shared" si="106"/>
        <v>1</v>
      </c>
      <c r="M431" s="13">
        <f t="shared" si="117"/>
        <v>1</v>
      </c>
      <c r="N431">
        <f t="shared" si="117"/>
        <v>4</v>
      </c>
      <c r="O431" s="14">
        <f t="shared" si="107"/>
        <v>64</v>
      </c>
      <c r="P431" s="13">
        <f t="shared" si="111"/>
        <v>1</v>
      </c>
      <c r="Q431">
        <f t="shared" si="118"/>
        <v>4</v>
      </c>
      <c r="R431" s="14">
        <f t="shared" si="119"/>
        <v>64</v>
      </c>
      <c r="S431" s="15"/>
      <c r="W431" s="14"/>
    </row>
    <row r="432" spans="1:23" x14ac:dyDescent="0.25">
      <c r="A432" s="16"/>
      <c r="B432" s="17" t="b">
        <f t="shared" si="112"/>
        <v>0</v>
      </c>
      <c r="C432" s="17" t="b">
        <f t="shared" si="104"/>
        <v>0</v>
      </c>
      <c r="D432" s="17">
        <f t="shared" si="108"/>
        <v>1</v>
      </c>
      <c r="E432" s="17" t="str">
        <f t="shared" si="109"/>
        <v>Section 4 - Create spring-boot starter microservice, containerize it and push to DockerHub</v>
      </c>
      <c r="F432" s="18" t="str">
        <f t="shared" si="110"/>
        <v/>
      </c>
      <c r="G432" s="13" t="str">
        <f t="shared" si="113"/>
        <v/>
      </c>
      <c r="H432">
        <f t="shared" si="114"/>
        <v>0</v>
      </c>
      <c r="I432">
        <f t="shared" si="115"/>
        <v>0</v>
      </c>
      <c r="J432" s="13">
        <f t="shared" si="116"/>
        <v>65</v>
      </c>
      <c r="K432">
        <f t="shared" si="105"/>
        <v>0</v>
      </c>
      <c r="L432">
        <f t="shared" si="106"/>
        <v>1</v>
      </c>
      <c r="M432" s="13">
        <f t="shared" si="117"/>
        <v>1</v>
      </c>
      <c r="N432">
        <f t="shared" si="117"/>
        <v>4</v>
      </c>
      <c r="O432" s="14">
        <f t="shared" si="107"/>
        <v>64</v>
      </c>
      <c r="P432" s="13">
        <f t="shared" si="111"/>
        <v>1</v>
      </c>
      <c r="Q432">
        <f t="shared" si="118"/>
        <v>4</v>
      </c>
      <c r="R432" s="14">
        <f t="shared" si="119"/>
        <v>64</v>
      </c>
      <c r="S432" s="15"/>
      <c r="W432" s="14"/>
    </row>
    <row r="433" spans="1:23" x14ac:dyDescent="0.25">
      <c r="A433" s="16"/>
      <c r="B433" s="17" t="b">
        <f t="shared" si="112"/>
        <v>0</v>
      </c>
      <c r="C433" s="17" t="b">
        <f t="shared" si="104"/>
        <v>0</v>
      </c>
      <c r="D433" s="17">
        <f t="shared" si="108"/>
        <v>1</v>
      </c>
      <c r="E433" s="17" t="str">
        <f t="shared" si="109"/>
        <v>Section 4 - Create spring-boot starter microservice, containerize it and push to DockerHub</v>
      </c>
      <c r="F433" s="18" t="str">
        <f t="shared" si="110"/>
        <v/>
      </c>
      <c r="G433" s="13" t="str">
        <f t="shared" si="113"/>
        <v/>
      </c>
      <c r="H433">
        <f t="shared" si="114"/>
        <v>0</v>
      </c>
      <c r="I433">
        <f t="shared" si="115"/>
        <v>0</v>
      </c>
      <c r="J433" s="13">
        <f t="shared" si="116"/>
        <v>65</v>
      </c>
      <c r="K433">
        <f t="shared" si="105"/>
        <v>0</v>
      </c>
      <c r="L433">
        <f t="shared" si="106"/>
        <v>1</v>
      </c>
      <c r="M433" s="13">
        <f t="shared" si="117"/>
        <v>1</v>
      </c>
      <c r="N433">
        <f t="shared" si="117"/>
        <v>4</v>
      </c>
      <c r="O433" s="14">
        <f t="shared" si="107"/>
        <v>64</v>
      </c>
      <c r="P433" s="13">
        <f t="shared" si="111"/>
        <v>1</v>
      </c>
      <c r="Q433">
        <f t="shared" si="118"/>
        <v>4</v>
      </c>
      <c r="R433" s="14">
        <f t="shared" si="119"/>
        <v>64</v>
      </c>
      <c r="S433" s="15"/>
      <c r="W433" s="14"/>
    </row>
    <row r="434" spans="1:23" x14ac:dyDescent="0.25">
      <c r="A434" s="16"/>
      <c r="B434" s="17" t="b">
        <f t="shared" si="112"/>
        <v>0</v>
      </c>
      <c r="C434" s="17" t="b">
        <f t="shared" si="104"/>
        <v>0</v>
      </c>
      <c r="D434" s="17">
        <f t="shared" si="108"/>
        <v>1</v>
      </c>
      <c r="E434" s="17" t="str">
        <f t="shared" si="109"/>
        <v>Section 4 - Create spring-boot starter microservice, containerize it and push to DockerHub</v>
      </c>
      <c r="F434" s="18" t="str">
        <f t="shared" si="110"/>
        <v/>
      </c>
      <c r="G434" s="13" t="str">
        <f t="shared" si="113"/>
        <v/>
      </c>
      <c r="H434">
        <f t="shared" si="114"/>
        <v>0</v>
      </c>
      <c r="I434">
        <f t="shared" si="115"/>
        <v>0</v>
      </c>
      <c r="J434" s="13">
        <f t="shared" si="116"/>
        <v>65</v>
      </c>
      <c r="K434">
        <f t="shared" si="105"/>
        <v>0</v>
      </c>
      <c r="L434">
        <f t="shared" si="106"/>
        <v>1</v>
      </c>
      <c r="M434" s="13">
        <f t="shared" si="117"/>
        <v>1</v>
      </c>
      <c r="N434">
        <f t="shared" si="117"/>
        <v>4</v>
      </c>
      <c r="O434" s="14">
        <f t="shared" si="107"/>
        <v>64</v>
      </c>
      <c r="P434" s="13">
        <f t="shared" si="111"/>
        <v>1</v>
      </c>
      <c r="Q434">
        <f t="shared" si="118"/>
        <v>4</v>
      </c>
      <c r="R434" s="14">
        <f t="shared" si="119"/>
        <v>64</v>
      </c>
      <c r="S434" s="15"/>
      <c r="W434" s="14"/>
    </row>
    <row r="435" spans="1:23" x14ac:dyDescent="0.25">
      <c r="A435" s="16"/>
      <c r="B435" s="17" t="b">
        <f t="shared" si="112"/>
        <v>0</v>
      </c>
      <c r="C435" s="17" t="b">
        <f t="shared" si="104"/>
        <v>0</v>
      </c>
      <c r="D435" s="17">
        <f t="shared" si="108"/>
        <v>1</v>
      </c>
      <c r="E435" s="17" t="str">
        <f t="shared" si="109"/>
        <v>Section 4 - Create spring-boot starter microservice, containerize it and push to DockerHub</v>
      </c>
      <c r="F435" s="18" t="str">
        <f t="shared" si="110"/>
        <v/>
      </c>
      <c r="G435" s="13" t="str">
        <f t="shared" si="113"/>
        <v/>
      </c>
      <c r="H435">
        <f t="shared" si="114"/>
        <v>0</v>
      </c>
      <c r="I435">
        <f t="shared" si="115"/>
        <v>0</v>
      </c>
      <c r="J435" s="13">
        <f t="shared" si="116"/>
        <v>65</v>
      </c>
      <c r="K435">
        <f t="shared" si="105"/>
        <v>0</v>
      </c>
      <c r="L435">
        <f t="shared" si="106"/>
        <v>1</v>
      </c>
      <c r="M435" s="13">
        <f t="shared" si="117"/>
        <v>1</v>
      </c>
      <c r="N435">
        <f t="shared" si="117"/>
        <v>4</v>
      </c>
      <c r="O435" s="14">
        <f t="shared" si="107"/>
        <v>64</v>
      </c>
      <c r="P435" s="13">
        <f t="shared" si="111"/>
        <v>1</v>
      </c>
      <c r="Q435">
        <f t="shared" si="118"/>
        <v>4</v>
      </c>
      <c r="R435" s="14">
        <f t="shared" si="119"/>
        <v>64</v>
      </c>
      <c r="S435" s="15"/>
      <c r="W435" s="14"/>
    </row>
    <row r="436" spans="1:23" x14ac:dyDescent="0.25">
      <c r="A436" s="16"/>
      <c r="B436" s="17" t="b">
        <f t="shared" si="112"/>
        <v>0</v>
      </c>
      <c r="C436" s="17" t="b">
        <f t="shared" si="104"/>
        <v>0</v>
      </c>
      <c r="D436" s="17">
        <f t="shared" si="108"/>
        <v>1</v>
      </c>
      <c r="E436" s="17" t="str">
        <f t="shared" si="109"/>
        <v>Section 4 - Create spring-boot starter microservice, containerize it and push to DockerHub</v>
      </c>
      <c r="F436" s="18" t="str">
        <f t="shared" si="110"/>
        <v/>
      </c>
      <c r="G436" s="13" t="str">
        <f t="shared" si="113"/>
        <v/>
      </c>
      <c r="H436">
        <f t="shared" si="114"/>
        <v>0</v>
      </c>
      <c r="I436">
        <f t="shared" si="115"/>
        <v>0</v>
      </c>
      <c r="J436" s="13">
        <f t="shared" si="116"/>
        <v>65</v>
      </c>
      <c r="K436">
        <f t="shared" si="105"/>
        <v>0</v>
      </c>
      <c r="L436">
        <f t="shared" si="106"/>
        <v>1</v>
      </c>
      <c r="M436" s="13">
        <f t="shared" si="117"/>
        <v>1</v>
      </c>
      <c r="N436">
        <f t="shared" si="117"/>
        <v>4</v>
      </c>
      <c r="O436" s="14">
        <f t="shared" si="107"/>
        <v>64</v>
      </c>
      <c r="P436" s="13">
        <f t="shared" si="111"/>
        <v>1</v>
      </c>
      <c r="Q436">
        <f t="shared" si="118"/>
        <v>4</v>
      </c>
      <c r="R436" s="14">
        <f t="shared" si="119"/>
        <v>64</v>
      </c>
      <c r="S436" s="15"/>
      <c r="W436" s="14"/>
    </row>
    <row r="437" spans="1:23" x14ac:dyDescent="0.25">
      <c r="A437" s="16"/>
      <c r="B437" s="17" t="b">
        <f t="shared" si="112"/>
        <v>0</v>
      </c>
      <c r="C437" s="17" t="b">
        <f t="shared" si="104"/>
        <v>0</v>
      </c>
      <c r="D437" s="17">
        <f t="shared" si="108"/>
        <v>1</v>
      </c>
      <c r="E437" s="17" t="str">
        <f t="shared" si="109"/>
        <v>Section 4 - Create spring-boot starter microservice, containerize it and push to DockerHub</v>
      </c>
      <c r="F437" s="18" t="str">
        <f t="shared" si="110"/>
        <v/>
      </c>
      <c r="G437" s="13" t="str">
        <f t="shared" si="113"/>
        <v/>
      </c>
      <c r="H437">
        <f t="shared" si="114"/>
        <v>0</v>
      </c>
      <c r="I437">
        <f t="shared" si="115"/>
        <v>0</v>
      </c>
      <c r="J437" s="13">
        <f t="shared" si="116"/>
        <v>65</v>
      </c>
      <c r="K437">
        <f t="shared" si="105"/>
        <v>0</v>
      </c>
      <c r="L437">
        <f t="shared" si="106"/>
        <v>1</v>
      </c>
      <c r="M437" s="13">
        <f t="shared" si="117"/>
        <v>1</v>
      </c>
      <c r="N437">
        <f t="shared" si="117"/>
        <v>4</v>
      </c>
      <c r="O437" s="14">
        <f t="shared" si="107"/>
        <v>64</v>
      </c>
      <c r="P437" s="13">
        <f t="shared" si="111"/>
        <v>1</v>
      </c>
      <c r="Q437">
        <f t="shared" si="118"/>
        <v>4</v>
      </c>
      <c r="R437" s="14">
        <f t="shared" si="119"/>
        <v>64</v>
      </c>
      <c r="S437" s="15"/>
      <c r="W437" s="14"/>
    </row>
    <row r="438" spans="1:23" x14ac:dyDescent="0.25">
      <c r="A438" s="16"/>
      <c r="B438" s="17" t="b">
        <f t="shared" si="112"/>
        <v>0</v>
      </c>
      <c r="C438" s="17" t="b">
        <f t="shared" si="104"/>
        <v>0</v>
      </c>
      <c r="D438" s="17">
        <f t="shared" si="108"/>
        <v>1</v>
      </c>
      <c r="E438" s="17" t="str">
        <f t="shared" si="109"/>
        <v>Section 4 - Create spring-boot starter microservice, containerize it and push to DockerHub</v>
      </c>
      <c r="F438" s="18" t="str">
        <f t="shared" si="110"/>
        <v/>
      </c>
      <c r="G438" s="13" t="str">
        <f t="shared" si="113"/>
        <v/>
      </c>
      <c r="H438">
        <f t="shared" si="114"/>
        <v>0</v>
      </c>
      <c r="I438">
        <f t="shared" si="115"/>
        <v>0</v>
      </c>
      <c r="J438" s="13">
        <f t="shared" si="116"/>
        <v>65</v>
      </c>
      <c r="K438">
        <f t="shared" si="105"/>
        <v>0</v>
      </c>
      <c r="L438">
        <f t="shared" si="106"/>
        <v>1</v>
      </c>
      <c r="M438" s="13">
        <f t="shared" si="117"/>
        <v>1</v>
      </c>
      <c r="N438">
        <f t="shared" si="117"/>
        <v>4</v>
      </c>
      <c r="O438" s="14">
        <f t="shared" si="107"/>
        <v>64</v>
      </c>
      <c r="P438" s="13">
        <f t="shared" si="111"/>
        <v>1</v>
      </c>
      <c r="Q438">
        <f t="shared" si="118"/>
        <v>4</v>
      </c>
      <c r="R438" s="14">
        <f t="shared" si="119"/>
        <v>64</v>
      </c>
      <c r="S438" s="15"/>
      <c r="W438" s="14"/>
    </row>
    <row r="439" spans="1:23" x14ac:dyDescent="0.25">
      <c r="A439" s="16"/>
      <c r="B439" s="17" t="b">
        <f t="shared" si="112"/>
        <v>0</v>
      </c>
      <c r="C439" s="17" t="b">
        <f t="shared" si="104"/>
        <v>0</v>
      </c>
      <c r="D439" s="17">
        <f t="shared" si="108"/>
        <v>1</v>
      </c>
      <c r="E439" s="17" t="str">
        <f t="shared" si="109"/>
        <v>Section 4 - Create spring-boot starter microservice, containerize it and push to DockerHub</v>
      </c>
      <c r="F439" s="18" t="str">
        <f t="shared" si="110"/>
        <v/>
      </c>
      <c r="G439" s="13" t="str">
        <f t="shared" si="113"/>
        <v/>
      </c>
      <c r="H439">
        <f t="shared" si="114"/>
        <v>0</v>
      </c>
      <c r="I439">
        <f t="shared" si="115"/>
        <v>0</v>
      </c>
      <c r="J439" s="13">
        <f t="shared" si="116"/>
        <v>65</v>
      </c>
      <c r="K439">
        <f t="shared" si="105"/>
        <v>0</v>
      </c>
      <c r="L439">
        <f t="shared" si="106"/>
        <v>1</v>
      </c>
      <c r="M439" s="13">
        <f t="shared" si="117"/>
        <v>1</v>
      </c>
      <c r="N439">
        <f t="shared" si="117"/>
        <v>4</v>
      </c>
      <c r="O439" s="14">
        <f t="shared" si="107"/>
        <v>64</v>
      </c>
      <c r="P439" s="13">
        <f t="shared" si="111"/>
        <v>1</v>
      </c>
      <c r="Q439">
        <f t="shared" si="118"/>
        <v>4</v>
      </c>
      <c r="R439" s="14">
        <f t="shared" si="119"/>
        <v>64</v>
      </c>
      <c r="S439" s="15"/>
      <c r="W439" s="14"/>
    </row>
    <row r="440" spans="1:23" x14ac:dyDescent="0.25">
      <c r="A440" s="16"/>
      <c r="B440" s="17" t="b">
        <f t="shared" si="112"/>
        <v>0</v>
      </c>
      <c r="C440" s="17" t="b">
        <f t="shared" si="104"/>
        <v>0</v>
      </c>
      <c r="D440" s="17">
        <f t="shared" si="108"/>
        <v>1</v>
      </c>
      <c r="E440" s="17" t="str">
        <f t="shared" si="109"/>
        <v>Section 4 - Create spring-boot starter microservice, containerize it and push to DockerHub</v>
      </c>
      <c r="F440" s="18" t="str">
        <f t="shared" si="110"/>
        <v/>
      </c>
      <c r="G440" s="13" t="str">
        <f t="shared" si="113"/>
        <v/>
      </c>
      <c r="H440">
        <f t="shared" si="114"/>
        <v>0</v>
      </c>
      <c r="I440">
        <f t="shared" si="115"/>
        <v>0</v>
      </c>
      <c r="J440" s="13">
        <f t="shared" si="116"/>
        <v>65</v>
      </c>
      <c r="K440">
        <f t="shared" si="105"/>
        <v>0</v>
      </c>
      <c r="L440">
        <f t="shared" si="106"/>
        <v>1</v>
      </c>
      <c r="M440" s="13">
        <f t="shared" si="117"/>
        <v>1</v>
      </c>
      <c r="N440">
        <f t="shared" si="117"/>
        <v>4</v>
      </c>
      <c r="O440" s="14">
        <f t="shared" si="107"/>
        <v>64</v>
      </c>
      <c r="P440" s="13">
        <f t="shared" si="111"/>
        <v>1</v>
      </c>
      <c r="Q440">
        <f t="shared" si="118"/>
        <v>4</v>
      </c>
      <c r="R440" s="14">
        <f t="shared" si="119"/>
        <v>64</v>
      </c>
      <c r="S440" s="15"/>
      <c r="W440" s="14"/>
    </row>
    <row r="441" spans="1:23" x14ac:dyDescent="0.25">
      <c r="A441" s="16"/>
      <c r="B441" s="17" t="b">
        <f t="shared" si="112"/>
        <v>0</v>
      </c>
      <c r="C441" s="17" t="b">
        <f t="shared" si="104"/>
        <v>0</v>
      </c>
      <c r="D441" s="17">
        <f t="shared" si="108"/>
        <v>1</v>
      </c>
      <c r="E441" s="17" t="str">
        <f t="shared" si="109"/>
        <v>Section 4 - Create spring-boot starter microservice, containerize it and push to DockerHub</v>
      </c>
      <c r="F441" s="18" t="str">
        <f t="shared" si="110"/>
        <v/>
      </c>
      <c r="G441" s="13" t="str">
        <f t="shared" si="113"/>
        <v/>
      </c>
      <c r="H441">
        <f t="shared" si="114"/>
        <v>0</v>
      </c>
      <c r="I441">
        <f t="shared" si="115"/>
        <v>0</v>
      </c>
      <c r="J441" s="13">
        <f t="shared" si="116"/>
        <v>65</v>
      </c>
      <c r="K441">
        <f t="shared" si="105"/>
        <v>0</v>
      </c>
      <c r="L441">
        <f t="shared" si="106"/>
        <v>1</v>
      </c>
      <c r="M441" s="13">
        <f t="shared" si="117"/>
        <v>1</v>
      </c>
      <c r="N441">
        <f t="shared" si="117"/>
        <v>4</v>
      </c>
      <c r="O441" s="14">
        <f t="shared" si="107"/>
        <v>64</v>
      </c>
      <c r="P441" s="13">
        <f t="shared" si="111"/>
        <v>1</v>
      </c>
      <c r="Q441">
        <f t="shared" si="118"/>
        <v>4</v>
      </c>
      <c r="R441" s="14">
        <f t="shared" si="119"/>
        <v>64</v>
      </c>
      <c r="S441" s="15"/>
      <c r="W441" s="14"/>
    </row>
    <row r="442" spans="1:23" x14ac:dyDescent="0.25">
      <c r="A442" s="16"/>
      <c r="B442" s="17" t="b">
        <f t="shared" si="112"/>
        <v>0</v>
      </c>
      <c r="C442" s="17" t="b">
        <f t="shared" si="104"/>
        <v>0</v>
      </c>
      <c r="D442" s="17">
        <f t="shared" si="108"/>
        <v>1</v>
      </c>
      <c r="E442" s="17" t="str">
        <f t="shared" si="109"/>
        <v>Section 4 - Create spring-boot starter microservice, containerize it and push to DockerHub</v>
      </c>
      <c r="F442" s="18" t="str">
        <f t="shared" si="110"/>
        <v/>
      </c>
      <c r="G442" s="13" t="str">
        <f t="shared" si="113"/>
        <v/>
      </c>
      <c r="H442">
        <f t="shared" si="114"/>
        <v>0</v>
      </c>
      <c r="I442">
        <f t="shared" si="115"/>
        <v>0</v>
      </c>
      <c r="J442" s="13">
        <f t="shared" si="116"/>
        <v>65</v>
      </c>
      <c r="K442">
        <f t="shared" si="105"/>
        <v>0</v>
      </c>
      <c r="L442">
        <f t="shared" si="106"/>
        <v>1</v>
      </c>
      <c r="M442" s="13">
        <f t="shared" si="117"/>
        <v>1</v>
      </c>
      <c r="N442">
        <f t="shared" si="117"/>
        <v>4</v>
      </c>
      <c r="O442" s="14">
        <f t="shared" si="107"/>
        <v>64</v>
      </c>
      <c r="P442" s="13">
        <f t="shared" si="111"/>
        <v>1</v>
      </c>
      <c r="Q442">
        <f t="shared" si="118"/>
        <v>4</v>
      </c>
      <c r="R442" s="14">
        <f t="shared" si="119"/>
        <v>64</v>
      </c>
      <c r="S442" s="15"/>
      <c r="W442" s="14"/>
    </row>
    <row r="443" spans="1:23" x14ac:dyDescent="0.25">
      <c r="A443" s="16"/>
      <c r="B443" s="17" t="b">
        <f t="shared" si="112"/>
        <v>0</v>
      </c>
      <c r="C443" s="17" t="b">
        <f t="shared" si="104"/>
        <v>0</v>
      </c>
      <c r="D443" s="17">
        <f t="shared" si="108"/>
        <v>1</v>
      </c>
      <c r="E443" s="17" t="str">
        <f t="shared" si="109"/>
        <v>Section 4 - Create spring-boot starter microservice, containerize it and push to DockerHub</v>
      </c>
      <c r="F443" s="18" t="str">
        <f t="shared" si="110"/>
        <v/>
      </c>
      <c r="G443" s="13" t="str">
        <f t="shared" si="113"/>
        <v/>
      </c>
      <c r="H443">
        <f t="shared" si="114"/>
        <v>0</v>
      </c>
      <c r="I443">
        <f t="shared" si="115"/>
        <v>0</v>
      </c>
      <c r="J443" s="13">
        <f t="shared" si="116"/>
        <v>65</v>
      </c>
      <c r="K443">
        <f t="shared" si="105"/>
        <v>0</v>
      </c>
      <c r="L443">
        <f t="shared" si="106"/>
        <v>1</v>
      </c>
      <c r="M443" s="13">
        <f t="shared" si="117"/>
        <v>1</v>
      </c>
      <c r="N443">
        <f t="shared" si="117"/>
        <v>4</v>
      </c>
      <c r="O443" s="14">
        <f t="shared" si="107"/>
        <v>64</v>
      </c>
      <c r="P443" s="13">
        <f t="shared" si="111"/>
        <v>1</v>
      </c>
      <c r="Q443">
        <f t="shared" si="118"/>
        <v>4</v>
      </c>
      <c r="R443" s="14">
        <f t="shared" si="119"/>
        <v>64</v>
      </c>
      <c r="S443" s="15"/>
      <c r="W443" s="14"/>
    </row>
    <row r="444" spans="1:23" x14ac:dyDescent="0.25">
      <c r="A444" s="16"/>
      <c r="B444" s="17" t="b">
        <f t="shared" si="112"/>
        <v>0</v>
      </c>
      <c r="C444" s="17" t="b">
        <f t="shared" si="104"/>
        <v>0</v>
      </c>
      <c r="D444" s="17">
        <f t="shared" si="108"/>
        <v>1</v>
      </c>
      <c r="E444" s="17" t="str">
        <f t="shared" si="109"/>
        <v>Section 4 - Create spring-boot starter microservice, containerize it and push to DockerHub</v>
      </c>
      <c r="F444" s="18" t="str">
        <f t="shared" si="110"/>
        <v/>
      </c>
      <c r="G444" s="13" t="str">
        <f t="shared" si="113"/>
        <v/>
      </c>
      <c r="H444">
        <f t="shared" si="114"/>
        <v>0</v>
      </c>
      <c r="I444">
        <f t="shared" si="115"/>
        <v>0</v>
      </c>
      <c r="J444" s="13">
        <f t="shared" si="116"/>
        <v>65</v>
      </c>
      <c r="K444">
        <f t="shared" si="105"/>
        <v>0</v>
      </c>
      <c r="L444">
        <f t="shared" si="106"/>
        <v>1</v>
      </c>
      <c r="M444" s="13">
        <f t="shared" si="117"/>
        <v>1</v>
      </c>
      <c r="N444">
        <f t="shared" si="117"/>
        <v>4</v>
      </c>
      <c r="O444" s="14">
        <f t="shared" si="107"/>
        <v>64</v>
      </c>
      <c r="P444" s="13">
        <f t="shared" si="111"/>
        <v>1</v>
      </c>
      <c r="Q444">
        <f t="shared" si="118"/>
        <v>4</v>
      </c>
      <c r="R444" s="14">
        <f t="shared" si="119"/>
        <v>64</v>
      </c>
      <c r="S444" s="15"/>
      <c r="W444" s="14"/>
    </row>
    <row r="445" spans="1:23" x14ac:dyDescent="0.25">
      <c r="A445" s="16"/>
      <c r="B445" s="17" t="b">
        <f t="shared" si="112"/>
        <v>0</v>
      </c>
      <c r="C445" s="17" t="b">
        <f t="shared" si="104"/>
        <v>0</v>
      </c>
      <c r="D445" s="17">
        <f t="shared" si="108"/>
        <v>1</v>
      </c>
      <c r="E445" s="17" t="str">
        <f t="shared" si="109"/>
        <v>Section 4 - Create spring-boot starter microservice, containerize it and push to DockerHub</v>
      </c>
      <c r="F445" s="18" t="str">
        <f t="shared" si="110"/>
        <v/>
      </c>
      <c r="G445" s="13" t="str">
        <f t="shared" si="113"/>
        <v/>
      </c>
      <c r="H445">
        <f t="shared" si="114"/>
        <v>0</v>
      </c>
      <c r="I445">
        <f t="shared" si="115"/>
        <v>0</v>
      </c>
      <c r="J445" s="13">
        <f t="shared" si="116"/>
        <v>65</v>
      </c>
      <c r="K445">
        <f t="shared" si="105"/>
        <v>0</v>
      </c>
      <c r="L445">
        <f t="shared" si="106"/>
        <v>1</v>
      </c>
      <c r="M445" s="13">
        <f t="shared" si="117"/>
        <v>1</v>
      </c>
      <c r="N445">
        <f t="shared" si="117"/>
        <v>4</v>
      </c>
      <c r="O445" s="14">
        <f t="shared" si="107"/>
        <v>64</v>
      </c>
      <c r="P445" s="13">
        <f t="shared" si="111"/>
        <v>1</v>
      </c>
      <c r="Q445">
        <f t="shared" si="118"/>
        <v>4</v>
      </c>
      <c r="R445" s="14">
        <f t="shared" si="119"/>
        <v>64</v>
      </c>
      <c r="S445" s="15"/>
      <c r="W445" s="14"/>
    </row>
    <row r="446" spans="1:23" x14ac:dyDescent="0.25">
      <c r="A446" s="16"/>
      <c r="B446" s="17" t="b">
        <f t="shared" si="112"/>
        <v>0</v>
      </c>
      <c r="C446" s="17" t="b">
        <f t="shared" si="104"/>
        <v>0</v>
      </c>
      <c r="D446" s="17">
        <f t="shared" si="108"/>
        <v>1</v>
      </c>
      <c r="E446" s="17" t="str">
        <f t="shared" si="109"/>
        <v>Section 4 - Create spring-boot starter microservice, containerize it and push to DockerHub</v>
      </c>
      <c r="F446" s="18" t="str">
        <f t="shared" si="110"/>
        <v/>
      </c>
      <c r="G446" s="13" t="str">
        <f t="shared" si="113"/>
        <v/>
      </c>
      <c r="H446">
        <f t="shared" si="114"/>
        <v>0</v>
      </c>
      <c r="I446">
        <f t="shared" si="115"/>
        <v>0</v>
      </c>
      <c r="J446" s="13">
        <f t="shared" si="116"/>
        <v>65</v>
      </c>
      <c r="K446">
        <f t="shared" si="105"/>
        <v>0</v>
      </c>
      <c r="L446">
        <f t="shared" si="106"/>
        <v>1</v>
      </c>
      <c r="M446" s="13">
        <f t="shared" si="117"/>
        <v>1</v>
      </c>
      <c r="N446">
        <f t="shared" si="117"/>
        <v>4</v>
      </c>
      <c r="O446" s="14">
        <f t="shared" si="107"/>
        <v>64</v>
      </c>
      <c r="P446" s="13">
        <f t="shared" si="111"/>
        <v>1</v>
      </c>
      <c r="Q446">
        <f t="shared" si="118"/>
        <v>4</v>
      </c>
      <c r="R446" s="14">
        <f t="shared" si="119"/>
        <v>64</v>
      </c>
      <c r="S446" s="15"/>
      <c r="W446" s="14"/>
    </row>
    <row r="447" spans="1:23" x14ac:dyDescent="0.25">
      <c r="A447" s="16"/>
      <c r="B447" s="17" t="b">
        <f t="shared" si="112"/>
        <v>0</v>
      </c>
      <c r="C447" s="17" t="b">
        <f t="shared" si="104"/>
        <v>0</v>
      </c>
      <c r="D447" s="17">
        <f t="shared" si="108"/>
        <v>1</v>
      </c>
      <c r="E447" s="17" t="str">
        <f t="shared" si="109"/>
        <v>Section 4 - Create spring-boot starter microservice, containerize it and push to DockerHub</v>
      </c>
      <c r="F447" s="18" t="str">
        <f t="shared" si="110"/>
        <v/>
      </c>
      <c r="G447" s="13" t="str">
        <f t="shared" si="113"/>
        <v/>
      </c>
      <c r="H447">
        <f t="shared" si="114"/>
        <v>0</v>
      </c>
      <c r="I447">
        <f t="shared" si="115"/>
        <v>0</v>
      </c>
      <c r="J447" s="13">
        <f t="shared" si="116"/>
        <v>65</v>
      </c>
      <c r="K447">
        <f t="shared" si="105"/>
        <v>0</v>
      </c>
      <c r="L447">
        <f t="shared" si="106"/>
        <v>1</v>
      </c>
      <c r="M447" s="13">
        <f t="shared" si="117"/>
        <v>1</v>
      </c>
      <c r="N447">
        <f t="shared" si="117"/>
        <v>4</v>
      </c>
      <c r="O447" s="14">
        <f t="shared" si="107"/>
        <v>64</v>
      </c>
      <c r="P447" s="13">
        <f t="shared" si="111"/>
        <v>1</v>
      </c>
      <c r="Q447">
        <f t="shared" si="118"/>
        <v>4</v>
      </c>
      <c r="R447" s="14">
        <f t="shared" si="119"/>
        <v>64</v>
      </c>
      <c r="S447" s="15"/>
      <c r="W447" s="14"/>
    </row>
    <row r="448" spans="1:23" x14ac:dyDescent="0.25">
      <c r="A448" s="16"/>
      <c r="B448" s="17" t="b">
        <f t="shared" si="112"/>
        <v>0</v>
      </c>
      <c r="C448" s="17" t="b">
        <f t="shared" ref="C448:C511" si="120">OR(NOT(ISERROR(FIND("hr",A449))), NOT(ISERROR(FIND("min ",A449))),RIGHT(A449,3)="min")</f>
        <v>0</v>
      </c>
      <c r="D448" s="17">
        <f t="shared" si="108"/>
        <v>1</v>
      </c>
      <c r="E448" s="17" t="str">
        <f t="shared" si="109"/>
        <v>Section 4 - Create spring-boot starter microservice, containerize it and push to DockerHub</v>
      </c>
      <c r="F448" s="18" t="str">
        <f t="shared" si="110"/>
        <v/>
      </c>
      <c r="G448" s="13" t="str">
        <f t="shared" si="113"/>
        <v/>
      </c>
      <c r="H448">
        <f t="shared" si="114"/>
        <v>0</v>
      </c>
      <c r="I448">
        <f t="shared" si="115"/>
        <v>0</v>
      </c>
      <c r="J448" s="13">
        <f t="shared" si="116"/>
        <v>65</v>
      </c>
      <c r="K448">
        <f t="shared" si="105"/>
        <v>0</v>
      </c>
      <c r="L448">
        <f t="shared" si="106"/>
        <v>1</v>
      </c>
      <c r="M448" s="13">
        <f t="shared" si="117"/>
        <v>1</v>
      </c>
      <c r="N448">
        <f t="shared" si="117"/>
        <v>4</v>
      </c>
      <c r="O448" s="14">
        <f t="shared" si="107"/>
        <v>64</v>
      </c>
      <c r="P448" s="13">
        <f t="shared" si="111"/>
        <v>1</v>
      </c>
      <c r="Q448">
        <f t="shared" si="118"/>
        <v>4</v>
      </c>
      <c r="R448" s="14">
        <f t="shared" si="119"/>
        <v>64</v>
      </c>
      <c r="S448" s="15"/>
      <c r="W448" s="14"/>
    </row>
    <row r="449" spans="1:23" x14ac:dyDescent="0.25">
      <c r="A449" s="16"/>
      <c r="B449" s="17" t="b">
        <f t="shared" si="112"/>
        <v>0</v>
      </c>
      <c r="C449" s="17" t="b">
        <f t="shared" si="120"/>
        <v>0</v>
      </c>
      <c r="D449" s="17">
        <f t="shared" si="108"/>
        <v>1</v>
      </c>
      <c r="E449" s="17" t="str">
        <f t="shared" si="109"/>
        <v>Section 4 - Create spring-boot starter microservice, containerize it and push to DockerHub</v>
      </c>
      <c r="F449" s="18" t="str">
        <f t="shared" si="110"/>
        <v/>
      </c>
      <c r="G449" s="13" t="str">
        <f t="shared" si="113"/>
        <v/>
      </c>
      <c r="H449">
        <f t="shared" si="114"/>
        <v>0</v>
      </c>
      <c r="I449">
        <f t="shared" si="115"/>
        <v>0</v>
      </c>
      <c r="J449" s="13">
        <f t="shared" si="116"/>
        <v>65</v>
      </c>
      <c r="K449">
        <f t="shared" si="105"/>
        <v>0</v>
      </c>
      <c r="L449">
        <f t="shared" si="106"/>
        <v>1</v>
      </c>
      <c r="M449" s="13">
        <f t="shared" si="117"/>
        <v>1</v>
      </c>
      <c r="N449">
        <f t="shared" si="117"/>
        <v>4</v>
      </c>
      <c r="O449" s="14">
        <f t="shared" si="107"/>
        <v>64</v>
      </c>
      <c r="P449" s="13">
        <f t="shared" si="111"/>
        <v>1</v>
      </c>
      <c r="Q449">
        <f t="shared" si="118"/>
        <v>4</v>
      </c>
      <c r="R449" s="14">
        <f t="shared" si="119"/>
        <v>64</v>
      </c>
      <c r="S449" s="15"/>
      <c r="W449" s="14"/>
    </row>
    <row r="450" spans="1:23" x14ac:dyDescent="0.25">
      <c r="A450" s="16"/>
      <c r="B450" s="17" t="b">
        <f t="shared" si="112"/>
        <v>0</v>
      </c>
      <c r="C450" s="17" t="b">
        <f t="shared" si="120"/>
        <v>0</v>
      </c>
      <c r="D450" s="17">
        <f t="shared" si="108"/>
        <v>1</v>
      </c>
      <c r="E450" s="17" t="str">
        <f t="shared" si="109"/>
        <v>Section 4 - Create spring-boot starter microservice, containerize it and push to DockerHub</v>
      </c>
      <c r="F450" s="18" t="str">
        <f t="shared" si="110"/>
        <v/>
      </c>
      <c r="G450" s="13" t="str">
        <f t="shared" si="113"/>
        <v/>
      </c>
      <c r="H450">
        <f t="shared" si="114"/>
        <v>0</v>
      </c>
      <c r="I450">
        <f t="shared" si="115"/>
        <v>0</v>
      </c>
      <c r="J450" s="13">
        <f t="shared" si="116"/>
        <v>65</v>
      </c>
      <c r="K450">
        <f t="shared" si="105"/>
        <v>0</v>
      </c>
      <c r="L450">
        <f t="shared" si="106"/>
        <v>1</v>
      </c>
      <c r="M450" s="13">
        <f t="shared" si="117"/>
        <v>1</v>
      </c>
      <c r="N450">
        <f t="shared" si="117"/>
        <v>4</v>
      </c>
      <c r="O450" s="14">
        <f t="shared" si="107"/>
        <v>64</v>
      </c>
      <c r="P450" s="13">
        <f t="shared" si="111"/>
        <v>1</v>
      </c>
      <c r="Q450">
        <f t="shared" si="118"/>
        <v>4</v>
      </c>
      <c r="R450" s="14">
        <f t="shared" si="119"/>
        <v>64</v>
      </c>
      <c r="S450" s="15"/>
      <c r="W450" s="14"/>
    </row>
    <row r="451" spans="1:23" x14ac:dyDescent="0.25">
      <c r="A451" s="16"/>
      <c r="B451" s="17" t="b">
        <f t="shared" si="112"/>
        <v>0</v>
      </c>
      <c r="C451" s="17" t="b">
        <f t="shared" si="120"/>
        <v>0</v>
      </c>
      <c r="D451" s="17">
        <f t="shared" si="108"/>
        <v>1</v>
      </c>
      <c r="E451" s="17" t="str">
        <f t="shared" si="109"/>
        <v>Section 4 - Create spring-boot starter microservice, containerize it and push to DockerHub</v>
      </c>
      <c r="F451" s="18" t="str">
        <f t="shared" si="110"/>
        <v/>
      </c>
      <c r="G451" s="13" t="str">
        <f t="shared" si="113"/>
        <v/>
      </c>
      <c r="H451">
        <f t="shared" si="114"/>
        <v>0</v>
      </c>
      <c r="I451">
        <f t="shared" si="115"/>
        <v>0</v>
      </c>
      <c r="J451" s="13">
        <f t="shared" si="116"/>
        <v>65</v>
      </c>
      <c r="K451">
        <f t="shared" si="105"/>
        <v>0</v>
      </c>
      <c r="L451">
        <f t="shared" si="106"/>
        <v>1</v>
      </c>
      <c r="M451" s="13">
        <f t="shared" si="117"/>
        <v>1</v>
      </c>
      <c r="N451">
        <f t="shared" si="117"/>
        <v>4</v>
      </c>
      <c r="O451" s="14">
        <f t="shared" si="107"/>
        <v>64</v>
      </c>
      <c r="P451" s="13">
        <f t="shared" si="111"/>
        <v>1</v>
      </c>
      <c r="Q451">
        <f t="shared" si="118"/>
        <v>4</v>
      </c>
      <c r="R451" s="14">
        <f t="shared" si="119"/>
        <v>64</v>
      </c>
      <c r="S451" s="15"/>
      <c r="W451" s="14"/>
    </row>
    <row r="452" spans="1:23" x14ac:dyDescent="0.25">
      <c r="A452" s="16"/>
      <c r="B452" s="17" t="b">
        <f t="shared" si="112"/>
        <v>0</v>
      </c>
      <c r="C452" s="17" t="b">
        <f t="shared" si="120"/>
        <v>0</v>
      </c>
      <c r="D452" s="17">
        <f t="shared" si="108"/>
        <v>1</v>
      </c>
      <c r="E452" s="17" t="str">
        <f t="shared" si="109"/>
        <v>Section 4 - Create spring-boot starter microservice, containerize it and push to DockerHub</v>
      </c>
      <c r="F452" s="18" t="str">
        <f t="shared" si="110"/>
        <v/>
      </c>
      <c r="G452" s="13" t="str">
        <f t="shared" si="113"/>
        <v/>
      </c>
      <c r="H452">
        <f t="shared" si="114"/>
        <v>0</v>
      </c>
      <c r="I452">
        <f t="shared" si="115"/>
        <v>0</v>
      </c>
      <c r="J452" s="13">
        <f t="shared" si="116"/>
        <v>65</v>
      </c>
      <c r="K452">
        <f t="shared" si="105"/>
        <v>0</v>
      </c>
      <c r="L452">
        <f t="shared" si="106"/>
        <v>1</v>
      </c>
      <c r="M452" s="13">
        <f t="shared" si="117"/>
        <v>1</v>
      </c>
      <c r="N452">
        <f t="shared" si="117"/>
        <v>4</v>
      </c>
      <c r="O452" s="14">
        <f t="shared" si="107"/>
        <v>64</v>
      </c>
      <c r="P452" s="13">
        <f t="shared" si="111"/>
        <v>1</v>
      </c>
      <c r="Q452">
        <f t="shared" si="118"/>
        <v>4</v>
      </c>
      <c r="R452" s="14">
        <f t="shared" si="119"/>
        <v>64</v>
      </c>
      <c r="S452" s="15"/>
      <c r="W452" s="14"/>
    </row>
    <row r="453" spans="1:23" x14ac:dyDescent="0.25">
      <c r="A453" s="16"/>
      <c r="B453" s="17" t="b">
        <f t="shared" si="112"/>
        <v>0</v>
      </c>
      <c r="C453" s="17" t="b">
        <f t="shared" si="120"/>
        <v>0</v>
      </c>
      <c r="D453" s="17">
        <f t="shared" si="108"/>
        <v>1</v>
      </c>
      <c r="E453" s="17" t="str">
        <f t="shared" si="109"/>
        <v>Section 4 - Create spring-boot starter microservice, containerize it and push to DockerHub</v>
      </c>
      <c r="F453" s="18" t="str">
        <f t="shared" si="110"/>
        <v/>
      </c>
      <c r="G453" s="13" t="str">
        <f t="shared" si="113"/>
        <v/>
      </c>
      <c r="H453">
        <f t="shared" si="114"/>
        <v>0</v>
      </c>
      <c r="I453">
        <f t="shared" si="115"/>
        <v>0</v>
      </c>
      <c r="J453" s="13">
        <f t="shared" si="116"/>
        <v>65</v>
      </c>
      <c r="K453">
        <f t="shared" si="105"/>
        <v>0</v>
      </c>
      <c r="L453">
        <f t="shared" si="106"/>
        <v>1</v>
      </c>
      <c r="M453" s="13">
        <f t="shared" si="117"/>
        <v>1</v>
      </c>
      <c r="N453">
        <f t="shared" si="117"/>
        <v>4</v>
      </c>
      <c r="O453" s="14">
        <f t="shared" si="107"/>
        <v>64</v>
      </c>
      <c r="P453" s="13">
        <f t="shared" si="111"/>
        <v>1</v>
      </c>
      <c r="Q453">
        <f t="shared" si="118"/>
        <v>4</v>
      </c>
      <c r="R453" s="14">
        <f t="shared" si="119"/>
        <v>64</v>
      </c>
      <c r="S453" s="15"/>
      <c r="W453" s="14"/>
    </row>
    <row r="454" spans="1:23" x14ac:dyDescent="0.25">
      <c r="A454" s="16"/>
      <c r="B454" s="17" t="b">
        <f t="shared" si="112"/>
        <v>0</v>
      </c>
      <c r="C454" s="17" t="b">
        <f t="shared" si="120"/>
        <v>0</v>
      </c>
      <c r="D454" s="17">
        <f t="shared" si="108"/>
        <v>1</v>
      </c>
      <c r="E454" s="17" t="str">
        <f t="shared" si="109"/>
        <v>Section 4 - Create spring-boot starter microservice, containerize it and push to DockerHub</v>
      </c>
      <c r="F454" s="18" t="str">
        <f t="shared" si="110"/>
        <v/>
      </c>
      <c r="G454" s="13" t="str">
        <f t="shared" si="113"/>
        <v/>
      </c>
      <c r="H454">
        <f t="shared" si="114"/>
        <v>0</v>
      </c>
      <c r="I454">
        <f t="shared" si="115"/>
        <v>0</v>
      </c>
      <c r="J454" s="13">
        <f t="shared" si="116"/>
        <v>65</v>
      </c>
      <c r="K454">
        <f t="shared" si="105"/>
        <v>0</v>
      </c>
      <c r="L454">
        <f t="shared" si="106"/>
        <v>1</v>
      </c>
      <c r="M454" s="13">
        <f t="shared" si="117"/>
        <v>1</v>
      </c>
      <c r="N454">
        <f t="shared" si="117"/>
        <v>4</v>
      </c>
      <c r="O454" s="14">
        <f t="shared" si="107"/>
        <v>64</v>
      </c>
      <c r="P454" s="13">
        <f t="shared" si="111"/>
        <v>1</v>
      </c>
      <c r="Q454">
        <f t="shared" si="118"/>
        <v>4</v>
      </c>
      <c r="R454" s="14">
        <f t="shared" si="119"/>
        <v>64</v>
      </c>
      <c r="S454" s="15"/>
      <c r="W454" s="14"/>
    </row>
    <row r="455" spans="1:23" x14ac:dyDescent="0.25">
      <c r="A455" s="16"/>
      <c r="B455" s="17" t="b">
        <f t="shared" si="112"/>
        <v>0</v>
      </c>
      <c r="C455" s="17" t="b">
        <f t="shared" si="120"/>
        <v>0</v>
      </c>
      <c r="D455" s="17">
        <f t="shared" si="108"/>
        <v>1</v>
      </c>
      <c r="E455" s="17" t="str">
        <f t="shared" si="109"/>
        <v>Section 4 - Create spring-boot starter microservice, containerize it and push to DockerHub</v>
      </c>
      <c r="F455" s="18" t="str">
        <f t="shared" si="110"/>
        <v/>
      </c>
      <c r="G455" s="13" t="str">
        <f t="shared" si="113"/>
        <v/>
      </c>
      <c r="H455">
        <f t="shared" si="114"/>
        <v>0</v>
      </c>
      <c r="I455">
        <f t="shared" si="115"/>
        <v>0</v>
      </c>
      <c r="J455" s="13">
        <f t="shared" si="116"/>
        <v>65</v>
      </c>
      <c r="K455">
        <f t="shared" si="105"/>
        <v>0</v>
      </c>
      <c r="L455">
        <f t="shared" si="106"/>
        <v>1</v>
      </c>
      <c r="M455" s="13">
        <f t="shared" si="117"/>
        <v>1</v>
      </c>
      <c r="N455">
        <f t="shared" si="117"/>
        <v>4</v>
      </c>
      <c r="O455" s="14">
        <f t="shared" si="107"/>
        <v>64</v>
      </c>
      <c r="P455" s="13">
        <f t="shared" si="111"/>
        <v>1</v>
      </c>
      <c r="Q455">
        <f t="shared" si="118"/>
        <v>4</v>
      </c>
      <c r="R455" s="14">
        <f t="shared" si="119"/>
        <v>64</v>
      </c>
      <c r="S455" s="15"/>
      <c r="W455" s="14"/>
    </row>
    <row r="456" spans="1:23" x14ac:dyDescent="0.25">
      <c r="A456" s="16"/>
      <c r="B456" s="17" t="b">
        <f t="shared" si="112"/>
        <v>0</v>
      </c>
      <c r="C456" s="17" t="b">
        <f t="shared" si="120"/>
        <v>0</v>
      </c>
      <c r="D456" s="17">
        <f t="shared" si="108"/>
        <v>1</v>
      </c>
      <c r="E456" s="17" t="str">
        <f t="shared" si="109"/>
        <v>Section 4 - Create spring-boot starter microservice, containerize it and push to DockerHub</v>
      </c>
      <c r="F456" s="18" t="str">
        <f t="shared" si="110"/>
        <v/>
      </c>
      <c r="G456" s="13" t="str">
        <f t="shared" si="113"/>
        <v/>
      </c>
      <c r="H456">
        <f t="shared" si="114"/>
        <v>0</v>
      </c>
      <c r="I456">
        <f t="shared" si="115"/>
        <v>0</v>
      </c>
      <c r="J456" s="13">
        <f t="shared" si="116"/>
        <v>65</v>
      </c>
      <c r="K456">
        <f t="shared" si="105"/>
        <v>0</v>
      </c>
      <c r="L456">
        <f t="shared" si="106"/>
        <v>1</v>
      </c>
      <c r="M456" s="13">
        <f t="shared" si="117"/>
        <v>1</v>
      </c>
      <c r="N456">
        <f t="shared" si="117"/>
        <v>4</v>
      </c>
      <c r="O456" s="14">
        <f t="shared" si="107"/>
        <v>64</v>
      </c>
      <c r="P456" s="13">
        <f t="shared" si="111"/>
        <v>1</v>
      </c>
      <c r="Q456">
        <f t="shared" si="118"/>
        <v>4</v>
      </c>
      <c r="R456" s="14">
        <f t="shared" si="119"/>
        <v>64</v>
      </c>
      <c r="S456" s="15"/>
      <c r="W456" s="14"/>
    </row>
    <row r="457" spans="1:23" x14ac:dyDescent="0.25">
      <c r="A457" s="16"/>
      <c r="B457" s="17" t="b">
        <f t="shared" si="112"/>
        <v>0</v>
      </c>
      <c r="C457" s="17" t="b">
        <f t="shared" si="120"/>
        <v>0</v>
      </c>
      <c r="D457" s="17">
        <f t="shared" si="108"/>
        <v>1</v>
      </c>
      <c r="E457" s="17" t="str">
        <f t="shared" si="109"/>
        <v>Section 4 - Create spring-boot starter microservice, containerize it and push to DockerHub</v>
      </c>
      <c r="F457" s="18" t="str">
        <f t="shared" si="110"/>
        <v/>
      </c>
      <c r="G457" s="13" t="str">
        <f t="shared" si="113"/>
        <v/>
      </c>
      <c r="H457">
        <f t="shared" si="114"/>
        <v>0</v>
      </c>
      <c r="I457">
        <f t="shared" si="115"/>
        <v>0</v>
      </c>
      <c r="J457" s="13">
        <f t="shared" si="116"/>
        <v>65</v>
      </c>
      <c r="K457">
        <f t="shared" si="105"/>
        <v>0</v>
      </c>
      <c r="L457">
        <f t="shared" si="106"/>
        <v>1</v>
      </c>
      <c r="M457" s="13">
        <f t="shared" si="117"/>
        <v>1</v>
      </c>
      <c r="N457">
        <f t="shared" si="117"/>
        <v>4</v>
      </c>
      <c r="O457" s="14">
        <f t="shared" si="107"/>
        <v>64</v>
      </c>
      <c r="P457" s="13">
        <f t="shared" si="111"/>
        <v>1</v>
      </c>
      <c r="Q457">
        <f t="shared" si="118"/>
        <v>4</v>
      </c>
      <c r="R457" s="14">
        <f t="shared" si="119"/>
        <v>64</v>
      </c>
      <c r="S457" s="15"/>
      <c r="W457" s="14"/>
    </row>
    <row r="458" spans="1:23" x14ac:dyDescent="0.25">
      <c r="A458" s="16"/>
      <c r="B458" s="17" t="b">
        <f t="shared" si="112"/>
        <v>0</v>
      </c>
      <c r="C458" s="17" t="b">
        <f t="shared" si="120"/>
        <v>0</v>
      </c>
      <c r="D458" s="17">
        <f t="shared" si="108"/>
        <v>1</v>
      </c>
      <c r="E458" s="17" t="str">
        <f t="shared" si="109"/>
        <v>Section 4 - Create spring-boot starter microservice, containerize it and push to DockerHub</v>
      </c>
      <c r="F458" s="18" t="str">
        <f t="shared" si="110"/>
        <v/>
      </c>
      <c r="G458" s="13" t="str">
        <f t="shared" si="113"/>
        <v/>
      </c>
      <c r="H458">
        <f t="shared" si="114"/>
        <v>0</v>
      </c>
      <c r="I458">
        <f t="shared" si="115"/>
        <v>0</v>
      </c>
      <c r="J458" s="13">
        <f t="shared" si="116"/>
        <v>65</v>
      </c>
      <c r="K458">
        <f t="shared" ref="K458:K521" si="121">INT(J458/60/60)</f>
        <v>0</v>
      </c>
      <c r="L458">
        <f t="shared" ref="L458:L521" si="122">INT((J458-(K458*60*60))/60)</f>
        <v>1</v>
      </c>
      <c r="M458" s="13">
        <f t="shared" si="117"/>
        <v>1</v>
      </c>
      <c r="N458">
        <f t="shared" si="117"/>
        <v>4</v>
      </c>
      <c r="O458" s="14">
        <f t="shared" ref="O458:O521" si="123">((M458*60)+N458)</f>
        <v>64</v>
      </c>
      <c r="P458" s="13">
        <f t="shared" si="111"/>
        <v>1</v>
      </c>
      <c r="Q458">
        <f t="shared" si="118"/>
        <v>4</v>
      </c>
      <c r="R458" s="14">
        <f t="shared" si="119"/>
        <v>64</v>
      </c>
      <c r="S458" s="15"/>
      <c r="W458" s="14"/>
    </row>
    <row r="459" spans="1:23" x14ac:dyDescent="0.25">
      <c r="A459" s="16"/>
      <c r="B459" s="17" t="b">
        <f t="shared" si="112"/>
        <v>0</v>
      </c>
      <c r="C459" s="17" t="b">
        <f t="shared" si="120"/>
        <v>0</v>
      </c>
      <c r="D459" s="17">
        <f t="shared" ref="D459:D522" si="124">IF(B459,0,IF(C459,D458+1,D458))</f>
        <v>1</v>
      </c>
      <c r="E459" s="17" t="str">
        <f t="shared" ref="E459:E522" si="125">SUBSTITUTE(IF(B459,A459,E458),":"," -")</f>
        <v>Section 4 - Create spring-boot starter microservice, containerize it and push to DockerHub</v>
      </c>
      <c r="F459" s="18" t="str">
        <f t="shared" ref="F459:F522" si="126">IF(C459,A459,"")</f>
        <v/>
      </c>
      <c r="G459" s="13" t="str">
        <f t="shared" si="113"/>
        <v/>
      </c>
      <c r="H459">
        <f t="shared" si="114"/>
        <v>0</v>
      </c>
      <c r="I459">
        <f t="shared" si="115"/>
        <v>0</v>
      </c>
      <c r="J459" s="13">
        <f t="shared" si="116"/>
        <v>65</v>
      </c>
      <c r="K459">
        <f t="shared" si="121"/>
        <v>0</v>
      </c>
      <c r="L459">
        <f t="shared" si="122"/>
        <v>1</v>
      </c>
      <c r="M459" s="13">
        <f t="shared" si="117"/>
        <v>1</v>
      </c>
      <c r="N459">
        <f t="shared" si="117"/>
        <v>4</v>
      </c>
      <c r="O459" s="14">
        <f t="shared" si="123"/>
        <v>64</v>
      </c>
      <c r="P459" s="13">
        <f t="shared" ref="P459:P522" si="127">INT(R459/60)</f>
        <v>1</v>
      </c>
      <c r="Q459">
        <f t="shared" si="118"/>
        <v>4</v>
      </c>
      <c r="R459" s="14">
        <f t="shared" si="119"/>
        <v>64</v>
      </c>
      <c r="S459" s="15"/>
      <c r="W459" s="14"/>
    </row>
    <row r="460" spans="1:23" x14ac:dyDescent="0.25">
      <c r="A460" s="16"/>
      <c r="B460" s="17" t="b">
        <f t="shared" si="112"/>
        <v>0</v>
      </c>
      <c r="C460" s="17" t="b">
        <f t="shared" si="120"/>
        <v>0</v>
      </c>
      <c r="D460" s="17">
        <f t="shared" si="124"/>
        <v>1</v>
      </c>
      <c r="E460" s="17" t="str">
        <f t="shared" si="125"/>
        <v>Section 4 - Create spring-boot starter microservice, containerize it and push to DockerHub</v>
      </c>
      <c r="F460" s="18" t="str">
        <f t="shared" si="126"/>
        <v/>
      </c>
      <c r="G460" s="13" t="str">
        <f t="shared" si="113"/>
        <v/>
      </c>
      <c r="H460">
        <f t="shared" si="114"/>
        <v>0</v>
      </c>
      <c r="I460">
        <f t="shared" si="115"/>
        <v>0</v>
      </c>
      <c r="J460" s="13">
        <f t="shared" si="116"/>
        <v>65</v>
      </c>
      <c r="K460">
        <f t="shared" si="121"/>
        <v>0</v>
      </c>
      <c r="L460">
        <f t="shared" si="122"/>
        <v>1</v>
      </c>
      <c r="M460" s="13">
        <f t="shared" si="117"/>
        <v>1</v>
      </c>
      <c r="N460">
        <f t="shared" si="117"/>
        <v>4</v>
      </c>
      <c r="O460" s="14">
        <f t="shared" si="123"/>
        <v>64</v>
      </c>
      <c r="P460" s="13">
        <f t="shared" si="127"/>
        <v>1</v>
      </c>
      <c r="Q460">
        <f t="shared" si="118"/>
        <v>4</v>
      </c>
      <c r="R460" s="14">
        <f t="shared" si="119"/>
        <v>64</v>
      </c>
      <c r="S460" s="15"/>
      <c r="W460" s="14"/>
    </row>
    <row r="461" spans="1:23" x14ac:dyDescent="0.25">
      <c r="A461" s="16"/>
      <c r="B461" s="17" t="b">
        <f t="shared" si="112"/>
        <v>0</v>
      </c>
      <c r="C461" s="17" t="b">
        <f t="shared" si="120"/>
        <v>0</v>
      </c>
      <c r="D461" s="17">
        <f t="shared" si="124"/>
        <v>1</v>
      </c>
      <c r="E461" s="17" t="str">
        <f t="shared" si="125"/>
        <v>Section 4 - Create spring-boot starter microservice, containerize it and push to DockerHub</v>
      </c>
      <c r="F461" s="18" t="str">
        <f t="shared" si="126"/>
        <v/>
      </c>
      <c r="G461" s="13" t="str">
        <f t="shared" si="113"/>
        <v/>
      </c>
      <c r="H461">
        <f t="shared" si="114"/>
        <v>0</v>
      </c>
      <c r="I461">
        <f t="shared" si="115"/>
        <v>0</v>
      </c>
      <c r="J461" s="13">
        <f t="shared" si="116"/>
        <v>65</v>
      </c>
      <c r="K461">
        <f t="shared" si="121"/>
        <v>0</v>
      </c>
      <c r="L461">
        <f t="shared" si="122"/>
        <v>1</v>
      </c>
      <c r="M461" s="13">
        <f t="shared" si="117"/>
        <v>1</v>
      </c>
      <c r="N461">
        <f t="shared" si="117"/>
        <v>4</v>
      </c>
      <c r="O461" s="14">
        <f t="shared" si="123"/>
        <v>64</v>
      </c>
      <c r="P461" s="13">
        <f t="shared" si="127"/>
        <v>1</v>
      </c>
      <c r="Q461">
        <f t="shared" si="118"/>
        <v>4</v>
      </c>
      <c r="R461" s="14">
        <f t="shared" si="119"/>
        <v>64</v>
      </c>
      <c r="S461" s="15"/>
      <c r="W461" s="14"/>
    </row>
    <row r="462" spans="1:23" x14ac:dyDescent="0.25">
      <c r="A462" s="16"/>
      <c r="B462" s="17" t="b">
        <f t="shared" si="112"/>
        <v>0</v>
      </c>
      <c r="C462" s="17" t="b">
        <f t="shared" si="120"/>
        <v>0</v>
      </c>
      <c r="D462" s="17">
        <f t="shared" si="124"/>
        <v>1</v>
      </c>
      <c r="E462" s="17" t="str">
        <f t="shared" si="125"/>
        <v>Section 4 - Create spring-boot starter microservice, containerize it and push to DockerHub</v>
      </c>
      <c r="F462" s="18" t="str">
        <f t="shared" si="126"/>
        <v/>
      </c>
      <c r="G462" s="13" t="str">
        <f t="shared" si="113"/>
        <v/>
      </c>
      <c r="H462">
        <f t="shared" si="114"/>
        <v>0</v>
      </c>
      <c r="I462">
        <f t="shared" si="115"/>
        <v>0</v>
      </c>
      <c r="J462" s="13">
        <f t="shared" si="116"/>
        <v>65</v>
      </c>
      <c r="K462">
        <f t="shared" si="121"/>
        <v>0</v>
      </c>
      <c r="L462">
        <f t="shared" si="122"/>
        <v>1</v>
      </c>
      <c r="M462" s="13">
        <f t="shared" si="117"/>
        <v>1</v>
      </c>
      <c r="N462">
        <f t="shared" si="117"/>
        <v>4</v>
      </c>
      <c r="O462" s="14">
        <f t="shared" si="123"/>
        <v>64</v>
      </c>
      <c r="P462" s="13">
        <f t="shared" si="127"/>
        <v>1</v>
      </c>
      <c r="Q462">
        <f t="shared" si="118"/>
        <v>4</v>
      </c>
      <c r="R462" s="14">
        <f t="shared" si="119"/>
        <v>64</v>
      </c>
      <c r="S462" s="15"/>
      <c r="W462" s="14"/>
    </row>
    <row r="463" spans="1:23" x14ac:dyDescent="0.25">
      <c r="A463" s="16"/>
      <c r="B463" s="17" t="b">
        <f t="shared" si="112"/>
        <v>0</v>
      </c>
      <c r="C463" s="17" t="b">
        <f t="shared" si="120"/>
        <v>0</v>
      </c>
      <c r="D463" s="17">
        <f t="shared" si="124"/>
        <v>1</v>
      </c>
      <c r="E463" s="17" t="str">
        <f t="shared" si="125"/>
        <v>Section 4 - Create spring-boot starter microservice, containerize it and push to DockerHub</v>
      </c>
      <c r="F463" s="18" t="str">
        <f t="shared" si="126"/>
        <v/>
      </c>
      <c r="G463" s="13" t="str">
        <f t="shared" si="113"/>
        <v/>
      </c>
      <c r="H463">
        <f t="shared" si="114"/>
        <v>0</v>
      </c>
      <c r="I463">
        <f t="shared" si="115"/>
        <v>0</v>
      </c>
      <c r="J463" s="13">
        <f t="shared" si="116"/>
        <v>65</v>
      </c>
      <c r="K463">
        <f t="shared" si="121"/>
        <v>0</v>
      </c>
      <c r="L463">
        <f t="shared" si="122"/>
        <v>1</v>
      </c>
      <c r="M463" s="13">
        <f t="shared" si="117"/>
        <v>1</v>
      </c>
      <c r="N463">
        <f t="shared" si="117"/>
        <v>4</v>
      </c>
      <c r="O463" s="14">
        <f t="shared" si="123"/>
        <v>64</v>
      </c>
      <c r="P463" s="13">
        <f t="shared" si="127"/>
        <v>1</v>
      </c>
      <c r="Q463">
        <f t="shared" si="118"/>
        <v>4</v>
      </c>
      <c r="R463" s="14">
        <f t="shared" si="119"/>
        <v>64</v>
      </c>
      <c r="S463" s="15"/>
      <c r="W463" s="14"/>
    </row>
    <row r="464" spans="1:23" x14ac:dyDescent="0.25">
      <c r="A464" s="16"/>
      <c r="B464" s="17" t="b">
        <f t="shared" si="112"/>
        <v>0</v>
      </c>
      <c r="C464" s="17" t="b">
        <f t="shared" si="120"/>
        <v>0</v>
      </c>
      <c r="D464" s="17">
        <f t="shared" si="124"/>
        <v>1</v>
      </c>
      <c r="E464" s="17" t="str">
        <f t="shared" si="125"/>
        <v>Section 4 - Create spring-boot starter microservice, containerize it and push to DockerHub</v>
      </c>
      <c r="F464" s="18" t="str">
        <f t="shared" si="126"/>
        <v/>
      </c>
      <c r="G464" s="13" t="str">
        <f t="shared" si="113"/>
        <v/>
      </c>
      <c r="H464">
        <f t="shared" si="114"/>
        <v>0</v>
      </c>
      <c r="I464">
        <f t="shared" si="115"/>
        <v>0</v>
      </c>
      <c r="J464" s="13">
        <f t="shared" si="116"/>
        <v>65</v>
      </c>
      <c r="K464">
        <f t="shared" si="121"/>
        <v>0</v>
      </c>
      <c r="L464">
        <f t="shared" si="122"/>
        <v>1</v>
      </c>
      <c r="M464" s="13">
        <f t="shared" si="117"/>
        <v>1</v>
      </c>
      <c r="N464">
        <f t="shared" si="117"/>
        <v>4</v>
      </c>
      <c r="O464" s="14">
        <f t="shared" si="123"/>
        <v>64</v>
      </c>
      <c r="P464" s="13">
        <f t="shared" si="127"/>
        <v>1</v>
      </c>
      <c r="Q464">
        <f t="shared" si="118"/>
        <v>4</v>
      </c>
      <c r="R464" s="14">
        <f t="shared" si="119"/>
        <v>64</v>
      </c>
      <c r="S464" s="15"/>
      <c r="W464" s="14"/>
    </row>
    <row r="465" spans="1:23" x14ac:dyDescent="0.25">
      <c r="A465" s="16"/>
      <c r="B465" s="17" t="b">
        <f t="shared" si="112"/>
        <v>0</v>
      </c>
      <c r="C465" s="17" t="b">
        <f t="shared" si="120"/>
        <v>0</v>
      </c>
      <c r="D465" s="17">
        <f t="shared" si="124"/>
        <v>1</v>
      </c>
      <c r="E465" s="17" t="str">
        <f t="shared" si="125"/>
        <v>Section 4 - Create spring-boot starter microservice, containerize it and push to DockerHub</v>
      </c>
      <c r="F465" s="18" t="str">
        <f t="shared" si="126"/>
        <v/>
      </c>
      <c r="G465" s="13" t="str">
        <f t="shared" si="113"/>
        <v/>
      </c>
      <c r="H465">
        <f t="shared" si="114"/>
        <v>0</v>
      </c>
      <c r="I465">
        <f t="shared" si="115"/>
        <v>0</v>
      </c>
      <c r="J465" s="13">
        <f t="shared" si="116"/>
        <v>65</v>
      </c>
      <c r="K465">
        <f t="shared" si="121"/>
        <v>0</v>
      </c>
      <c r="L465">
        <f t="shared" si="122"/>
        <v>1</v>
      </c>
      <c r="M465" s="13">
        <f t="shared" si="117"/>
        <v>1</v>
      </c>
      <c r="N465">
        <f t="shared" si="117"/>
        <v>4</v>
      </c>
      <c r="O465" s="14">
        <f t="shared" si="123"/>
        <v>64</v>
      </c>
      <c r="P465" s="13">
        <f t="shared" si="127"/>
        <v>1</v>
      </c>
      <c r="Q465">
        <f t="shared" si="118"/>
        <v>4</v>
      </c>
      <c r="R465" s="14">
        <f t="shared" si="119"/>
        <v>64</v>
      </c>
      <c r="S465" s="15"/>
      <c r="W465" s="14"/>
    </row>
    <row r="466" spans="1:23" x14ac:dyDescent="0.25">
      <c r="A466" s="16"/>
      <c r="B466" s="17" t="b">
        <f t="shared" ref="B466:B529" si="128">AND(NOT(ISERROR(FIND("Section ",A466))),NOT(ISERROR(FIND("Section ",A466))))</f>
        <v>0</v>
      </c>
      <c r="C466" s="17" t="b">
        <f t="shared" si="120"/>
        <v>0</v>
      </c>
      <c r="D466" s="17">
        <f t="shared" si="124"/>
        <v>1</v>
      </c>
      <c r="E466" s="17" t="str">
        <f t="shared" si="125"/>
        <v>Section 4 - Create spring-boot starter microservice, containerize it and push to DockerHub</v>
      </c>
      <c r="F466" s="18" t="str">
        <f t="shared" si="126"/>
        <v/>
      </c>
      <c r="G466" s="13" t="str">
        <f t="shared" si="113"/>
        <v/>
      </c>
      <c r="H466">
        <f t="shared" si="114"/>
        <v>0</v>
      </c>
      <c r="I466">
        <f t="shared" si="115"/>
        <v>0</v>
      </c>
      <c r="J466" s="13">
        <f t="shared" si="116"/>
        <v>65</v>
      </c>
      <c r="K466">
        <f t="shared" si="121"/>
        <v>0</v>
      </c>
      <c r="L466">
        <f t="shared" si="122"/>
        <v>1</v>
      </c>
      <c r="M466" s="13">
        <f t="shared" si="117"/>
        <v>1</v>
      </c>
      <c r="N466">
        <f t="shared" si="117"/>
        <v>4</v>
      </c>
      <c r="O466" s="14">
        <f t="shared" si="123"/>
        <v>64</v>
      </c>
      <c r="P466" s="13">
        <f t="shared" si="127"/>
        <v>1</v>
      </c>
      <c r="Q466">
        <f t="shared" si="118"/>
        <v>4</v>
      </c>
      <c r="R466" s="14">
        <f t="shared" si="119"/>
        <v>64</v>
      </c>
      <c r="S466" s="15"/>
      <c r="W466" s="14"/>
    </row>
    <row r="467" spans="1:23" x14ac:dyDescent="0.25">
      <c r="A467" s="16"/>
      <c r="B467" s="17" t="b">
        <f t="shared" si="128"/>
        <v>0</v>
      </c>
      <c r="C467" s="17" t="b">
        <f t="shared" si="120"/>
        <v>0</v>
      </c>
      <c r="D467" s="17">
        <f t="shared" si="124"/>
        <v>1</v>
      </c>
      <c r="E467" s="17" t="str">
        <f t="shared" si="125"/>
        <v>Section 4 - Create spring-boot starter microservice, containerize it and push to DockerHub</v>
      </c>
      <c r="F467" s="18" t="str">
        <f t="shared" si="126"/>
        <v/>
      </c>
      <c r="G467" s="13" t="str">
        <f t="shared" si="113"/>
        <v/>
      </c>
      <c r="H467">
        <f t="shared" si="114"/>
        <v>0</v>
      </c>
      <c r="I467">
        <f t="shared" si="115"/>
        <v>0</v>
      </c>
      <c r="J467" s="13">
        <f t="shared" si="116"/>
        <v>65</v>
      </c>
      <c r="K467">
        <f t="shared" si="121"/>
        <v>0</v>
      </c>
      <c r="L467">
        <f t="shared" si="122"/>
        <v>1</v>
      </c>
      <c r="M467" s="13">
        <f t="shared" si="117"/>
        <v>1</v>
      </c>
      <c r="N467">
        <f t="shared" si="117"/>
        <v>4</v>
      </c>
      <c r="O467" s="14">
        <f t="shared" si="123"/>
        <v>64</v>
      </c>
      <c r="P467" s="13">
        <f t="shared" si="127"/>
        <v>1</v>
      </c>
      <c r="Q467">
        <f t="shared" si="118"/>
        <v>4</v>
      </c>
      <c r="R467" s="14">
        <f t="shared" si="119"/>
        <v>64</v>
      </c>
      <c r="S467" s="15"/>
      <c r="W467" s="14"/>
    </row>
    <row r="468" spans="1:23" x14ac:dyDescent="0.25">
      <c r="A468" s="16"/>
      <c r="B468" s="17" t="b">
        <f t="shared" si="128"/>
        <v>0</v>
      </c>
      <c r="C468" s="17" t="b">
        <f t="shared" si="120"/>
        <v>0</v>
      </c>
      <c r="D468" s="17">
        <f t="shared" si="124"/>
        <v>1</v>
      </c>
      <c r="E468" s="17" t="str">
        <f t="shared" si="125"/>
        <v>Section 4 - Create spring-boot starter microservice, containerize it and push to DockerHub</v>
      </c>
      <c r="F468" s="18" t="str">
        <f t="shared" si="126"/>
        <v/>
      </c>
      <c r="G468" s="13" t="str">
        <f t="shared" si="113"/>
        <v/>
      </c>
      <c r="H468">
        <f t="shared" si="114"/>
        <v>0</v>
      </c>
      <c r="I468">
        <f t="shared" si="115"/>
        <v>0</v>
      </c>
      <c r="J468" s="13">
        <f t="shared" si="116"/>
        <v>65</v>
      </c>
      <c r="K468">
        <f t="shared" si="121"/>
        <v>0</v>
      </c>
      <c r="L468">
        <f t="shared" si="122"/>
        <v>1</v>
      </c>
      <c r="M468" s="13">
        <f t="shared" si="117"/>
        <v>1</v>
      </c>
      <c r="N468">
        <f t="shared" si="117"/>
        <v>4</v>
      </c>
      <c r="O468" s="14">
        <f t="shared" si="123"/>
        <v>64</v>
      </c>
      <c r="P468" s="13">
        <f t="shared" si="127"/>
        <v>1</v>
      </c>
      <c r="Q468">
        <f t="shared" si="118"/>
        <v>4</v>
      </c>
      <c r="R468" s="14">
        <f t="shared" si="119"/>
        <v>64</v>
      </c>
      <c r="S468" s="15"/>
      <c r="W468" s="14"/>
    </row>
    <row r="469" spans="1:23" x14ac:dyDescent="0.25">
      <c r="A469" s="16"/>
      <c r="B469" s="17" t="b">
        <f t="shared" si="128"/>
        <v>0</v>
      </c>
      <c r="C469" s="17" t="b">
        <f t="shared" si="120"/>
        <v>0</v>
      </c>
      <c r="D469" s="17">
        <f t="shared" si="124"/>
        <v>1</v>
      </c>
      <c r="E469" s="17" t="str">
        <f t="shared" si="125"/>
        <v>Section 4 - Create spring-boot starter microservice, containerize it and push to DockerHub</v>
      </c>
      <c r="F469" s="18" t="str">
        <f t="shared" si="126"/>
        <v/>
      </c>
      <c r="G469" s="13" t="str">
        <f t="shared" ref="G469:G532" si="129">IF(C469,A470,"")</f>
        <v/>
      </c>
      <c r="H469">
        <f t="shared" ref="H469:H532" si="130">VALUE(IF(NOT(ISERROR(FIND("hr",G469))),LEFT(G469,FIND("hr",G469)-1),0))</f>
        <v>0</v>
      </c>
      <c r="I469">
        <f t="shared" ref="I469:I532" si="131">VALUE(IF(ISERROR(FIND("min",G469)),0,SUBSTITUTE(MID(G469,IF(ISERROR(FIND("hr ",G469)),1,FIND("hr ",G469)+3),LEN(G469)),"min","")))</f>
        <v>0</v>
      </c>
      <c r="J469" s="13">
        <f t="shared" ref="J469:J532" si="132">J468+(H469*60+I469)</f>
        <v>65</v>
      </c>
      <c r="K469">
        <f t="shared" si="121"/>
        <v>0</v>
      </c>
      <c r="L469">
        <f t="shared" si="122"/>
        <v>1</v>
      </c>
      <c r="M469" s="13">
        <f t="shared" ref="M469:N532" si="133">P468</f>
        <v>1</v>
      </c>
      <c r="N469">
        <f t="shared" si="133"/>
        <v>4</v>
      </c>
      <c r="O469" s="14">
        <f t="shared" si="123"/>
        <v>64</v>
      </c>
      <c r="P469" s="13">
        <f t="shared" si="127"/>
        <v>1</v>
      </c>
      <c r="Q469">
        <f t="shared" ref="Q469:Q532" si="134">R469-(P469*60)</f>
        <v>4</v>
      </c>
      <c r="R469" s="14">
        <f t="shared" ref="R469:R532" si="135">((H469*60)+I469)+O469</f>
        <v>64</v>
      </c>
      <c r="S469" s="15"/>
      <c r="W469" s="14"/>
    </row>
    <row r="470" spans="1:23" x14ac:dyDescent="0.25">
      <c r="A470" s="16"/>
      <c r="B470" s="17" t="b">
        <f t="shared" si="128"/>
        <v>0</v>
      </c>
      <c r="C470" s="17" t="b">
        <f t="shared" si="120"/>
        <v>0</v>
      </c>
      <c r="D470" s="17">
        <f t="shared" si="124"/>
        <v>1</v>
      </c>
      <c r="E470" s="17" t="str">
        <f t="shared" si="125"/>
        <v>Section 4 - Create spring-boot starter microservice, containerize it and push to DockerHub</v>
      </c>
      <c r="F470" s="18" t="str">
        <f t="shared" si="126"/>
        <v/>
      </c>
      <c r="G470" s="13" t="str">
        <f t="shared" si="129"/>
        <v/>
      </c>
      <c r="H470">
        <f t="shared" si="130"/>
        <v>0</v>
      </c>
      <c r="I470">
        <f t="shared" si="131"/>
        <v>0</v>
      </c>
      <c r="J470" s="13">
        <f t="shared" si="132"/>
        <v>65</v>
      </c>
      <c r="K470">
        <f t="shared" si="121"/>
        <v>0</v>
      </c>
      <c r="L470">
        <f t="shared" si="122"/>
        <v>1</v>
      </c>
      <c r="M470" s="13">
        <f t="shared" si="133"/>
        <v>1</v>
      </c>
      <c r="N470">
        <f t="shared" si="133"/>
        <v>4</v>
      </c>
      <c r="O470" s="14">
        <f t="shared" si="123"/>
        <v>64</v>
      </c>
      <c r="P470" s="13">
        <f t="shared" si="127"/>
        <v>1</v>
      </c>
      <c r="Q470">
        <f t="shared" si="134"/>
        <v>4</v>
      </c>
      <c r="R470" s="14">
        <f t="shared" si="135"/>
        <v>64</v>
      </c>
      <c r="S470" s="15"/>
      <c r="W470" s="14"/>
    </row>
    <row r="471" spans="1:23" x14ac:dyDescent="0.25">
      <c r="A471" s="16"/>
      <c r="B471" s="17" t="b">
        <f t="shared" si="128"/>
        <v>0</v>
      </c>
      <c r="C471" s="17" t="b">
        <f t="shared" si="120"/>
        <v>0</v>
      </c>
      <c r="D471" s="17">
        <f t="shared" si="124"/>
        <v>1</v>
      </c>
      <c r="E471" s="17" t="str">
        <f t="shared" si="125"/>
        <v>Section 4 - Create spring-boot starter microservice, containerize it and push to DockerHub</v>
      </c>
      <c r="F471" s="18" t="str">
        <f t="shared" si="126"/>
        <v/>
      </c>
      <c r="G471" s="13" t="str">
        <f t="shared" si="129"/>
        <v/>
      </c>
      <c r="H471">
        <f t="shared" si="130"/>
        <v>0</v>
      </c>
      <c r="I471">
        <f t="shared" si="131"/>
        <v>0</v>
      </c>
      <c r="J471" s="13">
        <f t="shared" si="132"/>
        <v>65</v>
      </c>
      <c r="K471">
        <f t="shared" si="121"/>
        <v>0</v>
      </c>
      <c r="L471">
        <f t="shared" si="122"/>
        <v>1</v>
      </c>
      <c r="M471" s="13">
        <f t="shared" si="133"/>
        <v>1</v>
      </c>
      <c r="N471">
        <f t="shared" si="133"/>
        <v>4</v>
      </c>
      <c r="O471" s="14">
        <f t="shared" si="123"/>
        <v>64</v>
      </c>
      <c r="P471" s="13">
        <f t="shared" si="127"/>
        <v>1</v>
      </c>
      <c r="Q471">
        <f t="shared" si="134"/>
        <v>4</v>
      </c>
      <c r="R471" s="14">
        <f t="shared" si="135"/>
        <v>64</v>
      </c>
      <c r="S471" s="15"/>
      <c r="W471" s="14"/>
    </row>
    <row r="472" spans="1:23" x14ac:dyDescent="0.25">
      <c r="A472" s="16"/>
      <c r="B472" s="17" t="b">
        <f t="shared" si="128"/>
        <v>0</v>
      </c>
      <c r="C472" s="17" t="b">
        <f t="shared" si="120"/>
        <v>0</v>
      </c>
      <c r="D472" s="17">
        <f t="shared" si="124"/>
        <v>1</v>
      </c>
      <c r="E472" s="17" t="str">
        <f t="shared" si="125"/>
        <v>Section 4 - Create spring-boot starter microservice, containerize it and push to DockerHub</v>
      </c>
      <c r="F472" s="18" t="str">
        <f t="shared" si="126"/>
        <v/>
      </c>
      <c r="G472" s="13" t="str">
        <f t="shared" si="129"/>
        <v/>
      </c>
      <c r="H472">
        <f t="shared" si="130"/>
        <v>0</v>
      </c>
      <c r="I472">
        <f t="shared" si="131"/>
        <v>0</v>
      </c>
      <c r="J472" s="13">
        <f t="shared" si="132"/>
        <v>65</v>
      </c>
      <c r="K472">
        <f t="shared" si="121"/>
        <v>0</v>
      </c>
      <c r="L472">
        <f t="shared" si="122"/>
        <v>1</v>
      </c>
      <c r="M472" s="13">
        <f t="shared" si="133"/>
        <v>1</v>
      </c>
      <c r="N472">
        <f t="shared" si="133"/>
        <v>4</v>
      </c>
      <c r="O472" s="14">
        <f t="shared" si="123"/>
        <v>64</v>
      </c>
      <c r="P472" s="13">
        <f t="shared" si="127"/>
        <v>1</v>
      </c>
      <c r="Q472">
        <f t="shared" si="134"/>
        <v>4</v>
      </c>
      <c r="R472" s="14">
        <f t="shared" si="135"/>
        <v>64</v>
      </c>
      <c r="S472" s="15"/>
      <c r="W472" s="14"/>
    </row>
    <row r="473" spans="1:23" x14ac:dyDescent="0.25">
      <c r="A473" s="16"/>
      <c r="B473" s="17" t="b">
        <f t="shared" si="128"/>
        <v>0</v>
      </c>
      <c r="C473" s="17" t="b">
        <f t="shared" si="120"/>
        <v>0</v>
      </c>
      <c r="D473" s="17">
        <f t="shared" si="124"/>
        <v>1</v>
      </c>
      <c r="E473" s="17" t="str">
        <f t="shared" si="125"/>
        <v>Section 4 - Create spring-boot starter microservice, containerize it and push to DockerHub</v>
      </c>
      <c r="F473" s="18" t="str">
        <f t="shared" si="126"/>
        <v/>
      </c>
      <c r="G473" s="13" t="str">
        <f t="shared" si="129"/>
        <v/>
      </c>
      <c r="H473">
        <f t="shared" si="130"/>
        <v>0</v>
      </c>
      <c r="I473">
        <f t="shared" si="131"/>
        <v>0</v>
      </c>
      <c r="J473" s="13">
        <f t="shared" si="132"/>
        <v>65</v>
      </c>
      <c r="K473">
        <f t="shared" si="121"/>
        <v>0</v>
      </c>
      <c r="L473">
        <f t="shared" si="122"/>
        <v>1</v>
      </c>
      <c r="M473" s="13">
        <f t="shared" si="133"/>
        <v>1</v>
      </c>
      <c r="N473">
        <f t="shared" si="133"/>
        <v>4</v>
      </c>
      <c r="O473" s="14">
        <f t="shared" si="123"/>
        <v>64</v>
      </c>
      <c r="P473" s="13">
        <f t="shared" si="127"/>
        <v>1</v>
      </c>
      <c r="Q473">
        <f t="shared" si="134"/>
        <v>4</v>
      </c>
      <c r="R473" s="14">
        <f t="shared" si="135"/>
        <v>64</v>
      </c>
      <c r="S473" s="15"/>
      <c r="W473" s="14"/>
    </row>
    <row r="474" spans="1:23" x14ac:dyDescent="0.25">
      <c r="A474" s="16"/>
      <c r="B474" s="17" t="b">
        <f t="shared" si="128"/>
        <v>0</v>
      </c>
      <c r="C474" s="17" t="b">
        <f t="shared" si="120"/>
        <v>0</v>
      </c>
      <c r="D474" s="17">
        <f t="shared" si="124"/>
        <v>1</v>
      </c>
      <c r="E474" s="17" t="str">
        <f t="shared" si="125"/>
        <v>Section 4 - Create spring-boot starter microservice, containerize it and push to DockerHub</v>
      </c>
      <c r="F474" s="18" t="str">
        <f t="shared" si="126"/>
        <v/>
      </c>
      <c r="G474" s="13" t="str">
        <f t="shared" si="129"/>
        <v/>
      </c>
      <c r="H474">
        <f t="shared" si="130"/>
        <v>0</v>
      </c>
      <c r="I474">
        <f t="shared" si="131"/>
        <v>0</v>
      </c>
      <c r="J474" s="13">
        <f t="shared" si="132"/>
        <v>65</v>
      </c>
      <c r="K474">
        <f t="shared" si="121"/>
        <v>0</v>
      </c>
      <c r="L474">
        <f t="shared" si="122"/>
        <v>1</v>
      </c>
      <c r="M474" s="13">
        <f t="shared" si="133"/>
        <v>1</v>
      </c>
      <c r="N474">
        <f t="shared" si="133"/>
        <v>4</v>
      </c>
      <c r="O474" s="14">
        <f t="shared" si="123"/>
        <v>64</v>
      </c>
      <c r="P474" s="13">
        <f t="shared" si="127"/>
        <v>1</v>
      </c>
      <c r="Q474">
        <f t="shared" si="134"/>
        <v>4</v>
      </c>
      <c r="R474" s="14">
        <f t="shared" si="135"/>
        <v>64</v>
      </c>
      <c r="S474" s="15"/>
      <c r="W474" s="14"/>
    </row>
    <row r="475" spans="1:23" x14ac:dyDescent="0.25">
      <c r="A475" s="16"/>
      <c r="B475" s="17" t="b">
        <f t="shared" si="128"/>
        <v>0</v>
      </c>
      <c r="C475" s="17" t="b">
        <f t="shared" si="120"/>
        <v>0</v>
      </c>
      <c r="D475" s="17">
        <f t="shared" si="124"/>
        <v>1</v>
      </c>
      <c r="E475" s="17" t="str">
        <f t="shared" si="125"/>
        <v>Section 4 - Create spring-boot starter microservice, containerize it and push to DockerHub</v>
      </c>
      <c r="F475" s="18" t="str">
        <f t="shared" si="126"/>
        <v/>
      </c>
      <c r="G475" s="13" t="str">
        <f t="shared" si="129"/>
        <v/>
      </c>
      <c r="H475">
        <f t="shared" si="130"/>
        <v>0</v>
      </c>
      <c r="I475">
        <f t="shared" si="131"/>
        <v>0</v>
      </c>
      <c r="J475" s="13">
        <f t="shared" si="132"/>
        <v>65</v>
      </c>
      <c r="K475">
        <f t="shared" si="121"/>
        <v>0</v>
      </c>
      <c r="L475">
        <f t="shared" si="122"/>
        <v>1</v>
      </c>
      <c r="M475" s="13">
        <f t="shared" si="133"/>
        <v>1</v>
      </c>
      <c r="N475">
        <f t="shared" si="133"/>
        <v>4</v>
      </c>
      <c r="O475" s="14">
        <f t="shared" si="123"/>
        <v>64</v>
      </c>
      <c r="P475" s="13">
        <f t="shared" si="127"/>
        <v>1</v>
      </c>
      <c r="Q475">
        <f t="shared" si="134"/>
        <v>4</v>
      </c>
      <c r="R475" s="14">
        <f t="shared" si="135"/>
        <v>64</v>
      </c>
      <c r="S475" s="15"/>
      <c r="W475" s="14"/>
    </row>
    <row r="476" spans="1:23" x14ac:dyDescent="0.25">
      <c r="A476" s="16"/>
      <c r="B476" s="17" t="b">
        <f t="shared" si="128"/>
        <v>0</v>
      </c>
      <c r="C476" s="17" t="b">
        <f t="shared" si="120"/>
        <v>0</v>
      </c>
      <c r="D476" s="17">
        <f t="shared" si="124"/>
        <v>1</v>
      </c>
      <c r="E476" s="17" t="str">
        <f t="shared" si="125"/>
        <v>Section 4 - Create spring-boot starter microservice, containerize it and push to DockerHub</v>
      </c>
      <c r="F476" s="18" t="str">
        <f t="shared" si="126"/>
        <v/>
      </c>
      <c r="G476" s="13" t="str">
        <f t="shared" si="129"/>
        <v/>
      </c>
      <c r="H476">
        <f t="shared" si="130"/>
        <v>0</v>
      </c>
      <c r="I476">
        <f t="shared" si="131"/>
        <v>0</v>
      </c>
      <c r="J476" s="13">
        <f t="shared" si="132"/>
        <v>65</v>
      </c>
      <c r="K476">
        <f t="shared" si="121"/>
        <v>0</v>
      </c>
      <c r="L476">
        <f t="shared" si="122"/>
        <v>1</v>
      </c>
      <c r="M476" s="13">
        <f t="shared" si="133"/>
        <v>1</v>
      </c>
      <c r="N476">
        <f t="shared" si="133"/>
        <v>4</v>
      </c>
      <c r="O476" s="14">
        <f t="shared" si="123"/>
        <v>64</v>
      </c>
      <c r="P476" s="13">
        <f t="shared" si="127"/>
        <v>1</v>
      </c>
      <c r="Q476">
        <f t="shared" si="134"/>
        <v>4</v>
      </c>
      <c r="R476" s="14">
        <f t="shared" si="135"/>
        <v>64</v>
      </c>
      <c r="S476" s="15"/>
      <c r="W476" s="14"/>
    </row>
    <row r="477" spans="1:23" x14ac:dyDescent="0.25">
      <c r="A477" s="16"/>
      <c r="B477" s="17" t="b">
        <f t="shared" si="128"/>
        <v>0</v>
      </c>
      <c r="C477" s="17" t="b">
        <f t="shared" si="120"/>
        <v>0</v>
      </c>
      <c r="D477" s="17">
        <f t="shared" si="124"/>
        <v>1</v>
      </c>
      <c r="E477" s="17" t="str">
        <f t="shared" si="125"/>
        <v>Section 4 - Create spring-boot starter microservice, containerize it and push to DockerHub</v>
      </c>
      <c r="F477" s="18" t="str">
        <f t="shared" si="126"/>
        <v/>
      </c>
      <c r="G477" s="13" t="str">
        <f t="shared" si="129"/>
        <v/>
      </c>
      <c r="H477">
        <f t="shared" si="130"/>
        <v>0</v>
      </c>
      <c r="I477">
        <f t="shared" si="131"/>
        <v>0</v>
      </c>
      <c r="J477" s="13">
        <f t="shared" si="132"/>
        <v>65</v>
      </c>
      <c r="K477">
        <f t="shared" si="121"/>
        <v>0</v>
      </c>
      <c r="L477">
        <f t="shared" si="122"/>
        <v>1</v>
      </c>
      <c r="M477" s="13">
        <f t="shared" si="133"/>
        <v>1</v>
      </c>
      <c r="N477">
        <f t="shared" si="133"/>
        <v>4</v>
      </c>
      <c r="O477" s="14">
        <f t="shared" si="123"/>
        <v>64</v>
      </c>
      <c r="P477" s="13">
        <f t="shared" si="127"/>
        <v>1</v>
      </c>
      <c r="Q477">
        <f t="shared" si="134"/>
        <v>4</v>
      </c>
      <c r="R477" s="14">
        <f t="shared" si="135"/>
        <v>64</v>
      </c>
      <c r="S477" s="15"/>
      <c r="W477" s="14"/>
    </row>
    <row r="478" spans="1:23" x14ac:dyDescent="0.25">
      <c r="A478" s="16"/>
      <c r="B478" s="17" t="b">
        <f t="shared" si="128"/>
        <v>0</v>
      </c>
      <c r="C478" s="17" t="b">
        <f t="shared" si="120"/>
        <v>0</v>
      </c>
      <c r="D478" s="17">
        <f t="shared" si="124"/>
        <v>1</v>
      </c>
      <c r="E478" s="17" t="str">
        <f t="shared" si="125"/>
        <v>Section 4 - Create spring-boot starter microservice, containerize it and push to DockerHub</v>
      </c>
      <c r="F478" s="18" t="str">
        <f t="shared" si="126"/>
        <v/>
      </c>
      <c r="G478" s="13" t="str">
        <f t="shared" si="129"/>
        <v/>
      </c>
      <c r="H478">
        <f t="shared" si="130"/>
        <v>0</v>
      </c>
      <c r="I478">
        <f t="shared" si="131"/>
        <v>0</v>
      </c>
      <c r="J478" s="13">
        <f t="shared" si="132"/>
        <v>65</v>
      </c>
      <c r="K478">
        <f t="shared" si="121"/>
        <v>0</v>
      </c>
      <c r="L478">
        <f t="shared" si="122"/>
        <v>1</v>
      </c>
      <c r="M478" s="13">
        <f t="shared" si="133"/>
        <v>1</v>
      </c>
      <c r="N478">
        <f t="shared" si="133"/>
        <v>4</v>
      </c>
      <c r="O478" s="14">
        <f t="shared" si="123"/>
        <v>64</v>
      </c>
      <c r="P478" s="13">
        <f t="shared" si="127"/>
        <v>1</v>
      </c>
      <c r="Q478">
        <f t="shared" si="134"/>
        <v>4</v>
      </c>
      <c r="R478" s="14">
        <f t="shared" si="135"/>
        <v>64</v>
      </c>
      <c r="S478" s="15"/>
      <c r="W478" s="14"/>
    </row>
    <row r="479" spans="1:23" x14ac:dyDescent="0.25">
      <c r="A479" s="16"/>
      <c r="B479" s="17" t="b">
        <f t="shared" si="128"/>
        <v>0</v>
      </c>
      <c r="C479" s="17" t="b">
        <f t="shared" si="120"/>
        <v>0</v>
      </c>
      <c r="D479" s="17">
        <f t="shared" si="124"/>
        <v>1</v>
      </c>
      <c r="E479" s="17" t="str">
        <f t="shared" si="125"/>
        <v>Section 4 - Create spring-boot starter microservice, containerize it and push to DockerHub</v>
      </c>
      <c r="F479" s="18" t="str">
        <f t="shared" si="126"/>
        <v/>
      </c>
      <c r="G479" s="13" t="str">
        <f t="shared" si="129"/>
        <v/>
      </c>
      <c r="H479">
        <f t="shared" si="130"/>
        <v>0</v>
      </c>
      <c r="I479">
        <f t="shared" si="131"/>
        <v>0</v>
      </c>
      <c r="J479" s="13">
        <f t="shared" si="132"/>
        <v>65</v>
      </c>
      <c r="K479">
        <f t="shared" si="121"/>
        <v>0</v>
      </c>
      <c r="L479">
        <f t="shared" si="122"/>
        <v>1</v>
      </c>
      <c r="M479" s="13">
        <f t="shared" si="133"/>
        <v>1</v>
      </c>
      <c r="N479">
        <f t="shared" si="133"/>
        <v>4</v>
      </c>
      <c r="O479" s="14">
        <f t="shared" si="123"/>
        <v>64</v>
      </c>
      <c r="P479" s="13">
        <f t="shared" si="127"/>
        <v>1</v>
      </c>
      <c r="Q479">
        <f t="shared" si="134"/>
        <v>4</v>
      </c>
      <c r="R479" s="14">
        <f t="shared" si="135"/>
        <v>64</v>
      </c>
      <c r="S479" s="15"/>
      <c r="W479" s="14"/>
    </row>
    <row r="480" spans="1:23" x14ac:dyDescent="0.25">
      <c r="A480" s="16"/>
      <c r="B480" s="17" t="b">
        <f t="shared" si="128"/>
        <v>0</v>
      </c>
      <c r="C480" s="17" t="b">
        <f t="shared" si="120"/>
        <v>0</v>
      </c>
      <c r="D480" s="17">
        <f t="shared" si="124"/>
        <v>1</v>
      </c>
      <c r="E480" s="17" t="str">
        <f t="shared" si="125"/>
        <v>Section 4 - Create spring-boot starter microservice, containerize it and push to DockerHub</v>
      </c>
      <c r="F480" s="18" t="str">
        <f t="shared" si="126"/>
        <v/>
      </c>
      <c r="G480" s="13" t="str">
        <f t="shared" si="129"/>
        <v/>
      </c>
      <c r="H480">
        <f t="shared" si="130"/>
        <v>0</v>
      </c>
      <c r="I480">
        <f t="shared" si="131"/>
        <v>0</v>
      </c>
      <c r="J480" s="13">
        <f t="shared" si="132"/>
        <v>65</v>
      </c>
      <c r="K480">
        <f t="shared" si="121"/>
        <v>0</v>
      </c>
      <c r="L480">
        <f t="shared" si="122"/>
        <v>1</v>
      </c>
      <c r="M480" s="13">
        <f t="shared" si="133"/>
        <v>1</v>
      </c>
      <c r="N480">
        <f t="shared" si="133"/>
        <v>4</v>
      </c>
      <c r="O480" s="14">
        <f t="shared" si="123"/>
        <v>64</v>
      </c>
      <c r="P480" s="13">
        <f t="shared" si="127"/>
        <v>1</v>
      </c>
      <c r="Q480">
        <f t="shared" si="134"/>
        <v>4</v>
      </c>
      <c r="R480" s="14">
        <f t="shared" si="135"/>
        <v>64</v>
      </c>
      <c r="S480" s="15"/>
      <c r="W480" s="14"/>
    </row>
    <row r="481" spans="1:23" x14ac:dyDescent="0.25">
      <c r="A481" s="16"/>
      <c r="B481" s="17" t="b">
        <f t="shared" si="128"/>
        <v>0</v>
      </c>
      <c r="C481" s="17" t="b">
        <f t="shared" si="120"/>
        <v>0</v>
      </c>
      <c r="D481" s="17">
        <f t="shared" si="124"/>
        <v>1</v>
      </c>
      <c r="E481" s="17" t="str">
        <f t="shared" si="125"/>
        <v>Section 4 - Create spring-boot starter microservice, containerize it and push to DockerHub</v>
      </c>
      <c r="F481" s="18" t="str">
        <f t="shared" si="126"/>
        <v/>
      </c>
      <c r="G481" s="13" t="str">
        <f t="shared" si="129"/>
        <v/>
      </c>
      <c r="H481">
        <f t="shared" si="130"/>
        <v>0</v>
      </c>
      <c r="I481">
        <f t="shared" si="131"/>
        <v>0</v>
      </c>
      <c r="J481" s="13">
        <f t="shared" si="132"/>
        <v>65</v>
      </c>
      <c r="K481">
        <f t="shared" si="121"/>
        <v>0</v>
      </c>
      <c r="L481">
        <f t="shared" si="122"/>
        <v>1</v>
      </c>
      <c r="M481" s="13">
        <f t="shared" si="133"/>
        <v>1</v>
      </c>
      <c r="N481">
        <f t="shared" si="133"/>
        <v>4</v>
      </c>
      <c r="O481" s="14">
        <f t="shared" si="123"/>
        <v>64</v>
      </c>
      <c r="P481" s="13">
        <f t="shared" si="127"/>
        <v>1</v>
      </c>
      <c r="Q481">
        <f t="shared" si="134"/>
        <v>4</v>
      </c>
      <c r="R481" s="14">
        <f t="shared" si="135"/>
        <v>64</v>
      </c>
      <c r="S481" s="15"/>
      <c r="W481" s="14"/>
    </row>
    <row r="482" spans="1:23" x14ac:dyDescent="0.25">
      <c r="A482" s="16"/>
      <c r="B482" s="17" t="b">
        <f t="shared" si="128"/>
        <v>0</v>
      </c>
      <c r="C482" s="17" t="b">
        <f t="shared" si="120"/>
        <v>0</v>
      </c>
      <c r="D482" s="17">
        <f t="shared" si="124"/>
        <v>1</v>
      </c>
      <c r="E482" s="17" t="str">
        <f t="shared" si="125"/>
        <v>Section 4 - Create spring-boot starter microservice, containerize it and push to DockerHub</v>
      </c>
      <c r="F482" s="18" t="str">
        <f t="shared" si="126"/>
        <v/>
      </c>
      <c r="G482" s="13" t="str">
        <f t="shared" si="129"/>
        <v/>
      </c>
      <c r="H482">
        <f t="shared" si="130"/>
        <v>0</v>
      </c>
      <c r="I482">
        <f t="shared" si="131"/>
        <v>0</v>
      </c>
      <c r="J482" s="13">
        <f t="shared" si="132"/>
        <v>65</v>
      </c>
      <c r="K482">
        <f t="shared" si="121"/>
        <v>0</v>
      </c>
      <c r="L482">
        <f t="shared" si="122"/>
        <v>1</v>
      </c>
      <c r="M482" s="13">
        <f t="shared" si="133"/>
        <v>1</v>
      </c>
      <c r="N482">
        <f t="shared" si="133"/>
        <v>4</v>
      </c>
      <c r="O482" s="14">
        <f t="shared" si="123"/>
        <v>64</v>
      </c>
      <c r="P482" s="13">
        <f t="shared" si="127"/>
        <v>1</v>
      </c>
      <c r="Q482">
        <f t="shared" si="134"/>
        <v>4</v>
      </c>
      <c r="R482" s="14">
        <f t="shared" si="135"/>
        <v>64</v>
      </c>
      <c r="S482" s="15"/>
      <c r="W482" s="14"/>
    </row>
    <row r="483" spans="1:23" x14ac:dyDescent="0.25">
      <c r="A483" s="16"/>
      <c r="B483" s="17" t="b">
        <f t="shared" si="128"/>
        <v>0</v>
      </c>
      <c r="C483" s="17" t="b">
        <f t="shared" si="120"/>
        <v>0</v>
      </c>
      <c r="D483" s="17">
        <f t="shared" si="124"/>
        <v>1</v>
      </c>
      <c r="E483" s="17" t="str">
        <f t="shared" si="125"/>
        <v>Section 4 - Create spring-boot starter microservice, containerize it and push to DockerHub</v>
      </c>
      <c r="F483" s="18" t="str">
        <f t="shared" si="126"/>
        <v/>
      </c>
      <c r="G483" s="13" t="str">
        <f t="shared" si="129"/>
        <v/>
      </c>
      <c r="H483">
        <f t="shared" si="130"/>
        <v>0</v>
      </c>
      <c r="I483">
        <f t="shared" si="131"/>
        <v>0</v>
      </c>
      <c r="J483" s="13">
        <f t="shared" si="132"/>
        <v>65</v>
      </c>
      <c r="K483">
        <f t="shared" si="121"/>
        <v>0</v>
      </c>
      <c r="L483">
        <f t="shared" si="122"/>
        <v>1</v>
      </c>
      <c r="M483" s="13">
        <f t="shared" si="133"/>
        <v>1</v>
      </c>
      <c r="N483">
        <f t="shared" si="133"/>
        <v>4</v>
      </c>
      <c r="O483" s="14">
        <f t="shared" si="123"/>
        <v>64</v>
      </c>
      <c r="P483" s="13">
        <f t="shared" si="127"/>
        <v>1</v>
      </c>
      <c r="Q483">
        <f t="shared" si="134"/>
        <v>4</v>
      </c>
      <c r="R483" s="14">
        <f t="shared" si="135"/>
        <v>64</v>
      </c>
      <c r="S483" s="15"/>
      <c r="W483" s="14"/>
    </row>
    <row r="484" spans="1:23" x14ac:dyDescent="0.25">
      <c r="A484" s="16"/>
      <c r="B484" s="17" t="b">
        <f t="shared" si="128"/>
        <v>0</v>
      </c>
      <c r="C484" s="17" t="b">
        <f t="shared" si="120"/>
        <v>0</v>
      </c>
      <c r="D484" s="17">
        <f t="shared" si="124"/>
        <v>1</v>
      </c>
      <c r="E484" s="17" t="str">
        <f t="shared" si="125"/>
        <v>Section 4 - Create spring-boot starter microservice, containerize it and push to DockerHub</v>
      </c>
      <c r="F484" s="18" t="str">
        <f t="shared" si="126"/>
        <v/>
      </c>
      <c r="G484" s="13" t="str">
        <f t="shared" si="129"/>
        <v/>
      </c>
      <c r="H484">
        <f t="shared" si="130"/>
        <v>0</v>
      </c>
      <c r="I484">
        <f t="shared" si="131"/>
        <v>0</v>
      </c>
      <c r="J484" s="13">
        <f t="shared" si="132"/>
        <v>65</v>
      </c>
      <c r="K484">
        <f t="shared" si="121"/>
        <v>0</v>
      </c>
      <c r="L484">
        <f t="shared" si="122"/>
        <v>1</v>
      </c>
      <c r="M484" s="13">
        <f t="shared" si="133"/>
        <v>1</v>
      </c>
      <c r="N484">
        <f t="shared" si="133"/>
        <v>4</v>
      </c>
      <c r="O484" s="14">
        <f t="shared" si="123"/>
        <v>64</v>
      </c>
      <c r="P484" s="13">
        <f t="shared" si="127"/>
        <v>1</v>
      </c>
      <c r="Q484">
        <f t="shared" si="134"/>
        <v>4</v>
      </c>
      <c r="R484" s="14">
        <f t="shared" si="135"/>
        <v>64</v>
      </c>
      <c r="S484" s="15"/>
      <c r="W484" s="14"/>
    </row>
    <row r="485" spans="1:23" x14ac:dyDescent="0.25">
      <c r="A485" s="16"/>
      <c r="B485" s="17" t="b">
        <f t="shared" si="128"/>
        <v>0</v>
      </c>
      <c r="C485" s="17" t="b">
        <f t="shared" si="120"/>
        <v>0</v>
      </c>
      <c r="D485" s="17">
        <f t="shared" si="124"/>
        <v>1</v>
      </c>
      <c r="E485" s="17" t="str">
        <f t="shared" si="125"/>
        <v>Section 4 - Create spring-boot starter microservice, containerize it and push to DockerHub</v>
      </c>
      <c r="F485" s="18" t="str">
        <f t="shared" si="126"/>
        <v/>
      </c>
      <c r="G485" s="13" t="str">
        <f t="shared" si="129"/>
        <v/>
      </c>
      <c r="H485">
        <f t="shared" si="130"/>
        <v>0</v>
      </c>
      <c r="I485">
        <f t="shared" si="131"/>
        <v>0</v>
      </c>
      <c r="J485" s="13">
        <f t="shared" si="132"/>
        <v>65</v>
      </c>
      <c r="K485">
        <f t="shared" si="121"/>
        <v>0</v>
      </c>
      <c r="L485">
        <f t="shared" si="122"/>
        <v>1</v>
      </c>
      <c r="M485" s="13">
        <f t="shared" si="133"/>
        <v>1</v>
      </c>
      <c r="N485">
        <f t="shared" si="133"/>
        <v>4</v>
      </c>
      <c r="O485" s="14">
        <f t="shared" si="123"/>
        <v>64</v>
      </c>
      <c r="P485" s="13">
        <f t="shared" si="127"/>
        <v>1</v>
      </c>
      <c r="Q485">
        <f t="shared" si="134"/>
        <v>4</v>
      </c>
      <c r="R485" s="14">
        <f t="shared" si="135"/>
        <v>64</v>
      </c>
      <c r="S485" s="15"/>
      <c r="W485" s="14"/>
    </row>
    <row r="486" spans="1:23" x14ac:dyDescent="0.25">
      <c r="A486" s="16"/>
      <c r="B486" s="17" t="b">
        <f t="shared" si="128"/>
        <v>0</v>
      </c>
      <c r="C486" s="17" t="b">
        <f t="shared" si="120"/>
        <v>0</v>
      </c>
      <c r="D486" s="17">
        <f t="shared" si="124"/>
        <v>1</v>
      </c>
      <c r="E486" s="17" t="str">
        <f t="shared" si="125"/>
        <v>Section 4 - Create spring-boot starter microservice, containerize it and push to DockerHub</v>
      </c>
      <c r="F486" s="18" t="str">
        <f t="shared" si="126"/>
        <v/>
      </c>
      <c r="G486" s="13" t="str">
        <f t="shared" si="129"/>
        <v/>
      </c>
      <c r="H486">
        <f t="shared" si="130"/>
        <v>0</v>
      </c>
      <c r="I486">
        <f t="shared" si="131"/>
        <v>0</v>
      </c>
      <c r="J486" s="13">
        <f t="shared" si="132"/>
        <v>65</v>
      </c>
      <c r="K486">
        <f t="shared" si="121"/>
        <v>0</v>
      </c>
      <c r="L486">
        <f t="shared" si="122"/>
        <v>1</v>
      </c>
      <c r="M486" s="13">
        <f t="shared" si="133"/>
        <v>1</v>
      </c>
      <c r="N486">
        <f t="shared" si="133"/>
        <v>4</v>
      </c>
      <c r="O486" s="14">
        <f t="shared" si="123"/>
        <v>64</v>
      </c>
      <c r="P486" s="13">
        <f t="shared" si="127"/>
        <v>1</v>
      </c>
      <c r="Q486">
        <f t="shared" si="134"/>
        <v>4</v>
      </c>
      <c r="R486" s="14">
        <f t="shared" si="135"/>
        <v>64</v>
      </c>
      <c r="S486" s="15"/>
      <c r="W486" s="14"/>
    </row>
    <row r="487" spans="1:23" x14ac:dyDescent="0.25">
      <c r="A487" s="16"/>
      <c r="B487" s="17" t="b">
        <f t="shared" si="128"/>
        <v>0</v>
      </c>
      <c r="C487" s="17" t="b">
        <f t="shared" si="120"/>
        <v>0</v>
      </c>
      <c r="D487" s="17">
        <f t="shared" si="124"/>
        <v>1</v>
      </c>
      <c r="E487" s="17" t="str">
        <f t="shared" si="125"/>
        <v>Section 4 - Create spring-boot starter microservice, containerize it and push to DockerHub</v>
      </c>
      <c r="F487" s="18" t="str">
        <f t="shared" si="126"/>
        <v/>
      </c>
      <c r="G487" s="13" t="str">
        <f t="shared" si="129"/>
        <v/>
      </c>
      <c r="H487">
        <f t="shared" si="130"/>
        <v>0</v>
      </c>
      <c r="I487">
        <f t="shared" si="131"/>
        <v>0</v>
      </c>
      <c r="J487" s="13">
        <f t="shared" si="132"/>
        <v>65</v>
      </c>
      <c r="K487">
        <f t="shared" si="121"/>
        <v>0</v>
      </c>
      <c r="L487">
        <f t="shared" si="122"/>
        <v>1</v>
      </c>
      <c r="M487" s="13">
        <f t="shared" si="133"/>
        <v>1</v>
      </c>
      <c r="N487">
        <f t="shared" si="133"/>
        <v>4</v>
      </c>
      <c r="O487" s="14">
        <f t="shared" si="123"/>
        <v>64</v>
      </c>
      <c r="P487" s="13">
        <f t="shared" si="127"/>
        <v>1</v>
      </c>
      <c r="Q487">
        <f t="shared" si="134"/>
        <v>4</v>
      </c>
      <c r="R487" s="14">
        <f t="shared" si="135"/>
        <v>64</v>
      </c>
      <c r="S487" s="15"/>
      <c r="W487" s="14"/>
    </row>
    <row r="488" spans="1:23" x14ac:dyDescent="0.25">
      <c r="A488" s="16"/>
      <c r="B488" s="17" t="b">
        <f t="shared" si="128"/>
        <v>0</v>
      </c>
      <c r="C488" s="17" t="b">
        <f t="shared" si="120"/>
        <v>0</v>
      </c>
      <c r="D488" s="17">
        <f t="shared" si="124"/>
        <v>1</v>
      </c>
      <c r="E488" s="17" t="str">
        <f t="shared" si="125"/>
        <v>Section 4 - Create spring-boot starter microservice, containerize it and push to DockerHub</v>
      </c>
      <c r="F488" s="18" t="str">
        <f t="shared" si="126"/>
        <v/>
      </c>
      <c r="G488" s="13" t="str">
        <f t="shared" si="129"/>
        <v/>
      </c>
      <c r="H488">
        <f t="shared" si="130"/>
        <v>0</v>
      </c>
      <c r="I488">
        <f t="shared" si="131"/>
        <v>0</v>
      </c>
      <c r="J488" s="13">
        <f t="shared" si="132"/>
        <v>65</v>
      </c>
      <c r="K488">
        <f t="shared" si="121"/>
        <v>0</v>
      </c>
      <c r="L488">
        <f t="shared" si="122"/>
        <v>1</v>
      </c>
      <c r="M488" s="13">
        <f t="shared" si="133"/>
        <v>1</v>
      </c>
      <c r="N488">
        <f t="shared" si="133"/>
        <v>4</v>
      </c>
      <c r="O488" s="14">
        <f t="shared" si="123"/>
        <v>64</v>
      </c>
      <c r="P488" s="13">
        <f t="shared" si="127"/>
        <v>1</v>
      </c>
      <c r="Q488">
        <f t="shared" si="134"/>
        <v>4</v>
      </c>
      <c r="R488" s="14">
        <f t="shared" si="135"/>
        <v>64</v>
      </c>
      <c r="S488" s="15"/>
      <c r="W488" s="14"/>
    </row>
    <row r="489" spans="1:23" x14ac:dyDescent="0.25">
      <c r="A489" s="16"/>
      <c r="B489" s="17" t="b">
        <f t="shared" si="128"/>
        <v>0</v>
      </c>
      <c r="C489" s="17" t="b">
        <f t="shared" si="120"/>
        <v>0</v>
      </c>
      <c r="D489" s="17">
        <f t="shared" si="124"/>
        <v>1</v>
      </c>
      <c r="E489" s="17" t="str">
        <f t="shared" si="125"/>
        <v>Section 4 - Create spring-boot starter microservice, containerize it and push to DockerHub</v>
      </c>
      <c r="F489" s="18" t="str">
        <f t="shared" si="126"/>
        <v/>
      </c>
      <c r="G489" s="13" t="str">
        <f t="shared" si="129"/>
        <v/>
      </c>
      <c r="H489">
        <f t="shared" si="130"/>
        <v>0</v>
      </c>
      <c r="I489">
        <f t="shared" si="131"/>
        <v>0</v>
      </c>
      <c r="J489" s="13">
        <f t="shared" si="132"/>
        <v>65</v>
      </c>
      <c r="K489">
        <f t="shared" si="121"/>
        <v>0</v>
      </c>
      <c r="L489">
        <f t="shared" si="122"/>
        <v>1</v>
      </c>
      <c r="M489" s="13">
        <f t="shared" si="133"/>
        <v>1</v>
      </c>
      <c r="N489">
        <f t="shared" si="133"/>
        <v>4</v>
      </c>
      <c r="O489" s="14">
        <f t="shared" si="123"/>
        <v>64</v>
      </c>
      <c r="P489" s="13">
        <f t="shared" si="127"/>
        <v>1</v>
      </c>
      <c r="Q489">
        <f t="shared" si="134"/>
        <v>4</v>
      </c>
      <c r="R489" s="14">
        <f t="shared" si="135"/>
        <v>64</v>
      </c>
      <c r="S489" s="15"/>
      <c r="W489" s="14"/>
    </row>
    <row r="490" spans="1:23" x14ac:dyDescent="0.25">
      <c r="A490" s="16"/>
      <c r="B490" s="17" t="b">
        <f t="shared" si="128"/>
        <v>0</v>
      </c>
      <c r="C490" s="17" t="b">
        <f t="shared" si="120"/>
        <v>0</v>
      </c>
      <c r="D490" s="17">
        <f t="shared" si="124"/>
        <v>1</v>
      </c>
      <c r="E490" s="17" t="str">
        <f t="shared" si="125"/>
        <v>Section 4 - Create spring-boot starter microservice, containerize it and push to DockerHub</v>
      </c>
      <c r="F490" s="18" t="str">
        <f t="shared" si="126"/>
        <v/>
      </c>
      <c r="G490" s="13" t="str">
        <f t="shared" si="129"/>
        <v/>
      </c>
      <c r="H490">
        <f t="shared" si="130"/>
        <v>0</v>
      </c>
      <c r="I490">
        <f t="shared" si="131"/>
        <v>0</v>
      </c>
      <c r="J490" s="13">
        <f t="shared" si="132"/>
        <v>65</v>
      </c>
      <c r="K490">
        <f t="shared" si="121"/>
        <v>0</v>
      </c>
      <c r="L490">
        <f t="shared" si="122"/>
        <v>1</v>
      </c>
      <c r="M490" s="13">
        <f t="shared" si="133"/>
        <v>1</v>
      </c>
      <c r="N490">
        <f t="shared" si="133"/>
        <v>4</v>
      </c>
      <c r="O490" s="14">
        <f t="shared" si="123"/>
        <v>64</v>
      </c>
      <c r="P490" s="13">
        <f t="shared" si="127"/>
        <v>1</v>
      </c>
      <c r="Q490">
        <f t="shared" si="134"/>
        <v>4</v>
      </c>
      <c r="R490" s="14">
        <f t="shared" si="135"/>
        <v>64</v>
      </c>
      <c r="S490" s="15"/>
      <c r="W490" s="14"/>
    </row>
    <row r="491" spans="1:23" x14ac:dyDescent="0.25">
      <c r="A491" s="16"/>
      <c r="B491" s="17" t="b">
        <f t="shared" si="128"/>
        <v>0</v>
      </c>
      <c r="C491" s="17" t="b">
        <f t="shared" si="120"/>
        <v>0</v>
      </c>
      <c r="D491" s="17">
        <f t="shared" si="124"/>
        <v>1</v>
      </c>
      <c r="E491" s="17" t="str">
        <f t="shared" si="125"/>
        <v>Section 4 - Create spring-boot starter microservice, containerize it and push to DockerHub</v>
      </c>
      <c r="F491" s="18" t="str">
        <f t="shared" si="126"/>
        <v/>
      </c>
      <c r="G491" s="13" t="str">
        <f t="shared" si="129"/>
        <v/>
      </c>
      <c r="H491">
        <f t="shared" si="130"/>
        <v>0</v>
      </c>
      <c r="I491">
        <f t="shared" si="131"/>
        <v>0</v>
      </c>
      <c r="J491" s="13">
        <f t="shared" si="132"/>
        <v>65</v>
      </c>
      <c r="K491">
        <f t="shared" si="121"/>
        <v>0</v>
      </c>
      <c r="L491">
        <f t="shared" si="122"/>
        <v>1</v>
      </c>
      <c r="M491" s="13">
        <f t="shared" si="133"/>
        <v>1</v>
      </c>
      <c r="N491">
        <f t="shared" si="133"/>
        <v>4</v>
      </c>
      <c r="O491" s="14">
        <f t="shared" si="123"/>
        <v>64</v>
      </c>
      <c r="P491" s="13">
        <f t="shared" si="127"/>
        <v>1</v>
      </c>
      <c r="Q491">
        <f t="shared" si="134"/>
        <v>4</v>
      </c>
      <c r="R491" s="14">
        <f t="shared" si="135"/>
        <v>64</v>
      </c>
      <c r="S491" s="15"/>
      <c r="W491" s="14"/>
    </row>
    <row r="492" spans="1:23" x14ac:dyDescent="0.25">
      <c r="A492" s="16"/>
      <c r="B492" s="17" t="b">
        <f t="shared" si="128"/>
        <v>0</v>
      </c>
      <c r="C492" s="17" t="b">
        <f t="shared" si="120"/>
        <v>0</v>
      </c>
      <c r="D492" s="17">
        <f t="shared" si="124"/>
        <v>1</v>
      </c>
      <c r="E492" s="17" t="str">
        <f t="shared" si="125"/>
        <v>Section 4 - Create spring-boot starter microservice, containerize it and push to DockerHub</v>
      </c>
      <c r="F492" s="18" t="str">
        <f t="shared" si="126"/>
        <v/>
      </c>
      <c r="G492" s="13" t="str">
        <f t="shared" si="129"/>
        <v/>
      </c>
      <c r="H492">
        <f t="shared" si="130"/>
        <v>0</v>
      </c>
      <c r="I492">
        <f t="shared" si="131"/>
        <v>0</v>
      </c>
      <c r="J492" s="13">
        <f t="shared" si="132"/>
        <v>65</v>
      </c>
      <c r="K492">
        <f t="shared" si="121"/>
        <v>0</v>
      </c>
      <c r="L492">
        <f t="shared" si="122"/>
        <v>1</v>
      </c>
      <c r="M492" s="13">
        <f t="shared" si="133"/>
        <v>1</v>
      </c>
      <c r="N492">
        <f t="shared" si="133"/>
        <v>4</v>
      </c>
      <c r="O492" s="14">
        <f t="shared" si="123"/>
        <v>64</v>
      </c>
      <c r="P492" s="13">
        <f t="shared" si="127"/>
        <v>1</v>
      </c>
      <c r="Q492">
        <f t="shared" si="134"/>
        <v>4</v>
      </c>
      <c r="R492" s="14">
        <f t="shared" si="135"/>
        <v>64</v>
      </c>
      <c r="S492" s="15"/>
      <c r="W492" s="14"/>
    </row>
    <row r="493" spans="1:23" x14ac:dyDescent="0.25">
      <c r="A493" s="16"/>
      <c r="B493" s="17" t="b">
        <f t="shared" si="128"/>
        <v>0</v>
      </c>
      <c r="C493" s="17" t="b">
        <f t="shared" si="120"/>
        <v>0</v>
      </c>
      <c r="D493" s="17">
        <f t="shared" si="124"/>
        <v>1</v>
      </c>
      <c r="E493" s="17" t="str">
        <f t="shared" si="125"/>
        <v>Section 4 - Create spring-boot starter microservice, containerize it and push to DockerHub</v>
      </c>
      <c r="F493" s="18" t="str">
        <f t="shared" si="126"/>
        <v/>
      </c>
      <c r="G493" s="13" t="str">
        <f t="shared" si="129"/>
        <v/>
      </c>
      <c r="H493">
        <f t="shared" si="130"/>
        <v>0</v>
      </c>
      <c r="I493">
        <f t="shared" si="131"/>
        <v>0</v>
      </c>
      <c r="J493" s="13">
        <f t="shared" si="132"/>
        <v>65</v>
      </c>
      <c r="K493">
        <f t="shared" si="121"/>
        <v>0</v>
      </c>
      <c r="L493">
        <f t="shared" si="122"/>
        <v>1</v>
      </c>
      <c r="M493" s="13">
        <f t="shared" si="133"/>
        <v>1</v>
      </c>
      <c r="N493">
        <f t="shared" si="133"/>
        <v>4</v>
      </c>
      <c r="O493" s="14">
        <f t="shared" si="123"/>
        <v>64</v>
      </c>
      <c r="P493" s="13">
        <f t="shared" si="127"/>
        <v>1</v>
      </c>
      <c r="Q493">
        <f t="shared" si="134"/>
        <v>4</v>
      </c>
      <c r="R493" s="14">
        <f t="shared" si="135"/>
        <v>64</v>
      </c>
      <c r="S493" s="15"/>
      <c r="W493" s="14"/>
    </row>
    <row r="494" spans="1:23" x14ac:dyDescent="0.25">
      <c r="A494" s="16"/>
      <c r="B494" s="17" t="b">
        <f t="shared" si="128"/>
        <v>0</v>
      </c>
      <c r="C494" s="17" t="b">
        <f t="shared" si="120"/>
        <v>0</v>
      </c>
      <c r="D494" s="17">
        <f t="shared" si="124"/>
        <v>1</v>
      </c>
      <c r="E494" s="17" t="str">
        <f t="shared" si="125"/>
        <v>Section 4 - Create spring-boot starter microservice, containerize it and push to DockerHub</v>
      </c>
      <c r="F494" s="18" t="str">
        <f t="shared" si="126"/>
        <v/>
      </c>
      <c r="G494" s="13" t="str">
        <f t="shared" si="129"/>
        <v/>
      </c>
      <c r="H494">
        <f t="shared" si="130"/>
        <v>0</v>
      </c>
      <c r="I494">
        <f t="shared" si="131"/>
        <v>0</v>
      </c>
      <c r="J494" s="13">
        <f t="shared" si="132"/>
        <v>65</v>
      </c>
      <c r="K494">
        <f t="shared" si="121"/>
        <v>0</v>
      </c>
      <c r="L494">
        <f t="shared" si="122"/>
        <v>1</v>
      </c>
      <c r="M494" s="13">
        <f t="shared" si="133"/>
        <v>1</v>
      </c>
      <c r="N494">
        <f t="shared" si="133"/>
        <v>4</v>
      </c>
      <c r="O494" s="14">
        <f t="shared" si="123"/>
        <v>64</v>
      </c>
      <c r="P494" s="13">
        <f t="shared" si="127"/>
        <v>1</v>
      </c>
      <c r="Q494">
        <f t="shared" si="134"/>
        <v>4</v>
      </c>
      <c r="R494" s="14">
        <f t="shared" si="135"/>
        <v>64</v>
      </c>
      <c r="S494" s="15"/>
      <c r="W494" s="14"/>
    </row>
    <row r="495" spans="1:23" x14ac:dyDescent="0.25">
      <c r="A495" s="16"/>
      <c r="B495" s="17" t="b">
        <f t="shared" si="128"/>
        <v>0</v>
      </c>
      <c r="C495" s="17" t="b">
        <f t="shared" si="120"/>
        <v>0</v>
      </c>
      <c r="D495" s="17">
        <f t="shared" si="124"/>
        <v>1</v>
      </c>
      <c r="E495" s="17" t="str">
        <f t="shared" si="125"/>
        <v>Section 4 - Create spring-boot starter microservice, containerize it and push to DockerHub</v>
      </c>
      <c r="F495" s="18" t="str">
        <f t="shared" si="126"/>
        <v/>
      </c>
      <c r="G495" s="13" t="str">
        <f t="shared" si="129"/>
        <v/>
      </c>
      <c r="H495">
        <f t="shared" si="130"/>
        <v>0</v>
      </c>
      <c r="I495">
        <f t="shared" si="131"/>
        <v>0</v>
      </c>
      <c r="J495" s="13">
        <f t="shared" si="132"/>
        <v>65</v>
      </c>
      <c r="K495">
        <f t="shared" si="121"/>
        <v>0</v>
      </c>
      <c r="L495">
        <f t="shared" si="122"/>
        <v>1</v>
      </c>
      <c r="M495" s="13">
        <f t="shared" si="133"/>
        <v>1</v>
      </c>
      <c r="N495">
        <f t="shared" si="133"/>
        <v>4</v>
      </c>
      <c r="O495" s="14">
        <f t="shared" si="123"/>
        <v>64</v>
      </c>
      <c r="P495" s="13">
        <f t="shared" si="127"/>
        <v>1</v>
      </c>
      <c r="Q495">
        <f t="shared" si="134"/>
        <v>4</v>
      </c>
      <c r="R495" s="14">
        <f t="shared" si="135"/>
        <v>64</v>
      </c>
      <c r="S495" s="15"/>
      <c r="W495" s="14"/>
    </row>
    <row r="496" spans="1:23" x14ac:dyDescent="0.25">
      <c r="A496" s="16"/>
      <c r="B496" s="17" t="b">
        <f t="shared" si="128"/>
        <v>0</v>
      </c>
      <c r="C496" s="17" t="b">
        <f t="shared" si="120"/>
        <v>0</v>
      </c>
      <c r="D496" s="17">
        <f t="shared" si="124"/>
        <v>1</v>
      </c>
      <c r="E496" s="17" t="str">
        <f t="shared" si="125"/>
        <v>Section 4 - Create spring-boot starter microservice, containerize it and push to DockerHub</v>
      </c>
      <c r="F496" s="18" t="str">
        <f t="shared" si="126"/>
        <v/>
      </c>
      <c r="G496" s="13" t="str">
        <f t="shared" si="129"/>
        <v/>
      </c>
      <c r="H496">
        <f t="shared" si="130"/>
        <v>0</v>
      </c>
      <c r="I496">
        <f t="shared" si="131"/>
        <v>0</v>
      </c>
      <c r="J496" s="13">
        <f t="shared" si="132"/>
        <v>65</v>
      </c>
      <c r="K496">
        <f t="shared" si="121"/>
        <v>0</v>
      </c>
      <c r="L496">
        <f t="shared" si="122"/>
        <v>1</v>
      </c>
      <c r="M496" s="13">
        <f t="shared" si="133"/>
        <v>1</v>
      </c>
      <c r="N496">
        <f t="shared" si="133"/>
        <v>4</v>
      </c>
      <c r="O496" s="14">
        <f t="shared" si="123"/>
        <v>64</v>
      </c>
      <c r="P496" s="13">
        <f t="shared" si="127"/>
        <v>1</v>
      </c>
      <c r="Q496">
        <f t="shared" si="134"/>
        <v>4</v>
      </c>
      <c r="R496" s="14">
        <f t="shared" si="135"/>
        <v>64</v>
      </c>
      <c r="S496" s="15"/>
      <c r="W496" s="14"/>
    </row>
    <row r="497" spans="1:23" x14ac:dyDescent="0.25">
      <c r="A497" s="16"/>
      <c r="B497" s="17" t="b">
        <f t="shared" si="128"/>
        <v>0</v>
      </c>
      <c r="C497" s="17" t="b">
        <f t="shared" si="120"/>
        <v>0</v>
      </c>
      <c r="D497" s="17">
        <f t="shared" si="124"/>
        <v>1</v>
      </c>
      <c r="E497" s="17" t="str">
        <f t="shared" si="125"/>
        <v>Section 4 - Create spring-boot starter microservice, containerize it and push to DockerHub</v>
      </c>
      <c r="F497" s="18" t="str">
        <f t="shared" si="126"/>
        <v/>
      </c>
      <c r="G497" s="13" t="str">
        <f t="shared" si="129"/>
        <v/>
      </c>
      <c r="H497">
        <f t="shared" si="130"/>
        <v>0</v>
      </c>
      <c r="I497">
        <f t="shared" si="131"/>
        <v>0</v>
      </c>
      <c r="J497" s="13">
        <f t="shared" si="132"/>
        <v>65</v>
      </c>
      <c r="K497">
        <f t="shared" si="121"/>
        <v>0</v>
      </c>
      <c r="L497">
        <f t="shared" si="122"/>
        <v>1</v>
      </c>
      <c r="M497" s="13">
        <f t="shared" si="133"/>
        <v>1</v>
      </c>
      <c r="N497">
        <f t="shared" si="133"/>
        <v>4</v>
      </c>
      <c r="O497" s="14">
        <f t="shared" si="123"/>
        <v>64</v>
      </c>
      <c r="P497" s="13">
        <f t="shared" si="127"/>
        <v>1</v>
      </c>
      <c r="Q497">
        <f t="shared" si="134"/>
        <v>4</v>
      </c>
      <c r="R497" s="14">
        <f t="shared" si="135"/>
        <v>64</v>
      </c>
      <c r="S497" s="15"/>
      <c r="W497" s="14"/>
    </row>
    <row r="498" spans="1:23" x14ac:dyDescent="0.25">
      <c r="A498" s="16"/>
      <c r="B498" s="17" t="b">
        <f t="shared" si="128"/>
        <v>0</v>
      </c>
      <c r="C498" s="17" t="b">
        <f t="shared" si="120"/>
        <v>0</v>
      </c>
      <c r="D498" s="17">
        <f t="shared" si="124"/>
        <v>1</v>
      </c>
      <c r="E498" s="17" t="str">
        <f t="shared" si="125"/>
        <v>Section 4 - Create spring-boot starter microservice, containerize it and push to DockerHub</v>
      </c>
      <c r="F498" s="18" t="str">
        <f t="shared" si="126"/>
        <v/>
      </c>
      <c r="G498" s="13" t="str">
        <f t="shared" si="129"/>
        <v/>
      </c>
      <c r="H498">
        <f t="shared" si="130"/>
        <v>0</v>
      </c>
      <c r="I498">
        <f t="shared" si="131"/>
        <v>0</v>
      </c>
      <c r="J498" s="13">
        <f t="shared" si="132"/>
        <v>65</v>
      </c>
      <c r="K498">
        <f t="shared" si="121"/>
        <v>0</v>
      </c>
      <c r="L498">
        <f t="shared" si="122"/>
        <v>1</v>
      </c>
      <c r="M498" s="13">
        <f t="shared" si="133"/>
        <v>1</v>
      </c>
      <c r="N498">
        <f t="shared" si="133"/>
        <v>4</v>
      </c>
      <c r="O498" s="14">
        <f t="shared" si="123"/>
        <v>64</v>
      </c>
      <c r="P498" s="13">
        <f t="shared" si="127"/>
        <v>1</v>
      </c>
      <c r="Q498">
        <f t="shared" si="134"/>
        <v>4</v>
      </c>
      <c r="R498" s="14">
        <f t="shared" si="135"/>
        <v>64</v>
      </c>
      <c r="S498" s="15"/>
      <c r="W498" s="14"/>
    </row>
    <row r="499" spans="1:23" x14ac:dyDescent="0.25">
      <c r="A499" s="16"/>
      <c r="B499" s="17" t="b">
        <f t="shared" si="128"/>
        <v>0</v>
      </c>
      <c r="C499" s="17" t="b">
        <f t="shared" si="120"/>
        <v>0</v>
      </c>
      <c r="D499" s="17">
        <f t="shared" si="124"/>
        <v>1</v>
      </c>
      <c r="E499" s="17" t="str">
        <f t="shared" si="125"/>
        <v>Section 4 - Create spring-boot starter microservice, containerize it and push to DockerHub</v>
      </c>
      <c r="F499" s="18" t="str">
        <f t="shared" si="126"/>
        <v/>
      </c>
      <c r="G499" s="13" t="str">
        <f t="shared" si="129"/>
        <v/>
      </c>
      <c r="H499">
        <f t="shared" si="130"/>
        <v>0</v>
      </c>
      <c r="I499">
        <f t="shared" si="131"/>
        <v>0</v>
      </c>
      <c r="J499" s="13">
        <f t="shared" si="132"/>
        <v>65</v>
      </c>
      <c r="K499">
        <f t="shared" si="121"/>
        <v>0</v>
      </c>
      <c r="L499">
        <f t="shared" si="122"/>
        <v>1</v>
      </c>
      <c r="M499" s="13">
        <f t="shared" si="133"/>
        <v>1</v>
      </c>
      <c r="N499">
        <f t="shared" si="133"/>
        <v>4</v>
      </c>
      <c r="O499" s="14">
        <f t="shared" si="123"/>
        <v>64</v>
      </c>
      <c r="P499" s="13">
        <f t="shared" si="127"/>
        <v>1</v>
      </c>
      <c r="Q499">
        <f t="shared" si="134"/>
        <v>4</v>
      </c>
      <c r="R499" s="14">
        <f t="shared" si="135"/>
        <v>64</v>
      </c>
      <c r="S499" s="15"/>
      <c r="W499" s="14"/>
    </row>
    <row r="500" spans="1:23" x14ac:dyDescent="0.25">
      <c r="A500" s="16"/>
      <c r="B500" s="17" t="b">
        <f t="shared" si="128"/>
        <v>0</v>
      </c>
      <c r="C500" s="17" t="b">
        <f t="shared" si="120"/>
        <v>0</v>
      </c>
      <c r="D500" s="17">
        <f t="shared" si="124"/>
        <v>1</v>
      </c>
      <c r="E500" s="17" t="str">
        <f t="shared" si="125"/>
        <v>Section 4 - Create spring-boot starter microservice, containerize it and push to DockerHub</v>
      </c>
      <c r="F500" s="18" t="str">
        <f t="shared" si="126"/>
        <v/>
      </c>
      <c r="G500" s="13" t="str">
        <f t="shared" si="129"/>
        <v/>
      </c>
      <c r="H500">
        <f t="shared" si="130"/>
        <v>0</v>
      </c>
      <c r="I500">
        <f t="shared" si="131"/>
        <v>0</v>
      </c>
      <c r="J500" s="13">
        <f t="shared" si="132"/>
        <v>65</v>
      </c>
      <c r="K500">
        <f t="shared" si="121"/>
        <v>0</v>
      </c>
      <c r="L500">
        <f t="shared" si="122"/>
        <v>1</v>
      </c>
      <c r="M500" s="13">
        <f t="shared" si="133"/>
        <v>1</v>
      </c>
      <c r="N500">
        <f t="shared" si="133"/>
        <v>4</v>
      </c>
      <c r="O500" s="14">
        <f t="shared" si="123"/>
        <v>64</v>
      </c>
      <c r="P500" s="13">
        <f t="shared" si="127"/>
        <v>1</v>
      </c>
      <c r="Q500">
        <f t="shared" si="134"/>
        <v>4</v>
      </c>
      <c r="R500" s="14">
        <f t="shared" si="135"/>
        <v>64</v>
      </c>
      <c r="S500" s="15"/>
      <c r="W500" s="14"/>
    </row>
    <row r="501" spans="1:23" x14ac:dyDescent="0.25">
      <c r="A501" s="16"/>
      <c r="B501" s="17" t="b">
        <f t="shared" si="128"/>
        <v>0</v>
      </c>
      <c r="C501" s="17" t="b">
        <f t="shared" si="120"/>
        <v>0</v>
      </c>
      <c r="D501" s="17">
        <f t="shared" si="124"/>
        <v>1</v>
      </c>
      <c r="E501" s="17" t="str">
        <f t="shared" si="125"/>
        <v>Section 4 - Create spring-boot starter microservice, containerize it and push to DockerHub</v>
      </c>
      <c r="F501" s="18" t="str">
        <f t="shared" si="126"/>
        <v/>
      </c>
      <c r="G501" s="13" t="str">
        <f t="shared" si="129"/>
        <v/>
      </c>
      <c r="H501">
        <f t="shared" si="130"/>
        <v>0</v>
      </c>
      <c r="I501">
        <f t="shared" si="131"/>
        <v>0</v>
      </c>
      <c r="J501" s="13">
        <f t="shared" si="132"/>
        <v>65</v>
      </c>
      <c r="K501">
        <f t="shared" si="121"/>
        <v>0</v>
      </c>
      <c r="L501">
        <f t="shared" si="122"/>
        <v>1</v>
      </c>
      <c r="M501" s="13">
        <f t="shared" si="133"/>
        <v>1</v>
      </c>
      <c r="N501">
        <f t="shared" si="133"/>
        <v>4</v>
      </c>
      <c r="O501" s="14">
        <f t="shared" si="123"/>
        <v>64</v>
      </c>
      <c r="P501" s="13">
        <f t="shared" si="127"/>
        <v>1</v>
      </c>
      <c r="Q501">
        <f t="shared" si="134"/>
        <v>4</v>
      </c>
      <c r="R501" s="14">
        <f t="shared" si="135"/>
        <v>64</v>
      </c>
      <c r="S501" s="15"/>
      <c r="W501" s="14"/>
    </row>
    <row r="502" spans="1:23" x14ac:dyDescent="0.25">
      <c r="A502" s="16"/>
      <c r="B502" s="17" t="b">
        <f t="shared" si="128"/>
        <v>0</v>
      </c>
      <c r="C502" s="17" t="b">
        <f t="shared" si="120"/>
        <v>0</v>
      </c>
      <c r="D502" s="17">
        <f t="shared" si="124"/>
        <v>1</v>
      </c>
      <c r="E502" s="17" t="str">
        <f t="shared" si="125"/>
        <v>Section 4 - Create spring-boot starter microservice, containerize it and push to DockerHub</v>
      </c>
      <c r="F502" s="18" t="str">
        <f t="shared" si="126"/>
        <v/>
      </c>
      <c r="G502" s="13" t="str">
        <f t="shared" si="129"/>
        <v/>
      </c>
      <c r="H502">
        <f t="shared" si="130"/>
        <v>0</v>
      </c>
      <c r="I502">
        <f t="shared" si="131"/>
        <v>0</v>
      </c>
      <c r="J502" s="13">
        <f t="shared" si="132"/>
        <v>65</v>
      </c>
      <c r="K502">
        <f t="shared" si="121"/>
        <v>0</v>
      </c>
      <c r="L502">
        <f t="shared" si="122"/>
        <v>1</v>
      </c>
      <c r="M502" s="13">
        <f t="shared" si="133"/>
        <v>1</v>
      </c>
      <c r="N502">
        <f t="shared" si="133"/>
        <v>4</v>
      </c>
      <c r="O502" s="14">
        <f t="shared" si="123"/>
        <v>64</v>
      </c>
      <c r="P502" s="13">
        <f t="shared" si="127"/>
        <v>1</v>
      </c>
      <c r="Q502">
        <f t="shared" si="134"/>
        <v>4</v>
      </c>
      <c r="R502" s="14">
        <f t="shared" si="135"/>
        <v>64</v>
      </c>
      <c r="S502" s="15"/>
      <c r="W502" s="14"/>
    </row>
    <row r="503" spans="1:23" x14ac:dyDescent="0.25">
      <c r="A503" s="16"/>
      <c r="B503" s="17" t="b">
        <f t="shared" si="128"/>
        <v>0</v>
      </c>
      <c r="C503" s="17" t="b">
        <f t="shared" si="120"/>
        <v>0</v>
      </c>
      <c r="D503" s="17">
        <f t="shared" si="124"/>
        <v>1</v>
      </c>
      <c r="E503" s="17" t="str">
        <f t="shared" si="125"/>
        <v>Section 4 - Create spring-boot starter microservice, containerize it and push to DockerHub</v>
      </c>
      <c r="F503" s="18" t="str">
        <f t="shared" si="126"/>
        <v/>
      </c>
      <c r="G503" s="13" t="str">
        <f t="shared" si="129"/>
        <v/>
      </c>
      <c r="H503">
        <f t="shared" si="130"/>
        <v>0</v>
      </c>
      <c r="I503">
        <f t="shared" si="131"/>
        <v>0</v>
      </c>
      <c r="J503" s="13">
        <f t="shared" si="132"/>
        <v>65</v>
      </c>
      <c r="K503">
        <f t="shared" si="121"/>
        <v>0</v>
      </c>
      <c r="L503">
        <f t="shared" si="122"/>
        <v>1</v>
      </c>
      <c r="M503" s="13">
        <f t="shared" si="133"/>
        <v>1</v>
      </c>
      <c r="N503">
        <f t="shared" si="133"/>
        <v>4</v>
      </c>
      <c r="O503" s="14">
        <f t="shared" si="123"/>
        <v>64</v>
      </c>
      <c r="P503" s="13">
        <f t="shared" si="127"/>
        <v>1</v>
      </c>
      <c r="Q503">
        <f t="shared" si="134"/>
        <v>4</v>
      </c>
      <c r="R503" s="14">
        <f t="shared" si="135"/>
        <v>64</v>
      </c>
      <c r="S503" s="15"/>
      <c r="W503" s="14"/>
    </row>
    <row r="504" spans="1:23" x14ac:dyDescent="0.25">
      <c r="A504" s="16"/>
      <c r="B504" s="17" t="b">
        <f t="shared" si="128"/>
        <v>0</v>
      </c>
      <c r="C504" s="17" t="b">
        <f t="shared" si="120"/>
        <v>0</v>
      </c>
      <c r="D504" s="17">
        <f t="shared" si="124"/>
        <v>1</v>
      </c>
      <c r="E504" s="17" t="str">
        <f t="shared" si="125"/>
        <v>Section 4 - Create spring-boot starter microservice, containerize it and push to DockerHub</v>
      </c>
      <c r="F504" s="18" t="str">
        <f t="shared" si="126"/>
        <v/>
      </c>
      <c r="G504" s="13" t="str">
        <f t="shared" si="129"/>
        <v/>
      </c>
      <c r="H504">
        <f t="shared" si="130"/>
        <v>0</v>
      </c>
      <c r="I504">
        <f t="shared" si="131"/>
        <v>0</v>
      </c>
      <c r="J504" s="13">
        <f t="shared" si="132"/>
        <v>65</v>
      </c>
      <c r="K504">
        <f t="shared" si="121"/>
        <v>0</v>
      </c>
      <c r="L504">
        <f t="shared" si="122"/>
        <v>1</v>
      </c>
      <c r="M504" s="13">
        <f t="shared" si="133"/>
        <v>1</v>
      </c>
      <c r="N504">
        <f t="shared" si="133"/>
        <v>4</v>
      </c>
      <c r="O504" s="14">
        <f t="shared" si="123"/>
        <v>64</v>
      </c>
      <c r="P504" s="13">
        <f t="shared" si="127"/>
        <v>1</v>
      </c>
      <c r="Q504">
        <f t="shared" si="134"/>
        <v>4</v>
      </c>
      <c r="R504" s="14">
        <f t="shared" si="135"/>
        <v>64</v>
      </c>
      <c r="S504" s="15"/>
      <c r="W504" s="14"/>
    </row>
    <row r="505" spans="1:23" x14ac:dyDescent="0.25">
      <c r="A505" s="16"/>
      <c r="B505" s="17" t="b">
        <f t="shared" si="128"/>
        <v>0</v>
      </c>
      <c r="C505" s="17" t="b">
        <f t="shared" si="120"/>
        <v>0</v>
      </c>
      <c r="D505" s="17">
        <f t="shared" si="124"/>
        <v>1</v>
      </c>
      <c r="E505" s="17" t="str">
        <f t="shared" si="125"/>
        <v>Section 4 - Create spring-boot starter microservice, containerize it and push to DockerHub</v>
      </c>
      <c r="F505" s="18" t="str">
        <f t="shared" si="126"/>
        <v/>
      </c>
      <c r="G505" s="13" t="str">
        <f t="shared" si="129"/>
        <v/>
      </c>
      <c r="H505">
        <f t="shared" si="130"/>
        <v>0</v>
      </c>
      <c r="I505">
        <f t="shared" si="131"/>
        <v>0</v>
      </c>
      <c r="J505" s="13">
        <f t="shared" si="132"/>
        <v>65</v>
      </c>
      <c r="K505">
        <f t="shared" si="121"/>
        <v>0</v>
      </c>
      <c r="L505">
        <f t="shared" si="122"/>
        <v>1</v>
      </c>
      <c r="M505" s="13">
        <f t="shared" si="133"/>
        <v>1</v>
      </c>
      <c r="N505">
        <f t="shared" si="133"/>
        <v>4</v>
      </c>
      <c r="O505" s="14">
        <f t="shared" si="123"/>
        <v>64</v>
      </c>
      <c r="P505" s="13">
        <f t="shared" si="127"/>
        <v>1</v>
      </c>
      <c r="Q505">
        <f t="shared" si="134"/>
        <v>4</v>
      </c>
      <c r="R505" s="14">
        <f t="shared" si="135"/>
        <v>64</v>
      </c>
      <c r="S505" s="15"/>
      <c r="W505" s="14"/>
    </row>
    <row r="506" spans="1:23" x14ac:dyDescent="0.25">
      <c r="A506" s="16"/>
      <c r="B506" s="17" t="b">
        <f t="shared" si="128"/>
        <v>0</v>
      </c>
      <c r="C506" s="17" t="b">
        <f t="shared" si="120"/>
        <v>0</v>
      </c>
      <c r="D506" s="17">
        <f t="shared" si="124"/>
        <v>1</v>
      </c>
      <c r="E506" s="17" t="str">
        <f t="shared" si="125"/>
        <v>Section 4 - Create spring-boot starter microservice, containerize it and push to DockerHub</v>
      </c>
      <c r="F506" s="18" t="str">
        <f t="shared" si="126"/>
        <v/>
      </c>
      <c r="G506" s="13" t="str">
        <f t="shared" si="129"/>
        <v/>
      </c>
      <c r="H506">
        <f t="shared" si="130"/>
        <v>0</v>
      </c>
      <c r="I506">
        <f t="shared" si="131"/>
        <v>0</v>
      </c>
      <c r="J506" s="13">
        <f t="shared" si="132"/>
        <v>65</v>
      </c>
      <c r="K506">
        <f t="shared" si="121"/>
        <v>0</v>
      </c>
      <c r="L506">
        <f t="shared" si="122"/>
        <v>1</v>
      </c>
      <c r="M506" s="13">
        <f t="shared" si="133"/>
        <v>1</v>
      </c>
      <c r="N506">
        <f t="shared" si="133"/>
        <v>4</v>
      </c>
      <c r="O506" s="14">
        <f t="shared" si="123"/>
        <v>64</v>
      </c>
      <c r="P506" s="13">
        <f t="shared" si="127"/>
        <v>1</v>
      </c>
      <c r="Q506">
        <f t="shared" si="134"/>
        <v>4</v>
      </c>
      <c r="R506" s="14">
        <f t="shared" si="135"/>
        <v>64</v>
      </c>
      <c r="S506" s="15"/>
      <c r="W506" s="14"/>
    </row>
    <row r="507" spans="1:23" x14ac:dyDescent="0.25">
      <c r="A507" s="16"/>
      <c r="B507" s="17" t="b">
        <f t="shared" si="128"/>
        <v>0</v>
      </c>
      <c r="C507" s="17" t="b">
        <f t="shared" si="120"/>
        <v>0</v>
      </c>
      <c r="D507" s="17">
        <f t="shared" si="124"/>
        <v>1</v>
      </c>
      <c r="E507" s="17" t="str">
        <f t="shared" si="125"/>
        <v>Section 4 - Create spring-boot starter microservice, containerize it and push to DockerHub</v>
      </c>
      <c r="F507" s="18" t="str">
        <f t="shared" si="126"/>
        <v/>
      </c>
      <c r="G507" s="13" t="str">
        <f t="shared" si="129"/>
        <v/>
      </c>
      <c r="H507">
        <f t="shared" si="130"/>
        <v>0</v>
      </c>
      <c r="I507">
        <f t="shared" si="131"/>
        <v>0</v>
      </c>
      <c r="J507" s="13">
        <f t="shared" si="132"/>
        <v>65</v>
      </c>
      <c r="K507">
        <f t="shared" si="121"/>
        <v>0</v>
      </c>
      <c r="L507">
        <f t="shared" si="122"/>
        <v>1</v>
      </c>
      <c r="M507" s="13">
        <f t="shared" si="133"/>
        <v>1</v>
      </c>
      <c r="N507">
        <f t="shared" si="133"/>
        <v>4</v>
      </c>
      <c r="O507" s="14">
        <f t="shared" si="123"/>
        <v>64</v>
      </c>
      <c r="P507" s="13">
        <f t="shared" si="127"/>
        <v>1</v>
      </c>
      <c r="Q507">
        <f t="shared" si="134"/>
        <v>4</v>
      </c>
      <c r="R507" s="14">
        <f t="shared" si="135"/>
        <v>64</v>
      </c>
      <c r="S507" s="15"/>
      <c r="W507" s="14"/>
    </row>
    <row r="508" spans="1:23" x14ac:dyDescent="0.25">
      <c r="A508" s="16"/>
      <c r="B508" s="17" t="b">
        <f t="shared" si="128"/>
        <v>0</v>
      </c>
      <c r="C508" s="17" t="b">
        <f t="shared" si="120"/>
        <v>0</v>
      </c>
      <c r="D508" s="17">
        <f t="shared" si="124"/>
        <v>1</v>
      </c>
      <c r="E508" s="17" t="str">
        <f t="shared" si="125"/>
        <v>Section 4 - Create spring-boot starter microservice, containerize it and push to DockerHub</v>
      </c>
      <c r="F508" s="18" t="str">
        <f t="shared" si="126"/>
        <v/>
      </c>
      <c r="G508" s="13" t="str">
        <f t="shared" si="129"/>
        <v/>
      </c>
      <c r="H508">
        <f t="shared" si="130"/>
        <v>0</v>
      </c>
      <c r="I508">
        <f t="shared" si="131"/>
        <v>0</v>
      </c>
      <c r="J508" s="13">
        <f t="shared" si="132"/>
        <v>65</v>
      </c>
      <c r="K508">
        <f t="shared" si="121"/>
        <v>0</v>
      </c>
      <c r="L508">
        <f t="shared" si="122"/>
        <v>1</v>
      </c>
      <c r="M508" s="13">
        <f t="shared" si="133"/>
        <v>1</v>
      </c>
      <c r="N508">
        <f t="shared" si="133"/>
        <v>4</v>
      </c>
      <c r="O508" s="14">
        <f t="shared" si="123"/>
        <v>64</v>
      </c>
      <c r="P508" s="13">
        <f t="shared" si="127"/>
        <v>1</v>
      </c>
      <c r="Q508">
        <f t="shared" si="134"/>
        <v>4</v>
      </c>
      <c r="R508" s="14">
        <f t="shared" si="135"/>
        <v>64</v>
      </c>
      <c r="S508" s="15"/>
      <c r="W508" s="14"/>
    </row>
    <row r="509" spans="1:23" x14ac:dyDescent="0.25">
      <c r="A509" s="16"/>
      <c r="B509" s="17" t="b">
        <f t="shared" si="128"/>
        <v>0</v>
      </c>
      <c r="C509" s="17" t="b">
        <f t="shared" si="120"/>
        <v>0</v>
      </c>
      <c r="D509" s="17">
        <f t="shared" si="124"/>
        <v>1</v>
      </c>
      <c r="E509" s="17" t="str">
        <f t="shared" si="125"/>
        <v>Section 4 - Create spring-boot starter microservice, containerize it and push to DockerHub</v>
      </c>
      <c r="F509" s="18" t="str">
        <f t="shared" si="126"/>
        <v/>
      </c>
      <c r="G509" s="13" t="str">
        <f t="shared" si="129"/>
        <v/>
      </c>
      <c r="H509">
        <f t="shared" si="130"/>
        <v>0</v>
      </c>
      <c r="I509">
        <f t="shared" si="131"/>
        <v>0</v>
      </c>
      <c r="J509" s="13">
        <f t="shared" si="132"/>
        <v>65</v>
      </c>
      <c r="K509">
        <f t="shared" si="121"/>
        <v>0</v>
      </c>
      <c r="L509">
        <f t="shared" si="122"/>
        <v>1</v>
      </c>
      <c r="M509" s="13">
        <f t="shared" si="133"/>
        <v>1</v>
      </c>
      <c r="N509">
        <f t="shared" si="133"/>
        <v>4</v>
      </c>
      <c r="O509" s="14">
        <f t="shared" si="123"/>
        <v>64</v>
      </c>
      <c r="P509" s="13">
        <f t="shared" si="127"/>
        <v>1</v>
      </c>
      <c r="Q509">
        <f t="shared" si="134"/>
        <v>4</v>
      </c>
      <c r="R509" s="14">
        <f t="shared" si="135"/>
        <v>64</v>
      </c>
      <c r="S509" s="15"/>
      <c r="W509" s="14"/>
    </row>
    <row r="510" spans="1:23" x14ac:dyDescent="0.25">
      <c r="A510" s="16"/>
      <c r="B510" s="17" t="b">
        <f t="shared" si="128"/>
        <v>0</v>
      </c>
      <c r="C510" s="17" t="b">
        <f t="shared" si="120"/>
        <v>0</v>
      </c>
      <c r="D510" s="17">
        <f t="shared" si="124"/>
        <v>1</v>
      </c>
      <c r="E510" s="17" t="str">
        <f t="shared" si="125"/>
        <v>Section 4 - Create spring-boot starter microservice, containerize it and push to DockerHub</v>
      </c>
      <c r="F510" s="18" t="str">
        <f t="shared" si="126"/>
        <v/>
      </c>
      <c r="G510" s="13" t="str">
        <f t="shared" si="129"/>
        <v/>
      </c>
      <c r="H510">
        <f t="shared" si="130"/>
        <v>0</v>
      </c>
      <c r="I510">
        <f t="shared" si="131"/>
        <v>0</v>
      </c>
      <c r="J510" s="13">
        <f t="shared" si="132"/>
        <v>65</v>
      </c>
      <c r="K510">
        <f t="shared" si="121"/>
        <v>0</v>
      </c>
      <c r="L510">
        <f t="shared" si="122"/>
        <v>1</v>
      </c>
      <c r="M510" s="13">
        <f t="shared" si="133"/>
        <v>1</v>
      </c>
      <c r="N510">
        <f t="shared" si="133"/>
        <v>4</v>
      </c>
      <c r="O510" s="14">
        <f t="shared" si="123"/>
        <v>64</v>
      </c>
      <c r="P510" s="13">
        <f t="shared" si="127"/>
        <v>1</v>
      </c>
      <c r="Q510">
        <f t="shared" si="134"/>
        <v>4</v>
      </c>
      <c r="R510" s="14">
        <f t="shared" si="135"/>
        <v>64</v>
      </c>
      <c r="S510" s="15"/>
      <c r="W510" s="14"/>
    </row>
    <row r="511" spans="1:23" x14ac:dyDescent="0.25">
      <c r="A511" s="16"/>
      <c r="B511" s="17" t="b">
        <f t="shared" si="128"/>
        <v>0</v>
      </c>
      <c r="C511" s="17" t="b">
        <f t="shared" si="120"/>
        <v>0</v>
      </c>
      <c r="D511" s="17">
        <f t="shared" si="124"/>
        <v>1</v>
      </c>
      <c r="E511" s="17" t="str">
        <f t="shared" si="125"/>
        <v>Section 4 - Create spring-boot starter microservice, containerize it and push to DockerHub</v>
      </c>
      <c r="F511" s="18" t="str">
        <f t="shared" si="126"/>
        <v/>
      </c>
      <c r="G511" s="13" t="str">
        <f t="shared" si="129"/>
        <v/>
      </c>
      <c r="H511">
        <f t="shared" si="130"/>
        <v>0</v>
      </c>
      <c r="I511">
        <f t="shared" si="131"/>
        <v>0</v>
      </c>
      <c r="J511" s="13">
        <f t="shared" si="132"/>
        <v>65</v>
      </c>
      <c r="K511">
        <f t="shared" si="121"/>
        <v>0</v>
      </c>
      <c r="L511">
        <f t="shared" si="122"/>
        <v>1</v>
      </c>
      <c r="M511" s="13">
        <f t="shared" si="133"/>
        <v>1</v>
      </c>
      <c r="N511">
        <f t="shared" si="133"/>
        <v>4</v>
      </c>
      <c r="O511" s="14">
        <f t="shared" si="123"/>
        <v>64</v>
      </c>
      <c r="P511" s="13">
        <f t="shared" si="127"/>
        <v>1</v>
      </c>
      <c r="Q511">
        <f t="shared" si="134"/>
        <v>4</v>
      </c>
      <c r="R511" s="14">
        <f t="shared" si="135"/>
        <v>64</v>
      </c>
      <c r="S511" s="15"/>
      <c r="W511" s="14"/>
    </row>
    <row r="512" spans="1:23" x14ac:dyDescent="0.25">
      <c r="A512" s="16"/>
      <c r="B512" s="17" t="b">
        <f t="shared" si="128"/>
        <v>0</v>
      </c>
      <c r="C512" s="17" t="b">
        <f t="shared" ref="C512:C565" si="136">OR(NOT(ISERROR(FIND("hr",A513))), NOT(ISERROR(FIND("min ",A513))),RIGHT(A513,3)="min")</f>
        <v>0</v>
      </c>
      <c r="D512" s="17">
        <f t="shared" si="124"/>
        <v>1</v>
      </c>
      <c r="E512" s="17" t="str">
        <f t="shared" si="125"/>
        <v>Section 4 - Create spring-boot starter microservice, containerize it and push to DockerHub</v>
      </c>
      <c r="F512" s="18" t="str">
        <f t="shared" si="126"/>
        <v/>
      </c>
      <c r="G512" s="13" t="str">
        <f t="shared" si="129"/>
        <v/>
      </c>
      <c r="H512">
        <f t="shared" si="130"/>
        <v>0</v>
      </c>
      <c r="I512">
        <f t="shared" si="131"/>
        <v>0</v>
      </c>
      <c r="J512" s="13">
        <f t="shared" si="132"/>
        <v>65</v>
      </c>
      <c r="K512">
        <f t="shared" si="121"/>
        <v>0</v>
      </c>
      <c r="L512">
        <f t="shared" si="122"/>
        <v>1</v>
      </c>
      <c r="M512" s="13">
        <f t="shared" si="133"/>
        <v>1</v>
      </c>
      <c r="N512">
        <f t="shared" si="133"/>
        <v>4</v>
      </c>
      <c r="O512" s="14">
        <f t="shared" si="123"/>
        <v>64</v>
      </c>
      <c r="P512" s="13">
        <f t="shared" si="127"/>
        <v>1</v>
      </c>
      <c r="Q512">
        <f t="shared" si="134"/>
        <v>4</v>
      </c>
      <c r="R512" s="14">
        <f t="shared" si="135"/>
        <v>64</v>
      </c>
      <c r="S512" s="15"/>
      <c r="W512" s="14"/>
    </row>
    <row r="513" spans="1:23" x14ac:dyDescent="0.25">
      <c r="A513" s="16"/>
      <c r="B513" s="17" t="b">
        <f t="shared" si="128"/>
        <v>0</v>
      </c>
      <c r="C513" s="17" t="b">
        <f t="shared" si="136"/>
        <v>0</v>
      </c>
      <c r="D513" s="17">
        <f t="shared" si="124"/>
        <v>1</v>
      </c>
      <c r="E513" s="17" t="str">
        <f t="shared" si="125"/>
        <v>Section 4 - Create spring-boot starter microservice, containerize it and push to DockerHub</v>
      </c>
      <c r="F513" s="18" t="str">
        <f t="shared" si="126"/>
        <v/>
      </c>
      <c r="G513" s="13" t="str">
        <f t="shared" si="129"/>
        <v/>
      </c>
      <c r="H513">
        <f t="shared" si="130"/>
        <v>0</v>
      </c>
      <c r="I513">
        <f t="shared" si="131"/>
        <v>0</v>
      </c>
      <c r="J513" s="13">
        <f t="shared" si="132"/>
        <v>65</v>
      </c>
      <c r="K513">
        <f t="shared" si="121"/>
        <v>0</v>
      </c>
      <c r="L513">
        <f t="shared" si="122"/>
        <v>1</v>
      </c>
      <c r="M513" s="13">
        <f t="shared" si="133"/>
        <v>1</v>
      </c>
      <c r="N513">
        <f t="shared" si="133"/>
        <v>4</v>
      </c>
      <c r="O513" s="14">
        <f t="shared" si="123"/>
        <v>64</v>
      </c>
      <c r="P513" s="13">
        <f t="shared" si="127"/>
        <v>1</v>
      </c>
      <c r="Q513">
        <f t="shared" si="134"/>
        <v>4</v>
      </c>
      <c r="R513" s="14">
        <f t="shared" si="135"/>
        <v>64</v>
      </c>
      <c r="S513" s="15"/>
      <c r="W513" s="14"/>
    </row>
    <row r="514" spans="1:23" x14ac:dyDescent="0.25">
      <c r="A514" s="16"/>
      <c r="B514" s="17" t="b">
        <f t="shared" si="128"/>
        <v>0</v>
      </c>
      <c r="C514" s="17" t="b">
        <f t="shared" si="136"/>
        <v>0</v>
      </c>
      <c r="D514" s="17">
        <f t="shared" si="124"/>
        <v>1</v>
      </c>
      <c r="E514" s="17" t="str">
        <f t="shared" si="125"/>
        <v>Section 4 - Create spring-boot starter microservice, containerize it and push to DockerHub</v>
      </c>
      <c r="F514" s="18" t="str">
        <f t="shared" si="126"/>
        <v/>
      </c>
      <c r="G514" s="13" t="str">
        <f t="shared" si="129"/>
        <v/>
      </c>
      <c r="H514">
        <f t="shared" si="130"/>
        <v>0</v>
      </c>
      <c r="I514">
        <f t="shared" si="131"/>
        <v>0</v>
      </c>
      <c r="J514" s="13">
        <f t="shared" si="132"/>
        <v>65</v>
      </c>
      <c r="K514">
        <f t="shared" si="121"/>
        <v>0</v>
      </c>
      <c r="L514">
        <f t="shared" si="122"/>
        <v>1</v>
      </c>
      <c r="M514" s="13">
        <f t="shared" si="133"/>
        <v>1</v>
      </c>
      <c r="N514">
        <f t="shared" si="133"/>
        <v>4</v>
      </c>
      <c r="O514" s="14">
        <f t="shared" si="123"/>
        <v>64</v>
      </c>
      <c r="P514" s="13">
        <f t="shared" si="127"/>
        <v>1</v>
      </c>
      <c r="Q514">
        <f t="shared" si="134"/>
        <v>4</v>
      </c>
      <c r="R514" s="14">
        <f t="shared" si="135"/>
        <v>64</v>
      </c>
      <c r="S514" s="15"/>
      <c r="W514" s="14"/>
    </row>
    <row r="515" spans="1:23" x14ac:dyDescent="0.25">
      <c r="A515" s="16"/>
      <c r="B515" s="17" t="b">
        <f t="shared" si="128"/>
        <v>0</v>
      </c>
      <c r="C515" s="17" t="b">
        <f t="shared" si="136"/>
        <v>0</v>
      </c>
      <c r="D515" s="17">
        <f t="shared" si="124"/>
        <v>1</v>
      </c>
      <c r="E515" s="17" t="str">
        <f t="shared" si="125"/>
        <v>Section 4 - Create spring-boot starter microservice, containerize it and push to DockerHub</v>
      </c>
      <c r="F515" s="18" t="str">
        <f t="shared" si="126"/>
        <v/>
      </c>
      <c r="G515" s="13" t="str">
        <f t="shared" si="129"/>
        <v/>
      </c>
      <c r="H515">
        <f t="shared" si="130"/>
        <v>0</v>
      </c>
      <c r="I515">
        <f t="shared" si="131"/>
        <v>0</v>
      </c>
      <c r="J515" s="13">
        <f t="shared" si="132"/>
        <v>65</v>
      </c>
      <c r="K515">
        <f t="shared" si="121"/>
        <v>0</v>
      </c>
      <c r="L515">
        <f t="shared" si="122"/>
        <v>1</v>
      </c>
      <c r="M515" s="13">
        <f t="shared" si="133"/>
        <v>1</v>
      </c>
      <c r="N515">
        <f t="shared" si="133"/>
        <v>4</v>
      </c>
      <c r="O515" s="14">
        <f t="shared" si="123"/>
        <v>64</v>
      </c>
      <c r="P515" s="13">
        <f t="shared" si="127"/>
        <v>1</v>
      </c>
      <c r="Q515">
        <f t="shared" si="134"/>
        <v>4</v>
      </c>
      <c r="R515" s="14">
        <f t="shared" si="135"/>
        <v>64</v>
      </c>
      <c r="S515" s="15"/>
      <c r="W515" s="14"/>
    </row>
    <row r="516" spans="1:23" x14ac:dyDescent="0.25">
      <c r="A516" s="16"/>
      <c r="B516" s="17" t="b">
        <f t="shared" si="128"/>
        <v>0</v>
      </c>
      <c r="C516" s="17" t="b">
        <f t="shared" si="136"/>
        <v>0</v>
      </c>
      <c r="D516" s="17">
        <f t="shared" si="124"/>
        <v>1</v>
      </c>
      <c r="E516" s="17" t="str">
        <f t="shared" si="125"/>
        <v>Section 4 - Create spring-boot starter microservice, containerize it and push to DockerHub</v>
      </c>
      <c r="F516" s="18" t="str">
        <f t="shared" si="126"/>
        <v/>
      </c>
      <c r="G516" s="13" t="str">
        <f t="shared" si="129"/>
        <v/>
      </c>
      <c r="H516">
        <f t="shared" si="130"/>
        <v>0</v>
      </c>
      <c r="I516">
        <f t="shared" si="131"/>
        <v>0</v>
      </c>
      <c r="J516" s="13">
        <f t="shared" si="132"/>
        <v>65</v>
      </c>
      <c r="K516">
        <f t="shared" si="121"/>
        <v>0</v>
      </c>
      <c r="L516">
        <f t="shared" si="122"/>
        <v>1</v>
      </c>
      <c r="M516" s="13">
        <f t="shared" si="133"/>
        <v>1</v>
      </c>
      <c r="N516">
        <f t="shared" si="133"/>
        <v>4</v>
      </c>
      <c r="O516" s="14">
        <f t="shared" si="123"/>
        <v>64</v>
      </c>
      <c r="P516" s="13">
        <f t="shared" si="127"/>
        <v>1</v>
      </c>
      <c r="Q516">
        <f t="shared" si="134"/>
        <v>4</v>
      </c>
      <c r="R516" s="14">
        <f t="shared" si="135"/>
        <v>64</v>
      </c>
      <c r="S516" s="15"/>
      <c r="W516" s="14"/>
    </row>
    <row r="517" spans="1:23" x14ac:dyDescent="0.25">
      <c r="A517" s="16"/>
      <c r="B517" s="17" t="b">
        <f t="shared" si="128"/>
        <v>0</v>
      </c>
      <c r="C517" s="17" t="b">
        <f t="shared" si="136"/>
        <v>0</v>
      </c>
      <c r="D517" s="17">
        <f t="shared" si="124"/>
        <v>1</v>
      </c>
      <c r="E517" s="17" t="str">
        <f t="shared" si="125"/>
        <v>Section 4 - Create spring-boot starter microservice, containerize it and push to DockerHub</v>
      </c>
      <c r="F517" s="18" t="str">
        <f t="shared" si="126"/>
        <v/>
      </c>
      <c r="G517" s="13" t="str">
        <f t="shared" si="129"/>
        <v/>
      </c>
      <c r="H517">
        <f t="shared" si="130"/>
        <v>0</v>
      </c>
      <c r="I517">
        <f t="shared" si="131"/>
        <v>0</v>
      </c>
      <c r="J517" s="13">
        <f t="shared" si="132"/>
        <v>65</v>
      </c>
      <c r="K517">
        <f t="shared" si="121"/>
        <v>0</v>
      </c>
      <c r="L517">
        <f t="shared" si="122"/>
        <v>1</v>
      </c>
      <c r="M517" s="13">
        <f t="shared" si="133"/>
        <v>1</v>
      </c>
      <c r="N517">
        <f t="shared" si="133"/>
        <v>4</v>
      </c>
      <c r="O517" s="14">
        <f t="shared" si="123"/>
        <v>64</v>
      </c>
      <c r="P517" s="13">
        <f t="shared" si="127"/>
        <v>1</v>
      </c>
      <c r="Q517">
        <f t="shared" si="134"/>
        <v>4</v>
      </c>
      <c r="R517" s="14">
        <f t="shared" si="135"/>
        <v>64</v>
      </c>
      <c r="S517" s="15"/>
      <c r="W517" s="14"/>
    </row>
    <row r="518" spans="1:23" x14ac:dyDescent="0.25">
      <c r="A518" s="16"/>
      <c r="B518" s="17" t="b">
        <f t="shared" si="128"/>
        <v>0</v>
      </c>
      <c r="C518" s="17" t="b">
        <f t="shared" si="136"/>
        <v>0</v>
      </c>
      <c r="D518" s="17">
        <f t="shared" si="124"/>
        <v>1</v>
      </c>
      <c r="E518" s="17" t="str">
        <f t="shared" si="125"/>
        <v>Section 4 - Create spring-boot starter microservice, containerize it and push to DockerHub</v>
      </c>
      <c r="F518" s="18" t="str">
        <f t="shared" si="126"/>
        <v/>
      </c>
      <c r="G518" s="13" t="str">
        <f t="shared" si="129"/>
        <v/>
      </c>
      <c r="H518">
        <f t="shared" si="130"/>
        <v>0</v>
      </c>
      <c r="I518">
        <f t="shared" si="131"/>
        <v>0</v>
      </c>
      <c r="J518" s="13">
        <f t="shared" si="132"/>
        <v>65</v>
      </c>
      <c r="K518">
        <f t="shared" si="121"/>
        <v>0</v>
      </c>
      <c r="L518">
        <f t="shared" si="122"/>
        <v>1</v>
      </c>
      <c r="M518" s="13">
        <f t="shared" si="133"/>
        <v>1</v>
      </c>
      <c r="N518">
        <f t="shared" si="133"/>
        <v>4</v>
      </c>
      <c r="O518" s="14">
        <f t="shared" si="123"/>
        <v>64</v>
      </c>
      <c r="P518" s="13">
        <f t="shared" si="127"/>
        <v>1</v>
      </c>
      <c r="Q518">
        <f t="shared" si="134"/>
        <v>4</v>
      </c>
      <c r="R518" s="14">
        <f t="shared" si="135"/>
        <v>64</v>
      </c>
      <c r="S518" s="15"/>
      <c r="W518" s="14"/>
    </row>
    <row r="519" spans="1:23" x14ac:dyDescent="0.25">
      <c r="A519" s="16"/>
      <c r="B519" s="17" t="b">
        <f t="shared" si="128"/>
        <v>0</v>
      </c>
      <c r="C519" s="17" t="b">
        <f t="shared" si="136"/>
        <v>0</v>
      </c>
      <c r="D519" s="17">
        <f t="shared" si="124"/>
        <v>1</v>
      </c>
      <c r="E519" s="17" t="str">
        <f t="shared" si="125"/>
        <v>Section 4 - Create spring-boot starter microservice, containerize it and push to DockerHub</v>
      </c>
      <c r="F519" s="18" t="str">
        <f t="shared" si="126"/>
        <v/>
      </c>
      <c r="G519" s="13" t="str">
        <f t="shared" si="129"/>
        <v/>
      </c>
      <c r="H519">
        <f t="shared" si="130"/>
        <v>0</v>
      </c>
      <c r="I519">
        <f t="shared" si="131"/>
        <v>0</v>
      </c>
      <c r="J519" s="13">
        <f t="shared" si="132"/>
        <v>65</v>
      </c>
      <c r="K519">
        <f t="shared" si="121"/>
        <v>0</v>
      </c>
      <c r="L519">
        <f t="shared" si="122"/>
        <v>1</v>
      </c>
      <c r="M519" s="13">
        <f t="shared" si="133"/>
        <v>1</v>
      </c>
      <c r="N519">
        <f t="shared" si="133"/>
        <v>4</v>
      </c>
      <c r="O519" s="14">
        <f t="shared" si="123"/>
        <v>64</v>
      </c>
      <c r="P519" s="13">
        <f t="shared" si="127"/>
        <v>1</v>
      </c>
      <c r="Q519">
        <f t="shared" si="134"/>
        <v>4</v>
      </c>
      <c r="R519" s="14">
        <f t="shared" si="135"/>
        <v>64</v>
      </c>
      <c r="S519" s="15"/>
      <c r="W519" s="14"/>
    </row>
    <row r="520" spans="1:23" x14ac:dyDescent="0.25">
      <c r="A520" s="16"/>
      <c r="B520" s="17" t="b">
        <f t="shared" si="128"/>
        <v>0</v>
      </c>
      <c r="C520" s="17" t="b">
        <f t="shared" si="136"/>
        <v>0</v>
      </c>
      <c r="D520" s="17">
        <f t="shared" si="124"/>
        <v>1</v>
      </c>
      <c r="E520" s="17" t="str">
        <f t="shared" si="125"/>
        <v>Section 4 - Create spring-boot starter microservice, containerize it and push to DockerHub</v>
      </c>
      <c r="F520" s="18" t="str">
        <f t="shared" si="126"/>
        <v/>
      </c>
      <c r="G520" s="13" t="str">
        <f t="shared" si="129"/>
        <v/>
      </c>
      <c r="H520">
        <f t="shared" si="130"/>
        <v>0</v>
      </c>
      <c r="I520">
        <f t="shared" si="131"/>
        <v>0</v>
      </c>
      <c r="J520" s="13">
        <f t="shared" si="132"/>
        <v>65</v>
      </c>
      <c r="K520">
        <f t="shared" si="121"/>
        <v>0</v>
      </c>
      <c r="L520">
        <f t="shared" si="122"/>
        <v>1</v>
      </c>
      <c r="M520" s="13">
        <f t="shared" si="133"/>
        <v>1</v>
      </c>
      <c r="N520">
        <f t="shared" si="133"/>
        <v>4</v>
      </c>
      <c r="O520" s="14">
        <f t="shared" si="123"/>
        <v>64</v>
      </c>
      <c r="P520" s="13">
        <f t="shared" si="127"/>
        <v>1</v>
      </c>
      <c r="Q520">
        <f t="shared" si="134"/>
        <v>4</v>
      </c>
      <c r="R520" s="14">
        <f t="shared" si="135"/>
        <v>64</v>
      </c>
      <c r="S520" s="15"/>
      <c r="W520" s="14"/>
    </row>
    <row r="521" spans="1:23" x14ac:dyDescent="0.25">
      <c r="A521" s="16"/>
      <c r="B521" s="17" t="b">
        <f t="shared" si="128"/>
        <v>0</v>
      </c>
      <c r="C521" s="17" t="b">
        <f t="shared" si="136"/>
        <v>0</v>
      </c>
      <c r="D521" s="17">
        <f t="shared" si="124"/>
        <v>1</v>
      </c>
      <c r="E521" s="17" t="str">
        <f t="shared" si="125"/>
        <v>Section 4 - Create spring-boot starter microservice, containerize it and push to DockerHub</v>
      </c>
      <c r="F521" s="18" t="str">
        <f t="shared" si="126"/>
        <v/>
      </c>
      <c r="G521" s="13" t="str">
        <f t="shared" si="129"/>
        <v/>
      </c>
      <c r="H521">
        <f t="shared" si="130"/>
        <v>0</v>
      </c>
      <c r="I521">
        <f t="shared" si="131"/>
        <v>0</v>
      </c>
      <c r="J521" s="13">
        <f t="shared" si="132"/>
        <v>65</v>
      </c>
      <c r="K521">
        <f t="shared" si="121"/>
        <v>0</v>
      </c>
      <c r="L521">
        <f t="shared" si="122"/>
        <v>1</v>
      </c>
      <c r="M521" s="13">
        <f t="shared" si="133"/>
        <v>1</v>
      </c>
      <c r="N521">
        <f t="shared" si="133"/>
        <v>4</v>
      </c>
      <c r="O521" s="14">
        <f t="shared" si="123"/>
        <v>64</v>
      </c>
      <c r="P521" s="13">
        <f t="shared" si="127"/>
        <v>1</v>
      </c>
      <c r="Q521">
        <f t="shared" si="134"/>
        <v>4</v>
      </c>
      <c r="R521" s="14">
        <f t="shared" si="135"/>
        <v>64</v>
      </c>
      <c r="S521" s="15"/>
      <c r="W521" s="14"/>
    </row>
    <row r="522" spans="1:23" x14ac:dyDescent="0.25">
      <c r="A522" s="16"/>
      <c r="B522" s="17" t="b">
        <f t="shared" si="128"/>
        <v>0</v>
      </c>
      <c r="C522" s="17" t="b">
        <f t="shared" si="136"/>
        <v>0</v>
      </c>
      <c r="D522" s="17">
        <f t="shared" si="124"/>
        <v>1</v>
      </c>
      <c r="E522" s="17" t="str">
        <f t="shared" si="125"/>
        <v>Section 4 - Create spring-boot starter microservice, containerize it and push to DockerHub</v>
      </c>
      <c r="F522" s="18" t="str">
        <f t="shared" si="126"/>
        <v/>
      </c>
      <c r="G522" s="13" t="str">
        <f t="shared" si="129"/>
        <v/>
      </c>
      <c r="H522">
        <f t="shared" si="130"/>
        <v>0</v>
      </c>
      <c r="I522">
        <f t="shared" si="131"/>
        <v>0</v>
      </c>
      <c r="J522" s="13">
        <f t="shared" si="132"/>
        <v>65</v>
      </c>
      <c r="K522">
        <f t="shared" ref="K522:K565" si="137">INT(J522/60/60)</f>
        <v>0</v>
      </c>
      <c r="L522">
        <f t="shared" ref="L522:L565" si="138">INT((J522-(K522*60*60))/60)</f>
        <v>1</v>
      </c>
      <c r="M522" s="13">
        <f t="shared" si="133"/>
        <v>1</v>
      </c>
      <c r="N522">
        <f t="shared" si="133"/>
        <v>4</v>
      </c>
      <c r="O522" s="14">
        <f t="shared" ref="O522:O565" si="139">((M522*60)+N522)</f>
        <v>64</v>
      </c>
      <c r="P522" s="13">
        <f t="shared" si="127"/>
        <v>1</v>
      </c>
      <c r="Q522">
        <f t="shared" si="134"/>
        <v>4</v>
      </c>
      <c r="R522" s="14">
        <f t="shared" si="135"/>
        <v>64</v>
      </c>
      <c r="S522" s="15"/>
      <c r="W522" s="14"/>
    </row>
    <row r="523" spans="1:23" x14ac:dyDescent="0.25">
      <c r="A523" s="16"/>
      <c r="B523" s="17" t="b">
        <f t="shared" si="128"/>
        <v>0</v>
      </c>
      <c r="C523" s="17" t="b">
        <f t="shared" si="136"/>
        <v>0</v>
      </c>
      <c r="D523" s="17">
        <f t="shared" ref="D523:D565" si="140">IF(B523,0,IF(C523,D522+1,D522))</f>
        <v>1</v>
      </c>
      <c r="E523" s="17" t="str">
        <f t="shared" ref="E523:E565" si="141">SUBSTITUTE(IF(B523,A523,E522),":"," -")</f>
        <v>Section 4 - Create spring-boot starter microservice, containerize it and push to DockerHub</v>
      </c>
      <c r="F523" s="18" t="str">
        <f t="shared" ref="F523:F565" si="142">IF(C523,A523,"")</f>
        <v/>
      </c>
      <c r="G523" s="13" t="str">
        <f t="shared" si="129"/>
        <v/>
      </c>
      <c r="H523">
        <f t="shared" si="130"/>
        <v>0</v>
      </c>
      <c r="I523">
        <f t="shared" si="131"/>
        <v>0</v>
      </c>
      <c r="J523" s="13">
        <f t="shared" si="132"/>
        <v>65</v>
      </c>
      <c r="K523">
        <f t="shared" si="137"/>
        <v>0</v>
      </c>
      <c r="L523">
        <f t="shared" si="138"/>
        <v>1</v>
      </c>
      <c r="M523" s="13">
        <f t="shared" si="133"/>
        <v>1</v>
      </c>
      <c r="N523">
        <f t="shared" si="133"/>
        <v>4</v>
      </c>
      <c r="O523" s="14">
        <f t="shared" si="139"/>
        <v>64</v>
      </c>
      <c r="P523" s="13">
        <f t="shared" ref="P523:P565" si="143">INT(R523/60)</f>
        <v>1</v>
      </c>
      <c r="Q523">
        <f t="shared" si="134"/>
        <v>4</v>
      </c>
      <c r="R523" s="14">
        <f t="shared" si="135"/>
        <v>64</v>
      </c>
      <c r="S523" s="15"/>
      <c r="W523" s="14"/>
    </row>
    <row r="524" spans="1:23" x14ac:dyDescent="0.25">
      <c r="A524" s="16"/>
      <c r="B524" s="17" t="b">
        <f t="shared" si="128"/>
        <v>0</v>
      </c>
      <c r="C524" s="17" t="b">
        <f t="shared" si="136"/>
        <v>0</v>
      </c>
      <c r="D524" s="17">
        <f t="shared" si="140"/>
        <v>1</v>
      </c>
      <c r="E524" s="17" t="str">
        <f t="shared" si="141"/>
        <v>Section 4 - Create spring-boot starter microservice, containerize it and push to DockerHub</v>
      </c>
      <c r="F524" s="18" t="str">
        <f t="shared" si="142"/>
        <v/>
      </c>
      <c r="G524" s="13" t="str">
        <f t="shared" si="129"/>
        <v/>
      </c>
      <c r="H524">
        <f t="shared" si="130"/>
        <v>0</v>
      </c>
      <c r="I524">
        <f t="shared" si="131"/>
        <v>0</v>
      </c>
      <c r="J524" s="13">
        <f t="shared" si="132"/>
        <v>65</v>
      </c>
      <c r="K524">
        <f t="shared" si="137"/>
        <v>0</v>
      </c>
      <c r="L524">
        <f t="shared" si="138"/>
        <v>1</v>
      </c>
      <c r="M524" s="13">
        <f t="shared" si="133"/>
        <v>1</v>
      </c>
      <c r="N524">
        <f t="shared" si="133"/>
        <v>4</v>
      </c>
      <c r="O524" s="14">
        <f t="shared" si="139"/>
        <v>64</v>
      </c>
      <c r="P524" s="13">
        <f t="shared" si="143"/>
        <v>1</v>
      </c>
      <c r="Q524">
        <f t="shared" si="134"/>
        <v>4</v>
      </c>
      <c r="R524" s="14">
        <f t="shared" si="135"/>
        <v>64</v>
      </c>
      <c r="S524" s="15"/>
      <c r="W524" s="14"/>
    </row>
    <row r="525" spans="1:23" x14ac:dyDescent="0.25">
      <c r="A525" s="16"/>
      <c r="B525" s="17" t="b">
        <f t="shared" si="128"/>
        <v>0</v>
      </c>
      <c r="C525" s="17" t="b">
        <f t="shared" si="136"/>
        <v>0</v>
      </c>
      <c r="D525" s="17">
        <f t="shared" si="140"/>
        <v>1</v>
      </c>
      <c r="E525" s="17" t="str">
        <f t="shared" si="141"/>
        <v>Section 4 - Create spring-boot starter microservice, containerize it and push to DockerHub</v>
      </c>
      <c r="F525" s="18" t="str">
        <f t="shared" si="142"/>
        <v/>
      </c>
      <c r="G525" s="13" t="str">
        <f t="shared" si="129"/>
        <v/>
      </c>
      <c r="H525">
        <f t="shared" si="130"/>
        <v>0</v>
      </c>
      <c r="I525">
        <f t="shared" si="131"/>
        <v>0</v>
      </c>
      <c r="J525" s="13">
        <f t="shared" si="132"/>
        <v>65</v>
      </c>
      <c r="K525">
        <f t="shared" si="137"/>
        <v>0</v>
      </c>
      <c r="L525">
        <f t="shared" si="138"/>
        <v>1</v>
      </c>
      <c r="M525" s="13">
        <f t="shared" si="133"/>
        <v>1</v>
      </c>
      <c r="N525">
        <f t="shared" si="133"/>
        <v>4</v>
      </c>
      <c r="O525" s="14">
        <f t="shared" si="139"/>
        <v>64</v>
      </c>
      <c r="P525" s="13">
        <f t="shared" si="143"/>
        <v>1</v>
      </c>
      <c r="Q525">
        <f t="shared" si="134"/>
        <v>4</v>
      </c>
      <c r="R525" s="14">
        <f t="shared" si="135"/>
        <v>64</v>
      </c>
      <c r="S525" s="15"/>
      <c r="W525" s="14"/>
    </row>
    <row r="526" spans="1:23" x14ac:dyDescent="0.25">
      <c r="A526" s="16"/>
      <c r="B526" s="17" t="b">
        <f t="shared" si="128"/>
        <v>0</v>
      </c>
      <c r="C526" s="17" t="b">
        <f t="shared" si="136"/>
        <v>0</v>
      </c>
      <c r="D526" s="17">
        <f t="shared" si="140"/>
        <v>1</v>
      </c>
      <c r="E526" s="17" t="str">
        <f t="shared" si="141"/>
        <v>Section 4 - Create spring-boot starter microservice, containerize it and push to DockerHub</v>
      </c>
      <c r="F526" s="18" t="str">
        <f t="shared" si="142"/>
        <v/>
      </c>
      <c r="G526" s="13" t="str">
        <f t="shared" si="129"/>
        <v/>
      </c>
      <c r="H526">
        <f t="shared" si="130"/>
        <v>0</v>
      </c>
      <c r="I526">
        <f t="shared" si="131"/>
        <v>0</v>
      </c>
      <c r="J526" s="13">
        <f t="shared" si="132"/>
        <v>65</v>
      </c>
      <c r="K526">
        <f t="shared" si="137"/>
        <v>0</v>
      </c>
      <c r="L526">
        <f t="shared" si="138"/>
        <v>1</v>
      </c>
      <c r="M526" s="13">
        <f t="shared" si="133"/>
        <v>1</v>
      </c>
      <c r="N526">
        <f t="shared" si="133"/>
        <v>4</v>
      </c>
      <c r="O526" s="14">
        <f t="shared" si="139"/>
        <v>64</v>
      </c>
      <c r="P526" s="13">
        <f t="shared" si="143"/>
        <v>1</v>
      </c>
      <c r="Q526">
        <f t="shared" si="134"/>
        <v>4</v>
      </c>
      <c r="R526" s="14">
        <f t="shared" si="135"/>
        <v>64</v>
      </c>
      <c r="S526" s="15"/>
      <c r="W526" s="14"/>
    </row>
    <row r="527" spans="1:23" x14ac:dyDescent="0.25">
      <c r="A527" s="16"/>
      <c r="B527" s="17" t="b">
        <f t="shared" si="128"/>
        <v>0</v>
      </c>
      <c r="C527" s="17" t="b">
        <f t="shared" si="136"/>
        <v>0</v>
      </c>
      <c r="D527" s="17">
        <f t="shared" si="140"/>
        <v>1</v>
      </c>
      <c r="E527" s="17" t="str">
        <f t="shared" si="141"/>
        <v>Section 4 - Create spring-boot starter microservice, containerize it and push to DockerHub</v>
      </c>
      <c r="F527" s="18" t="str">
        <f t="shared" si="142"/>
        <v/>
      </c>
      <c r="G527" s="13" t="str">
        <f t="shared" si="129"/>
        <v/>
      </c>
      <c r="H527">
        <f t="shared" si="130"/>
        <v>0</v>
      </c>
      <c r="I527">
        <f t="shared" si="131"/>
        <v>0</v>
      </c>
      <c r="J527" s="13">
        <f t="shared" si="132"/>
        <v>65</v>
      </c>
      <c r="K527">
        <f t="shared" si="137"/>
        <v>0</v>
      </c>
      <c r="L527">
        <f t="shared" si="138"/>
        <v>1</v>
      </c>
      <c r="M527" s="13">
        <f t="shared" si="133"/>
        <v>1</v>
      </c>
      <c r="N527">
        <f t="shared" si="133"/>
        <v>4</v>
      </c>
      <c r="O527" s="14">
        <f t="shared" si="139"/>
        <v>64</v>
      </c>
      <c r="P527" s="13">
        <f t="shared" si="143"/>
        <v>1</v>
      </c>
      <c r="Q527">
        <f t="shared" si="134"/>
        <v>4</v>
      </c>
      <c r="R527" s="14">
        <f t="shared" si="135"/>
        <v>64</v>
      </c>
      <c r="S527" s="15"/>
      <c r="W527" s="14"/>
    </row>
    <row r="528" spans="1:23" x14ac:dyDescent="0.25">
      <c r="A528" s="16"/>
      <c r="B528" s="17" t="b">
        <f t="shared" si="128"/>
        <v>0</v>
      </c>
      <c r="C528" s="17" t="b">
        <f t="shared" si="136"/>
        <v>0</v>
      </c>
      <c r="D528" s="17">
        <f t="shared" si="140"/>
        <v>1</v>
      </c>
      <c r="E528" s="17" t="str">
        <f t="shared" si="141"/>
        <v>Section 4 - Create spring-boot starter microservice, containerize it and push to DockerHub</v>
      </c>
      <c r="F528" s="18" t="str">
        <f t="shared" si="142"/>
        <v/>
      </c>
      <c r="G528" s="13" t="str">
        <f t="shared" si="129"/>
        <v/>
      </c>
      <c r="H528">
        <f t="shared" si="130"/>
        <v>0</v>
      </c>
      <c r="I528">
        <f t="shared" si="131"/>
        <v>0</v>
      </c>
      <c r="J528" s="13">
        <f t="shared" si="132"/>
        <v>65</v>
      </c>
      <c r="K528">
        <f t="shared" si="137"/>
        <v>0</v>
      </c>
      <c r="L528">
        <f t="shared" si="138"/>
        <v>1</v>
      </c>
      <c r="M528" s="13">
        <f t="shared" si="133"/>
        <v>1</v>
      </c>
      <c r="N528">
        <f t="shared" si="133"/>
        <v>4</v>
      </c>
      <c r="O528" s="14">
        <f t="shared" si="139"/>
        <v>64</v>
      </c>
      <c r="P528" s="13">
        <f t="shared" si="143"/>
        <v>1</v>
      </c>
      <c r="Q528">
        <f t="shared" si="134"/>
        <v>4</v>
      </c>
      <c r="R528" s="14">
        <f t="shared" si="135"/>
        <v>64</v>
      </c>
      <c r="S528" s="15"/>
      <c r="W528" s="14"/>
    </row>
    <row r="529" spans="1:23" x14ac:dyDescent="0.25">
      <c r="A529" s="16"/>
      <c r="B529" s="17" t="b">
        <f t="shared" si="128"/>
        <v>0</v>
      </c>
      <c r="C529" s="17" t="b">
        <f t="shared" si="136"/>
        <v>0</v>
      </c>
      <c r="D529" s="17">
        <f t="shared" si="140"/>
        <v>1</v>
      </c>
      <c r="E529" s="17" t="str">
        <f t="shared" si="141"/>
        <v>Section 4 - Create spring-boot starter microservice, containerize it and push to DockerHub</v>
      </c>
      <c r="F529" s="18" t="str">
        <f t="shared" si="142"/>
        <v/>
      </c>
      <c r="G529" s="13" t="str">
        <f t="shared" si="129"/>
        <v/>
      </c>
      <c r="H529">
        <f t="shared" si="130"/>
        <v>0</v>
      </c>
      <c r="I529">
        <f t="shared" si="131"/>
        <v>0</v>
      </c>
      <c r="J529" s="13">
        <f t="shared" si="132"/>
        <v>65</v>
      </c>
      <c r="K529">
        <f t="shared" si="137"/>
        <v>0</v>
      </c>
      <c r="L529">
        <f t="shared" si="138"/>
        <v>1</v>
      </c>
      <c r="M529" s="13">
        <f t="shared" si="133"/>
        <v>1</v>
      </c>
      <c r="N529">
        <f t="shared" si="133"/>
        <v>4</v>
      </c>
      <c r="O529" s="14">
        <f t="shared" si="139"/>
        <v>64</v>
      </c>
      <c r="P529" s="13">
        <f t="shared" si="143"/>
        <v>1</v>
      </c>
      <c r="Q529">
        <f t="shared" si="134"/>
        <v>4</v>
      </c>
      <c r="R529" s="14">
        <f t="shared" si="135"/>
        <v>64</v>
      </c>
      <c r="S529" s="15"/>
      <c r="W529" s="14"/>
    </row>
    <row r="530" spans="1:23" x14ac:dyDescent="0.25">
      <c r="A530" s="16"/>
      <c r="B530" s="17" t="b">
        <f t="shared" ref="B530:B565" si="144">AND(NOT(ISERROR(FIND("Section ",A530))),NOT(ISERROR(FIND("Section ",A530))))</f>
        <v>0</v>
      </c>
      <c r="C530" s="17" t="b">
        <f t="shared" si="136"/>
        <v>0</v>
      </c>
      <c r="D530" s="17">
        <f t="shared" si="140"/>
        <v>1</v>
      </c>
      <c r="E530" s="17" t="str">
        <f t="shared" si="141"/>
        <v>Section 4 - Create spring-boot starter microservice, containerize it and push to DockerHub</v>
      </c>
      <c r="F530" s="18" t="str">
        <f t="shared" si="142"/>
        <v/>
      </c>
      <c r="G530" s="13" t="str">
        <f t="shared" si="129"/>
        <v/>
      </c>
      <c r="H530">
        <f t="shared" si="130"/>
        <v>0</v>
      </c>
      <c r="I530">
        <f t="shared" si="131"/>
        <v>0</v>
      </c>
      <c r="J530" s="13">
        <f t="shared" si="132"/>
        <v>65</v>
      </c>
      <c r="K530">
        <f t="shared" si="137"/>
        <v>0</v>
      </c>
      <c r="L530">
        <f t="shared" si="138"/>
        <v>1</v>
      </c>
      <c r="M530" s="13">
        <f t="shared" si="133"/>
        <v>1</v>
      </c>
      <c r="N530">
        <f t="shared" si="133"/>
        <v>4</v>
      </c>
      <c r="O530" s="14">
        <f t="shared" si="139"/>
        <v>64</v>
      </c>
      <c r="P530" s="13">
        <f t="shared" si="143"/>
        <v>1</v>
      </c>
      <c r="Q530">
        <f t="shared" si="134"/>
        <v>4</v>
      </c>
      <c r="R530" s="14">
        <f t="shared" si="135"/>
        <v>64</v>
      </c>
      <c r="S530" s="15"/>
      <c r="W530" s="14"/>
    </row>
    <row r="531" spans="1:23" x14ac:dyDescent="0.25">
      <c r="A531" s="16"/>
      <c r="B531" s="17" t="b">
        <f t="shared" si="144"/>
        <v>0</v>
      </c>
      <c r="C531" s="17" t="b">
        <f t="shared" si="136"/>
        <v>0</v>
      </c>
      <c r="D531" s="17">
        <f t="shared" si="140"/>
        <v>1</v>
      </c>
      <c r="E531" s="17" t="str">
        <f t="shared" si="141"/>
        <v>Section 4 - Create spring-boot starter microservice, containerize it and push to DockerHub</v>
      </c>
      <c r="F531" s="18" t="str">
        <f t="shared" si="142"/>
        <v/>
      </c>
      <c r="G531" s="13" t="str">
        <f t="shared" si="129"/>
        <v/>
      </c>
      <c r="H531">
        <f t="shared" si="130"/>
        <v>0</v>
      </c>
      <c r="I531">
        <f t="shared" si="131"/>
        <v>0</v>
      </c>
      <c r="J531" s="13">
        <f t="shared" si="132"/>
        <v>65</v>
      </c>
      <c r="K531">
        <f t="shared" si="137"/>
        <v>0</v>
      </c>
      <c r="L531">
        <f t="shared" si="138"/>
        <v>1</v>
      </c>
      <c r="M531" s="13">
        <f t="shared" si="133"/>
        <v>1</v>
      </c>
      <c r="N531">
        <f t="shared" si="133"/>
        <v>4</v>
      </c>
      <c r="O531" s="14">
        <f t="shared" si="139"/>
        <v>64</v>
      </c>
      <c r="P531" s="13">
        <f t="shared" si="143"/>
        <v>1</v>
      </c>
      <c r="Q531">
        <f t="shared" si="134"/>
        <v>4</v>
      </c>
      <c r="R531" s="14">
        <f t="shared" si="135"/>
        <v>64</v>
      </c>
      <c r="S531" s="15"/>
      <c r="W531" s="14"/>
    </row>
    <row r="532" spans="1:23" x14ac:dyDescent="0.25">
      <c r="A532" s="16"/>
      <c r="B532" s="17" t="b">
        <f t="shared" si="144"/>
        <v>0</v>
      </c>
      <c r="C532" s="17" t="b">
        <f t="shared" si="136"/>
        <v>0</v>
      </c>
      <c r="D532" s="17">
        <f t="shared" si="140"/>
        <v>1</v>
      </c>
      <c r="E532" s="17" t="str">
        <f t="shared" si="141"/>
        <v>Section 4 - Create spring-boot starter microservice, containerize it and push to DockerHub</v>
      </c>
      <c r="F532" s="18" t="str">
        <f t="shared" si="142"/>
        <v/>
      </c>
      <c r="G532" s="13" t="str">
        <f t="shared" si="129"/>
        <v/>
      </c>
      <c r="H532">
        <f t="shared" si="130"/>
        <v>0</v>
      </c>
      <c r="I532">
        <f t="shared" si="131"/>
        <v>0</v>
      </c>
      <c r="J532" s="13">
        <f t="shared" si="132"/>
        <v>65</v>
      </c>
      <c r="K532">
        <f t="shared" si="137"/>
        <v>0</v>
      </c>
      <c r="L532">
        <f t="shared" si="138"/>
        <v>1</v>
      </c>
      <c r="M532" s="13">
        <f t="shared" si="133"/>
        <v>1</v>
      </c>
      <c r="N532">
        <f t="shared" si="133"/>
        <v>4</v>
      </c>
      <c r="O532" s="14">
        <f t="shared" si="139"/>
        <v>64</v>
      </c>
      <c r="P532" s="13">
        <f t="shared" si="143"/>
        <v>1</v>
      </c>
      <c r="Q532">
        <f t="shared" si="134"/>
        <v>4</v>
      </c>
      <c r="R532" s="14">
        <f t="shared" si="135"/>
        <v>64</v>
      </c>
      <c r="S532" s="15"/>
      <c r="W532" s="14"/>
    </row>
    <row r="533" spans="1:23" x14ac:dyDescent="0.25">
      <c r="A533" s="16"/>
      <c r="B533" s="17" t="b">
        <f t="shared" si="144"/>
        <v>0</v>
      </c>
      <c r="C533" s="17" t="b">
        <f t="shared" si="136"/>
        <v>0</v>
      </c>
      <c r="D533" s="17">
        <f t="shared" si="140"/>
        <v>1</v>
      </c>
      <c r="E533" s="17" t="str">
        <f t="shared" si="141"/>
        <v>Section 4 - Create spring-boot starter microservice, containerize it and push to DockerHub</v>
      </c>
      <c r="F533" s="18" t="str">
        <f t="shared" si="142"/>
        <v/>
      </c>
      <c r="G533" s="13" t="str">
        <f t="shared" ref="G533:G565" si="145">IF(C533,A534,"")</f>
        <v/>
      </c>
      <c r="H533">
        <f t="shared" ref="H533:H565" si="146">VALUE(IF(NOT(ISERROR(FIND("hr",G533))),LEFT(G533,FIND("hr",G533)-1),0))</f>
        <v>0</v>
      </c>
      <c r="I533">
        <f t="shared" ref="I533:I565" si="147">VALUE(IF(ISERROR(FIND("min",G533)),0,SUBSTITUTE(MID(G533,IF(ISERROR(FIND("hr ",G533)),1,FIND("hr ",G533)+3),LEN(G533)),"min","")))</f>
        <v>0</v>
      </c>
      <c r="J533" s="13">
        <f t="shared" ref="J533:J565" si="148">J532+(H533*60+I533)</f>
        <v>65</v>
      </c>
      <c r="K533">
        <f t="shared" si="137"/>
        <v>0</v>
      </c>
      <c r="L533">
        <f t="shared" si="138"/>
        <v>1</v>
      </c>
      <c r="M533" s="13">
        <f t="shared" ref="M533:N565" si="149">P532</f>
        <v>1</v>
      </c>
      <c r="N533">
        <f t="shared" si="149"/>
        <v>4</v>
      </c>
      <c r="O533" s="14">
        <f t="shared" si="139"/>
        <v>64</v>
      </c>
      <c r="P533" s="13">
        <f t="shared" si="143"/>
        <v>1</v>
      </c>
      <c r="Q533">
        <f t="shared" ref="Q533:Q565" si="150">R533-(P533*60)</f>
        <v>4</v>
      </c>
      <c r="R533" s="14">
        <f t="shared" ref="R533:R565" si="151">((H533*60)+I533)+O533</f>
        <v>64</v>
      </c>
      <c r="S533" s="15"/>
      <c r="W533" s="14"/>
    </row>
    <row r="534" spans="1:23" x14ac:dyDescent="0.25">
      <c r="A534" s="16"/>
      <c r="B534" s="17" t="b">
        <f t="shared" si="144"/>
        <v>0</v>
      </c>
      <c r="C534" s="17" t="b">
        <f t="shared" si="136"/>
        <v>0</v>
      </c>
      <c r="D534" s="17">
        <f t="shared" si="140"/>
        <v>1</v>
      </c>
      <c r="E534" s="17" t="str">
        <f t="shared" si="141"/>
        <v>Section 4 - Create spring-boot starter microservice, containerize it and push to DockerHub</v>
      </c>
      <c r="F534" s="18" t="str">
        <f t="shared" si="142"/>
        <v/>
      </c>
      <c r="G534" s="13" t="str">
        <f t="shared" si="145"/>
        <v/>
      </c>
      <c r="H534">
        <f t="shared" si="146"/>
        <v>0</v>
      </c>
      <c r="I534">
        <f t="shared" si="147"/>
        <v>0</v>
      </c>
      <c r="J534" s="13">
        <f t="shared" si="148"/>
        <v>65</v>
      </c>
      <c r="K534">
        <f t="shared" si="137"/>
        <v>0</v>
      </c>
      <c r="L534">
        <f t="shared" si="138"/>
        <v>1</v>
      </c>
      <c r="M534" s="13">
        <f t="shared" si="149"/>
        <v>1</v>
      </c>
      <c r="N534">
        <f t="shared" si="149"/>
        <v>4</v>
      </c>
      <c r="O534" s="14">
        <f t="shared" si="139"/>
        <v>64</v>
      </c>
      <c r="P534" s="13">
        <f t="shared" si="143"/>
        <v>1</v>
      </c>
      <c r="Q534">
        <f t="shared" si="150"/>
        <v>4</v>
      </c>
      <c r="R534" s="14">
        <f t="shared" si="151"/>
        <v>64</v>
      </c>
      <c r="S534" s="15"/>
      <c r="W534" s="14"/>
    </row>
    <row r="535" spans="1:23" x14ac:dyDescent="0.25">
      <c r="A535" s="16"/>
      <c r="B535" s="17" t="b">
        <f t="shared" si="144"/>
        <v>0</v>
      </c>
      <c r="C535" s="17" t="b">
        <f t="shared" si="136"/>
        <v>0</v>
      </c>
      <c r="D535" s="17">
        <f t="shared" si="140"/>
        <v>1</v>
      </c>
      <c r="E535" s="17" t="str">
        <f t="shared" si="141"/>
        <v>Section 4 - Create spring-boot starter microservice, containerize it and push to DockerHub</v>
      </c>
      <c r="F535" s="18" t="str">
        <f t="shared" si="142"/>
        <v/>
      </c>
      <c r="G535" s="13" t="str">
        <f t="shared" si="145"/>
        <v/>
      </c>
      <c r="H535">
        <f t="shared" si="146"/>
        <v>0</v>
      </c>
      <c r="I535">
        <f t="shared" si="147"/>
        <v>0</v>
      </c>
      <c r="J535" s="13">
        <f t="shared" si="148"/>
        <v>65</v>
      </c>
      <c r="K535">
        <f t="shared" si="137"/>
        <v>0</v>
      </c>
      <c r="L535">
        <f t="shared" si="138"/>
        <v>1</v>
      </c>
      <c r="M535" s="13">
        <f t="shared" si="149"/>
        <v>1</v>
      </c>
      <c r="N535">
        <f t="shared" si="149"/>
        <v>4</v>
      </c>
      <c r="O535" s="14">
        <f t="shared" si="139"/>
        <v>64</v>
      </c>
      <c r="P535" s="13">
        <f t="shared" si="143"/>
        <v>1</v>
      </c>
      <c r="Q535">
        <f t="shared" si="150"/>
        <v>4</v>
      </c>
      <c r="R535" s="14">
        <f t="shared" si="151"/>
        <v>64</v>
      </c>
      <c r="S535" s="15"/>
      <c r="W535" s="14"/>
    </row>
    <row r="536" spans="1:23" x14ac:dyDescent="0.25">
      <c r="A536" s="16"/>
      <c r="B536" s="17" t="b">
        <f t="shared" si="144"/>
        <v>0</v>
      </c>
      <c r="C536" s="17" t="b">
        <f t="shared" si="136"/>
        <v>0</v>
      </c>
      <c r="D536" s="17">
        <f t="shared" si="140"/>
        <v>1</v>
      </c>
      <c r="E536" s="17" t="str">
        <f t="shared" si="141"/>
        <v>Section 4 - Create spring-boot starter microservice, containerize it and push to DockerHub</v>
      </c>
      <c r="F536" s="18" t="str">
        <f t="shared" si="142"/>
        <v/>
      </c>
      <c r="G536" s="13" t="str">
        <f t="shared" si="145"/>
        <v/>
      </c>
      <c r="H536">
        <f t="shared" si="146"/>
        <v>0</v>
      </c>
      <c r="I536">
        <f t="shared" si="147"/>
        <v>0</v>
      </c>
      <c r="J536" s="13">
        <f t="shared" si="148"/>
        <v>65</v>
      </c>
      <c r="K536">
        <f t="shared" si="137"/>
        <v>0</v>
      </c>
      <c r="L536">
        <f t="shared" si="138"/>
        <v>1</v>
      </c>
      <c r="M536" s="13">
        <f t="shared" si="149"/>
        <v>1</v>
      </c>
      <c r="N536">
        <f t="shared" si="149"/>
        <v>4</v>
      </c>
      <c r="O536" s="14">
        <f t="shared" si="139"/>
        <v>64</v>
      </c>
      <c r="P536" s="13">
        <f t="shared" si="143"/>
        <v>1</v>
      </c>
      <c r="Q536">
        <f t="shared" si="150"/>
        <v>4</v>
      </c>
      <c r="R536" s="14">
        <f t="shared" si="151"/>
        <v>64</v>
      </c>
      <c r="S536" s="15"/>
      <c r="W536" s="14"/>
    </row>
    <row r="537" spans="1:23" x14ac:dyDescent="0.25">
      <c r="A537" s="16"/>
      <c r="B537" s="17" t="b">
        <f t="shared" si="144"/>
        <v>0</v>
      </c>
      <c r="C537" s="17" t="b">
        <f t="shared" si="136"/>
        <v>0</v>
      </c>
      <c r="D537" s="17">
        <f t="shared" si="140"/>
        <v>1</v>
      </c>
      <c r="E537" s="17" t="str">
        <f t="shared" si="141"/>
        <v>Section 4 - Create spring-boot starter microservice, containerize it and push to DockerHub</v>
      </c>
      <c r="F537" s="18" t="str">
        <f t="shared" si="142"/>
        <v/>
      </c>
      <c r="G537" s="13" t="str">
        <f t="shared" si="145"/>
        <v/>
      </c>
      <c r="H537">
        <f t="shared" si="146"/>
        <v>0</v>
      </c>
      <c r="I537">
        <f t="shared" si="147"/>
        <v>0</v>
      </c>
      <c r="J537" s="13">
        <f t="shared" si="148"/>
        <v>65</v>
      </c>
      <c r="K537">
        <f t="shared" si="137"/>
        <v>0</v>
      </c>
      <c r="L537">
        <f t="shared" si="138"/>
        <v>1</v>
      </c>
      <c r="M537" s="13">
        <f t="shared" si="149"/>
        <v>1</v>
      </c>
      <c r="N537">
        <f t="shared" si="149"/>
        <v>4</v>
      </c>
      <c r="O537" s="14">
        <f t="shared" si="139"/>
        <v>64</v>
      </c>
      <c r="P537" s="13">
        <f t="shared" si="143"/>
        <v>1</v>
      </c>
      <c r="Q537">
        <f t="shared" si="150"/>
        <v>4</v>
      </c>
      <c r="R537" s="14">
        <f t="shared" si="151"/>
        <v>64</v>
      </c>
      <c r="S537" s="15"/>
      <c r="W537" s="14"/>
    </row>
    <row r="538" spans="1:23" x14ac:dyDescent="0.25">
      <c r="A538" s="16"/>
      <c r="B538" s="17" t="b">
        <f t="shared" si="144"/>
        <v>0</v>
      </c>
      <c r="C538" s="17" t="b">
        <f t="shared" si="136"/>
        <v>0</v>
      </c>
      <c r="D538" s="17">
        <f t="shared" si="140"/>
        <v>1</v>
      </c>
      <c r="E538" s="17" t="str">
        <f t="shared" si="141"/>
        <v>Section 4 - Create spring-boot starter microservice, containerize it and push to DockerHub</v>
      </c>
      <c r="F538" s="18" t="str">
        <f t="shared" si="142"/>
        <v/>
      </c>
      <c r="G538" s="13" t="str">
        <f t="shared" si="145"/>
        <v/>
      </c>
      <c r="H538">
        <f t="shared" si="146"/>
        <v>0</v>
      </c>
      <c r="I538">
        <f t="shared" si="147"/>
        <v>0</v>
      </c>
      <c r="J538" s="13">
        <f t="shared" si="148"/>
        <v>65</v>
      </c>
      <c r="K538">
        <f t="shared" si="137"/>
        <v>0</v>
      </c>
      <c r="L538">
        <f t="shared" si="138"/>
        <v>1</v>
      </c>
      <c r="M538" s="13">
        <f t="shared" si="149"/>
        <v>1</v>
      </c>
      <c r="N538">
        <f t="shared" si="149"/>
        <v>4</v>
      </c>
      <c r="O538" s="14">
        <f t="shared" si="139"/>
        <v>64</v>
      </c>
      <c r="P538" s="13">
        <f t="shared" si="143"/>
        <v>1</v>
      </c>
      <c r="Q538">
        <f t="shared" si="150"/>
        <v>4</v>
      </c>
      <c r="R538" s="14">
        <f t="shared" si="151"/>
        <v>64</v>
      </c>
      <c r="S538" s="15"/>
      <c r="W538" s="14"/>
    </row>
    <row r="539" spans="1:23" x14ac:dyDescent="0.25">
      <c r="A539" s="16"/>
      <c r="B539" s="17" t="b">
        <f t="shared" si="144"/>
        <v>0</v>
      </c>
      <c r="C539" s="17" t="b">
        <f t="shared" si="136"/>
        <v>0</v>
      </c>
      <c r="D539" s="17">
        <f t="shared" si="140"/>
        <v>1</v>
      </c>
      <c r="E539" s="17" t="str">
        <f t="shared" si="141"/>
        <v>Section 4 - Create spring-boot starter microservice, containerize it and push to DockerHub</v>
      </c>
      <c r="F539" s="18" t="str">
        <f t="shared" si="142"/>
        <v/>
      </c>
      <c r="G539" s="13" t="str">
        <f t="shared" si="145"/>
        <v/>
      </c>
      <c r="H539">
        <f t="shared" si="146"/>
        <v>0</v>
      </c>
      <c r="I539">
        <f t="shared" si="147"/>
        <v>0</v>
      </c>
      <c r="J539" s="13">
        <f t="shared" si="148"/>
        <v>65</v>
      </c>
      <c r="K539">
        <f t="shared" si="137"/>
        <v>0</v>
      </c>
      <c r="L539">
        <f t="shared" si="138"/>
        <v>1</v>
      </c>
      <c r="M539" s="13">
        <f t="shared" si="149"/>
        <v>1</v>
      </c>
      <c r="N539">
        <f t="shared" si="149"/>
        <v>4</v>
      </c>
      <c r="O539" s="14">
        <f t="shared" si="139"/>
        <v>64</v>
      </c>
      <c r="P539" s="13">
        <f t="shared" si="143"/>
        <v>1</v>
      </c>
      <c r="Q539">
        <f t="shared" si="150"/>
        <v>4</v>
      </c>
      <c r="R539" s="14">
        <f t="shared" si="151"/>
        <v>64</v>
      </c>
      <c r="S539" s="15"/>
      <c r="W539" s="14"/>
    </row>
    <row r="540" spans="1:23" x14ac:dyDescent="0.25">
      <c r="A540" s="16"/>
      <c r="B540" s="17" t="b">
        <f t="shared" si="144"/>
        <v>0</v>
      </c>
      <c r="C540" s="17" t="b">
        <f t="shared" si="136"/>
        <v>0</v>
      </c>
      <c r="D540" s="17">
        <f t="shared" si="140"/>
        <v>1</v>
      </c>
      <c r="E540" s="17" t="str">
        <f t="shared" si="141"/>
        <v>Section 4 - Create spring-boot starter microservice, containerize it and push to DockerHub</v>
      </c>
      <c r="F540" s="18" t="str">
        <f t="shared" si="142"/>
        <v/>
      </c>
      <c r="G540" s="13" t="str">
        <f t="shared" si="145"/>
        <v/>
      </c>
      <c r="H540">
        <f t="shared" si="146"/>
        <v>0</v>
      </c>
      <c r="I540">
        <f t="shared" si="147"/>
        <v>0</v>
      </c>
      <c r="J540" s="13">
        <f t="shared" si="148"/>
        <v>65</v>
      </c>
      <c r="K540">
        <f t="shared" si="137"/>
        <v>0</v>
      </c>
      <c r="L540">
        <f t="shared" si="138"/>
        <v>1</v>
      </c>
      <c r="M540" s="13">
        <f t="shared" si="149"/>
        <v>1</v>
      </c>
      <c r="N540">
        <f t="shared" si="149"/>
        <v>4</v>
      </c>
      <c r="O540" s="14">
        <f t="shared" si="139"/>
        <v>64</v>
      </c>
      <c r="P540" s="13">
        <f t="shared" si="143"/>
        <v>1</v>
      </c>
      <c r="Q540">
        <f t="shared" si="150"/>
        <v>4</v>
      </c>
      <c r="R540" s="14">
        <f t="shared" si="151"/>
        <v>64</v>
      </c>
      <c r="S540" s="15"/>
      <c r="W540" s="14"/>
    </row>
    <row r="541" spans="1:23" x14ac:dyDescent="0.25">
      <c r="A541" s="16"/>
      <c r="B541" s="17" t="b">
        <f t="shared" si="144"/>
        <v>0</v>
      </c>
      <c r="C541" s="17" t="b">
        <f t="shared" si="136"/>
        <v>0</v>
      </c>
      <c r="D541" s="17">
        <f t="shared" si="140"/>
        <v>1</v>
      </c>
      <c r="E541" s="17" t="str">
        <f t="shared" si="141"/>
        <v>Section 4 - Create spring-boot starter microservice, containerize it and push to DockerHub</v>
      </c>
      <c r="F541" s="18" t="str">
        <f t="shared" si="142"/>
        <v/>
      </c>
      <c r="G541" s="13" t="str">
        <f t="shared" si="145"/>
        <v/>
      </c>
      <c r="H541">
        <f t="shared" si="146"/>
        <v>0</v>
      </c>
      <c r="I541">
        <f t="shared" si="147"/>
        <v>0</v>
      </c>
      <c r="J541" s="13">
        <f t="shared" si="148"/>
        <v>65</v>
      </c>
      <c r="K541">
        <f t="shared" si="137"/>
        <v>0</v>
      </c>
      <c r="L541">
        <f t="shared" si="138"/>
        <v>1</v>
      </c>
      <c r="M541" s="13">
        <f t="shared" si="149"/>
        <v>1</v>
      </c>
      <c r="N541">
        <f t="shared" si="149"/>
        <v>4</v>
      </c>
      <c r="O541" s="14">
        <f t="shared" si="139"/>
        <v>64</v>
      </c>
      <c r="P541" s="13">
        <f t="shared" si="143"/>
        <v>1</v>
      </c>
      <c r="Q541">
        <f t="shared" si="150"/>
        <v>4</v>
      </c>
      <c r="R541" s="14">
        <f t="shared" si="151"/>
        <v>64</v>
      </c>
      <c r="S541" s="15"/>
      <c r="W541" s="14"/>
    </row>
    <row r="542" spans="1:23" x14ac:dyDescent="0.25">
      <c r="A542" s="16"/>
      <c r="B542" s="17" t="b">
        <f t="shared" si="144"/>
        <v>0</v>
      </c>
      <c r="C542" s="17" t="b">
        <f t="shared" si="136"/>
        <v>0</v>
      </c>
      <c r="D542" s="17">
        <f t="shared" si="140"/>
        <v>1</v>
      </c>
      <c r="E542" s="17" t="str">
        <f t="shared" si="141"/>
        <v>Section 4 - Create spring-boot starter microservice, containerize it and push to DockerHub</v>
      </c>
      <c r="F542" s="18" t="str">
        <f t="shared" si="142"/>
        <v/>
      </c>
      <c r="G542" s="13" t="str">
        <f t="shared" si="145"/>
        <v/>
      </c>
      <c r="H542">
        <f t="shared" si="146"/>
        <v>0</v>
      </c>
      <c r="I542">
        <f t="shared" si="147"/>
        <v>0</v>
      </c>
      <c r="J542" s="13">
        <f t="shared" si="148"/>
        <v>65</v>
      </c>
      <c r="K542">
        <f t="shared" si="137"/>
        <v>0</v>
      </c>
      <c r="L542">
        <f t="shared" si="138"/>
        <v>1</v>
      </c>
      <c r="M542" s="13">
        <f t="shared" si="149"/>
        <v>1</v>
      </c>
      <c r="N542">
        <f t="shared" si="149"/>
        <v>4</v>
      </c>
      <c r="O542" s="14">
        <f t="shared" si="139"/>
        <v>64</v>
      </c>
      <c r="P542" s="13">
        <f t="shared" si="143"/>
        <v>1</v>
      </c>
      <c r="Q542">
        <f t="shared" si="150"/>
        <v>4</v>
      </c>
      <c r="R542" s="14">
        <f t="shared" si="151"/>
        <v>64</v>
      </c>
      <c r="S542" s="15"/>
      <c r="W542" s="14"/>
    </row>
    <row r="543" spans="1:23" x14ac:dyDescent="0.25">
      <c r="A543" s="16"/>
      <c r="B543" s="17" t="b">
        <f t="shared" si="144"/>
        <v>0</v>
      </c>
      <c r="C543" s="17" t="b">
        <f t="shared" si="136"/>
        <v>0</v>
      </c>
      <c r="D543" s="17">
        <f t="shared" si="140"/>
        <v>1</v>
      </c>
      <c r="E543" s="17" t="str">
        <f t="shared" si="141"/>
        <v>Section 4 - Create spring-boot starter microservice, containerize it and push to DockerHub</v>
      </c>
      <c r="F543" s="18" t="str">
        <f t="shared" si="142"/>
        <v/>
      </c>
      <c r="G543" s="13" t="str">
        <f t="shared" si="145"/>
        <v/>
      </c>
      <c r="H543">
        <f t="shared" si="146"/>
        <v>0</v>
      </c>
      <c r="I543">
        <f t="shared" si="147"/>
        <v>0</v>
      </c>
      <c r="J543" s="13">
        <f t="shared" si="148"/>
        <v>65</v>
      </c>
      <c r="K543">
        <f t="shared" si="137"/>
        <v>0</v>
      </c>
      <c r="L543">
        <f t="shared" si="138"/>
        <v>1</v>
      </c>
      <c r="M543" s="13">
        <f t="shared" si="149"/>
        <v>1</v>
      </c>
      <c r="N543">
        <f t="shared" si="149"/>
        <v>4</v>
      </c>
      <c r="O543" s="14">
        <f t="shared" si="139"/>
        <v>64</v>
      </c>
      <c r="P543" s="13">
        <f t="shared" si="143"/>
        <v>1</v>
      </c>
      <c r="Q543">
        <f t="shared" si="150"/>
        <v>4</v>
      </c>
      <c r="R543" s="14">
        <f t="shared" si="151"/>
        <v>64</v>
      </c>
      <c r="S543" s="15"/>
      <c r="W543" s="14"/>
    </row>
    <row r="544" spans="1:23" x14ac:dyDescent="0.25">
      <c r="A544" s="16"/>
      <c r="B544" s="17" t="b">
        <f t="shared" si="144"/>
        <v>0</v>
      </c>
      <c r="C544" s="17" t="b">
        <f t="shared" si="136"/>
        <v>0</v>
      </c>
      <c r="D544" s="17">
        <f t="shared" si="140"/>
        <v>1</v>
      </c>
      <c r="E544" s="17" t="str">
        <f t="shared" si="141"/>
        <v>Section 4 - Create spring-boot starter microservice, containerize it and push to DockerHub</v>
      </c>
      <c r="F544" s="18" t="str">
        <f t="shared" si="142"/>
        <v/>
      </c>
      <c r="G544" s="13" t="str">
        <f t="shared" si="145"/>
        <v/>
      </c>
      <c r="H544">
        <f t="shared" si="146"/>
        <v>0</v>
      </c>
      <c r="I544">
        <f t="shared" si="147"/>
        <v>0</v>
      </c>
      <c r="J544" s="13">
        <f t="shared" si="148"/>
        <v>65</v>
      </c>
      <c r="K544">
        <f t="shared" si="137"/>
        <v>0</v>
      </c>
      <c r="L544">
        <f t="shared" si="138"/>
        <v>1</v>
      </c>
      <c r="M544" s="13">
        <f t="shared" si="149"/>
        <v>1</v>
      </c>
      <c r="N544">
        <f t="shared" si="149"/>
        <v>4</v>
      </c>
      <c r="O544" s="14">
        <f t="shared" si="139"/>
        <v>64</v>
      </c>
      <c r="P544" s="13">
        <f t="shared" si="143"/>
        <v>1</v>
      </c>
      <c r="Q544">
        <f t="shared" si="150"/>
        <v>4</v>
      </c>
      <c r="R544" s="14">
        <f t="shared" si="151"/>
        <v>64</v>
      </c>
      <c r="S544" s="15"/>
      <c r="W544" s="14"/>
    </row>
    <row r="545" spans="1:23" x14ac:dyDescent="0.25">
      <c r="A545" s="16"/>
      <c r="B545" s="17" t="b">
        <f t="shared" si="144"/>
        <v>0</v>
      </c>
      <c r="C545" s="17" t="b">
        <f t="shared" si="136"/>
        <v>0</v>
      </c>
      <c r="D545" s="17">
        <f t="shared" si="140"/>
        <v>1</v>
      </c>
      <c r="E545" s="17" t="str">
        <f t="shared" si="141"/>
        <v>Section 4 - Create spring-boot starter microservice, containerize it and push to DockerHub</v>
      </c>
      <c r="F545" s="18" t="str">
        <f t="shared" si="142"/>
        <v/>
      </c>
      <c r="G545" s="13" t="str">
        <f t="shared" si="145"/>
        <v/>
      </c>
      <c r="H545">
        <f t="shared" si="146"/>
        <v>0</v>
      </c>
      <c r="I545">
        <f t="shared" si="147"/>
        <v>0</v>
      </c>
      <c r="J545" s="13">
        <f t="shared" si="148"/>
        <v>65</v>
      </c>
      <c r="K545">
        <f t="shared" si="137"/>
        <v>0</v>
      </c>
      <c r="L545">
        <f t="shared" si="138"/>
        <v>1</v>
      </c>
      <c r="M545" s="13">
        <f t="shared" si="149"/>
        <v>1</v>
      </c>
      <c r="N545">
        <f t="shared" si="149"/>
        <v>4</v>
      </c>
      <c r="O545" s="14">
        <f t="shared" si="139"/>
        <v>64</v>
      </c>
      <c r="P545" s="13">
        <f t="shared" si="143"/>
        <v>1</v>
      </c>
      <c r="Q545">
        <f t="shared" si="150"/>
        <v>4</v>
      </c>
      <c r="R545" s="14">
        <f t="shared" si="151"/>
        <v>64</v>
      </c>
      <c r="S545" s="15"/>
      <c r="W545" s="14"/>
    </row>
    <row r="546" spans="1:23" x14ac:dyDescent="0.25">
      <c r="A546" s="16"/>
      <c r="B546" s="17" t="b">
        <f t="shared" si="144"/>
        <v>0</v>
      </c>
      <c r="C546" s="17" t="b">
        <f t="shared" si="136"/>
        <v>0</v>
      </c>
      <c r="D546" s="17">
        <f t="shared" si="140"/>
        <v>1</v>
      </c>
      <c r="E546" s="17" t="str">
        <f t="shared" si="141"/>
        <v>Section 4 - Create spring-boot starter microservice, containerize it and push to DockerHub</v>
      </c>
      <c r="F546" s="18" t="str">
        <f t="shared" si="142"/>
        <v/>
      </c>
      <c r="G546" s="13" t="str">
        <f t="shared" si="145"/>
        <v/>
      </c>
      <c r="H546">
        <f t="shared" si="146"/>
        <v>0</v>
      </c>
      <c r="I546">
        <f t="shared" si="147"/>
        <v>0</v>
      </c>
      <c r="J546" s="13">
        <f t="shared" si="148"/>
        <v>65</v>
      </c>
      <c r="K546">
        <f t="shared" si="137"/>
        <v>0</v>
      </c>
      <c r="L546">
        <f t="shared" si="138"/>
        <v>1</v>
      </c>
      <c r="M546" s="13">
        <f t="shared" si="149"/>
        <v>1</v>
      </c>
      <c r="N546">
        <f t="shared" si="149"/>
        <v>4</v>
      </c>
      <c r="O546" s="14">
        <f t="shared" si="139"/>
        <v>64</v>
      </c>
      <c r="P546" s="13">
        <f t="shared" si="143"/>
        <v>1</v>
      </c>
      <c r="Q546">
        <f t="shared" si="150"/>
        <v>4</v>
      </c>
      <c r="R546" s="14">
        <f t="shared" si="151"/>
        <v>64</v>
      </c>
      <c r="S546" s="15"/>
      <c r="W546" s="14"/>
    </row>
    <row r="547" spans="1:23" x14ac:dyDescent="0.25">
      <c r="A547" s="16"/>
      <c r="B547" s="17" t="b">
        <f t="shared" si="144"/>
        <v>0</v>
      </c>
      <c r="C547" s="17" t="b">
        <f t="shared" si="136"/>
        <v>0</v>
      </c>
      <c r="D547" s="17">
        <f t="shared" si="140"/>
        <v>1</v>
      </c>
      <c r="E547" s="17" t="str">
        <f t="shared" si="141"/>
        <v>Section 4 - Create spring-boot starter microservice, containerize it and push to DockerHub</v>
      </c>
      <c r="F547" s="18" t="str">
        <f t="shared" si="142"/>
        <v/>
      </c>
      <c r="G547" s="13" t="str">
        <f t="shared" si="145"/>
        <v/>
      </c>
      <c r="H547">
        <f t="shared" si="146"/>
        <v>0</v>
      </c>
      <c r="I547">
        <f t="shared" si="147"/>
        <v>0</v>
      </c>
      <c r="J547" s="13">
        <f t="shared" si="148"/>
        <v>65</v>
      </c>
      <c r="K547">
        <f t="shared" si="137"/>
        <v>0</v>
      </c>
      <c r="L547">
        <f t="shared" si="138"/>
        <v>1</v>
      </c>
      <c r="M547" s="13">
        <f t="shared" si="149"/>
        <v>1</v>
      </c>
      <c r="N547">
        <f t="shared" si="149"/>
        <v>4</v>
      </c>
      <c r="O547" s="14">
        <f t="shared" si="139"/>
        <v>64</v>
      </c>
      <c r="P547" s="13">
        <f t="shared" si="143"/>
        <v>1</v>
      </c>
      <c r="Q547">
        <f t="shared" si="150"/>
        <v>4</v>
      </c>
      <c r="R547" s="14">
        <f t="shared" si="151"/>
        <v>64</v>
      </c>
      <c r="S547" s="15"/>
      <c r="W547" s="14"/>
    </row>
    <row r="548" spans="1:23" x14ac:dyDescent="0.25">
      <c r="A548" s="16"/>
      <c r="B548" s="17" t="b">
        <f t="shared" si="144"/>
        <v>0</v>
      </c>
      <c r="C548" s="17" t="b">
        <f t="shared" si="136"/>
        <v>0</v>
      </c>
      <c r="D548" s="17">
        <f t="shared" si="140"/>
        <v>1</v>
      </c>
      <c r="E548" s="17" t="str">
        <f t="shared" si="141"/>
        <v>Section 4 - Create spring-boot starter microservice, containerize it and push to DockerHub</v>
      </c>
      <c r="F548" s="18" t="str">
        <f t="shared" si="142"/>
        <v/>
      </c>
      <c r="G548" s="13" t="str">
        <f t="shared" si="145"/>
        <v/>
      </c>
      <c r="H548">
        <f t="shared" si="146"/>
        <v>0</v>
      </c>
      <c r="I548">
        <f t="shared" si="147"/>
        <v>0</v>
      </c>
      <c r="J548" s="13">
        <f t="shared" si="148"/>
        <v>65</v>
      </c>
      <c r="K548">
        <f t="shared" si="137"/>
        <v>0</v>
      </c>
      <c r="L548">
        <f t="shared" si="138"/>
        <v>1</v>
      </c>
      <c r="M548" s="13">
        <f t="shared" si="149"/>
        <v>1</v>
      </c>
      <c r="N548">
        <f t="shared" si="149"/>
        <v>4</v>
      </c>
      <c r="O548" s="14">
        <f t="shared" si="139"/>
        <v>64</v>
      </c>
      <c r="P548" s="13">
        <f t="shared" si="143"/>
        <v>1</v>
      </c>
      <c r="Q548">
        <f t="shared" si="150"/>
        <v>4</v>
      </c>
      <c r="R548" s="14">
        <f t="shared" si="151"/>
        <v>64</v>
      </c>
      <c r="S548" s="15"/>
      <c r="W548" s="14"/>
    </row>
    <row r="549" spans="1:23" x14ac:dyDescent="0.25">
      <c r="A549" s="16"/>
      <c r="B549" s="17" t="b">
        <f t="shared" si="144"/>
        <v>0</v>
      </c>
      <c r="C549" s="17" t="b">
        <f t="shared" si="136"/>
        <v>0</v>
      </c>
      <c r="D549" s="17">
        <f t="shared" si="140"/>
        <v>1</v>
      </c>
      <c r="E549" s="17" t="str">
        <f t="shared" si="141"/>
        <v>Section 4 - Create spring-boot starter microservice, containerize it and push to DockerHub</v>
      </c>
      <c r="F549" s="18" t="str">
        <f t="shared" si="142"/>
        <v/>
      </c>
      <c r="G549" s="13" t="str">
        <f t="shared" si="145"/>
        <v/>
      </c>
      <c r="H549">
        <f t="shared" si="146"/>
        <v>0</v>
      </c>
      <c r="I549">
        <f t="shared" si="147"/>
        <v>0</v>
      </c>
      <c r="J549" s="13">
        <f t="shared" si="148"/>
        <v>65</v>
      </c>
      <c r="K549">
        <f t="shared" si="137"/>
        <v>0</v>
      </c>
      <c r="L549">
        <f t="shared" si="138"/>
        <v>1</v>
      </c>
      <c r="M549" s="13">
        <f t="shared" si="149"/>
        <v>1</v>
      </c>
      <c r="N549">
        <f t="shared" si="149"/>
        <v>4</v>
      </c>
      <c r="O549" s="14">
        <f t="shared" si="139"/>
        <v>64</v>
      </c>
      <c r="P549" s="13">
        <f t="shared" si="143"/>
        <v>1</v>
      </c>
      <c r="Q549">
        <f t="shared" si="150"/>
        <v>4</v>
      </c>
      <c r="R549" s="14">
        <f t="shared" si="151"/>
        <v>64</v>
      </c>
      <c r="S549" s="15"/>
      <c r="W549" s="14"/>
    </row>
    <row r="550" spans="1:23" x14ac:dyDescent="0.25">
      <c r="A550" s="16"/>
      <c r="B550" s="17" t="b">
        <f t="shared" si="144"/>
        <v>0</v>
      </c>
      <c r="C550" s="17" t="b">
        <f t="shared" si="136"/>
        <v>0</v>
      </c>
      <c r="D550" s="17">
        <f t="shared" si="140"/>
        <v>1</v>
      </c>
      <c r="E550" s="17" t="str">
        <f t="shared" si="141"/>
        <v>Section 4 - Create spring-boot starter microservice, containerize it and push to DockerHub</v>
      </c>
      <c r="F550" s="18" t="str">
        <f t="shared" si="142"/>
        <v/>
      </c>
      <c r="G550" s="13" t="str">
        <f t="shared" si="145"/>
        <v/>
      </c>
      <c r="H550">
        <f t="shared" si="146"/>
        <v>0</v>
      </c>
      <c r="I550">
        <f t="shared" si="147"/>
        <v>0</v>
      </c>
      <c r="J550" s="13">
        <f t="shared" si="148"/>
        <v>65</v>
      </c>
      <c r="K550">
        <f t="shared" si="137"/>
        <v>0</v>
      </c>
      <c r="L550">
        <f t="shared" si="138"/>
        <v>1</v>
      </c>
      <c r="M550" s="13">
        <f t="shared" si="149"/>
        <v>1</v>
      </c>
      <c r="N550">
        <f t="shared" si="149"/>
        <v>4</v>
      </c>
      <c r="O550" s="14">
        <f t="shared" si="139"/>
        <v>64</v>
      </c>
      <c r="P550" s="13">
        <f t="shared" si="143"/>
        <v>1</v>
      </c>
      <c r="Q550">
        <f t="shared" si="150"/>
        <v>4</v>
      </c>
      <c r="R550" s="14">
        <f t="shared" si="151"/>
        <v>64</v>
      </c>
      <c r="S550" s="15"/>
      <c r="W550" s="14"/>
    </row>
    <row r="551" spans="1:23" x14ac:dyDescent="0.25">
      <c r="A551" s="16"/>
      <c r="B551" s="17" t="b">
        <f t="shared" si="144"/>
        <v>0</v>
      </c>
      <c r="C551" s="17" t="b">
        <f t="shared" si="136"/>
        <v>0</v>
      </c>
      <c r="D551" s="17">
        <f t="shared" si="140"/>
        <v>1</v>
      </c>
      <c r="E551" s="17" t="str">
        <f t="shared" si="141"/>
        <v>Section 4 - Create spring-boot starter microservice, containerize it and push to DockerHub</v>
      </c>
      <c r="F551" s="18" t="str">
        <f t="shared" si="142"/>
        <v/>
      </c>
      <c r="G551" s="13" t="str">
        <f t="shared" si="145"/>
        <v/>
      </c>
      <c r="H551">
        <f t="shared" si="146"/>
        <v>0</v>
      </c>
      <c r="I551">
        <f t="shared" si="147"/>
        <v>0</v>
      </c>
      <c r="J551" s="13">
        <f t="shared" si="148"/>
        <v>65</v>
      </c>
      <c r="K551">
        <f t="shared" si="137"/>
        <v>0</v>
      </c>
      <c r="L551">
        <f t="shared" si="138"/>
        <v>1</v>
      </c>
      <c r="M551" s="13">
        <f t="shared" si="149"/>
        <v>1</v>
      </c>
      <c r="N551">
        <f t="shared" si="149"/>
        <v>4</v>
      </c>
      <c r="O551" s="14">
        <f t="shared" si="139"/>
        <v>64</v>
      </c>
      <c r="P551" s="13">
        <f t="shared" si="143"/>
        <v>1</v>
      </c>
      <c r="Q551">
        <f t="shared" si="150"/>
        <v>4</v>
      </c>
      <c r="R551" s="14">
        <f t="shared" si="151"/>
        <v>64</v>
      </c>
      <c r="S551" s="15"/>
      <c r="W551" s="14"/>
    </row>
    <row r="552" spans="1:23" x14ac:dyDescent="0.25">
      <c r="A552" s="16"/>
      <c r="B552" s="17" t="b">
        <f t="shared" si="144"/>
        <v>0</v>
      </c>
      <c r="C552" s="17" t="b">
        <f t="shared" si="136"/>
        <v>0</v>
      </c>
      <c r="D552" s="17">
        <f t="shared" si="140"/>
        <v>1</v>
      </c>
      <c r="E552" s="17" t="str">
        <f t="shared" si="141"/>
        <v>Section 4 - Create spring-boot starter microservice, containerize it and push to DockerHub</v>
      </c>
      <c r="F552" s="18" t="str">
        <f t="shared" si="142"/>
        <v/>
      </c>
      <c r="G552" s="13" t="str">
        <f t="shared" si="145"/>
        <v/>
      </c>
      <c r="H552">
        <f t="shared" si="146"/>
        <v>0</v>
      </c>
      <c r="I552">
        <f t="shared" si="147"/>
        <v>0</v>
      </c>
      <c r="J552" s="13">
        <f t="shared" si="148"/>
        <v>65</v>
      </c>
      <c r="K552">
        <f t="shared" si="137"/>
        <v>0</v>
      </c>
      <c r="L552">
        <f t="shared" si="138"/>
        <v>1</v>
      </c>
      <c r="M552" s="13">
        <f t="shared" si="149"/>
        <v>1</v>
      </c>
      <c r="N552">
        <f t="shared" si="149"/>
        <v>4</v>
      </c>
      <c r="O552" s="14">
        <f t="shared" si="139"/>
        <v>64</v>
      </c>
      <c r="P552" s="13">
        <f t="shared" si="143"/>
        <v>1</v>
      </c>
      <c r="Q552">
        <f t="shared" si="150"/>
        <v>4</v>
      </c>
      <c r="R552" s="14">
        <f t="shared" si="151"/>
        <v>64</v>
      </c>
      <c r="S552" s="15"/>
      <c r="W552" s="14"/>
    </row>
    <row r="553" spans="1:23" x14ac:dyDescent="0.25">
      <c r="A553" s="16"/>
      <c r="B553" s="17" t="b">
        <f t="shared" si="144"/>
        <v>0</v>
      </c>
      <c r="C553" s="17" t="b">
        <f t="shared" si="136"/>
        <v>0</v>
      </c>
      <c r="D553" s="17">
        <f t="shared" si="140"/>
        <v>1</v>
      </c>
      <c r="E553" s="17" t="str">
        <f t="shared" si="141"/>
        <v>Section 4 - Create spring-boot starter microservice, containerize it and push to DockerHub</v>
      </c>
      <c r="F553" s="18" t="str">
        <f t="shared" si="142"/>
        <v/>
      </c>
      <c r="G553" s="13" t="str">
        <f t="shared" si="145"/>
        <v/>
      </c>
      <c r="H553">
        <f t="shared" si="146"/>
        <v>0</v>
      </c>
      <c r="I553">
        <f t="shared" si="147"/>
        <v>0</v>
      </c>
      <c r="J553" s="13">
        <f t="shared" si="148"/>
        <v>65</v>
      </c>
      <c r="K553">
        <f t="shared" si="137"/>
        <v>0</v>
      </c>
      <c r="L553">
        <f t="shared" si="138"/>
        <v>1</v>
      </c>
      <c r="M553" s="13">
        <f t="shared" si="149"/>
        <v>1</v>
      </c>
      <c r="N553">
        <f t="shared" si="149"/>
        <v>4</v>
      </c>
      <c r="O553" s="14">
        <f t="shared" si="139"/>
        <v>64</v>
      </c>
      <c r="P553" s="13">
        <f t="shared" si="143"/>
        <v>1</v>
      </c>
      <c r="Q553">
        <f t="shared" si="150"/>
        <v>4</v>
      </c>
      <c r="R553" s="14">
        <f t="shared" si="151"/>
        <v>64</v>
      </c>
      <c r="S553" s="15"/>
      <c r="W553" s="14"/>
    </row>
    <row r="554" spans="1:23" x14ac:dyDescent="0.25">
      <c r="A554" s="16"/>
      <c r="B554" s="17" t="b">
        <f t="shared" si="144"/>
        <v>0</v>
      </c>
      <c r="C554" s="17" t="b">
        <f t="shared" si="136"/>
        <v>0</v>
      </c>
      <c r="D554" s="17">
        <f t="shared" si="140"/>
        <v>1</v>
      </c>
      <c r="E554" s="17" t="str">
        <f t="shared" si="141"/>
        <v>Section 4 - Create spring-boot starter microservice, containerize it and push to DockerHub</v>
      </c>
      <c r="F554" s="18" t="str">
        <f t="shared" si="142"/>
        <v/>
      </c>
      <c r="G554" s="13" t="str">
        <f t="shared" si="145"/>
        <v/>
      </c>
      <c r="H554">
        <f t="shared" si="146"/>
        <v>0</v>
      </c>
      <c r="I554">
        <f t="shared" si="147"/>
        <v>0</v>
      </c>
      <c r="J554" s="13">
        <f t="shared" si="148"/>
        <v>65</v>
      </c>
      <c r="K554">
        <f t="shared" si="137"/>
        <v>0</v>
      </c>
      <c r="L554">
        <f t="shared" si="138"/>
        <v>1</v>
      </c>
      <c r="M554" s="13">
        <f t="shared" si="149"/>
        <v>1</v>
      </c>
      <c r="N554">
        <f t="shared" si="149"/>
        <v>4</v>
      </c>
      <c r="O554" s="14">
        <f t="shared" si="139"/>
        <v>64</v>
      </c>
      <c r="P554" s="13">
        <f t="shared" si="143"/>
        <v>1</v>
      </c>
      <c r="Q554">
        <f t="shared" si="150"/>
        <v>4</v>
      </c>
      <c r="R554" s="14">
        <f t="shared" si="151"/>
        <v>64</v>
      </c>
      <c r="S554" s="15"/>
      <c r="W554" s="14"/>
    </row>
    <row r="555" spans="1:23" x14ac:dyDescent="0.25">
      <c r="A555" s="16"/>
      <c r="B555" s="17" t="b">
        <f t="shared" si="144"/>
        <v>0</v>
      </c>
      <c r="C555" s="17" t="b">
        <f t="shared" si="136"/>
        <v>0</v>
      </c>
      <c r="D555" s="17">
        <f t="shared" si="140"/>
        <v>1</v>
      </c>
      <c r="E555" s="17" t="str">
        <f t="shared" si="141"/>
        <v>Section 4 - Create spring-boot starter microservice, containerize it and push to DockerHub</v>
      </c>
      <c r="F555" s="18" t="str">
        <f t="shared" si="142"/>
        <v/>
      </c>
      <c r="G555" s="13" t="str">
        <f t="shared" si="145"/>
        <v/>
      </c>
      <c r="H555">
        <f t="shared" si="146"/>
        <v>0</v>
      </c>
      <c r="I555">
        <f t="shared" si="147"/>
        <v>0</v>
      </c>
      <c r="J555" s="13">
        <f t="shared" si="148"/>
        <v>65</v>
      </c>
      <c r="K555">
        <f t="shared" si="137"/>
        <v>0</v>
      </c>
      <c r="L555">
        <f t="shared" si="138"/>
        <v>1</v>
      </c>
      <c r="M555" s="13">
        <f t="shared" si="149"/>
        <v>1</v>
      </c>
      <c r="N555">
        <f t="shared" si="149"/>
        <v>4</v>
      </c>
      <c r="O555" s="14">
        <f t="shared" si="139"/>
        <v>64</v>
      </c>
      <c r="P555" s="13">
        <f t="shared" si="143"/>
        <v>1</v>
      </c>
      <c r="Q555">
        <f t="shared" si="150"/>
        <v>4</v>
      </c>
      <c r="R555" s="14">
        <f t="shared" si="151"/>
        <v>64</v>
      </c>
      <c r="S555" s="15"/>
      <c r="W555" s="14"/>
    </row>
    <row r="556" spans="1:23" x14ac:dyDescent="0.25">
      <c r="A556" s="16"/>
      <c r="B556" s="17" t="b">
        <f t="shared" si="144"/>
        <v>0</v>
      </c>
      <c r="C556" s="17" t="b">
        <f t="shared" si="136"/>
        <v>0</v>
      </c>
      <c r="D556" s="17">
        <f t="shared" si="140"/>
        <v>1</v>
      </c>
      <c r="E556" s="17" t="str">
        <f t="shared" si="141"/>
        <v>Section 4 - Create spring-boot starter microservice, containerize it and push to DockerHub</v>
      </c>
      <c r="F556" s="18" t="str">
        <f t="shared" si="142"/>
        <v/>
      </c>
      <c r="G556" s="13" t="str">
        <f t="shared" si="145"/>
        <v/>
      </c>
      <c r="H556">
        <f t="shared" si="146"/>
        <v>0</v>
      </c>
      <c r="I556">
        <f t="shared" si="147"/>
        <v>0</v>
      </c>
      <c r="J556" s="13">
        <f t="shared" si="148"/>
        <v>65</v>
      </c>
      <c r="K556">
        <f t="shared" si="137"/>
        <v>0</v>
      </c>
      <c r="L556">
        <f t="shared" si="138"/>
        <v>1</v>
      </c>
      <c r="M556" s="13">
        <f t="shared" si="149"/>
        <v>1</v>
      </c>
      <c r="N556">
        <f t="shared" si="149"/>
        <v>4</v>
      </c>
      <c r="O556" s="14">
        <f t="shared" si="139"/>
        <v>64</v>
      </c>
      <c r="P556" s="13">
        <f t="shared" si="143"/>
        <v>1</v>
      </c>
      <c r="Q556">
        <f t="shared" si="150"/>
        <v>4</v>
      </c>
      <c r="R556" s="14">
        <f t="shared" si="151"/>
        <v>64</v>
      </c>
      <c r="S556" s="15"/>
      <c r="W556" s="14"/>
    </row>
    <row r="557" spans="1:23" x14ac:dyDescent="0.25">
      <c r="A557" s="16"/>
      <c r="B557" s="17" t="b">
        <f t="shared" si="144"/>
        <v>0</v>
      </c>
      <c r="C557" s="17" t="b">
        <f t="shared" si="136"/>
        <v>0</v>
      </c>
      <c r="D557" s="17">
        <f t="shared" si="140"/>
        <v>1</v>
      </c>
      <c r="E557" s="17" t="str">
        <f t="shared" si="141"/>
        <v>Section 4 - Create spring-boot starter microservice, containerize it and push to DockerHub</v>
      </c>
      <c r="F557" s="18" t="str">
        <f t="shared" si="142"/>
        <v/>
      </c>
      <c r="G557" s="13" t="str">
        <f t="shared" si="145"/>
        <v/>
      </c>
      <c r="H557">
        <f t="shared" si="146"/>
        <v>0</v>
      </c>
      <c r="I557">
        <f t="shared" si="147"/>
        <v>0</v>
      </c>
      <c r="J557" s="13">
        <f t="shared" si="148"/>
        <v>65</v>
      </c>
      <c r="K557">
        <f t="shared" si="137"/>
        <v>0</v>
      </c>
      <c r="L557">
        <f t="shared" si="138"/>
        <v>1</v>
      </c>
      <c r="M557" s="13">
        <f t="shared" si="149"/>
        <v>1</v>
      </c>
      <c r="N557">
        <f t="shared" si="149"/>
        <v>4</v>
      </c>
      <c r="O557" s="14">
        <f t="shared" si="139"/>
        <v>64</v>
      </c>
      <c r="P557" s="13">
        <f t="shared" si="143"/>
        <v>1</v>
      </c>
      <c r="Q557">
        <f t="shared" si="150"/>
        <v>4</v>
      </c>
      <c r="R557" s="14">
        <f t="shared" si="151"/>
        <v>64</v>
      </c>
      <c r="S557" s="15"/>
      <c r="W557" s="14"/>
    </row>
    <row r="558" spans="1:23" x14ac:dyDescent="0.25">
      <c r="A558" s="16"/>
      <c r="B558" s="17" t="b">
        <f t="shared" si="144"/>
        <v>0</v>
      </c>
      <c r="C558" s="17" t="b">
        <f t="shared" si="136"/>
        <v>0</v>
      </c>
      <c r="D558" s="17">
        <f t="shared" si="140"/>
        <v>1</v>
      </c>
      <c r="E558" s="17" t="str">
        <f t="shared" si="141"/>
        <v>Section 4 - Create spring-boot starter microservice, containerize it and push to DockerHub</v>
      </c>
      <c r="F558" s="18" t="str">
        <f t="shared" si="142"/>
        <v/>
      </c>
      <c r="G558" s="13" t="str">
        <f t="shared" si="145"/>
        <v/>
      </c>
      <c r="H558">
        <f t="shared" si="146"/>
        <v>0</v>
      </c>
      <c r="I558">
        <f t="shared" si="147"/>
        <v>0</v>
      </c>
      <c r="J558" s="13">
        <f t="shared" si="148"/>
        <v>65</v>
      </c>
      <c r="K558">
        <f t="shared" si="137"/>
        <v>0</v>
      </c>
      <c r="L558">
        <f t="shared" si="138"/>
        <v>1</v>
      </c>
      <c r="M558" s="13">
        <f t="shared" si="149"/>
        <v>1</v>
      </c>
      <c r="N558">
        <f t="shared" si="149"/>
        <v>4</v>
      </c>
      <c r="O558" s="14">
        <f t="shared" si="139"/>
        <v>64</v>
      </c>
      <c r="P558" s="13">
        <f t="shared" si="143"/>
        <v>1</v>
      </c>
      <c r="Q558">
        <f t="shared" si="150"/>
        <v>4</v>
      </c>
      <c r="R558" s="14">
        <f t="shared" si="151"/>
        <v>64</v>
      </c>
      <c r="S558" s="15"/>
      <c r="W558" s="14"/>
    </row>
    <row r="559" spans="1:23" x14ac:dyDescent="0.25">
      <c r="A559" s="16"/>
      <c r="B559" s="17" t="b">
        <f t="shared" si="144"/>
        <v>0</v>
      </c>
      <c r="C559" s="17" t="b">
        <f t="shared" si="136"/>
        <v>0</v>
      </c>
      <c r="D559" s="17">
        <f t="shared" si="140"/>
        <v>1</v>
      </c>
      <c r="E559" s="17" t="str">
        <f t="shared" si="141"/>
        <v>Section 4 - Create spring-boot starter microservice, containerize it and push to DockerHub</v>
      </c>
      <c r="F559" s="18" t="str">
        <f t="shared" si="142"/>
        <v/>
      </c>
      <c r="G559" s="13" t="str">
        <f t="shared" si="145"/>
        <v/>
      </c>
      <c r="H559">
        <f t="shared" si="146"/>
        <v>0</v>
      </c>
      <c r="I559">
        <f t="shared" si="147"/>
        <v>0</v>
      </c>
      <c r="J559" s="13">
        <f t="shared" si="148"/>
        <v>65</v>
      </c>
      <c r="K559">
        <f t="shared" si="137"/>
        <v>0</v>
      </c>
      <c r="L559">
        <f t="shared" si="138"/>
        <v>1</v>
      </c>
      <c r="M559" s="13">
        <f t="shared" si="149"/>
        <v>1</v>
      </c>
      <c r="N559">
        <f t="shared" si="149"/>
        <v>4</v>
      </c>
      <c r="O559" s="14">
        <f t="shared" si="139"/>
        <v>64</v>
      </c>
      <c r="P559" s="13">
        <f t="shared" si="143"/>
        <v>1</v>
      </c>
      <c r="Q559">
        <f t="shared" si="150"/>
        <v>4</v>
      </c>
      <c r="R559" s="14">
        <f t="shared" si="151"/>
        <v>64</v>
      </c>
      <c r="S559" s="15"/>
      <c r="W559" s="14"/>
    </row>
    <row r="560" spans="1:23" x14ac:dyDescent="0.25">
      <c r="A560" s="16"/>
      <c r="B560" s="17" t="b">
        <f t="shared" si="144"/>
        <v>0</v>
      </c>
      <c r="C560" s="17" t="b">
        <f t="shared" si="136"/>
        <v>0</v>
      </c>
      <c r="D560" s="17">
        <f t="shared" si="140"/>
        <v>1</v>
      </c>
      <c r="E560" s="17" t="str">
        <f t="shared" si="141"/>
        <v>Section 4 - Create spring-boot starter microservice, containerize it and push to DockerHub</v>
      </c>
      <c r="F560" s="18" t="str">
        <f t="shared" si="142"/>
        <v/>
      </c>
      <c r="G560" s="13" t="str">
        <f t="shared" si="145"/>
        <v/>
      </c>
      <c r="H560">
        <f t="shared" si="146"/>
        <v>0</v>
      </c>
      <c r="I560">
        <f t="shared" si="147"/>
        <v>0</v>
      </c>
      <c r="J560" s="13">
        <f t="shared" si="148"/>
        <v>65</v>
      </c>
      <c r="K560">
        <f t="shared" si="137"/>
        <v>0</v>
      </c>
      <c r="L560">
        <f t="shared" si="138"/>
        <v>1</v>
      </c>
      <c r="M560" s="13">
        <f t="shared" si="149"/>
        <v>1</v>
      </c>
      <c r="N560">
        <f t="shared" si="149"/>
        <v>4</v>
      </c>
      <c r="O560" s="14">
        <f t="shared" si="139"/>
        <v>64</v>
      </c>
      <c r="P560" s="13">
        <f t="shared" si="143"/>
        <v>1</v>
      </c>
      <c r="Q560">
        <f t="shared" si="150"/>
        <v>4</v>
      </c>
      <c r="R560" s="14">
        <f t="shared" si="151"/>
        <v>64</v>
      </c>
      <c r="S560" s="15"/>
      <c r="W560" s="14"/>
    </row>
    <row r="561" spans="1:23" x14ac:dyDescent="0.25">
      <c r="A561" s="16"/>
      <c r="B561" s="17" t="b">
        <f t="shared" si="144"/>
        <v>0</v>
      </c>
      <c r="C561" s="17" t="b">
        <f t="shared" si="136"/>
        <v>0</v>
      </c>
      <c r="D561" s="17">
        <f t="shared" si="140"/>
        <v>1</v>
      </c>
      <c r="E561" s="17" t="str">
        <f t="shared" si="141"/>
        <v>Section 4 - Create spring-boot starter microservice, containerize it and push to DockerHub</v>
      </c>
      <c r="F561" s="18" t="str">
        <f t="shared" si="142"/>
        <v/>
      </c>
      <c r="G561" s="13" t="str">
        <f t="shared" si="145"/>
        <v/>
      </c>
      <c r="H561">
        <f t="shared" si="146"/>
        <v>0</v>
      </c>
      <c r="I561">
        <f t="shared" si="147"/>
        <v>0</v>
      </c>
      <c r="J561" s="13">
        <f t="shared" si="148"/>
        <v>65</v>
      </c>
      <c r="K561">
        <f t="shared" si="137"/>
        <v>0</v>
      </c>
      <c r="L561">
        <f t="shared" si="138"/>
        <v>1</v>
      </c>
      <c r="M561" s="13">
        <f t="shared" si="149"/>
        <v>1</v>
      </c>
      <c r="N561">
        <f t="shared" si="149"/>
        <v>4</v>
      </c>
      <c r="O561" s="14">
        <f t="shared" si="139"/>
        <v>64</v>
      </c>
      <c r="P561" s="13">
        <f t="shared" si="143"/>
        <v>1</v>
      </c>
      <c r="Q561">
        <f t="shared" si="150"/>
        <v>4</v>
      </c>
      <c r="R561" s="14">
        <f t="shared" si="151"/>
        <v>64</v>
      </c>
      <c r="S561" s="15"/>
      <c r="W561" s="14"/>
    </row>
    <row r="562" spans="1:23" x14ac:dyDescent="0.25">
      <c r="A562" s="16"/>
      <c r="B562" s="17" t="b">
        <f t="shared" si="144"/>
        <v>0</v>
      </c>
      <c r="C562" s="17" t="b">
        <f t="shared" si="136"/>
        <v>0</v>
      </c>
      <c r="D562" s="17">
        <f t="shared" si="140"/>
        <v>1</v>
      </c>
      <c r="E562" s="17" t="str">
        <f t="shared" si="141"/>
        <v>Section 4 - Create spring-boot starter microservice, containerize it and push to DockerHub</v>
      </c>
      <c r="F562" s="18" t="str">
        <f t="shared" si="142"/>
        <v/>
      </c>
      <c r="G562" s="13" t="str">
        <f t="shared" si="145"/>
        <v/>
      </c>
      <c r="H562">
        <f t="shared" si="146"/>
        <v>0</v>
      </c>
      <c r="I562">
        <f t="shared" si="147"/>
        <v>0</v>
      </c>
      <c r="J562" s="13">
        <f t="shared" si="148"/>
        <v>65</v>
      </c>
      <c r="K562">
        <f t="shared" si="137"/>
        <v>0</v>
      </c>
      <c r="L562">
        <f t="shared" si="138"/>
        <v>1</v>
      </c>
      <c r="M562" s="13">
        <f t="shared" si="149"/>
        <v>1</v>
      </c>
      <c r="N562">
        <f t="shared" si="149"/>
        <v>4</v>
      </c>
      <c r="O562" s="14">
        <f t="shared" si="139"/>
        <v>64</v>
      </c>
      <c r="P562" s="13">
        <f t="shared" si="143"/>
        <v>1</v>
      </c>
      <c r="Q562">
        <f t="shared" si="150"/>
        <v>4</v>
      </c>
      <c r="R562" s="14">
        <f t="shared" si="151"/>
        <v>64</v>
      </c>
      <c r="S562" s="15"/>
      <c r="W562" s="14"/>
    </row>
    <row r="563" spans="1:23" x14ac:dyDescent="0.25">
      <c r="A563" s="16"/>
      <c r="B563" s="17" t="b">
        <f t="shared" si="144"/>
        <v>0</v>
      </c>
      <c r="C563" s="17" t="b">
        <f t="shared" si="136"/>
        <v>0</v>
      </c>
      <c r="D563" s="17">
        <f t="shared" si="140"/>
        <v>1</v>
      </c>
      <c r="E563" s="17" t="str">
        <f t="shared" si="141"/>
        <v>Section 4 - Create spring-boot starter microservice, containerize it and push to DockerHub</v>
      </c>
      <c r="F563" s="18" t="str">
        <f t="shared" si="142"/>
        <v/>
      </c>
      <c r="G563" s="13" t="str">
        <f t="shared" si="145"/>
        <v/>
      </c>
      <c r="H563">
        <f t="shared" si="146"/>
        <v>0</v>
      </c>
      <c r="I563">
        <f t="shared" si="147"/>
        <v>0</v>
      </c>
      <c r="J563" s="13">
        <f t="shared" si="148"/>
        <v>65</v>
      </c>
      <c r="K563">
        <f t="shared" si="137"/>
        <v>0</v>
      </c>
      <c r="L563">
        <f t="shared" si="138"/>
        <v>1</v>
      </c>
      <c r="M563" s="13">
        <f t="shared" si="149"/>
        <v>1</v>
      </c>
      <c r="N563">
        <f t="shared" si="149"/>
        <v>4</v>
      </c>
      <c r="O563" s="14">
        <f t="shared" si="139"/>
        <v>64</v>
      </c>
      <c r="P563" s="13">
        <f t="shared" si="143"/>
        <v>1</v>
      </c>
      <c r="Q563">
        <f t="shared" si="150"/>
        <v>4</v>
      </c>
      <c r="R563" s="14">
        <f t="shared" si="151"/>
        <v>64</v>
      </c>
      <c r="S563" s="15"/>
      <c r="W563" s="14"/>
    </row>
    <row r="564" spans="1:23" x14ac:dyDescent="0.25">
      <c r="A564" s="16"/>
      <c r="B564" s="17" t="b">
        <f t="shared" si="144"/>
        <v>0</v>
      </c>
      <c r="C564" s="17" t="b">
        <f t="shared" si="136"/>
        <v>0</v>
      </c>
      <c r="D564" s="17">
        <f t="shared" si="140"/>
        <v>1</v>
      </c>
      <c r="E564" s="17" t="str">
        <f t="shared" si="141"/>
        <v>Section 4 - Create spring-boot starter microservice, containerize it and push to DockerHub</v>
      </c>
      <c r="F564" s="18" t="str">
        <f t="shared" si="142"/>
        <v/>
      </c>
      <c r="G564" s="13" t="str">
        <f t="shared" si="145"/>
        <v/>
      </c>
      <c r="H564">
        <f t="shared" si="146"/>
        <v>0</v>
      </c>
      <c r="I564">
        <f t="shared" si="147"/>
        <v>0</v>
      </c>
      <c r="J564" s="13">
        <f t="shared" si="148"/>
        <v>65</v>
      </c>
      <c r="K564">
        <f t="shared" si="137"/>
        <v>0</v>
      </c>
      <c r="L564">
        <f t="shared" si="138"/>
        <v>1</v>
      </c>
      <c r="M564" s="13">
        <f t="shared" si="149"/>
        <v>1</v>
      </c>
      <c r="N564">
        <f t="shared" si="149"/>
        <v>4</v>
      </c>
      <c r="O564" s="14">
        <f t="shared" si="139"/>
        <v>64</v>
      </c>
      <c r="P564" s="13">
        <f t="shared" si="143"/>
        <v>1</v>
      </c>
      <c r="Q564">
        <f t="shared" si="150"/>
        <v>4</v>
      </c>
      <c r="R564" s="14">
        <f t="shared" si="151"/>
        <v>64</v>
      </c>
      <c r="S564" s="15"/>
      <c r="W564" s="14"/>
    </row>
    <row r="565" spans="1:23" x14ac:dyDescent="0.25">
      <c r="A565" s="16"/>
      <c r="B565" s="17" t="b">
        <f t="shared" si="144"/>
        <v>0</v>
      </c>
      <c r="C565" s="17" t="b">
        <f t="shared" si="136"/>
        <v>0</v>
      </c>
      <c r="D565" s="17">
        <f t="shared" si="140"/>
        <v>1</v>
      </c>
      <c r="E565" s="17" t="str">
        <f t="shared" si="141"/>
        <v>Section 4 - Create spring-boot starter microservice, containerize it and push to DockerHub</v>
      </c>
      <c r="F565" s="18" t="str">
        <f t="shared" si="142"/>
        <v/>
      </c>
      <c r="G565" s="13" t="str">
        <f t="shared" si="145"/>
        <v/>
      </c>
      <c r="H565">
        <f t="shared" si="146"/>
        <v>0</v>
      </c>
      <c r="I565">
        <f t="shared" si="147"/>
        <v>0</v>
      </c>
      <c r="J565" s="13">
        <f t="shared" si="148"/>
        <v>65</v>
      </c>
      <c r="K565">
        <f t="shared" si="137"/>
        <v>0</v>
      </c>
      <c r="L565">
        <f t="shared" si="138"/>
        <v>1</v>
      </c>
      <c r="M565" s="13">
        <f t="shared" si="149"/>
        <v>1</v>
      </c>
      <c r="N565">
        <f t="shared" si="149"/>
        <v>4</v>
      </c>
      <c r="O565" s="14">
        <f t="shared" si="139"/>
        <v>64</v>
      </c>
      <c r="P565" s="13">
        <f t="shared" si="143"/>
        <v>1</v>
      </c>
      <c r="Q565">
        <f t="shared" si="150"/>
        <v>4</v>
      </c>
      <c r="R565" s="14">
        <f t="shared" si="151"/>
        <v>64</v>
      </c>
      <c r="S565" s="15"/>
      <c r="W565" s="14"/>
    </row>
  </sheetData>
  <mergeCells count="12">
    <mergeCell ref="M7:O7"/>
    <mergeCell ref="P7:R7"/>
    <mergeCell ref="S7:W7"/>
    <mergeCell ref="A1:L1"/>
    <mergeCell ref="A7:A8"/>
    <mergeCell ref="B7:B8"/>
    <mergeCell ref="C7:C8"/>
    <mergeCell ref="D7:D8"/>
    <mergeCell ref="E7:E8"/>
    <mergeCell ref="F7:F8"/>
    <mergeCell ref="G7:I7"/>
    <mergeCell ref="J7:L7"/>
  </mergeCells>
  <conditionalFormatting sqref="I20:O565 Q20:R565 A10:F10 F20:G565 F11:F19 A11:E565">
    <cfRule type="expression" dxfId="28" priority="7">
      <formula>$F10&lt;&gt;""</formula>
    </cfRule>
  </conditionalFormatting>
  <conditionalFormatting sqref="E9 G3:G5 E3:E5">
    <cfRule type="cellIs" dxfId="27" priority="6" operator="equal">
      <formula>"No"</formula>
    </cfRule>
  </conditionalFormatting>
  <conditionalFormatting sqref="A1:G1 I1:L1">
    <cfRule type="cellIs" dxfId="26" priority="5" operator="equal">
      <formula>""</formula>
    </cfRule>
  </conditionalFormatting>
  <conditionalFormatting sqref="H20:H565">
    <cfRule type="expression" dxfId="25" priority="4">
      <formula>$F20&lt;&gt;""</formula>
    </cfRule>
  </conditionalFormatting>
  <conditionalFormatting sqref="H1">
    <cfRule type="cellIs" dxfId="24" priority="3" operator="equal">
      <formula>""</formula>
    </cfRule>
  </conditionalFormatting>
  <conditionalFormatting sqref="G10:G19 I10:R10 I11:O19 Q11:R19 P11:P565">
    <cfRule type="expression" dxfId="23" priority="2">
      <formula>$F10&lt;&gt;""</formula>
    </cfRule>
  </conditionalFormatting>
  <conditionalFormatting sqref="H10:H19">
    <cfRule type="expression" dxfId="22" priority="1">
      <formula>$F10&lt;&gt;""</formula>
    </cfRule>
  </conditionalFormatting>
  <dataValidations count="1">
    <dataValidation type="list" allowBlank="1" showInputMessage="1" sqref="G3:G5 E3:E4" xr:uid="{1865B5D7-C2DC-4648-A2B6-95D3B0166229}">
      <formula1>"Yes, No, N/A"</formula1>
    </dataValidation>
  </dataValidations>
  <hyperlinks>
    <hyperlink ref="E2" r:id="rId1" xr:uid="{978604DD-C4DF-4C4D-93E4-5F4BDF88BFAD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CB90-904D-47FE-BAF3-1AC1FB049A4F}">
  <dimension ref="A1:B23"/>
  <sheetViews>
    <sheetView workbookViewId="0">
      <selection activeCell="L30" sqref="L30"/>
    </sheetView>
  </sheetViews>
  <sheetFormatPr defaultRowHeight="15" x14ac:dyDescent="0.25"/>
  <sheetData>
    <row r="1" spans="1:2" x14ac:dyDescent="0.25">
      <c r="A1" t="s">
        <v>197</v>
      </c>
      <c r="B1" t="s">
        <v>143</v>
      </c>
    </row>
    <row r="2" spans="1:2" x14ac:dyDescent="0.25">
      <c r="A2" t="s">
        <v>197</v>
      </c>
      <c r="B2" t="s">
        <v>160</v>
      </c>
    </row>
    <row r="3" spans="1:2" x14ac:dyDescent="0.25">
      <c r="A3" t="s">
        <v>197</v>
      </c>
      <c r="B3" t="s">
        <v>161</v>
      </c>
    </row>
    <row r="4" spans="1:2" x14ac:dyDescent="0.25">
      <c r="A4" t="s">
        <v>197</v>
      </c>
      <c r="B4" t="s">
        <v>162</v>
      </c>
    </row>
    <row r="5" spans="1:2" x14ac:dyDescent="0.25">
      <c r="A5" t="s">
        <v>198</v>
      </c>
      <c r="B5" t="s">
        <v>163</v>
      </c>
    </row>
    <row r="6" spans="1:2" x14ac:dyDescent="0.25">
      <c r="A6" t="s">
        <v>198</v>
      </c>
      <c r="B6" t="s">
        <v>164</v>
      </c>
    </row>
    <row r="7" spans="1:2" x14ac:dyDescent="0.25">
      <c r="A7" t="s">
        <v>199</v>
      </c>
      <c r="B7" t="s">
        <v>165</v>
      </c>
    </row>
    <row r="8" spans="1:2" x14ac:dyDescent="0.25">
      <c r="A8" t="s">
        <v>199</v>
      </c>
      <c r="B8" t="s">
        <v>167</v>
      </c>
    </row>
    <row r="9" spans="1:2" x14ac:dyDescent="0.25">
      <c r="A9" t="s">
        <v>199</v>
      </c>
      <c r="B9" t="s">
        <v>169</v>
      </c>
    </row>
    <row r="10" spans="1:2" x14ac:dyDescent="0.25">
      <c r="A10" t="s">
        <v>200</v>
      </c>
      <c r="B10" t="s">
        <v>170</v>
      </c>
    </row>
    <row r="11" spans="1:2" x14ac:dyDescent="0.25">
      <c r="A11" t="s">
        <v>200</v>
      </c>
      <c r="B11" t="s">
        <v>171</v>
      </c>
    </row>
    <row r="12" spans="1:2" x14ac:dyDescent="0.25">
      <c r="A12" t="s">
        <v>201</v>
      </c>
      <c r="B12" t="s">
        <v>172</v>
      </c>
    </row>
    <row r="13" spans="1:2" x14ac:dyDescent="0.25">
      <c r="A13" t="s">
        <v>201</v>
      </c>
      <c r="B13" t="s">
        <v>173</v>
      </c>
    </row>
    <row r="14" spans="1:2" x14ac:dyDescent="0.25">
      <c r="A14" t="s">
        <v>202</v>
      </c>
      <c r="B14" t="s">
        <v>174</v>
      </c>
    </row>
    <row r="15" spans="1:2" x14ac:dyDescent="0.25">
      <c r="A15" t="s">
        <v>202</v>
      </c>
      <c r="B15" t="s">
        <v>175</v>
      </c>
    </row>
    <row r="16" spans="1:2" x14ac:dyDescent="0.25">
      <c r="A16" t="s">
        <v>202</v>
      </c>
      <c r="B16" t="s">
        <v>177</v>
      </c>
    </row>
    <row r="17" spans="1:2" x14ac:dyDescent="0.25">
      <c r="A17" t="s">
        <v>202</v>
      </c>
      <c r="B17" t="s">
        <v>179</v>
      </c>
    </row>
    <row r="18" spans="1:2" x14ac:dyDescent="0.25">
      <c r="A18" t="s">
        <v>203</v>
      </c>
      <c r="B18" t="s">
        <v>180</v>
      </c>
    </row>
    <row r="19" spans="1:2" x14ac:dyDescent="0.25">
      <c r="A19" t="s">
        <v>203</v>
      </c>
      <c r="B19" t="s">
        <v>181</v>
      </c>
    </row>
    <row r="20" spans="1:2" x14ac:dyDescent="0.25">
      <c r="A20" t="s">
        <v>203</v>
      </c>
      <c r="B20" t="s">
        <v>182</v>
      </c>
    </row>
    <row r="21" spans="1:2" x14ac:dyDescent="0.25">
      <c r="A21" t="s">
        <v>204</v>
      </c>
      <c r="B21" t="s">
        <v>185</v>
      </c>
    </row>
    <row r="22" spans="1:2" x14ac:dyDescent="0.25">
      <c r="A22" t="s">
        <v>205</v>
      </c>
      <c r="B22" t="s">
        <v>186</v>
      </c>
    </row>
    <row r="23" spans="1:2" x14ac:dyDescent="0.25">
      <c r="A23" t="s">
        <v>206</v>
      </c>
      <c r="B23" t="s">
        <v>187</v>
      </c>
    </row>
  </sheetData>
  <sortState xmlns:xlrd2="http://schemas.microsoft.com/office/spreadsheetml/2017/richdata2" ref="A1:B9">
    <sortCondition ref="B1:B9"/>
    <sortCondition ref="A1:A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1839-E2F5-4DDE-B99B-39904EDEDC61}">
  <dimension ref="A1:W565"/>
  <sheetViews>
    <sheetView tabSelected="1" workbookViewId="0">
      <pane xSplit="6" ySplit="8" topLeftCell="G69" activePane="bottomRight" state="frozen"/>
      <selection pane="topRight" activeCell="G1" sqref="G1"/>
      <selection pane="bottomLeft" activeCell="A9" sqref="A9"/>
      <selection pane="bottomRight" activeCell="G5" sqref="G5"/>
    </sheetView>
  </sheetViews>
  <sheetFormatPr defaultRowHeight="15" x14ac:dyDescent="0.25"/>
  <cols>
    <col min="1" max="1" width="66.7109375" bestFit="1" customWidth="1"/>
    <col min="2" max="4" width="9.140625" customWidth="1"/>
    <col min="5" max="6" width="48.85546875" bestFit="1" customWidth="1"/>
    <col min="7" max="12" width="9.140625" customWidth="1"/>
    <col min="19" max="19" width="11.42578125" style="4" bestFit="1" customWidth="1"/>
    <col min="20" max="20" width="27.5703125" customWidth="1"/>
    <col min="21" max="21" width="37" customWidth="1"/>
    <col min="22" max="22" width="12.7109375" customWidth="1"/>
    <col min="23" max="23" width="14.140625" customWidth="1"/>
  </cols>
  <sheetData>
    <row r="1" spans="1:23" ht="36" x14ac:dyDescent="0.55000000000000004">
      <c r="A1" s="26" t="s">
        <v>159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1" t="s">
        <v>85</v>
      </c>
      <c r="B2" s="5"/>
    </row>
    <row r="3" spans="1:23" x14ac:dyDescent="0.25">
      <c r="A3" s="1" t="s">
        <v>93</v>
      </c>
      <c r="E3" t="s">
        <v>92</v>
      </c>
      <c r="F3" s="1" t="s">
        <v>86</v>
      </c>
      <c r="G3" t="s">
        <v>92</v>
      </c>
    </row>
    <row r="4" spans="1:23" x14ac:dyDescent="0.25">
      <c r="A4" s="1" t="s">
        <v>90</v>
      </c>
      <c r="E4" t="s">
        <v>92</v>
      </c>
      <c r="F4" s="1" t="s">
        <v>91</v>
      </c>
      <c r="G4" t="s">
        <v>92</v>
      </c>
    </row>
    <row r="5" spans="1:23" x14ac:dyDescent="0.25">
      <c r="A5" s="1" t="s">
        <v>140</v>
      </c>
      <c r="E5" t="s">
        <v>141</v>
      </c>
      <c r="F5" s="1" t="s">
        <v>94</v>
      </c>
      <c r="G5" t="s">
        <v>87</v>
      </c>
    </row>
    <row r="6" spans="1:23" ht="15.75" thickBot="1" x14ac:dyDescent="0.3"/>
    <row r="7" spans="1:23" ht="15.75" thickTop="1" x14ac:dyDescent="0.25">
      <c r="A7" s="27" t="s">
        <v>95</v>
      </c>
      <c r="B7" s="29" t="s">
        <v>96</v>
      </c>
      <c r="C7" s="29" t="s">
        <v>97</v>
      </c>
      <c r="D7" s="29" t="s">
        <v>98</v>
      </c>
      <c r="E7" s="29" t="s">
        <v>5</v>
      </c>
      <c r="F7" s="31" t="s">
        <v>99</v>
      </c>
      <c r="G7" s="33" t="s">
        <v>77</v>
      </c>
      <c r="H7" s="34"/>
      <c r="I7" s="34"/>
      <c r="J7" s="33" t="s">
        <v>100</v>
      </c>
      <c r="K7" s="34"/>
      <c r="L7" s="34"/>
      <c r="M7" s="33" t="s">
        <v>101</v>
      </c>
      <c r="N7" s="34"/>
      <c r="O7" s="35"/>
      <c r="P7" s="33" t="s">
        <v>102</v>
      </c>
      <c r="Q7" s="34"/>
      <c r="R7" s="35"/>
      <c r="S7" s="33" t="s">
        <v>103</v>
      </c>
      <c r="T7" s="34"/>
      <c r="U7" s="34"/>
      <c r="V7" s="34"/>
      <c r="W7" s="35"/>
    </row>
    <row r="8" spans="1:23" ht="15.75" thickBot="1" x14ac:dyDescent="0.3">
      <c r="A8" s="28"/>
      <c r="B8" s="30"/>
      <c r="C8" s="30"/>
      <c r="D8" s="30"/>
      <c r="E8" s="30"/>
      <c r="F8" s="32"/>
      <c r="G8" s="6" t="s">
        <v>104</v>
      </c>
      <c r="H8" s="7" t="s">
        <v>142</v>
      </c>
      <c r="I8" s="7" t="s">
        <v>105</v>
      </c>
      <c r="J8" s="6" t="s">
        <v>106</v>
      </c>
      <c r="K8" s="7" t="s">
        <v>73</v>
      </c>
      <c r="L8" s="7" t="s">
        <v>105</v>
      </c>
      <c r="M8" s="9" t="s">
        <v>107</v>
      </c>
      <c r="N8" s="10" t="s">
        <v>105</v>
      </c>
      <c r="O8" s="11" t="s">
        <v>106</v>
      </c>
      <c r="P8" s="6" t="s">
        <v>107</v>
      </c>
      <c r="Q8" s="7" t="s">
        <v>105</v>
      </c>
      <c r="R8" s="8" t="s">
        <v>106</v>
      </c>
      <c r="S8" s="12" t="s">
        <v>108</v>
      </c>
      <c r="T8" s="7" t="s">
        <v>109</v>
      </c>
      <c r="U8" s="7" t="s">
        <v>110</v>
      </c>
      <c r="V8" s="7" t="s">
        <v>111</v>
      </c>
      <c r="W8" s="8" t="s">
        <v>112</v>
      </c>
    </row>
    <row r="9" spans="1:23" ht="15.75" thickTop="1" x14ac:dyDescent="0.25">
      <c r="E9" t="s">
        <v>113</v>
      </c>
      <c r="G9" s="13"/>
      <c r="J9" s="13"/>
      <c r="M9" s="13"/>
      <c r="O9" s="14"/>
      <c r="P9" s="13"/>
      <c r="R9" s="14"/>
      <c r="S9" s="15"/>
      <c r="W9" s="14"/>
    </row>
    <row r="10" spans="1:23" x14ac:dyDescent="0.25">
      <c r="A10" s="16" t="s">
        <v>114</v>
      </c>
      <c r="B10" s="17" t="b">
        <f t="shared" ref="B10:B16" si="0">AND(NOT(ISERROR(FIND("Section ",A10))),NOT(ISERROR(FIND("Section ",A10))))</f>
        <v>0</v>
      </c>
      <c r="C10" s="17" t="b">
        <f t="shared" ref="C10:C62" si="1">OR(NOT(ISERROR(FIND("hr",A11))), NOT(ISERROR(FIND("min ",A11))),RIGHT(A11,3)="min")</f>
        <v>0</v>
      </c>
      <c r="D10" s="17">
        <f>IF(B10,0,IF(C10,D9+1,D9))</f>
        <v>0</v>
      </c>
      <c r="E10" s="17" t="str">
        <f>IF(B10,A10,E9)</f>
        <v xml:space="preserve"> </v>
      </c>
      <c r="F10" s="18" t="str">
        <f>IF(C10,A10,"")</f>
        <v/>
      </c>
      <c r="G10" s="13" t="str">
        <f t="shared" ref="G10:G19" si="2">IF(C10,A11,"")</f>
        <v/>
      </c>
      <c r="H10">
        <f t="shared" ref="H10:H19" si="3">VALUE(IF(NOT(ISERROR(FIND("hr",G10))),LEFT(G10,FIND("hr",G10)-1),0))</f>
        <v>0</v>
      </c>
      <c r="I10">
        <f t="shared" ref="I10:I19" si="4">VALUE(IF(ISERROR(FIND("min",G10)),0,SUBSTITUTE(MID(G10,IF(ISERROR(FIND("hr ",G10)),1,FIND("hr ",G10)+3),LEN(G10)),"min","")))</f>
        <v>0</v>
      </c>
      <c r="J10" s="13">
        <f t="shared" ref="J10:J19" si="5">J9+(H10*60+I10)</f>
        <v>0</v>
      </c>
      <c r="K10">
        <f>INT(J10/60)</f>
        <v>0</v>
      </c>
      <c r="L10">
        <f>INT(J10-(K10*60))</f>
        <v>0</v>
      </c>
      <c r="M10" s="13">
        <f t="shared" ref="M10:N19" si="6">P9</f>
        <v>0</v>
      </c>
      <c r="N10">
        <f t="shared" si="6"/>
        <v>0</v>
      </c>
      <c r="O10" s="14">
        <f t="shared" ref="O10:O73" si="7">((M10*60)+N10)</f>
        <v>0</v>
      </c>
      <c r="P10" s="13">
        <f>INT(R10/60)</f>
        <v>0</v>
      </c>
      <c r="Q10">
        <f t="shared" ref="Q10:Q19" si="8">R10-(P10*60)</f>
        <v>0</v>
      </c>
      <c r="R10" s="14">
        <f t="shared" ref="R10:R19" si="9">((H10*60)+I10)+O10</f>
        <v>0</v>
      </c>
      <c r="S10" s="15">
        <v>45107</v>
      </c>
      <c r="W10" s="14"/>
    </row>
    <row r="11" spans="1:23" x14ac:dyDescent="0.25">
      <c r="A11" s="16"/>
      <c r="B11" s="17" t="b">
        <f t="shared" si="0"/>
        <v>0</v>
      </c>
      <c r="C11" s="17" t="b">
        <f t="shared" si="1"/>
        <v>0</v>
      </c>
      <c r="D11" s="17">
        <f t="shared" ref="D11:D74" si="10">IF(B11,0,IF(C11,D10+1,D10))</f>
        <v>0</v>
      </c>
      <c r="E11" s="17" t="str">
        <f>SUBSTITUTE(IF(B11,A11,E10),":", " -")</f>
        <v xml:space="preserve"> </v>
      </c>
      <c r="F11" s="18" t="str">
        <f t="shared" ref="F11:F74" si="11">IF(C11,A11,"")</f>
        <v/>
      </c>
      <c r="G11" s="13" t="str">
        <f t="shared" si="2"/>
        <v/>
      </c>
      <c r="H11">
        <f t="shared" si="3"/>
        <v>0</v>
      </c>
      <c r="I11">
        <f t="shared" si="4"/>
        <v>0</v>
      </c>
      <c r="J11" s="13">
        <f t="shared" si="5"/>
        <v>0</v>
      </c>
      <c r="K11">
        <f t="shared" ref="K11:K74" si="12">INT(J11/60)</f>
        <v>0</v>
      </c>
      <c r="L11">
        <f t="shared" ref="L11:L74" si="13">INT(J11-(K11*60))</f>
        <v>0</v>
      </c>
      <c r="M11" s="13">
        <f t="shared" si="6"/>
        <v>0</v>
      </c>
      <c r="N11">
        <f t="shared" si="6"/>
        <v>0</v>
      </c>
      <c r="O11" s="14">
        <f t="shared" si="7"/>
        <v>0</v>
      </c>
      <c r="P11" s="13">
        <f t="shared" ref="P11:P74" si="14">INT(R11/60)</f>
        <v>0</v>
      </c>
      <c r="Q11">
        <f t="shared" si="8"/>
        <v>0</v>
      </c>
      <c r="R11" s="14">
        <f t="shared" si="9"/>
        <v>0</v>
      </c>
      <c r="S11" s="15"/>
      <c r="W11" s="14"/>
    </row>
    <row r="12" spans="1:23" x14ac:dyDescent="0.25">
      <c r="A12" s="16" t="s">
        <v>121</v>
      </c>
      <c r="B12" s="17" t="b">
        <f t="shared" si="0"/>
        <v>0</v>
      </c>
      <c r="C12" s="17" t="b">
        <f t="shared" si="1"/>
        <v>0</v>
      </c>
      <c r="D12" s="17">
        <f t="shared" si="10"/>
        <v>0</v>
      </c>
      <c r="E12" s="17" t="str">
        <f t="shared" ref="E12:E75" si="15">SUBSTITUTE(IF(B12,A12,E11),":", " -")</f>
        <v xml:space="preserve"> </v>
      </c>
      <c r="F12" s="18" t="str">
        <f t="shared" si="11"/>
        <v/>
      </c>
      <c r="G12" s="13" t="str">
        <f t="shared" si="2"/>
        <v/>
      </c>
      <c r="H12">
        <f t="shared" si="3"/>
        <v>0</v>
      </c>
      <c r="I12">
        <f t="shared" si="4"/>
        <v>0</v>
      </c>
      <c r="J12" s="13">
        <f t="shared" si="5"/>
        <v>0</v>
      </c>
      <c r="K12">
        <f t="shared" si="12"/>
        <v>0</v>
      </c>
      <c r="L12">
        <f t="shared" si="13"/>
        <v>0</v>
      </c>
      <c r="M12" s="13">
        <f t="shared" si="6"/>
        <v>0</v>
      </c>
      <c r="N12">
        <f t="shared" si="6"/>
        <v>0</v>
      </c>
      <c r="O12" s="14">
        <f t="shared" si="7"/>
        <v>0</v>
      </c>
      <c r="P12" s="13">
        <f t="shared" si="14"/>
        <v>0</v>
      </c>
      <c r="Q12">
        <f t="shared" si="8"/>
        <v>0</v>
      </c>
      <c r="R12" s="14">
        <f t="shared" si="9"/>
        <v>0</v>
      </c>
      <c r="S12" s="15"/>
      <c r="W12" s="14"/>
    </row>
    <row r="13" spans="1:23" x14ac:dyDescent="0.25">
      <c r="A13" s="16" t="s">
        <v>143</v>
      </c>
      <c r="B13" s="17" t="b">
        <f t="shared" si="0"/>
        <v>0</v>
      </c>
      <c r="C13" s="17" t="b">
        <f t="shared" si="1"/>
        <v>1</v>
      </c>
      <c r="D13" s="17">
        <f t="shared" si="10"/>
        <v>1</v>
      </c>
      <c r="E13" s="17" t="str">
        <f t="shared" si="15"/>
        <v xml:space="preserve"> </v>
      </c>
      <c r="F13" s="18" t="str">
        <f t="shared" si="11"/>
        <v>1. Introduction</v>
      </c>
      <c r="G13" s="13" t="str">
        <f t="shared" si="2"/>
        <v>1min</v>
      </c>
      <c r="H13">
        <f t="shared" si="3"/>
        <v>0</v>
      </c>
      <c r="I13">
        <f t="shared" si="4"/>
        <v>1</v>
      </c>
      <c r="J13" s="13">
        <f t="shared" si="5"/>
        <v>1</v>
      </c>
      <c r="K13">
        <f t="shared" si="12"/>
        <v>0</v>
      </c>
      <c r="L13">
        <f t="shared" si="13"/>
        <v>1</v>
      </c>
      <c r="M13" s="13">
        <f t="shared" si="6"/>
        <v>0</v>
      </c>
      <c r="N13">
        <f t="shared" si="6"/>
        <v>0</v>
      </c>
      <c r="O13" s="14">
        <f t="shared" si="7"/>
        <v>0</v>
      </c>
      <c r="P13" s="13">
        <f t="shared" si="14"/>
        <v>0</v>
      </c>
      <c r="Q13">
        <f t="shared" si="8"/>
        <v>1</v>
      </c>
      <c r="R13" s="14">
        <f t="shared" si="9"/>
        <v>1</v>
      </c>
      <c r="S13" s="15"/>
      <c r="W13" s="14"/>
    </row>
    <row r="14" spans="1:23" x14ac:dyDescent="0.25">
      <c r="A14" s="16" t="s">
        <v>144</v>
      </c>
      <c r="B14" s="17" t="b">
        <f t="shared" si="0"/>
        <v>0</v>
      </c>
      <c r="C14" s="17" t="b">
        <f t="shared" si="1"/>
        <v>0</v>
      </c>
      <c r="D14" s="17">
        <f t="shared" si="10"/>
        <v>1</v>
      </c>
      <c r="E14" s="17" t="str">
        <f t="shared" si="15"/>
        <v xml:space="preserve"> </v>
      </c>
      <c r="F14" s="18" t="str">
        <f t="shared" si="11"/>
        <v/>
      </c>
      <c r="G14" s="13" t="str">
        <f t="shared" si="2"/>
        <v/>
      </c>
      <c r="H14">
        <f t="shared" si="3"/>
        <v>0</v>
      </c>
      <c r="I14">
        <f t="shared" si="4"/>
        <v>0</v>
      </c>
      <c r="J14" s="13">
        <f t="shared" si="5"/>
        <v>1</v>
      </c>
      <c r="K14">
        <f t="shared" si="12"/>
        <v>0</v>
      </c>
      <c r="L14">
        <f t="shared" si="13"/>
        <v>1</v>
      </c>
      <c r="M14" s="13">
        <f t="shared" si="6"/>
        <v>0</v>
      </c>
      <c r="N14">
        <f t="shared" si="6"/>
        <v>1</v>
      </c>
      <c r="O14" s="14">
        <f t="shared" si="7"/>
        <v>1</v>
      </c>
      <c r="P14" s="13">
        <f t="shared" si="14"/>
        <v>0</v>
      </c>
      <c r="Q14">
        <f t="shared" si="8"/>
        <v>1</v>
      </c>
      <c r="R14" s="14">
        <f t="shared" si="9"/>
        <v>1</v>
      </c>
      <c r="S14" s="15"/>
      <c r="W14" s="14"/>
    </row>
    <row r="15" spans="1:23" x14ac:dyDescent="0.25">
      <c r="A15" s="16" t="s">
        <v>115</v>
      </c>
      <c r="B15" s="17" t="b">
        <f t="shared" si="0"/>
        <v>1</v>
      </c>
      <c r="C15" s="17" t="b">
        <f t="shared" si="1"/>
        <v>0</v>
      </c>
      <c r="D15" s="17">
        <f t="shared" si="10"/>
        <v>0</v>
      </c>
      <c r="E15" s="17" t="str">
        <f t="shared" si="15"/>
        <v>Section 1 - Introduction</v>
      </c>
      <c r="F15" s="18" t="str">
        <f t="shared" si="11"/>
        <v/>
      </c>
      <c r="G15" s="13" t="str">
        <f t="shared" si="2"/>
        <v/>
      </c>
      <c r="H15">
        <f t="shared" si="3"/>
        <v>0</v>
      </c>
      <c r="I15">
        <f t="shared" si="4"/>
        <v>0</v>
      </c>
      <c r="J15" s="13">
        <f t="shared" si="5"/>
        <v>1</v>
      </c>
      <c r="K15">
        <f t="shared" si="12"/>
        <v>0</v>
      </c>
      <c r="L15">
        <f t="shared" si="13"/>
        <v>1</v>
      </c>
      <c r="M15" s="13">
        <f t="shared" si="6"/>
        <v>0</v>
      </c>
      <c r="N15">
        <f t="shared" si="6"/>
        <v>1</v>
      </c>
      <c r="O15" s="14">
        <f t="shared" si="7"/>
        <v>1</v>
      </c>
      <c r="P15" s="13">
        <f t="shared" si="14"/>
        <v>0</v>
      </c>
      <c r="Q15">
        <f t="shared" si="8"/>
        <v>1</v>
      </c>
      <c r="R15" s="14">
        <f t="shared" si="9"/>
        <v>1</v>
      </c>
      <c r="S15" s="15"/>
      <c r="W15" s="14"/>
    </row>
    <row r="16" spans="1:23" x14ac:dyDescent="0.25">
      <c r="A16" s="16" t="s">
        <v>160</v>
      </c>
      <c r="B16" s="17" t="b">
        <f t="shared" si="0"/>
        <v>0</v>
      </c>
      <c r="C16" s="17" t="b">
        <f t="shared" si="1"/>
        <v>1</v>
      </c>
      <c r="D16" s="17">
        <f t="shared" si="10"/>
        <v>1</v>
      </c>
      <c r="E16" s="17" t="str">
        <f t="shared" si="15"/>
        <v>Section 1 - Introduction</v>
      </c>
      <c r="F16" s="18" t="str">
        <f t="shared" si="11"/>
        <v>2. Spring Boot Overview</v>
      </c>
      <c r="G16" s="13" t="str">
        <f t="shared" si="2"/>
        <v>4min</v>
      </c>
      <c r="H16">
        <f t="shared" si="3"/>
        <v>0</v>
      </c>
      <c r="I16">
        <f t="shared" si="4"/>
        <v>4</v>
      </c>
      <c r="J16" s="13">
        <f t="shared" si="5"/>
        <v>5</v>
      </c>
      <c r="K16">
        <f t="shared" si="12"/>
        <v>0</v>
      </c>
      <c r="L16">
        <f t="shared" si="13"/>
        <v>5</v>
      </c>
      <c r="M16" s="13">
        <f t="shared" si="6"/>
        <v>0</v>
      </c>
      <c r="N16">
        <f t="shared" si="6"/>
        <v>1</v>
      </c>
      <c r="O16" s="14">
        <f t="shared" si="7"/>
        <v>1</v>
      </c>
      <c r="P16" s="13">
        <f t="shared" si="14"/>
        <v>0</v>
      </c>
      <c r="Q16">
        <f t="shared" si="8"/>
        <v>5</v>
      </c>
      <c r="R16" s="14">
        <f t="shared" si="9"/>
        <v>5</v>
      </c>
      <c r="S16" s="15"/>
      <c r="W16" s="14"/>
    </row>
    <row r="17" spans="1:23" x14ac:dyDescent="0.25">
      <c r="A17" s="16" t="s">
        <v>125</v>
      </c>
      <c r="B17" s="17" t="b">
        <f>AND(NOT(ISERROR(FIND("Section ",A17))),NOT(ISERROR(FIND("Section ",A17))))</f>
        <v>0</v>
      </c>
      <c r="C17" s="17" t="b">
        <f t="shared" si="1"/>
        <v>0</v>
      </c>
      <c r="D17" s="17">
        <f t="shared" si="10"/>
        <v>1</v>
      </c>
      <c r="E17" s="17" t="str">
        <f t="shared" si="15"/>
        <v>Section 1 - Introduction</v>
      </c>
      <c r="F17" s="18" t="str">
        <f t="shared" si="11"/>
        <v/>
      </c>
      <c r="G17" s="13" t="str">
        <f t="shared" si="2"/>
        <v/>
      </c>
      <c r="H17">
        <f t="shared" si="3"/>
        <v>0</v>
      </c>
      <c r="I17">
        <f t="shared" si="4"/>
        <v>0</v>
      </c>
      <c r="J17" s="13">
        <f t="shared" si="5"/>
        <v>5</v>
      </c>
      <c r="K17">
        <f t="shared" si="12"/>
        <v>0</v>
      </c>
      <c r="L17">
        <f t="shared" si="13"/>
        <v>5</v>
      </c>
      <c r="M17" s="13">
        <f t="shared" si="6"/>
        <v>0</v>
      </c>
      <c r="N17">
        <f t="shared" si="6"/>
        <v>5</v>
      </c>
      <c r="O17" s="14">
        <f t="shared" si="7"/>
        <v>5</v>
      </c>
      <c r="P17" s="13">
        <f t="shared" si="14"/>
        <v>0</v>
      </c>
      <c r="Q17">
        <f t="shared" si="8"/>
        <v>5</v>
      </c>
      <c r="R17" s="14">
        <f t="shared" si="9"/>
        <v>5</v>
      </c>
      <c r="S17" s="15"/>
      <c r="W17" s="14"/>
    </row>
    <row r="18" spans="1:23" x14ac:dyDescent="0.25">
      <c r="A18" s="16" t="s">
        <v>121</v>
      </c>
      <c r="B18" s="17" t="b">
        <f t="shared" ref="B18:B81" si="16">AND(NOT(ISERROR(FIND("Section ",A18))),NOT(ISERROR(FIND("Section ",A18))))</f>
        <v>0</v>
      </c>
      <c r="C18" s="17" t="b">
        <f t="shared" si="1"/>
        <v>0</v>
      </c>
      <c r="D18" s="17">
        <f t="shared" si="10"/>
        <v>1</v>
      </c>
      <c r="E18" s="17" t="str">
        <f t="shared" si="15"/>
        <v>Section 1 - Introduction</v>
      </c>
      <c r="F18" s="18" t="str">
        <f t="shared" si="11"/>
        <v/>
      </c>
      <c r="G18" s="13" t="str">
        <f t="shared" si="2"/>
        <v/>
      </c>
      <c r="H18">
        <f t="shared" si="3"/>
        <v>0</v>
      </c>
      <c r="I18">
        <f t="shared" si="4"/>
        <v>0</v>
      </c>
      <c r="J18" s="13">
        <f t="shared" si="5"/>
        <v>5</v>
      </c>
      <c r="K18">
        <f t="shared" si="12"/>
        <v>0</v>
      </c>
      <c r="L18">
        <f t="shared" si="13"/>
        <v>5</v>
      </c>
      <c r="M18" s="13">
        <f t="shared" si="6"/>
        <v>0</v>
      </c>
      <c r="N18">
        <f t="shared" si="6"/>
        <v>5</v>
      </c>
      <c r="O18" s="14">
        <f t="shared" si="7"/>
        <v>5</v>
      </c>
      <c r="P18" s="13">
        <f t="shared" si="14"/>
        <v>0</v>
      </c>
      <c r="Q18">
        <f t="shared" si="8"/>
        <v>5</v>
      </c>
      <c r="R18" s="14">
        <f t="shared" si="9"/>
        <v>5</v>
      </c>
      <c r="S18" s="15"/>
      <c r="W18" s="14"/>
    </row>
    <row r="19" spans="1:23" x14ac:dyDescent="0.25">
      <c r="A19" s="16" t="s">
        <v>161</v>
      </c>
      <c r="B19" s="17" t="b">
        <f t="shared" si="16"/>
        <v>0</v>
      </c>
      <c r="C19" s="17" t="b">
        <f t="shared" si="1"/>
        <v>1</v>
      </c>
      <c r="D19" s="17">
        <f t="shared" si="10"/>
        <v>2</v>
      </c>
      <c r="E19" s="17" t="str">
        <f t="shared" si="15"/>
        <v>Section 1 - Introduction</v>
      </c>
      <c r="F19" s="18" t="str">
        <f t="shared" si="11"/>
        <v>3. Development Setup and Spring boot Initializer</v>
      </c>
      <c r="G19" s="13" t="str">
        <f t="shared" si="2"/>
        <v>3min</v>
      </c>
      <c r="H19">
        <f t="shared" si="3"/>
        <v>0</v>
      </c>
      <c r="I19">
        <f t="shared" si="4"/>
        <v>3</v>
      </c>
      <c r="J19" s="13">
        <f t="shared" si="5"/>
        <v>8</v>
      </c>
      <c r="K19">
        <f t="shared" si="12"/>
        <v>0</v>
      </c>
      <c r="L19">
        <f t="shared" si="13"/>
        <v>8</v>
      </c>
      <c r="M19" s="13">
        <f t="shared" si="6"/>
        <v>0</v>
      </c>
      <c r="N19">
        <f t="shared" si="6"/>
        <v>5</v>
      </c>
      <c r="O19" s="14">
        <f t="shared" si="7"/>
        <v>5</v>
      </c>
      <c r="P19" s="13">
        <f t="shared" si="14"/>
        <v>0</v>
      </c>
      <c r="Q19">
        <f t="shared" si="8"/>
        <v>8</v>
      </c>
      <c r="R19" s="14">
        <f t="shared" si="9"/>
        <v>8</v>
      </c>
      <c r="S19" s="15"/>
      <c r="W19" s="14"/>
    </row>
    <row r="20" spans="1:23" x14ac:dyDescent="0.25">
      <c r="A20" s="16" t="s">
        <v>123</v>
      </c>
      <c r="B20" s="17" t="b">
        <f t="shared" si="16"/>
        <v>0</v>
      </c>
      <c r="C20" s="17" t="b">
        <f t="shared" si="1"/>
        <v>0</v>
      </c>
      <c r="D20" s="17">
        <f t="shared" si="10"/>
        <v>2</v>
      </c>
      <c r="E20" s="17" t="str">
        <f t="shared" si="15"/>
        <v>Section 1 - Introduction</v>
      </c>
      <c r="F20" s="18" t="str">
        <f t="shared" si="11"/>
        <v/>
      </c>
      <c r="G20" s="13" t="str">
        <f>IF(C20,A21,"")</f>
        <v/>
      </c>
      <c r="H20">
        <f>VALUE(IF(NOT(ISERROR(FIND("hr",G20))),LEFT(G20,FIND("hr",G20)-1),0))</f>
        <v>0</v>
      </c>
      <c r="I20">
        <f>VALUE(IF(ISERROR(FIND("min",G20)),0,SUBSTITUTE(MID(G20,IF(ISERROR(FIND("hr ",G20)),1,FIND("hr ",G20)+3),LEN(G20)),"min","")))</f>
        <v>0</v>
      </c>
      <c r="J20" s="13">
        <f>J19+(H20*60+I20)</f>
        <v>8</v>
      </c>
      <c r="K20">
        <f t="shared" si="12"/>
        <v>0</v>
      </c>
      <c r="L20">
        <f t="shared" si="13"/>
        <v>8</v>
      </c>
      <c r="M20" s="13">
        <f>P19</f>
        <v>0</v>
      </c>
      <c r="N20">
        <f>Q19</f>
        <v>8</v>
      </c>
      <c r="O20" s="14">
        <f t="shared" si="7"/>
        <v>8</v>
      </c>
      <c r="P20" s="13">
        <f t="shared" si="14"/>
        <v>0</v>
      </c>
      <c r="Q20">
        <f>R20-(P20*60)</f>
        <v>8</v>
      </c>
      <c r="R20" s="14">
        <f>((H20*60)+I20)+O20</f>
        <v>8</v>
      </c>
      <c r="S20" s="15"/>
      <c r="W20" s="14"/>
    </row>
    <row r="21" spans="1:23" x14ac:dyDescent="0.25">
      <c r="A21" s="16" t="s">
        <v>121</v>
      </c>
      <c r="B21" s="17" t="b">
        <f t="shared" si="16"/>
        <v>0</v>
      </c>
      <c r="C21" s="17" t="b">
        <f t="shared" si="1"/>
        <v>0</v>
      </c>
      <c r="D21" s="17">
        <f t="shared" si="10"/>
        <v>2</v>
      </c>
      <c r="E21" s="17" t="str">
        <f t="shared" si="15"/>
        <v>Section 1 - Introduction</v>
      </c>
      <c r="F21" s="18" t="str">
        <f t="shared" si="11"/>
        <v/>
      </c>
      <c r="G21" s="13" t="str">
        <f t="shared" ref="G21:G84" si="17">IF(C21,A22,"")</f>
        <v/>
      </c>
      <c r="H21">
        <f t="shared" ref="H21:H84" si="18">VALUE(IF(NOT(ISERROR(FIND("hr",G21))),LEFT(G21,FIND("hr",G21)-1),0))</f>
        <v>0</v>
      </c>
      <c r="I21">
        <f t="shared" ref="I21:I84" si="19">VALUE(IF(ISERROR(FIND("min",G21)),0,SUBSTITUTE(MID(G21,IF(ISERROR(FIND("hr ",G21)),1,FIND("hr ",G21)+3),LEN(G21)),"min","")))</f>
        <v>0</v>
      </c>
      <c r="J21" s="13">
        <f t="shared" ref="J21:J84" si="20">J20+(H21*60+I21)</f>
        <v>8</v>
      </c>
      <c r="K21">
        <f t="shared" si="12"/>
        <v>0</v>
      </c>
      <c r="L21">
        <f t="shared" si="13"/>
        <v>8</v>
      </c>
      <c r="M21" s="13">
        <f t="shared" ref="M21:N84" si="21">P20</f>
        <v>0</v>
      </c>
      <c r="N21">
        <f t="shared" si="21"/>
        <v>8</v>
      </c>
      <c r="O21" s="14">
        <f t="shared" si="7"/>
        <v>8</v>
      </c>
      <c r="P21" s="13">
        <f t="shared" si="14"/>
        <v>0</v>
      </c>
      <c r="Q21">
        <f t="shared" ref="Q21:Q84" si="22">R21-(P21*60)</f>
        <v>8</v>
      </c>
      <c r="R21" s="14">
        <f t="shared" ref="R21:R84" si="23">((H21*60)+I21)+O21</f>
        <v>8</v>
      </c>
      <c r="S21" s="15"/>
      <c r="W21" s="14"/>
    </row>
    <row r="22" spans="1:23" x14ac:dyDescent="0.25">
      <c r="A22" s="16"/>
      <c r="B22" s="17" t="b">
        <f t="shared" si="16"/>
        <v>0</v>
      </c>
      <c r="C22" s="17" t="b">
        <f t="shared" si="1"/>
        <v>0</v>
      </c>
      <c r="D22" s="17">
        <f t="shared" si="10"/>
        <v>2</v>
      </c>
      <c r="E22" s="17" t="str">
        <f t="shared" si="15"/>
        <v>Section 1 - Introduction</v>
      </c>
      <c r="F22" s="18" t="str">
        <f t="shared" si="11"/>
        <v/>
      </c>
      <c r="G22" s="13" t="str">
        <f t="shared" si="17"/>
        <v/>
      </c>
      <c r="H22">
        <f t="shared" si="18"/>
        <v>0</v>
      </c>
      <c r="I22">
        <f t="shared" si="19"/>
        <v>0</v>
      </c>
      <c r="J22" s="13">
        <f t="shared" si="20"/>
        <v>8</v>
      </c>
      <c r="K22">
        <f t="shared" si="12"/>
        <v>0</v>
      </c>
      <c r="L22">
        <f t="shared" si="13"/>
        <v>8</v>
      </c>
      <c r="M22" s="13">
        <f t="shared" si="21"/>
        <v>0</v>
      </c>
      <c r="N22">
        <f t="shared" si="21"/>
        <v>8</v>
      </c>
      <c r="O22" s="14">
        <f t="shared" si="7"/>
        <v>8</v>
      </c>
      <c r="P22" s="13">
        <f t="shared" si="14"/>
        <v>0</v>
      </c>
      <c r="Q22">
        <f t="shared" si="22"/>
        <v>8</v>
      </c>
      <c r="R22" s="14">
        <f t="shared" si="23"/>
        <v>8</v>
      </c>
      <c r="S22" s="15"/>
      <c r="W22" s="14"/>
    </row>
    <row r="23" spans="1:23" x14ac:dyDescent="0.25">
      <c r="A23" s="16" t="s">
        <v>162</v>
      </c>
      <c r="B23" s="17" t="b">
        <f t="shared" si="16"/>
        <v>0</v>
      </c>
      <c r="C23" s="17" t="b">
        <f t="shared" si="1"/>
        <v>1</v>
      </c>
      <c r="D23" s="17">
        <f t="shared" si="10"/>
        <v>3</v>
      </c>
      <c r="E23" s="17" t="str">
        <f t="shared" si="15"/>
        <v>Section 1 - Introduction</v>
      </c>
      <c r="F23" s="18" t="str">
        <f t="shared" si="11"/>
        <v>4. Demo application overview for this course</v>
      </c>
      <c r="G23" s="13" t="str">
        <f t="shared" si="17"/>
        <v>1min</v>
      </c>
      <c r="H23">
        <f t="shared" si="18"/>
        <v>0</v>
      </c>
      <c r="I23">
        <f t="shared" si="19"/>
        <v>1</v>
      </c>
      <c r="J23" s="13">
        <f t="shared" si="20"/>
        <v>9</v>
      </c>
      <c r="K23">
        <f t="shared" si="12"/>
        <v>0</v>
      </c>
      <c r="L23">
        <f t="shared" si="13"/>
        <v>9</v>
      </c>
      <c r="M23" s="13">
        <f t="shared" si="21"/>
        <v>0</v>
      </c>
      <c r="N23">
        <f t="shared" si="21"/>
        <v>8</v>
      </c>
      <c r="O23" s="14">
        <f t="shared" si="7"/>
        <v>8</v>
      </c>
      <c r="P23" s="13">
        <f t="shared" si="14"/>
        <v>0</v>
      </c>
      <c r="Q23">
        <f t="shared" si="22"/>
        <v>9</v>
      </c>
      <c r="R23" s="14">
        <f>((H23*60)+I23)+O23</f>
        <v>9</v>
      </c>
      <c r="S23" s="15"/>
      <c r="W23" s="14"/>
    </row>
    <row r="24" spans="1:23" x14ac:dyDescent="0.25">
      <c r="A24" s="16" t="s">
        <v>144</v>
      </c>
      <c r="B24" s="17" t="b">
        <f t="shared" si="16"/>
        <v>0</v>
      </c>
      <c r="C24" s="17" t="b">
        <f t="shared" si="1"/>
        <v>0</v>
      </c>
      <c r="D24" s="17">
        <f t="shared" si="10"/>
        <v>3</v>
      </c>
      <c r="E24" s="17" t="str">
        <f t="shared" si="15"/>
        <v>Section 1 - Introduction</v>
      </c>
      <c r="F24" s="18" t="str">
        <f t="shared" si="11"/>
        <v/>
      </c>
      <c r="G24" s="13" t="str">
        <f t="shared" si="17"/>
        <v/>
      </c>
      <c r="H24">
        <f t="shared" si="18"/>
        <v>0</v>
      </c>
      <c r="I24">
        <f t="shared" si="19"/>
        <v>0</v>
      </c>
      <c r="J24" s="13">
        <f t="shared" si="20"/>
        <v>9</v>
      </c>
      <c r="K24">
        <f t="shared" si="12"/>
        <v>0</v>
      </c>
      <c r="L24">
        <f t="shared" si="13"/>
        <v>9</v>
      </c>
      <c r="M24" s="13">
        <f t="shared" si="21"/>
        <v>0</v>
      </c>
      <c r="N24">
        <f t="shared" si="21"/>
        <v>9</v>
      </c>
      <c r="O24" s="14">
        <f t="shared" si="7"/>
        <v>9</v>
      </c>
      <c r="P24" s="13">
        <f t="shared" si="14"/>
        <v>0</v>
      </c>
      <c r="Q24">
        <f t="shared" si="22"/>
        <v>9</v>
      </c>
      <c r="R24" s="14">
        <f t="shared" si="23"/>
        <v>9</v>
      </c>
      <c r="S24" s="15"/>
      <c r="W24" s="14"/>
    </row>
    <row r="25" spans="1:23" x14ac:dyDescent="0.25">
      <c r="A25" s="16"/>
      <c r="B25" s="17" t="b">
        <f t="shared" si="16"/>
        <v>0</v>
      </c>
      <c r="C25" s="17" t="b">
        <f t="shared" si="1"/>
        <v>0</v>
      </c>
      <c r="D25" s="17">
        <f t="shared" si="10"/>
        <v>3</v>
      </c>
      <c r="E25" s="17" t="str">
        <f t="shared" si="15"/>
        <v>Section 1 - Introduction</v>
      </c>
      <c r="F25" s="18" t="str">
        <f t="shared" si="11"/>
        <v/>
      </c>
      <c r="G25" s="13" t="str">
        <f t="shared" si="17"/>
        <v/>
      </c>
      <c r="H25">
        <f t="shared" si="18"/>
        <v>0</v>
      </c>
      <c r="I25">
        <f t="shared" si="19"/>
        <v>0</v>
      </c>
      <c r="J25" s="13">
        <f t="shared" si="20"/>
        <v>9</v>
      </c>
      <c r="K25">
        <f t="shared" si="12"/>
        <v>0</v>
      </c>
      <c r="L25">
        <f t="shared" si="13"/>
        <v>9</v>
      </c>
      <c r="M25" s="13">
        <f t="shared" si="21"/>
        <v>0</v>
      </c>
      <c r="N25">
        <f t="shared" si="21"/>
        <v>9</v>
      </c>
      <c r="O25" s="14">
        <f t="shared" si="7"/>
        <v>9</v>
      </c>
      <c r="P25" s="13">
        <f t="shared" si="14"/>
        <v>0</v>
      </c>
      <c r="Q25">
        <f t="shared" si="22"/>
        <v>9</v>
      </c>
      <c r="R25" s="14">
        <f t="shared" si="23"/>
        <v>9</v>
      </c>
      <c r="S25" s="15"/>
      <c r="W25" s="14"/>
    </row>
    <row r="26" spans="1:23" x14ac:dyDescent="0.25">
      <c r="A26" s="16" t="s">
        <v>188</v>
      </c>
      <c r="B26" s="17" t="b">
        <f t="shared" si="16"/>
        <v>1</v>
      </c>
      <c r="C26" s="17" t="b">
        <f t="shared" si="1"/>
        <v>0</v>
      </c>
      <c r="D26" s="17">
        <f t="shared" si="10"/>
        <v>0</v>
      </c>
      <c r="E26" s="17" t="str">
        <f t="shared" si="15"/>
        <v>Section 2 - Spring Boot - REST API</v>
      </c>
      <c r="F26" s="18" t="str">
        <f t="shared" si="11"/>
        <v/>
      </c>
      <c r="G26" s="13" t="str">
        <f t="shared" si="17"/>
        <v/>
      </c>
      <c r="H26">
        <f t="shared" si="18"/>
        <v>0</v>
      </c>
      <c r="I26">
        <f t="shared" si="19"/>
        <v>0</v>
      </c>
      <c r="J26" s="13">
        <f t="shared" si="20"/>
        <v>9</v>
      </c>
      <c r="K26">
        <f t="shared" si="12"/>
        <v>0</v>
      </c>
      <c r="L26">
        <f t="shared" si="13"/>
        <v>9</v>
      </c>
      <c r="M26" s="13">
        <f t="shared" si="21"/>
        <v>0</v>
      </c>
      <c r="N26">
        <f t="shared" si="21"/>
        <v>9</v>
      </c>
      <c r="O26" s="14">
        <f t="shared" si="7"/>
        <v>9</v>
      </c>
      <c r="P26" s="13">
        <f t="shared" si="14"/>
        <v>0</v>
      </c>
      <c r="Q26">
        <f t="shared" si="22"/>
        <v>9</v>
      </c>
      <c r="R26" s="14">
        <f t="shared" si="23"/>
        <v>9</v>
      </c>
      <c r="S26" s="15"/>
      <c r="W26" s="14"/>
    </row>
    <row r="27" spans="1:23" x14ac:dyDescent="0.25">
      <c r="A27" s="16" t="s">
        <v>163</v>
      </c>
      <c r="B27" s="17" t="b">
        <f t="shared" si="16"/>
        <v>0</v>
      </c>
      <c r="C27" s="17" t="b">
        <f t="shared" si="1"/>
        <v>1</v>
      </c>
      <c r="D27" s="17">
        <f t="shared" si="10"/>
        <v>1</v>
      </c>
      <c r="E27" s="17" t="str">
        <f t="shared" si="15"/>
        <v>Section 2 - Spring Boot - REST API</v>
      </c>
      <c r="F27" s="18" t="str">
        <f t="shared" si="11"/>
        <v>5. Adding REST GET Controller</v>
      </c>
      <c r="G27" s="13" t="str">
        <f t="shared" si="17"/>
        <v>6min</v>
      </c>
      <c r="H27">
        <f t="shared" si="18"/>
        <v>0</v>
      </c>
      <c r="I27">
        <f t="shared" si="19"/>
        <v>6</v>
      </c>
      <c r="J27" s="13">
        <f t="shared" si="20"/>
        <v>15</v>
      </c>
      <c r="K27">
        <f t="shared" si="12"/>
        <v>0</v>
      </c>
      <c r="L27">
        <f t="shared" si="13"/>
        <v>15</v>
      </c>
      <c r="M27" s="13">
        <f t="shared" si="21"/>
        <v>0</v>
      </c>
      <c r="N27">
        <f t="shared" si="21"/>
        <v>9</v>
      </c>
      <c r="O27" s="14">
        <f t="shared" si="7"/>
        <v>9</v>
      </c>
      <c r="P27" s="13">
        <f t="shared" si="14"/>
        <v>0</v>
      </c>
      <c r="Q27">
        <f t="shared" si="22"/>
        <v>15</v>
      </c>
      <c r="R27" s="14">
        <f>((H27*60)+I27)+O27</f>
        <v>15</v>
      </c>
      <c r="S27" s="15"/>
      <c r="W27" s="14"/>
    </row>
    <row r="28" spans="1:23" x14ac:dyDescent="0.25">
      <c r="A28" s="16" t="s">
        <v>153</v>
      </c>
      <c r="B28" s="17" t="b">
        <f t="shared" si="16"/>
        <v>0</v>
      </c>
      <c r="C28" s="17" t="b">
        <f t="shared" si="1"/>
        <v>0</v>
      </c>
      <c r="D28" s="17">
        <f t="shared" si="10"/>
        <v>1</v>
      </c>
      <c r="E28" s="17" t="str">
        <f t="shared" si="15"/>
        <v>Section 2 - Spring Boot - REST API</v>
      </c>
      <c r="F28" s="18" t="str">
        <f t="shared" si="11"/>
        <v/>
      </c>
      <c r="G28" s="13" t="str">
        <f t="shared" si="17"/>
        <v/>
      </c>
      <c r="H28">
        <f t="shared" si="18"/>
        <v>0</v>
      </c>
      <c r="I28">
        <f t="shared" si="19"/>
        <v>0</v>
      </c>
      <c r="J28" s="13">
        <f t="shared" si="20"/>
        <v>15</v>
      </c>
      <c r="K28">
        <f t="shared" si="12"/>
        <v>0</v>
      </c>
      <c r="L28">
        <f t="shared" si="13"/>
        <v>15</v>
      </c>
      <c r="M28" s="13">
        <f t="shared" si="21"/>
        <v>0</v>
      </c>
      <c r="N28">
        <f t="shared" si="21"/>
        <v>15</v>
      </c>
      <c r="O28" s="14">
        <f t="shared" si="7"/>
        <v>15</v>
      </c>
      <c r="P28" s="13">
        <f t="shared" si="14"/>
        <v>0</v>
      </c>
      <c r="Q28">
        <f t="shared" si="22"/>
        <v>15</v>
      </c>
      <c r="R28" s="14">
        <f t="shared" si="23"/>
        <v>15</v>
      </c>
      <c r="S28" s="15"/>
      <c r="W28" s="14"/>
    </row>
    <row r="29" spans="1:23" x14ac:dyDescent="0.25">
      <c r="A29" s="16" t="s">
        <v>121</v>
      </c>
      <c r="B29" s="17" t="b">
        <f t="shared" si="16"/>
        <v>0</v>
      </c>
      <c r="C29" s="17" t="b">
        <f t="shared" si="1"/>
        <v>0</v>
      </c>
      <c r="D29" s="17">
        <f t="shared" si="10"/>
        <v>1</v>
      </c>
      <c r="E29" s="17" t="str">
        <f t="shared" si="15"/>
        <v>Section 2 - Spring Boot - REST API</v>
      </c>
      <c r="F29" s="18" t="str">
        <f t="shared" si="11"/>
        <v/>
      </c>
      <c r="G29" s="13" t="str">
        <f t="shared" si="17"/>
        <v/>
      </c>
      <c r="H29">
        <f t="shared" si="18"/>
        <v>0</v>
      </c>
      <c r="I29">
        <f t="shared" si="19"/>
        <v>0</v>
      </c>
      <c r="J29" s="13">
        <f t="shared" si="20"/>
        <v>15</v>
      </c>
      <c r="K29">
        <f t="shared" si="12"/>
        <v>0</v>
      </c>
      <c r="L29">
        <f t="shared" si="13"/>
        <v>15</v>
      </c>
      <c r="M29" s="13">
        <f t="shared" si="21"/>
        <v>0</v>
      </c>
      <c r="N29">
        <f t="shared" si="21"/>
        <v>15</v>
      </c>
      <c r="O29" s="14">
        <f t="shared" si="7"/>
        <v>15</v>
      </c>
      <c r="P29" s="13">
        <f t="shared" si="14"/>
        <v>0</v>
      </c>
      <c r="Q29">
        <f t="shared" si="22"/>
        <v>15</v>
      </c>
      <c r="R29" s="14">
        <f t="shared" si="23"/>
        <v>15</v>
      </c>
      <c r="S29" s="15"/>
      <c r="W29" s="14"/>
    </row>
    <row r="30" spans="1:23" x14ac:dyDescent="0.25">
      <c r="A30" s="16"/>
      <c r="B30" s="17" t="b">
        <f t="shared" si="16"/>
        <v>0</v>
      </c>
      <c r="C30" s="17" t="b">
        <f t="shared" si="1"/>
        <v>0</v>
      </c>
      <c r="D30" s="17">
        <f t="shared" si="10"/>
        <v>1</v>
      </c>
      <c r="E30" s="17" t="str">
        <f t="shared" si="15"/>
        <v>Section 2 - Spring Boot - REST API</v>
      </c>
      <c r="F30" s="18" t="str">
        <f t="shared" si="11"/>
        <v/>
      </c>
      <c r="G30" s="13" t="str">
        <f t="shared" si="17"/>
        <v/>
      </c>
      <c r="H30">
        <f t="shared" si="18"/>
        <v>0</v>
      </c>
      <c r="I30">
        <f t="shared" si="19"/>
        <v>0</v>
      </c>
      <c r="J30" s="13">
        <f t="shared" si="20"/>
        <v>15</v>
      </c>
      <c r="K30">
        <f t="shared" si="12"/>
        <v>0</v>
      </c>
      <c r="L30">
        <f t="shared" si="13"/>
        <v>15</v>
      </c>
      <c r="M30" s="13">
        <f t="shared" si="21"/>
        <v>0</v>
      </c>
      <c r="N30">
        <f t="shared" si="21"/>
        <v>15</v>
      </c>
      <c r="O30" s="14">
        <f t="shared" si="7"/>
        <v>15</v>
      </c>
      <c r="P30" s="13">
        <f t="shared" si="14"/>
        <v>0</v>
      </c>
      <c r="Q30">
        <f t="shared" si="22"/>
        <v>15</v>
      </c>
      <c r="R30" s="14">
        <f t="shared" si="23"/>
        <v>15</v>
      </c>
      <c r="S30" s="15"/>
      <c r="W30" s="14"/>
    </row>
    <row r="31" spans="1:23" x14ac:dyDescent="0.25">
      <c r="A31" s="16" t="s">
        <v>164</v>
      </c>
      <c r="B31" s="17" t="b">
        <f t="shared" si="16"/>
        <v>0</v>
      </c>
      <c r="C31" s="17" t="b">
        <f t="shared" si="1"/>
        <v>1</v>
      </c>
      <c r="D31" s="17">
        <f t="shared" si="10"/>
        <v>2</v>
      </c>
      <c r="E31" s="17" t="str">
        <f t="shared" si="15"/>
        <v>Section 2 - Spring Boot - REST API</v>
      </c>
      <c r="F31" s="18" t="str">
        <f t="shared" si="11"/>
        <v>6. Adding REST POST Controller</v>
      </c>
      <c r="G31" s="13" t="str">
        <f t="shared" si="17"/>
        <v>5min</v>
      </c>
      <c r="H31">
        <f t="shared" si="18"/>
        <v>0</v>
      </c>
      <c r="I31">
        <f t="shared" si="19"/>
        <v>5</v>
      </c>
      <c r="J31" s="13">
        <f t="shared" si="20"/>
        <v>20</v>
      </c>
      <c r="K31">
        <f t="shared" si="12"/>
        <v>0</v>
      </c>
      <c r="L31">
        <f t="shared" si="13"/>
        <v>20</v>
      </c>
      <c r="M31" s="13">
        <f t="shared" si="21"/>
        <v>0</v>
      </c>
      <c r="N31">
        <v>0</v>
      </c>
      <c r="O31" s="14">
        <f t="shared" si="7"/>
        <v>0</v>
      </c>
      <c r="P31" s="13">
        <f t="shared" si="14"/>
        <v>0</v>
      </c>
      <c r="Q31">
        <f t="shared" si="22"/>
        <v>5</v>
      </c>
      <c r="R31" s="14">
        <f t="shared" si="23"/>
        <v>5</v>
      </c>
      <c r="S31" s="15"/>
      <c r="W31" s="14"/>
    </row>
    <row r="32" spans="1:23" x14ac:dyDescent="0.25">
      <c r="A32" s="16" t="s">
        <v>120</v>
      </c>
      <c r="B32" s="17" t="b">
        <f t="shared" si="16"/>
        <v>0</v>
      </c>
      <c r="C32" s="17" t="b">
        <f t="shared" si="1"/>
        <v>0</v>
      </c>
      <c r="D32" s="17">
        <f t="shared" si="10"/>
        <v>2</v>
      </c>
      <c r="E32" s="17" t="str">
        <f t="shared" si="15"/>
        <v>Section 2 - Spring Boot - REST API</v>
      </c>
      <c r="F32" s="18" t="str">
        <f t="shared" si="11"/>
        <v/>
      </c>
      <c r="G32" s="13" t="str">
        <f t="shared" si="17"/>
        <v/>
      </c>
      <c r="H32">
        <f t="shared" si="18"/>
        <v>0</v>
      </c>
      <c r="I32">
        <f t="shared" si="19"/>
        <v>0</v>
      </c>
      <c r="J32" s="13">
        <f t="shared" si="20"/>
        <v>20</v>
      </c>
      <c r="K32">
        <f t="shared" si="12"/>
        <v>0</v>
      </c>
      <c r="L32">
        <f t="shared" si="13"/>
        <v>20</v>
      </c>
      <c r="M32" s="13">
        <f t="shared" si="21"/>
        <v>0</v>
      </c>
      <c r="N32">
        <f t="shared" si="21"/>
        <v>5</v>
      </c>
      <c r="O32" s="14">
        <f t="shared" si="7"/>
        <v>5</v>
      </c>
      <c r="P32" s="13">
        <f t="shared" si="14"/>
        <v>0</v>
      </c>
      <c r="Q32">
        <f t="shared" si="22"/>
        <v>5</v>
      </c>
      <c r="R32" s="14">
        <f t="shared" si="23"/>
        <v>5</v>
      </c>
      <c r="S32" s="15"/>
      <c r="W32" s="14"/>
    </row>
    <row r="33" spans="1:23" x14ac:dyDescent="0.25">
      <c r="A33" s="16"/>
      <c r="B33" s="17" t="b">
        <f t="shared" si="16"/>
        <v>0</v>
      </c>
      <c r="C33" s="17" t="b">
        <f t="shared" si="1"/>
        <v>0</v>
      </c>
      <c r="D33" s="17">
        <f t="shared" si="10"/>
        <v>2</v>
      </c>
      <c r="E33" s="17" t="str">
        <f t="shared" si="15"/>
        <v>Section 2 - Spring Boot - REST API</v>
      </c>
      <c r="F33" s="18" t="str">
        <f t="shared" si="11"/>
        <v/>
      </c>
      <c r="G33" s="13" t="str">
        <f t="shared" si="17"/>
        <v/>
      </c>
      <c r="H33">
        <f t="shared" si="18"/>
        <v>0</v>
      </c>
      <c r="I33">
        <f t="shared" si="19"/>
        <v>0</v>
      </c>
      <c r="J33" s="13">
        <f t="shared" si="20"/>
        <v>20</v>
      </c>
      <c r="K33">
        <f t="shared" si="12"/>
        <v>0</v>
      </c>
      <c r="L33">
        <f t="shared" si="13"/>
        <v>20</v>
      </c>
      <c r="M33" s="13">
        <f t="shared" si="21"/>
        <v>0</v>
      </c>
      <c r="N33">
        <f t="shared" si="21"/>
        <v>5</v>
      </c>
      <c r="O33" s="14">
        <f t="shared" si="7"/>
        <v>5</v>
      </c>
      <c r="P33" s="13">
        <f t="shared" si="14"/>
        <v>0</v>
      </c>
      <c r="Q33">
        <f t="shared" si="22"/>
        <v>5</v>
      </c>
      <c r="R33" s="14">
        <f t="shared" si="23"/>
        <v>5</v>
      </c>
      <c r="S33" s="15"/>
      <c r="W33" s="14"/>
    </row>
    <row r="34" spans="1:23" x14ac:dyDescent="0.25">
      <c r="A34" s="16" t="s">
        <v>189</v>
      </c>
      <c r="B34" s="17" t="b">
        <f t="shared" si="16"/>
        <v>1</v>
      </c>
      <c r="C34" s="17" t="b">
        <f t="shared" si="1"/>
        <v>0</v>
      </c>
      <c r="D34" s="17">
        <f t="shared" si="10"/>
        <v>0</v>
      </c>
      <c r="E34" s="17" t="str">
        <f t="shared" si="15"/>
        <v>Section 3 - Spring Boot - Properties</v>
      </c>
      <c r="F34" s="18" t="str">
        <f t="shared" si="11"/>
        <v/>
      </c>
      <c r="G34" s="13" t="str">
        <f t="shared" si="17"/>
        <v/>
      </c>
      <c r="H34">
        <f t="shared" si="18"/>
        <v>0</v>
      </c>
      <c r="I34">
        <f t="shared" si="19"/>
        <v>0</v>
      </c>
      <c r="J34" s="13">
        <f t="shared" si="20"/>
        <v>20</v>
      </c>
      <c r="K34">
        <f t="shared" si="12"/>
        <v>0</v>
      </c>
      <c r="L34">
        <f t="shared" si="13"/>
        <v>20</v>
      </c>
      <c r="M34" s="13">
        <f t="shared" si="21"/>
        <v>0</v>
      </c>
      <c r="N34">
        <f t="shared" si="21"/>
        <v>5</v>
      </c>
      <c r="O34" s="14">
        <f t="shared" si="7"/>
        <v>5</v>
      </c>
      <c r="P34" s="13">
        <f t="shared" si="14"/>
        <v>0</v>
      </c>
      <c r="Q34">
        <f t="shared" si="22"/>
        <v>5</v>
      </c>
      <c r="R34" s="14">
        <f t="shared" si="23"/>
        <v>5</v>
      </c>
      <c r="S34" s="15"/>
      <c r="W34" s="14"/>
    </row>
    <row r="35" spans="1:23" x14ac:dyDescent="0.25">
      <c r="A35" s="16" t="s">
        <v>165</v>
      </c>
      <c r="B35" s="17" t="b">
        <f t="shared" si="16"/>
        <v>0</v>
      </c>
      <c r="C35" s="17" t="b">
        <f t="shared" si="1"/>
        <v>1</v>
      </c>
      <c r="D35" s="17">
        <f t="shared" si="10"/>
        <v>1</v>
      </c>
      <c r="E35" s="17" t="str">
        <f t="shared" si="15"/>
        <v>Section 3 - Spring Boot - Properties</v>
      </c>
      <c r="F35" s="18" t="str">
        <f t="shared" si="11"/>
        <v>7. Default Property File - "Application.properties"</v>
      </c>
      <c r="G35" s="13" t="str">
        <f t="shared" si="17"/>
        <v>11min</v>
      </c>
      <c r="H35">
        <f t="shared" si="18"/>
        <v>0</v>
      </c>
      <c r="I35">
        <f t="shared" si="19"/>
        <v>11</v>
      </c>
      <c r="J35" s="13">
        <f t="shared" si="20"/>
        <v>31</v>
      </c>
      <c r="K35">
        <f t="shared" si="12"/>
        <v>0</v>
      </c>
      <c r="L35">
        <f t="shared" si="13"/>
        <v>31</v>
      </c>
      <c r="M35" s="13">
        <f t="shared" si="21"/>
        <v>0</v>
      </c>
      <c r="N35">
        <f t="shared" si="21"/>
        <v>5</v>
      </c>
      <c r="O35" s="14">
        <f t="shared" si="7"/>
        <v>5</v>
      </c>
      <c r="P35" s="13">
        <f t="shared" si="14"/>
        <v>0</v>
      </c>
      <c r="Q35">
        <f t="shared" si="22"/>
        <v>16</v>
      </c>
      <c r="R35" s="14">
        <f t="shared" si="23"/>
        <v>16</v>
      </c>
      <c r="S35" s="15"/>
      <c r="W35" s="14"/>
    </row>
    <row r="36" spans="1:23" x14ac:dyDescent="0.25">
      <c r="A36" s="16" t="s">
        <v>166</v>
      </c>
      <c r="B36" s="17" t="b">
        <f t="shared" si="16"/>
        <v>0</v>
      </c>
      <c r="C36" s="17" t="b">
        <f t="shared" si="1"/>
        <v>0</v>
      </c>
      <c r="D36" s="17">
        <f t="shared" si="10"/>
        <v>1</v>
      </c>
      <c r="E36" s="17" t="str">
        <f t="shared" si="15"/>
        <v>Section 3 - Spring Boot - Properties</v>
      </c>
      <c r="F36" s="18" t="str">
        <f t="shared" si="11"/>
        <v/>
      </c>
      <c r="G36" s="13" t="str">
        <f t="shared" si="17"/>
        <v/>
      </c>
      <c r="H36">
        <f t="shared" si="18"/>
        <v>0</v>
      </c>
      <c r="I36">
        <f t="shared" si="19"/>
        <v>0</v>
      </c>
      <c r="J36" s="13">
        <f t="shared" si="20"/>
        <v>31</v>
      </c>
      <c r="K36">
        <f t="shared" si="12"/>
        <v>0</v>
      </c>
      <c r="L36">
        <f t="shared" si="13"/>
        <v>31</v>
      </c>
      <c r="M36" s="13">
        <f t="shared" si="21"/>
        <v>0</v>
      </c>
      <c r="N36">
        <f t="shared" si="21"/>
        <v>16</v>
      </c>
      <c r="O36" s="14">
        <f t="shared" si="7"/>
        <v>16</v>
      </c>
      <c r="P36" s="13">
        <f t="shared" si="14"/>
        <v>0</v>
      </c>
      <c r="Q36">
        <f t="shared" si="22"/>
        <v>16</v>
      </c>
      <c r="R36" s="14">
        <f t="shared" si="23"/>
        <v>16</v>
      </c>
      <c r="S36" s="15"/>
      <c r="W36" s="14"/>
    </row>
    <row r="37" spans="1:23" x14ac:dyDescent="0.25">
      <c r="A37" s="16" t="s">
        <v>121</v>
      </c>
      <c r="B37" s="17" t="b">
        <f t="shared" si="16"/>
        <v>0</v>
      </c>
      <c r="C37" s="17" t="b">
        <f t="shared" si="1"/>
        <v>0</v>
      </c>
      <c r="D37" s="17">
        <f t="shared" si="10"/>
        <v>1</v>
      </c>
      <c r="E37" s="17" t="str">
        <f t="shared" si="15"/>
        <v>Section 3 - Spring Boot - Properties</v>
      </c>
      <c r="F37" s="18" t="str">
        <f t="shared" si="11"/>
        <v/>
      </c>
      <c r="G37" s="13" t="str">
        <f t="shared" si="17"/>
        <v/>
      </c>
      <c r="H37">
        <f t="shared" si="18"/>
        <v>0</v>
      </c>
      <c r="I37">
        <f t="shared" si="19"/>
        <v>0</v>
      </c>
      <c r="J37" s="13">
        <f t="shared" si="20"/>
        <v>31</v>
      </c>
      <c r="K37">
        <f t="shared" si="12"/>
        <v>0</v>
      </c>
      <c r="L37">
        <f t="shared" si="13"/>
        <v>31</v>
      </c>
      <c r="M37" s="13">
        <f t="shared" si="21"/>
        <v>0</v>
      </c>
      <c r="N37">
        <f t="shared" si="21"/>
        <v>16</v>
      </c>
      <c r="O37" s="14">
        <f t="shared" si="7"/>
        <v>16</v>
      </c>
      <c r="P37" s="13">
        <f t="shared" si="14"/>
        <v>0</v>
      </c>
      <c r="Q37">
        <f t="shared" si="22"/>
        <v>16</v>
      </c>
      <c r="R37" s="14">
        <f t="shared" si="23"/>
        <v>16</v>
      </c>
      <c r="S37" s="15"/>
      <c r="W37" s="14"/>
    </row>
    <row r="38" spans="1:23" x14ac:dyDescent="0.25">
      <c r="A38" s="16" t="s">
        <v>167</v>
      </c>
      <c r="B38" s="17" t="b">
        <f t="shared" si="16"/>
        <v>0</v>
      </c>
      <c r="C38" s="17" t="b">
        <f t="shared" si="1"/>
        <v>1</v>
      </c>
      <c r="D38" s="17">
        <f t="shared" si="10"/>
        <v>2</v>
      </c>
      <c r="E38" s="17" t="str">
        <f t="shared" si="15"/>
        <v>Section 3 - Spring Boot - Properties</v>
      </c>
      <c r="F38" s="18" t="str">
        <f t="shared" si="11"/>
        <v>8. Profile-specific and Hierarchical Properties</v>
      </c>
      <c r="G38" s="13" t="str">
        <f t="shared" si="17"/>
        <v>16min</v>
      </c>
      <c r="H38">
        <f t="shared" si="18"/>
        <v>0</v>
      </c>
      <c r="I38">
        <f t="shared" si="19"/>
        <v>16</v>
      </c>
      <c r="J38" s="13">
        <f t="shared" si="20"/>
        <v>47</v>
      </c>
      <c r="K38">
        <f t="shared" si="12"/>
        <v>0</v>
      </c>
      <c r="L38">
        <f t="shared" si="13"/>
        <v>47</v>
      </c>
      <c r="M38" s="13">
        <f t="shared" si="21"/>
        <v>0</v>
      </c>
      <c r="N38">
        <f t="shared" si="21"/>
        <v>16</v>
      </c>
      <c r="O38" s="14">
        <f t="shared" si="7"/>
        <v>16</v>
      </c>
      <c r="P38" s="13">
        <f t="shared" si="14"/>
        <v>0</v>
      </c>
      <c r="Q38">
        <f t="shared" si="22"/>
        <v>32</v>
      </c>
      <c r="R38" s="14">
        <f t="shared" si="23"/>
        <v>32</v>
      </c>
      <c r="S38" s="15"/>
      <c r="W38" s="14"/>
    </row>
    <row r="39" spans="1:23" x14ac:dyDescent="0.25">
      <c r="A39" s="16" t="s">
        <v>168</v>
      </c>
      <c r="B39" s="17" t="b">
        <f t="shared" si="16"/>
        <v>0</v>
      </c>
      <c r="C39" s="17" t="b">
        <f t="shared" si="1"/>
        <v>0</v>
      </c>
      <c r="D39" s="17">
        <f t="shared" si="10"/>
        <v>2</v>
      </c>
      <c r="E39" s="17" t="str">
        <f t="shared" si="15"/>
        <v>Section 3 - Spring Boot - Properties</v>
      </c>
      <c r="F39" s="18" t="str">
        <f t="shared" si="11"/>
        <v/>
      </c>
      <c r="G39" s="13" t="str">
        <f t="shared" si="17"/>
        <v/>
      </c>
      <c r="H39">
        <f t="shared" si="18"/>
        <v>0</v>
      </c>
      <c r="I39">
        <f t="shared" si="19"/>
        <v>0</v>
      </c>
      <c r="J39" s="13">
        <f t="shared" si="20"/>
        <v>47</v>
      </c>
      <c r="K39">
        <f t="shared" si="12"/>
        <v>0</v>
      </c>
      <c r="L39">
        <f t="shared" si="13"/>
        <v>47</v>
      </c>
      <c r="M39" s="13">
        <f t="shared" si="21"/>
        <v>0</v>
      </c>
      <c r="N39">
        <f t="shared" si="21"/>
        <v>32</v>
      </c>
      <c r="O39" s="14">
        <f t="shared" si="7"/>
        <v>32</v>
      </c>
      <c r="P39" s="13">
        <f t="shared" si="14"/>
        <v>0</v>
      </c>
      <c r="Q39">
        <f t="shared" si="22"/>
        <v>32</v>
      </c>
      <c r="R39" s="14">
        <f t="shared" si="23"/>
        <v>32</v>
      </c>
      <c r="S39" s="15"/>
      <c r="W39" s="14"/>
    </row>
    <row r="40" spans="1:23" x14ac:dyDescent="0.25">
      <c r="A40" s="16" t="s">
        <v>121</v>
      </c>
      <c r="B40" s="17" t="b">
        <f t="shared" si="16"/>
        <v>0</v>
      </c>
      <c r="C40" s="17" t="b">
        <f t="shared" si="1"/>
        <v>0</v>
      </c>
      <c r="D40" s="17">
        <f t="shared" si="10"/>
        <v>2</v>
      </c>
      <c r="E40" s="17" t="str">
        <f t="shared" si="15"/>
        <v>Section 3 - Spring Boot - Properties</v>
      </c>
      <c r="F40" s="18" t="str">
        <f t="shared" si="11"/>
        <v/>
      </c>
      <c r="G40" s="13" t="str">
        <f t="shared" si="17"/>
        <v/>
      </c>
      <c r="H40">
        <f t="shared" si="18"/>
        <v>0</v>
      </c>
      <c r="I40">
        <f t="shared" si="19"/>
        <v>0</v>
      </c>
      <c r="J40" s="13">
        <f t="shared" si="20"/>
        <v>47</v>
      </c>
      <c r="K40">
        <f t="shared" si="12"/>
        <v>0</v>
      </c>
      <c r="L40">
        <f t="shared" si="13"/>
        <v>47</v>
      </c>
      <c r="M40" s="13">
        <f t="shared" si="21"/>
        <v>0</v>
      </c>
      <c r="N40">
        <f t="shared" si="21"/>
        <v>32</v>
      </c>
      <c r="O40" s="14">
        <f t="shared" si="7"/>
        <v>32</v>
      </c>
      <c r="P40" s="13">
        <f t="shared" si="14"/>
        <v>0</v>
      </c>
      <c r="Q40">
        <f t="shared" si="22"/>
        <v>32</v>
      </c>
      <c r="R40" s="14">
        <f t="shared" si="23"/>
        <v>32</v>
      </c>
      <c r="S40" s="15"/>
      <c r="W40" s="14"/>
    </row>
    <row r="41" spans="1:23" x14ac:dyDescent="0.25">
      <c r="A41" s="16"/>
      <c r="B41" s="17" t="b">
        <f t="shared" si="16"/>
        <v>0</v>
      </c>
      <c r="C41" s="17" t="b">
        <f t="shared" si="1"/>
        <v>0</v>
      </c>
      <c r="D41" s="17">
        <f t="shared" si="10"/>
        <v>2</v>
      </c>
      <c r="E41" s="17" t="str">
        <f t="shared" si="15"/>
        <v>Section 3 - Spring Boot - Properties</v>
      </c>
      <c r="F41" s="18" t="str">
        <f t="shared" si="11"/>
        <v/>
      </c>
      <c r="G41" s="13" t="str">
        <f t="shared" si="17"/>
        <v/>
      </c>
      <c r="H41">
        <f t="shared" si="18"/>
        <v>0</v>
      </c>
      <c r="I41">
        <f t="shared" si="19"/>
        <v>0</v>
      </c>
      <c r="J41" s="13">
        <f t="shared" si="20"/>
        <v>47</v>
      </c>
      <c r="K41">
        <f t="shared" si="12"/>
        <v>0</v>
      </c>
      <c r="L41">
        <f t="shared" si="13"/>
        <v>47</v>
      </c>
      <c r="M41" s="13">
        <f t="shared" si="21"/>
        <v>0</v>
      </c>
      <c r="N41">
        <f t="shared" si="21"/>
        <v>32</v>
      </c>
      <c r="O41" s="14">
        <f t="shared" si="7"/>
        <v>32</v>
      </c>
      <c r="P41" s="13">
        <f t="shared" si="14"/>
        <v>0</v>
      </c>
      <c r="Q41">
        <f t="shared" si="22"/>
        <v>32</v>
      </c>
      <c r="R41" s="14">
        <f t="shared" si="23"/>
        <v>32</v>
      </c>
      <c r="S41" s="15"/>
      <c r="W41" s="14"/>
    </row>
    <row r="42" spans="1:23" x14ac:dyDescent="0.25">
      <c r="A42" s="16" t="s">
        <v>169</v>
      </c>
      <c r="B42" s="17" t="b">
        <f t="shared" si="16"/>
        <v>0</v>
      </c>
      <c r="C42" s="17" t="b">
        <f t="shared" si="1"/>
        <v>1</v>
      </c>
      <c r="D42" s="17">
        <f t="shared" si="10"/>
        <v>3</v>
      </c>
      <c r="E42" s="17" t="str">
        <f t="shared" si="15"/>
        <v>Section 3 - Spring Boot - Properties</v>
      </c>
      <c r="F42" s="18" t="str">
        <f t="shared" si="11"/>
        <v>9. Using YAML Instead of Properties</v>
      </c>
      <c r="G42" s="13" t="str">
        <f t="shared" si="17"/>
        <v>10min</v>
      </c>
      <c r="H42">
        <f t="shared" si="18"/>
        <v>0</v>
      </c>
      <c r="I42">
        <f t="shared" si="19"/>
        <v>10</v>
      </c>
      <c r="J42" s="13">
        <f t="shared" si="20"/>
        <v>57</v>
      </c>
      <c r="K42">
        <f t="shared" si="12"/>
        <v>0</v>
      </c>
      <c r="L42">
        <f t="shared" si="13"/>
        <v>57</v>
      </c>
      <c r="M42" s="13">
        <f t="shared" si="21"/>
        <v>0</v>
      </c>
      <c r="N42">
        <v>31</v>
      </c>
      <c r="O42" s="14">
        <f t="shared" si="7"/>
        <v>31</v>
      </c>
      <c r="P42" s="13">
        <f t="shared" si="14"/>
        <v>0</v>
      </c>
      <c r="Q42">
        <f t="shared" si="22"/>
        <v>41</v>
      </c>
      <c r="R42" s="14">
        <f t="shared" si="23"/>
        <v>41</v>
      </c>
      <c r="S42" s="15"/>
      <c r="W42" s="14"/>
    </row>
    <row r="43" spans="1:23" x14ac:dyDescent="0.25">
      <c r="A43" s="16" t="s">
        <v>129</v>
      </c>
      <c r="B43" s="17" t="b">
        <f t="shared" si="16"/>
        <v>0</v>
      </c>
      <c r="C43" s="17" t="b">
        <f t="shared" si="1"/>
        <v>0</v>
      </c>
      <c r="D43" s="17">
        <f t="shared" si="10"/>
        <v>3</v>
      </c>
      <c r="E43" s="17" t="str">
        <f t="shared" si="15"/>
        <v>Section 3 - Spring Boot - Properties</v>
      </c>
      <c r="F43" s="18" t="str">
        <f t="shared" si="11"/>
        <v/>
      </c>
      <c r="G43" s="13" t="str">
        <f t="shared" si="17"/>
        <v/>
      </c>
      <c r="H43">
        <f t="shared" si="18"/>
        <v>0</v>
      </c>
      <c r="I43">
        <f t="shared" si="19"/>
        <v>0</v>
      </c>
      <c r="J43" s="13">
        <f t="shared" si="20"/>
        <v>57</v>
      </c>
      <c r="K43">
        <f t="shared" si="12"/>
        <v>0</v>
      </c>
      <c r="L43">
        <f t="shared" si="13"/>
        <v>57</v>
      </c>
      <c r="M43" s="13">
        <f t="shared" si="21"/>
        <v>0</v>
      </c>
      <c r="N43">
        <f t="shared" si="21"/>
        <v>41</v>
      </c>
      <c r="O43" s="14">
        <f t="shared" si="7"/>
        <v>41</v>
      </c>
      <c r="P43" s="13">
        <f t="shared" si="14"/>
        <v>0</v>
      </c>
      <c r="Q43">
        <f t="shared" si="22"/>
        <v>41</v>
      </c>
      <c r="R43" s="14">
        <f t="shared" si="23"/>
        <v>41</v>
      </c>
      <c r="S43" s="15"/>
      <c r="W43" s="14"/>
    </row>
    <row r="44" spans="1:23" x14ac:dyDescent="0.25">
      <c r="A44" s="16"/>
      <c r="B44" s="17" t="b">
        <f t="shared" si="16"/>
        <v>0</v>
      </c>
      <c r="C44" s="17" t="b">
        <f t="shared" si="1"/>
        <v>0</v>
      </c>
      <c r="D44" s="17">
        <f t="shared" si="10"/>
        <v>3</v>
      </c>
      <c r="E44" s="17" t="str">
        <f t="shared" si="15"/>
        <v>Section 3 - Spring Boot - Properties</v>
      </c>
      <c r="F44" s="18" t="str">
        <f t="shared" si="11"/>
        <v/>
      </c>
      <c r="G44" s="13" t="str">
        <f t="shared" si="17"/>
        <v/>
      </c>
      <c r="H44">
        <f t="shared" si="18"/>
        <v>0</v>
      </c>
      <c r="I44">
        <f t="shared" si="19"/>
        <v>0</v>
      </c>
      <c r="J44" s="13">
        <f t="shared" si="20"/>
        <v>57</v>
      </c>
      <c r="K44">
        <f t="shared" si="12"/>
        <v>0</v>
      </c>
      <c r="L44">
        <f t="shared" si="13"/>
        <v>57</v>
      </c>
      <c r="M44" s="13">
        <f t="shared" si="21"/>
        <v>0</v>
      </c>
      <c r="N44">
        <f t="shared" si="21"/>
        <v>41</v>
      </c>
      <c r="O44" s="14">
        <f t="shared" si="7"/>
        <v>41</v>
      </c>
      <c r="P44" s="13">
        <f t="shared" si="14"/>
        <v>0</v>
      </c>
      <c r="Q44">
        <f t="shared" si="22"/>
        <v>41</v>
      </c>
      <c r="R44" s="14">
        <f t="shared" si="23"/>
        <v>41</v>
      </c>
      <c r="S44" s="15"/>
      <c r="W44" s="14"/>
    </row>
    <row r="45" spans="1:23" x14ac:dyDescent="0.25">
      <c r="A45" s="16" t="s">
        <v>190</v>
      </c>
      <c r="B45" s="17" t="b">
        <f t="shared" si="16"/>
        <v>1</v>
      </c>
      <c r="C45" s="17" t="b">
        <f t="shared" si="1"/>
        <v>0</v>
      </c>
      <c r="D45" s="17">
        <f t="shared" si="10"/>
        <v>0</v>
      </c>
      <c r="E45" s="17" t="str">
        <f t="shared" si="15"/>
        <v>Section 4 - Spring Boot - Embedded server tomcat and Properties configuration</v>
      </c>
      <c r="F45" s="18" t="str">
        <f t="shared" si="11"/>
        <v/>
      </c>
      <c r="G45" s="13" t="str">
        <f t="shared" si="17"/>
        <v/>
      </c>
      <c r="H45">
        <f t="shared" si="18"/>
        <v>0</v>
      </c>
      <c r="I45">
        <f t="shared" si="19"/>
        <v>0</v>
      </c>
      <c r="J45" s="13">
        <f t="shared" si="20"/>
        <v>57</v>
      </c>
      <c r="K45">
        <f t="shared" si="12"/>
        <v>0</v>
      </c>
      <c r="L45">
        <f t="shared" si="13"/>
        <v>57</v>
      </c>
      <c r="M45" s="13">
        <f t="shared" si="21"/>
        <v>0</v>
      </c>
      <c r="N45">
        <f t="shared" si="21"/>
        <v>41</v>
      </c>
      <c r="O45" s="14">
        <f t="shared" si="7"/>
        <v>41</v>
      </c>
      <c r="P45" s="13">
        <f t="shared" si="14"/>
        <v>0</v>
      </c>
      <c r="Q45">
        <f t="shared" si="22"/>
        <v>41</v>
      </c>
      <c r="R45" s="14">
        <f t="shared" si="23"/>
        <v>41</v>
      </c>
      <c r="S45" s="15"/>
      <c r="W45" s="14"/>
    </row>
    <row r="46" spans="1:23" x14ac:dyDescent="0.25">
      <c r="A46" s="16" t="s">
        <v>170</v>
      </c>
      <c r="B46" s="17" t="b">
        <f t="shared" si="16"/>
        <v>0</v>
      </c>
      <c r="C46" s="17" t="b">
        <f t="shared" si="1"/>
        <v>1</v>
      </c>
      <c r="D46" s="17">
        <f t="shared" si="10"/>
        <v>1</v>
      </c>
      <c r="E46" s="17" t="str">
        <f t="shared" si="15"/>
        <v>Section 4 - Spring Boot - Embedded server tomcat and Properties configuration</v>
      </c>
      <c r="F46" s="18" t="str">
        <f t="shared" si="11"/>
        <v>10. Understand the embedded Tomcat server</v>
      </c>
      <c r="G46" s="13" t="str">
        <f t="shared" si="17"/>
        <v>4min</v>
      </c>
      <c r="H46">
        <f t="shared" si="18"/>
        <v>0</v>
      </c>
      <c r="I46">
        <f t="shared" si="19"/>
        <v>4</v>
      </c>
      <c r="J46" s="13">
        <f t="shared" si="20"/>
        <v>61</v>
      </c>
      <c r="K46">
        <f t="shared" si="12"/>
        <v>1</v>
      </c>
      <c r="L46">
        <f t="shared" si="13"/>
        <v>1</v>
      </c>
      <c r="M46" s="13">
        <f t="shared" si="21"/>
        <v>0</v>
      </c>
      <c r="N46">
        <f t="shared" si="21"/>
        <v>41</v>
      </c>
      <c r="O46" s="14">
        <f t="shared" si="7"/>
        <v>41</v>
      </c>
      <c r="P46" s="13">
        <f t="shared" si="14"/>
        <v>0</v>
      </c>
      <c r="Q46">
        <f t="shared" si="22"/>
        <v>45</v>
      </c>
      <c r="R46" s="14">
        <f t="shared" si="23"/>
        <v>45</v>
      </c>
      <c r="S46" s="15"/>
      <c r="W46" s="14"/>
    </row>
    <row r="47" spans="1:23" x14ac:dyDescent="0.25">
      <c r="A47" s="16" t="s">
        <v>125</v>
      </c>
      <c r="B47" s="17" t="b">
        <f t="shared" si="16"/>
        <v>0</v>
      </c>
      <c r="C47" s="17" t="b">
        <f t="shared" si="1"/>
        <v>0</v>
      </c>
      <c r="D47" s="17">
        <f t="shared" si="10"/>
        <v>1</v>
      </c>
      <c r="E47" s="17" t="str">
        <f t="shared" si="15"/>
        <v>Section 4 - Spring Boot - Embedded server tomcat and Properties configuration</v>
      </c>
      <c r="F47" s="18" t="str">
        <f t="shared" si="11"/>
        <v/>
      </c>
      <c r="G47" s="13" t="str">
        <f t="shared" si="17"/>
        <v/>
      </c>
      <c r="H47">
        <f t="shared" si="18"/>
        <v>0</v>
      </c>
      <c r="I47">
        <f t="shared" si="19"/>
        <v>0</v>
      </c>
      <c r="J47" s="13">
        <f t="shared" si="20"/>
        <v>61</v>
      </c>
      <c r="K47">
        <f t="shared" si="12"/>
        <v>1</v>
      </c>
      <c r="L47">
        <f t="shared" si="13"/>
        <v>1</v>
      </c>
      <c r="M47" s="13">
        <f t="shared" si="21"/>
        <v>0</v>
      </c>
      <c r="N47">
        <f t="shared" si="21"/>
        <v>45</v>
      </c>
      <c r="O47" s="14">
        <f t="shared" si="7"/>
        <v>45</v>
      </c>
      <c r="P47" s="13">
        <f t="shared" si="14"/>
        <v>0</v>
      </c>
      <c r="Q47">
        <f t="shared" si="22"/>
        <v>45</v>
      </c>
      <c r="R47" s="14">
        <f t="shared" si="23"/>
        <v>45</v>
      </c>
      <c r="S47" s="15"/>
      <c r="W47" s="14"/>
    </row>
    <row r="48" spans="1:23" x14ac:dyDescent="0.25">
      <c r="A48" s="16" t="s">
        <v>121</v>
      </c>
      <c r="B48" s="17" t="b">
        <f t="shared" si="16"/>
        <v>0</v>
      </c>
      <c r="C48" s="17" t="b">
        <f t="shared" si="1"/>
        <v>0</v>
      </c>
      <c r="D48" s="17">
        <f t="shared" si="10"/>
        <v>1</v>
      </c>
      <c r="E48" s="17" t="str">
        <f t="shared" si="15"/>
        <v>Section 4 - Spring Boot - Embedded server tomcat and Properties configuration</v>
      </c>
      <c r="F48" s="18" t="str">
        <f t="shared" si="11"/>
        <v/>
      </c>
      <c r="G48" s="13" t="str">
        <f t="shared" si="17"/>
        <v/>
      </c>
      <c r="H48">
        <f t="shared" si="18"/>
        <v>0</v>
      </c>
      <c r="I48">
        <f t="shared" si="19"/>
        <v>0</v>
      </c>
      <c r="J48" s="13">
        <f t="shared" si="20"/>
        <v>61</v>
      </c>
      <c r="K48">
        <f t="shared" si="12"/>
        <v>1</v>
      </c>
      <c r="L48">
        <f t="shared" si="13"/>
        <v>1</v>
      </c>
      <c r="M48" s="13">
        <f t="shared" si="21"/>
        <v>0</v>
      </c>
      <c r="N48">
        <f t="shared" si="21"/>
        <v>45</v>
      </c>
      <c r="O48" s="14">
        <f t="shared" si="7"/>
        <v>45</v>
      </c>
      <c r="P48" s="13">
        <f t="shared" si="14"/>
        <v>0</v>
      </c>
      <c r="Q48">
        <f t="shared" si="22"/>
        <v>45</v>
      </c>
      <c r="R48" s="14">
        <f t="shared" si="23"/>
        <v>45</v>
      </c>
      <c r="S48" s="15"/>
      <c r="W48" s="14"/>
    </row>
    <row r="49" spans="1:23" x14ac:dyDescent="0.25">
      <c r="A49" s="16"/>
      <c r="B49" s="17" t="b">
        <f t="shared" si="16"/>
        <v>0</v>
      </c>
      <c r="C49" s="17" t="b">
        <f t="shared" si="1"/>
        <v>0</v>
      </c>
      <c r="D49" s="17">
        <f t="shared" si="10"/>
        <v>1</v>
      </c>
      <c r="E49" s="17" t="str">
        <f t="shared" si="15"/>
        <v>Section 4 - Spring Boot - Embedded server tomcat and Properties configuration</v>
      </c>
      <c r="F49" s="18" t="str">
        <f t="shared" si="11"/>
        <v/>
      </c>
      <c r="G49" s="13" t="str">
        <f t="shared" si="17"/>
        <v/>
      </c>
      <c r="H49">
        <f t="shared" si="18"/>
        <v>0</v>
      </c>
      <c r="I49">
        <f t="shared" si="19"/>
        <v>0</v>
      </c>
      <c r="J49" s="13">
        <f t="shared" si="20"/>
        <v>61</v>
      </c>
      <c r="K49">
        <f t="shared" si="12"/>
        <v>1</v>
      </c>
      <c r="L49">
        <f t="shared" si="13"/>
        <v>1</v>
      </c>
      <c r="M49" s="13">
        <f t="shared" si="21"/>
        <v>0</v>
      </c>
      <c r="N49">
        <f t="shared" si="21"/>
        <v>45</v>
      </c>
      <c r="O49" s="14">
        <f t="shared" si="7"/>
        <v>45</v>
      </c>
      <c r="P49" s="13">
        <f t="shared" si="14"/>
        <v>0</v>
      </c>
      <c r="Q49">
        <f t="shared" si="22"/>
        <v>45</v>
      </c>
      <c r="R49" s="14">
        <f t="shared" si="23"/>
        <v>45</v>
      </c>
      <c r="S49" s="15"/>
      <c r="W49" s="14"/>
    </row>
    <row r="50" spans="1:23" x14ac:dyDescent="0.25">
      <c r="A50" s="16" t="s">
        <v>171</v>
      </c>
      <c r="B50" s="17" t="b">
        <f t="shared" si="16"/>
        <v>0</v>
      </c>
      <c r="C50" s="17" t="b">
        <f t="shared" si="1"/>
        <v>1</v>
      </c>
      <c r="D50" s="17">
        <f t="shared" si="10"/>
        <v>2</v>
      </c>
      <c r="E50" s="17" t="str">
        <f t="shared" si="15"/>
        <v>Section 4 - Spring Boot - Embedded server tomcat and Properties configuration</v>
      </c>
      <c r="F50" s="18" t="str">
        <f t="shared" si="11"/>
        <v>11. Run spring boot application as war in external tomcat container</v>
      </c>
      <c r="G50" s="13" t="str">
        <f t="shared" si="17"/>
        <v>4min</v>
      </c>
      <c r="H50">
        <f t="shared" si="18"/>
        <v>0</v>
      </c>
      <c r="I50">
        <f t="shared" si="19"/>
        <v>4</v>
      </c>
      <c r="J50" s="13">
        <f t="shared" si="20"/>
        <v>65</v>
      </c>
      <c r="K50">
        <f t="shared" si="12"/>
        <v>1</v>
      </c>
      <c r="L50">
        <f t="shared" si="13"/>
        <v>5</v>
      </c>
      <c r="M50" s="13">
        <f t="shared" si="21"/>
        <v>0</v>
      </c>
      <c r="N50">
        <f t="shared" si="21"/>
        <v>45</v>
      </c>
      <c r="O50" s="14">
        <f t="shared" si="7"/>
        <v>45</v>
      </c>
      <c r="P50" s="13">
        <f t="shared" si="14"/>
        <v>0</v>
      </c>
      <c r="Q50">
        <f t="shared" si="22"/>
        <v>49</v>
      </c>
      <c r="R50" s="14">
        <f t="shared" si="23"/>
        <v>49</v>
      </c>
      <c r="S50" s="15"/>
      <c r="W50" s="14"/>
    </row>
    <row r="51" spans="1:23" x14ac:dyDescent="0.25">
      <c r="A51" s="16" t="s">
        <v>125</v>
      </c>
      <c r="B51" s="17" t="b">
        <f t="shared" si="16"/>
        <v>0</v>
      </c>
      <c r="C51" s="17" t="b">
        <f t="shared" si="1"/>
        <v>0</v>
      </c>
      <c r="D51" s="17">
        <f t="shared" si="10"/>
        <v>2</v>
      </c>
      <c r="E51" s="17" t="str">
        <f t="shared" si="15"/>
        <v>Section 4 - Spring Boot - Embedded server tomcat and Properties configuration</v>
      </c>
      <c r="F51" s="18" t="str">
        <f t="shared" si="11"/>
        <v/>
      </c>
      <c r="G51" s="13" t="str">
        <f t="shared" si="17"/>
        <v/>
      </c>
      <c r="H51">
        <f t="shared" si="18"/>
        <v>0</v>
      </c>
      <c r="I51">
        <f t="shared" si="19"/>
        <v>0</v>
      </c>
      <c r="J51" s="13">
        <f t="shared" si="20"/>
        <v>65</v>
      </c>
      <c r="K51">
        <f t="shared" si="12"/>
        <v>1</v>
      </c>
      <c r="L51">
        <f t="shared" si="13"/>
        <v>5</v>
      </c>
      <c r="M51" s="13">
        <f t="shared" si="21"/>
        <v>0</v>
      </c>
      <c r="N51">
        <f t="shared" si="21"/>
        <v>49</v>
      </c>
      <c r="O51" s="14">
        <f t="shared" si="7"/>
        <v>49</v>
      </c>
      <c r="P51" s="13">
        <f t="shared" si="14"/>
        <v>0</v>
      </c>
      <c r="Q51">
        <f t="shared" si="22"/>
        <v>49</v>
      </c>
      <c r="R51" s="14">
        <f t="shared" si="23"/>
        <v>49</v>
      </c>
      <c r="S51" s="15"/>
      <c r="W51" s="14"/>
    </row>
    <row r="52" spans="1:23" x14ac:dyDescent="0.25">
      <c r="A52" s="16"/>
      <c r="B52" s="17" t="b">
        <f t="shared" si="16"/>
        <v>0</v>
      </c>
      <c r="C52" s="17" t="b">
        <f t="shared" si="1"/>
        <v>0</v>
      </c>
      <c r="D52" s="17">
        <f t="shared" si="10"/>
        <v>2</v>
      </c>
      <c r="E52" s="17" t="str">
        <f t="shared" si="15"/>
        <v>Section 4 - Spring Boot - Embedded server tomcat and Properties configuration</v>
      </c>
      <c r="F52" s="18" t="str">
        <f t="shared" si="11"/>
        <v/>
      </c>
      <c r="G52" s="13" t="str">
        <f t="shared" si="17"/>
        <v/>
      </c>
      <c r="H52">
        <f t="shared" si="18"/>
        <v>0</v>
      </c>
      <c r="I52">
        <f t="shared" si="19"/>
        <v>0</v>
      </c>
      <c r="J52" s="13">
        <f t="shared" si="20"/>
        <v>65</v>
      </c>
      <c r="K52">
        <f t="shared" si="12"/>
        <v>1</v>
      </c>
      <c r="L52">
        <f t="shared" si="13"/>
        <v>5</v>
      </c>
      <c r="M52" s="13">
        <f t="shared" si="21"/>
        <v>0</v>
      </c>
      <c r="N52">
        <f t="shared" si="21"/>
        <v>49</v>
      </c>
      <c r="O52" s="14">
        <f t="shared" si="7"/>
        <v>49</v>
      </c>
      <c r="P52" s="13">
        <f t="shared" si="14"/>
        <v>0</v>
      </c>
      <c r="Q52">
        <f t="shared" si="22"/>
        <v>49</v>
      </c>
      <c r="R52" s="14">
        <f t="shared" si="23"/>
        <v>49</v>
      </c>
      <c r="S52" s="15"/>
      <c r="W52" s="14"/>
    </row>
    <row r="53" spans="1:23" x14ac:dyDescent="0.25">
      <c r="A53" s="16" t="s">
        <v>191</v>
      </c>
      <c r="B53" s="17" t="b">
        <f t="shared" si="16"/>
        <v>1</v>
      </c>
      <c r="C53" s="17" t="b">
        <f t="shared" si="1"/>
        <v>0</v>
      </c>
      <c r="D53" s="17">
        <f t="shared" si="10"/>
        <v>0</v>
      </c>
      <c r="E53" s="17" t="str">
        <f t="shared" si="15"/>
        <v>Section 5 - Spring Boot - Logging</v>
      </c>
      <c r="F53" s="18" t="str">
        <f t="shared" si="11"/>
        <v/>
      </c>
      <c r="G53" s="13" t="str">
        <f t="shared" si="17"/>
        <v/>
      </c>
      <c r="H53">
        <f t="shared" si="18"/>
        <v>0</v>
      </c>
      <c r="I53">
        <f t="shared" si="19"/>
        <v>0</v>
      </c>
      <c r="J53" s="13">
        <f t="shared" si="20"/>
        <v>65</v>
      </c>
      <c r="K53">
        <f t="shared" si="12"/>
        <v>1</v>
      </c>
      <c r="L53">
        <f t="shared" si="13"/>
        <v>5</v>
      </c>
      <c r="M53" s="13">
        <f t="shared" si="21"/>
        <v>0</v>
      </c>
      <c r="N53">
        <f t="shared" si="21"/>
        <v>49</v>
      </c>
      <c r="O53" s="14">
        <f t="shared" si="7"/>
        <v>49</v>
      </c>
      <c r="P53" s="13">
        <f t="shared" si="14"/>
        <v>0</v>
      </c>
      <c r="Q53">
        <f t="shared" si="22"/>
        <v>49</v>
      </c>
      <c r="R53" s="14">
        <f t="shared" si="23"/>
        <v>49</v>
      </c>
      <c r="S53" s="15"/>
      <c r="W53" s="14"/>
    </row>
    <row r="54" spans="1:23" x14ac:dyDescent="0.25">
      <c r="A54" s="16" t="s">
        <v>172</v>
      </c>
      <c r="B54" s="17" t="b">
        <f t="shared" si="16"/>
        <v>0</v>
      </c>
      <c r="C54" s="17" t="b">
        <f t="shared" si="1"/>
        <v>1</v>
      </c>
      <c r="D54" s="17">
        <f t="shared" si="10"/>
        <v>1</v>
      </c>
      <c r="E54" s="17" t="str">
        <f t="shared" si="15"/>
        <v>Section 5 - Spring Boot - Logging</v>
      </c>
      <c r="F54" s="18" t="str">
        <f t="shared" si="11"/>
        <v>12. Configure Logback for Logging</v>
      </c>
      <c r="G54" s="13" t="str">
        <f t="shared" si="17"/>
        <v>6min</v>
      </c>
      <c r="H54">
        <f t="shared" si="18"/>
        <v>0</v>
      </c>
      <c r="I54">
        <f t="shared" si="19"/>
        <v>6</v>
      </c>
      <c r="J54" s="13">
        <f t="shared" si="20"/>
        <v>71</v>
      </c>
      <c r="K54">
        <f t="shared" si="12"/>
        <v>1</v>
      </c>
      <c r="L54">
        <f t="shared" si="13"/>
        <v>11</v>
      </c>
      <c r="M54" s="13">
        <f t="shared" si="21"/>
        <v>0</v>
      </c>
      <c r="N54">
        <f t="shared" si="21"/>
        <v>49</v>
      </c>
      <c r="O54" s="14">
        <f t="shared" si="7"/>
        <v>49</v>
      </c>
      <c r="P54" s="13">
        <f t="shared" si="14"/>
        <v>0</v>
      </c>
      <c r="Q54">
        <f t="shared" si="22"/>
        <v>55</v>
      </c>
      <c r="R54" s="14">
        <f t="shared" si="23"/>
        <v>55</v>
      </c>
      <c r="S54" s="15"/>
      <c r="W54" s="14"/>
    </row>
    <row r="55" spans="1:23" x14ac:dyDescent="0.25">
      <c r="A55" s="16" t="s">
        <v>153</v>
      </c>
      <c r="B55" s="17" t="b">
        <f t="shared" si="16"/>
        <v>0</v>
      </c>
      <c r="C55" s="17" t="b">
        <f t="shared" si="1"/>
        <v>0</v>
      </c>
      <c r="D55" s="17">
        <f t="shared" si="10"/>
        <v>1</v>
      </c>
      <c r="E55" s="17" t="str">
        <f t="shared" si="15"/>
        <v>Section 5 - Spring Boot - Logging</v>
      </c>
      <c r="F55" s="18" t="str">
        <f t="shared" si="11"/>
        <v/>
      </c>
      <c r="G55" s="13" t="str">
        <f t="shared" si="17"/>
        <v/>
      </c>
      <c r="H55">
        <f t="shared" si="18"/>
        <v>0</v>
      </c>
      <c r="I55">
        <f t="shared" si="19"/>
        <v>0</v>
      </c>
      <c r="J55" s="13">
        <f t="shared" si="20"/>
        <v>71</v>
      </c>
      <c r="K55">
        <f t="shared" si="12"/>
        <v>1</v>
      </c>
      <c r="L55">
        <f t="shared" si="13"/>
        <v>11</v>
      </c>
      <c r="M55" s="13">
        <f t="shared" si="21"/>
        <v>0</v>
      </c>
      <c r="N55">
        <f t="shared" si="21"/>
        <v>55</v>
      </c>
      <c r="O55" s="14">
        <f t="shared" si="7"/>
        <v>55</v>
      </c>
      <c r="P55" s="13">
        <f t="shared" si="14"/>
        <v>0</v>
      </c>
      <c r="Q55">
        <f t="shared" si="22"/>
        <v>55</v>
      </c>
      <c r="R55" s="14">
        <f t="shared" si="23"/>
        <v>55</v>
      </c>
      <c r="S55" s="15"/>
      <c r="W55" s="14"/>
    </row>
    <row r="56" spans="1:23" x14ac:dyDescent="0.25">
      <c r="A56" s="16" t="s">
        <v>121</v>
      </c>
      <c r="B56" s="17" t="b">
        <f t="shared" si="16"/>
        <v>0</v>
      </c>
      <c r="C56" s="17" t="b">
        <f t="shared" si="1"/>
        <v>0</v>
      </c>
      <c r="D56" s="17">
        <f t="shared" si="10"/>
        <v>1</v>
      </c>
      <c r="E56" s="17" t="str">
        <f t="shared" si="15"/>
        <v>Section 5 - Spring Boot - Logging</v>
      </c>
      <c r="F56" s="18" t="str">
        <f t="shared" si="11"/>
        <v/>
      </c>
      <c r="G56" s="13" t="str">
        <f t="shared" si="17"/>
        <v/>
      </c>
      <c r="H56">
        <f t="shared" si="18"/>
        <v>0</v>
      </c>
      <c r="I56">
        <f t="shared" si="19"/>
        <v>0</v>
      </c>
      <c r="J56" s="13">
        <f t="shared" si="20"/>
        <v>71</v>
      </c>
      <c r="K56">
        <f t="shared" si="12"/>
        <v>1</v>
      </c>
      <c r="L56">
        <f t="shared" si="13"/>
        <v>11</v>
      </c>
      <c r="M56" s="13">
        <f t="shared" si="21"/>
        <v>0</v>
      </c>
      <c r="N56">
        <f t="shared" si="21"/>
        <v>55</v>
      </c>
      <c r="O56" s="14">
        <f t="shared" si="7"/>
        <v>55</v>
      </c>
      <c r="P56" s="13">
        <f t="shared" si="14"/>
        <v>0</v>
      </c>
      <c r="Q56">
        <f t="shared" si="22"/>
        <v>55</v>
      </c>
      <c r="R56" s="14">
        <f t="shared" si="23"/>
        <v>55</v>
      </c>
      <c r="S56" s="15"/>
      <c r="W56" s="14"/>
    </row>
    <row r="57" spans="1:23" x14ac:dyDescent="0.25">
      <c r="A57" s="16"/>
      <c r="B57" s="17" t="b">
        <f t="shared" si="16"/>
        <v>0</v>
      </c>
      <c r="C57" s="17" t="b">
        <f t="shared" si="1"/>
        <v>0</v>
      </c>
      <c r="D57" s="17">
        <f t="shared" si="10"/>
        <v>1</v>
      </c>
      <c r="E57" s="17" t="str">
        <f t="shared" si="15"/>
        <v>Section 5 - Spring Boot - Logging</v>
      </c>
      <c r="F57" s="18" t="str">
        <f t="shared" si="11"/>
        <v/>
      </c>
      <c r="G57" s="13" t="str">
        <f t="shared" si="17"/>
        <v/>
      </c>
      <c r="H57">
        <f t="shared" si="18"/>
        <v>0</v>
      </c>
      <c r="I57">
        <f t="shared" si="19"/>
        <v>0</v>
      </c>
      <c r="J57" s="13">
        <f t="shared" si="20"/>
        <v>71</v>
      </c>
      <c r="K57">
        <f t="shared" si="12"/>
        <v>1</v>
      </c>
      <c r="L57">
        <f t="shared" si="13"/>
        <v>11</v>
      </c>
      <c r="M57" s="13">
        <f t="shared" si="21"/>
        <v>0</v>
      </c>
      <c r="N57">
        <f t="shared" si="21"/>
        <v>55</v>
      </c>
      <c r="O57" s="14">
        <f t="shared" si="7"/>
        <v>55</v>
      </c>
      <c r="P57" s="13">
        <f t="shared" si="14"/>
        <v>0</v>
      </c>
      <c r="Q57">
        <f t="shared" si="22"/>
        <v>55</v>
      </c>
      <c r="R57" s="14">
        <f t="shared" si="23"/>
        <v>55</v>
      </c>
      <c r="S57" s="15"/>
      <c r="W57" s="14"/>
    </row>
    <row r="58" spans="1:23" x14ac:dyDescent="0.25">
      <c r="A58" s="16" t="s">
        <v>173</v>
      </c>
      <c r="B58" s="17" t="b">
        <f t="shared" si="16"/>
        <v>0</v>
      </c>
      <c r="C58" s="17" t="b">
        <f t="shared" si="1"/>
        <v>1</v>
      </c>
      <c r="D58" s="17">
        <f t="shared" si="10"/>
        <v>2</v>
      </c>
      <c r="E58" s="17" t="str">
        <f t="shared" si="15"/>
        <v>Section 5 - Spring Boot - Logging</v>
      </c>
      <c r="F58" s="18" t="str">
        <f t="shared" si="11"/>
        <v>13. Configure Log4j for Logging</v>
      </c>
      <c r="G58" s="13" t="str">
        <f t="shared" si="17"/>
        <v>4min</v>
      </c>
      <c r="H58">
        <f t="shared" si="18"/>
        <v>0</v>
      </c>
      <c r="I58">
        <f t="shared" si="19"/>
        <v>4</v>
      </c>
      <c r="J58" s="13">
        <f t="shared" si="20"/>
        <v>75</v>
      </c>
      <c r="K58">
        <f t="shared" si="12"/>
        <v>1</v>
      </c>
      <c r="L58">
        <f t="shared" si="13"/>
        <v>15</v>
      </c>
      <c r="M58" s="13">
        <f t="shared" si="21"/>
        <v>0</v>
      </c>
      <c r="N58">
        <f t="shared" si="21"/>
        <v>55</v>
      </c>
      <c r="O58" s="14">
        <f t="shared" si="7"/>
        <v>55</v>
      </c>
      <c r="P58" s="13">
        <f t="shared" si="14"/>
        <v>0</v>
      </c>
      <c r="Q58">
        <f t="shared" si="22"/>
        <v>59</v>
      </c>
      <c r="R58" s="14">
        <f t="shared" si="23"/>
        <v>59</v>
      </c>
      <c r="S58" s="15"/>
      <c r="W58" s="14"/>
    </row>
    <row r="59" spans="1:23" x14ac:dyDescent="0.25">
      <c r="A59" s="16" t="s">
        <v>125</v>
      </c>
      <c r="B59" s="17" t="b">
        <f t="shared" si="16"/>
        <v>0</v>
      </c>
      <c r="C59" s="17" t="b">
        <f t="shared" si="1"/>
        <v>0</v>
      </c>
      <c r="D59" s="17">
        <f t="shared" si="10"/>
        <v>2</v>
      </c>
      <c r="E59" s="17" t="str">
        <f t="shared" si="15"/>
        <v>Section 5 - Spring Boot - Logging</v>
      </c>
      <c r="F59" s="18" t="str">
        <f t="shared" si="11"/>
        <v/>
      </c>
      <c r="G59" s="13" t="str">
        <f t="shared" si="17"/>
        <v/>
      </c>
      <c r="H59">
        <f t="shared" si="18"/>
        <v>0</v>
      </c>
      <c r="I59">
        <f t="shared" si="19"/>
        <v>0</v>
      </c>
      <c r="J59" s="13">
        <f t="shared" si="20"/>
        <v>75</v>
      </c>
      <c r="K59">
        <f t="shared" si="12"/>
        <v>1</v>
      </c>
      <c r="L59">
        <f t="shared" si="13"/>
        <v>15</v>
      </c>
      <c r="M59" s="13">
        <f t="shared" si="21"/>
        <v>0</v>
      </c>
      <c r="N59">
        <f t="shared" si="21"/>
        <v>59</v>
      </c>
      <c r="O59" s="14">
        <f t="shared" si="7"/>
        <v>59</v>
      </c>
      <c r="P59" s="13">
        <f t="shared" si="14"/>
        <v>0</v>
      </c>
      <c r="Q59">
        <f t="shared" si="22"/>
        <v>59</v>
      </c>
      <c r="R59" s="14">
        <f t="shared" si="23"/>
        <v>59</v>
      </c>
      <c r="S59" s="15"/>
      <c r="W59" s="14"/>
    </row>
    <row r="60" spans="1:23" x14ac:dyDescent="0.25">
      <c r="A60" s="16"/>
      <c r="B60" s="17" t="b">
        <f t="shared" si="16"/>
        <v>0</v>
      </c>
      <c r="C60" s="17" t="b">
        <f t="shared" si="1"/>
        <v>0</v>
      </c>
      <c r="D60" s="17">
        <f t="shared" si="10"/>
        <v>2</v>
      </c>
      <c r="E60" s="17" t="str">
        <f t="shared" si="15"/>
        <v>Section 5 - Spring Boot - Logging</v>
      </c>
      <c r="F60" s="18" t="str">
        <f t="shared" si="11"/>
        <v/>
      </c>
      <c r="G60" s="13" t="str">
        <f t="shared" si="17"/>
        <v/>
      </c>
      <c r="H60">
        <f t="shared" si="18"/>
        <v>0</v>
      </c>
      <c r="I60">
        <f t="shared" si="19"/>
        <v>0</v>
      </c>
      <c r="J60" s="13">
        <f t="shared" si="20"/>
        <v>75</v>
      </c>
      <c r="K60">
        <f t="shared" si="12"/>
        <v>1</v>
      </c>
      <c r="L60">
        <f t="shared" si="13"/>
        <v>15</v>
      </c>
      <c r="M60" s="13">
        <f t="shared" si="21"/>
        <v>0</v>
      </c>
      <c r="N60">
        <f t="shared" si="21"/>
        <v>59</v>
      </c>
      <c r="O60" s="14">
        <f t="shared" si="7"/>
        <v>59</v>
      </c>
      <c r="P60" s="13">
        <f t="shared" si="14"/>
        <v>0</v>
      </c>
      <c r="Q60">
        <f t="shared" si="22"/>
        <v>59</v>
      </c>
      <c r="R60" s="14">
        <f t="shared" si="23"/>
        <v>59</v>
      </c>
      <c r="S60" s="15"/>
      <c r="W60" s="14"/>
    </row>
    <row r="61" spans="1:23" x14ac:dyDescent="0.25">
      <c r="A61" s="16" t="s">
        <v>192</v>
      </c>
      <c r="B61" s="17" t="b">
        <f t="shared" si="16"/>
        <v>1</v>
      </c>
      <c r="C61" s="17" t="b">
        <f t="shared" si="1"/>
        <v>0</v>
      </c>
      <c r="D61" s="17">
        <f t="shared" si="10"/>
        <v>0</v>
      </c>
      <c r="E61" s="17" t="str">
        <f t="shared" si="15"/>
        <v>Section 6 - Spring Boot - Spring Data JPA</v>
      </c>
      <c r="F61" s="18" t="str">
        <f t="shared" si="11"/>
        <v/>
      </c>
      <c r="G61" s="13" t="str">
        <f t="shared" si="17"/>
        <v/>
      </c>
      <c r="H61">
        <f t="shared" si="18"/>
        <v>0</v>
      </c>
      <c r="I61">
        <f t="shared" si="19"/>
        <v>0</v>
      </c>
      <c r="J61" s="13">
        <f t="shared" si="20"/>
        <v>75</v>
      </c>
      <c r="K61">
        <f t="shared" si="12"/>
        <v>1</v>
      </c>
      <c r="L61">
        <f t="shared" si="13"/>
        <v>15</v>
      </c>
      <c r="M61" s="13">
        <f t="shared" si="21"/>
        <v>0</v>
      </c>
      <c r="N61">
        <f t="shared" si="21"/>
        <v>59</v>
      </c>
      <c r="O61" s="14">
        <f t="shared" si="7"/>
        <v>59</v>
      </c>
      <c r="P61" s="13">
        <f t="shared" si="14"/>
        <v>0</v>
      </c>
      <c r="Q61">
        <f t="shared" si="22"/>
        <v>59</v>
      </c>
      <c r="R61" s="14">
        <f t="shared" si="23"/>
        <v>59</v>
      </c>
      <c r="S61" s="15"/>
      <c r="W61" s="14"/>
    </row>
    <row r="62" spans="1:23" x14ac:dyDescent="0.25">
      <c r="A62" s="16" t="s">
        <v>174</v>
      </c>
      <c r="B62" s="17" t="b">
        <f t="shared" si="16"/>
        <v>0</v>
      </c>
      <c r="C62" s="17" t="b">
        <f t="shared" si="1"/>
        <v>1</v>
      </c>
      <c r="D62" s="17">
        <f t="shared" si="10"/>
        <v>1</v>
      </c>
      <c r="E62" s="17" t="str">
        <f t="shared" si="15"/>
        <v>Section 6 - Spring Boot - Spring Data JPA</v>
      </c>
      <c r="F62" s="18" t="str">
        <f t="shared" si="11"/>
        <v>14. What is JPA and Spring Data JPA?</v>
      </c>
      <c r="G62" s="13" t="str">
        <f t="shared" si="17"/>
        <v>3min</v>
      </c>
      <c r="H62">
        <f t="shared" si="18"/>
        <v>0</v>
      </c>
      <c r="I62">
        <f t="shared" si="19"/>
        <v>3</v>
      </c>
      <c r="J62" s="13">
        <f t="shared" si="20"/>
        <v>78</v>
      </c>
      <c r="K62">
        <f t="shared" si="12"/>
        <v>1</v>
      </c>
      <c r="L62">
        <f t="shared" si="13"/>
        <v>18</v>
      </c>
      <c r="M62" s="13">
        <f t="shared" si="21"/>
        <v>0</v>
      </c>
      <c r="N62">
        <f t="shared" si="21"/>
        <v>59</v>
      </c>
      <c r="O62" s="14">
        <f t="shared" si="7"/>
        <v>59</v>
      </c>
      <c r="P62" s="13">
        <f t="shared" si="14"/>
        <v>1</v>
      </c>
      <c r="Q62">
        <f t="shared" si="22"/>
        <v>2</v>
      </c>
      <c r="R62" s="14">
        <f t="shared" si="23"/>
        <v>62</v>
      </c>
      <c r="S62" s="15"/>
      <c r="W62" s="14"/>
    </row>
    <row r="63" spans="1:23" x14ac:dyDescent="0.25">
      <c r="A63" s="16" t="s">
        <v>123</v>
      </c>
      <c r="B63" s="17" t="b">
        <f t="shared" si="16"/>
        <v>0</v>
      </c>
      <c r="C63" s="17" t="b">
        <f>OR(NOT(ISERROR(FIND("hr",A64))), NOT(ISERROR(FIND("min ",A64))),RIGHT(A64,3)="min")</f>
        <v>0</v>
      </c>
      <c r="D63" s="17">
        <f t="shared" si="10"/>
        <v>1</v>
      </c>
      <c r="E63" s="17" t="str">
        <f t="shared" si="15"/>
        <v>Section 6 - Spring Boot - Spring Data JPA</v>
      </c>
      <c r="F63" s="18" t="str">
        <f t="shared" si="11"/>
        <v/>
      </c>
      <c r="G63" s="13" t="str">
        <f t="shared" si="17"/>
        <v/>
      </c>
      <c r="H63">
        <f t="shared" si="18"/>
        <v>0</v>
      </c>
      <c r="I63">
        <f t="shared" si="19"/>
        <v>0</v>
      </c>
      <c r="J63" s="13">
        <f t="shared" si="20"/>
        <v>78</v>
      </c>
      <c r="K63">
        <f t="shared" si="12"/>
        <v>1</v>
      </c>
      <c r="L63">
        <f t="shared" si="13"/>
        <v>18</v>
      </c>
      <c r="M63" s="13">
        <f t="shared" si="21"/>
        <v>1</v>
      </c>
      <c r="N63">
        <f t="shared" si="21"/>
        <v>2</v>
      </c>
      <c r="O63" s="14">
        <f t="shared" si="7"/>
        <v>62</v>
      </c>
      <c r="P63" s="13">
        <f t="shared" si="14"/>
        <v>1</v>
      </c>
      <c r="Q63">
        <f t="shared" si="22"/>
        <v>2</v>
      </c>
      <c r="R63" s="14">
        <f t="shared" si="23"/>
        <v>62</v>
      </c>
      <c r="S63" s="15"/>
      <c r="W63" s="14"/>
    </row>
    <row r="64" spans="1:23" x14ac:dyDescent="0.25">
      <c r="A64" s="16" t="s">
        <v>121</v>
      </c>
      <c r="B64" s="17" t="b">
        <f t="shared" si="16"/>
        <v>0</v>
      </c>
      <c r="C64" s="17" t="b">
        <f t="shared" ref="C64:C127" si="24">OR(NOT(ISERROR(FIND("hr",A65))), NOT(ISERROR(FIND("min ",A65))),RIGHT(A65,3)="min")</f>
        <v>0</v>
      </c>
      <c r="D64" s="17">
        <f t="shared" si="10"/>
        <v>1</v>
      </c>
      <c r="E64" s="17" t="str">
        <f t="shared" si="15"/>
        <v>Section 6 - Spring Boot - Spring Data JPA</v>
      </c>
      <c r="F64" s="18" t="str">
        <f t="shared" si="11"/>
        <v/>
      </c>
      <c r="G64" s="13" t="str">
        <f t="shared" si="17"/>
        <v/>
      </c>
      <c r="H64">
        <f t="shared" si="18"/>
        <v>0</v>
      </c>
      <c r="I64">
        <f t="shared" si="19"/>
        <v>0</v>
      </c>
      <c r="J64" s="13">
        <f t="shared" si="20"/>
        <v>78</v>
      </c>
      <c r="K64">
        <f t="shared" si="12"/>
        <v>1</v>
      </c>
      <c r="L64">
        <f t="shared" si="13"/>
        <v>18</v>
      </c>
      <c r="M64" s="13">
        <f t="shared" si="21"/>
        <v>1</v>
      </c>
      <c r="N64">
        <f t="shared" si="21"/>
        <v>2</v>
      </c>
      <c r="O64" s="14">
        <f t="shared" si="7"/>
        <v>62</v>
      </c>
      <c r="P64" s="13">
        <f t="shared" si="14"/>
        <v>1</v>
      </c>
      <c r="Q64">
        <f t="shared" si="22"/>
        <v>2</v>
      </c>
      <c r="R64" s="14">
        <f t="shared" si="23"/>
        <v>62</v>
      </c>
      <c r="S64" s="15"/>
      <c r="W64" s="14"/>
    </row>
    <row r="65" spans="1:23" x14ac:dyDescent="0.25">
      <c r="A65" s="16" t="s">
        <v>175</v>
      </c>
      <c r="B65" s="17" t="b">
        <f t="shared" si="16"/>
        <v>0</v>
      </c>
      <c r="C65" s="17" t="b">
        <f t="shared" si="24"/>
        <v>1</v>
      </c>
      <c r="D65" s="17">
        <f t="shared" si="10"/>
        <v>2</v>
      </c>
      <c r="E65" s="17" t="str">
        <f t="shared" si="15"/>
        <v>Section 6 - Spring Boot - Spring Data JPA</v>
      </c>
      <c r="F65" s="18" t="str">
        <f t="shared" si="11"/>
        <v>15. Build Entity Objects for Demo Application</v>
      </c>
      <c r="G65" s="13" t="str">
        <f t="shared" si="17"/>
        <v>13min</v>
      </c>
      <c r="H65">
        <f t="shared" si="18"/>
        <v>0</v>
      </c>
      <c r="I65">
        <f t="shared" si="19"/>
        <v>13</v>
      </c>
      <c r="J65" s="13">
        <f t="shared" si="20"/>
        <v>91</v>
      </c>
      <c r="K65">
        <f t="shared" si="12"/>
        <v>1</v>
      </c>
      <c r="L65">
        <f t="shared" si="13"/>
        <v>31</v>
      </c>
      <c r="M65" s="13">
        <f t="shared" si="21"/>
        <v>1</v>
      </c>
      <c r="N65">
        <f t="shared" si="21"/>
        <v>2</v>
      </c>
      <c r="O65" s="14">
        <f t="shared" si="7"/>
        <v>62</v>
      </c>
      <c r="P65" s="13">
        <f t="shared" si="14"/>
        <v>1</v>
      </c>
      <c r="Q65">
        <f t="shared" si="22"/>
        <v>15</v>
      </c>
      <c r="R65" s="14">
        <f t="shared" si="23"/>
        <v>75</v>
      </c>
      <c r="S65" s="15"/>
      <c r="W65" s="14"/>
    </row>
    <row r="66" spans="1:23" x14ac:dyDescent="0.25">
      <c r="A66" s="16" t="s">
        <v>176</v>
      </c>
      <c r="B66" s="17" t="b">
        <f t="shared" si="16"/>
        <v>0</v>
      </c>
      <c r="C66" s="17" t="b">
        <f t="shared" si="24"/>
        <v>0</v>
      </c>
      <c r="D66" s="17">
        <f t="shared" si="10"/>
        <v>2</v>
      </c>
      <c r="E66" s="17" t="str">
        <f t="shared" si="15"/>
        <v>Section 6 - Spring Boot - Spring Data JPA</v>
      </c>
      <c r="F66" s="18" t="str">
        <f t="shared" si="11"/>
        <v/>
      </c>
      <c r="G66" s="13" t="str">
        <f t="shared" si="17"/>
        <v/>
      </c>
      <c r="H66">
        <f t="shared" si="18"/>
        <v>0</v>
      </c>
      <c r="I66">
        <f t="shared" si="19"/>
        <v>0</v>
      </c>
      <c r="J66" s="13">
        <f t="shared" si="20"/>
        <v>91</v>
      </c>
      <c r="K66">
        <f t="shared" si="12"/>
        <v>1</v>
      </c>
      <c r="L66">
        <f t="shared" si="13"/>
        <v>31</v>
      </c>
      <c r="M66" s="13">
        <f t="shared" si="21"/>
        <v>1</v>
      </c>
      <c r="N66">
        <f t="shared" si="21"/>
        <v>15</v>
      </c>
      <c r="O66" s="14">
        <f t="shared" si="7"/>
        <v>75</v>
      </c>
      <c r="P66" s="13">
        <f t="shared" si="14"/>
        <v>1</v>
      </c>
      <c r="Q66">
        <f t="shared" si="22"/>
        <v>15</v>
      </c>
      <c r="R66" s="14">
        <f t="shared" si="23"/>
        <v>75</v>
      </c>
      <c r="S66" s="15"/>
      <c r="W66" s="14"/>
    </row>
    <row r="67" spans="1:23" x14ac:dyDescent="0.25">
      <c r="A67" s="16" t="s">
        <v>121</v>
      </c>
      <c r="B67" s="17" t="b">
        <f t="shared" si="16"/>
        <v>0</v>
      </c>
      <c r="C67" s="17" t="b">
        <f t="shared" si="24"/>
        <v>0</v>
      </c>
      <c r="D67" s="17">
        <f t="shared" si="10"/>
        <v>2</v>
      </c>
      <c r="E67" s="17" t="str">
        <f t="shared" si="15"/>
        <v>Section 6 - Spring Boot - Spring Data JPA</v>
      </c>
      <c r="F67" s="18" t="str">
        <f t="shared" si="11"/>
        <v/>
      </c>
      <c r="G67" s="13" t="str">
        <f t="shared" si="17"/>
        <v/>
      </c>
      <c r="H67">
        <f t="shared" si="18"/>
        <v>0</v>
      </c>
      <c r="I67">
        <f t="shared" si="19"/>
        <v>0</v>
      </c>
      <c r="J67" s="13">
        <f t="shared" si="20"/>
        <v>91</v>
      </c>
      <c r="K67">
        <f t="shared" si="12"/>
        <v>1</v>
      </c>
      <c r="L67">
        <f t="shared" si="13"/>
        <v>31</v>
      </c>
      <c r="M67" s="13">
        <f t="shared" si="21"/>
        <v>1</v>
      </c>
      <c r="N67">
        <f t="shared" si="21"/>
        <v>15</v>
      </c>
      <c r="O67" s="14">
        <f t="shared" si="7"/>
        <v>75</v>
      </c>
      <c r="P67" s="13">
        <f t="shared" si="14"/>
        <v>1</v>
      </c>
      <c r="Q67">
        <f t="shared" si="22"/>
        <v>15</v>
      </c>
      <c r="R67" s="14">
        <f t="shared" si="23"/>
        <v>75</v>
      </c>
      <c r="S67" s="15"/>
      <c r="W67" s="14"/>
    </row>
    <row r="68" spans="1:23" x14ac:dyDescent="0.25">
      <c r="A68" s="16" t="s">
        <v>177</v>
      </c>
      <c r="B68" s="17" t="b">
        <f t="shared" si="16"/>
        <v>0</v>
      </c>
      <c r="C68" s="17" t="b">
        <f t="shared" si="24"/>
        <v>1</v>
      </c>
      <c r="D68" s="17">
        <f t="shared" si="10"/>
        <v>3</v>
      </c>
      <c r="E68" s="17" t="str">
        <f t="shared" si="15"/>
        <v>Section 6 - Spring Boot - Spring Data JPA</v>
      </c>
      <c r="F68" s="18" t="str">
        <f t="shared" si="11"/>
        <v>16. Making CRUD operations with repository and mapped to service</v>
      </c>
      <c r="G68" s="13" t="str">
        <f t="shared" si="17"/>
        <v>9min</v>
      </c>
      <c r="H68">
        <f t="shared" si="18"/>
        <v>0</v>
      </c>
      <c r="I68">
        <f t="shared" si="19"/>
        <v>9</v>
      </c>
      <c r="J68" s="13">
        <f t="shared" si="20"/>
        <v>100</v>
      </c>
      <c r="K68">
        <f t="shared" si="12"/>
        <v>1</v>
      </c>
      <c r="L68">
        <f t="shared" si="13"/>
        <v>40</v>
      </c>
      <c r="M68" s="13">
        <f t="shared" si="21"/>
        <v>1</v>
      </c>
      <c r="N68">
        <f t="shared" si="21"/>
        <v>15</v>
      </c>
      <c r="O68" s="14">
        <f t="shared" si="7"/>
        <v>75</v>
      </c>
      <c r="P68" s="13">
        <f t="shared" si="14"/>
        <v>1</v>
      </c>
      <c r="Q68">
        <f t="shared" si="22"/>
        <v>24</v>
      </c>
      <c r="R68" s="14">
        <f t="shared" si="23"/>
        <v>84</v>
      </c>
      <c r="S68" s="15"/>
      <c r="W68" s="14"/>
    </row>
    <row r="69" spans="1:23" x14ac:dyDescent="0.25">
      <c r="A69" s="16" t="s">
        <v>178</v>
      </c>
      <c r="B69" s="17" t="b">
        <f t="shared" si="16"/>
        <v>0</v>
      </c>
      <c r="C69" s="17" t="b">
        <f t="shared" si="24"/>
        <v>0</v>
      </c>
      <c r="D69" s="17">
        <f t="shared" si="10"/>
        <v>3</v>
      </c>
      <c r="E69" s="17" t="str">
        <f t="shared" si="15"/>
        <v>Section 6 - Spring Boot - Spring Data JPA</v>
      </c>
      <c r="F69" s="18" t="str">
        <f t="shared" si="11"/>
        <v/>
      </c>
      <c r="G69" s="13" t="str">
        <f t="shared" si="17"/>
        <v/>
      </c>
      <c r="H69">
        <f t="shared" si="18"/>
        <v>0</v>
      </c>
      <c r="I69">
        <f t="shared" si="19"/>
        <v>0</v>
      </c>
      <c r="J69" s="13">
        <f t="shared" si="20"/>
        <v>100</v>
      </c>
      <c r="K69">
        <f t="shared" si="12"/>
        <v>1</v>
      </c>
      <c r="L69">
        <f t="shared" si="13"/>
        <v>40</v>
      </c>
      <c r="M69" s="13">
        <f t="shared" si="21"/>
        <v>1</v>
      </c>
      <c r="N69">
        <f t="shared" si="21"/>
        <v>24</v>
      </c>
      <c r="O69" s="14">
        <f t="shared" si="7"/>
        <v>84</v>
      </c>
      <c r="P69" s="13">
        <f t="shared" si="14"/>
        <v>1</v>
      </c>
      <c r="Q69">
        <f t="shared" si="22"/>
        <v>24</v>
      </c>
      <c r="R69" s="14">
        <f t="shared" si="23"/>
        <v>84</v>
      </c>
      <c r="S69" s="15"/>
      <c r="W69" s="14"/>
    </row>
    <row r="70" spans="1:23" x14ac:dyDescent="0.25">
      <c r="A70" s="16" t="s">
        <v>121</v>
      </c>
      <c r="B70" s="17" t="b">
        <f t="shared" si="16"/>
        <v>0</v>
      </c>
      <c r="C70" s="17" t="b">
        <f t="shared" si="24"/>
        <v>0</v>
      </c>
      <c r="D70" s="17">
        <f t="shared" si="10"/>
        <v>3</v>
      </c>
      <c r="E70" s="17" t="str">
        <f t="shared" si="15"/>
        <v>Section 6 - Spring Boot - Spring Data JPA</v>
      </c>
      <c r="F70" s="18" t="str">
        <f t="shared" si="11"/>
        <v/>
      </c>
      <c r="G70" s="13" t="str">
        <f t="shared" si="17"/>
        <v/>
      </c>
      <c r="H70">
        <f t="shared" si="18"/>
        <v>0</v>
      </c>
      <c r="I70">
        <f t="shared" si="19"/>
        <v>0</v>
      </c>
      <c r="J70" s="13">
        <f t="shared" si="20"/>
        <v>100</v>
      </c>
      <c r="K70">
        <f t="shared" si="12"/>
        <v>1</v>
      </c>
      <c r="L70">
        <f t="shared" si="13"/>
        <v>40</v>
      </c>
      <c r="M70" s="13">
        <f t="shared" si="21"/>
        <v>1</v>
      </c>
      <c r="N70">
        <f t="shared" si="21"/>
        <v>24</v>
      </c>
      <c r="O70" s="14">
        <f t="shared" si="7"/>
        <v>84</v>
      </c>
      <c r="P70" s="13">
        <f t="shared" si="14"/>
        <v>1</v>
      </c>
      <c r="Q70">
        <f t="shared" si="22"/>
        <v>24</v>
      </c>
      <c r="R70" s="14">
        <f t="shared" si="23"/>
        <v>84</v>
      </c>
      <c r="S70" s="15"/>
      <c r="W70" s="14"/>
    </row>
    <row r="71" spans="1:23" x14ac:dyDescent="0.25">
      <c r="A71" s="16"/>
      <c r="B71" s="17" t="b">
        <f t="shared" si="16"/>
        <v>0</v>
      </c>
      <c r="C71" s="17" t="b">
        <f t="shared" si="24"/>
        <v>0</v>
      </c>
      <c r="D71" s="17">
        <f t="shared" si="10"/>
        <v>3</v>
      </c>
      <c r="E71" s="17" t="str">
        <f t="shared" si="15"/>
        <v>Section 6 - Spring Boot - Spring Data JPA</v>
      </c>
      <c r="F71" s="18" t="str">
        <f t="shared" si="11"/>
        <v/>
      </c>
      <c r="G71" s="13" t="str">
        <f t="shared" si="17"/>
        <v/>
      </c>
      <c r="H71">
        <f t="shared" si="18"/>
        <v>0</v>
      </c>
      <c r="I71">
        <f t="shared" si="19"/>
        <v>0</v>
      </c>
      <c r="J71" s="13">
        <f t="shared" si="20"/>
        <v>100</v>
      </c>
      <c r="K71">
        <f t="shared" si="12"/>
        <v>1</v>
      </c>
      <c r="L71">
        <f t="shared" si="13"/>
        <v>40</v>
      </c>
      <c r="M71" s="13">
        <f t="shared" si="21"/>
        <v>1</v>
      </c>
      <c r="N71">
        <f t="shared" si="21"/>
        <v>24</v>
      </c>
      <c r="O71" s="14">
        <f t="shared" si="7"/>
        <v>84</v>
      </c>
      <c r="P71" s="13">
        <f t="shared" si="14"/>
        <v>1</v>
      </c>
      <c r="Q71">
        <f t="shared" si="22"/>
        <v>24</v>
      </c>
      <c r="R71" s="14">
        <f t="shared" si="23"/>
        <v>84</v>
      </c>
      <c r="S71" s="15"/>
      <c r="W71" s="14"/>
    </row>
    <row r="72" spans="1:23" x14ac:dyDescent="0.25">
      <c r="A72" s="16" t="s">
        <v>179</v>
      </c>
      <c r="B72" s="17" t="b">
        <f t="shared" si="16"/>
        <v>0</v>
      </c>
      <c r="C72" s="17" t="b">
        <f t="shared" si="24"/>
        <v>1</v>
      </c>
      <c r="D72" s="17">
        <f t="shared" si="10"/>
        <v>4</v>
      </c>
      <c r="E72" s="17" t="str">
        <f t="shared" si="15"/>
        <v>Section 6 - Spring Boot - Spring Data JPA</v>
      </c>
      <c r="F72" s="18" t="str">
        <f t="shared" si="11"/>
        <v>17. Create restEndpoint for CRUD service to test</v>
      </c>
      <c r="G72" s="13" t="str">
        <f t="shared" si="17"/>
        <v>10min</v>
      </c>
      <c r="H72">
        <f t="shared" si="18"/>
        <v>0</v>
      </c>
      <c r="I72">
        <f t="shared" si="19"/>
        <v>10</v>
      </c>
      <c r="J72" s="13">
        <f t="shared" si="20"/>
        <v>110</v>
      </c>
      <c r="K72">
        <f t="shared" si="12"/>
        <v>1</v>
      </c>
      <c r="L72">
        <f t="shared" si="13"/>
        <v>50</v>
      </c>
      <c r="M72" s="13">
        <f t="shared" si="21"/>
        <v>1</v>
      </c>
      <c r="N72">
        <f t="shared" si="21"/>
        <v>24</v>
      </c>
      <c r="O72" s="14">
        <f t="shared" si="7"/>
        <v>84</v>
      </c>
      <c r="P72" s="13">
        <f t="shared" si="14"/>
        <v>1</v>
      </c>
      <c r="Q72">
        <f t="shared" si="22"/>
        <v>34</v>
      </c>
      <c r="R72" s="14">
        <f t="shared" si="23"/>
        <v>94</v>
      </c>
      <c r="S72" s="15"/>
      <c r="W72" s="14"/>
    </row>
    <row r="73" spans="1:23" x14ac:dyDescent="0.25">
      <c r="A73" s="16" t="s">
        <v>129</v>
      </c>
      <c r="B73" s="17" t="b">
        <f t="shared" si="16"/>
        <v>0</v>
      </c>
      <c r="C73" s="17" t="b">
        <f t="shared" si="24"/>
        <v>0</v>
      </c>
      <c r="D73" s="17">
        <f t="shared" si="10"/>
        <v>4</v>
      </c>
      <c r="E73" s="17" t="str">
        <f t="shared" si="15"/>
        <v>Section 6 - Spring Boot - Spring Data JPA</v>
      </c>
      <c r="F73" s="18" t="str">
        <f t="shared" si="11"/>
        <v/>
      </c>
      <c r="G73" s="13" t="str">
        <f t="shared" si="17"/>
        <v/>
      </c>
      <c r="H73">
        <f t="shared" si="18"/>
        <v>0</v>
      </c>
      <c r="I73">
        <f t="shared" si="19"/>
        <v>0</v>
      </c>
      <c r="J73" s="13">
        <f t="shared" si="20"/>
        <v>110</v>
      </c>
      <c r="K73">
        <f t="shared" si="12"/>
        <v>1</v>
      </c>
      <c r="L73">
        <f t="shared" si="13"/>
        <v>50</v>
      </c>
      <c r="M73" s="13">
        <f t="shared" si="21"/>
        <v>1</v>
      </c>
      <c r="N73">
        <f t="shared" si="21"/>
        <v>34</v>
      </c>
      <c r="O73" s="14">
        <f t="shared" si="7"/>
        <v>94</v>
      </c>
      <c r="P73" s="13">
        <f t="shared" si="14"/>
        <v>1</v>
      </c>
      <c r="Q73">
        <f t="shared" si="22"/>
        <v>34</v>
      </c>
      <c r="R73" s="14">
        <f t="shared" si="23"/>
        <v>94</v>
      </c>
      <c r="S73" s="15"/>
      <c r="W73" s="14"/>
    </row>
    <row r="74" spans="1:23" x14ac:dyDescent="0.25">
      <c r="A74" s="16"/>
      <c r="B74" s="17" t="b">
        <f t="shared" si="16"/>
        <v>0</v>
      </c>
      <c r="C74" s="17" t="b">
        <f t="shared" si="24"/>
        <v>0</v>
      </c>
      <c r="D74" s="17">
        <f t="shared" si="10"/>
        <v>4</v>
      </c>
      <c r="E74" s="17" t="str">
        <f t="shared" si="15"/>
        <v>Section 6 - Spring Boot - Spring Data JPA</v>
      </c>
      <c r="F74" s="18" t="str">
        <f t="shared" si="11"/>
        <v/>
      </c>
      <c r="G74" s="13" t="str">
        <f t="shared" si="17"/>
        <v/>
      </c>
      <c r="H74">
        <f t="shared" si="18"/>
        <v>0</v>
      </c>
      <c r="I74">
        <f t="shared" si="19"/>
        <v>0</v>
      </c>
      <c r="J74" s="13">
        <f t="shared" si="20"/>
        <v>110</v>
      </c>
      <c r="K74">
        <f t="shared" si="12"/>
        <v>1</v>
      </c>
      <c r="L74">
        <f t="shared" si="13"/>
        <v>50</v>
      </c>
      <c r="M74" s="13">
        <f t="shared" si="21"/>
        <v>1</v>
      </c>
      <c r="N74">
        <f t="shared" si="21"/>
        <v>34</v>
      </c>
      <c r="O74" s="14">
        <f t="shared" ref="O74:O137" si="25">((M74*60)+N74)</f>
        <v>94</v>
      </c>
      <c r="P74" s="13">
        <f t="shared" si="14"/>
        <v>1</v>
      </c>
      <c r="Q74">
        <f t="shared" si="22"/>
        <v>34</v>
      </c>
      <c r="R74" s="14">
        <f t="shared" si="23"/>
        <v>94</v>
      </c>
      <c r="S74" s="15"/>
      <c r="W74" s="14"/>
    </row>
    <row r="75" spans="1:23" x14ac:dyDescent="0.25">
      <c r="A75" s="16" t="s">
        <v>193</v>
      </c>
      <c r="B75" s="17" t="b">
        <f t="shared" si="16"/>
        <v>1</v>
      </c>
      <c r="C75" s="17" t="b">
        <f t="shared" si="24"/>
        <v>0</v>
      </c>
      <c r="D75" s="17">
        <f t="shared" ref="D75:D138" si="26">IF(B75,0,IF(C75,D74+1,D74))</f>
        <v>0</v>
      </c>
      <c r="E75" s="17" t="str">
        <f t="shared" si="15"/>
        <v>Section 7 - Spring Boot - View</v>
      </c>
      <c r="F75" s="18" t="str">
        <f t="shared" ref="F75:F138" si="27">IF(C75,A75,"")</f>
        <v/>
      </c>
      <c r="G75" s="13" t="str">
        <f t="shared" si="17"/>
        <v/>
      </c>
      <c r="H75">
        <f t="shared" si="18"/>
        <v>0</v>
      </c>
      <c r="I75">
        <f t="shared" si="19"/>
        <v>0</v>
      </c>
      <c r="J75" s="13">
        <f t="shared" si="20"/>
        <v>110</v>
      </c>
      <c r="K75">
        <f t="shared" ref="K75:K138" si="28">INT(J75/60)</f>
        <v>1</v>
      </c>
      <c r="L75">
        <f t="shared" ref="L75:L138" si="29">INT(J75-(K75*60))</f>
        <v>50</v>
      </c>
      <c r="M75" s="13">
        <f t="shared" si="21"/>
        <v>1</v>
      </c>
      <c r="N75">
        <f t="shared" si="21"/>
        <v>34</v>
      </c>
      <c r="O75" s="14">
        <f t="shared" si="25"/>
        <v>94</v>
      </c>
      <c r="P75" s="13">
        <f t="shared" ref="P75:P138" si="30">INT(R75/60)</f>
        <v>1</v>
      </c>
      <c r="Q75">
        <f t="shared" si="22"/>
        <v>34</v>
      </c>
      <c r="R75" s="14">
        <f t="shared" si="23"/>
        <v>94</v>
      </c>
      <c r="S75" s="15"/>
      <c r="W75" s="14"/>
    </row>
    <row r="76" spans="1:23" x14ac:dyDescent="0.25">
      <c r="A76" s="16" t="s">
        <v>180</v>
      </c>
      <c r="B76" s="17" t="b">
        <f t="shared" si="16"/>
        <v>0</v>
      </c>
      <c r="C76" s="17" t="b">
        <f t="shared" si="24"/>
        <v>1</v>
      </c>
      <c r="D76" s="17">
        <f t="shared" si="26"/>
        <v>1</v>
      </c>
      <c r="E76" s="17" t="str">
        <f t="shared" ref="E76:E139" si="31">SUBSTITUTE(IF(B76,A76,E75),":", " -")</f>
        <v>Section 7 - Spring Boot - View</v>
      </c>
      <c r="F76" s="18" t="str">
        <f t="shared" si="27"/>
        <v>18. Setup web application using Thymeleaf</v>
      </c>
      <c r="G76" s="13" t="str">
        <f t="shared" si="17"/>
        <v>3min</v>
      </c>
      <c r="H76">
        <f t="shared" si="18"/>
        <v>0</v>
      </c>
      <c r="I76">
        <f t="shared" si="19"/>
        <v>3</v>
      </c>
      <c r="J76" s="13">
        <f t="shared" si="20"/>
        <v>113</v>
      </c>
      <c r="K76">
        <f t="shared" si="28"/>
        <v>1</v>
      </c>
      <c r="L76">
        <f t="shared" si="29"/>
        <v>53</v>
      </c>
      <c r="M76" s="13">
        <f t="shared" si="21"/>
        <v>1</v>
      </c>
      <c r="N76">
        <f t="shared" si="21"/>
        <v>34</v>
      </c>
      <c r="O76" s="14">
        <f t="shared" si="25"/>
        <v>94</v>
      </c>
      <c r="P76" s="13">
        <f t="shared" si="30"/>
        <v>1</v>
      </c>
      <c r="Q76">
        <f t="shared" si="22"/>
        <v>37</v>
      </c>
      <c r="R76" s="14">
        <f t="shared" si="23"/>
        <v>97</v>
      </c>
      <c r="S76" s="15"/>
      <c r="W76" s="14"/>
    </row>
    <row r="77" spans="1:23" x14ac:dyDescent="0.25">
      <c r="A77" s="16" t="s">
        <v>123</v>
      </c>
      <c r="B77" s="17" t="b">
        <f t="shared" si="16"/>
        <v>0</v>
      </c>
      <c r="C77" s="17" t="b">
        <f t="shared" si="24"/>
        <v>0</v>
      </c>
      <c r="D77" s="17">
        <f t="shared" si="26"/>
        <v>1</v>
      </c>
      <c r="E77" s="17" t="str">
        <f t="shared" si="31"/>
        <v>Section 7 - Spring Boot - View</v>
      </c>
      <c r="F77" s="18" t="str">
        <f t="shared" si="27"/>
        <v/>
      </c>
      <c r="G77" s="13" t="str">
        <f t="shared" si="17"/>
        <v/>
      </c>
      <c r="H77">
        <f t="shared" si="18"/>
        <v>0</v>
      </c>
      <c r="I77">
        <f t="shared" si="19"/>
        <v>0</v>
      </c>
      <c r="J77" s="13">
        <f t="shared" si="20"/>
        <v>113</v>
      </c>
      <c r="K77">
        <f t="shared" si="28"/>
        <v>1</v>
      </c>
      <c r="L77">
        <f t="shared" si="29"/>
        <v>53</v>
      </c>
      <c r="M77" s="13">
        <f t="shared" si="21"/>
        <v>1</v>
      </c>
      <c r="N77">
        <f t="shared" si="21"/>
        <v>37</v>
      </c>
      <c r="O77" s="14">
        <f t="shared" si="25"/>
        <v>97</v>
      </c>
      <c r="P77" s="13">
        <f t="shared" si="30"/>
        <v>1</v>
      </c>
      <c r="Q77">
        <f t="shared" si="22"/>
        <v>37</v>
      </c>
      <c r="R77" s="14">
        <f t="shared" si="23"/>
        <v>97</v>
      </c>
      <c r="S77" s="15"/>
      <c r="W77" s="14"/>
    </row>
    <row r="78" spans="1:23" x14ac:dyDescent="0.25">
      <c r="A78" s="16" t="s">
        <v>121</v>
      </c>
      <c r="B78" s="17" t="b">
        <f t="shared" si="16"/>
        <v>0</v>
      </c>
      <c r="C78" s="17" t="b">
        <f t="shared" si="24"/>
        <v>0</v>
      </c>
      <c r="D78" s="17">
        <f t="shared" si="26"/>
        <v>1</v>
      </c>
      <c r="E78" s="17" t="str">
        <f t="shared" si="31"/>
        <v>Section 7 - Spring Boot - View</v>
      </c>
      <c r="F78" s="18" t="str">
        <f t="shared" si="27"/>
        <v/>
      </c>
      <c r="G78" s="13" t="str">
        <f t="shared" si="17"/>
        <v/>
      </c>
      <c r="H78">
        <f t="shared" si="18"/>
        <v>0</v>
      </c>
      <c r="I78">
        <f t="shared" si="19"/>
        <v>0</v>
      </c>
      <c r="J78" s="13">
        <f t="shared" si="20"/>
        <v>113</v>
      </c>
      <c r="K78">
        <f t="shared" si="28"/>
        <v>1</v>
      </c>
      <c r="L78">
        <f t="shared" si="29"/>
        <v>53</v>
      </c>
      <c r="M78" s="13">
        <f t="shared" si="21"/>
        <v>1</v>
      </c>
      <c r="N78">
        <f t="shared" si="21"/>
        <v>37</v>
      </c>
      <c r="O78" s="14">
        <f t="shared" si="25"/>
        <v>97</v>
      </c>
      <c r="P78" s="13">
        <f t="shared" si="30"/>
        <v>1</v>
      </c>
      <c r="Q78">
        <f t="shared" si="22"/>
        <v>37</v>
      </c>
      <c r="R78" s="14">
        <f t="shared" si="23"/>
        <v>97</v>
      </c>
      <c r="S78" s="15"/>
      <c r="W78" s="14"/>
    </row>
    <row r="79" spans="1:23" x14ac:dyDescent="0.25">
      <c r="A79" s="16" t="s">
        <v>181</v>
      </c>
      <c r="B79" s="17" t="b">
        <f t="shared" si="16"/>
        <v>0</v>
      </c>
      <c r="C79" s="17" t="b">
        <f t="shared" si="24"/>
        <v>1</v>
      </c>
      <c r="D79" s="17">
        <f t="shared" si="26"/>
        <v>2</v>
      </c>
      <c r="E79" s="17" t="str">
        <f t="shared" si="31"/>
        <v>Section 7 - Spring Boot - View</v>
      </c>
      <c r="F79" s="18" t="str">
        <f t="shared" si="27"/>
        <v>19. Configure Bootstrap 4 and create static pages for demo application</v>
      </c>
      <c r="G79" s="13" t="str">
        <f t="shared" si="17"/>
        <v>2min</v>
      </c>
      <c r="H79">
        <f t="shared" si="18"/>
        <v>0</v>
      </c>
      <c r="I79">
        <f t="shared" si="19"/>
        <v>2</v>
      </c>
      <c r="J79" s="13">
        <f t="shared" si="20"/>
        <v>115</v>
      </c>
      <c r="K79">
        <f t="shared" si="28"/>
        <v>1</v>
      </c>
      <c r="L79">
        <f t="shared" si="29"/>
        <v>55</v>
      </c>
      <c r="M79" s="13">
        <f t="shared" si="21"/>
        <v>1</v>
      </c>
      <c r="N79">
        <f t="shared" si="21"/>
        <v>37</v>
      </c>
      <c r="O79" s="14">
        <f t="shared" si="25"/>
        <v>97</v>
      </c>
      <c r="P79" s="13">
        <f t="shared" si="30"/>
        <v>1</v>
      </c>
      <c r="Q79">
        <f t="shared" si="22"/>
        <v>39</v>
      </c>
      <c r="R79" s="14">
        <f t="shared" si="23"/>
        <v>99</v>
      </c>
      <c r="S79" s="15"/>
      <c r="W79" s="14"/>
    </row>
    <row r="80" spans="1:23" x14ac:dyDescent="0.25">
      <c r="A80" s="16" t="s">
        <v>117</v>
      </c>
      <c r="B80" s="17" t="b">
        <f t="shared" si="16"/>
        <v>0</v>
      </c>
      <c r="C80" s="17" t="b">
        <f t="shared" si="24"/>
        <v>0</v>
      </c>
      <c r="D80" s="17">
        <f t="shared" si="26"/>
        <v>2</v>
      </c>
      <c r="E80" s="17" t="str">
        <f t="shared" si="31"/>
        <v>Section 7 - Spring Boot - View</v>
      </c>
      <c r="F80" s="18" t="str">
        <f t="shared" si="27"/>
        <v/>
      </c>
      <c r="G80" s="13" t="str">
        <f t="shared" si="17"/>
        <v/>
      </c>
      <c r="H80">
        <f t="shared" si="18"/>
        <v>0</v>
      </c>
      <c r="I80">
        <f t="shared" si="19"/>
        <v>0</v>
      </c>
      <c r="J80" s="13">
        <f t="shared" si="20"/>
        <v>115</v>
      </c>
      <c r="K80">
        <f t="shared" si="28"/>
        <v>1</v>
      </c>
      <c r="L80">
        <f t="shared" si="29"/>
        <v>55</v>
      </c>
      <c r="M80" s="13">
        <f t="shared" si="21"/>
        <v>1</v>
      </c>
      <c r="N80">
        <f t="shared" si="21"/>
        <v>39</v>
      </c>
      <c r="O80" s="14">
        <f t="shared" si="25"/>
        <v>99</v>
      </c>
      <c r="P80" s="13">
        <f t="shared" si="30"/>
        <v>1</v>
      </c>
      <c r="Q80">
        <f t="shared" si="22"/>
        <v>39</v>
      </c>
      <c r="R80" s="14">
        <f t="shared" si="23"/>
        <v>99</v>
      </c>
      <c r="S80" s="15"/>
      <c r="W80" s="14"/>
    </row>
    <row r="81" spans="1:23" x14ac:dyDescent="0.25">
      <c r="A81" s="16" t="s">
        <v>121</v>
      </c>
      <c r="B81" s="17" t="b">
        <f t="shared" si="16"/>
        <v>0</v>
      </c>
      <c r="C81" s="17" t="b">
        <f t="shared" si="24"/>
        <v>0</v>
      </c>
      <c r="D81" s="17">
        <f t="shared" si="26"/>
        <v>2</v>
      </c>
      <c r="E81" s="17" t="str">
        <f t="shared" si="31"/>
        <v>Section 7 - Spring Boot - View</v>
      </c>
      <c r="F81" s="18" t="str">
        <f t="shared" si="27"/>
        <v/>
      </c>
      <c r="G81" s="13" t="str">
        <f t="shared" si="17"/>
        <v/>
      </c>
      <c r="H81">
        <f t="shared" si="18"/>
        <v>0</v>
      </c>
      <c r="I81">
        <f t="shared" si="19"/>
        <v>0</v>
      </c>
      <c r="J81" s="13">
        <f t="shared" si="20"/>
        <v>115</v>
      </c>
      <c r="K81">
        <f t="shared" si="28"/>
        <v>1</v>
      </c>
      <c r="L81">
        <f t="shared" si="29"/>
        <v>55</v>
      </c>
      <c r="M81" s="13">
        <f t="shared" si="21"/>
        <v>1</v>
      </c>
      <c r="N81">
        <f t="shared" si="21"/>
        <v>39</v>
      </c>
      <c r="O81" s="14">
        <f t="shared" si="25"/>
        <v>99</v>
      </c>
      <c r="P81" s="13">
        <f t="shared" si="30"/>
        <v>1</v>
      </c>
      <c r="Q81">
        <f t="shared" si="22"/>
        <v>39</v>
      </c>
      <c r="R81" s="14">
        <f t="shared" si="23"/>
        <v>99</v>
      </c>
      <c r="S81" s="15"/>
      <c r="W81" s="14"/>
    </row>
    <row r="82" spans="1:23" x14ac:dyDescent="0.25">
      <c r="A82" s="16" t="s">
        <v>182</v>
      </c>
      <c r="B82" s="17" t="b">
        <f t="shared" ref="B82:B145" si="32">AND(NOT(ISERROR(FIND("Section ",A82))),NOT(ISERROR(FIND("Section ",A82))))</f>
        <v>0</v>
      </c>
      <c r="C82" s="17" t="b">
        <f t="shared" si="24"/>
        <v>1</v>
      </c>
      <c r="D82" s="17">
        <f t="shared" si="26"/>
        <v>3</v>
      </c>
      <c r="E82" s="17" t="str">
        <f t="shared" si="31"/>
        <v>Section 7 - Spring Boot - View</v>
      </c>
      <c r="F82" s="18" t="str">
        <f t="shared" si="27"/>
        <v>20. Mapped the service to Controller for data passage to View.</v>
      </c>
      <c r="G82" s="13" t="str">
        <f t="shared" si="17"/>
        <v>13min</v>
      </c>
      <c r="H82">
        <f t="shared" si="18"/>
        <v>0</v>
      </c>
      <c r="I82">
        <f t="shared" si="19"/>
        <v>13</v>
      </c>
      <c r="J82" s="13">
        <f t="shared" si="20"/>
        <v>128</v>
      </c>
      <c r="K82">
        <f t="shared" si="28"/>
        <v>2</v>
      </c>
      <c r="L82">
        <f t="shared" si="29"/>
        <v>8</v>
      </c>
      <c r="M82" s="13">
        <f t="shared" si="21"/>
        <v>1</v>
      </c>
      <c r="N82">
        <f t="shared" si="21"/>
        <v>39</v>
      </c>
      <c r="O82" s="14">
        <f t="shared" si="25"/>
        <v>99</v>
      </c>
      <c r="P82" s="13">
        <f t="shared" si="30"/>
        <v>1</v>
      </c>
      <c r="Q82">
        <f t="shared" si="22"/>
        <v>52</v>
      </c>
      <c r="R82" s="14">
        <f t="shared" si="23"/>
        <v>112</v>
      </c>
      <c r="S82" s="15"/>
      <c r="W82" s="14"/>
    </row>
    <row r="83" spans="1:23" x14ac:dyDescent="0.25">
      <c r="A83" s="16" t="s">
        <v>176</v>
      </c>
      <c r="B83" s="17" t="b">
        <f t="shared" si="32"/>
        <v>0</v>
      </c>
      <c r="C83" s="17" t="b">
        <f t="shared" si="24"/>
        <v>0</v>
      </c>
      <c r="D83" s="17">
        <f t="shared" si="26"/>
        <v>3</v>
      </c>
      <c r="E83" s="17" t="str">
        <f t="shared" si="31"/>
        <v>Section 7 - Spring Boot - View</v>
      </c>
      <c r="F83" s="18" t="str">
        <f t="shared" si="27"/>
        <v/>
      </c>
      <c r="G83" s="13" t="str">
        <f t="shared" si="17"/>
        <v/>
      </c>
      <c r="H83">
        <f t="shared" si="18"/>
        <v>0</v>
      </c>
      <c r="I83">
        <f t="shared" si="19"/>
        <v>0</v>
      </c>
      <c r="J83" s="13">
        <f t="shared" si="20"/>
        <v>128</v>
      </c>
      <c r="K83">
        <f t="shared" si="28"/>
        <v>2</v>
      </c>
      <c r="L83">
        <f t="shared" si="29"/>
        <v>8</v>
      </c>
      <c r="M83" s="13">
        <f t="shared" si="21"/>
        <v>1</v>
      </c>
      <c r="N83">
        <f t="shared" si="21"/>
        <v>52</v>
      </c>
      <c r="O83" s="14">
        <f t="shared" si="25"/>
        <v>112</v>
      </c>
      <c r="P83" s="13">
        <f t="shared" si="30"/>
        <v>1</v>
      </c>
      <c r="Q83">
        <f t="shared" si="22"/>
        <v>52</v>
      </c>
      <c r="R83" s="14">
        <f t="shared" si="23"/>
        <v>112</v>
      </c>
      <c r="S83" s="15"/>
      <c r="W83" s="14"/>
    </row>
    <row r="84" spans="1:23" x14ac:dyDescent="0.25">
      <c r="A84" s="16" t="s">
        <v>101</v>
      </c>
      <c r="B84" s="17" t="b">
        <f t="shared" si="32"/>
        <v>0</v>
      </c>
      <c r="C84" s="17" t="b">
        <f t="shared" si="24"/>
        <v>0</v>
      </c>
      <c r="D84" s="17">
        <f t="shared" si="26"/>
        <v>3</v>
      </c>
      <c r="E84" s="17" t="str">
        <f t="shared" si="31"/>
        <v>Section 7 - Spring Boot - View</v>
      </c>
      <c r="F84" s="18" t="str">
        <f t="shared" si="27"/>
        <v/>
      </c>
      <c r="G84" s="13" t="str">
        <f t="shared" si="17"/>
        <v/>
      </c>
      <c r="H84">
        <f t="shared" si="18"/>
        <v>0</v>
      </c>
      <c r="I84">
        <f t="shared" si="19"/>
        <v>0</v>
      </c>
      <c r="J84" s="13">
        <f t="shared" si="20"/>
        <v>128</v>
      </c>
      <c r="K84">
        <f t="shared" si="28"/>
        <v>2</v>
      </c>
      <c r="L84">
        <f t="shared" si="29"/>
        <v>8</v>
      </c>
      <c r="M84" s="13">
        <f t="shared" si="21"/>
        <v>1</v>
      </c>
      <c r="N84">
        <f t="shared" si="21"/>
        <v>52</v>
      </c>
      <c r="O84" s="14">
        <f t="shared" si="25"/>
        <v>112</v>
      </c>
      <c r="P84" s="13">
        <f t="shared" si="30"/>
        <v>1</v>
      </c>
      <c r="Q84">
        <f t="shared" si="22"/>
        <v>52</v>
      </c>
      <c r="R84" s="14">
        <f t="shared" si="23"/>
        <v>112</v>
      </c>
      <c r="S84" s="15"/>
      <c r="W84" s="14"/>
    </row>
    <row r="85" spans="1:23" x14ac:dyDescent="0.25">
      <c r="A85" s="16" t="s">
        <v>183</v>
      </c>
      <c r="B85" s="17" t="b">
        <f t="shared" si="32"/>
        <v>0</v>
      </c>
      <c r="C85" s="17" t="b">
        <f t="shared" si="24"/>
        <v>0</v>
      </c>
      <c r="D85" s="17">
        <f t="shared" si="26"/>
        <v>3</v>
      </c>
      <c r="E85" s="17" t="str">
        <f t="shared" si="31"/>
        <v>Section 7 - Spring Boot - View</v>
      </c>
      <c r="F85" s="18" t="str">
        <f t="shared" si="27"/>
        <v/>
      </c>
      <c r="G85" s="13" t="str">
        <f t="shared" ref="G85:G148" si="33">IF(C85,A86,"")</f>
        <v/>
      </c>
      <c r="H85">
        <f t="shared" ref="H85:H148" si="34">VALUE(IF(NOT(ISERROR(FIND("hr",G85))),LEFT(G85,FIND("hr",G85)-1),0))</f>
        <v>0</v>
      </c>
      <c r="I85">
        <f t="shared" ref="I85:I148" si="35">VALUE(IF(ISERROR(FIND("min",G85)),0,SUBSTITUTE(MID(G85,IF(ISERROR(FIND("hr ",G85)),1,FIND("hr ",G85)+3),LEN(G85)),"min","")))</f>
        <v>0</v>
      </c>
      <c r="J85" s="13">
        <f t="shared" ref="J85:J148" si="36">J84+(H85*60+I85)</f>
        <v>128</v>
      </c>
      <c r="K85">
        <f t="shared" si="28"/>
        <v>2</v>
      </c>
      <c r="L85">
        <f t="shared" si="29"/>
        <v>8</v>
      </c>
      <c r="M85" s="13">
        <f t="shared" ref="M85:N148" si="37">P84</f>
        <v>1</v>
      </c>
      <c r="N85">
        <f t="shared" si="37"/>
        <v>52</v>
      </c>
      <c r="O85" s="14">
        <f t="shared" si="25"/>
        <v>112</v>
      </c>
      <c r="P85" s="13">
        <f t="shared" si="30"/>
        <v>1</v>
      </c>
      <c r="Q85">
        <f t="shared" ref="Q85:Q148" si="38">R85-(P85*60)</f>
        <v>52</v>
      </c>
      <c r="R85" s="14">
        <f t="shared" ref="R85:R148" si="39">((H85*60)+I85)+O85</f>
        <v>112</v>
      </c>
      <c r="S85" s="15"/>
      <c r="W85" s="14"/>
    </row>
    <row r="86" spans="1:23" x14ac:dyDescent="0.25">
      <c r="A86" s="16"/>
      <c r="B86" s="17" t="b">
        <f t="shared" si="32"/>
        <v>0</v>
      </c>
      <c r="C86" s="17" t="b">
        <f t="shared" si="24"/>
        <v>0</v>
      </c>
      <c r="D86" s="17">
        <f t="shared" si="26"/>
        <v>3</v>
      </c>
      <c r="E86" s="17" t="str">
        <f t="shared" si="31"/>
        <v>Section 7 - Spring Boot - View</v>
      </c>
      <c r="F86" s="18" t="str">
        <f t="shared" si="27"/>
        <v/>
      </c>
      <c r="G86" s="13" t="str">
        <f t="shared" si="33"/>
        <v/>
      </c>
      <c r="H86">
        <f t="shared" si="34"/>
        <v>0</v>
      </c>
      <c r="I86">
        <f t="shared" si="35"/>
        <v>0</v>
      </c>
      <c r="J86" s="13">
        <f t="shared" si="36"/>
        <v>128</v>
      </c>
      <c r="K86">
        <f t="shared" si="28"/>
        <v>2</v>
      </c>
      <c r="L86">
        <f t="shared" si="29"/>
        <v>8</v>
      </c>
      <c r="M86" s="13">
        <f t="shared" si="37"/>
        <v>1</v>
      </c>
      <c r="N86">
        <f t="shared" si="37"/>
        <v>52</v>
      </c>
      <c r="O86" s="14">
        <f t="shared" si="25"/>
        <v>112</v>
      </c>
      <c r="P86" s="13">
        <f t="shared" si="30"/>
        <v>1</v>
      </c>
      <c r="Q86">
        <f t="shared" si="38"/>
        <v>52</v>
      </c>
      <c r="R86" s="14">
        <f t="shared" si="39"/>
        <v>112</v>
      </c>
      <c r="S86" s="15"/>
      <c r="W86" s="14"/>
    </row>
    <row r="87" spans="1:23" x14ac:dyDescent="0.25">
      <c r="A87" s="16" t="s">
        <v>101</v>
      </c>
      <c r="B87" s="17" t="b">
        <f t="shared" si="32"/>
        <v>0</v>
      </c>
      <c r="C87" s="17" t="b">
        <f t="shared" si="24"/>
        <v>0</v>
      </c>
      <c r="D87" s="17">
        <f t="shared" si="26"/>
        <v>3</v>
      </c>
      <c r="E87" s="17" t="str">
        <f t="shared" si="31"/>
        <v>Section 7 - Spring Boot - View</v>
      </c>
      <c r="F87" s="18" t="str">
        <f t="shared" si="27"/>
        <v/>
      </c>
      <c r="G87" s="13" t="str">
        <f t="shared" si="33"/>
        <v/>
      </c>
      <c r="H87">
        <f t="shared" si="34"/>
        <v>0</v>
      </c>
      <c r="I87">
        <f t="shared" si="35"/>
        <v>0</v>
      </c>
      <c r="J87" s="13">
        <f t="shared" si="36"/>
        <v>128</v>
      </c>
      <c r="K87">
        <f t="shared" si="28"/>
        <v>2</v>
      </c>
      <c r="L87">
        <f t="shared" si="29"/>
        <v>8</v>
      </c>
      <c r="M87" s="13">
        <f t="shared" si="37"/>
        <v>1</v>
      </c>
      <c r="N87">
        <f t="shared" si="37"/>
        <v>52</v>
      </c>
      <c r="O87" s="14">
        <f t="shared" si="25"/>
        <v>112</v>
      </c>
      <c r="P87" s="13">
        <f t="shared" si="30"/>
        <v>1</v>
      </c>
      <c r="Q87">
        <f t="shared" si="38"/>
        <v>52</v>
      </c>
      <c r="R87" s="14">
        <f t="shared" si="39"/>
        <v>112</v>
      </c>
      <c r="S87" s="15"/>
      <c r="W87" s="14"/>
    </row>
    <row r="88" spans="1:23" x14ac:dyDescent="0.25">
      <c r="A88" s="16" t="s">
        <v>184</v>
      </c>
      <c r="B88" s="17" t="b">
        <f t="shared" si="32"/>
        <v>0</v>
      </c>
      <c r="C88" s="17" t="b">
        <f t="shared" si="24"/>
        <v>0</v>
      </c>
      <c r="D88" s="17">
        <f t="shared" si="26"/>
        <v>3</v>
      </c>
      <c r="E88" s="17" t="str">
        <f t="shared" si="31"/>
        <v>Section 7 - Spring Boot - View</v>
      </c>
      <c r="F88" s="18" t="str">
        <f t="shared" si="27"/>
        <v/>
      </c>
      <c r="G88" s="13" t="str">
        <f t="shared" si="33"/>
        <v/>
      </c>
      <c r="H88">
        <f t="shared" si="34"/>
        <v>0</v>
      </c>
      <c r="I88">
        <f t="shared" si="35"/>
        <v>0</v>
      </c>
      <c r="J88" s="13">
        <f t="shared" si="36"/>
        <v>128</v>
      </c>
      <c r="K88">
        <f t="shared" si="28"/>
        <v>2</v>
      </c>
      <c r="L88">
        <f t="shared" si="29"/>
        <v>8</v>
      </c>
      <c r="M88" s="13">
        <f t="shared" si="37"/>
        <v>1</v>
      </c>
      <c r="N88">
        <f t="shared" si="37"/>
        <v>52</v>
      </c>
      <c r="O88" s="14">
        <f t="shared" si="25"/>
        <v>112</v>
      </c>
      <c r="P88" s="13">
        <f t="shared" si="30"/>
        <v>1</v>
      </c>
      <c r="Q88">
        <f t="shared" si="38"/>
        <v>52</v>
      </c>
      <c r="R88" s="14">
        <f t="shared" si="39"/>
        <v>112</v>
      </c>
      <c r="S88" s="15"/>
      <c r="W88" s="14"/>
    </row>
    <row r="89" spans="1:23" x14ac:dyDescent="0.25">
      <c r="A89" s="16"/>
      <c r="B89" s="17" t="b">
        <f t="shared" si="32"/>
        <v>0</v>
      </c>
      <c r="C89" s="17" t="b">
        <f t="shared" si="24"/>
        <v>0</v>
      </c>
      <c r="D89" s="17">
        <f t="shared" si="26"/>
        <v>3</v>
      </c>
      <c r="E89" s="17" t="str">
        <f t="shared" si="31"/>
        <v>Section 7 - Spring Boot - View</v>
      </c>
      <c r="F89" s="18" t="str">
        <f t="shared" si="27"/>
        <v/>
      </c>
      <c r="G89" s="13" t="str">
        <f t="shared" si="33"/>
        <v/>
      </c>
      <c r="H89">
        <f t="shared" si="34"/>
        <v>0</v>
      </c>
      <c r="I89">
        <f t="shared" si="35"/>
        <v>0</v>
      </c>
      <c r="J89" s="13">
        <f t="shared" si="36"/>
        <v>128</v>
      </c>
      <c r="K89">
        <f t="shared" si="28"/>
        <v>2</v>
      </c>
      <c r="L89">
        <f t="shared" si="29"/>
        <v>8</v>
      </c>
      <c r="M89" s="13">
        <f t="shared" si="37"/>
        <v>1</v>
      </c>
      <c r="N89">
        <f t="shared" si="37"/>
        <v>52</v>
      </c>
      <c r="O89" s="14">
        <f t="shared" si="25"/>
        <v>112</v>
      </c>
      <c r="P89" s="13">
        <f t="shared" si="30"/>
        <v>1</v>
      </c>
      <c r="Q89">
        <f t="shared" si="38"/>
        <v>52</v>
      </c>
      <c r="R89" s="14">
        <f t="shared" si="39"/>
        <v>112</v>
      </c>
      <c r="S89" s="15"/>
      <c r="W89" s="14"/>
    </row>
    <row r="90" spans="1:23" x14ac:dyDescent="0.25">
      <c r="A90" s="16" t="s">
        <v>194</v>
      </c>
      <c r="B90" s="17" t="b">
        <f t="shared" si="32"/>
        <v>1</v>
      </c>
      <c r="C90" s="17" t="b">
        <f t="shared" si="24"/>
        <v>0</v>
      </c>
      <c r="D90" s="17">
        <f t="shared" si="26"/>
        <v>0</v>
      </c>
      <c r="E90" s="17" t="str">
        <f t="shared" si="31"/>
        <v>Section 8 - Spring Boot - Security</v>
      </c>
      <c r="F90" s="18" t="str">
        <f t="shared" si="27"/>
        <v/>
      </c>
      <c r="G90" s="13" t="str">
        <f t="shared" si="33"/>
        <v/>
      </c>
      <c r="H90">
        <f t="shared" si="34"/>
        <v>0</v>
      </c>
      <c r="I90">
        <f t="shared" si="35"/>
        <v>0</v>
      </c>
      <c r="J90" s="13">
        <f t="shared" si="36"/>
        <v>128</v>
      </c>
      <c r="K90">
        <f t="shared" si="28"/>
        <v>2</v>
      </c>
      <c r="L90">
        <f t="shared" si="29"/>
        <v>8</v>
      </c>
      <c r="M90" s="13">
        <f t="shared" si="37"/>
        <v>1</v>
      </c>
      <c r="N90">
        <f t="shared" si="37"/>
        <v>52</v>
      </c>
      <c r="O90" s="14">
        <f t="shared" si="25"/>
        <v>112</v>
      </c>
      <c r="P90" s="13">
        <f t="shared" si="30"/>
        <v>1</v>
      </c>
      <c r="Q90">
        <f t="shared" si="38"/>
        <v>52</v>
      </c>
      <c r="R90" s="14">
        <f t="shared" si="39"/>
        <v>112</v>
      </c>
      <c r="S90" s="15"/>
      <c r="W90" s="14"/>
    </row>
    <row r="91" spans="1:23" x14ac:dyDescent="0.25">
      <c r="A91" s="16"/>
      <c r="B91" s="17" t="b">
        <f t="shared" si="32"/>
        <v>0</v>
      </c>
      <c r="C91" s="17" t="b">
        <f t="shared" si="24"/>
        <v>0</v>
      </c>
      <c r="D91" s="17">
        <f t="shared" si="26"/>
        <v>0</v>
      </c>
      <c r="E91" s="17" t="str">
        <f t="shared" si="31"/>
        <v>Section 8 - Spring Boot - Security</v>
      </c>
      <c r="F91" s="18" t="str">
        <f t="shared" si="27"/>
        <v/>
      </c>
      <c r="G91" s="13" t="str">
        <f t="shared" si="33"/>
        <v/>
      </c>
      <c r="H91">
        <f t="shared" si="34"/>
        <v>0</v>
      </c>
      <c r="I91">
        <f t="shared" si="35"/>
        <v>0</v>
      </c>
      <c r="J91" s="13">
        <f t="shared" si="36"/>
        <v>128</v>
      </c>
      <c r="K91">
        <f t="shared" si="28"/>
        <v>2</v>
      </c>
      <c r="L91">
        <f t="shared" si="29"/>
        <v>8</v>
      </c>
      <c r="M91" s="13">
        <f t="shared" si="37"/>
        <v>1</v>
      </c>
      <c r="N91">
        <f t="shared" si="37"/>
        <v>52</v>
      </c>
      <c r="O91" s="14">
        <f t="shared" si="25"/>
        <v>112</v>
      </c>
      <c r="P91" s="13">
        <f t="shared" si="30"/>
        <v>1</v>
      </c>
      <c r="Q91">
        <f t="shared" si="38"/>
        <v>52</v>
      </c>
      <c r="R91" s="14">
        <f t="shared" si="39"/>
        <v>112</v>
      </c>
      <c r="S91" s="15"/>
      <c r="W91" s="14"/>
    </row>
    <row r="92" spans="1:23" x14ac:dyDescent="0.25">
      <c r="A92" s="16" t="s">
        <v>185</v>
      </c>
      <c r="B92" s="17" t="b">
        <f t="shared" si="32"/>
        <v>0</v>
      </c>
      <c r="C92" s="17" t="b">
        <f t="shared" si="24"/>
        <v>1</v>
      </c>
      <c r="D92" s="17">
        <f t="shared" si="26"/>
        <v>1</v>
      </c>
      <c r="E92" s="17" t="str">
        <f t="shared" si="31"/>
        <v>Section 8 - Spring Boot - Security</v>
      </c>
      <c r="F92" s="18" t="str">
        <f t="shared" si="27"/>
        <v>21. Implement Spring security</v>
      </c>
      <c r="G92" s="13" t="str">
        <f t="shared" si="33"/>
        <v>16min</v>
      </c>
      <c r="H92">
        <f t="shared" si="34"/>
        <v>0</v>
      </c>
      <c r="I92">
        <f t="shared" si="35"/>
        <v>16</v>
      </c>
      <c r="J92" s="13">
        <f t="shared" si="36"/>
        <v>144</v>
      </c>
      <c r="K92">
        <f t="shared" si="28"/>
        <v>2</v>
      </c>
      <c r="L92">
        <f t="shared" si="29"/>
        <v>24</v>
      </c>
      <c r="M92" s="13">
        <v>0</v>
      </c>
      <c r="N92">
        <v>0</v>
      </c>
      <c r="O92" s="14">
        <f t="shared" si="25"/>
        <v>0</v>
      </c>
      <c r="P92" s="13">
        <f t="shared" si="30"/>
        <v>0</v>
      </c>
      <c r="Q92">
        <f t="shared" si="38"/>
        <v>16</v>
      </c>
      <c r="R92" s="14">
        <f t="shared" si="39"/>
        <v>16</v>
      </c>
      <c r="S92" s="15"/>
      <c r="W92" s="14"/>
    </row>
    <row r="93" spans="1:23" x14ac:dyDescent="0.25">
      <c r="A93" s="16" t="s">
        <v>168</v>
      </c>
      <c r="B93" s="17" t="b">
        <f t="shared" si="32"/>
        <v>0</v>
      </c>
      <c r="C93" s="17" t="b">
        <f t="shared" si="24"/>
        <v>0</v>
      </c>
      <c r="D93" s="17">
        <f t="shared" si="26"/>
        <v>1</v>
      </c>
      <c r="E93" s="17" t="str">
        <f t="shared" si="31"/>
        <v>Section 8 - Spring Boot - Security</v>
      </c>
      <c r="F93" s="18" t="str">
        <f t="shared" si="27"/>
        <v/>
      </c>
      <c r="G93" s="13" t="str">
        <f t="shared" si="33"/>
        <v/>
      </c>
      <c r="H93">
        <f t="shared" si="34"/>
        <v>0</v>
      </c>
      <c r="I93">
        <f t="shared" si="35"/>
        <v>0</v>
      </c>
      <c r="J93" s="13">
        <f t="shared" si="36"/>
        <v>144</v>
      </c>
      <c r="K93">
        <f t="shared" si="28"/>
        <v>2</v>
      </c>
      <c r="L93">
        <f t="shared" si="29"/>
        <v>24</v>
      </c>
      <c r="M93" s="13">
        <f t="shared" si="37"/>
        <v>0</v>
      </c>
      <c r="N93">
        <f t="shared" si="37"/>
        <v>16</v>
      </c>
      <c r="O93" s="14">
        <f t="shared" si="25"/>
        <v>16</v>
      </c>
      <c r="P93" s="13">
        <f t="shared" si="30"/>
        <v>0</v>
      </c>
      <c r="Q93">
        <f t="shared" si="38"/>
        <v>16</v>
      </c>
      <c r="R93" s="14">
        <f t="shared" si="39"/>
        <v>16</v>
      </c>
      <c r="S93" s="15"/>
      <c r="W93" s="14"/>
    </row>
    <row r="94" spans="1:23" x14ac:dyDescent="0.25">
      <c r="A94" s="16"/>
      <c r="B94" s="17" t="b">
        <f t="shared" si="32"/>
        <v>0</v>
      </c>
      <c r="C94" s="17" t="b">
        <f t="shared" si="24"/>
        <v>0</v>
      </c>
      <c r="D94" s="17">
        <f t="shared" si="26"/>
        <v>1</v>
      </c>
      <c r="E94" s="17" t="str">
        <f t="shared" si="31"/>
        <v>Section 8 - Spring Boot - Security</v>
      </c>
      <c r="F94" s="18" t="str">
        <f t="shared" si="27"/>
        <v/>
      </c>
      <c r="G94" s="13" t="str">
        <f t="shared" si="33"/>
        <v/>
      </c>
      <c r="H94">
        <f t="shared" si="34"/>
        <v>0</v>
      </c>
      <c r="I94">
        <f t="shared" si="35"/>
        <v>0</v>
      </c>
      <c r="J94" s="13">
        <f t="shared" si="36"/>
        <v>144</v>
      </c>
      <c r="K94">
        <f t="shared" si="28"/>
        <v>2</v>
      </c>
      <c r="L94">
        <f t="shared" si="29"/>
        <v>24</v>
      </c>
      <c r="M94" s="13">
        <f t="shared" si="37"/>
        <v>0</v>
      </c>
      <c r="N94">
        <f t="shared" si="37"/>
        <v>16</v>
      </c>
      <c r="O94" s="14">
        <f t="shared" si="25"/>
        <v>16</v>
      </c>
      <c r="P94" s="13">
        <f t="shared" si="30"/>
        <v>0</v>
      </c>
      <c r="Q94">
        <f t="shared" si="38"/>
        <v>16</v>
      </c>
      <c r="R94" s="14">
        <f t="shared" si="39"/>
        <v>16</v>
      </c>
      <c r="S94" s="15"/>
      <c r="W94" s="14"/>
    </row>
    <row r="95" spans="1:23" x14ac:dyDescent="0.25">
      <c r="A95" s="16" t="s">
        <v>121</v>
      </c>
      <c r="B95" s="17" t="b">
        <f t="shared" si="32"/>
        <v>0</v>
      </c>
      <c r="C95" s="17" t="b">
        <f t="shared" si="24"/>
        <v>0</v>
      </c>
      <c r="D95" s="17">
        <f t="shared" si="26"/>
        <v>1</v>
      </c>
      <c r="E95" s="17" t="str">
        <f t="shared" si="31"/>
        <v>Section 8 - Spring Boot - Security</v>
      </c>
      <c r="F95" s="18" t="str">
        <f t="shared" si="27"/>
        <v/>
      </c>
      <c r="G95" s="13" t="str">
        <f t="shared" si="33"/>
        <v/>
      </c>
      <c r="H95">
        <f t="shared" si="34"/>
        <v>0</v>
      </c>
      <c r="I95">
        <f t="shared" si="35"/>
        <v>0</v>
      </c>
      <c r="J95" s="13">
        <f t="shared" si="36"/>
        <v>144</v>
      </c>
      <c r="K95">
        <f t="shared" si="28"/>
        <v>2</v>
      </c>
      <c r="L95">
        <f t="shared" si="29"/>
        <v>24</v>
      </c>
      <c r="M95" s="13">
        <f t="shared" si="37"/>
        <v>0</v>
      </c>
      <c r="N95">
        <f t="shared" si="37"/>
        <v>16</v>
      </c>
      <c r="O95" s="14">
        <f t="shared" si="25"/>
        <v>16</v>
      </c>
      <c r="P95" s="13">
        <f t="shared" si="30"/>
        <v>0</v>
      </c>
      <c r="Q95">
        <f t="shared" si="38"/>
        <v>16</v>
      </c>
      <c r="R95" s="14">
        <f t="shared" si="39"/>
        <v>16</v>
      </c>
      <c r="S95" s="15"/>
      <c r="W95" s="14"/>
    </row>
    <row r="96" spans="1:23" x14ac:dyDescent="0.25">
      <c r="A96" s="16" t="s">
        <v>195</v>
      </c>
      <c r="B96" s="17" t="b">
        <f t="shared" si="32"/>
        <v>1</v>
      </c>
      <c r="C96" s="17" t="b">
        <f t="shared" si="24"/>
        <v>0</v>
      </c>
      <c r="D96" s="17">
        <f t="shared" si="26"/>
        <v>0</v>
      </c>
      <c r="E96" s="17" t="str">
        <f t="shared" si="31"/>
        <v>Section 9 - Spring Boot - Actuator</v>
      </c>
      <c r="F96" s="18" t="str">
        <f t="shared" si="27"/>
        <v/>
      </c>
      <c r="G96" s="13" t="str">
        <f t="shared" si="33"/>
        <v/>
      </c>
      <c r="H96">
        <f t="shared" si="34"/>
        <v>0</v>
      </c>
      <c r="I96">
        <f t="shared" si="35"/>
        <v>0</v>
      </c>
      <c r="J96" s="13">
        <f t="shared" si="36"/>
        <v>144</v>
      </c>
      <c r="K96">
        <f t="shared" si="28"/>
        <v>2</v>
      </c>
      <c r="L96">
        <f t="shared" si="29"/>
        <v>24</v>
      </c>
      <c r="M96" s="13">
        <f t="shared" si="37"/>
        <v>0</v>
      </c>
      <c r="N96">
        <f t="shared" si="37"/>
        <v>16</v>
      </c>
      <c r="O96" s="14">
        <f t="shared" si="25"/>
        <v>16</v>
      </c>
      <c r="P96" s="13">
        <f t="shared" si="30"/>
        <v>0</v>
      </c>
      <c r="Q96">
        <f t="shared" si="38"/>
        <v>16</v>
      </c>
      <c r="R96" s="14">
        <f t="shared" si="39"/>
        <v>16</v>
      </c>
      <c r="S96" s="15"/>
      <c r="W96" s="14"/>
    </row>
    <row r="97" spans="1:23" x14ac:dyDescent="0.25">
      <c r="A97" s="16" t="s">
        <v>186</v>
      </c>
      <c r="B97" s="17" t="b">
        <f t="shared" si="32"/>
        <v>0</v>
      </c>
      <c r="C97" s="17" t="b">
        <f t="shared" si="24"/>
        <v>1</v>
      </c>
      <c r="D97" s="17">
        <f t="shared" si="26"/>
        <v>1</v>
      </c>
      <c r="E97" s="17" t="str">
        <f t="shared" si="31"/>
        <v>Section 9 - Spring Boot - Actuator</v>
      </c>
      <c r="F97" s="18" t="str">
        <f t="shared" si="27"/>
        <v>22. Implement actuator for monitoring</v>
      </c>
      <c r="G97" s="13" t="str">
        <f t="shared" si="33"/>
        <v>6min</v>
      </c>
      <c r="H97">
        <f t="shared" si="34"/>
        <v>0</v>
      </c>
      <c r="I97">
        <f t="shared" si="35"/>
        <v>6</v>
      </c>
      <c r="J97" s="13">
        <f t="shared" si="36"/>
        <v>150</v>
      </c>
      <c r="K97">
        <f t="shared" si="28"/>
        <v>2</v>
      </c>
      <c r="L97">
        <f t="shared" si="29"/>
        <v>30</v>
      </c>
      <c r="M97" s="13">
        <f t="shared" si="37"/>
        <v>0</v>
      </c>
      <c r="N97">
        <f t="shared" si="37"/>
        <v>16</v>
      </c>
      <c r="O97" s="14">
        <f t="shared" si="25"/>
        <v>16</v>
      </c>
      <c r="P97" s="13">
        <f t="shared" si="30"/>
        <v>0</v>
      </c>
      <c r="Q97">
        <f t="shared" si="38"/>
        <v>22</v>
      </c>
      <c r="R97" s="14">
        <f t="shared" si="39"/>
        <v>22</v>
      </c>
      <c r="S97" s="15"/>
      <c r="W97" s="14"/>
    </row>
    <row r="98" spans="1:23" x14ac:dyDescent="0.25">
      <c r="A98" s="16" t="s">
        <v>153</v>
      </c>
      <c r="B98" s="17" t="b">
        <f t="shared" si="32"/>
        <v>0</v>
      </c>
      <c r="C98" s="17" t="b">
        <f t="shared" si="24"/>
        <v>0</v>
      </c>
      <c r="D98" s="17">
        <f t="shared" si="26"/>
        <v>1</v>
      </c>
      <c r="E98" s="17" t="str">
        <f t="shared" si="31"/>
        <v>Section 9 - Spring Boot - Actuator</v>
      </c>
      <c r="F98" s="18" t="str">
        <f t="shared" si="27"/>
        <v/>
      </c>
      <c r="G98" s="13" t="str">
        <f t="shared" si="33"/>
        <v/>
      </c>
      <c r="H98">
        <f t="shared" si="34"/>
        <v>0</v>
      </c>
      <c r="I98">
        <f t="shared" si="35"/>
        <v>0</v>
      </c>
      <c r="J98" s="13">
        <f t="shared" si="36"/>
        <v>150</v>
      </c>
      <c r="K98">
        <f t="shared" si="28"/>
        <v>2</v>
      </c>
      <c r="L98">
        <f t="shared" si="29"/>
        <v>30</v>
      </c>
      <c r="M98" s="13">
        <f t="shared" si="37"/>
        <v>0</v>
      </c>
      <c r="N98">
        <f t="shared" si="37"/>
        <v>22</v>
      </c>
      <c r="O98" s="14">
        <f t="shared" si="25"/>
        <v>22</v>
      </c>
      <c r="P98" s="13">
        <f t="shared" si="30"/>
        <v>0</v>
      </c>
      <c r="Q98">
        <f t="shared" si="38"/>
        <v>22</v>
      </c>
      <c r="R98" s="14">
        <f t="shared" si="39"/>
        <v>22</v>
      </c>
      <c r="S98" s="15"/>
      <c r="W98" s="14"/>
    </row>
    <row r="99" spans="1:23" x14ac:dyDescent="0.25">
      <c r="A99" s="16"/>
      <c r="B99" s="17" t="b">
        <f t="shared" si="32"/>
        <v>0</v>
      </c>
      <c r="C99" s="17" t="b">
        <f t="shared" si="24"/>
        <v>0</v>
      </c>
      <c r="D99" s="17">
        <f t="shared" si="26"/>
        <v>1</v>
      </c>
      <c r="E99" s="17" t="str">
        <f t="shared" si="31"/>
        <v>Section 9 - Spring Boot - Actuator</v>
      </c>
      <c r="F99" s="18" t="str">
        <f t="shared" si="27"/>
        <v/>
      </c>
      <c r="G99" s="13" t="str">
        <f t="shared" si="33"/>
        <v/>
      </c>
      <c r="H99">
        <f t="shared" si="34"/>
        <v>0</v>
      </c>
      <c r="I99">
        <f t="shared" si="35"/>
        <v>0</v>
      </c>
      <c r="J99" s="13">
        <f t="shared" si="36"/>
        <v>150</v>
      </c>
      <c r="K99">
        <f t="shared" si="28"/>
        <v>2</v>
      </c>
      <c r="L99">
        <f t="shared" si="29"/>
        <v>30</v>
      </c>
      <c r="M99" s="13">
        <f t="shared" si="37"/>
        <v>0</v>
      </c>
      <c r="N99">
        <f t="shared" si="37"/>
        <v>22</v>
      </c>
      <c r="O99" s="14">
        <f t="shared" si="25"/>
        <v>22</v>
      </c>
      <c r="P99" s="13">
        <f t="shared" si="30"/>
        <v>0</v>
      </c>
      <c r="Q99">
        <f t="shared" si="38"/>
        <v>22</v>
      </c>
      <c r="R99" s="14">
        <f t="shared" si="39"/>
        <v>22</v>
      </c>
      <c r="S99" s="15"/>
      <c r="W99" s="14"/>
    </row>
    <row r="100" spans="1:23" x14ac:dyDescent="0.25">
      <c r="A100" s="16" t="s">
        <v>196</v>
      </c>
      <c r="B100" s="17" t="b">
        <f t="shared" si="32"/>
        <v>1</v>
      </c>
      <c r="C100" s="17" t="b">
        <f t="shared" si="24"/>
        <v>0</v>
      </c>
      <c r="D100" s="17">
        <f t="shared" si="26"/>
        <v>0</v>
      </c>
      <c r="E100" s="17" t="str">
        <f t="shared" si="31"/>
        <v>Section 10 - Spring Boot - Deployement</v>
      </c>
      <c r="F100" s="18" t="str">
        <f t="shared" si="27"/>
        <v/>
      </c>
      <c r="G100" s="13" t="str">
        <f t="shared" si="33"/>
        <v/>
      </c>
      <c r="H100">
        <f t="shared" si="34"/>
        <v>0</v>
      </c>
      <c r="I100">
        <f t="shared" si="35"/>
        <v>0</v>
      </c>
      <c r="J100" s="13">
        <f t="shared" si="36"/>
        <v>150</v>
      </c>
      <c r="K100">
        <f t="shared" si="28"/>
        <v>2</v>
      </c>
      <c r="L100">
        <f t="shared" si="29"/>
        <v>30</v>
      </c>
      <c r="M100" s="13">
        <f t="shared" si="37"/>
        <v>0</v>
      </c>
      <c r="N100">
        <f t="shared" si="37"/>
        <v>22</v>
      </c>
      <c r="O100" s="14">
        <f t="shared" si="25"/>
        <v>22</v>
      </c>
      <c r="P100" s="13">
        <f t="shared" si="30"/>
        <v>0</v>
      </c>
      <c r="Q100">
        <f t="shared" si="38"/>
        <v>22</v>
      </c>
      <c r="R100" s="14">
        <f t="shared" si="39"/>
        <v>22</v>
      </c>
      <c r="S100" s="15"/>
      <c r="W100" s="14"/>
    </row>
    <row r="101" spans="1:23" x14ac:dyDescent="0.25">
      <c r="A101" s="16" t="s">
        <v>187</v>
      </c>
      <c r="B101" s="17" t="b">
        <f t="shared" si="32"/>
        <v>0</v>
      </c>
      <c r="C101" s="17" t="b">
        <f t="shared" si="24"/>
        <v>1</v>
      </c>
      <c r="D101" s="17">
        <f t="shared" si="26"/>
        <v>1</v>
      </c>
      <c r="E101" s="17" t="str">
        <f t="shared" si="31"/>
        <v>Section 10 - Spring Boot - Deployement</v>
      </c>
      <c r="F101" s="18" t="str">
        <f t="shared" si="27"/>
        <v>23. Deploy as jar on Unix platform as service</v>
      </c>
      <c r="G101" s="13" t="str">
        <f t="shared" si="33"/>
        <v>5min</v>
      </c>
      <c r="H101">
        <f t="shared" si="34"/>
        <v>0</v>
      </c>
      <c r="I101">
        <f t="shared" si="35"/>
        <v>5</v>
      </c>
      <c r="J101" s="13">
        <f t="shared" si="36"/>
        <v>155</v>
      </c>
      <c r="K101">
        <f t="shared" si="28"/>
        <v>2</v>
      </c>
      <c r="L101">
        <f t="shared" si="29"/>
        <v>35</v>
      </c>
      <c r="M101" s="13">
        <f t="shared" si="37"/>
        <v>0</v>
      </c>
      <c r="N101">
        <f t="shared" si="37"/>
        <v>22</v>
      </c>
      <c r="O101" s="14">
        <f t="shared" si="25"/>
        <v>22</v>
      </c>
      <c r="P101" s="13">
        <f t="shared" si="30"/>
        <v>0</v>
      </c>
      <c r="Q101">
        <f t="shared" si="38"/>
        <v>27</v>
      </c>
      <c r="R101" s="14">
        <f t="shared" si="39"/>
        <v>27</v>
      </c>
      <c r="S101" s="15"/>
      <c r="W101" s="14"/>
    </row>
    <row r="102" spans="1:23" x14ac:dyDescent="0.25">
      <c r="A102" s="16" t="s">
        <v>120</v>
      </c>
      <c r="B102" s="17" t="b">
        <f t="shared" si="32"/>
        <v>0</v>
      </c>
      <c r="C102" s="17" t="b">
        <f t="shared" si="24"/>
        <v>0</v>
      </c>
      <c r="D102" s="17">
        <f t="shared" si="26"/>
        <v>1</v>
      </c>
      <c r="E102" s="17" t="str">
        <f t="shared" si="31"/>
        <v>Section 10 - Spring Boot - Deployement</v>
      </c>
      <c r="F102" s="18" t="str">
        <f t="shared" si="27"/>
        <v/>
      </c>
      <c r="G102" s="13" t="str">
        <f t="shared" si="33"/>
        <v/>
      </c>
      <c r="H102">
        <f t="shared" si="34"/>
        <v>0</v>
      </c>
      <c r="I102">
        <f t="shared" si="35"/>
        <v>0</v>
      </c>
      <c r="J102" s="13">
        <f t="shared" si="36"/>
        <v>155</v>
      </c>
      <c r="K102">
        <f t="shared" si="28"/>
        <v>2</v>
      </c>
      <c r="L102">
        <f t="shared" si="29"/>
        <v>35</v>
      </c>
      <c r="M102" s="13">
        <f t="shared" si="37"/>
        <v>0</v>
      </c>
      <c r="N102">
        <f t="shared" si="37"/>
        <v>27</v>
      </c>
      <c r="O102" s="14">
        <f t="shared" si="25"/>
        <v>27</v>
      </c>
      <c r="P102" s="13">
        <f t="shared" si="30"/>
        <v>0</v>
      </c>
      <c r="Q102">
        <f t="shared" si="38"/>
        <v>27</v>
      </c>
      <c r="R102" s="14">
        <f t="shared" si="39"/>
        <v>27</v>
      </c>
      <c r="S102" s="15"/>
      <c r="W102" s="14"/>
    </row>
    <row r="103" spans="1:23" x14ac:dyDescent="0.25">
      <c r="A103" s="16"/>
      <c r="B103" s="17" t="b">
        <f t="shared" si="32"/>
        <v>0</v>
      </c>
      <c r="C103" s="17" t="b">
        <f t="shared" si="24"/>
        <v>0</v>
      </c>
      <c r="D103" s="17">
        <f t="shared" si="26"/>
        <v>1</v>
      </c>
      <c r="E103" s="17" t="str">
        <f t="shared" si="31"/>
        <v>Section 10 - Spring Boot - Deployement</v>
      </c>
      <c r="F103" s="18" t="str">
        <f t="shared" si="27"/>
        <v/>
      </c>
      <c r="G103" s="13" t="str">
        <f t="shared" si="33"/>
        <v/>
      </c>
      <c r="H103">
        <f t="shared" si="34"/>
        <v>0</v>
      </c>
      <c r="I103">
        <f t="shared" si="35"/>
        <v>0</v>
      </c>
      <c r="J103" s="13">
        <f t="shared" si="36"/>
        <v>155</v>
      </c>
      <c r="K103">
        <f t="shared" si="28"/>
        <v>2</v>
      </c>
      <c r="L103">
        <f t="shared" si="29"/>
        <v>35</v>
      </c>
      <c r="M103" s="13">
        <f t="shared" si="37"/>
        <v>0</v>
      </c>
      <c r="N103">
        <f t="shared" si="37"/>
        <v>27</v>
      </c>
      <c r="O103" s="14">
        <f t="shared" si="25"/>
        <v>27</v>
      </c>
      <c r="P103" s="13">
        <f t="shared" si="30"/>
        <v>0</v>
      </c>
      <c r="Q103">
        <f t="shared" si="38"/>
        <v>27</v>
      </c>
      <c r="R103" s="14">
        <f t="shared" si="39"/>
        <v>27</v>
      </c>
      <c r="S103" s="15"/>
      <c r="W103" s="14"/>
    </row>
    <row r="104" spans="1:23" x14ac:dyDescent="0.25">
      <c r="A104" s="16"/>
      <c r="B104" s="17" t="b">
        <f t="shared" si="32"/>
        <v>0</v>
      </c>
      <c r="C104" s="17" t="b">
        <f t="shared" si="24"/>
        <v>0</v>
      </c>
      <c r="D104" s="17">
        <f t="shared" si="26"/>
        <v>1</v>
      </c>
      <c r="E104" s="17" t="str">
        <f t="shared" si="31"/>
        <v>Section 10 - Spring Boot - Deployement</v>
      </c>
      <c r="F104" s="18" t="str">
        <f t="shared" si="27"/>
        <v/>
      </c>
      <c r="G104" s="13" t="str">
        <f t="shared" si="33"/>
        <v/>
      </c>
      <c r="H104">
        <f t="shared" si="34"/>
        <v>0</v>
      </c>
      <c r="I104">
        <f t="shared" si="35"/>
        <v>0</v>
      </c>
      <c r="J104" s="13">
        <f t="shared" si="36"/>
        <v>155</v>
      </c>
      <c r="K104">
        <f t="shared" si="28"/>
        <v>2</v>
      </c>
      <c r="L104">
        <f t="shared" si="29"/>
        <v>35</v>
      </c>
      <c r="M104" s="13">
        <f t="shared" si="37"/>
        <v>0</v>
      </c>
      <c r="N104">
        <f t="shared" si="37"/>
        <v>27</v>
      </c>
      <c r="O104" s="14">
        <f t="shared" si="25"/>
        <v>27</v>
      </c>
      <c r="P104" s="13">
        <f t="shared" si="30"/>
        <v>0</v>
      </c>
      <c r="Q104">
        <f t="shared" si="38"/>
        <v>27</v>
      </c>
      <c r="R104" s="14">
        <f t="shared" si="39"/>
        <v>27</v>
      </c>
      <c r="S104" s="15"/>
      <c r="W104" s="14"/>
    </row>
    <row r="105" spans="1:23" x14ac:dyDescent="0.25">
      <c r="A105" s="16"/>
      <c r="B105" s="17" t="b">
        <f t="shared" si="32"/>
        <v>0</v>
      </c>
      <c r="C105" s="17" t="b">
        <f t="shared" si="24"/>
        <v>0</v>
      </c>
      <c r="D105" s="17">
        <f t="shared" si="26"/>
        <v>1</v>
      </c>
      <c r="E105" s="17" t="str">
        <f t="shared" si="31"/>
        <v>Section 10 - Spring Boot - Deployement</v>
      </c>
      <c r="F105" s="18" t="str">
        <f t="shared" si="27"/>
        <v/>
      </c>
      <c r="G105" s="13" t="str">
        <f t="shared" si="33"/>
        <v/>
      </c>
      <c r="H105">
        <f t="shared" si="34"/>
        <v>0</v>
      </c>
      <c r="I105">
        <f t="shared" si="35"/>
        <v>0</v>
      </c>
      <c r="J105" s="13">
        <f t="shared" si="36"/>
        <v>155</v>
      </c>
      <c r="K105">
        <f t="shared" si="28"/>
        <v>2</v>
      </c>
      <c r="L105">
        <f t="shared" si="29"/>
        <v>35</v>
      </c>
      <c r="M105" s="13">
        <f t="shared" si="37"/>
        <v>0</v>
      </c>
      <c r="N105">
        <f t="shared" si="37"/>
        <v>27</v>
      </c>
      <c r="O105" s="14">
        <f t="shared" si="25"/>
        <v>27</v>
      </c>
      <c r="P105" s="13">
        <f t="shared" si="30"/>
        <v>0</v>
      </c>
      <c r="Q105">
        <f t="shared" si="38"/>
        <v>27</v>
      </c>
      <c r="R105" s="14">
        <f t="shared" si="39"/>
        <v>27</v>
      </c>
      <c r="S105" s="15"/>
      <c r="W105" s="14"/>
    </row>
    <row r="106" spans="1:23" x14ac:dyDescent="0.25">
      <c r="A106" s="16"/>
      <c r="B106" s="17" t="b">
        <f t="shared" si="32"/>
        <v>0</v>
      </c>
      <c r="C106" s="17" t="b">
        <f t="shared" si="24"/>
        <v>0</v>
      </c>
      <c r="D106" s="17">
        <f t="shared" si="26"/>
        <v>1</v>
      </c>
      <c r="E106" s="17" t="str">
        <f t="shared" si="31"/>
        <v>Section 10 - Spring Boot - Deployement</v>
      </c>
      <c r="F106" s="18" t="str">
        <f t="shared" si="27"/>
        <v/>
      </c>
      <c r="G106" s="13" t="str">
        <f t="shared" si="33"/>
        <v/>
      </c>
      <c r="H106">
        <f t="shared" si="34"/>
        <v>0</v>
      </c>
      <c r="I106">
        <f t="shared" si="35"/>
        <v>0</v>
      </c>
      <c r="J106" s="13">
        <f t="shared" si="36"/>
        <v>155</v>
      </c>
      <c r="K106">
        <f t="shared" si="28"/>
        <v>2</v>
      </c>
      <c r="L106">
        <f t="shared" si="29"/>
        <v>35</v>
      </c>
      <c r="M106" s="13">
        <f t="shared" si="37"/>
        <v>0</v>
      </c>
      <c r="N106">
        <f t="shared" si="37"/>
        <v>27</v>
      </c>
      <c r="O106" s="14">
        <f t="shared" si="25"/>
        <v>27</v>
      </c>
      <c r="P106" s="13">
        <f t="shared" si="30"/>
        <v>0</v>
      </c>
      <c r="Q106">
        <f t="shared" si="38"/>
        <v>27</v>
      </c>
      <c r="R106" s="14">
        <f t="shared" si="39"/>
        <v>27</v>
      </c>
      <c r="S106" s="15"/>
      <c r="W106" s="14"/>
    </row>
    <row r="107" spans="1:23" x14ac:dyDescent="0.25">
      <c r="A107" s="16"/>
      <c r="B107" s="17" t="b">
        <f t="shared" si="32"/>
        <v>0</v>
      </c>
      <c r="C107" s="17" t="b">
        <f t="shared" si="24"/>
        <v>0</v>
      </c>
      <c r="D107" s="17">
        <f t="shared" si="26"/>
        <v>1</v>
      </c>
      <c r="E107" s="17" t="str">
        <f t="shared" si="31"/>
        <v>Section 10 - Spring Boot - Deployement</v>
      </c>
      <c r="F107" s="18" t="str">
        <f t="shared" si="27"/>
        <v/>
      </c>
      <c r="G107" s="13" t="str">
        <f t="shared" si="33"/>
        <v/>
      </c>
      <c r="H107">
        <f t="shared" si="34"/>
        <v>0</v>
      </c>
      <c r="I107">
        <f t="shared" si="35"/>
        <v>0</v>
      </c>
      <c r="J107" s="13">
        <f t="shared" si="36"/>
        <v>155</v>
      </c>
      <c r="K107">
        <f t="shared" si="28"/>
        <v>2</v>
      </c>
      <c r="L107">
        <f t="shared" si="29"/>
        <v>35</v>
      </c>
      <c r="M107" s="13">
        <f t="shared" si="37"/>
        <v>0</v>
      </c>
      <c r="N107">
        <f t="shared" si="37"/>
        <v>27</v>
      </c>
      <c r="O107" s="14">
        <f t="shared" si="25"/>
        <v>27</v>
      </c>
      <c r="P107" s="13">
        <f t="shared" si="30"/>
        <v>0</v>
      </c>
      <c r="Q107">
        <f t="shared" si="38"/>
        <v>27</v>
      </c>
      <c r="R107" s="14">
        <f t="shared" si="39"/>
        <v>27</v>
      </c>
      <c r="S107" s="15"/>
      <c r="W107" s="14"/>
    </row>
    <row r="108" spans="1:23" x14ac:dyDescent="0.25">
      <c r="A108" s="16"/>
      <c r="B108" s="17" t="b">
        <f t="shared" si="32"/>
        <v>0</v>
      </c>
      <c r="C108" s="17" t="b">
        <f t="shared" si="24"/>
        <v>0</v>
      </c>
      <c r="D108" s="17">
        <f t="shared" si="26"/>
        <v>1</v>
      </c>
      <c r="E108" s="17" t="str">
        <f t="shared" si="31"/>
        <v>Section 10 - Spring Boot - Deployement</v>
      </c>
      <c r="F108" s="18" t="str">
        <f t="shared" si="27"/>
        <v/>
      </c>
      <c r="G108" s="13" t="str">
        <f t="shared" si="33"/>
        <v/>
      </c>
      <c r="H108">
        <f t="shared" si="34"/>
        <v>0</v>
      </c>
      <c r="I108">
        <f t="shared" si="35"/>
        <v>0</v>
      </c>
      <c r="J108" s="13">
        <f t="shared" si="36"/>
        <v>155</v>
      </c>
      <c r="K108">
        <f t="shared" si="28"/>
        <v>2</v>
      </c>
      <c r="L108">
        <f t="shared" si="29"/>
        <v>35</v>
      </c>
      <c r="M108" s="13">
        <f t="shared" si="37"/>
        <v>0</v>
      </c>
      <c r="N108">
        <f t="shared" si="37"/>
        <v>27</v>
      </c>
      <c r="O108" s="14">
        <f t="shared" si="25"/>
        <v>27</v>
      </c>
      <c r="P108" s="13">
        <f t="shared" si="30"/>
        <v>0</v>
      </c>
      <c r="Q108">
        <f t="shared" si="38"/>
        <v>27</v>
      </c>
      <c r="R108" s="14">
        <f t="shared" si="39"/>
        <v>27</v>
      </c>
      <c r="S108" s="15"/>
      <c r="W108" s="14"/>
    </row>
    <row r="109" spans="1:23" x14ac:dyDescent="0.25">
      <c r="A109" s="16"/>
      <c r="B109" s="17" t="b">
        <f t="shared" si="32"/>
        <v>0</v>
      </c>
      <c r="C109" s="17" t="b">
        <f t="shared" si="24"/>
        <v>0</v>
      </c>
      <c r="D109" s="17">
        <f t="shared" si="26"/>
        <v>1</v>
      </c>
      <c r="E109" s="17" t="str">
        <f t="shared" si="31"/>
        <v>Section 10 - Spring Boot - Deployement</v>
      </c>
      <c r="F109" s="18" t="str">
        <f t="shared" si="27"/>
        <v/>
      </c>
      <c r="G109" s="13" t="str">
        <f t="shared" si="33"/>
        <v/>
      </c>
      <c r="H109">
        <f t="shared" si="34"/>
        <v>0</v>
      </c>
      <c r="I109">
        <f t="shared" si="35"/>
        <v>0</v>
      </c>
      <c r="J109" s="13">
        <f t="shared" si="36"/>
        <v>155</v>
      </c>
      <c r="K109">
        <f t="shared" si="28"/>
        <v>2</v>
      </c>
      <c r="L109">
        <f t="shared" si="29"/>
        <v>35</v>
      </c>
      <c r="M109" s="13">
        <f t="shared" si="37"/>
        <v>0</v>
      </c>
      <c r="N109">
        <f t="shared" si="37"/>
        <v>27</v>
      </c>
      <c r="O109" s="14">
        <f t="shared" si="25"/>
        <v>27</v>
      </c>
      <c r="P109" s="13">
        <f t="shared" si="30"/>
        <v>0</v>
      </c>
      <c r="Q109">
        <f t="shared" si="38"/>
        <v>27</v>
      </c>
      <c r="R109" s="14">
        <f t="shared" si="39"/>
        <v>27</v>
      </c>
      <c r="S109" s="15"/>
      <c r="W109" s="14"/>
    </row>
    <row r="110" spans="1:23" x14ac:dyDescent="0.25">
      <c r="A110" s="16"/>
      <c r="B110" s="17" t="b">
        <f t="shared" si="32"/>
        <v>0</v>
      </c>
      <c r="C110" s="17" t="b">
        <f t="shared" si="24"/>
        <v>0</v>
      </c>
      <c r="D110" s="17">
        <f t="shared" si="26"/>
        <v>1</v>
      </c>
      <c r="E110" s="17" t="str">
        <f t="shared" si="31"/>
        <v>Section 10 - Spring Boot - Deployement</v>
      </c>
      <c r="F110" s="18" t="str">
        <f t="shared" si="27"/>
        <v/>
      </c>
      <c r="G110" s="13" t="str">
        <f t="shared" si="33"/>
        <v/>
      </c>
      <c r="H110">
        <f t="shared" si="34"/>
        <v>0</v>
      </c>
      <c r="I110">
        <f t="shared" si="35"/>
        <v>0</v>
      </c>
      <c r="J110" s="13">
        <f t="shared" si="36"/>
        <v>155</v>
      </c>
      <c r="K110">
        <f t="shared" si="28"/>
        <v>2</v>
      </c>
      <c r="L110">
        <f t="shared" si="29"/>
        <v>35</v>
      </c>
      <c r="M110" s="13">
        <f t="shared" si="37"/>
        <v>0</v>
      </c>
      <c r="N110">
        <f t="shared" si="37"/>
        <v>27</v>
      </c>
      <c r="O110" s="14">
        <f t="shared" si="25"/>
        <v>27</v>
      </c>
      <c r="P110" s="13">
        <f t="shared" si="30"/>
        <v>0</v>
      </c>
      <c r="Q110">
        <f t="shared" si="38"/>
        <v>27</v>
      </c>
      <c r="R110" s="14">
        <f t="shared" si="39"/>
        <v>27</v>
      </c>
      <c r="S110" s="15"/>
      <c r="W110" s="14"/>
    </row>
    <row r="111" spans="1:23" x14ac:dyDescent="0.25">
      <c r="A111" s="16"/>
      <c r="B111" s="17" t="b">
        <f t="shared" si="32"/>
        <v>0</v>
      </c>
      <c r="C111" s="17" t="b">
        <f t="shared" si="24"/>
        <v>0</v>
      </c>
      <c r="D111" s="17">
        <f t="shared" si="26"/>
        <v>1</v>
      </c>
      <c r="E111" s="17" t="str">
        <f t="shared" si="31"/>
        <v>Section 10 - Spring Boot - Deployement</v>
      </c>
      <c r="F111" s="18" t="str">
        <f t="shared" si="27"/>
        <v/>
      </c>
      <c r="G111" s="13" t="str">
        <f t="shared" si="33"/>
        <v/>
      </c>
      <c r="H111">
        <f t="shared" si="34"/>
        <v>0</v>
      </c>
      <c r="I111">
        <f t="shared" si="35"/>
        <v>0</v>
      </c>
      <c r="J111" s="13">
        <f t="shared" si="36"/>
        <v>155</v>
      </c>
      <c r="K111">
        <f t="shared" si="28"/>
        <v>2</v>
      </c>
      <c r="L111">
        <f t="shared" si="29"/>
        <v>35</v>
      </c>
      <c r="M111" s="13">
        <f t="shared" si="37"/>
        <v>0</v>
      </c>
      <c r="N111">
        <f t="shared" si="37"/>
        <v>27</v>
      </c>
      <c r="O111" s="14">
        <f t="shared" si="25"/>
        <v>27</v>
      </c>
      <c r="P111" s="13">
        <f t="shared" si="30"/>
        <v>0</v>
      </c>
      <c r="Q111">
        <f t="shared" si="38"/>
        <v>27</v>
      </c>
      <c r="R111" s="14">
        <f t="shared" si="39"/>
        <v>27</v>
      </c>
      <c r="S111" s="15"/>
      <c r="W111" s="14"/>
    </row>
    <row r="112" spans="1:23" x14ac:dyDescent="0.25">
      <c r="A112" s="16"/>
      <c r="B112" s="17" t="b">
        <f t="shared" si="32"/>
        <v>0</v>
      </c>
      <c r="C112" s="17" t="b">
        <f t="shared" si="24"/>
        <v>0</v>
      </c>
      <c r="D112" s="17">
        <f t="shared" si="26"/>
        <v>1</v>
      </c>
      <c r="E112" s="17" t="str">
        <f t="shared" si="31"/>
        <v>Section 10 - Spring Boot - Deployement</v>
      </c>
      <c r="F112" s="18" t="str">
        <f t="shared" si="27"/>
        <v/>
      </c>
      <c r="G112" s="13" t="str">
        <f t="shared" si="33"/>
        <v/>
      </c>
      <c r="H112">
        <f t="shared" si="34"/>
        <v>0</v>
      </c>
      <c r="I112">
        <f t="shared" si="35"/>
        <v>0</v>
      </c>
      <c r="J112" s="13">
        <f t="shared" si="36"/>
        <v>155</v>
      </c>
      <c r="K112">
        <f t="shared" si="28"/>
        <v>2</v>
      </c>
      <c r="L112">
        <f t="shared" si="29"/>
        <v>35</v>
      </c>
      <c r="M112" s="13">
        <f t="shared" si="37"/>
        <v>0</v>
      </c>
      <c r="N112">
        <f t="shared" si="37"/>
        <v>27</v>
      </c>
      <c r="O112" s="14">
        <f t="shared" si="25"/>
        <v>27</v>
      </c>
      <c r="P112" s="13">
        <f t="shared" si="30"/>
        <v>0</v>
      </c>
      <c r="Q112">
        <f t="shared" si="38"/>
        <v>27</v>
      </c>
      <c r="R112" s="14">
        <f t="shared" si="39"/>
        <v>27</v>
      </c>
      <c r="S112" s="15"/>
      <c r="W112" s="14"/>
    </row>
    <row r="113" spans="1:23" x14ac:dyDescent="0.25">
      <c r="A113" s="16"/>
      <c r="B113" s="17" t="b">
        <f t="shared" si="32"/>
        <v>0</v>
      </c>
      <c r="C113" s="17" t="b">
        <f t="shared" si="24"/>
        <v>0</v>
      </c>
      <c r="D113" s="17">
        <f t="shared" si="26"/>
        <v>1</v>
      </c>
      <c r="E113" s="17" t="str">
        <f t="shared" si="31"/>
        <v>Section 10 - Spring Boot - Deployement</v>
      </c>
      <c r="F113" s="18" t="str">
        <f t="shared" si="27"/>
        <v/>
      </c>
      <c r="G113" s="13" t="str">
        <f t="shared" si="33"/>
        <v/>
      </c>
      <c r="H113">
        <f t="shared" si="34"/>
        <v>0</v>
      </c>
      <c r="I113">
        <f t="shared" si="35"/>
        <v>0</v>
      </c>
      <c r="J113" s="13">
        <f t="shared" si="36"/>
        <v>155</v>
      </c>
      <c r="K113">
        <f t="shared" si="28"/>
        <v>2</v>
      </c>
      <c r="L113">
        <f t="shared" si="29"/>
        <v>35</v>
      </c>
      <c r="M113" s="13">
        <f t="shared" si="37"/>
        <v>0</v>
      </c>
      <c r="N113">
        <f t="shared" si="37"/>
        <v>27</v>
      </c>
      <c r="O113" s="14">
        <f t="shared" si="25"/>
        <v>27</v>
      </c>
      <c r="P113" s="13">
        <f t="shared" si="30"/>
        <v>0</v>
      </c>
      <c r="Q113">
        <f t="shared" si="38"/>
        <v>27</v>
      </c>
      <c r="R113" s="14">
        <f t="shared" si="39"/>
        <v>27</v>
      </c>
      <c r="S113" s="15"/>
      <c r="W113" s="14"/>
    </row>
    <row r="114" spans="1:23" x14ac:dyDescent="0.25">
      <c r="A114" s="16"/>
      <c r="B114" s="17" t="b">
        <f t="shared" si="32"/>
        <v>0</v>
      </c>
      <c r="C114" s="17" t="b">
        <f t="shared" si="24"/>
        <v>0</v>
      </c>
      <c r="D114" s="17">
        <f t="shared" si="26"/>
        <v>1</v>
      </c>
      <c r="E114" s="17" t="str">
        <f t="shared" si="31"/>
        <v>Section 10 - Spring Boot - Deployement</v>
      </c>
      <c r="F114" s="18" t="str">
        <f t="shared" si="27"/>
        <v/>
      </c>
      <c r="G114" s="13" t="str">
        <f t="shared" si="33"/>
        <v/>
      </c>
      <c r="H114">
        <f t="shared" si="34"/>
        <v>0</v>
      </c>
      <c r="I114">
        <f t="shared" si="35"/>
        <v>0</v>
      </c>
      <c r="J114" s="13">
        <f t="shared" si="36"/>
        <v>155</v>
      </c>
      <c r="K114">
        <f t="shared" si="28"/>
        <v>2</v>
      </c>
      <c r="L114">
        <f t="shared" si="29"/>
        <v>35</v>
      </c>
      <c r="M114" s="13">
        <f t="shared" si="37"/>
        <v>0</v>
      </c>
      <c r="N114">
        <f t="shared" si="37"/>
        <v>27</v>
      </c>
      <c r="O114" s="14">
        <f t="shared" si="25"/>
        <v>27</v>
      </c>
      <c r="P114" s="13">
        <f t="shared" si="30"/>
        <v>0</v>
      </c>
      <c r="Q114">
        <f t="shared" si="38"/>
        <v>27</v>
      </c>
      <c r="R114" s="14">
        <f t="shared" si="39"/>
        <v>27</v>
      </c>
      <c r="S114" s="15"/>
      <c r="W114" s="14"/>
    </row>
    <row r="115" spans="1:23" x14ac:dyDescent="0.25">
      <c r="A115" s="16"/>
      <c r="B115" s="17" t="b">
        <f t="shared" si="32"/>
        <v>0</v>
      </c>
      <c r="C115" s="17" t="b">
        <f t="shared" si="24"/>
        <v>0</v>
      </c>
      <c r="D115" s="17">
        <f t="shared" si="26"/>
        <v>1</v>
      </c>
      <c r="E115" s="17" t="str">
        <f t="shared" si="31"/>
        <v>Section 10 - Spring Boot - Deployement</v>
      </c>
      <c r="F115" s="18" t="str">
        <f t="shared" si="27"/>
        <v/>
      </c>
      <c r="G115" s="13" t="str">
        <f t="shared" si="33"/>
        <v/>
      </c>
      <c r="H115">
        <f t="shared" si="34"/>
        <v>0</v>
      </c>
      <c r="I115">
        <f t="shared" si="35"/>
        <v>0</v>
      </c>
      <c r="J115" s="13">
        <f t="shared" si="36"/>
        <v>155</v>
      </c>
      <c r="K115">
        <f t="shared" si="28"/>
        <v>2</v>
      </c>
      <c r="L115">
        <f t="shared" si="29"/>
        <v>35</v>
      </c>
      <c r="M115" s="13">
        <f t="shared" si="37"/>
        <v>0</v>
      </c>
      <c r="N115">
        <f t="shared" si="37"/>
        <v>27</v>
      </c>
      <c r="O115" s="14">
        <f t="shared" si="25"/>
        <v>27</v>
      </c>
      <c r="P115" s="13">
        <f t="shared" si="30"/>
        <v>0</v>
      </c>
      <c r="Q115">
        <f t="shared" si="38"/>
        <v>27</v>
      </c>
      <c r="R115" s="14">
        <f t="shared" si="39"/>
        <v>27</v>
      </c>
      <c r="S115" s="15"/>
      <c r="W115" s="14"/>
    </row>
    <row r="116" spans="1:23" x14ac:dyDescent="0.25">
      <c r="A116" s="16"/>
      <c r="B116" s="17" t="b">
        <f t="shared" si="32"/>
        <v>0</v>
      </c>
      <c r="C116" s="17" t="b">
        <f t="shared" si="24"/>
        <v>0</v>
      </c>
      <c r="D116" s="17">
        <f t="shared" si="26"/>
        <v>1</v>
      </c>
      <c r="E116" s="17" t="str">
        <f t="shared" si="31"/>
        <v>Section 10 - Spring Boot - Deployement</v>
      </c>
      <c r="F116" s="18" t="str">
        <f t="shared" si="27"/>
        <v/>
      </c>
      <c r="G116" s="13" t="str">
        <f t="shared" si="33"/>
        <v/>
      </c>
      <c r="H116">
        <f t="shared" si="34"/>
        <v>0</v>
      </c>
      <c r="I116">
        <f t="shared" si="35"/>
        <v>0</v>
      </c>
      <c r="J116" s="13">
        <f t="shared" si="36"/>
        <v>155</v>
      </c>
      <c r="K116">
        <f t="shared" si="28"/>
        <v>2</v>
      </c>
      <c r="L116">
        <f t="shared" si="29"/>
        <v>35</v>
      </c>
      <c r="M116" s="13">
        <f t="shared" si="37"/>
        <v>0</v>
      </c>
      <c r="N116">
        <f t="shared" si="37"/>
        <v>27</v>
      </c>
      <c r="O116" s="14">
        <f t="shared" si="25"/>
        <v>27</v>
      </c>
      <c r="P116" s="13">
        <f t="shared" si="30"/>
        <v>0</v>
      </c>
      <c r="Q116">
        <f t="shared" si="38"/>
        <v>27</v>
      </c>
      <c r="R116" s="14">
        <f t="shared" si="39"/>
        <v>27</v>
      </c>
      <c r="S116" s="15"/>
      <c r="W116" s="14"/>
    </row>
    <row r="117" spans="1:23" x14ac:dyDescent="0.25">
      <c r="A117" s="16"/>
      <c r="B117" s="17" t="b">
        <f t="shared" si="32"/>
        <v>0</v>
      </c>
      <c r="C117" s="17" t="b">
        <f t="shared" si="24"/>
        <v>0</v>
      </c>
      <c r="D117" s="17">
        <f t="shared" si="26"/>
        <v>1</v>
      </c>
      <c r="E117" s="17" t="str">
        <f t="shared" si="31"/>
        <v>Section 10 - Spring Boot - Deployement</v>
      </c>
      <c r="F117" s="18" t="str">
        <f t="shared" si="27"/>
        <v/>
      </c>
      <c r="G117" s="13" t="str">
        <f t="shared" si="33"/>
        <v/>
      </c>
      <c r="H117">
        <f t="shared" si="34"/>
        <v>0</v>
      </c>
      <c r="I117">
        <f t="shared" si="35"/>
        <v>0</v>
      </c>
      <c r="J117" s="13">
        <f t="shared" si="36"/>
        <v>155</v>
      </c>
      <c r="K117">
        <f t="shared" si="28"/>
        <v>2</v>
      </c>
      <c r="L117">
        <f t="shared" si="29"/>
        <v>35</v>
      </c>
      <c r="M117" s="13">
        <f t="shared" si="37"/>
        <v>0</v>
      </c>
      <c r="N117">
        <f t="shared" si="37"/>
        <v>27</v>
      </c>
      <c r="O117" s="14">
        <f t="shared" si="25"/>
        <v>27</v>
      </c>
      <c r="P117" s="13">
        <f t="shared" si="30"/>
        <v>0</v>
      </c>
      <c r="Q117">
        <f t="shared" si="38"/>
        <v>27</v>
      </c>
      <c r="R117" s="14">
        <f t="shared" si="39"/>
        <v>27</v>
      </c>
      <c r="S117" s="15"/>
      <c r="W117" s="14"/>
    </row>
    <row r="118" spans="1:23" x14ac:dyDescent="0.25">
      <c r="A118" s="16"/>
      <c r="B118" s="17" t="b">
        <f t="shared" si="32"/>
        <v>0</v>
      </c>
      <c r="C118" s="17" t="b">
        <f t="shared" si="24"/>
        <v>0</v>
      </c>
      <c r="D118" s="17">
        <f t="shared" si="26"/>
        <v>1</v>
      </c>
      <c r="E118" s="17" t="str">
        <f t="shared" si="31"/>
        <v>Section 10 - Spring Boot - Deployement</v>
      </c>
      <c r="F118" s="18" t="str">
        <f t="shared" si="27"/>
        <v/>
      </c>
      <c r="G118" s="13" t="str">
        <f t="shared" si="33"/>
        <v/>
      </c>
      <c r="H118">
        <f t="shared" si="34"/>
        <v>0</v>
      </c>
      <c r="I118">
        <f t="shared" si="35"/>
        <v>0</v>
      </c>
      <c r="J118" s="13">
        <f t="shared" si="36"/>
        <v>155</v>
      </c>
      <c r="K118">
        <f t="shared" si="28"/>
        <v>2</v>
      </c>
      <c r="L118">
        <f t="shared" si="29"/>
        <v>35</v>
      </c>
      <c r="M118" s="13">
        <f t="shared" si="37"/>
        <v>0</v>
      </c>
      <c r="N118">
        <f t="shared" si="37"/>
        <v>27</v>
      </c>
      <c r="O118" s="14">
        <f t="shared" si="25"/>
        <v>27</v>
      </c>
      <c r="P118" s="13">
        <f t="shared" si="30"/>
        <v>0</v>
      </c>
      <c r="Q118">
        <f t="shared" si="38"/>
        <v>27</v>
      </c>
      <c r="R118" s="14">
        <f t="shared" si="39"/>
        <v>27</v>
      </c>
      <c r="S118" s="15"/>
      <c r="W118" s="14"/>
    </row>
    <row r="119" spans="1:23" x14ac:dyDescent="0.25">
      <c r="A119" s="16"/>
      <c r="B119" s="17" t="b">
        <f t="shared" si="32"/>
        <v>0</v>
      </c>
      <c r="C119" s="17" t="b">
        <f t="shared" si="24"/>
        <v>0</v>
      </c>
      <c r="D119" s="17">
        <f t="shared" si="26"/>
        <v>1</v>
      </c>
      <c r="E119" s="17" t="str">
        <f t="shared" si="31"/>
        <v>Section 10 - Spring Boot - Deployement</v>
      </c>
      <c r="F119" s="18" t="str">
        <f t="shared" si="27"/>
        <v/>
      </c>
      <c r="G119" s="13" t="str">
        <f t="shared" si="33"/>
        <v/>
      </c>
      <c r="H119">
        <f t="shared" si="34"/>
        <v>0</v>
      </c>
      <c r="I119">
        <f t="shared" si="35"/>
        <v>0</v>
      </c>
      <c r="J119" s="13">
        <f t="shared" si="36"/>
        <v>155</v>
      </c>
      <c r="K119">
        <f t="shared" si="28"/>
        <v>2</v>
      </c>
      <c r="L119">
        <f t="shared" si="29"/>
        <v>35</v>
      </c>
      <c r="M119" s="13">
        <f t="shared" si="37"/>
        <v>0</v>
      </c>
      <c r="N119">
        <f t="shared" si="37"/>
        <v>27</v>
      </c>
      <c r="O119" s="14">
        <f t="shared" si="25"/>
        <v>27</v>
      </c>
      <c r="P119" s="13">
        <f t="shared" si="30"/>
        <v>0</v>
      </c>
      <c r="Q119">
        <f t="shared" si="38"/>
        <v>27</v>
      </c>
      <c r="R119" s="14">
        <f t="shared" si="39"/>
        <v>27</v>
      </c>
      <c r="S119" s="15"/>
      <c r="W119" s="14"/>
    </row>
    <row r="120" spans="1:23" x14ac:dyDescent="0.25">
      <c r="A120" s="16"/>
      <c r="B120" s="17" t="b">
        <f t="shared" si="32"/>
        <v>0</v>
      </c>
      <c r="C120" s="17" t="b">
        <f t="shared" si="24"/>
        <v>0</v>
      </c>
      <c r="D120" s="17">
        <f t="shared" si="26"/>
        <v>1</v>
      </c>
      <c r="E120" s="17" t="str">
        <f t="shared" si="31"/>
        <v>Section 10 - Spring Boot - Deployement</v>
      </c>
      <c r="F120" s="18" t="str">
        <f t="shared" si="27"/>
        <v/>
      </c>
      <c r="G120" s="13" t="str">
        <f t="shared" si="33"/>
        <v/>
      </c>
      <c r="H120">
        <f t="shared" si="34"/>
        <v>0</v>
      </c>
      <c r="I120">
        <f t="shared" si="35"/>
        <v>0</v>
      </c>
      <c r="J120" s="13">
        <f t="shared" si="36"/>
        <v>155</v>
      </c>
      <c r="K120">
        <f t="shared" si="28"/>
        <v>2</v>
      </c>
      <c r="L120">
        <f t="shared" si="29"/>
        <v>35</v>
      </c>
      <c r="M120" s="13">
        <f t="shared" si="37"/>
        <v>0</v>
      </c>
      <c r="N120">
        <f t="shared" si="37"/>
        <v>27</v>
      </c>
      <c r="O120" s="14">
        <f t="shared" si="25"/>
        <v>27</v>
      </c>
      <c r="P120" s="13">
        <f t="shared" si="30"/>
        <v>0</v>
      </c>
      <c r="Q120">
        <f t="shared" si="38"/>
        <v>27</v>
      </c>
      <c r="R120" s="14">
        <f t="shared" si="39"/>
        <v>27</v>
      </c>
      <c r="S120" s="15"/>
      <c r="W120" s="14"/>
    </row>
    <row r="121" spans="1:23" x14ac:dyDescent="0.25">
      <c r="A121" s="16"/>
      <c r="B121" s="17" t="b">
        <f t="shared" si="32"/>
        <v>0</v>
      </c>
      <c r="C121" s="17" t="b">
        <f t="shared" si="24"/>
        <v>0</v>
      </c>
      <c r="D121" s="17">
        <f t="shared" si="26"/>
        <v>1</v>
      </c>
      <c r="E121" s="17" t="str">
        <f t="shared" si="31"/>
        <v>Section 10 - Spring Boot - Deployement</v>
      </c>
      <c r="F121" s="18" t="str">
        <f t="shared" si="27"/>
        <v/>
      </c>
      <c r="G121" s="13" t="str">
        <f t="shared" si="33"/>
        <v/>
      </c>
      <c r="H121">
        <f t="shared" si="34"/>
        <v>0</v>
      </c>
      <c r="I121">
        <f t="shared" si="35"/>
        <v>0</v>
      </c>
      <c r="J121" s="13">
        <f t="shared" si="36"/>
        <v>155</v>
      </c>
      <c r="K121">
        <f t="shared" si="28"/>
        <v>2</v>
      </c>
      <c r="L121">
        <f t="shared" si="29"/>
        <v>35</v>
      </c>
      <c r="M121" s="13">
        <f t="shared" si="37"/>
        <v>0</v>
      </c>
      <c r="N121">
        <f t="shared" si="37"/>
        <v>27</v>
      </c>
      <c r="O121" s="14">
        <f t="shared" si="25"/>
        <v>27</v>
      </c>
      <c r="P121" s="13">
        <f t="shared" si="30"/>
        <v>0</v>
      </c>
      <c r="Q121">
        <f t="shared" si="38"/>
        <v>27</v>
      </c>
      <c r="R121" s="14">
        <f t="shared" si="39"/>
        <v>27</v>
      </c>
      <c r="S121" s="15"/>
      <c r="W121" s="14"/>
    </row>
    <row r="122" spans="1:23" x14ac:dyDescent="0.25">
      <c r="A122" s="16"/>
      <c r="B122" s="17" t="b">
        <f t="shared" si="32"/>
        <v>0</v>
      </c>
      <c r="C122" s="17" t="b">
        <f t="shared" si="24"/>
        <v>0</v>
      </c>
      <c r="D122" s="17">
        <f t="shared" si="26"/>
        <v>1</v>
      </c>
      <c r="E122" s="17" t="str">
        <f t="shared" si="31"/>
        <v>Section 10 - Spring Boot - Deployement</v>
      </c>
      <c r="F122" s="18" t="str">
        <f t="shared" si="27"/>
        <v/>
      </c>
      <c r="G122" s="13" t="str">
        <f t="shared" si="33"/>
        <v/>
      </c>
      <c r="H122">
        <f t="shared" si="34"/>
        <v>0</v>
      </c>
      <c r="I122">
        <f t="shared" si="35"/>
        <v>0</v>
      </c>
      <c r="J122" s="13">
        <f t="shared" si="36"/>
        <v>155</v>
      </c>
      <c r="K122">
        <f t="shared" si="28"/>
        <v>2</v>
      </c>
      <c r="L122">
        <f t="shared" si="29"/>
        <v>35</v>
      </c>
      <c r="M122" s="13">
        <f t="shared" si="37"/>
        <v>0</v>
      </c>
      <c r="N122">
        <f t="shared" si="37"/>
        <v>27</v>
      </c>
      <c r="O122" s="14">
        <f t="shared" si="25"/>
        <v>27</v>
      </c>
      <c r="P122" s="13">
        <f t="shared" si="30"/>
        <v>0</v>
      </c>
      <c r="Q122">
        <f t="shared" si="38"/>
        <v>27</v>
      </c>
      <c r="R122" s="14">
        <f t="shared" si="39"/>
        <v>27</v>
      </c>
      <c r="S122" s="15"/>
      <c r="W122" s="14"/>
    </row>
    <row r="123" spans="1:23" x14ac:dyDescent="0.25">
      <c r="A123" s="16"/>
      <c r="B123" s="17" t="b">
        <f t="shared" si="32"/>
        <v>0</v>
      </c>
      <c r="C123" s="17" t="b">
        <f t="shared" si="24"/>
        <v>0</v>
      </c>
      <c r="D123" s="17">
        <f t="shared" si="26"/>
        <v>1</v>
      </c>
      <c r="E123" s="17" t="str">
        <f t="shared" si="31"/>
        <v>Section 10 - Spring Boot - Deployement</v>
      </c>
      <c r="F123" s="18" t="str">
        <f t="shared" si="27"/>
        <v/>
      </c>
      <c r="G123" s="13" t="str">
        <f t="shared" si="33"/>
        <v/>
      </c>
      <c r="H123">
        <f t="shared" si="34"/>
        <v>0</v>
      </c>
      <c r="I123">
        <f t="shared" si="35"/>
        <v>0</v>
      </c>
      <c r="J123" s="13">
        <f t="shared" si="36"/>
        <v>155</v>
      </c>
      <c r="K123">
        <f t="shared" si="28"/>
        <v>2</v>
      </c>
      <c r="L123">
        <f t="shared" si="29"/>
        <v>35</v>
      </c>
      <c r="M123" s="13">
        <f t="shared" si="37"/>
        <v>0</v>
      </c>
      <c r="N123">
        <f t="shared" si="37"/>
        <v>27</v>
      </c>
      <c r="O123" s="14">
        <f t="shared" si="25"/>
        <v>27</v>
      </c>
      <c r="P123" s="13">
        <f t="shared" si="30"/>
        <v>0</v>
      </c>
      <c r="Q123">
        <f t="shared" si="38"/>
        <v>27</v>
      </c>
      <c r="R123" s="14">
        <f t="shared" si="39"/>
        <v>27</v>
      </c>
      <c r="S123" s="15"/>
      <c r="W123" s="14"/>
    </row>
    <row r="124" spans="1:23" x14ac:dyDescent="0.25">
      <c r="A124" s="16"/>
      <c r="B124" s="17" t="b">
        <f t="shared" si="32"/>
        <v>0</v>
      </c>
      <c r="C124" s="17" t="b">
        <f t="shared" si="24"/>
        <v>0</v>
      </c>
      <c r="D124" s="17">
        <f t="shared" si="26"/>
        <v>1</v>
      </c>
      <c r="E124" s="17" t="str">
        <f t="shared" si="31"/>
        <v>Section 10 - Spring Boot - Deployement</v>
      </c>
      <c r="F124" s="18" t="str">
        <f t="shared" si="27"/>
        <v/>
      </c>
      <c r="G124" s="13" t="str">
        <f t="shared" si="33"/>
        <v/>
      </c>
      <c r="H124">
        <f t="shared" si="34"/>
        <v>0</v>
      </c>
      <c r="I124">
        <f t="shared" si="35"/>
        <v>0</v>
      </c>
      <c r="J124" s="13">
        <f t="shared" si="36"/>
        <v>155</v>
      </c>
      <c r="K124">
        <f t="shared" si="28"/>
        <v>2</v>
      </c>
      <c r="L124">
        <f t="shared" si="29"/>
        <v>35</v>
      </c>
      <c r="M124" s="13">
        <f t="shared" si="37"/>
        <v>0</v>
      </c>
      <c r="N124">
        <f t="shared" si="37"/>
        <v>27</v>
      </c>
      <c r="O124" s="14">
        <f t="shared" si="25"/>
        <v>27</v>
      </c>
      <c r="P124" s="13">
        <f t="shared" si="30"/>
        <v>0</v>
      </c>
      <c r="Q124">
        <f t="shared" si="38"/>
        <v>27</v>
      </c>
      <c r="R124" s="14">
        <f t="shared" si="39"/>
        <v>27</v>
      </c>
      <c r="S124" s="15"/>
      <c r="W124" s="14"/>
    </row>
    <row r="125" spans="1:23" x14ac:dyDescent="0.25">
      <c r="A125" s="16"/>
      <c r="B125" s="17" t="b">
        <f t="shared" si="32"/>
        <v>0</v>
      </c>
      <c r="C125" s="17" t="b">
        <f t="shared" si="24"/>
        <v>0</v>
      </c>
      <c r="D125" s="17">
        <f t="shared" si="26"/>
        <v>1</v>
      </c>
      <c r="E125" s="17" t="str">
        <f t="shared" si="31"/>
        <v>Section 10 - Spring Boot - Deployement</v>
      </c>
      <c r="F125" s="18" t="str">
        <f t="shared" si="27"/>
        <v/>
      </c>
      <c r="G125" s="13" t="str">
        <f t="shared" si="33"/>
        <v/>
      </c>
      <c r="H125">
        <f t="shared" si="34"/>
        <v>0</v>
      </c>
      <c r="I125">
        <f t="shared" si="35"/>
        <v>0</v>
      </c>
      <c r="J125" s="13">
        <f t="shared" si="36"/>
        <v>155</v>
      </c>
      <c r="K125">
        <f t="shared" si="28"/>
        <v>2</v>
      </c>
      <c r="L125">
        <f t="shared" si="29"/>
        <v>35</v>
      </c>
      <c r="M125" s="13">
        <f t="shared" si="37"/>
        <v>0</v>
      </c>
      <c r="N125">
        <f t="shared" si="37"/>
        <v>27</v>
      </c>
      <c r="O125" s="14">
        <f t="shared" si="25"/>
        <v>27</v>
      </c>
      <c r="P125" s="13">
        <f t="shared" si="30"/>
        <v>0</v>
      </c>
      <c r="Q125">
        <f t="shared" si="38"/>
        <v>27</v>
      </c>
      <c r="R125" s="14">
        <f t="shared" si="39"/>
        <v>27</v>
      </c>
      <c r="S125" s="15"/>
      <c r="W125" s="14"/>
    </row>
    <row r="126" spans="1:23" x14ac:dyDescent="0.25">
      <c r="A126" s="16"/>
      <c r="B126" s="17" t="b">
        <f t="shared" si="32"/>
        <v>0</v>
      </c>
      <c r="C126" s="17" t="b">
        <f t="shared" si="24"/>
        <v>0</v>
      </c>
      <c r="D126" s="17">
        <f t="shared" si="26"/>
        <v>1</v>
      </c>
      <c r="E126" s="17" t="str">
        <f t="shared" si="31"/>
        <v>Section 10 - Spring Boot - Deployement</v>
      </c>
      <c r="F126" s="18" t="str">
        <f t="shared" si="27"/>
        <v/>
      </c>
      <c r="G126" s="13" t="str">
        <f t="shared" si="33"/>
        <v/>
      </c>
      <c r="H126">
        <f t="shared" si="34"/>
        <v>0</v>
      </c>
      <c r="I126">
        <f t="shared" si="35"/>
        <v>0</v>
      </c>
      <c r="J126" s="13">
        <f t="shared" si="36"/>
        <v>155</v>
      </c>
      <c r="K126">
        <f t="shared" si="28"/>
        <v>2</v>
      </c>
      <c r="L126">
        <f t="shared" si="29"/>
        <v>35</v>
      </c>
      <c r="M126" s="13">
        <f t="shared" si="37"/>
        <v>0</v>
      </c>
      <c r="N126">
        <f t="shared" si="37"/>
        <v>27</v>
      </c>
      <c r="O126" s="14">
        <f t="shared" si="25"/>
        <v>27</v>
      </c>
      <c r="P126" s="13">
        <f t="shared" si="30"/>
        <v>0</v>
      </c>
      <c r="Q126">
        <f t="shared" si="38"/>
        <v>27</v>
      </c>
      <c r="R126" s="14">
        <f t="shared" si="39"/>
        <v>27</v>
      </c>
      <c r="S126" s="15"/>
      <c r="W126" s="14"/>
    </row>
    <row r="127" spans="1:23" x14ac:dyDescent="0.25">
      <c r="A127" s="16"/>
      <c r="B127" s="17" t="b">
        <f t="shared" si="32"/>
        <v>0</v>
      </c>
      <c r="C127" s="17" t="b">
        <f t="shared" si="24"/>
        <v>0</v>
      </c>
      <c r="D127" s="17">
        <f t="shared" si="26"/>
        <v>1</v>
      </c>
      <c r="E127" s="17" t="str">
        <f t="shared" si="31"/>
        <v>Section 10 - Spring Boot - Deployement</v>
      </c>
      <c r="F127" s="18" t="str">
        <f t="shared" si="27"/>
        <v/>
      </c>
      <c r="G127" s="13" t="str">
        <f t="shared" si="33"/>
        <v/>
      </c>
      <c r="H127">
        <f t="shared" si="34"/>
        <v>0</v>
      </c>
      <c r="I127">
        <f t="shared" si="35"/>
        <v>0</v>
      </c>
      <c r="J127" s="13">
        <f t="shared" si="36"/>
        <v>155</v>
      </c>
      <c r="K127">
        <f t="shared" si="28"/>
        <v>2</v>
      </c>
      <c r="L127">
        <f t="shared" si="29"/>
        <v>35</v>
      </c>
      <c r="M127" s="13">
        <f t="shared" si="37"/>
        <v>0</v>
      </c>
      <c r="N127">
        <f t="shared" si="37"/>
        <v>27</v>
      </c>
      <c r="O127" s="14">
        <f t="shared" si="25"/>
        <v>27</v>
      </c>
      <c r="P127" s="13">
        <f t="shared" si="30"/>
        <v>0</v>
      </c>
      <c r="Q127">
        <f t="shared" si="38"/>
        <v>27</v>
      </c>
      <c r="R127" s="14">
        <f t="shared" si="39"/>
        <v>27</v>
      </c>
      <c r="S127" s="15"/>
      <c r="W127" s="14"/>
    </row>
    <row r="128" spans="1:23" x14ac:dyDescent="0.25">
      <c r="A128" s="16"/>
      <c r="B128" s="17" t="b">
        <f t="shared" si="32"/>
        <v>0</v>
      </c>
      <c r="C128" s="17" t="b">
        <f t="shared" ref="C128:C191" si="40">OR(NOT(ISERROR(FIND("hr",A129))), NOT(ISERROR(FIND("min ",A129))),RIGHT(A129,3)="min")</f>
        <v>0</v>
      </c>
      <c r="D128" s="17">
        <f t="shared" si="26"/>
        <v>1</v>
      </c>
      <c r="E128" s="17" t="str">
        <f t="shared" si="31"/>
        <v>Section 10 - Spring Boot - Deployement</v>
      </c>
      <c r="F128" s="18" t="str">
        <f t="shared" si="27"/>
        <v/>
      </c>
      <c r="G128" s="13" t="str">
        <f t="shared" si="33"/>
        <v/>
      </c>
      <c r="H128">
        <f t="shared" si="34"/>
        <v>0</v>
      </c>
      <c r="I128">
        <f t="shared" si="35"/>
        <v>0</v>
      </c>
      <c r="J128" s="13">
        <f t="shared" si="36"/>
        <v>155</v>
      </c>
      <c r="K128">
        <f t="shared" si="28"/>
        <v>2</v>
      </c>
      <c r="L128">
        <f t="shared" si="29"/>
        <v>35</v>
      </c>
      <c r="M128" s="13">
        <f t="shared" si="37"/>
        <v>0</v>
      </c>
      <c r="N128">
        <f t="shared" si="37"/>
        <v>27</v>
      </c>
      <c r="O128" s="14">
        <f t="shared" si="25"/>
        <v>27</v>
      </c>
      <c r="P128" s="13">
        <f t="shared" si="30"/>
        <v>0</v>
      </c>
      <c r="Q128">
        <f t="shared" si="38"/>
        <v>27</v>
      </c>
      <c r="R128" s="14">
        <f t="shared" si="39"/>
        <v>27</v>
      </c>
      <c r="S128" s="15"/>
      <c r="W128" s="14"/>
    </row>
    <row r="129" spans="1:23" x14ac:dyDescent="0.25">
      <c r="A129" s="16"/>
      <c r="B129" s="17" t="b">
        <f t="shared" si="32"/>
        <v>0</v>
      </c>
      <c r="C129" s="17" t="b">
        <f t="shared" si="40"/>
        <v>0</v>
      </c>
      <c r="D129" s="17">
        <f t="shared" si="26"/>
        <v>1</v>
      </c>
      <c r="E129" s="17" t="str">
        <f t="shared" si="31"/>
        <v>Section 10 - Spring Boot - Deployement</v>
      </c>
      <c r="F129" s="18" t="str">
        <f t="shared" si="27"/>
        <v/>
      </c>
      <c r="G129" s="13" t="str">
        <f t="shared" si="33"/>
        <v/>
      </c>
      <c r="H129">
        <f t="shared" si="34"/>
        <v>0</v>
      </c>
      <c r="I129">
        <f t="shared" si="35"/>
        <v>0</v>
      </c>
      <c r="J129" s="13">
        <f t="shared" si="36"/>
        <v>155</v>
      </c>
      <c r="K129">
        <f t="shared" si="28"/>
        <v>2</v>
      </c>
      <c r="L129">
        <f t="shared" si="29"/>
        <v>35</v>
      </c>
      <c r="M129" s="13">
        <f t="shared" si="37"/>
        <v>0</v>
      </c>
      <c r="N129">
        <f t="shared" si="37"/>
        <v>27</v>
      </c>
      <c r="O129" s="14">
        <f t="shared" si="25"/>
        <v>27</v>
      </c>
      <c r="P129" s="13">
        <f t="shared" si="30"/>
        <v>0</v>
      </c>
      <c r="Q129">
        <f t="shared" si="38"/>
        <v>27</v>
      </c>
      <c r="R129" s="14">
        <f t="shared" si="39"/>
        <v>27</v>
      </c>
      <c r="S129" s="15"/>
      <c r="W129" s="14"/>
    </row>
    <row r="130" spans="1:23" x14ac:dyDescent="0.25">
      <c r="A130" s="16"/>
      <c r="B130" s="17" t="b">
        <f t="shared" si="32"/>
        <v>0</v>
      </c>
      <c r="C130" s="17" t="b">
        <f t="shared" si="40"/>
        <v>0</v>
      </c>
      <c r="D130" s="17">
        <f t="shared" si="26"/>
        <v>1</v>
      </c>
      <c r="E130" s="17" t="str">
        <f t="shared" si="31"/>
        <v>Section 10 - Spring Boot - Deployement</v>
      </c>
      <c r="F130" s="18" t="str">
        <f t="shared" si="27"/>
        <v/>
      </c>
      <c r="G130" s="13" t="str">
        <f t="shared" si="33"/>
        <v/>
      </c>
      <c r="H130">
        <f t="shared" si="34"/>
        <v>0</v>
      </c>
      <c r="I130">
        <f t="shared" si="35"/>
        <v>0</v>
      </c>
      <c r="J130" s="13">
        <f t="shared" si="36"/>
        <v>155</v>
      </c>
      <c r="K130">
        <f t="shared" si="28"/>
        <v>2</v>
      </c>
      <c r="L130">
        <f t="shared" si="29"/>
        <v>35</v>
      </c>
      <c r="M130" s="13">
        <f t="shared" si="37"/>
        <v>0</v>
      </c>
      <c r="N130">
        <f t="shared" si="37"/>
        <v>27</v>
      </c>
      <c r="O130" s="14">
        <f t="shared" si="25"/>
        <v>27</v>
      </c>
      <c r="P130" s="13">
        <f t="shared" si="30"/>
        <v>0</v>
      </c>
      <c r="Q130">
        <f t="shared" si="38"/>
        <v>27</v>
      </c>
      <c r="R130" s="14">
        <f t="shared" si="39"/>
        <v>27</v>
      </c>
      <c r="S130" s="15"/>
      <c r="W130" s="14"/>
    </row>
    <row r="131" spans="1:23" x14ac:dyDescent="0.25">
      <c r="A131" s="16"/>
      <c r="B131" s="17" t="b">
        <f t="shared" si="32"/>
        <v>0</v>
      </c>
      <c r="C131" s="17" t="b">
        <f t="shared" si="40"/>
        <v>0</v>
      </c>
      <c r="D131" s="17">
        <f t="shared" si="26"/>
        <v>1</v>
      </c>
      <c r="E131" s="17" t="str">
        <f t="shared" si="31"/>
        <v>Section 10 - Spring Boot - Deployement</v>
      </c>
      <c r="F131" s="18" t="str">
        <f t="shared" si="27"/>
        <v/>
      </c>
      <c r="G131" s="13" t="str">
        <f t="shared" si="33"/>
        <v/>
      </c>
      <c r="H131">
        <f t="shared" si="34"/>
        <v>0</v>
      </c>
      <c r="I131">
        <f t="shared" si="35"/>
        <v>0</v>
      </c>
      <c r="J131" s="13">
        <f t="shared" si="36"/>
        <v>155</v>
      </c>
      <c r="K131">
        <f t="shared" si="28"/>
        <v>2</v>
      </c>
      <c r="L131">
        <f t="shared" si="29"/>
        <v>35</v>
      </c>
      <c r="M131" s="13">
        <f t="shared" si="37"/>
        <v>0</v>
      </c>
      <c r="N131">
        <f t="shared" si="37"/>
        <v>27</v>
      </c>
      <c r="O131" s="14">
        <f t="shared" si="25"/>
        <v>27</v>
      </c>
      <c r="P131" s="13">
        <f t="shared" si="30"/>
        <v>0</v>
      </c>
      <c r="Q131">
        <f t="shared" si="38"/>
        <v>27</v>
      </c>
      <c r="R131" s="14">
        <f t="shared" si="39"/>
        <v>27</v>
      </c>
      <c r="S131" s="15"/>
      <c r="W131" s="14"/>
    </row>
    <row r="132" spans="1:23" x14ac:dyDescent="0.25">
      <c r="A132" s="16"/>
      <c r="B132" s="17" t="b">
        <f t="shared" si="32"/>
        <v>0</v>
      </c>
      <c r="C132" s="17" t="b">
        <f t="shared" si="40"/>
        <v>0</v>
      </c>
      <c r="D132" s="17">
        <f t="shared" si="26"/>
        <v>1</v>
      </c>
      <c r="E132" s="17" t="str">
        <f t="shared" si="31"/>
        <v>Section 10 - Spring Boot - Deployement</v>
      </c>
      <c r="F132" s="18" t="str">
        <f t="shared" si="27"/>
        <v/>
      </c>
      <c r="G132" s="13" t="str">
        <f t="shared" si="33"/>
        <v/>
      </c>
      <c r="H132">
        <f t="shared" si="34"/>
        <v>0</v>
      </c>
      <c r="I132">
        <f t="shared" si="35"/>
        <v>0</v>
      </c>
      <c r="J132" s="13">
        <f t="shared" si="36"/>
        <v>155</v>
      </c>
      <c r="K132">
        <f t="shared" si="28"/>
        <v>2</v>
      </c>
      <c r="L132">
        <f t="shared" si="29"/>
        <v>35</v>
      </c>
      <c r="M132" s="13">
        <f t="shared" si="37"/>
        <v>0</v>
      </c>
      <c r="N132">
        <f t="shared" si="37"/>
        <v>27</v>
      </c>
      <c r="O132" s="14">
        <f t="shared" si="25"/>
        <v>27</v>
      </c>
      <c r="P132" s="13">
        <f t="shared" si="30"/>
        <v>0</v>
      </c>
      <c r="Q132">
        <f t="shared" si="38"/>
        <v>27</v>
      </c>
      <c r="R132" s="14">
        <f t="shared" si="39"/>
        <v>27</v>
      </c>
      <c r="S132" s="15"/>
      <c r="W132" s="14"/>
    </row>
    <row r="133" spans="1:23" x14ac:dyDescent="0.25">
      <c r="A133" s="16"/>
      <c r="B133" s="17" t="b">
        <f t="shared" si="32"/>
        <v>0</v>
      </c>
      <c r="C133" s="17" t="b">
        <f t="shared" si="40"/>
        <v>0</v>
      </c>
      <c r="D133" s="17">
        <f t="shared" si="26"/>
        <v>1</v>
      </c>
      <c r="E133" s="17" t="str">
        <f t="shared" si="31"/>
        <v>Section 10 - Spring Boot - Deployement</v>
      </c>
      <c r="F133" s="18" t="str">
        <f t="shared" si="27"/>
        <v/>
      </c>
      <c r="G133" s="13" t="str">
        <f t="shared" si="33"/>
        <v/>
      </c>
      <c r="H133">
        <f t="shared" si="34"/>
        <v>0</v>
      </c>
      <c r="I133">
        <f t="shared" si="35"/>
        <v>0</v>
      </c>
      <c r="J133" s="13">
        <f t="shared" si="36"/>
        <v>155</v>
      </c>
      <c r="K133">
        <f t="shared" si="28"/>
        <v>2</v>
      </c>
      <c r="L133">
        <f t="shared" si="29"/>
        <v>35</v>
      </c>
      <c r="M133" s="13">
        <f t="shared" si="37"/>
        <v>0</v>
      </c>
      <c r="N133">
        <f t="shared" si="37"/>
        <v>27</v>
      </c>
      <c r="O133" s="14">
        <f t="shared" si="25"/>
        <v>27</v>
      </c>
      <c r="P133" s="13">
        <f t="shared" si="30"/>
        <v>0</v>
      </c>
      <c r="Q133">
        <f t="shared" si="38"/>
        <v>27</v>
      </c>
      <c r="R133" s="14">
        <f t="shared" si="39"/>
        <v>27</v>
      </c>
      <c r="S133" s="15"/>
      <c r="W133" s="14"/>
    </row>
    <row r="134" spans="1:23" x14ac:dyDescent="0.25">
      <c r="A134" s="16"/>
      <c r="B134" s="17" t="b">
        <f t="shared" si="32"/>
        <v>0</v>
      </c>
      <c r="C134" s="17" t="b">
        <f t="shared" si="40"/>
        <v>0</v>
      </c>
      <c r="D134" s="17">
        <f t="shared" si="26"/>
        <v>1</v>
      </c>
      <c r="E134" s="17" t="str">
        <f t="shared" si="31"/>
        <v>Section 10 - Spring Boot - Deployement</v>
      </c>
      <c r="F134" s="18" t="str">
        <f t="shared" si="27"/>
        <v/>
      </c>
      <c r="G134" s="13" t="str">
        <f t="shared" si="33"/>
        <v/>
      </c>
      <c r="H134">
        <f t="shared" si="34"/>
        <v>0</v>
      </c>
      <c r="I134">
        <f t="shared" si="35"/>
        <v>0</v>
      </c>
      <c r="J134" s="13">
        <f t="shared" si="36"/>
        <v>155</v>
      </c>
      <c r="K134">
        <f t="shared" si="28"/>
        <v>2</v>
      </c>
      <c r="L134">
        <f t="shared" si="29"/>
        <v>35</v>
      </c>
      <c r="M134" s="13">
        <f t="shared" si="37"/>
        <v>0</v>
      </c>
      <c r="N134">
        <f t="shared" si="37"/>
        <v>27</v>
      </c>
      <c r="O134" s="14">
        <f t="shared" si="25"/>
        <v>27</v>
      </c>
      <c r="P134" s="13">
        <f t="shared" si="30"/>
        <v>0</v>
      </c>
      <c r="Q134">
        <f t="shared" si="38"/>
        <v>27</v>
      </c>
      <c r="R134" s="14">
        <f t="shared" si="39"/>
        <v>27</v>
      </c>
      <c r="S134" s="15"/>
      <c r="W134" s="14"/>
    </row>
    <row r="135" spans="1:23" x14ac:dyDescent="0.25">
      <c r="A135" s="16"/>
      <c r="B135" s="17" t="b">
        <f t="shared" si="32"/>
        <v>0</v>
      </c>
      <c r="C135" s="17" t="b">
        <f t="shared" si="40"/>
        <v>0</v>
      </c>
      <c r="D135" s="17">
        <f t="shared" si="26"/>
        <v>1</v>
      </c>
      <c r="E135" s="17" t="str">
        <f t="shared" si="31"/>
        <v>Section 10 - Spring Boot - Deployement</v>
      </c>
      <c r="F135" s="18" t="str">
        <f t="shared" si="27"/>
        <v/>
      </c>
      <c r="G135" s="13" t="str">
        <f t="shared" si="33"/>
        <v/>
      </c>
      <c r="H135">
        <f t="shared" si="34"/>
        <v>0</v>
      </c>
      <c r="I135">
        <f t="shared" si="35"/>
        <v>0</v>
      </c>
      <c r="J135" s="13">
        <f t="shared" si="36"/>
        <v>155</v>
      </c>
      <c r="K135">
        <f t="shared" si="28"/>
        <v>2</v>
      </c>
      <c r="L135">
        <f t="shared" si="29"/>
        <v>35</v>
      </c>
      <c r="M135" s="13">
        <f t="shared" si="37"/>
        <v>0</v>
      </c>
      <c r="N135">
        <f t="shared" si="37"/>
        <v>27</v>
      </c>
      <c r="O135" s="14">
        <f t="shared" si="25"/>
        <v>27</v>
      </c>
      <c r="P135" s="13">
        <f t="shared" si="30"/>
        <v>0</v>
      </c>
      <c r="Q135">
        <f t="shared" si="38"/>
        <v>27</v>
      </c>
      <c r="R135" s="14">
        <f t="shared" si="39"/>
        <v>27</v>
      </c>
      <c r="S135" s="15"/>
      <c r="W135" s="14"/>
    </row>
    <row r="136" spans="1:23" x14ac:dyDescent="0.25">
      <c r="A136" s="16"/>
      <c r="B136" s="17" t="b">
        <f t="shared" si="32"/>
        <v>0</v>
      </c>
      <c r="C136" s="17" t="b">
        <f t="shared" si="40"/>
        <v>0</v>
      </c>
      <c r="D136" s="17">
        <f t="shared" si="26"/>
        <v>1</v>
      </c>
      <c r="E136" s="17" t="str">
        <f t="shared" si="31"/>
        <v>Section 10 - Spring Boot - Deployement</v>
      </c>
      <c r="F136" s="18" t="str">
        <f t="shared" si="27"/>
        <v/>
      </c>
      <c r="G136" s="13" t="str">
        <f t="shared" si="33"/>
        <v/>
      </c>
      <c r="H136">
        <f t="shared" si="34"/>
        <v>0</v>
      </c>
      <c r="I136">
        <f t="shared" si="35"/>
        <v>0</v>
      </c>
      <c r="J136" s="13">
        <f t="shared" si="36"/>
        <v>155</v>
      </c>
      <c r="K136">
        <f t="shared" si="28"/>
        <v>2</v>
      </c>
      <c r="L136">
        <f t="shared" si="29"/>
        <v>35</v>
      </c>
      <c r="M136" s="13">
        <f t="shared" si="37"/>
        <v>0</v>
      </c>
      <c r="N136">
        <f t="shared" si="37"/>
        <v>27</v>
      </c>
      <c r="O136" s="14">
        <f t="shared" si="25"/>
        <v>27</v>
      </c>
      <c r="P136" s="13">
        <f t="shared" si="30"/>
        <v>0</v>
      </c>
      <c r="Q136">
        <f t="shared" si="38"/>
        <v>27</v>
      </c>
      <c r="R136" s="14">
        <f t="shared" si="39"/>
        <v>27</v>
      </c>
      <c r="S136" s="15"/>
      <c r="W136" s="14"/>
    </row>
    <row r="137" spans="1:23" x14ac:dyDescent="0.25">
      <c r="A137" s="16"/>
      <c r="B137" s="17" t="b">
        <f t="shared" si="32"/>
        <v>0</v>
      </c>
      <c r="C137" s="17" t="b">
        <f t="shared" si="40"/>
        <v>0</v>
      </c>
      <c r="D137" s="17">
        <f t="shared" si="26"/>
        <v>1</v>
      </c>
      <c r="E137" s="17" t="str">
        <f t="shared" si="31"/>
        <v>Section 10 - Spring Boot - Deployement</v>
      </c>
      <c r="F137" s="18" t="str">
        <f t="shared" si="27"/>
        <v/>
      </c>
      <c r="G137" s="13" t="str">
        <f t="shared" si="33"/>
        <v/>
      </c>
      <c r="H137">
        <f t="shared" si="34"/>
        <v>0</v>
      </c>
      <c r="I137">
        <f t="shared" si="35"/>
        <v>0</v>
      </c>
      <c r="J137" s="13">
        <f t="shared" si="36"/>
        <v>155</v>
      </c>
      <c r="K137">
        <f t="shared" si="28"/>
        <v>2</v>
      </c>
      <c r="L137">
        <f t="shared" si="29"/>
        <v>35</v>
      </c>
      <c r="M137" s="13">
        <f t="shared" si="37"/>
        <v>0</v>
      </c>
      <c r="N137">
        <f t="shared" si="37"/>
        <v>27</v>
      </c>
      <c r="O137" s="14">
        <f t="shared" si="25"/>
        <v>27</v>
      </c>
      <c r="P137" s="13">
        <f t="shared" si="30"/>
        <v>0</v>
      </c>
      <c r="Q137">
        <f t="shared" si="38"/>
        <v>27</v>
      </c>
      <c r="R137" s="14">
        <f t="shared" si="39"/>
        <v>27</v>
      </c>
      <c r="S137" s="15"/>
      <c r="W137" s="14"/>
    </row>
    <row r="138" spans="1:23" x14ac:dyDescent="0.25">
      <c r="A138" s="16"/>
      <c r="B138" s="17" t="b">
        <f t="shared" si="32"/>
        <v>0</v>
      </c>
      <c r="C138" s="17" t="b">
        <f t="shared" si="40"/>
        <v>0</v>
      </c>
      <c r="D138" s="17">
        <f t="shared" si="26"/>
        <v>1</v>
      </c>
      <c r="E138" s="17" t="str">
        <f t="shared" si="31"/>
        <v>Section 10 - Spring Boot - Deployement</v>
      </c>
      <c r="F138" s="18" t="str">
        <f t="shared" si="27"/>
        <v/>
      </c>
      <c r="G138" s="13" t="str">
        <f t="shared" si="33"/>
        <v/>
      </c>
      <c r="H138">
        <f t="shared" si="34"/>
        <v>0</v>
      </c>
      <c r="I138">
        <f t="shared" si="35"/>
        <v>0</v>
      </c>
      <c r="J138" s="13">
        <f t="shared" si="36"/>
        <v>155</v>
      </c>
      <c r="K138">
        <f t="shared" si="28"/>
        <v>2</v>
      </c>
      <c r="L138">
        <f t="shared" si="29"/>
        <v>35</v>
      </c>
      <c r="M138" s="13">
        <f t="shared" si="37"/>
        <v>0</v>
      </c>
      <c r="N138">
        <f t="shared" si="37"/>
        <v>27</v>
      </c>
      <c r="O138" s="14">
        <f t="shared" ref="O138:O201" si="41">((M138*60)+N138)</f>
        <v>27</v>
      </c>
      <c r="P138" s="13">
        <f t="shared" si="30"/>
        <v>0</v>
      </c>
      <c r="Q138">
        <f t="shared" si="38"/>
        <v>27</v>
      </c>
      <c r="R138" s="14">
        <f t="shared" si="39"/>
        <v>27</v>
      </c>
      <c r="S138" s="15"/>
      <c r="W138" s="14"/>
    </row>
    <row r="139" spans="1:23" x14ac:dyDescent="0.25">
      <c r="A139" s="16"/>
      <c r="B139" s="17" t="b">
        <f t="shared" si="32"/>
        <v>0</v>
      </c>
      <c r="C139" s="17" t="b">
        <f t="shared" si="40"/>
        <v>0</v>
      </c>
      <c r="D139" s="17">
        <f t="shared" ref="D139:D202" si="42">IF(B139,0,IF(C139,D138+1,D138))</f>
        <v>1</v>
      </c>
      <c r="E139" s="17" t="str">
        <f t="shared" si="31"/>
        <v>Section 10 - Spring Boot - Deployement</v>
      </c>
      <c r="F139" s="18" t="str">
        <f t="shared" ref="F139:F202" si="43">IF(C139,A139,"")</f>
        <v/>
      </c>
      <c r="G139" s="13" t="str">
        <f t="shared" si="33"/>
        <v/>
      </c>
      <c r="H139">
        <f t="shared" si="34"/>
        <v>0</v>
      </c>
      <c r="I139">
        <f t="shared" si="35"/>
        <v>0</v>
      </c>
      <c r="J139" s="13">
        <f t="shared" si="36"/>
        <v>155</v>
      </c>
      <c r="K139">
        <f t="shared" ref="K139:K202" si="44">INT(J139/60)</f>
        <v>2</v>
      </c>
      <c r="L139">
        <f t="shared" ref="L139:L202" si="45">INT(J139-(K139*60))</f>
        <v>35</v>
      </c>
      <c r="M139" s="13">
        <f t="shared" si="37"/>
        <v>0</v>
      </c>
      <c r="N139">
        <f t="shared" si="37"/>
        <v>27</v>
      </c>
      <c r="O139" s="14">
        <f t="shared" si="41"/>
        <v>27</v>
      </c>
      <c r="P139" s="13">
        <f t="shared" ref="P139:P202" si="46">INT(R139/60)</f>
        <v>0</v>
      </c>
      <c r="Q139">
        <f t="shared" si="38"/>
        <v>27</v>
      </c>
      <c r="R139" s="14">
        <f t="shared" si="39"/>
        <v>27</v>
      </c>
      <c r="S139" s="15"/>
      <c r="W139" s="14"/>
    </row>
    <row r="140" spans="1:23" x14ac:dyDescent="0.25">
      <c r="A140" s="16"/>
      <c r="B140" s="17" t="b">
        <f t="shared" si="32"/>
        <v>0</v>
      </c>
      <c r="C140" s="17" t="b">
        <f t="shared" si="40"/>
        <v>0</v>
      </c>
      <c r="D140" s="17">
        <f t="shared" si="42"/>
        <v>1</v>
      </c>
      <c r="E140" s="17" t="str">
        <f t="shared" ref="E140:E203" si="47">SUBSTITUTE(IF(B140,A140,E139),":", " -")</f>
        <v>Section 10 - Spring Boot - Deployement</v>
      </c>
      <c r="F140" s="18" t="str">
        <f t="shared" si="43"/>
        <v/>
      </c>
      <c r="G140" s="13" t="str">
        <f t="shared" si="33"/>
        <v/>
      </c>
      <c r="H140">
        <f t="shared" si="34"/>
        <v>0</v>
      </c>
      <c r="I140">
        <f t="shared" si="35"/>
        <v>0</v>
      </c>
      <c r="J140" s="13">
        <f t="shared" si="36"/>
        <v>155</v>
      </c>
      <c r="K140">
        <f t="shared" si="44"/>
        <v>2</v>
      </c>
      <c r="L140">
        <f t="shared" si="45"/>
        <v>35</v>
      </c>
      <c r="M140" s="13">
        <f t="shared" si="37"/>
        <v>0</v>
      </c>
      <c r="N140">
        <f t="shared" si="37"/>
        <v>27</v>
      </c>
      <c r="O140" s="14">
        <f t="shared" si="41"/>
        <v>27</v>
      </c>
      <c r="P140" s="13">
        <f t="shared" si="46"/>
        <v>0</v>
      </c>
      <c r="Q140">
        <f t="shared" si="38"/>
        <v>27</v>
      </c>
      <c r="R140" s="14">
        <f t="shared" si="39"/>
        <v>27</v>
      </c>
      <c r="S140" s="15"/>
      <c r="W140" s="14"/>
    </row>
    <row r="141" spans="1:23" x14ac:dyDescent="0.25">
      <c r="A141" s="16"/>
      <c r="B141" s="17" t="b">
        <f t="shared" si="32"/>
        <v>0</v>
      </c>
      <c r="C141" s="17" t="b">
        <f t="shared" si="40"/>
        <v>0</v>
      </c>
      <c r="D141" s="17">
        <f t="shared" si="42"/>
        <v>1</v>
      </c>
      <c r="E141" s="17" t="str">
        <f t="shared" si="47"/>
        <v>Section 10 - Spring Boot - Deployement</v>
      </c>
      <c r="F141" s="18" t="str">
        <f t="shared" si="43"/>
        <v/>
      </c>
      <c r="G141" s="13" t="str">
        <f t="shared" si="33"/>
        <v/>
      </c>
      <c r="H141">
        <f t="shared" si="34"/>
        <v>0</v>
      </c>
      <c r="I141">
        <f t="shared" si="35"/>
        <v>0</v>
      </c>
      <c r="J141" s="13">
        <f t="shared" si="36"/>
        <v>155</v>
      </c>
      <c r="K141">
        <f t="shared" si="44"/>
        <v>2</v>
      </c>
      <c r="L141">
        <f t="shared" si="45"/>
        <v>35</v>
      </c>
      <c r="M141" s="13">
        <f t="shared" si="37"/>
        <v>0</v>
      </c>
      <c r="N141">
        <f t="shared" si="37"/>
        <v>27</v>
      </c>
      <c r="O141" s="14">
        <f t="shared" si="41"/>
        <v>27</v>
      </c>
      <c r="P141" s="13">
        <f t="shared" si="46"/>
        <v>0</v>
      </c>
      <c r="Q141">
        <f t="shared" si="38"/>
        <v>27</v>
      </c>
      <c r="R141" s="14">
        <f t="shared" si="39"/>
        <v>27</v>
      </c>
      <c r="S141" s="15"/>
      <c r="W141" s="14"/>
    </row>
    <row r="142" spans="1:23" x14ac:dyDescent="0.25">
      <c r="A142" s="16"/>
      <c r="B142" s="17" t="b">
        <f t="shared" si="32"/>
        <v>0</v>
      </c>
      <c r="C142" s="17" t="b">
        <f t="shared" si="40"/>
        <v>0</v>
      </c>
      <c r="D142" s="17">
        <f t="shared" si="42"/>
        <v>1</v>
      </c>
      <c r="E142" s="17" t="str">
        <f t="shared" si="47"/>
        <v>Section 10 - Spring Boot - Deployement</v>
      </c>
      <c r="F142" s="18" t="str">
        <f t="shared" si="43"/>
        <v/>
      </c>
      <c r="G142" s="13" t="str">
        <f t="shared" si="33"/>
        <v/>
      </c>
      <c r="H142">
        <f t="shared" si="34"/>
        <v>0</v>
      </c>
      <c r="I142">
        <f t="shared" si="35"/>
        <v>0</v>
      </c>
      <c r="J142" s="13">
        <f t="shared" si="36"/>
        <v>155</v>
      </c>
      <c r="K142">
        <f t="shared" si="44"/>
        <v>2</v>
      </c>
      <c r="L142">
        <f t="shared" si="45"/>
        <v>35</v>
      </c>
      <c r="M142" s="13">
        <f t="shared" si="37"/>
        <v>0</v>
      </c>
      <c r="N142">
        <f t="shared" si="37"/>
        <v>27</v>
      </c>
      <c r="O142" s="14">
        <f t="shared" si="41"/>
        <v>27</v>
      </c>
      <c r="P142" s="13">
        <f t="shared" si="46"/>
        <v>0</v>
      </c>
      <c r="Q142">
        <f t="shared" si="38"/>
        <v>27</v>
      </c>
      <c r="R142" s="14">
        <f t="shared" si="39"/>
        <v>27</v>
      </c>
      <c r="S142" s="15"/>
      <c r="W142" s="14"/>
    </row>
    <row r="143" spans="1:23" x14ac:dyDescent="0.25">
      <c r="A143" s="16"/>
      <c r="B143" s="17" t="b">
        <f t="shared" si="32"/>
        <v>0</v>
      </c>
      <c r="C143" s="17" t="b">
        <f t="shared" si="40"/>
        <v>0</v>
      </c>
      <c r="D143" s="17">
        <f t="shared" si="42"/>
        <v>1</v>
      </c>
      <c r="E143" s="17" t="str">
        <f t="shared" si="47"/>
        <v>Section 10 - Spring Boot - Deployement</v>
      </c>
      <c r="F143" s="18" t="str">
        <f t="shared" si="43"/>
        <v/>
      </c>
      <c r="G143" s="13" t="str">
        <f t="shared" si="33"/>
        <v/>
      </c>
      <c r="H143">
        <f t="shared" si="34"/>
        <v>0</v>
      </c>
      <c r="I143">
        <f t="shared" si="35"/>
        <v>0</v>
      </c>
      <c r="J143" s="13">
        <f t="shared" si="36"/>
        <v>155</v>
      </c>
      <c r="K143">
        <f t="shared" si="44"/>
        <v>2</v>
      </c>
      <c r="L143">
        <f t="shared" si="45"/>
        <v>35</v>
      </c>
      <c r="M143" s="13">
        <f t="shared" si="37"/>
        <v>0</v>
      </c>
      <c r="N143">
        <f t="shared" si="37"/>
        <v>27</v>
      </c>
      <c r="O143" s="14">
        <f t="shared" si="41"/>
        <v>27</v>
      </c>
      <c r="P143" s="13">
        <f t="shared" si="46"/>
        <v>0</v>
      </c>
      <c r="Q143">
        <f t="shared" si="38"/>
        <v>27</v>
      </c>
      <c r="R143" s="14">
        <f t="shared" si="39"/>
        <v>27</v>
      </c>
      <c r="S143" s="15"/>
      <c r="W143" s="14"/>
    </row>
    <row r="144" spans="1:23" x14ac:dyDescent="0.25">
      <c r="A144" s="16"/>
      <c r="B144" s="17" t="b">
        <f t="shared" si="32"/>
        <v>0</v>
      </c>
      <c r="C144" s="17" t="b">
        <f t="shared" si="40"/>
        <v>0</v>
      </c>
      <c r="D144" s="17">
        <f t="shared" si="42"/>
        <v>1</v>
      </c>
      <c r="E144" s="17" t="str">
        <f t="shared" si="47"/>
        <v>Section 10 - Spring Boot - Deployement</v>
      </c>
      <c r="F144" s="18" t="str">
        <f t="shared" si="43"/>
        <v/>
      </c>
      <c r="G144" s="13" t="str">
        <f t="shared" si="33"/>
        <v/>
      </c>
      <c r="H144">
        <f t="shared" si="34"/>
        <v>0</v>
      </c>
      <c r="I144">
        <f t="shared" si="35"/>
        <v>0</v>
      </c>
      <c r="J144" s="13">
        <f t="shared" si="36"/>
        <v>155</v>
      </c>
      <c r="K144">
        <f t="shared" si="44"/>
        <v>2</v>
      </c>
      <c r="L144">
        <f t="shared" si="45"/>
        <v>35</v>
      </c>
      <c r="M144" s="13">
        <f t="shared" si="37"/>
        <v>0</v>
      </c>
      <c r="N144">
        <f t="shared" si="37"/>
        <v>27</v>
      </c>
      <c r="O144" s="14">
        <f t="shared" si="41"/>
        <v>27</v>
      </c>
      <c r="P144" s="13">
        <f t="shared" si="46"/>
        <v>0</v>
      </c>
      <c r="Q144">
        <f t="shared" si="38"/>
        <v>27</v>
      </c>
      <c r="R144" s="14">
        <f t="shared" si="39"/>
        <v>27</v>
      </c>
      <c r="S144" s="15"/>
      <c r="W144" s="14"/>
    </row>
    <row r="145" spans="1:23" x14ac:dyDescent="0.25">
      <c r="A145" s="16"/>
      <c r="B145" s="17" t="b">
        <f t="shared" si="32"/>
        <v>0</v>
      </c>
      <c r="C145" s="17" t="b">
        <f t="shared" si="40"/>
        <v>0</v>
      </c>
      <c r="D145" s="17">
        <f t="shared" si="42"/>
        <v>1</v>
      </c>
      <c r="E145" s="17" t="str">
        <f t="shared" si="47"/>
        <v>Section 10 - Spring Boot - Deployement</v>
      </c>
      <c r="F145" s="18" t="str">
        <f t="shared" si="43"/>
        <v/>
      </c>
      <c r="G145" s="13" t="str">
        <f t="shared" si="33"/>
        <v/>
      </c>
      <c r="H145">
        <f t="shared" si="34"/>
        <v>0</v>
      </c>
      <c r="I145">
        <f t="shared" si="35"/>
        <v>0</v>
      </c>
      <c r="J145" s="13">
        <f t="shared" si="36"/>
        <v>155</v>
      </c>
      <c r="K145">
        <f t="shared" si="44"/>
        <v>2</v>
      </c>
      <c r="L145">
        <f t="shared" si="45"/>
        <v>35</v>
      </c>
      <c r="M145" s="13">
        <f t="shared" si="37"/>
        <v>0</v>
      </c>
      <c r="N145">
        <f t="shared" si="37"/>
        <v>27</v>
      </c>
      <c r="O145" s="14">
        <f t="shared" si="41"/>
        <v>27</v>
      </c>
      <c r="P145" s="13">
        <f t="shared" si="46"/>
        <v>0</v>
      </c>
      <c r="Q145">
        <f t="shared" si="38"/>
        <v>27</v>
      </c>
      <c r="R145" s="14">
        <f t="shared" si="39"/>
        <v>27</v>
      </c>
      <c r="S145" s="15"/>
      <c r="W145" s="14"/>
    </row>
    <row r="146" spans="1:23" x14ac:dyDescent="0.25">
      <c r="A146" s="16"/>
      <c r="B146" s="17" t="b">
        <f t="shared" ref="B146:B209" si="48">AND(NOT(ISERROR(FIND("Section ",A146))),NOT(ISERROR(FIND("Section ",A146))))</f>
        <v>0</v>
      </c>
      <c r="C146" s="17" t="b">
        <f t="shared" si="40"/>
        <v>0</v>
      </c>
      <c r="D146" s="17">
        <f t="shared" si="42"/>
        <v>1</v>
      </c>
      <c r="E146" s="17" t="str">
        <f t="shared" si="47"/>
        <v>Section 10 - Spring Boot - Deployement</v>
      </c>
      <c r="F146" s="18" t="str">
        <f t="shared" si="43"/>
        <v/>
      </c>
      <c r="G146" s="13" t="str">
        <f t="shared" si="33"/>
        <v/>
      </c>
      <c r="H146">
        <f t="shared" si="34"/>
        <v>0</v>
      </c>
      <c r="I146">
        <f t="shared" si="35"/>
        <v>0</v>
      </c>
      <c r="J146" s="13">
        <f t="shared" si="36"/>
        <v>155</v>
      </c>
      <c r="K146">
        <f t="shared" si="44"/>
        <v>2</v>
      </c>
      <c r="L146">
        <f t="shared" si="45"/>
        <v>35</v>
      </c>
      <c r="M146" s="13">
        <f t="shared" si="37"/>
        <v>0</v>
      </c>
      <c r="N146">
        <f t="shared" si="37"/>
        <v>27</v>
      </c>
      <c r="O146" s="14">
        <f t="shared" si="41"/>
        <v>27</v>
      </c>
      <c r="P146" s="13">
        <f t="shared" si="46"/>
        <v>0</v>
      </c>
      <c r="Q146">
        <f t="shared" si="38"/>
        <v>27</v>
      </c>
      <c r="R146" s="14">
        <f t="shared" si="39"/>
        <v>27</v>
      </c>
      <c r="S146" s="15"/>
      <c r="W146" s="14"/>
    </row>
    <row r="147" spans="1:23" x14ac:dyDescent="0.25">
      <c r="A147" s="16"/>
      <c r="B147" s="17" t="b">
        <f t="shared" si="48"/>
        <v>0</v>
      </c>
      <c r="C147" s="17" t="b">
        <f t="shared" si="40"/>
        <v>0</v>
      </c>
      <c r="D147" s="17">
        <f t="shared" si="42"/>
        <v>1</v>
      </c>
      <c r="E147" s="17" t="str">
        <f t="shared" si="47"/>
        <v>Section 10 - Spring Boot - Deployement</v>
      </c>
      <c r="F147" s="18" t="str">
        <f t="shared" si="43"/>
        <v/>
      </c>
      <c r="G147" s="13" t="str">
        <f t="shared" si="33"/>
        <v/>
      </c>
      <c r="H147">
        <f t="shared" si="34"/>
        <v>0</v>
      </c>
      <c r="I147">
        <f t="shared" si="35"/>
        <v>0</v>
      </c>
      <c r="J147" s="13">
        <f t="shared" si="36"/>
        <v>155</v>
      </c>
      <c r="K147">
        <f t="shared" si="44"/>
        <v>2</v>
      </c>
      <c r="L147">
        <f t="shared" si="45"/>
        <v>35</v>
      </c>
      <c r="M147" s="13">
        <f t="shared" si="37"/>
        <v>0</v>
      </c>
      <c r="N147">
        <f t="shared" si="37"/>
        <v>27</v>
      </c>
      <c r="O147" s="14">
        <f t="shared" si="41"/>
        <v>27</v>
      </c>
      <c r="P147" s="13">
        <f t="shared" si="46"/>
        <v>0</v>
      </c>
      <c r="Q147">
        <f t="shared" si="38"/>
        <v>27</v>
      </c>
      <c r="R147" s="14">
        <f t="shared" si="39"/>
        <v>27</v>
      </c>
      <c r="S147" s="15"/>
      <c r="W147" s="14"/>
    </row>
    <row r="148" spans="1:23" x14ac:dyDescent="0.25">
      <c r="A148" s="16"/>
      <c r="B148" s="17" t="b">
        <f t="shared" si="48"/>
        <v>0</v>
      </c>
      <c r="C148" s="17" t="b">
        <f t="shared" si="40"/>
        <v>0</v>
      </c>
      <c r="D148" s="17">
        <f t="shared" si="42"/>
        <v>1</v>
      </c>
      <c r="E148" s="17" t="str">
        <f t="shared" si="47"/>
        <v>Section 10 - Spring Boot - Deployement</v>
      </c>
      <c r="F148" s="18" t="str">
        <f t="shared" si="43"/>
        <v/>
      </c>
      <c r="G148" s="13" t="str">
        <f t="shared" si="33"/>
        <v/>
      </c>
      <c r="H148">
        <f t="shared" si="34"/>
        <v>0</v>
      </c>
      <c r="I148">
        <f t="shared" si="35"/>
        <v>0</v>
      </c>
      <c r="J148" s="13">
        <f t="shared" si="36"/>
        <v>155</v>
      </c>
      <c r="K148">
        <f t="shared" si="44"/>
        <v>2</v>
      </c>
      <c r="L148">
        <f t="shared" si="45"/>
        <v>35</v>
      </c>
      <c r="M148" s="13">
        <f t="shared" si="37"/>
        <v>0</v>
      </c>
      <c r="N148">
        <f t="shared" si="37"/>
        <v>27</v>
      </c>
      <c r="O148" s="14">
        <f t="shared" si="41"/>
        <v>27</v>
      </c>
      <c r="P148" s="13">
        <f t="shared" si="46"/>
        <v>0</v>
      </c>
      <c r="Q148">
        <f t="shared" si="38"/>
        <v>27</v>
      </c>
      <c r="R148" s="14">
        <f t="shared" si="39"/>
        <v>27</v>
      </c>
      <c r="S148" s="15"/>
      <c r="W148" s="14"/>
    </row>
    <row r="149" spans="1:23" x14ac:dyDescent="0.25">
      <c r="A149" s="16"/>
      <c r="B149" s="17" t="b">
        <f t="shared" si="48"/>
        <v>0</v>
      </c>
      <c r="C149" s="17" t="b">
        <f t="shared" si="40"/>
        <v>0</v>
      </c>
      <c r="D149" s="17">
        <f t="shared" si="42"/>
        <v>1</v>
      </c>
      <c r="E149" s="17" t="str">
        <f t="shared" si="47"/>
        <v>Section 10 - Spring Boot - Deployement</v>
      </c>
      <c r="F149" s="18" t="str">
        <f t="shared" si="43"/>
        <v/>
      </c>
      <c r="G149" s="13" t="str">
        <f t="shared" ref="G149:G212" si="49">IF(C149,A150,"")</f>
        <v/>
      </c>
      <c r="H149">
        <f t="shared" ref="H149:H212" si="50">VALUE(IF(NOT(ISERROR(FIND("hr",G149))),LEFT(G149,FIND("hr",G149)-1),0))</f>
        <v>0</v>
      </c>
      <c r="I149">
        <f t="shared" ref="I149:I212" si="51">VALUE(IF(ISERROR(FIND("min",G149)),0,SUBSTITUTE(MID(G149,IF(ISERROR(FIND("hr ",G149)),1,FIND("hr ",G149)+3),LEN(G149)),"min","")))</f>
        <v>0</v>
      </c>
      <c r="J149" s="13">
        <f t="shared" ref="J149:J212" si="52">J148+(H149*60+I149)</f>
        <v>155</v>
      </c>
      <c r="K149">
        <f t="shared" si="44"/>
        <v>2</v>
      </c>
      <c r="L149">
        <f t="shared" si="45"/>
        <v>35</v>
      </c>
      <c r="M149" s="13">
        <f t="shared" ref="M149:N212" si="53">P148</f>
        <v>0</v>
      </c>
      <c r="N149">
        <f t="shared" si="53"/>
        <v>27</v>
      </c>
      <c r="O149" s="14">
        <f t="shared" si="41"/>
        <v>27</v>
      </c>
      <c r="P149" s="13">
        <f t="shared" si="46"/>
        <v>0</v>
      </c>
      <c r="Q149">
        <f t="shared" ref="Q149:Q212" si="54">R149-(P149*60)</f>
        <v>27</v>
      </c>
      <c r="R149" s="14">
        <f t="shared" ref="R149:R212" si="55">((H149*60)+I149)+O149</f>
        <v>27</v>
      </c>
      <c r="S149" s="15"/>
      <c r="W149" s="14"/>
    </row>
    <row r="150" spans="1:23" x14ac:dyDescent="0.25">
      <c r="A150" s="16"/>
      <c r="B150" s="17" t="b">
        <f t="shared" si="48"/>
        <v>0</v>
      </c>
      <c r="C150" s="17" t="b">
        <f t="shared" si="40"/>
        <v>0</v>
      </c>
      <c r="D150" s="17">
        <f t="shared" si="42"/>
        <v>1</v>
      </c>
      <c r="E150" s="17" t="str">
        <f t="shared" si="47"/>
        <v>Section 10 - Spring Boot - Deployement</v>
      </c>
      <c r="F150" s="18" t="str">
        <f t="shared" si="43"/>
        <v/>
      </c>
      <c r="G150" s="13" t="str">
        <f t="shared" si="49"/>
        <v/>
      </c>
      <c r="H150">
        <f t="shared" si="50"/>
        <v>0</v>
      </c>
      <c r="I150">
        <f t="shared" si="51"/>
        <v>0</v>
      </c>
      <c r="J150" s="13">
        <f t="shared" si="52"/>
        <v>155</v>
      </c>
      <c r="K150">
        <f t="shared" si="44"/>
        <v>2</v>
      </c>
      <c r="L150">
        <f t="shared" si="45"/>
        <v>35</v>
      </c>
      <c r="M150" s="13">
        <f t="shared" si="53"/>
        <v>0</v>
      </c>
      <c r="N150">
        <f t="shared" si="53"/>
        <v>27</v>
      </c>
      <c r="O150" s="14">
        <f t="shared" si="41"/>
        <v>27</v>
      </c>
      <c r="P150" s="13">
        <f t="shared" si="46"/>
        <v>0</v>
      </c>
      <c r="Q150">
        <f t="shared" si="54"/>
        <v>27</v>
      </c>
      <c r="R150" s="14">
        <f t="shared" si="55"/>
        <v>27</v>
      </c>
      <c r="S150" s="15"/>
      <c r="W150" s="14"/>
    </row>
    <row r="151" spans="1:23" x14ac:dyDescent="0.25">
      <c r="A151" s="16"/>
      <c r="B151" s="17" t="b">
        <f t="shared" si="48"/>
        <v>0</v>
      </c>
      <c r="C151" s="17" t="b">
        <f t="shared" si="40"/>
        <v>0</v>
      </c>
      <c r="D151" s="17">
        <f t="shared" si="42"/>
        <v>1</v>
      </c>
      <c r="E151" s="17" t="str">
        <f t="shared" si="47"/>
        <v>Section 10 - Spring Boot - Deployement</v>
      </c>
      <c r="F151" s="18" t="str">
        <f t="shared" si="43"/>
        <v/>
      </c>
      <c r="G151" s="13" t="str">
        <f t="shared" si="49"/>
        <v/>
      </c>
      <c r="H151">
        <f t="shared" si="50"/>
        <v>0</v>
      </c>
      <c r="I151">
        <f t="shared" si="51"/>
        <v>0</v>
      </c>
      <c r="J151" s="13">
        <f t="shared" si="52"/>
        <v>155</v>
      </c>
      <c r="K151">
        <f t="shared" si="44"/>
        <v>2</v>
      </c>
      <c r="L151">
        <f t="shared" si="45"/>
        <v>35</v>
      </c>
      <c r="M151" s="13">
        <f t="shared" si="53"/>
        <v>0</v>
      </c>
      <c r="N151">
        <f t="shared" si="53"/>
        <v>27</v>
      </c>
      <c r="O151" s="14">
        <f t="shared" si="41"/>
        <v>27</v>
      </c>
      <c r="P151" s="13">
        <f t="shared" si="46"/>
        <v>0</v>
      </c>
      <c r="Q151">
        <f t="shared" si="54"/>
        <v>27</v>
      </c>
      <c r="R151" s="14">
        <f t="shared" si="55"/>
        <v>27</v>
      </c>
      <c r="S151" s="15"/>
      <c r="W151" s="14"/>
    </row>
    <row r="152" spans="1:23" x14ac:dyDescent="0.25">
      <c r="A152" s="16"/>
      <c r="B152" s="17" t="b">
        <f t="shared" si="48"/>
        <v>0</v>
      </c>
      <c r="C152" s="17" t="b">
        <f t="shared" si="40"/>
        <v>0</v>
      </c>
      <c r="D152" s="17">
        <f t="shared" si="42"/>
        <v>1</v>
      </c>
      <c r="E152" s="17" t="str">
        <f t="shared" si="47"/>
        <v>Section 10 - Spring Boot - Deployement</v>
      </c>
      <c r="F152" s="18" t="str">
        <f t="shared" si="43"/>
        <v/>
      </c>
      <c r="G152" s="13" t="str">
        <f t="shared" si="49"/>
        <v/>
      </c>
      <c r="H152">
        <f t="shared" si="50"/>
        <v>0</v>
      </c>
      <c r="I152">
        <f t="shared" si="51"/>
        <v>0</v>
      </c>
      <c r="J152" s="13">
        <f t="shared" si="52"/>
        <v>155</v>
      </c>
      <c r="K152">
        <f t="shared" si="44"/>
        <v>2</v>
      </c>
      <c r="L152">
        <f t="shared" si="45"/>
        <v>35</v>
      </c>
      <c r="M152" s="13">
        <f t="shared" si="53"/>
        <v>0</v>
      </c>
      <c r="N152">
        <f t="shared" si="53"/>
        <v>27</v>
      </c>
      <c r="O152" s="14">
        <f t="shared" si="41"/>
        <v>27</v>
      </c>
      <c r="P152" s="13">
        <f t="shared" si="46"/>
        <v>0</v>
      </c>
      <c r="Q152">
        <f t="shared" si="54"/>
        <v>27</v>
      </c>
      <c r="R152" s="14">
        <f t="shared" si="55"/>
        <v>27</v>
      </c>
      <c r="S152" s="15"/>
      <c r="W152" s="14"/>
    </row>
    <row r="153" spans="1:23" x14ac:dyDescent="0.25">
      <c r="A153" s="16"/>
      <c r="B153" s="17" t="b">
        <f t="shared" si="48"/>
        <v>0</v>
      </c>
      <c r="C153" s="17" t="b">
        <f t="shared" si="40"/>
        <v>0</v>
      </c>
      <c r="D153" s="17">
        <f t="shared" si="42"/>
        <v>1</v>
      </c>
      <c r="E153" s="17" t="str">
        <f t="shared" si="47"/>
        <v>Section 10 - Spring Boot - Deployement</v>
      </c>
      <c r="F153" s="18" t="str">
        <f t="shared" si="43"/>
        <v/>
      </c>
      <c r="G153" s="13" t="str">
        <f t="shared" si="49"/>
        <v/>
      </c>
      <c r="H153">
        <f t="shared" si="50"/>
        <v>0</v>
      </c>
      <c r="I153">
        <f t="shared" si="51"/>
        <v>0</v>
      </c>
      <c r="J153" s="13">
        <f t="shared" si="52"/>
        <v>155</v>
      </c>
      <c r="K153">
        <f t="shared" si="44"/>
        <v>2</v>
      </c>
      <c r="L153">
        <f t="shared" si="45"/>
        <v>35</v>
      </c>
      <c r="M153" s="13">
        <f t="shared" si="53"/>
        <v>0</v>
      </c>
      <c r="N153">
        <f t="shared" si="53"/>
        <v>27</v>
      </c>
      <c r="O153" s="14">
        <f t="shared" si="41"/>
        <v>27</v>
      </c>
      <c r="P153" s="13">
        <f t="shared" si="46"/>
        <v>0</v>
      </c>
      <c r="Q153">
        <f t="shared" si="54"/>
        <v>27</v>
      </c>
      <c r="R153" s="14">
        <f t="shared" si="55"/>
        <v>27</v>
      </c>
      <c r="S153" s="15"/>
      <c r="W153" s="14"/>
    </row>
    <row r="154" spans="1:23" x14ac:dyDescent="0.25">
      <c r="A154" s="16"/>
      <c r="B154" s="17" t="b">
        <f t="shared" si="48"/>
        <v>0</v>
      </c>
      <c r="C154" s="17" t="b">
        <f t="shared" si="40"/>
        <v>0</v>
      </c>
      <c r="D154" s="17">
        <f t="shared" si="42"/>
        <v>1</v>
      </c>
      <c r="E154" s="17" t="str">
        <f t="shared" si="47"/>
        <v>Section 10 - Spring Boot - Deployement</v>
      </c>
      <c r="F154" s="18" t="str">
        <f t="shared" si="43"/>
        <v/>
      </c>
      <c r="G154" s="13" t="str">
        <f t="shared" si="49"/>
        <v/>
      </c>
      <c r="H154">
        <f t="shared" si="50"/>
        <v>0</v>
      </c>
      <c r="I154">
        <f t="shared" si="51"/>
        <v>0</v>
      </c>
      <c r="J154" s="13">
        <f t="shared" si="52"/>
        <v>155</v>
      </c>
      <c r="K154">
        <f t="shared" si="44"/>
        <v>2</v>
      </c>
      <c r="L154">
        <f t="shared" si="45"/>
        <v>35</v>
      </c>
      <c r="M154" s="13">
        <f t="shared" si="53"/>
        <v>0</v>
      </c>
      <c r="N154">
        <f t="shared" si="53"/>
        <v>27</v>
      </c>
      <c r="O154" s="14">
        <f t="shared" si="41"/>
        <v>27</v>
      </c>
      <c r="P154" s="13">
        <f t="shared" si="46"/>
        <v>0</v>
      </c>
      <c r="Q154">
        <f t="shared" si="54"/>
        <v>27</v>
      </c>
      <c r="R154" s="14">
        <f t="shared" si="55"/>
        <v>27</v>
      </c>
      <c r="S154" s="15"/>
      <c r="W154" s="14"/>
    </row>
    <row r="155" spans="1:23" x14ac:dyDescent="0.25">
      <c r="A155" s="16"/>
      <c r="B155" s="17" t="b">
        <f t="shared" si="48"/>
        <v>0</v>
      </c>
      <c r="C155" s="17" t="b">
        <f t="shared" si="40"/>
        <v>0</v>
      </c>
      <c r="D155" s="17">
        <f t="shared" si="42"/>
        <v>1</v>
      </c>
      <c r="E155" s="17" t="str">
        <f t="shared" si="47"/>
        <v>Section 10 - Spring Boot - Deployement</v>
      </c>
      <c r="F155" s="18" t="str">
        <f t="shared" si="43"/>
        <v/>
      </c>
      <c r="G155" s="13" t="str">
        <f t="shared" si="49"/>
        <v/>
      </c>
      <c r="H155">
        <f t="shared" si="50"/>
        <v>0</v>
      </c>
      <c r="I155">
        <f t="shared" si="51"/>
        <v>0</v>
      </c>
      <c r="J155" s="13">
        <f t="shared" si="52"/>
        <v>155</v>
      </c>
      <c r="K155">
        <f t="shared" si="44"/>
        <v>2</v>
      </c>
      <c r="L155">
        <f t="shared" si="45"/>
        <v>35</v>
      </c>
      <c r="M155" s="13">
        <f t="shared" si="53"/>
        <v>0</v>
      </c>
      <c r="N155">
        <f t="shared" si="53"/>
        <v>27</v>
      </c>
      <c r="O155" s="14">
        <f t="shared" si="41"/>
        <v>27</v>
      </c>
      <c r="P155" s="13">
        <f t="shared" si="46"/>
        <v>0</v>
      </c>
      <c r="Q155">
        <f t="shared" si="54"/>
        <v>27</v>
      </c>
      <c r="R155" s="14">
        <f t="shared" si="55"/>
        <v>27</v>
      </c>
      <c r="S155" s="15"/>
      <c r="W155" s="14"/>
    </row>
    <row r="156" spans="1:23" x14ac:dyDescent="0.25">
      <c r="A156" s="16"/>
      <c r="B156" s="17" t="b">
        <f t="shared" si="48"/>
        <v>0</v>
      </c>
      <c r="C156" s="17" t="b">
        <f t="shared" si="40"/>
        <v>0</v>
      </c>
      <c r="D156" s="17">
        <f t="shared" si="42"/>
        <v>1</v>
      </c>
      <c r="E156" s="17" t="str">
        <f t="shared" si="47"/>
        <v>Section 10 - Spring Boot - Deployement</v>
      </c>
      <c r="F156" s="18" t="str">
        <f t="shared" si="43"/>
        <v/>
      </c>
      <c r="G156" s="13" t="str">
        <f t="shared" si="49"/>
        <v/>
      </c>
      <c r="H156">
        <f t="shared" si="50"/>
        <v>0</v>
      </c>
      <c r="I156">
        <f t="shared" si="51"/>
        <v>0</v>
      </c>
      <c r="J156" s="13">
        <f t="shared" si="52"/>
        <v>155</v>
      </c>
      <c r="K156">
        <f t="shared" si="44"/>
        <v>2</v>
      </c>
      <c r="L156">
        <f t="shared" si="45"/>
        <v>35</v>
      </c>
      <c r="M156" s="13">
        <f t="shared" si="53"/>
        <v>0</v>
      </c>
      <c r="N156">
        <f t="shared" si="53"/>
        <v>27</v>
      </c>
      <c r="O156" s="14">
        <f t="shared" si="41"/>
        <v>27</v>
      </c>
      <c r="P156" s="13">
        <f t="shared" si="46"/>
        <v>0</v>
      </c>
      <c r="Q156">
        <f t="shared" si="54"/>
        <v>27</v>
      </c>
      <c r="R156" s="14">
        <f t="shared" si="55"/>
        <v>27</v>
      </c>
      <c r="S156" s="15"/>
      <c r="W156" s="14"/>
    </row>
    <row r="157" spans="1:23" x14ac:dyDescent="0.25">
      <c r="A157" s="16"/>
      <c r="B157" s="17" t="b">
        <f t="shared" si="48"/>
        <v>0</v>
      </c>
      <c r="C157" s="17" t="b">
        <f t="shared" si="40"/>
        <v>0</v>
      </c>
      <c r="D157" s="17">
        <f t="shared" si="42"/>
        <v>1</v>
      </c>
      <c r="E157" s="17" t="str">
        <f t="shared" si="47"/>
        <v>Section 10 - Spring Boot - Deployement</v>
      </c>
      <c r="F157" s="18" t="str">
        <f t="shared" si="43"/>
        <v/>
      </c>
      <c r="G157" s="13" t="str">
        <f t="shared" si="49"/>
        <v/>
      </c>
      <c r="H157">
        <f t="shared" si="50"/>
        <v>0</v>
      </c>
      <c r="I157">
        <f t="shared" si="51"/>
        <v>0</v>
      </c>
      <c r="J157" s="13">
        <f t="shared" si="52"/>
        <v>155</v>
      </c>
      <c r="K157">
        <f t="shared" si="44"/>
        <v>2</v>
      </c>
      <c r="L157">
        <f t="shared" si="45"/>
        <v>35</v>
      </c>
      <c r="M157" s="13">
        <f t="shared" si="53"/>
        <v>0</v>
      </c>
      <c r="N157">
        <f t="shared" si="53"/>
        <v>27</v>
      </c>
      <c r="O157" s="14">
        <f t="shared" si="41"/>
        <v>27</v>
      </c>
      <c r="P157" s="13">
        <f t="shared" si="46"/>
        <v>0</v>
      </c>
      <c r="Q157">
        <f t="shared" si="54"/>
        <v>27</v>
      </c>
      <c r="R157" s="14">
        <f t="shared" si="55"/>
        <v>27</v>
      </c>
      <c r="S157" s="15"/>
      <c r="W157" s="14"/>
    </row>
    <row r="158" spans="1:23" x14ac:dyDescent="0.25">
      <c r="A158" s="16"/>
      <c r="B158" s="17" t="b">
        <f t="shared" si="48"/>
        <v>0</v>
      </c>
      <c r="C158" s="17" t="b">
        <f t="shared" si="40"/>
        <v>0</v>
      </c>
      <c r="D158" s="17">
        <f t="shared" si="42"/>
        <v>1</v>
      </c>
      <c r="E158" s="17" t="str">
        <f t="shared" si="47"/>
        <v>Section 10 - Spring Boot - Deployement</v>
      </c>
      <c r="F158" s="18" t="str">
        <f t="shared" si="43"/>
        <v/>
      </c>
      <c r="G158" s="13" t="str">
        <f t="shared" si="49"/>
        <v/>
      </c>
      <c r="H158">
        <f t="shared" si="50"/>
        <v>0</v>
      </c>
      <c r="I158">
        <f t="shared" si="51"/>
        <v>0</v>
      </c>
      <c r="J158" s="13">
        <f t="shared" si="52"/>
        <v>155</v>
      </c>
      <c r="K158">
        <f t="shared" si="44"/>
        <v>2</v>
      </c>
      <c r="L158">
        <f t="shared" si="45"/>
        <v>35</v>
      </c>
      <c r="M158" s="13">
        <f t="shared" si="53"/>
        <v>0</v>
      </c>
      <c r="N158">
        <f t="shared" si="53"/>
        <v>27</v>
      </c>
      <c r="O158" s="14">
        <f t="shared" si="41"/>
        <v>27</v>
      </c>
      <c r="P158" s="13">
        <f t="shared" si="46"/>
        <v>0</v>
      </c>
      <c r="Q158">
        <f t="shared" si="54"/>
        <v>27</v>
      </c>
      <c r="R158" s="14">
        <f t="shared" si="55"/>
        <v>27</v>
      </c>
      <c r="S158" s="15"/>
      <c r="W158" s="14"/>
    </row>
    <row r="159" spans="1:23" x14ac:dyDescent="0.25">
      <c r="A159" s="16"/>
      <c r="B159" s="17" t="b">
        <f t="shared" si="48"/>
        <v>0</v>
      </c>
      <c r="C159" s="17" t="b">
        <f t="shared" si="40"/>
        <v>0</v>
      </c>
      <c r="D159" s="17">
        <f t="shared" si="42"/>
        <v>1</v>
      </c>
      <c r="E159" s="17" t="str">
        <f t="shared" si="47"/>
        <v>Section 10 - Spring Boot - Deployement</v>
      </c>
      <c r="F159" s="18" t="str">
        <f t="shared" si="43"/>
        <v/>
      </c>
      <c r="G159" s="13" t="str">
        <f t="shared" si="49"/>
        <v/>
      </c>
      <c r="H159">
        <f t="shared" si="50"/>
        <v>0</v>
      </c>
      <c r="I159">
        <f t="shared" si="51"/>
        <v>0</v>
      </c>
      <c r="J159" s="13">
        <f t="shared" si="52"/>
        <v>155</v>
      </c>
      <c r="K159">
        <f t="shared" si="44"/>
        <v>2</v>
      </c>
      <c r="L159">
        <f t="shared" si="45"/>
        <v>35</v>
      </c>
      <c r="M159" s="13">
        <f t="shared" si="53"/>
        <v>0</v>
      </c>
      <c r="N159">
        <f t="shared" si="53"/>
        <v>27</v>
      </c>
      <c r="O159" s="14">
        <f t="shared" si="41"/>
        <v>27</v>
      </c>
      <c r="P159" s="13">
        <f t="shared" si="46"/>
        <v>0</v>
      </c>
      <c r="Q159">
        <f t="shared" si="54"/>
        <v>27</v>
      </c>
      <c r="R159" s="14">
        <f t="shared" si="55"/>
        <v>27</v>
      </c>
      <c r="S159" s="15"/>
      <c r="W159" s="14"/>
    </row>
    <row r="160" spans="1:23" x14ac:dyDescent="0.25">
      <c r="A160" s="16"/>
      <c r="B160" s="17" t="b">
        <f t="shared" si="48"/>
        <v>0</v>
      </c>
      <c r="C160" s="17" t="b">
        <f t="shared" si="40"/>
        <v>0</v>
      </c>
      <c r="D160" s="17">
        <f t="shared" si="42"/>
        <v>1</v>
      </c>
      <c r="E160" s="17" t="str">
        <f t="shared" si="47"/>
        <v>Section 10 - Spring Boot - Deployement</v>
      </c>
      <c r="F160" s="18" t="str">
        <f t="shared" si="43"/>
        <v/>
      </c>
      <c r="G160" s="13" t="str">
        <f t="shared" si="49"/>
        <v/>
      </c>
      <c r="H160">
        <f t="shared" si="50"/>
        <v>0</v>
      </c>
      <c r="I160">
        <f t="shared" si="51"/>
        <v>0</v>
      </c>
      <c r="J160" s="13">
        <f t="shared" si="52"/>
        <v>155</v>
      </c>
      <c r="K160">
        <f t="shared" si="44"/>
        <v>2</v>
      </c>
      <c r="L160">
        <f t="shared" si="45"/>
        <v>35</v>
      </c>
      <c r="M160" s="13">
        <f t="shared" si="53"/>
        <v>0</v>
      </c>
      <c r="N160">
        <f t="shared" si="53"/>
        <v>27</v>
      </c>
      <c r="O160" s="14">
        <f t="shared" si="41"/>
        <v>27</v>
      </c>
      <c r="P160" s="13">
        <f t="shared" si="46"/>
        <v>0</v>
      </c>
      <c r="Q160">
        <f t="shared" si="54"/>
        <v>27</v>
      </c>
      <c r="R160" s="14">
        <f t="shared" si="55"/>
        <v>27</v>
      </c>
      <c r="S160" s="15"/>
      <c r="W160" s="14"/>
    </row>
    <row r="161" spans="1:23" x14ac:dyDescent="0.25">
      <c r="A161" s="16"/>
      <c r="B161" s="17" t="b">
        <f t="shared" si="48"/>
        <v>0</v>
      </c>
      <c r="C161" s="17" t="b">
        <f t="shared" si="40"/>
        <v>0</v>
      </c>
      <c r="D161" s="17">
        <f t="shared" si="42"/>
        <v>1</v>
      </c>
      <c r="E161" s="17" t="str">
        <f t="shared" si="47"/>
        <v>Section 10 - Spring Boot - Deployement</v>
      </c>
      <c r="F161" s="18" t="str">
        <f t="shared" si="43"/>
        <v/>
      </c>
      <c r="G161" s="13" t="str">
        <f t="shared" si="49"/>
        <v/>
      </c>
      <c r="H161">
        <f t="shared" si="50"/>
        <v>0</v>
      </c>
      <c r="I161">
        <f t="shared" si="51"/>
        <v>0</v>
      </c>
      <c r="J161" s="13">
        <f t="shared" si="52"/>
        <v>155</v>
      </c>
      <c r="K161">
        <f t="shared" si="44"/>
        <v>2</v>
      </c>
      <c r="L161">
        <f t="shared" si="45"/>
        <v>35</v>
      </c>
      <c r="M161" s="13">
        <f t="shared" si="53"/>
        <v>0</v>
      </c>
      <c r="N161">
        <f t="shared" si="53"/>
        <v>27</v>
      </c>
      <c r="O161" s="14">
        <f t="shared" si="41"/>
        <v>27</v>
      </c>
      <c r="P161" s="13">
        <f t="shared" si="46"/>
        <v>0</v>
      </c>
      <c r="Q161">
        <f t="shared" si="54"/>
        <v>27</v>
      </c>
      <c r="R161" s="14">
        <f t="shared" si="55"/>
        <v>27</v>
      </c>
      <c r="S161" s="15"/>
      <c r="W161" s="14"/>
    </row>
    <row r="162" spans="1:23" x14ac:dyDescent="0.25">
      <c r="A162" s="16"/>
      <c r="B162" s="17" t="b">
        <f t="shared" si="48"/>
        <v>0</v>
      </c>
      <c r="C162" s="17" t="b">
        <f t="shared" si="40"/>
        <v>0</v>
      </c>
      <c r="D162" s="17">
        <f t="shared" si="42"/>
        <v>1</v>
      </c>
      <c r="E162" s="17" t="str">
        <f t="shared" si="47"/>
        <v>Section 10 - Spring Boot - Deployement</v>
      </c>
      <c r="F162" s="18" t="str">
        <f t="shared" si="43"/>
        <v/>
      </c>
      <c r="G162" s="13" t="str">
        <f t="shared" si="49"/>
        <v/>
      </c>
      <c r="H162">
        <f t="shared" si="50"/>
        <v>0</v>
      </c>
      <c r="I162">
        <f t="shared" si="51"/>
        <v>0</v>
      </c>
      <c r="J162" s="13">
        <f t="shared" si="52"/>
        <v>155</v>
      </c>
      <c r="K162">
        <f t="shared" si="44"/>
        <v>2</v>
      </c>
      <c r="L162">
        <f t="shared" si="45"/>
        <v>35</v>
      </c>
      <c r="M162" s="13">
        <f t="shared" si="53"/>
        <v>0</v>
      </c>
      <c r="N162">
        <f t="shared" si="53"/>
        <v>27</v>
      </c>
      <c r="O162" s="14">
        <f t="shared" si="41"/>
        <v>27</v>
      </c>
      <c r="P162" s="13">
        <f t="shared" si="46"/>
        <v>0</v>
      </c>
      <c r="Q162">
        <f t="shared" si="54"/>
        <v>27</v>
      </c>
      <c r="R162" s="14">
        <f t="shared" si="55"/>
        <v>27</v>
      </c>
      <c r="S162" s="15"/>
      <c r="W162" s="14"/>
    </row>
    <row r="163" spans="1:23" x14ac:dyDescent="0.25">
      <c r="A163" s="16"/>
      <c r="B163" s="17" t="b">
        <f t="shared" si="48"/>
        <v>0</v>
      </c>
      <c r="C163" s="17" t="b">
        <f t="shared" si="40"/>
        <v>0</v>
      </c>
      <c r="D163" s="17">
        <f t="shared" si="42"/>
        <v>1</v>
      </c>
      <c r="E163" s="17" t="str">
        <f t="shared" si="47"/>
        <v>Section 10 - Spring Boot - Deployement</v>
      </c>
      <c r="F163" s="18" t="str">
        <f t="shared" si="43"/>
        <v/>
      </c>
      <c r="G163" s="13" t="str">
        <f t="shared" si="49"/>
        <v/>
      </c>
      <c r="H163">
        <f t="shared" si="50"/>
        <v>0</v>
      </c>
      <c r="I163">
        <f t="shared" si="51"/>
        <v>0</v>
      </c>
      <c r="J163" s="13">
        <f t="shared" si="52"/>
        <v>155</v>
      </c>
      <c r="K163">
        <f t="shared" si="44"/>
        <v>2</v>
      </c>
      <c r="L163">
        <f t="shared" si="45"/>
        <v>35</v>
      </c>
      <c r="M163" s="13">
        <f t="shared" si="53"/>
        <v>0</v>
      </c>
      <c r="N163">
        <f t="shared" si="53"/>
        <v>27</v>
      </c>
      <c r="O163" s="14">
        <f t="shared" si="41"/>
        <v>27</v>
      </c>
      <c r="P163" s="13">
        <f t="shared" si="46"/>
        <v>0</v>
      </c>
      <c r="Q163">
        <f t="shared" si="54"/>
        <v>27</v>
      </c>
      <c r="R163" s="14">
        <f t="shared" si="55"/>
        <v>27</v>
      </c>
      <c r="S163" s="15"/>
      <c r="W163" s="14"/>
    </row>
    <row r="164" spans="1:23" x14ac:dyDescent="0.25">
      <c r="A164" s="16"/>
      <c r="B164" s="17" t="b">
        <f t="shared" si="48"/>
        <v>0</v>
      </c>
      <c r="C164" s="17" t="b">
        <f t="shared" si="40"/>
        <v>0</v>
      </c>
      <c r="D164" s="17">
        <f t="shared" si="42"/>
        <v>1</v>
      </c>
      <c r="E164" s="17" t="str">
        <f t="shared" si="47"/>
        <v>Section 10 - Spring Boot - Deployement</v>
      </c>
      <c r="F164" s="18" t="str">
        <f t="shared" si="43"/>
        <v/>
      </c>
      <c r="G164" s="13" t="str">
        <f t="shared" si="49"/>
        <v/>
      </c>
      <c r="H164">
        <f t="shared" si="50"/>
        <v>0</v>
      </c>
      <c r="I164">
        <f t="shared" si="51"/>
        <v>0</v>
      </c>
      <c r="J164" s="13">
        <f t="shared" si="52"/>
        <v>155</v>
      </c>
      <c r="K164">
        <f t="shared" si="44"/>
        <v>2</v>
      </c>
      <c r="L164">
        <f t="shared" si="45"/>
        <v>35</v>
      </c>
      <c r="M164" s="13">
        <f t="shared" si="53"/>
        <v>0</v>
      </c>
      <c r="N164">
        <f t="shared" si="53"/>
        <v>27</v>
      </c>
      <c r="O164" s="14">
        <f t="shared" si="41"/>
        <v>27</v>
      </c>
      <c r="P164" s="13">
        <f t="shared" si="46"/>
        <v>0</v>
      </c>
      <c r="Q164">
        <f t="shared" si="54"/>
        <v>27</v>
      </c>
      <c r="R164" s="14">
        <f t="shared" si="55"/>
        <v>27</v>
      </c>
      <c r="S164" s="15"/>
      <c r="W164" s="14"/>
    </row>
    <row r="165" spans="1:23" x14ac:dyDescent="0.25">
      <c r="A165" s="16"/>
      <c r="B165" s="17" t="b">
        <f t="shared" si="48"/>
        <v>0</v>
      </c>
      <c r="C165" s="17" t="b">
        <f t="shared" si="40"/>
        <v>0</v>
      </c>
      <c r="D165" s="17">
        <f t="shared" si="42"/>
        <v>1</v>
      </c>
      <c r="E165" s="17" t="str">
        <f t="shared" si="47"/>
        <v>Section 10 - Spring Boot - Deployement</v>
      </c>
      <c r="F165" s="18" t="str">
        <f t="shared" si="43"/>
        <v/>
      </c>
      <c r="G165" s="13" t="str">
        <f t="shared" si="49"/>
        <v/>
      </c>
      <c r="H165">
        <f t="shared" si="50"/>
        <v>0</v>
      </c>
      <c r="I165">
        <f t="shared" si="51"/>
        <v>0</v>
      </c>
      <c r="J165" s="13">
        <f t="shared" si="52"/>
        <v>155</v>
      </c>
      <c r="K165">
        <f t="shared" si="44"/>
        <v>2</v>
      </c>
      <c r="L165">
        <f t="shared" si="45"/>
        <v>35</v>
      </c>
      <c r="M165" s="13">
        <f t="shared" si="53"/>
        <v>0</v>
      </c>
      <c r="N165">
        <f t="shared" si="53"/>
        <v>27</v>
      </c>
      <c r="O165" s="14">
        <f t="shared" si="41"/>
        <v>27</v>
      </c>
      <c r="P165" s="13">
        <f t="shared" si="46"/>
        <v>0</v>
      </c>
      <c r="Q165">
        <f t="shared" si="54"/>
        <v>27</v>
      </c>
      <c r="R165" s="14">
        <f t="shared" si="55"/>
        <v>27</v>
      </c>
      <c r="S165" s="15"/>
      <c r="W165" s="14"/>
    </row>
    <row r="166" spans="1:23" x14ac:dyDescent="0.25">
      <c r="A166" s="16"/>
      <c r="B166" s="17" t="b">
        <f t="shared" si="48"/>
        <v>0</v>
      </c>
      <c r="C166" s="17" t="b">
        <f t="shared" si="40"/>
        <v>0</v>
      </c>
      <c r="D166" s="17">
        <f t="shared" si="42"/>
        <v>1</v>
      </c>
      <c r="E166" s="17" t="str">
        <f t="shared" si="47"/>
        <v>Section 10 - Spring Boot - Deployement</v>
      </c>
      <c r="F166" s="18" t="str">
        <f t="shared" si="43"/>
        <v/>
      </c>
      <c r="G166" s="13" t="str">
        <f t="shared" si="49"/>
        <v/>
      </c>
      <c r="H166">
        <f t="shared" si="50"/>
        <v>0</v>
      </c>
      <c r="I166">
        <f t="shared" si="51"/>
        <v>0</v>
      </c>
      <c r="J166" s="13">
        <f t="shared" si="52"/>
        <v>155</v>
      </c>
      <c r="K166">
        <f t="shared" si="44"/>
        <v>2</v>
      </c>
      <c r="L166">
        <f t="shared" si="45"/>
        <v>35</v>
      </c>
      <c r="M166" s="13">
        <f t="shared" si="53"/>
        <v>0</v>
      </c>
      <c r="N166">
        <f t="shared" si="53"/>
        <v>27</v>
      </c>
      <c r="O166" s="14">
        <f t="shared" si="41"/>
        <v>27</v>
      </c>
      <c r="P166" s="13">
        <f t="shared" si="46"/>
        <v>0</v>
      </c>
      <c r="Q166">
        <f t="shared" si="54"/>
        <v>27</v>
      </c>
      <c r="R166" s="14">
        <f t="shared" si="55"/>
        <v>27</v>
      </c>
      <c r="S166" s="15"/>
      <c r="W166" s="14"/>
    </row>
    <row r="167" spans="1:23" x14ac:dyDescent="0.25">
      <c r="A167" s="16"/>
      <c r="B167" s="17" t="b">
        <f t="shared" si="48"/>
        <v>0</v>
      </c>
      <c r="C167" s="17" t="b">
        <f t="shared" si="40"/>
        <v>0</v>
      </c>
      <c r="D167" s="17">
        <f t="shared" si="42"/>
        <v>1</v>
      </c>
      <c r="E167" s="17" t="str">
        <f t="shared" si="47"/>
        <v>Section 10 - Spring Boot - Deployement</v>
      </c>
      <c r="F167" s="18" t="str">
        <f t="shared" si="43"/>
        <v/>
      </c>
      <c r="G167" s="13" t="str">
        <f t="shared" si="49"/>
        <v/>
      </c>
      <c r="H167">
        <f t="shared" si="50"/>
        <v>0</v>
      </c>
      <c r="I167">
        <f t="shared" si="51"/>
        <v>0</v>
      </c>
      <c r="J167" s="13">
        <f t="shared" si="52"/>
        <v>155</v>
      </c>
      <c r="K167">
        <f t="shared" si="44"/>
        <v>2</v>
      </c>
      <c r="L167">
        <f t="shared" si="45"/>
        <v>35</v>
      </c>
      <c r="M167" s="13">
        <f t="shared" si="53"/>
        <v>0</v>
      </c>
      <c r="N167">
        <f t="shared" si="53"/>
        <v>27</v>
      </c>
      <c r="O167" s="14">
        <f t="shared" si="41"/>
        <v>27</v>
      </c>
      <c r="P167" s="13">
        <f t="shared" si="46"/>
        <v>0</v>
      </c>
      <c r="Q167">
        <f t="shared" si="54"/>
        <v>27</v>
      </c>
      <c r="R167" s="14">
        <f t="shared" si="55"/>
        <v>27</v>
      </c>
      <c r="S167" s="15"/>
      <c r="W167" s="14"/>
    </row>
    <row r="168" spans="1:23" x14ac:dyDescent="0.25">
      <c r="A168" s="16"/>
      <c r="B168" s="17" t="b">
        <f t="shared" si="48"/>
        <v>0</v>
      </c>
      <c r="C168" s="17" t="b">
        <f t="shared" si="40"/>
        <v>0</v>
      </c>
      <c r="D168" s="17">
        <f t="shared" si="42"/>
        <v>1</v>
      </c>
      <c r="E168" s="17" t="str">
        <f t="shared" si="47"/>
        <v>Section 10 - Spring Boot - Deployement</v>
      </c>
      <c r="F168" s="18" t="str">
        <f t="shared" si="43"/>
        <v/>
      </c>
      <c r="G168" s="13" t="str">
        <f t="shared" si="49"/>
        <v/>
      </c>
      <c r="H168">
        <f t="shared" si="50"/>
        <v>0</v>
      </c>
      <c r="I168">
        <f t="shared" si="51"/>
        <v>0</v>
      </c>
      <c r="J168" s="13">
        <f t="shared" si="52"/>
        <v>155</v>
      </c>
      <c r="K168">
        <f t="shared" si="44"/>
        <v>2</v>
      </c>
      <c r="L168">
        <f t="shared" si="45"/>
        <v>35</v>
      </c>
      <c r="M168" s="13">
        <f t="shared" si="53"/>
        <v>0</v>
      </c>
      <c r="N168">
        <f t="shared" si="53"/>
        <v>27</v>
      </c>
      <c r="O168" s="14">
        <f t="shared" si="41"/>
        <v>27</v>
      </c>
      <c r="P168" s="13">
        <f t="shared" si="46"/>
        <v>0</v>
      </c>
      <c r="Q168">
        <f t="shared" si="54"/>
        <v>27</v>
      </c>
      <c r="R168" s="14">
        <f t="shared" si="55"/>
        <v>27</v>
      </c>
      <c r="S168" s="15"/>
      <c r="W168" s="14"/>
    </row>
    <row r="169" spans="1:23" x14ac:dyDescent="0.25">
      <c r="A169" s="16"/>
      <c r="B169" s="17" t="b">
        <f t="shared" si="48"/>
        <v>0</v>
      </c>
      <c r="C169" s="17" t="b">
        <f t="shared" si="40"/>
        <v>0</v>
      </c>
      <c r="D169" s="17">
        <f t="shared" si="42"/>
        <v>1</v>
      </c>
      <c r="E169" s="17" t="str">
        <f t="shared" si="47"/>
        <v>Section 10 - Spring Boot - Deployement</v>
      </c>
      <c r="F169" s="18" t="str">
        <f t="shared" si="43"/>
        <v/>
      </c>
      <c r="G169" s="13" t="str">
        <f t="shared" si="49"/>
        <v/>
      </c>
      <c r="H169">
        <f t="shared" si="50"/>
        <v>0</v>
      </c>
      <c r="I169">
        <f t="shared" si="51"/>
        <v>0</v>
      </c>
      <c r="J169" s="13">
        <f t="shared" si="52"/>
        <v>155</v>
      </c>
      <c r="K169">
        <f t="shared" si="44"/>
        <v>2</v>
      </c>
      <c r="L169">
        <f t="shared" si="45"/>
        <v>35</v>
      </c>
      <c r="M169" s="13">
        <f t="shared" si="53"/>
        <v>0</v>
      </c>
      <c r="N169">
        <f t="shared" si="53"/>
        <v>27</v>
      </c>
      <c r="O169" s="14">
        <f t="shared" si="41"/>
        <v>27</v>
      </c>
      <c r="P169" s="13">
        <f t="shared" si="46"/>
        <v>0</v>
      </c>
      <c r="Q169">
        <f t="shared" si="54"/>
        <v>27</v>
      </c>
      <c r="R169" s="14">
        <f t="shared" si="55"/>
        <v>27</v>
      </c>
      <c r="S169" s="15"/>
      <c r="W169" s="14"/>
    </row>
    <row r="170" spans="1:23" x14ac:dyDescent="0.25">
      <c r="A170" s="16"/>
      <c r="B170" s="17" t="b">
        <f t="shared" si="48"/>
        <v>0</v>
      </c>
      <c r="C170" s="17" t="b">
        <f t="shared" si="40"/>
        <v>0</v>
      </c>
      <c r="D170" s="17">
        <f t="shared" si="42"/>
        <v>1</v>
      </c>
      <c r="E170" s="17" t="str">
        <f t="shared" si="47"/>
        <v>Section 10 - Spring Boot - Deployement</v>
      </c>
      <c r="F170" s="18" t="str">
        <f t="shared" si="43"/>
        <v/>
      </c>
      <c r="G170" s="13" t="str">
        <f t="shared" si="49"/>
        <v/>
      </c>
      <c r="H170">
        <f t="shared" si="50"/>
        <v>0</v>
      </c>
      <c r="I170">
        <f t="shared" si="51"/>
        <v>0</v>
      </c>
      <c r="J170" s="13">
        <f t="shared" si="52"/>
        <v>155</v>
      </c>
      <c r="K170">
        <f t="shared" si="44"/>
        <v>2</v>
      </c>
      <c r="L170">
        <f t="shared" si="45"/>
        <v>35</v>
      </c>
      <c r="M170" s="13">
        <f t="shared" si="53"/>
        <v>0</v>
      </c>
      <c r="N170">
        <f t="shared" si="53"/>
        <v>27</v>
      </c>
      <c r="O170" s="14">
        <f t="shared" si="41"/>
        <v>27</v>
      </c>
      <c r="P170" s="13">
        <f t="shared" si="46"/>
        <v>0</v>
      </c>
      <c r="Q170">
        <f t="shared" si="54"/>
        <v>27</v>
      </c>
      <c r="R170" s="14">
        <f t="shared" si="55"/>
        <v>27</v>
      </c>
      <c r="S170" s="15"/>
      <c r="W170" s="14"/>
    </row>
    <row r="171" spans="1:23" x14ac:dyDescent="0.25">
      <c r="A171" s="16"/>
      <c r="B171" s="17" t="b">
        <f t="shared" si="48"/>
        <v>0</v>
      </c>
      <c r="C171" s="17" t="b">
        <f t="shared" si="40"/>
        <v>0</v>
      </c>
      <c r="D171" s="17">
        <f t="shared" si="42"/>
        <v>1</v>
      </c>
      <c r="E171" s="17" t="str">
        <f t="shared" si="47"/>
        <v>Section 10 - Spring Boot - Deployement</v>
      </c>
      <c r="F171" s="18" t="str">
        <f t="shared" si="43"/>
        <v/>
      </c>
      <c r="G171" s="13" t="str">
        <f t="shared" si="49"/>
        <v/>
      </c>
      <c r="H171">
        <f t="shared" si="50"/>
        <v>0</v>
      </c>
      <c r="I171">
        <f t="shared" si="51"/>
        <v>0</v>
      </c>
      <c r="J171" s="13">
        <f t="shared" si="52"/>
        <v>155</v>
      </c>
      <c r="K171">
        <f t="shared" si="44"/>
        <v>2</v>
      </c>
      <c r="L171">
        <f t="shared" si="45"/>
        <v>35</v>
      </c>
      <c r="M171" s="13">
        <f t="shared" si="53"/>
        <v>0</v>
      </c>
      <c r="N171">
        <f t="shared" si="53"/>
        <v>27</v>
      </c>
      <c r="O171" s="14">
        <f t="shared" si="41"/>
        <v>27</v>
      </c>
      <c r="P171" s="13">
        <f t="shared" si="46"/>
        <v>0</v>
      </c>
      <c r="Q171">
        <f t="shared" si="54"/>
        <v>27</v>
      </c>
      <c r="R171" s="14">
        <f t="shared" si="55"/>
        <v>27</v>
      </c>
      <c r="S171" s="15"/>
      <c r="W171" s="14"/>
    </row>
    <row r="172" spans="1:23" x14ac:dyDescent="0.25">
      <c r="A172" s="16"/>
      <c r="B172" s="17" t="b">
        <f t="shared" si="48"/>
        <v>0</v>
      </c>
      <c r="C172" s="17" t="b">
        <f t="shared" si="40"/>
        <v>0</v>
      </c>
      <c r="D172" s="17">
        <f t="shared" si="42"/>
        <v>1</v>
      </c>
      <c r="E172" s="17" t="str">
        <f t="shared" si="47"/>
        <v>Section 10 - Spring Boot - Deployement</v>
      </c>
      <c r="F172" s="18" t="str">
        <f t="shared" si="43"/>
        <v/>
      </c>
      <c r="G172" s="13" t="str">
        <f t="shared" si="49"/>
        <v/>
      </c>
      <c r="H172">
        <f t="shared" si="50"/>
        <v>0</v>
      </c>
      <c r="I172">
        <f t="shared" si="51"/>
        <v>0</v>
      </c>
      <c r="J172" s="13">
        <f t="shared" si="52"/>
        <v>155</v>
      </c>
      <c r="K172">
        <f t="shared" si="44"/>
        <v>2</v>
      </c>
      <c r="L172">
        <f t="shared" si="45"/>
        <v>35</v>
      </c>
      <c r="M172" s="13">
        <f t="shared" si="53"/>
        <v>0</v>
      </c>
      <c r="N172">
        <f t="shared" si="53"/>
        <v>27</v>
      </c>
      <c r="O172" s="14">
        <f t="shared" si="41"/>
        <v>27</v>
      </c>
      <c r="P172" s="13">
        <f t="shared" si="46"/>
        <v>0</v>
      </c>
      <c r="Q172">
        <f t="shared" si="54"/>
        <v>27</v>
      </c>
      <c r="R172" s="14">
        <f t="shared" si="55"/>
        <v>27</v>
      </c>
      <c r="S172" s="15"/>
      <c r="W172" s="14"/>
    </row>
    <row r="173" spans="1:23" x14ac:dyDescent="0.25">
      <c r="A173" s="16"/>
      <c r="B173" s="17" t="b">
        <f t="shared" si="48"/>
        <v>0</v>
      </c>
      <c r="C173" s="17" t="b">
        <f t="shared" si="40"/>
        <v>0</v>
      </c>
      <c r="D173" s="17">
        <f t="shared" si="42"/>
        <v>1</v>
      </c>
      <c r="E173" s="17" t="str">
        <f t="shared" si="47"/>
        <v>Section 10 - Spring Boot - Deployement</v>
      </c>
      <c r="F173" s="18" t="str">
        <f t="shared" si="43"/>
        <v/>
      </c>
      <c r="G173" s="13" t="str">
        <f t="shared" si="49"/>
        <v/>
      </c>
      <c r="H173">
        <f t="shared" si="50"/>
        <v>0</v>
      </c>
      <c r="I173">
        <f t="shared" si="51"/>
        <v>0</v>
      </c>
      <c r="J173" s="13">
        <f t="shared" si="52"/>
        <v>155</v>
      </c>
      <c r="K173">
        <f t="shared" si="44"/>
        <v>2</v>
      </c>
      <c r="L173">
        <f t="shared" si="45"/>
        <v>35</v>
      </c>
      <c r="M173" s="13">
        <f t="shared" si="53"/>
        <v>0</v>
      </c>
      <c r="N173">
        <f t="shared" si="53"/>
        <v>27</v>
      </c>
      <c r="O173" s="14">
        <f t="shared" si="41"/>
        <v>27</v>
      </c>
      <c r="P173" s="13">
        <f t="shared" si="46"/>
        <v>0</v>
      </c>
      <c r="Q173">
        <f t="shared" si="54"/>
        <v>27</v>
      </c>
      <c r="R173" s="14">
        <f t="shared" si="55"/>
        <v>27</v>
      </c>
      <c r="S173" s="15"/>
      <c r="W173" s="14"/>
    </row>
    <row r="174" spans="1:23" x14ac:dyDescent="0.25">
      <c r="A174" s="16"/>
      <c r="B174" s="17" t="b">
        <f t="shared" si="48"/>
        <v>0</v>
      </c>
      <c r="C174" s="17" t="b">
        <f t="shared" si="40"/>
        <v>0</v>
      </c>
      <c r="D174" s="17">
        <f t="shared" si="42"/>
        <v>1</v>
      </c>
      <c r="E174" s="17" t="str">
        <f t="shared" si="47"/>
        <v>Section 10 - Spring Boot - Deployement</v>
      </c>
      <c r="F174" s="18" t="str">
        <f t="shared" si="43"/>
        <v/>
      </c>
      <c r="G174" s="13" t="str">
        <f t="shared" si="49"/>
        <v/>
      </c>
      <c r="H174">
        <f t="shared" si="50"/>
        <v>0</v>
      </c>
      <c r="I174">
        <f t="shared" si="51"/>
        <v>0</v>
      </c>
      <c r="J174" s="13">
        <f t="shared" si="52"/>
        <v>155</v>
      </c>
      <c r="K174">
        <f t="shared" si="44"/>
        <v>2</v>
      </c>
      <c r="L174">
        <f t="shared" si="45"/>
        <v>35</v>
      </c>
      <c r="M174" s="13">
        <f t="shared" si="53"/>
        <v>0</v>
      </c>
      <c r="N174">
        <f t="shared" si="53"/>
        <v>27</v>
      </c>
      <c r="O174" s="14">
        <f t="shared" si="41"/>
        <v>27</v>
      </c>
      <c r="P174" s="13">
        <f t="shared" si="46"/>
        <v>0</v>
      </c>
      <c r="Q174">
        <f t="shared" si="54"/>
        <v>27</v>
      </c>
      <c r="R174" s="14">
        <f t="shared" si="55"/>
        <v>27</v>
      </c>
      <c r="S174" s="15"/>
      <c r="W174" s="14"/>
    </row>
    <row r="175" spans="1:23" x14ac:dyDescent="0.25">
      <c r="A175" s="16"/>
      <c r="B175" s="17" t="b">
        <f t="shared" si="48"/>
        <v>0</v>
      </c>
      <c r="C175" s="17" t="b">
        <f t="shared" si="40"/>
        <v>0</v>
      </c>
      <c r="D175" s="17">
        <f t="shared" si="42"/>
        <v>1</v>
      </c>
      <c r="E175" s="17" t="str">
        <f t="shared" si="47"/>
        <v>Section 10 - Spring Boot - Deployement</v>
      </c>
      <c r="F175" s="18" t="str">
        <f t="shared" si="43"/>
        <v/>
      </c>
      <c r="G175" s="13" t="str">
        <f t="shared" si="49"/>
        <v/>
      </c>
      <c r="H175">
        <f t="shared" si="50"/>
        <v>0</v>
      </c>
      <c r="I175">
        <f t="shared" si="51"/>
        <v>0</v>
      </c>
      <c r="J175" s="13">
        <f t="shared" si="52"/>
        <v>155</v>
      </c>
      <c r="K175">
        <f t="shared" si="44"/>
        <v>2</v>
      </c>
      <c r="L175">
        <f t="shared" si="45"/>
        <v>35</v>
      </c>
      <c r="M175" s="13">
        <f t="shared" si="53"/>
        <v>0</v>
      </c>
      <c r="N175">
        <f t="shared" si="53"/>
        <v>27</v>
      </c>
      <c r="O175" s="14">
        <f t="shared" si="41"/>
        <v>27</v>
      </c>
      <c r="P175" s="13">
        <f t="shared" si="46"/>
        <v>0</v>
      </c>
      <c r="Q175">
        <f t="shared" si="54"/>
        <v>27</v>
      </c>
      <c r="R175" s="14">
        <f t="shared" si="55"/>
        <v>27</v>
      </c>
      <c r="S175" s="15"/>
      <c r="W175" s="14"/>
    </row>
    <row r="176" spans="1:23" x14ac:dyDescent="0.25">
      <c r="A176" s="16"/>
      <c r="B176" s="17" t="b">
        <f t="shared" si="48"/>
        <v>0</v>
      </c>
      <c r="C176" s="17" t="b">
        <f t="shared" si="40"/>
        <v>0</v>
      </c>
      <c r="D176" s="17">
        <f t="shared" si="42"/>
        <v>1</v>
      </c>
      <c r="E176" s="17" t="str">
        <f t="shared" si="47"/>
        <v>Section 10 - Spring Boot - Deployement</v>
      </c>
      <c r="F176" s="18" t="str">
        <f t="shared" si="43"/>
        <v/>
      </c>
      <c r="G176" s="13" t="str">
        <f t="shared" si="49"/>
        <v/>
      </c>
      <c r="H176">
        <f t="shared" si="50"/>
        <v>0</v>
      </c>
      <c r="I176">
        <f t="shared" si="51"/>
        <v>0</v>
      </c>
      <c r="J176" s="13">
        <f t="shared" si="52"/>
        <v>155</v>
      </c>
      <c r="K176">
        <f t="shared" si="44"/>
        <v>2</v>
      </c>
      <c r="L176">
        <f t="shared" si="45"/>
        <v>35</v>
      </c>
      <c r="M176" s="13">
        <f t="shared" si="53"/>
        <v>0</v>
      </c>
      <c r="N176">
        <f t="shared" si="53"/>
        <v>27</v>
      </c>
      <c r="O176" s="14">
        <f t="shared" si="41"/>
        <v>27</v>
      </c>
      <c r="P176" s="13">
        <f t="shared" si="46"/>
        <v>0</v>
      </c>
      <c r="Q176">
        <f t="shared" si="54"/>
        <v>27</v>
      </c>
      <c r="R176" s="14">
        <f t="shared" si="55"/>
        <v>27</v>
      </c>
      <c r="S176" s="15"/>
      <c r="W176" s="14"/>
    </row>
    <row r="177" spans="1:23" x14ac:dyDescent="0.25">
      <c r="A177" s="16"/>
      <c r="B177" s="17" t="b">
        <f t="shared" si="48"/>
        <v>0</v>
      </c>
      <c r="C177" s="17" t="b">
        <f t="shared" si="40"/>
        <v>0</v>
      </c>
      <c r="D177" s="17">
        <f t="shared" si="42"/>
        <v>1</v>
      </c>
      <c r="E177" s="17" t="str">
        <f t="shared" si="47"/>
        <v>Section 10 - Spring Boot - Deployement</v>
      </c>
      <c r="F177" s="18" t="str">
        <f t="shared" si="43"/>
        <v/>
      </c>
      <c r="G177" s="13" t="str">
        <f t="shared" si="49"/>
        <v/>
      </c>
      <c r="H177">
        <f t="shared" si="50"/>
        <v>0</v>
      </c>
      <c r="I177">
        <f t="shared" si="51"/>
        <v>0</v>
      </c>
      <c r="J177" s="13">
        <f t="shared" si="52"/>
        <v>155</v>
      </c>
      <c r="K177">
        <f t="shared" si="44"/>
        <v>2</v>
      </c>
      <c r="L177">
        <f t="shared" si="45"/>
        <v>35</v>
      </c>
      <c r="M177" s="13">
        <f t="shared" si="53"/>
        <v>0</v>
      </c>
      <c r="N177">
        <f t="shared" si="53"/>
        <v>27</v>
      </c>
      <c r="O177" s="14">
        <f t="shared" si="41"/>
        <v>27</v>
      </c>
      <c r="P177" s="13">
        <f t="shared" si="46"/>
        <v>0</v>
      </c>
      <c r="Q177">
        <f t="shared" si="54"/>
        <v>27</v>
      </c>
      <c r="R177" s="14">
        <f t="shared" si="55"/>
        <v>27</v>
      </c>
      <c r="S177" s="15"/>
      <c r="W177" s="14"/>
    </row>
    <row r="178" spans="1:23" x14ac:dyDescent="0.25">
      <c r="A178" s="16"/>
      <c r="B178" s="17" t="b">
        <f t="shared" si="48"/>
        <v>0</v>
      </c>
      <c r="C178" s="17" t="b">
        <f t="shared" si="40"/>
        <v>0</v>
      </c>
      <c r="D178" s="17">
        <f t="shared" si="42"/>
        <v>1</v>
      </c>
      <c r="E178" s="17" t="str">
        <f t="shared" si="47"/>
        <v>Section 10 - Spring Boot - Deployement</v>
      </c>
      <c r="F178" s="18" t="str">
        <f t="shared" si="43"/>
        <v/>
      </c>
      <c r="G178" s="13" t="str">
        <f t="shared" si="49"/>
        <v/>
      </c>
      <c r="H178">
        <f t="shared" si="50"/>
        <v>0</v>
      </c>
      <c r="I178">
        <f t="shared" si="51"/>
        <v>0</v>
      </c>
      <c r="J178" s="13">
        <f t="shared" si="52"/>
        <v>155</v>
      </c>
      <c r="K178">
        <f t="shared" si="44"/>
        <v>2</v>
      </c>
      <c r="L178">
        <f t="shared" si="45"/>
        <v>35</v>
      </c>
      <c r="M178" s="13">
        <f t="shared" si="53"/>
        <v>0</v>
      </c>
      <c r="N178">
        <f t="shared" si="53"/>
        <v>27</v>
      </c>
      <c r="O178" s="14">
        <f t="shared" si="41"/>
        <v>27</v>
      </c>
      <c r="P178" s="13">
        <f t="shared" si="46"/>
        <v>0</v>
      </c>
      <c r="Q178">
        <f t="shared" si="54"/>
        <v>27</v>
      </c>
      <c r="R178" s="14">
        <f t="shared" si="55"/>
        <v>27</v>
      </c>
      <c r="S178" s="15"/>
      <c r="W178" s="14"/>
    </row>
    <row r="179" spans="1:23" x14ac:dyDescent="0.25">
      <c r="A179" s="16"/>
      <c r="B179" s="17" t="b">
        <f t="shared" si="48"/>
        <v>0</v>
      </c>
      <c r="C179" s="17" t="b">
        <f t="shared" si="40"/>
        <v>0</v>
      </c>
      <c r="D179" s="17">
        <f t="shared" si="42"/>
        <v>1</v>
      </c>
      <c r="E179" s="17" t="str">
        <f t="shared" si="47"/>
        <v>Section 10 - Spring Boot - Deployement</v>
      </c>
      <c r="F179" s="18" t="str">
        <f t="shared" si="43"/>
        <v/>
      </c>
      <c r="G179" s="13" t="str">
        <f t="shared" si="49"/>
        <v/>
      </c>
      <c r="H179">
        <f t="shared" si="50"/>
        <v>0</v>
      </c>
      <c r="I179">
        <f t="shared" si="51"/>
        <v>0</v>
      </c>
      <c r="J179" s="13">
        <f t="shared" si="52"/>
        <v>155</v>
      </c>
      <c r="K179">
        <f t="shared" si="44"/>
        <v>2</v>
      </c>
      <c r="L179">
        <f t="shared" si="45"/>
        <v>35</v>
      </c>
      <c r="M179" s="13">
        <f t="shared" si="53"/>
        <v>0</v>
      </c>
      <c r="N179">
        <f t="shared" si="53"/>
        <v>27</v>
      </c>
      <c r="O179" s="14">
        <f t="shared" si="41"/>
        <v>27</v>
      </c>
      <c r="P179" s="13">
        <f t="shared" si="46"/>
        <v>0</v>
      </c>
      <c r="Q179">
        <f t="shared" si="54"/>
        <v>27</v>
      </c>
      <c r="R179" s="14">
        <f t="shared" si="55"/>
        <v>27</v>
      </c>
      <c r="S179" s="15"/>
      <c r="W179" s="14"/>
    </row>
    <row r="180" spans="1:23" x14ac:dyDescent="0.25">
      <c r="A180" s="16"/>
      <c r="B180" s="17" t="b">
        <f t="shared" si="48"/>
        <v>0</v>
      </c>
      <c r="C180" s="17" t="b">
        <f t="shared" si="40"/>
        <v>0</v>
      </c>
      <c r="D180" s="17">
        <f t="shared" si="42"/>
        <v>1</v>
      </c>
      <c r="E180" s="17" t="str">
        <f t="shared" si="47"/>
        <v>Section 10 - Spring Boot - Deployement</v>
      </c>
      <c r="F180" s="18" t="str">
        <f t="shared" si="43"/>
        <v/>
      </c>
      <c r="G180" s="13" t="str">
        <f t="shared" si="49"/>
        <v/>
      </c>
      <c r="H180">
        <f t="shared" si="50"/>
        <v>0</v>
      </c>
      <c r="I180">
        <f t="shared" si="51"/>
        <v>0</v>
      </c>
      <c r="J180" s="13">
        <f t="shared" si="52"/>
        <v>155</v>
      </c>
      <c r="K180">
        <f t="shared" si="44"/>
        <v>2</v>
      </c>
      <c r="L180">
        <f t="shared" si="45"/>
        <v>35</v>
      </c>
      <c r="M180" s="13">
        <f t="shared" si="53"/>
        <v>0</v>
      </c>
      <c r="N180">
        <f t="shared" si="53"/>
        <v>27</v>
      </c>
      <c r="O180" s="14">
        <f t="shared" si="41"/>
        <v>27</v>
      </c>
      <c r="P180" s="13">
        <f t="shared" si="46"/>
        <v>0</v>
      </c>
      <c r="Q180">
        <f t="shared" si="54"/>
        <v>27</v>
      </c>
      <c r="R180" s="14">
        <f t="shared" si="55"/>
        <v>27</v>
      </c>
      <c r="S180" s="15"/>
      <c r="W180" s="14"/>
    </row>
    <row r="181" spans="1:23" x14ac:dyDescent="0.25">
      <c r="A181" s="16"/>
      <c r="B181" s="17" t="b">
        <f t="shared" si="48"/>
        <v>0</v>
      </c>
      <c r="C181" s="17" t="b">
        <f t="shared" si="40"/>
        <v>0</v>
      </c>
      <c r="D181" s="17">
        <f t="shared" si="42"/>
        <v>1</v>
      </c>
      <c r="E181" s="17" t="str">
        <f t="shared" si="47"/>
        <v>Section 10 - Spring Boot - Deployement</v>
      </c>
      <c r="F181" s="18" t="str">
        <f t="shared" si="43"/>
        <v/>
      </c>
      <c r="G181" s="13" t="str">
        <f t="shared" si="49"/>
        <v/>
      </c>
      <c r="H181">
        <f t="shared" si="50"/>
        <v>0</v>
      </c>
      <c r="I181">
        <f t="shared" si="51"/>
        <v>0</v>
      </c>
      <c r="J181" s="13">
        <f t="shared" si="52"/>
        <v>155</v>
      </c>
      <c r="K181">
        <f t="shared" si="44"/>
        <v>2</v>
      </c>
      <c r="L181">
        <f t="shared" si="45"/>
        <v>35</v>
      </c>
      <c r="M181" s="13">
        <f t="shared" si="53"/>
        <v>0</v>
      </c>
      <c r="N181">
        <f t="shared" si="53"/>
        <v>27</v>
      </c>
      <c r="O181" s="14">
        <f t="shared" si="41"/>
        <v>27</v>
      </c>
      <c r="P181" s="13">
        <f t="shared" si="46"/>
        <v>0</v>
      </c>
      <c r="Q181">
        <f t="shared" si="54"/>
        <v>27</v>
      </c>
      <c r="R181" s="14">
        <f t="shared" si="55"/>
        <v>27</v>
      </c>
      <c r="S181" s="15"/>
      <c r="W181" s="14"/>
    </row>
    <row r="182" spans="1:23" x14ac:dyDescent="0.25">
      <c r="A182" s="16"/>
      <c r="B182" s="17" t="b">
        <f t="shared" si="48"/>
        <v>0</v>
      </c>
      <c r="C182" s="17" t="b">
        <f t="shared" si="40"/>
        <v>0</v>
      </c>
      <c r="D182" s="17">
        <f t="shared" si="42"/>
        <v>1</v>
      </c>
      <c r="E182" s="17" t="str">
        <f t="shared" si="47"/>
        <v>Section 10 - Spring Boot - Deployement</v>
      </c>
      <c r="F182" s="18" t="str">
        <f t="shared" si="43"/>
        <v/>
      </c>
      <c r="G182" s="13" t="str">
        <f t="shared" si="49"/>
        <v/>
      </c>
      <c r="H182">
        <f t="shared" si="50"/>
        <v>0</v>
      </c>
      <c r="I182">
        <f t="shared" si="51"/>
        <v>0</v>
      </c>
      <c r="J182" s="13">
        <f t="shared" si="52"/>
        <v>155</v>
      </c>
      <c r="K182">
        <f t="shared" si="44"/>
        <v>2</v>
      </c>
      <c r="L182">
        <f t="shared" si="45"/>
        <v>35</v>
      </c>
      <c r="M182" s="13">
        <f t="shared" si="53"/>
        <v>0</v>
      </c>
      <c r="N182">
        <f t="shared" si="53"/>
        <v>27</v>
      </c>
      <c r="O182" s="14">
        <f t="shared" si="41"/>
        <v>27</v>
      </c>
      <c r="P182" s="13">
        <f t="shared" si="46"/>
        <v>0</v>
      </c>
      <c r="Q182">
        <f t="shared" si="54"/>
        <v>27</v>
      </c>
      <c r="R182" s="14">
        <f t="shared" si="55"/>
        <v>27</v>
      </c>
      <c r="S182" s="15"/>
      <c r="W182" s="14"/>
    </row>
    <row r="183" spans="1:23" x14ac:dyDescent="0.25">
      <c r="A183" s="16"/>
      <c r="B183" s="17" t="b">
        <f t="shared" si="48"/>
        <v>0</v>
      </c>
      <c r="C183" s="17" t="b">
        <f t="shared" si="40"/>
        <v>0</v>
      </c>
      <c r="D183" s="17">
        <f t="shared" si="42"/>
        <v>1</v>
      </c>
      <c r="E183" s="17" t="str">
        <f t="shared" si="47"/>
        <v>Section 10 - Spring Boot - Deployement</v>
      </c>
      <c r="F183" s="18" t="str">
        <f t="shared" si="43"/>
        <v/>
      </c>
      <c r="G183" s="13" t="str">
        <f t="shared" si="49"/>
        <v/>
      </c>
      <c r="H183">
        <f t="shared" si="50"/>
        <v>0</v>
      </c>
      <c r="I183">
        <f t="shared" si="51"/>
        <v>0</v>
      </c>
      <c r="J183" s="13">
        <f t="shared" si="52"/>
        <v>155</v>
      </c>
      <c r="K183">
        <f t="shared" si="44"/>
        <v>2</v>
      </c>
      <c r="L183">
        <f t="shared" si="45"/>
        <v>35</v>
      </c>
      <c r="M183" s="13">
        <f t="shared" si="53"/>
        <v>0</v>
      </c>
      <c r="N183">
        <f t="shared" si="53"/>
        <v>27</v>
      </c>
      <c r="O183" s="14">
        <f t="shared" si="41"/>
        <v>27</v>
      </c>
      <c r="P183" s="13">
        <f t="shared" si="46"/>
        <v>0</v>
      </c>
      <c r="Q183">
        <f t="shared" si="54"/>
        <v>27</v>
      </c>
      <c r="R183" s="14">
        <f t="shared" si="55"/>
        <v>27</v>
      </c>
      <c r="S183" s="15"/>
      <c r="W183" s="14"/>
    </row>
    <row r="184" spans="1:23" x14ac:dyDescent="0.25">
      <c r="A184" s="16"/>
      <c r="B184" s="17" t="b">
        <f t="shared" si="48"/>
        <v>0</v>
      </c>
      <c r="C184" s="17" t="b">
        <f t="shared" si="40"/>
        <v>0</v>
      </c>
      <c r="D184" s="17">
        <f t="shared" si="42"/>
        <v>1</v>
      </c>
      <c r="E184" s="17" t="str">
        <f t="shared" si="47"/>
        <v>Section 10 - Spring Boot - Deployement</v>
      </c>
      <c r="F184" s="18" t="str">
        <f t="shared" si="43"/>
        <v/>
      </c>
      <c r="G184" s="13" t="str">
        <f t="shared" si="49"/>
        <v/>
      </c>
      <c r="H184">
        <f t="shared" si="50"/>
        <v>0</v>
      </c>
      <c r="I184">
        <f t="shared" si="51"/>
        <v>0</v>
      </c>
      <c r="J184" s="13">
        <f t="shared" si="52"/>
        <v>155</v>
      </c>
      <c r="K184">
        <f t="shared" si="44"/>
        <v>2</v>
      </c>
      <c r="L184">
        <f t="shared" si="45"/>
        <v>35</v>
      </c>
      <c r="M184" s="13">
        <f t="shared" si="53"/>
        <v>0</v>
      </c>
      <c r="N184">
        <f t="shared" si="53"/>
        <v>27</v>
      </c>
      <c r="O184" s="14">
        <f t="shared" si="41"/>
        <v>27</v>
      </c>
      <c r="P184" s="13">
        <f t="shared" si="46"/>
        <v>0</v>
      </c>
      <c r="Q184">
        <f t="shared" si="54"/>
        <v>27</v>
      </c>
      <c r="R184" s="14">
        <f t="shared" si="55"/>
        <v>27</v>
      </c>
      <c r="S184" s="15"/>
      <c r="W184" s="14"/>
    </row>
    <row r="185" spans="1:23" x14ac:dyDescent="0.25">
      <c r="A185" s="16"/>
      <c r="B185" s="17" t="b">
        <f t="shared" si="48"/>
        <v>0</v>
      </c>
      <c r="C185" s="17" t="b">
        <f t="shared" si="40"/>
        <v>0</v>
      </c>
      <c r="D185" s="17">
        <f t="shared" si="42"/>
        <v>1</v>
      </c>
      <c r="E185" s="17" t="str">
        <f t="shared" si="47"/>
        <v>Section 10 - Spring Boot - Deployement</v>
      </c>
      <c r="F185" s="18" t="str">
        <f t="shared" si="43"/>
        <v/>
      </c>
      <c r="G185" s="13" t="str">
        <f t="shared" si="49"/>
        <v/>
      </c>
      <c r="H185">
        <f t="shared" si="50"/>
        <v>0</v>
      </c>
      <c r="I185">
        <f t="shared" si="51"/>
        <v>0</v>
      </c>
      <c r="J185" s="13">
        <f t="shared" si="52"/>
        <v>155</v>
      </c>
      <c r="K185">
        <f t="shared" si="44"/>
        <v>2</v>
      </c>
      <c r="L185">
        <f t="shared" si="45"/>
        <v>35</v>
      </c>
      <c r="M185" s="13">
        <f t="shared" si="53"/>
        <v>0</v>
      </c>
      <c r="N185">
        <f t="shared" si="53"/>
        <v>27</v>
      </c>
      <c r="O185" s="14">
        <f t="shared" si="41"/>
        <v>27</v>
      </c>
      <c r="P185" s="13">
        <f t="shared" si="46"/>
        <v>0</v>
      </c>
      <c r="Q185">
        <f t="shared" si="54"/>
        <v>27</v>
      </c>
      <c r="R185" s="14">
        <f t="shared" si="55"/>
        <v>27</v>
      </c>
      <c r="S185" s="15"/>
      <c r="W185" s="14"/>
    </row>
    <row r="186" spans="1:23" x14ac:dyDescent="0.25">
      <c r="A186" s="16"/>
      <c r="B186" s="17" t="b">
        <f t="shared" si="48"/>
        <v>0</v>
      </c>
      <c r="C186" s="17" t="b">
        <f t="shared" si="40"/>
        <v>0</v>
      </c>
      <c r="D186" s="17">
        <f t="shared" si="42"/>
        <v>1</v>
      </c>
      <c r="E186" s="17" t="str">
        <f t="shared" si="47"/>
        <v>Section 10 - Spring Boot - Deployement</v>
      </c>
      <c r="F186" s="18" t="str">
        <f t="shared" si="43"/>
        <v/>
      </c>
      <c r="G186" s="13" t="str">
        <f t="shared" si="49"/>
        <v/>
      </c>
      <c r="H186">
        <f t="shared" si="50"/>
        <v>0</v>
      </c>
      <c r="I186">
        <f t="shared" si="51"/>
        <v>0</v>
      </c>
      <c r="J186" s="13">
        <f t="shared" si="52"/>
        <v>155</v>
      </c>
      <c r="K186">
        <f t="shared" si="44"/>
        <v>2</v>
      </c>
      <c r="L186">
        <f t="shared" si="45"/>
        <v>35</v>
      </c>
      <c r="M186" s="13">
        <f t="shared" si="53"/>
        <v>0</v>
      </c>
      <c r="N186">
        <f t="shared" si="53"/>
        <v>27</v>
      </c>
      <c r="O186" s="14">
        <f t="shared" si="41"/>
        <v>27</v>
      </c>
      <c r="P186" s="13">
        <f t="shared" si="46"/>
        <v>0</v>
      </c>
      <c r="Q186">
        <f t="shared" si="54"/>
        <v>27</v>
      </c>
      <c r="R186" s="14">
        <f t="shared" si="55"/>
        <v>27</v>
      </c>
      <c r="S186" s="15"/>
      <c r="W186" s="14"/>
    </row>
    <row r="187" spans="1:23" x14ac:dyDescent="0.25">
      <c r="A187" s="16"/>
      <c r="B187" s="17" t="b">
        <f t="shared" si="48"/>
        <v>0</v>
      </c>
      <c r="C187" s="17" t="b">
        <f t="shared" si="40"/>
        <v>0</v>
      </c>
      <c r="D187" s="17">
        <f t="shared" si="42"/>
        <v>1</v>
      </c>
      <c r="E187" s="17" t="str">
        <f t="shared" si="47"/>
        <v>Section 10 - Spring Boot - Deployement</v>
      </c>
      <c r="F187" s="18" t="str">
        <f t="shared" si="43"/>
        <v/>
      </c>
      <c r="G187" s="13" t="str">
        <f t="shared" si="49"/>
        <v/>
      </c>
      <c r="H187">
        <f t="shared" si="50"/>
        <v>0</v>
      </c>
      <c r="I187">
        <f t="shared" si="51"/>
        <v>0</v>
      </c>
      <c r="J187" s="13">
        <f t="shared" si="52"/>
        <v>155</v>
      </c>
      <c r="K187">
        <f t="shared" si="44"/>
        <v>2</v>
      </c>
      <c r="L187">
        <f t="shared" si="45"/>
        <v>35</v>
      </c>
      <c r="M187" s="13">
        <f t="shared" si="53"/>
        <v>0</v>
      </c>
      <c r="N187">
        <f t="shared" si="53"/>
        <v>27</v>
      </c>
      <c r="O187" s="14">
        <f t="shared" si="41"/>
        <v>27</v>
      </c>
      <c r="P187" s="13">
        <f t="shared" si="46"/>
        <v>0</v>
      </c>
      <c r="Q187">
        <f t="shared" si="54"/>
        <v>27</v>
      </c>
      <c r="R187" s="14">
        <f t="shared" si="55"/>
        <v>27</v>
      </c>
      <c r="S187" s="15"/>
      <c r="W187" s="14"/>
    </row>
    <row r="188" spans="1:23" x14ac:dyDescent="0.25">
      <c r="A188" s="16"/>
      <c r="B188" s="17" t="b">
        <f t="shared" si="48"/>
        <v>0</v>
      </c>
      <c r="C188" s="17" t="b">
        <f t="shared" si="40"/>
        <v>0</v>
      </c>
      <c r="D188" s="17">
        <f t="shared" si="42"/>
        <v>1</v>
      </c>
      <c r="E188" s="17" t="str">
        <f t="shared" si="47"/>
        <v>Section 10 - Spring Boot - Deployement</v>
      </c>
      <c r="F188" s="18" t="str">
        <f t="shared" si="43"/>
        <v/>
      </c>
      <c r="G188" s="13" t="str">
        <f t="shared" si="49"/>
        <v/>
      </c>
      <c r="H188">
        <f t="shared" si="50"/>
        <v>0</v>
      </c>
      <c r="I188">
        <f t="shared" si="51"/>
        <v>0</v>
      </c>
      <c r="J188" s="13">
        <f t="shared" si="52"/>
        <v>155</v>
      </c>
      <c r="K188">
        <f t="shared" si="44"/>
        <v>2</v>
      </c>
      <c r="L188">
        <f t="shared" si="45"/>
        <v>35</v>
      </c>
      <c r="M188" s="13">
        <f t="shared" si="53"/>
        <v>0</v>
      </c>
      <c r="N188">
        <f t="shared" si="53"/>
        <v>27</v>
      </c>
      <c r="O188" s="14">
        <f t="shared" si="41"/>
        <v>27</v>
      </c>
      <c r="P188" s="13">
        <f t="shared" si="46"/>
        <v>0</v>
      </c>
      <c r="Q188">
        <f t="shared" si="54"/>
        <v>27</v>
      </c>
      <c r="R188" s="14">
        <f t="shared" si="55"/>
        <v>27</v>
      </c>
      <c r="S188" s="15"/>
      <c r="W188" s="14"/>
    </row>
    <row r="189" spans="1:23" x14ac:dyDescent="0.25">
      <c r="A189" s="16"/>
      <c r="B189" s="17" t="b">
        <f t="shared" si="48"/>
        <v>0</v>
      </c>
      <c r="C189" s="17" t="b">
        <f t="shared" si="40"/>
        <v>0</v>
      </c>
      <c r="D189" s="17">
        <f t="shared" si="42"/>
        <v>1</v>
      </c>
      <c r="E189" s="17" t="str">
        <f t="shared" si="47"/>
        <v>Section 10 - Spring Boot - Deployement</v>
      </c>
      <c r="F189" s="18" t="str">
        <f t="shared" si="43"/>
        <v/>
      </c>
      <c r="G189" s="13" t="str">
        <f t="shared" si="49"/>
        <v/>
      </c>
      <c r="H189">
        <f t="shared" si="50"/>
        <v>0</v>
      </c>
      <c r="I189">
        <f t="shared" si="51"/>
        <v>0</v>
      </c>
      <c r="J189" s="13">
        <f t="shared" si="52"/>
        <v>155</v>
      </c>
      <c r="K189">
        <f t="shared" si="44"/>
        <v>2</v>
      </c>
      <c r="L189">
        <f t="shared" si="45"/>
        <v>35</v>
      </c>
      <c r="M189" s="13">
        <f t="shared" si="53"/>
        <v>0</v>
      </c>
      <c r="N189">
        <f t="shared" si="53"/>
        <v>27</v>
      </c>
      <c r="O189" s="14">
        <f t="shared" si="41"/>
        <v>27</v>
      </c>
      <c r="P189" s="13">
        <f t="shared" si="46"/>
        <v>0</v>
      </c>
      <c r="Q189">
        <f t="shared" si="54"/>
        <v>27</v>
      </c>
      <c r="R189" s="14">
        <f t="shared" si="55"/>
        <v>27</v>
      </c>
      <c r="S189" s="15"/>
      <c r="W189" s="14"/>
    </row>
    <row r="190" spans="1:23" x14ac:dyDescent="0.25">
      <c r="A190" s="16"/>
      <c r="B190" s="17" t="b">
        <f t="shared" si="48"/>
        <v>0</v>
      </c>
      <c r="C190" s="17" t="b">
        <f t="shared" si="40"/>
        <v>0</v>
      </c>
      <c r="D190" s="17">
        <f t="shared" si="42"/>
        <v>1</v>
      </c>
      <c r="E190" s="17" t="str">
        <f t="shared" si="47"/>
        <v>Section 10 - Spring Boot - Deployement</v>
      </c>
      <c r="F190" s="18" t="str">
        <f t="shared" si="43"/>
        <v/>
      </c>
      <c r="G190" s="13" t="str">
        <f t="shared" si="49"/>
        <v/>
      </c>
      <c r="H190">
        <f t="shared" si="50"/>
        <v>0</v>
      </c>
      <c r="I190">
        <f t="shared" si="51"/>
        <v>0</v>
      </c>
      <c r="J190" s="13">
        <f t="shared" si="52"/>
        <v>155</v>
      </c>
      <c r="K190">
        <f t="shared" si="44"/>
        <v>2</v>
      </c>
      <c r="L190">
        <f t="shared" si="45"/>
        <v>35</v>
      </c>
      <c r="M190" s="13">
        <f t="shared" si="53"/>
        <v>0</v>
      </c>
      <c r="N190">
        <f t="shared" si="53"/>
        <v>27</v>
      </c>
      <c r="O190" s="14">
        <f t="shared" si="41"/>
        <v>27</v>
      </c>
      <c r="P190" s="13">
        <f t="shared" si="46"/>
        <v>0</v>
      </c>
      <c r="Q190">
        <f t="shared" si="54"/>
        <v>27</v>
      </c>
      <c r="R190" s="14">
        <f t="shared" si="55"/>
        <v>27</v>
      </c>
      <c r="S190" s="15"/>
      <c r="W190" s="14"/>
    </row>
    <row r="191" spans="1:23" x14ac:dyDescent="0.25">
      <c r="A191" s="16"/>
      <c r="B191" s="17" t="b">
        <f t="shared" si="48"/>
        <v>0</v>
      </c>
      <c r="C191" s="17" t="b">
        <f t="shared" si="40"/>
        <v>0</v>
      </c>
      <c r="D191" s="17">
        <f t="shared" si="42"/>
        <v>1</v>
      </c>
      <c r="E191" s="17" t="str">
        <f t="shared" si="47"/>
        <v>Section 10 - Spring Boot - Deployement</v>
      </c>
      <c r="F191" s="18" t="str">
        <f t="shared" si="43"/>
        <v/>
      </c>
      <c r="G191" s="13" t="str">
        <f t="shared" si="49"/>
        <v/>
      </c>
      <c r="H191">
        <f t="shared" si="50"/>
        <v>0</v>
      </c>
      <c r="I191">
        <f t="shared" si="51"/>
        <v>0</v>
      </c>
      <c r="J191" s="13">
        <f t="shared" si="52"/>
        <v>155</v>
      </c>
      <c r="K191">
        <f t="shared" si="44"/>
        <v>2</v>
      </c>
      <c r="L191">
        <f t="shared" si="45"/>
        <v>35</v>
      </c>
      <c r="M191" s="13">
        <f t="shared" si="53"/>
        <v>0</v>
      </c>
      <c r="N191">
        <f t="shared" si="53"/>
        <v>27</v>
      </c>
      <c r="O191" s="14">
        <f t="shared" si="41"/>
        <v>27</v>
      </c>
      <c r="P191" s="13">
        <f t="shared" si="46"/>
        <v>0</v>
      </c>
      <c r="Q191">
        <f t="shared" si="54"/>
        <v>27</v>
      </c>
      <c r="R191" s="14">
        <f t="shared" si="55"/>
        <v>27</v>
      </c>
      <c r="S191" s="15"/>
      <c r="W191" s="14"/>
    </row>
    <row r="192" spans="1:23" x14ac:dyDescent="0.25">
      <c r="A192" s="16"/>
      <c r="B192" s="17" t="b">
        <f t="shared" si="48"/>
        <v>0</v>
      </c>
      <c r="C192" s="17" t="b">
        <f t="shared" ref="C192:C255" si="56">OR(NOT(ISERROR(FIND("hr",A193))), NOT(ISERROR(FIND("min ",A193))),RIGHT(A193,3)="min")</f>
        <v>0</v>
      </c>
      <c r="D192" s="17">
        <f t="shared" si="42"/>
        <v>1</v>
      </c>
      <c r="E192" s="17" t="str">
        <f t="shared" si="47"/>
        <v>Section 10 - Spring Boot - Deployement</v>
      </c>
      <c r="F192" s="18" t="str">
        <f t="shared" si="43"/>
        <v/>
      </c>
      <c r="G192" s="13" t="str">
        <f t="shared" si="49"/>
        <v/>
      </c>
      <c r="H192">
        <f t="shared" si="50"/>
        <v>0</v>
      </c>
      <c r="I192">
        <f t="shared" si="51"/>
        <v>0</v>
      </c>
      <c r="J192" s="13">
        <f t="shared" si="52"/>
        <v>155</v>
      </c>
      <c r="K192">
        <f t="shared" si="44"/>
        <v>2</v>
      </c>
      <c r="L192">
        <f t="shared" si="45"/>
        <v>35</v>
      </c>
      <c r="M192" s="13">
        <f t="shared" si="53"/>
        <v>0</v>
      </c>
      <c r="N192">
        <f t="shared" si="53"/>
        <v>27</v>
      </c>
      <c r="O192" s="14">
        <f t="shared" si="41"/>
        <v>27</v>
      </c>
      <c r="P192" s="13">
        <f t="shared" si="46"/>
        <v>0</v>
      </c>
      <c r="Q192">
        <f t="shared" si="54"/>
        <v>27</v>
      </c>
      <c r="R192" s="14">
        <f t="shared" si="55"/>
        <v>27</v>
      </c>
      <c r="S192" s="15"/>
      <c r="W192" s="14"/>
    </row>
    <row r="193" spans="1:23" x14ac:dyDescent="0.25">
      <c r="A193" s="16"/>
      <c r="B193" s="17" t="b">
        <f t="shared" si="48"/>
        <v>0</v>
      </c>
      <c r="C193" s="17" t="b">
        <f t="shared" si="56"/>
        <v>0</v>
      </c>
      <c r="D193" s="17">
        <f t="shared" si="42"/>
        <v>1</v>
      </c>
      <c r="E193" s="17" t="str">
        <f t="shared" si="47"/>
        <v>Section 10 - Spring Boot - Deployement</v>
      </c>
      <c r="F193" s="18" t="str">
        <f t="shared" si="43"/>
        <v/>
      </c>
      <c r="G193" s="13" t="str">
        <f t="shared" si="49"/>
        <v/>
      </c>
      <c r="H193">
        <f t="shared" si="50"/>
        <v>0</v>
      </c>
      <c r="I193">
        <f t="shared" si="51"/>
        <v>0</v>
      </c>
      <c r="J193" s="13">
        <f t="shared" si="52"/>
        <v>155</v>
      </c>
      <c r="K193">
        <f t="shared" si="44"/>
        <v>2</v>
      </c>
      <c r="L193">
        <f t="shared" si="45"/>
        <v>35</v>
      </c>
      <c r="M193" s="13">
        <f t="shared" si="53"/>
        <v>0</v>
      </c>
      <c r="N193">
        <f t="shared" si="53"/>
        <v>27</v>
      </c>
      <c r="O193" s="14">
        <f t="shared" si="41"/>
        <v>27</v>
      </c>
      <c r="P193" s="13">
        <f t="shared" si="46"/>
        <v>0</v>
      </c>
      <c r="Q193">
        <f t="shared" si="54"/>
        <v>27</v>
      </c>
      <c r="R193" s="14">
        <f t="shared" si="55"/>
        <v>27</v>
      </c>
      <c r="S193" s="15"/>
      <c r="W193" s="14"/>
    </row>
    <row r="194" spans="1:23" x14ac:dyDescent="0.25">
      <c r="A194" s="16"/>
      <c r="B194" s="17" t="b">
        <f t="shared" si="48"/>
        <v>0</v>
      </c>
      <c r="C194" s="17" t="b">
        <f t="shared" si="56"/>
        <v>0</v>
      </c>
      <c r="D194" s="17">
        <f t="shared" si="42"/>
        <v>1</v>
      </c>
      <c r="E194" s="17" t="str">
        <f t="shared" si="47"/>
        <v>Section 10 - Spring Boot - Deployement</v>
      </c>
      <c r="F194" s="18" t="str">
        <f t="shared" si="43"/>
        <v/>
      </c>
      <c r="G194" s="13" t="str">
        <f t="shared" si="49"/>
        <v/>
      </c>
      <c r="H194">
        <f t="shared" si="50"/>
        <v>0</v>
      </c>
      <c r="I194">
        <f t="shared" si="51"/>
        <v>0</v>
      </c>
      <c r="J194" s="13">
        <f t="shared" si="52"/>
        <v>155</v>
      </c>
      <c r="K194">
        <f t="shared" si="44"/>
        <v>2</v>
      </c>
      <c r="L194">
        <f t="shared" si="45"/>
        <v>35</v>
      </c>
      <c r="M194" s="13">
        <f t="shared" si="53"/>
        <v>0</v>
      </c>
      <c r="N194">
        <f t="shared" si="53"/>
        <v>27</v>
      </c>
      <c r="O194" s="14">
        <f t="shared" si="41"/>
        <v>27</v>
      </c>
      <c r="P194" s="13">
        <f t="shared" si="46"/>
        <v>0</v>
      </c>
      <c r="Q194">
        <f t="shared" si="54"/>
        <v>27</v>
      </c>
      <c r="R194" s="14">
        <f t="shared" si="55"/>
        <v>27</v>
      </c>
      <c r="S194" s="15"/>
      <c r="W194" s="14"/>
    </row>
    <row r="195" spans="1:23" x14ac:dyDescent="0.25">
      <c r="A195" s="16"/>
      <c r="B195" s="17" t="b">
        <f t="shared" si="48"/>
        <v>0</v>
      </c>
      <c r="C195" s="17" t="b">
        <f t="shared" si="56"/>
        <v>0</v>
      </c>
      <c r="D195" s="17">
        <f t="shared" si="42"/>
        <v>1</v>
      </c>
      <c r="E195" s="17" t="str">
        <f t="shared" si="47"/>
        <v>Section 10 - Spring Boot - Deployement</v>
      </c>
      <c r="F195" s="18" t="str">
        <f t="shared" si="43"/>
        <v/>
      </c>
      <c r="G195" s="13" t="str">
        <f t="shared" si="49"/>
        <v/>
      </c>
      <c r="H195">
        <f t="shared" si="50"/>
        <v>0</v>
      </c>
      <c r="I195">
        <f t="shared" si="51"/>
        <v>0</v>
      </c>
      <c r="J195" s="13">
        <f t="shared" si="52"/>
        <v>155</v>
      </c>
      <c r="K195">
        <f t="shared" si="44"/>
        <v>2</v>
      </c>
      <c r="L195">
        <f t="shared" si="45"/>
        <v>35</v>
      </c>
      <c r="M195" s="13">
        <f t="shared" si="53"/>
        <v>0</v>
      </c>
      <c r="N195">
        <f t="shared" si="53"/>
        <v>27</v>
      </c>
      <c r="O195" s="14">
        <f t="shared" si="41"/>
        <v>27</v>
      </c>
      <c r="P195" s="13">
        <f t="shared" si="46"/>
        <v>0</v>
      </c>
      <c r="Q195">
        <f t="shared" si="54"/>
        <v>27</v>
      </c>
      <c r="R195" s="14">
        <f t="shared" si="55"/>
        <v>27</v>
      </c>
      <c r="S195" s="15"/>
      <c r="W195" s="14"/>
    </row>
    <row r="196" spans="1:23" x14ac:dyDescent="0.25">
      <c r="A196" s="16"/>
      <c r="B196" s="17" t="b">
        <f t="shared" si="48"/>
        <v>0</v>
      </c>
      <c r="C196" s="17" t="b">
        <f t="shared" si="56"/>
        <v>0</v>
      </c>
      <c r="D196" s="17">
        <f t="shared" si="42"/>
        <v>1</v>
      </c>
      <c r="E196" s="17" t="str">
        <f t="shared" si="47"/>
        <v>Section 10 - Spring Boot - Deployement</v>
      </c>
      <c r="F196" s="18" t="str">
        <f t="shared" si="43"/>
        <v/>
      </c>
      <c r="G196" s="13" t="str">
        <f t="shared" si="49"/>
        <v/>
      </c>
      <c r="H196">
        <f t="shared" si="50"/>
        <v>0</v>
      </c>
      <c r="I196">
        <f t="shared" si="51"/>
        <v>0</v>
      </c>
      <c r="J196" s="13">
        <f t="shared" si="52"/>
        <v>155</v>
      </c>
      <c r="K196">
        <f t="shared" si="44"/>
        <v>2</v>
      </c>
      <c r="L196">
        <f t="shared" si="45"/>
        <v>35</v>
      </c>
      <c r="M196" s="13">
        <f t="shared" si="53"/>
        <v>0</v>
      </c>
      <c r="N196">
        <f t="shared" si="53"/>
        <v>27</v>
      </c>
      <c r="O196" s="14">
        <f t="shared" si="41"/>
        <v>27</v>
      </c>
      <c r="P196" s="13">
        <f t="shared" si="46"/>
        <v>0</v>
      </c>
      <c r="Q196">
        <f t="shared" si="54"/>
        <v>27</v>
      </c>
      <c r="R196" s="14">
        <f t="shared" si="55"/>
        <v>27</v>
      </c>
      <c r="S196" s="15"/>
      <c r="W196" s="14"/>
    </row>
    <row r="197" spans="1:23" x14ac:dyDescent="0.25">
      <c r="A197" s="16"/>
      <c r="B197" s="17" t="b">
        <f t="shared" si="48"/>
        <v>0</v>
      </c>
      <c r="C197" s="17" t="b">
        <f t="shared" si="56"/>
        <v>0</v>
      </c>
      <c r="D197" s="17">
        <f t="shared" si="42"/>
        <v>1</v>
      </c>
      <c r="E197" s="17" t="str">
        <f t="shared" si="47"/>
        <v>Section 10 - Spring Boot - Deployement</v>
      </c>
      <c r="F197" s="18" t="str">
        <f t="shared" si="43"/>
        <v/>
      </c>
      <c r="G197" s="13" t="str">
        <f t="shared" si="49"/>
        <v/>
      </c>
      <c r="H197">
        <f t="shared" si="50"/>
        <v>0</v>
      </c>
      <c r="I197">
        <f t="shared" si="51"/>
        <v>0</v>
      </c>
      <c r="J197" s="13">
        <f t="shared" si="52"/>
        <v>155</v>
      </c>
      <c r="K197">
        <f t="shared" si="44"/>
        <v>2</v>
      </c>
      <c r="L197">
        <f t="shared" si="45"/>
        <v>35</v>
      </c>
      <c r="M197" s="13">
        <f t="shared" si="53"/>
        <v>0</v>
      </c>
      <c r="N197">
        <f t="shared" si="53"/>
        <v>27</v>
      </c>
      <c r="O197" s="14">
        <f t="shared" si="41"/>
        <v>27</v>
      </c>
      <c r="P197" s="13">
        <f t="shared" si="46"/>
        <v>0</v>
      </c>
      <c r="Q197">
        <f t="shared" si="54"/>
        <v>27</v>
      </c>
      <c r="R197" s="14">
        <f t="shared" si="55"/>
        <v>27</v>
      </c>
      <c r="S197" s="15"/>
      <c r="W197" s="14"/>
    </row>
    <row r="198" spans="1:23" x14ac:dyDescent="0.25">
      <c r="A198" s="16"/>
      <c r="B198" s="17" t="b">
        <f t="shared" si="48"/>
        <v>0</v>
      </c>
      <c r="C198" s="17" t="b">
        <f t="shared" si="56"/>
        <v>0</v>
      </c>
      <c r="D198" s="17">
        <f t="shared" si="42"/>
        <v>1</v>
      </c>
      <c r="E198" s="17" t="str">
        <f t="shared" si="47"/>
        <v>Section 10 - Spring Boot - Deployement</v>
      </c>
      <c r="F198" s="18" t="str">
        <f t="shared" si="43"/>
        <v/>
      </c>
      <c r="G198" s="13" t="str">
        <f t="shared" si="49"/>
        <v/>
      </c>
      <c r="H198">
        <f t="shared" si="50"/>
        <v>0</v>
      </c>
      <c r="I198">
        <f t="shared" si="51"/>
        <v>0</v>
      </c>
      <c r="J198" s="13">
        <f t="shared" si="52"/>
        <v>155</v>
      </c>
      <c r="K198">
        <f t="shared" si="44"/>
        <v>2</v>
      </c>
      <c r="L198">
        <f t="shared" si="45"/>
        <v>35</v>
      </c>
      <c r="M198" s="13">
        <f t="shared" si="53"/>
        <v>0</v>
      </c>
      <c r="N198">
        <f t="shared" si="53"/>
        <v>27</v>
      </c>
      <c r="O198" s="14">
        <f t="shared" si="41"/>
        <v>27</v>
      </c>
      <c r="P198" s="13">
        <f t="shared" si="46"/>
        <v>0</v>
      </c>
      <c r="Q198">
        <f t="shared" si="54"/>
        <v>27</v>
      </c>
      <c r="R198" s="14">
        <f t="shared" si="55"/>
        <v>27</v>
      </c>
      <c r="S198" s="15"/>
      <c r="W198" s="14"/>
    </row>
    <row r="199" spans="1:23" x14ac:dyDescent="0.25">
      <c r="A199" s="16"/>
      <c r="B199" s="17" t="b">
        <f t="shared" si="48"/>
        <v>0</v>
      </c>
      <c r="C199" s="17" t="b">
        <f t="shared" si="56"/>
        <v>0</v>
      </c>
      <c r="D199" s="17">
        <f t="shared" si="42"/>
        <v>1</v>
      </c>
      <c r="E199" s="17" t="str">
        <f t="shared" si="47"/>
        <v>Section 10 - Spring Boot - Deployement</v>
      </c>
      <c r="F199" s="18" t="str">
        <f t="shared" si="43"/>
        <v/>
      </c>
      <c r="G199" s="13" t="str">
        <f t="shared" si="49"/>
        <v/>
      </c>
      <c r="H199">
        <f t="shared" si="50"/>
        <v>0</v>
      </c>
      <c r="I199">
        <f t="shared" si="51"/>
        <v>0</v>
      </c>
      <c r="J199" s="13">
        <f t="shared" si="52"/>
        <v>155</v>
      </c>
      <c r="K199">
        <f t="shared" si="44"/>
        <v>2</v>
      </c>
      <c r="L199">
        <f t="shared" si="45"/>
        <v>35</v>
      </c>
      <c r="M199" s="13">
        <f t="shared" si="53"/>
        <v>0</v>
      </c>
      <c r="N199">
        <f t="shared" si="53"/>
        <v>27</v>
      </c>
      <c r="O199" s="14">
        <f t="shared" si="41"/>
        <v>27</v>
      </c>
      <c r="P199" s="13">
        <f t="shared" si="46"/>
        <v>0</v>
      </c>
      <c r="Q199">
        <f t="shared" si="54"/>
        <v>27</v>
      </c>
      <c r="R199" s="14">
        <f t="shared" si="55"/>
        <v>27</v>
      </c>
      <c r="S199" s="15"/>
      <c r="W199" s="14"/>
    </row>
    <row r="200" spans="1:23" x14ac:dyDescent="0.25">
      <c r="A200" s="16"/>
      <c r="B200" s="17" t="b">
        <f t="shared" si="48"/>
        <v>0</v>
      </c>
      <c r="C200" s="17" t="b">
        <f t="shared" si="56"/>
        <v>0</v>
      </c>
      <c r="D200" s="17">
        <f t="shared" si="42"/>
        <v>1</v>
      </c>
      <c r="E200" s="17" t="str">
        <f t="shared" si="47"/>
        <v>Section 10 - Spring Boot - Deployement</v>
      </c>
      <c r="F200" s="18" t="str">
        <f t="shared" si="43"/>
        <v/>
      </c>
      <c r="G200" s="13" t="str">
        <f t="shared" si="49"/>
        <v/>
      </c>
      <c r="H200">
        <f t="shared" si="50"/>
        <v>0</v>
      </c>
      <c r="I200">
        <f t="shared" si="51"/>
        <v>0</v>
      </c>
      <c r="J200" s="13">
        <f t="shared" si="52"/>
        <v>155</v>
      </c>
      <c r="K200">
        <f t="shared" si="44"/>
        <v>2</v>
      </c>
      <c r="L200">
        <f t="shared" si="45"/>
        <v>35</v>
      </c>
      <c r="M200" s="13">
        <f t="shared" si="53"/>
        <v>0</v>
      </c>
      <c r="N200">
        <f t="shared" si="53"/>
        <v>27</v>
      </c>
      <c r="O200" s="14">
        <f t="shared" si="41"/>
        <v>27</v>
      </c>
      <c r="P200" s="13">
        <f t="shared" si="46"/>
        <v>0</v>
      </c>
      <c r="Q200">
        <f t="shared" si="54"/>
        <v>27</v>
      </c>
      <c r="R200" s="14">
        <f t="shared" si="55"/>
        <v>27</v>
      </c>
      <c r="S200" s="15"/>
      <c r="W200" s="14"/>
    </row>
    <row r="201" spans="1:23" x14ac:dyDescent="0.25">
      <c r="A201" s="16"/>
      <c r="B201" s="17" t="b">
        <f t="shared" si="48"/>
        <v>0</v>
      </c>
      <c r="C201" s="17" t="b">
        <f t="shared" si="56"/>
        <v>0</v>
      </c>
      <c r="D201" s="17">
        <f t="shared" si="42"/>
        <v>1</v>
      </c>
      <c r="E201" s="17" t="str">
        <f t="shared" si="47"/>
        <v>Section 10 - Spring Boot - Deployement</v>
      </c>
      <c r="F201" s="18" t="str">
        <f t="shared" si="43"/>
        <v/>
      </c>
      <c r="G201" s="13" t="str">
        <f t="shared" si="49"/>
        <v/>
      </c>
      <c r="H201">
        <f t="shared" si="50"/>
        <v>0</v>
      </c>
      <c r="I201">
        <f t="shared" si="51"/>
        <v>0</v>
      </c>
      <c r="J201" s="13">
        <f t="shared" si="52"/>
        <v>155</v>
      </c>
      <c r="K201">
        <f t="shared" si="44"/>
        <v>2</v>
      </c>
      <c r="L201">
        <f t="shared" si="45"/>
        <v>35</v>
      </c>
      <c r="M201" s="13">
        <f t="shared" si="53"/>
        <v>0</v>
      </c>
      <c r="N201">
        <f t="shared" si="53"/>
        <v>27</v>
      </c>
      <c r="O201" s="14">
        <f t="shared" si="41"/>
        <v>27</v>
      </c>
      <c r="P201" s="13">
        <f t="shared" si="46"/>
        <v>0</v>
      </c>
      <c r="Q201">
        <f t="shared" si="54"/>
        <v>27</v>
      </c>
      <c r="R201" s="14">
        <f t="shared" si="55"/>
        <v>27</v>
      </c>
      <c r="S201" s="15"/>
      <c r="W201" s="14"/>
    </row>
    <row r="202" spans="1:23" x14ac:dyDescent="0.25">
      <c r="A202" s="16"/>
      <c r="B202" s="17" t="b">
        <f t="shared" si="48"/>
        <v>0</v>
      </c>
      <c r="C202" s="17" t="b">
        <f t="shared" si="56"/>
        <v>0</v>
      </c>
      <c r="D202" s="17">
        <f t="shared" si="42"/>
        <v>1</v>
      </c>
      <c r="E202" s="17" t="str">
        <f t="shared" si="47"/>
        <v>Section 10 - Spring Boot - Deployement</v>
      </c>
      <c r="F202" s="18" t="str">
        <f t="shared" si="43"/>
        <v/>
      </c>
      <c r="G202" s="13" t="str">
        <f t="shared" si="49"/>
        <v/>
      </c>
      <c r="H202">
        <f t="shared" si="50"/>
        <v>0</v>
      </c>
      <c r="I202">
        <f t="shared" si="51"/>
        <v>0</v>
      </c>
      <c r="J202" s="13">
        <f t="shared" si="52"/>
        <v>155</v>
      </c>
      <c r="K202">
        <f t="shared" si="44"/>
        <v>2</v>
      </c>
      <c r="L202">
        <f t="shared" si="45"/>
        <v>35</v>
      </c>
      <c r="M202" s="13">
        <f t="shared" si="53"/>
        <v>0</v>
      </c>
      <c r="N202">
        <f t="shared" si="53"/>
        <v>27</v>
      </c>
      <c r="O202" s="14">
        <f t="shared" ref="O202:O265" si="57">((M202*60)+N202)</f>
        <v>27</v>
      </c>
      <c r="P202" s="13">
        <f t="shared" si="46"/>
        <v>0</v>
      </c>
      <c r="Q202">
        <f t="shared" si="54"/>
        <v>27</v>
      </c>
      <c r="R202" s="14">
        <f t="shared" si="55"/>
        <v>27</v>
      </c>
      <c r="S202" s="15"/>
      <c r="W202" s="14"/>
    </row>
    <row r="203" spans="1:23" x14ac:dyDescent="0.25">
      <c r="A203" s="16"/>
      <c r="B203" s="17" t="b">
        <f t="shared" si="48"/>
        <v>0</v>
      </c>
      <c r="C203" s="17" t="b">
        <f t="shared" si="56"/>
        <v>0</v>
      </c>
      <c r="D203" s="17">
        <f t="shared" ref="D203:D266" si="58">IF(B203,0,IF(C203,D202+1,D202))</f>
        <v>1</v>
      </c>
      <c r="E203" s="17" t="str">
        <f t="shared" si="47"/>
        <v>Section 10 - Spring Boot - Deployement</v>
      </c>
      <c r="F203" s="18" t="str">
        <f t="shared" ref="F203:F266" si="59">IF(C203,A203,"")</f>
        <v/>
      </c>
      <c r="G203" s="13" t="str">
        <f t="shared" si="49"/>
        <v/>
      </c>
      <c r="H203">
        <f t="shared" si="50"/>
        <v>0</v>
      </c>
      <c r="I203">
        <f t="shared" si="51"/>
        <v>0</v>
      </c>
      <c r="J203" s="13">
        <f t="shared" si="52"/>
        <v>155</v>
      </c>
      <c r="K203">
        <f t="shared" ref="K203:K266" si="60">INT(J203/60)</f>
        <v>2</v>
      </c>
      <c r="L203">
        <f t="shared" ref="L203:L266" si="61">INT(J203-(K203*60))</f>
        <v>35</v>
      </c>
      <c r="M203" s="13">
        <f t="shared" si="53"/>
        <v>0</v>
      </c>
      <c r="N203">
        <f t="shared" si="53"/>
        <v>27</v>
      </c>
      <c r="O203" s="14">
        <f t="shared" si="57"/>
        <v>27</v>
      </c>
      <c r="P203" s="13">
        <f t="shared" ref="P203:P266" si="62">INT(R203/60)</f>
        <v>0</v>
      </c>
      <c r="Q203">
        <f t="shared" si="54"/>
        <v>27</v>
      </c>
      <c r="R203" s="14">
        <f t="shared" si="55"/>
        <v>27</v>
      </c>
      <c r="S203" s="15"/>
      <c r="W203" s="14"/>
    </row>
    <row r="204" spans="1:23" x14ac:dyDescent="0.25">
      <c r="A204" s="16"/>
      <c r="B204" s="17" t="b">
        <f t="shared" si="48"/>
        <v>0</v>
      </c>
      <c r="C204" s="17" t="b">
        <f t="shared" si="56"/>
        <v>0</v>
      </c>
      <c r="D204" s="17">
        <f t="shared" si="58"/>
        <v>1</v>
      </c>
      <c r="E204" s="17" t="str">
        <f t="shared" ref="E204:E267" si="63">SUBSTITUTE(IF(B204,A204,E203),":", " -")</f>
        <v>Section 10 - Spring Boot - Deployement</v>
      </c>
      <c r="F204" s="18" t="str">
        <f t="shared" si="59"/>
        <v/>
      </c>
      <c r="G204" s="13" t="str">
        <f t="shared" si="49"/>
        <v/>
      </c>
      <c r="H204">
        <f t="shared" si="50"/>
        <v>0</v>
      </c>
      <c r="I204">
        <f t="shared" si="51"/>
        <v>0</v>
      </c>
      <c r="J204" s="13">
        <f t="shared" si="52"/>
        <v>155</v>
      </c>
      <c r="K204">
        <f t="shared" si="60"/>
        <v>2</v>
      </c>
      <c r="L204">
        <f t="shared" si="61"/>
        <v>35</v>
      </c>
      <c r="M204" s="13">
        <f t="shared" si="53"/>
        <v>0</v>
      </c>
      <c r="N204">
        <f t="shared" si="53"/>
        <v>27</v>
      </c>
      <c r="O204" s="14">
        <f t="shared" si="57"/>
        <v>27</v>
      </c>
      <c r="P204" s="13">
        <f t="shared" si="62"/>
        <v>0</v>
      </c>
      <c r="Q204">
        <f t="shared" si="54"/>
        <v>27</v>
      </c>
      <c r="R204" s="14">
        <f t="shared" si="55"/>
        <v>27</v>
      </c>
      <c r="S204" s="15"/>
      <c r="W204" s="14"/>
    </row>
    <row r="205" spans="1:23" x14ac:dyDescent="0.25">
      <c r="A205" s="16"/>
      <c r="B205" s="17" t="b">
        <f t="shared" si="48"/>
        <v>0</v>
      </c>
      <c r="C205" s="17" t="b">
        <f t="shared" si="56"/>
        <v>0</v>
      </c>
      <c r="D205" s="17">
        <f t="shared" si="58"/>
        <v>1</v>
      </c>
      <c r="E205" s="17" t="str">
        <f t="shared" si="63"/>
        <v>Section 10 - Spring Boot - Deployement</v>
      </c>
      <c r="F205" s="18" t="str">
        <f t="shared" si="59"/>
        <v/>
      </c>
      <c r="G205" s="13" t="str">
        <f t="shared" si="49"/>
        <v/>
      </c>
      <c r="H205">
        <f t="shared" si="50"/>
        <v>0</v>
      </c>
      <c r="I205">
        <f t="shared" si="51"/>
        <v>0</v>
      </c>
      <c r="J205" s="13">
        <f t="shared" si="52"/>
        <v>155</v>
      </c>
      <c r="K205">
        <f t="shared" si="60"/>
        <v>2</v>
      </c>
      <c r="L205">
        <f t="shared" si="61"/>
        <v>35</v>
      </c>
      <c r="M205" s="13">
        <f t="shared" si="53"/>
        <v>0</v>
      </c>
      <c r="N205">
        <f t="shared" si="53"/>
        <v>27</v>
      </c>
      <c r="O205" s="14">
        <f t="shared" si="57"/>
        <v>27</v>
      </c>
      <c r="P205" s="13">
        <f t="shared" si="62"/>
        <v>0</v>
      </c>
      <c r="Q205">
        <f t="shared" si="54"/>
        <v>27</v>
      </c>
      <c r="R205" s="14">
        <f t="shared" si="55"/>
        <v>27</v>
      </c>
      <c r="S205" s="15"/>
      <c r="W205" s="14"/>
    </row>
    <row r="206" spans="1:23" x14ac:dyDescent="0.25">
      <c r="A206" s="16"/>
      <c r="B206" s="17" t="b">
        <f t="shared" si="48"/>
        <v>0</v>
      </c>
      <c r="C206" s="17" t="b">
        <f t="shared" si="56"/>
        <v>0</v>
      </c>
      <c r="D206" s="17">
        <f t="shared" si="58"/>
        <v>1</v>
      </c>
      <c r="E206" s="17" t="str">
        <f t="shared" si="63"/>
        <v>Section 10 - Spring Boot - Deployement</v>
      </c>
      <c r="F206" s="18" t="str">
        <f t="shared" si="59"/>
        <v/>
      </c>
      <c r="G206" s="13" t="str">
        <f t="shared" si="49"/>
        <v/>
      </c>
      <c r="H206">
        <f t="shared" si="50"/>
        <v>0</v>
      </c>
      <c r="I206">
        <f t="shared" si="51"/>
        <v>0</v>
      </c>
      <c r="J206" s="13">
        <f t="shared" si="52"/>
        <v>155</v>
      </c>
      <c r="K206">
        <f t="shared" si="60"/>
        <v>2</v>
      </c>
      <c r="L206">
        <f t="shared" si="61"/>
        <v>35</v>
      </c>
      <c r="M206" s="13">
        <f t="shared" si="53"/>
        <v>0</v>
      </c>
      <c r="N206">
        <f t="shared" si="53"/>
        <v>27</v>
      </c>
      <c r="O206" s="14">
        <f t="shared" si="57"/>
        <v>27</v>
      </c>
      <c r="P206" s="13">
        <f t="shared" si="62"/>
        <v>0</v>
      </c>
      <c r="Q206">
        <f t="shared" si="54"/>
        <v>27</v>
      </c>
      <c r="R206" s="14">
        <f t="shared" si="55"/>
        <v>27</v>
      </c>
      <c r="S206" s="15"/>
      <c r="W206" s="14"/>
    </row>
    <row r="207" spans="1:23" x14ac:dyDescent="0.25">
      <c r="A207" s="16"/>
      <c r="B207" s="17" t="b">
        <f t="shared" si="48"/>
        <v>0</v>
      </c>
      <c r="C207" s="17" t="b">
        <f t="shared" si="56"/>
        <v>0</v>
      </c>
      <c r="D207" s="17">
        <f t="shared" si="58"/>
        <v>1</v>
      </c>
      <c r="E207" s="17" t="str">
        <f t="shared" si="63"/>
        <v>Section 10 - Spring Boot - Deployement</v>
      </c>
      <c r="F207" s="18" t="str">
        <f t="shared" si="59"/>
        <v/>
      </c>
      <c r="G207" s="13" t="str">
        <f t="shared" si="49"/>
        <v/>
      </c>
      <c r="H207">
        <f t="shared" si="50"/>
        <v>0</v>
      </c>
      <c r="I207">
        <f t="shared" si="51"/>
        <v>0</v>
      </c>
      <c r="J207" s="13">
        <f t="shared" si="52"/>
        <v>155</v>
      </c>
      <c r="K207">
        <f t="shared" si="60"/>
        <v>2</v>
      </c>
      <c r="L207">
        <f t="shared" si="61"/>
        <v>35</v>
      </c>
      <c r="M207" s="13">
        <f t="shared" si="53"/>
        <v>0</v>
      </c>
      <c r="N207">
        <f t="shared" si="53"/>
        <v>27</v>
      </c>
      <c r="O207" s="14">
        <f t="shared" si="57"/>
        <v>27</v>
      </c>
      <c r="P207" s="13">
        <f t="shared" si="62"/>
        <v>0</v>
      </c>
      <c r="Q207">
        <f t="shared" si="54"/>
        <v>27</v>
      </c>
      <c r="R207" s="14">
        <f t="shared" si="55"/>
        <v>27</v>
      </c>
      <c r="S207" s="15"/>
      <c r="W207" s="14"/>
    </row>
    <row r="208" spans="1:23" x14ac:dyDescent="0.25">
      <c r="A208" s="16"/>
      <c r="B208" s="17" t="b">
        <f t="shared" si="48"/>
        <v>0</v>
      </c>
      <c r="C208" s="17" t="b">
        <f t="shared" si="56"/>
        <v>0</v>
      </c>
      <c r="D208" s="17">
        <f t="shared" si="58"/>
        <v>1</v>
      </c>
      <c r="E208" s="17" t="str">
        <f t="shared" si="63"/>
        <v>Section 10 - Spring Boot - Deployement</v>
      </c>
      <c r="F208" s="18" t="str">
        <f t="shared" si="59"/>
        <v/>
      </c>
      <c r="G208" s="13" t="str">
        <f t="shared" si="49"/>
        <v/>
      </c>
      <c r="H208">
        <f t="shared" si="50"/>
        <v>0</v>
      </c>
      <c r="I208">
        <f t="shared" si="51"/>
        <v>0</v>
      </c>
      <c r="J208" s="13">
        <f t="shared" si="52"/>
        <v>155</v>
      </c>
      <c r="K208">
        <f t="shared" si="60"/>
        <v>2</v>
      </c>
      <c r="L208">
        <f t="shared" si="61"/>
        <v>35</v>
      </c>
      <c r="M208" s="13">
        <f t="shared" si="53"/>
        <v>0</v>
      </c>
      <c r="N208">
        <f t="shared" si="53"/>
        <v>27</v>
      </c>
      <c r="O208" s="14">
        <f t="shared" si="57"/>
        <v>27</v>
      </c>
      <c r="P208" s="13">
        <f t="shared" si="62"/>
        <v>0</v>
      </c>
      <c r="Q208">
        <f t="shared" si="54"/>
        <v>27</v>
      </c>
      <c r="R208" s="14">
        <f t="shared" si="55"/>
        <v>27</v>
      </c>
      <c r="S208" s="15"/>
      <c r="W208" s="14"/>
    </row>
    <row r="209" spans="1:23" x14ac:dyDescent="0.25">
      <c r="A209" s="16"/>
      <c r="B209" s="17" t="b">
        <f t="shared" si="48"/>
        <v>0</v>
      </c>
      <c r="C209" s="17" t="b">
        <f t="shared" si="56"/>
        <v>0</v>
      </c>
      <c r="D209" s="17">
        <f t="shared" si="58"/>
        <v>1</v>
      </c>
      <c r="E209" s="17" t="str">
        <f t="shared" si="63"/>
        <v>Section 10 - Spring Boot - Deployement</v>
      </c>
      <c r="F209" s="18" t="str">
        <f t="shared" si="59"/>
        <v/>
      </c>
      <c r="G209" s="13" t="str">
        <f t="shared" si="49"/>
        <v/>
      </c>
      <c r="H209">
        <f t="shared" si="50"/>
        <v>0</v>
      </c>
      <c r="I209">
        <f t="shared" si="51"/>
        <v>0</v>
      </c>
      <c r="J209" s="13">
        <f t="shared" si="52"/>
        <v>155</v>
      </c>
      <c r="K209">
        <f t="shared" si="60"/>
        <v>2</v>
      </c>
      <c r="L209">
        <f t="shared" si="61"/>
        <v>35</v>
      </c>
      <c r="M209" s="13">
        <f t="shared" si="53"/>
        <v>0</v>
      </c>
      <c r="N209">
        <f t="shared" si="53"/>
        <v>27</v>
      </c>
      <c r="O209" s="14">
        <f t="shared" si="57"/>
        <v>27</v>
      </c>
      <c r="P209" s="13">
        <f t="shared" si="62"/>
        <v>0</v>
      </c>
      <c r="Q209">
        <f t="shared" si="54"/>
        <v>27</v>
      </c>
      <c r="R209" s="14">
        <f t="shared" si="55"/>
        <v>27</v>
      </c>
      <c r="S209" s="15"/>
      <c r="W209" s="14"/>
    </row>
    <row r="210" spans="1:23" x14ac:dyDescent="0.25">
      <c r="A210" s="16"/>
      <c r="B210" s="17" t="b">
        <f t="shared" ref="B210:B273" si="64">AND(NOT(ISERROR(FIND("Section ",A210))),NOT(ISERROR(FIND("Section ",A210))))</f>
        <v>0</v>
      </c>
      <c r="C210" s="17" t="b">
        <f t="shared" si="56"/>
        <v>0</v>
      </c>
      <c r="D210" s="17">
        <f t="shared" si="58"/>
        <v>1</v>
      </c>
      <c r="E210" s="17" t="str">
        <f t="shared" si="63"/>
        <v>Section 10 - Spring Boot - Deployement</v>
      </c>
      <c r="F210" s="18" t="str">
        <f t="shared" si="59"/>
        <v/>
      </c>
      <c r="G210" s="13" t="str">
        <f t="shared" si="49"/>
        <v/>
      </c>
      <c r="H210">
        <f t="shared" si="50"/>
        <v>0</v>
      </c>
      <c r="I210">
        <f t="shared" si="51"/>
        <v>0</v>
      </c>
      <c r="J210" s="13">
        <f t="shared" si="52"/>
        <v>155</v>
      </c>
      <c r="K210">
        <f t="shared" si="60"/>
        <v>2</v>
      </c>
      <c r="L210">
        <f t="shared" si="61"/>
        <v>35</v>
      </c>
      <c r="M210" s="13">
        <f t="shared" si="53"/>
        <v>0</v>
      </c>
      <c r="N210">
        <f t="shared" si="53"/>
        <v>27</v>
      </c>
      <c r="O210" s="14">
        <f t="shared" si="57"/>
        <v>27</v>
      </c>
      <c r="P210" s="13">
        <f t="shared" si="62"/>
        <v>0</v>
      </c>
      <c r="Q210">
        <f t="shared" si="54"/>
        <v>27</v>
      </c>
      <c r="R210" s="14">
        <f t="shared" si="55"/>
        <v>27</v>
      </c>
      <c r="S210" s="15"/>
      <c r="W210" s="14"/>
    </row>
    <row r="211" spans="1:23" x14ac:dyDescent="0.25">
      <c r="A211" s="16"/>
      <c r="B211" s="17" t="b">
        <f t="shared" si="64"/>
        <v>0</v>
      </c>
      <c r="C211" s="17" t="b">
        <f t="shared" si="56"/>
        <v>0</v>
      </c>
      <c r="D211" s="17">
        <f t="shared" si="58"/>
        <v>1</v>
      </c>
      <c r="E211" s="17" t="str">
        <f t="shared" si="63"/>
        <v>Section 10 - Spring Boot - Deployement</v>
      </c>
      <c r="F211" s="18" t="str">
        <f t="shared" si="59"/>
        <v/>
      </c>
      <c r="G211" s="13" t="str">
        <f t="shared" si="49"/>
        <v/>
      </c>
      <c r="H211">
        <f t="shared" si="50"/>
        <v>0</v>
      </c>
      <c r="I211">
        <f t="shared" si="51"/>
        <v>0</v>
      </c>
      <c r="J211" s="13">
        <f t="shared" si="52"/>
        <v>155</v>
      </c>
      <c r="K211">
        <f t="shared" si="60"/>
        <v>2</v>
      </c>
      <c r="L211">
        <f t="shared" si="61"/>
        <v>35</v>
      </c>
      <c r="M211" s="13">
        <f t="shared" si="53"/>
        <v>0</v>
      </c>
      <c r="N211">
        <f t="shared" si="53"/>
        <v>27</v>
      </c>
      <c r="O211" s="14">
        <f t="shared" si="57"/>
        <v>27</v>
      </c>
      <c r="P211" s="13">
        <f t="shared" si="62"/>
        <v>0</v>
      </c>
      <c r="Q211">
        <f t="shared" si="54"/>
        <v>27</v>
      </c>
      <c r="R211" s="14">
        <f t="shared" si="55"/>
        <v>27</v>
      </c>
      <c r="S211" s="15"/>
      <c r="W211" s="14"/>
    </row>
    <row r="212" spans="1:23" x14ac:dyDescent="0.25">
      <c r="A212" s="16"/>
      <c r="B212" s="17" t="b">
        <f t="shared" si="64"/>
        <v>0</v>
      </c>
      <c r="C212" s="17" t="b">
        <f t="shared" si="56"/>
        <v>0</v>
      </c>
      <c r="D212" s="17">
        <f t="shared" si="58"/>
        <v>1</v>
      </c>
      <c r="E212" s="17" t="str">
        <f t="shared" si="63"/>
        <v>Section 10 - Spring Boot - Deployement</v>
      </c>
      <c r="F212" s="18" t="str">
        <f t="shared" si="59"/>
        <v/>
      </c>
      <c r="G212" s="13" t="str">
        <f t="shared" si="49"/>
        <v/>
      </c>
      <c r="H212">
        <f t="shared" si="50"/>
        <v>0</v>
      </c>
      <c r="I212">
        <f t="shared" si="51"/>
        <v>0</v>
      </c>
      <c r="J212" s="13">
        <f t="shared" si="52"/>
        <v>155</v>
      </c>
      <c r="K212">
        <f t="shared" si="60"/>
        <v>2</v>
      </c>
      <c r="L212">
        <f t="shared" si="61"/>
        <v>35</v>
      </c>
      <c r="M212" s="13">
        <f t="shared" si="53"/>
        <v>0</v>
      </c>
      <c r="N212">
        <f t="shared" si="53"/>
        <v>27</v>
      </c>
      <c r="O212" s="14">
        <f t="shared" si="57"/>
        <v>27</v>
      </c>
      <c r="P212" s="13">
        <f t="shared" si="62"/>
        <v>0</v>
      </c>
      <c r="Q212">
        <f t="shared" si="54"/>
        <v>27</v>
      </c>
      <c r="R212" s="14">
        <f t="shared" si="55"/>
        <v>27</v>
      </c>
      <c r="S212" s="15"/>
      <c r="W212" s="14"/>
    </row>
    <row r="213" spans="1:23" x14ac:dyDescent="0.25">
      <c r="A213" s="16"/>
      <c r="B213" s="17" t="b">
        <f t="shared" si="64"/>
        <v>0</v>
      </c>
      <c r="C213" s="17" t="b">
        <f t="shared" si="56"/>
        <v>0</v>
      </c>
      <c r="D213" s="17">
        <f t="shared" si="58"/>
        <v>1</v>
      </c>
      <c r="E213" s="17" t="str">
        <f t="shared" si="63"/>
        <v>Section 10 - Spring Boot - Deployement</v>
      </c>
      <c r="F213" s="18" t="str">
        <f t="shared" si="59"/>
        <v/>
      </c>
      <c r="G213" s="13" t="str">
        <f t="shared" ref="G213:G276" si="65">IF(C213,A214,"")</f>
        <v/>
      </c>
      <c r="H213">
        <f t="shared" ref="H213:H276" si="66">VALUE(IF(NOT(ISERROR(FIND("hr",G213))),LEFT(G213,FIND("hr",G213)-1),0))</f>
        <v>0</v>
      </c>
      <c r="I213">
        <f t="shared" ref="I213:I276" si="67">VALUE(IF(ISERROR(FIND("min",G213)),0,SUBSTITUTE(MID(G213,IF(ISERROR(FIND("hr ",G213)),1,FIND("hr ",G213)+3),LEN(G213)),"min","")))</f>
        <v>0</v>
      </c>
      <c r="J213" s="13">
        <f t="shared" ref="J213:J276" si="68">J212+(H213*60+I213)</f>
        <v>155</v>
      </c>
      <c r="K213">
        <f t="shared" si="60"/>
        <v>2</v>
      </c>
      <c r="L213">
        <f t="shared" si="61"/>
        <v>35</v>
      </c>
      <c r="M213" s="13">
        <f t="shared" ref="M213:N276" si="69">P212</f>
        <v>0</v>
      </c>
      <c r="N213">
        <f t="shared" si="69"/>
        <v>27</v>
      </c>
      <c r="O213" s="14">
        <f t="shared" si="57"/>
        <v>27</v>
      </c>
      <c r="P213" s="13">
        <f t="shared" si="62"/>
        <v>0</v>
      </c>
      <c r="Q213">
        <f t="shared" ref="Q213:Q276" si="70">R213-(P213*60)</f>
        <v>27</v>
      </c>
      <c r="R213" s="14">
        <f t="shared" ref="R213:R276" si="71">((H213*60)+I213)+O213</f>
        <v>27</v>
      </c>
      <c r="S213" s="15"/>
      <c r="W213" s="14"/>
    </row>
    <row r="214" spans="1:23" x14ac:dyDescent="0.25">
      <c r="A214" s="16"/>
      <c r="B214" s="17" t="b">
        <f t="shared" si="64"/>
        <v>0</v>
      </c>
      <c r="C214" s="17" t="b">
        <f t="shared" si="56"/>
        <v>0</v>
      </c>
      <c r="D214" s="17">
        <f t="shared" si="58"/>
        <v>1</v>
      </c>
      <c r="E214" s="17" t="str">
        <f t="shared" si="63"/>
        <v>Section 10 - Spring Boot - Deployement</v>
      </c>
      <c r="F214" s="18" t="str">
        <f t="shared" si="59"/>
        <v/>
      </c>
      <c r="G214" s="13" t="str">
        <f t="shared" si="65"/>
        <v/>
      </c>
      <c r="H214">
        <f t="shared" si="66"/>
        <v>0</v>
      </c>
      <c r="I214">
        <f t="shared" si="67"/>
        <v>0</v>
      </c>
      <c r="J214" s="13">
        <f t="shared" si="68"/>
        <v>155</v>
      </c>
      <c r="K214">
        <f t="shared" si="60"/>
        <v>2</v>
      </c>
      <c r="L214">
        <f t="shared" si="61"/>
        <v>35</v>
      </c>
      <c r="M214" s="13">
        <f t="shared" si="69"/>
        <v>0</v>
      </c>
      <c r="N214">
        <f t="shared" si="69"/>
        <v>27</v>
      </c>
      <c r="O214" s="14">
        <f t="shared" si="57"/>
        <v>27</v>
      </c>
      <c r="P214" s="13">
        <f t="shared" si="62"/>
        <v>0</v>
      </c>
      <c r="Q214">
        <f t="shared" si="70"/>
        <v>27</v>
      </c>
      <c r="R214" s="14">
        <f t="shared" si="71"/>
        <v>27</v>
      </c>
      <c r="S214" s="15"/>
      <c r="W214" s="14"/>
    </row>
    <row r="215" spans="1:23" x14ac:dyDescent="0.25">
      <c r="A215" s="16"/>
      <c r="B215" s="17" t="b">
        <f t="shared" si="64"/>
        <v>0</v>
      </c>
      <c r="C215" s="17" t="b">
        <f t="shared" si="56"/>
        <v>0</v>
      </c>
      <c r="D215" s="17">
        <f t="shared" si="58"/>
        <v>1</v>
      </c>
      <c r="E215" s="17" t="str">
        <f t="shared" si="63"/>
        <v>Section 10 - Spring Boot - Deployement</v>
      </c>
      <c r="F215" s="18" t="str">
        <f t="shared" si="59"/>
        <v/>
      </c>
      <c r="G215" s="13" t="str">
        <f t="shared" si="65"/>
        <v/>
      </c>
      <c r="H215">
        <f t="shared" si="66"/>
        <v>0</v>
      </c>
      <c r="I215">
        <f t="shared" si="67"/>
        <v>0</v>
      </c>
      <c r="J215" s="13">
        <f t="shared" si="68"/>
        <v>155</v>
      </c>
      <c r="K215">
        <f t="shared" si="60"/>
        <v>2</v>
      </c>
      <c r="L215">
        <f t="shared" si="61"/>
        <v>35</v>
      </c>
      <c r="M215" s="13">
        <f t="shared" si="69"/>
        <v>0</v>
      </c>
      <c r="N215">
        <f t="shared" si="69"/>
        <v>27</v>
      </c>
      <c r="O215" s="14">
        <f t="shared" si="57"/>
        <v>27</v>
      </c>
      <c r="P215" s="13">
        <f t="shared" si="62"/>
        <v>0</v>
      </c>
      <c r="Q215">
        <f t="shared" si="70"/>
        <v>27</v>
      </c>
      <c r="R215" s="14">
        <f t="shared" si="71"/>
        <v>27</v>
      </c>
      <c r="S215" s="15"/>
      <c r="W215" s="14"/>
    </row>
    <row r="216" spans="1:23" x14ac:dyDescent="0.25">
      <c r="A216" s="16"/>
      <c r="B216" s="17" t="b">
        <f t="shared" si="64"/>
        <v>0</v>
      </c>
      <c r="C216" s="17" t="b">
        <f t="shared" si="56"/>
        <v>0</v>
      </c>
      <c r="D216" s="17">
        <f t="shared" si="58"/>
        <v>1</v>
      </c>
      <c r="E216" s="17" t="str">
        <f t="shared" si="63"/>
        <v>Section 10 - Spring Boot - Deployement</v>
      </c>
      <c r="F216" s="18" t="str">
        <f t="shared" si="59"/>
        <v/>
      </c>
      <c r="G216" s="13" t="str">
        <f t="shared" si="65"/>
        <v/>
      </c>
      <c r="H216">
        <f t="shared" si="66"/>
        <v>0</v>
      </c>
      <c r="I216">
        <f t="shared" si="67"/>
        <v>0</v>
      </c>
      <c r="J216" s="13">
        <f t="shared" si="68"/>
        <v>155</v>
      </c>
      <c r="K216">
        <f t="shared" si="60"/>
        <v>2</v>
      </c>
      <c r="L216">
        <f t="shared" si="61"/>
        <v>35</v>
      </c>
      <c r="M216" s="13">
        <f t="shared" si="69"/>
        <v>0</v>
      </c>
      <c r="N216">
        <f t="shared" si="69"/>
        <v>27</v>
      </c>
      <c r="O216" s="14">
        <f t="shared" si="57"/>
        <v>27</v>
      </c>
      <c r="P216" s="13">
        <f t="shared" si="62"/>
        <v>0</v>
      </c>
      <c r="Q216">
        <f t="shared" si="70"/>
        <v>27</v>
      </c>
      <c r="R216" s="14">
        <f t="shared" si="71"/>
        <v>27</v>
      </c>
      <c r="S216" s="15"/>
      <c r="W216" s="14"/>
    </row>
    <row r="217" spans="1:23" x14ac:dyDescent="0.25">
      <c r="A217" s="16"/>
      <c r="B217" s="17" t="b">
        <f t="shared" si="64"/>
        <v>0</v>
      </c>
      <c r="C217" s="17" t="b">
        <f t="shared" si="56"/>
        <v>0</v>
      </c>
      <c r="D217" s="17">
        <f t="shared" si="58"/>
        <v>1</v>
      </c>
      <c r="E217" s="17" t="str">
        <f t="shared" si="63"/>
        <v>Section 10 - Spring Boot - Deployement</v>
      </c>
      <c r="F217" s="18" t="str">
        <f t="shared" si="59"/>
        <v/>
      </c>
      <c r="G217" s="13" t="str">
        <f t="shared" si="65"/>
        <v/>
      </c>
      <c r="H217">
        <f t="shared" si="66"/>
        <v>0</v>
      </c>
      <c r="I217">
        <f t="shared" si="67"/>
        <v>0</v>
      </c>
      <c r="J217" s="13">
        <f t="shared" si="68"/>
        <v>155</v>
      </c>
      <c r="K217">
        <f t="shared" si="60"/>
        <v>2</v>
      </c>
      <c r="L217">
        <f t="shared" si="61"/>
        <v>35</v>
      </c>
      <c r="M217" s="13">
        <f t="shared" si="69"/>
        <v>0</v>
      </c>
      <c r="N217">
        <f t="shared" si="69"/>
        <v>27</v>
      </c>
      <c r="O217" s="14">
        <f t="shared" si="57"/>
        <v>27</v>
      </c>
      <c r="P217" s="13">
        <f t="shared" si="62"/>
        <v>0</v>
      </c>
      <c r="Q217">
        <f t="shared" si="70"/>
        <v>27</v>
      </c>
      <c r="R217" s="14">
        <f t="shared" si="71"/>
        <v>27</v>
      </c>
      <c r="S217" s="15"/>
      <c r="W217" s="14"/>
    </row>
    <row r="218" spans="1:23" x14ac:dyDescent="0.25">
      <c r="A218" s="16"/>
      <c r="B218" s="17" t="b">
        <f t="shared" si="64"/>
        <v>0</v>
      </c>
      <c r="C218" s="17" t="b">
        <f t="shared" si="56"/>
        <v>0</v>
      </c>
      <c r="D218" s="17">
        <f t="shared" si="58"/>
        <v>1</v>
      </c>
      <c r="E218" s="17" t="str">
        <f t="shared" si="63"/>
        <v>Section 10 - Spring Boot - Deployement</v>
      </c>
      <c r="F218" s="18" t="str">
        <f t="shared" si="59"/>
        <v/>
      </c>
      <c r="G218" s="13" t="str">
        <f t="shared" si="65"/>
        <v/>
      </c>
      <c r="H218">
        <f t="shared" si="66"/>
        <v>0</v>
      </c>
      <c r="I218">
        <f t="shared" si="67"/>
        <v>0</v>
      </c>
      <c r="J218" s="13">
        <f t="shared" si="68"/>
        <v>155</v>
      </c>
      <c r="K218">
        <f t="shared" si="60"/>
        <v>2</v>
      </c>
      <c r="L218">
        <f t="shared" si="61"/>
        <v>35</v>
      </c>
      <c r="M218" s="13">
        <f t="shared" si="69"/>
        <v>0</v>
      </c>
      <c r="N218">
        <f t="shared" si="69"/>
        <v>27</v>
      </c>
      <c r="O218" s="14">
        <f t="shared" si="57"/>
        <v>27</v>
      </c>
      <c r="P218" s="13">
        <f t="shared" si="62"/>
        <v>0</v>
      </c>
      <c r="Q218">
        <f t="shared" si="70"/>
        <v>27</v>
      </c>
      <c r="R218" s="14">
        <f t="shared" si="71"/>
        <v>27</v>
      </c>
      <c r="S218" s="15"/>
      <c r="W218" s="14"/>
    </row>
    <row r="219" spans="1:23" x14ac:dyDescent="0.25">
      <c r="A219" s="16"/>
      <c r="B219" s="17" t="b">
        <f t="shared" si="64"/>
        <v>0</v>
      </c>
      <c r="C219" s="17" t="b">
        <f t="shared" si="56"/>
        <v>0</v>
      </c>
      <c r="D219" s="17">
        <f t="shared" si="58"/>
        <v>1</v>
      </c>
      <c r="E219" s="17" t="str">
        <f t="shared" si="63"/>
        <v>Section 10 - Spring Boot - Deployement</v>
      </c>
      <c r="F219" s="18" t="str">
        <f t="shared" si="59"/>
        <v/>
      </c>
      <c r="G219" s="13" t="str">
        <f t="shared" si="65"/>
        <v/>
      </c>
      <c r="H219">
        <f t="shared" si="66"/>
        <v>0</v>
      </c>
      <c r="I219">
        <f t="shared" si="67"/>
        <v>0</v>
      </c>
      <c r="J219" s="13">
        <f t="shared" si="68"/>
        <v>155</v>
      </c>
      <c r="K219">
        <f t="shared" si="60"/>
        <v>2</v>
      </c>
      <c r="L219">
        <f t="shared" si="61"/>
        <v>35</v>
      </c>
      <c r="M219" s="13">
        <f t="shared" si="69"/>
        <v>0</v>
      </c>
      <c r="N219">
        <f t="shared" si="69"/>
        <v>27</v>
      </c>
      <c r="O219" s="14">
        <f t="shared" si="57"/>
        <v>27</v>
      </c>
      <c r="P219" s="13">
        <f t="shared" si="62"/>
        <v>0</v>
      </c>
      <c r="Q219">
        <f t="shared" si="70"/>
        <v>27</v>
      </c>
      <c r="R219" s="14">
        <f t="shared" si="71"/>
        <v>27</v>
      </c>
      <c r="S219" s="15"/>
      <c r="W219" s="14"/>
    </row>
    <row r="220" spans="1:23" x14ac:dyDescent="0.25">
      <c r="A220" s="16"/>
      <c r="B220" s="17" t="b">
        <f t="shared" si="64"/>
        <v>0</v>
      </c>
      <c r="C220" s="17" t="b">
        <f t="shared" si="56"/>
        <v>0</v>
      </c>
      <c r="D220" s="17">
        <f t="shared" si="58"/>
        <v>1</v>
      </c>
      <c r="E220" s="17" t="str">
        <f t="shared" si="63"/>
        <v>Section 10 - Spring Boot - Deployement</v>
      </c>
      <c r="F220" s="18" t="str">
        <f t="shared" si="59"/>
        <v/>
      </c>
      <c r="G220" s="13" t="str">
        <f t="shared" si="65"/>
        <v/>
      </c>
      <c r="H220">
        <f t="shared" si="66"/>
        <v>0</v>
      </c>
      <c r="I220">
        <f t="shared" si="67"/>
        <v>0</v>
      </c>
      <c r="J220" s="13">
        <f t="shared" si="68"/>
        <v>155</v>
      </c>
      <c r="K220">
        <f t="shared" si="60"/>
        <v>2</v>
      </c>
      <c r="L220">
        <f t="shared" si="61"/>
        <v>35</v>
      </c>
      <c r="M220" s="13">
        <f t="shared" si="69"/>
        <v>0</v>
      </c>
      <c r="N220">
        <f t="shared" si="69"/>
        <v>27</v>
      </c>
      <c r="O220" s="14">
        <f t="shared" si="57"/>
        <v>27</v>
      </c>
      <c r="P220" s="13">
        <f t="shared" si="62"/>
        <v>0</v>
      </c>
      <c r="Q220">
        <f t="shared" si="70"/>
        <v>27</v>
      </c>
      <c r="R220" s="14">
        <f t="shared" si="71"/>
        <v>27</v>
      </c>
      <c r="S220" s="15"/>
      <c r="W220" s="14"/>
    </row>
    <row r="221" spans="1:23" x14ac:dyDescent="0.25">
      <c r="A221" s="16"/>
      <c r="B221" s="17" t="b">
        <f t="shared" si="64"/>
        <v>0</v>
      </c>
      <c r="C221" s="17" t="b">
        <f t="shared" si="56"/>
        <v>0</v>
      </c>
      <c r="D221" s="17">
        <f t="shared" si="58"/>
        <v>1</v>
      </c>
      <c r="E221" s="17" t="str">
        <f t="shared" si="63"/>
        <v>Section 10 - Spring Boot - Deployement</v>
      </c>
      <c r="F221" s="18" t="str">
        <f t="shared" si="59"/>
        <v/>
      </c>
      <c r="G221" s="13" t="str">
        <f t="shared" si="65"/>
        <v/>
      </c>
      <c r="H221">
        <f t="shared" si="66"/>
        <v>0</v>
      </c>
      <c r="I221">
        <f t="shared" si="67"/>
        <v>0</v>
      </c>
      <c r="J221" s="13">
        <f t="shared" si="68"/>
        <v>155</v>
      </c>
      <c r="K221">
        <f t="shared" si="60"/>
        <v>2</v>
      </c>
      <c r="L221">
        <f t="shared" si="61"/>
        <v>35</v>
      </c>
      <c r="M221" s="13">
        <f t="shared" si="69"/>
        <v>0</v>
      </c>
      <c r="N221">
        <f t="shared" si="69"/>
        <v>27</v>
      </c>
      <c r="O221" s="14">
        <f t="shared" si="57"/>
        <v>27</v>
      </c>
      <c r="P221" s="13">
        <f t="shared" si="62"/>
        <v>0</v>
      </c>
      <c r="Q221">
        <f t="shared" si="70"/>
        <v>27</v>
      </c>
      <c r="R221" s="14">
        <f t="shared" si="71"/>
        <v>27</v>
      </c>
      <c r="S221" s="15"/>
      <c r="W221" s="14"/>
    </row>
    <row r="222" spans="1:23" x14ac:dyDescent="0.25">
      <c r="A222" s="16"/>
      <c r="B222" s="17" t="b">
        <f t="shared" si="64"/>
        <v>0</v>
      </c>
      <c r="C222" s="17" t="b">
        <f t="shared" si="56"/>
        <v>0</v>
      </c>
      <c r="D222" s="17">
        <f t="shared" si="58"/>
        <v>1</v>
      </c>
      <c r="E222" s="17" t="str">
        <f t="shared" si="63"/>
        <v>Section 10 - Spring Boot - Deployement</v>
      </c>
      <c r="F222" s="18" t="str">
        <f t="shared" si="59"/>
        <v/>
      </c>
      <c r="G222" s="13" t="str">
        <f t="shared" si="65"/>
        <v/>
      </c>
      <c r="H222">
        <f t="shared" si="66"/>
        <v>0</v>
      </c>
      <c r="I222">
        <f t="shared" si="67"/>
        <v>0</v>
      </c>
      <c r="J222" s="13">
        <f t="shared" si="68"/>
        <v>155</v>
      </c>
      <c r="K222">
        <f t="shared" si="60"/>
        <v>2</v>
      </c>
      <c r="L222">
        <f t="shared" si="61"/>
        <v>35</v>
      </c>
      <c r="M222" s="13">
        <f t="shared" si="69"/>
        <v>0</v>
      </c>
      <c r="N222">
        <f t="shared" si="69"/>
        <v>27</v>
      </c>
      <c r="O222" s="14">
        <f t="shared" si="57"/>
        <v>27</v>
      </c>
      <c r="P222" s="13">
        <f t="shared" si="62"/>
        <v>0</v>
      </c>
      <c r="Q222">
        <f t="shared" si="70"/>
        <v>27</v>
      </c>
      <c r="R222" s="14">
        <f t="shared" si="71"/>
        <v>27</v>
      </c>
      <c r="S222" s="15"/>
      <c r="W222" s="14"/>
    </row>
    <row r="223" spans="1:23" x14ac:dyDescent="0.25">
      <c r="A223" s="16"/>
      <c r="B223" s="17" t="b">
        <f t="shared" si="64"/>
        <v>0</v>
      </c>
      <c r="C223" s="17" t="b">
        <f t="shared" si="56"/>
        <v>0</v>
      </c>
      <c r="D223" s="17">
        <f t="shared" si="58"/>
        <v>1</v>
      </c>
      <c r="E223" s="17" t="str">
        <f t="shared" si="63"/>
        <v>Section 10 - Spring Boot - Deployement</v>
      </c>
      <c r="F223" s="18" t="str">
        <f t="shared" si="59"/>
        <v/>
      </c>
      <c r="G223" s="13" t="str">
        <f t="shared" si="65"/>
        <v/>
      </c>
      <c r="H223">
        <f t="shared" si="66"/>
        <v>0</v>
      </c>
      <c r="I223">
        <f t="shared" si="67"/>
        <v>0</v>
      </c>
      <c r="J223" s="13">
        <f t="shared" si="68"/>
        <v>155</v>
      </c>
      <c r="K223">
        <f t="shared" si="60"/>
        <v>2</v>
      </c>
      <c r="L223">
        <f t="shared" si="61"/>
        <v>35</v>
      </c>
      <c r="M223" s="13">
        <f t="shared" si="69"/>
        <v>0</v>
      </c>
      <c r="N223">
        <f t="shared" si="69"/>
        <v>27</v>
      </c>
      <c r="O223" s="14">
        <f t="shared" si="57"/>
        <v>27</v>
      </c>
      <c r="P223" s="13">
        <f t="shared" si="62"/>
        <v>0</v>
      </c>
      <c r="Q223">
        <f t="shared" si="70"/>
        <v>27</v>
      </c>
      <c r="R223" s="14">
        <f t="shared" si="71"/>
        <v>27</v>
      </c>
      <c r="S223" s="15"/>
      <c r="W223" s="14"/>
    </row>
    <row r="224" spans="1:23" x14ac:dyDescent="0.25">
      <c r="A224" s="16"/>
      <c r="B224" s="17" t="b">
        <f t="shared" si="64"/>
        <v>0</v>
      </c>
      <c r="C224" s="17" t="b">
        <f t="shared" si="56"/>
        <v>0</v>
      </c>
      <c r="D224" s="17">
        <f t="shared" si="58"/>
        <v>1</v>
      </c>
      <c r="E224" s="17" t="str">
        <f t="shared" si="63"/>
        <v>Section 10 - Spring Boot - Deployement</v>
      </c>
      <c r="F224" s="18" t="str">
        <f t="shared" si="59"/>
        <v/>
      </c>
      <c r="G224" s="13" t="str">
        <f t="shared" si="65"/>
        <v/>
      </c>
      <c r="H224">
        <f t="shared" si="66"/>
        <v>0</v>
      </c>
      <c r="I224">
        <f t="shared" si="67"/>
        <v>0</v>
      </c>
      <c r="J224" s="13">
        <f t="shared" si="68"/>
        <v>155</v>
      </c>
      <c r="K224">
        <f t="shared" si="60"/>
        <v>2</v>
      </c>
      <c r="L224">
        <f t="shared" si="61"/>
        <v>35</v>
      </c>
      <c r="M224" s="13">
        <f t="shared" si="69"/>
        <v>0</v>
      </c>
      <c r="N224">
        <f t="shared" si="69"/>
        <v>27</v>
      </c>
      <c r="O224" s="14">
        <f t="shared" si="57"/>
        <v>27</v>
      </c>
      <c r="P224" s="13">
        <f t="shared" si="62"/>
        <v>0</v>
      </c>
      <c r="Q224">
        <f t="shared" si="70"/>
        <v>27</v>
      </c>
      <c r="R224" s="14">
        <f t="shared" si="71"/>
        <v>27</v>
      </c>
      <c r="S224" s="15"/>
      <c r="W224" s="14"/>
    </row>
    <row r="225" spans="1:23" x14ac:dyDescent="0.25">
      <c r="A225" s="16"/>
      <c r="B225" s="17" t="b">
        <f t="shared" si="64"/>
        <v>0</v>
      </c>
      <c r="C225" s="17" t="b">
        <f t="shared" si="56"/>
        <v>0</v>
      </c>
      <c r="D225" s="17">
        <f t="shared" si="58"/>
        <v>1</v>
      </c>
      <c r="E225" s="17" t="str">
        <f t="shared" si="63"/>
        <v>Section 10 - Spring Boot - Deployement</v>
      </c>
      <c r="F225" s="18" t="str">
        <f t="shared" si="59"/>
        <v/>
      </c>
      <c r="G225" s="13" t="str">
        <f t="shared" si="65"/>
        <v/>
      </c>
      <c r="H225">
        <f t="shared" si="66"/>
        <v>0</v>
      </c>
      <c r="I225">
        <f t="shared" si="67"/>
        <v>0</v>
      </c>
      <c r="J225" s="13">
        <f t="shared" si="68"/>
        <v>155</v>
      </c>
      <c r="K225">
        <f t="shared" si="60"/>
        <v>2</v>
      </c>
      <c r="L225">
        <f t="shared" si="61"/>
        <v>35</v>
      </c>
      <c r="M225" s="13">
        <f t="shared" si="69"/>
        <v>0</v>
      </c>
      <c r="N225">
        <f t="shared" si="69"/>
        <v>27</v>
      </c>
      <c r="O225" s="14">
        <f t="shared" si="57"/>
        <v>27</v>
      </c>
      <c r="P225" s="13">
        <f t="shared" si="62"/>
        <v>0</v>
      </c>
      <c r="Q225">
        <f t="shared" si="70"/>
        <v>27</v>
      </c>
      <c r="R225" s="14">
        <f t="shared" si="71"/>
        <v>27</v>
      </c>
      <c r="S225" s="15"/>
      <c r="W225" s="14"/>
    </row>
    <row r="226" spans="1:23" x14ac:dyDescent="0.25">
      <c r="A226" s="16"/>
      <c r="B226" s="17" t="b">
        <f t="shared" si="64"/>
        <v>0</v>
      </c>
      <c r="C226" s="17" t="b">
        <f t="shared" si="56"/>
        <v>0</v>
      </c>
      <c r="D226" s="17">
        <f t="shared" si="58"/>
        <v>1</v>
      </c>
      <c r="E226" s="17" t="str">
        <f t="shared" si="63"/>
        <v>Section 10 - Spring Boot - Deployement</v>
      </c>
      <c r="F226" s="18" t="str">
        <f t="shared" si="59"/>
        <v/>
      </c>
      <c r="G226" s="13" t="str">
        <f t="shared" si="65"/>
        <v/>
      </c>
      <c r="H226">
        <f t="shared" si="66"/>
        <v>0</v>
      </c>
      <c r="I226">
        <f t="shared" si="67"/>
        <v>0</v>
      </c>
      <c r="J226" s="13">
        <f t="shared" si="68"/>
        <v>155</v>
      </c>
      <c r="K226">
        <f t="shared" si="60"/>
        <v>2</v>
      </c>
      <c r="L226">
        <f t="shared" si="61"/>
        <v>35</v>
      </c>
      <c r="M226" s="13">
        <f t="shared" si="69"/>
        <v>0</v>
      </c>
      <c r="N226">
        <f t="shared" si="69"/>
        <v>27</v>
      </c>
      <c r="O226" s="14">
        <f t="shared" si="57"/>
        <v>27</v>
      </c>
      <c r="P226" s="13">
        <f t="shared" si="62"/>
        <v>0</v>
      </c>
      <c r="Q226">
        <f t="shared" si="70"/>
        <v>27</v>
      </c>
      <c r="R226" s="14">
        <f t="shared" si="71"/>
        <v>27</v>
      </c>
      <c r="S226" s="15"/>
      <c r="W226" s="14"/>
    </row>
    <row r="227" spans="1:23" x14ac:dyDescent="0.25">
      <c r="A227" s="16"/>
      <c r="B227" s="17" t="b">
        <f t="shared" si="64"/>
        <v>0</v>
      </c>
      <c r="C227" s="17" t="b">
        <f t="shared" si="56"/>
        <v>0</v>
      </c>
      <c r="D227" s="17">
        <f t="shared" si="58"/>
        <v>1</v>
      </c>
      <c r="E227" s="17" t="str">
        <f t="shared" si="63"/>
        <v>Section 10 - Spring Boot - Deployement</v>
      </c>
      <c r="F227" s="18" t="str">
        <f t="shared" si="59"/>
        <v/>
      </c>
      <c r="G227" s="13" t="str">
        <f t="shared" si="65"/>
        <v/>
      </c>
      <c r="H227">
        <f t="shared" si="66"/>
        <v>0</v>
      </c>
      <c r="I227">
        <f t="shared" si="67"/>
        <v>0</v>
      </c>
      <c r="J227" s="13">
        <f t="shared" si="68"/>
        <v>155</v>
      </c>
      <c r="K227">
        <f t="shared" si="60"/>
        <v>2</v>
      </c>
      <c r="L227">
        <f t="shared" si="61"/>
        <v>35</v>
      </c>
      <c r="M227" s="13">
        <f t="shared" si="69"/>
        <v>0</v>
      </c>
      <c r="N227">
        <f t="shared" si="69"/>
        <v>27</v>
      </c>
      <c r="O227" s="14">
        <f t="shared" si="57"/>
        <v>27</v>
      </c>
      <c r="P227" s="13">
        <f t="shared" si="62"/>
        <v>0</v>
      </c>
      <c r="Q227">
        <f t="shared" si="70"/>
        <v>27</v>
      </c>
      <c r="R227" s="14">
        <f t="shared" si="71"/>
        <v>27</v>
      </c>
      <c r="S227" s="15"/>
      <c r="W227" s="14"/>
    </row>
    <row r="228" spans="1:23" x14ac:dyDescent="0.25">
      <c r="A228" s="16"/>
      <c r="B228" s="17" t="b">
        <f t="shared" si="64"/>
        <v>0</v>
      </c>
      <c r="C228" s="17" t="b">
        <f t="shared" si="56"/>
        <v>0</v>
      </c>
      <c r="D228" s="17">
        <f t="shared" si="58"/>
        <v>1</v>
      </c>
      <c r="E228" s="17" t="str">
        <f t="shared" si="63"/>
        <v>Section 10 - Spring Boot - Deployement</v>
      </c>
      <c r="F228" s="18" t="str">
        <f t="shared" si="59"/>
        <v/>
      </c>
      <c r="G228" s="13" t="str">
        <f t="shared" si="65"/>
        <v/>
      </c>
      <c r="H228">
        <f t="shared" si="66"/>
        <v>0</v>
      </c>
      <c r="I228">
        <f t="shared" si="67"/>
        <v>0</v>
      </c>
      <c r="J228" s="13">
        <f t="shared" si="68"/>
        <v>155</v>
      </c>
      <c r="K228">
        <f t="shared" si="60"/>
        <v>2</v>
      </c>
      <c r="L228">
        <f t="shared" si="61"/>
        <v>35</v>
      </c>
      <c r="M228" s="13">
        <f t="shared" si="69"/>
        <v>0</v>
      </c>
      <c r="N228">
        <f t="shared" si="69"/>
        <v>27</v>
      </c>
      <c r="O228" s="14">
        <f t="shared" si="57"/>
        <v>27</v>
      </c>
      <c r="P228" s="13">
        <f t="shared" si="62"/>
        <v>0</v>
      </c>
      <c r="Q228">
        <f t="shared" si="70"/>
        <v>27</v>
      </c>
      <c r="R228" s="14">
        <f t="shared" si="71"/>
        <v>27</v>
      </c>
      <c r="S228" s="15"/>
      <c r="W228" s="14"/>
    </row>
    <row r="229" spans="1:23" x14ac:dyDescent="0.25">
      <c r="A229" s="16"/>
      <c r="B229" s="17" t="b">
        <f t="shared" si="64"/>
        <v>0</v>
      </c>
      <c r="C229" s="17" t="b">
        <f t="shared" si="56"/>
        <v>0</v>
      </c>
      <c r="D229" s="17">
        <f t="shared" si="58"/>
        <v>1</v>
      </c>
      <c r="E229" s="17" t="str">
        <f t="shared" si="63"/>
        <v>Section 10 - Spring Boot - Deployement</v>
      </c>
      <c r="F229" s="18" t="str">
        <f t="shared" si="59"/>
        <v/>
      </c>
      <c r="G229" s="13" t="str">
        <f t="shared" si="65"/>
        <v/>
      </c>
      <c r="H229">
        <f t="shared" si="66"/>
        <v>0</v>
      </c>
      <c r="I229">
        <f t="shared" si="67"/>
        <v>0</v>
      </c>
      <c r="J229" s="13">
        <f t="shared" si="68"/>
        <v>155</v>
      </c>
      <c r="K229">
        <f t="shared" si="60"/>
        <v>2</v>
      </c>
      <c r="L229">
        <f t="shared" si="61"/>
        <v>35</v>
      </c>
      <c r="M229" s="13">
        <f t="shared" si="69"/>
        <v>0</v>
      </c>
      <c r="N229">
        <f t="shared" si="69"/>
        <v>27</v>
      </c>
      <c r="O229" s="14">
        <f t="shared" si="57"/>
        <v>27</v>
      </c>
      <c r="P229" s="13">
        <f t="shared" si="62"/>
        <v>0</v>
      </c>
      <c r="Q229">
        <f t="shared" si="70"/>
        <v>27</v>
      </c>
      <c r="R229" s="14">
        <f t="shared" si="71"/>
        <v>27</v>
      </c>
      <c r="S229" s="15"/>
      <c r="W229" s="14"/>
    </row>
    <row r="230" spans="1:23" x14ac:dyDescent="0.25">
      <c r="A230" s="16"/>
      <c r="B230" s="17" t="b">
        <f t="shared" si="64"/>
        <v>0</v>
      </c>
      <c r="C230" s="17" t="b">
        <f t="shared" si="56"/>
        <v>0</v>
      </c>
      <c r="D230" s="17">
        <f t="shared" si="58"/>
        <v>1</v>
      </c>
      <c r="E230" s="17" t="str">
        <f t="shared" si="63"/>
        <v>Section 10 - Spring Boot - Deployement</v>
      </c>
      <c r="F230" s="18" t="str">
        <f t="shared" si="59"/>
        <v/>
      </c>
      <c r="G230" s="13" t="str">
        <f t="shared" si="65"/>
        <v/>
      </c>
      <c r="H230">
        <f t="shared" si="66"/>
        <v>0</v>
      </c>
      <c r="I230">
        <f t="shared" si="67"/>
        <v>0</v>
      </c>
      <c r="J230" s="13">
        <f t="shared" si="68"/>
        <v>155</v>
      </c>
      <c r="K230">
        <f t="shared" si="60"/>
        <v>2</v>
      </c>
      <c r="L230">
        <f t="shared" si="61"/>
        <v>35</v>
      </c>
      <c r="M230" s="13">
        <f t="shared" si="69"/>
        <v>0</v>
      </c>
      <c r="N230">
        <f t="shared" si="69"/>
        <v>27</v>
      </c>
      <c r="O230" s="14">
        <f t="shared" si="57"/>
        <v>27</v>
      </c>
      <c r="P230" s="13">
        <f t="shared" si="62"/>
        <v>0</v>
      </c>
      <c r="Q230">
        <f t="shared" si="70"/>
        <v>27</v>
      </c>
      <c r="R230" s="14">
        <f t="shared" si="71"/>
        <v>27</v>
      </c>
      <c r="S230" s="15"/>
      <c r="W230" s="14"/>
    </row>
    <row r="231" spans="1:23" x14ac:dyDescent="0.25">
      <c r="A231" s="16"/>
      <c r="B231" s="17" t="b">
        <f t="shared" si="64"/>
        <v>0</v>
      </c>
      <c r="C231" s="17" t="b">
        <f t="shared" si="56"/>
        <v>0</v>
      </c>
      <c r="D231" s="17">
        <f t="shared" si="58"/>
        <v>1</v>
      </c>
      <c r="E231" s="17" t="str">
        <f t="shared" si="63"/>
        <v>Section 10 - Spring Boot - Deployement</v>
      </c>
      <c r="F231" s="18" t="str">
        <f t="shared" si="59"/>
        <v/>
      </c>
      <c r="G231" s="13" t="str">
        <f t="shared" si="65"/>
        <v/>
      </c>
      <c r="H231">
        <f t="shared" si="66"/>
        <v>0</v>
      </c>
      <c r="I231">
        <f t="shared" si="67"/>
        <v>0</v>
      </c>
      <c r="J231" s="13">
        <f t="shared" si="68"/>
        <v>155</v>
      </c>
      <c r="K231">
        <f t="shared" si="60"/>
        <v>2</v>
      </c>
      <c r="L231">
        <f t="shared" si="61"/>
        <v>35</v>
      </c>
      <c r="M231" s="13">
        <f t="shared" si="69"/>
        <v>0</v>
      </c>
      <c r="N231">
        <f t="shared" si="69"/>
        <v>27</v>
      </c>
      <c r="O231" s="14">
        <f t="shared" si="57"/>
        <v>27</v>
      </c>
      <c r="P231" s="13">
        <f t="shared" si="62"/>
        <v>0</v>
      </c>
      <c r="Q231">
        <f t="shared" si="70"/>
        <v>27</v>
      </c>
      <c r="R231" s="14">
        <f t="shared" si="71"/>
        <v>27</v>
      </c>
      <c r="S231" s="15"/>
      <c r="W231" s="14"/>
    </row>
    <row r="232" spans="1:23" x14ac:dyDescent="0.25">
      <c r="A232" s="16"/>
      <c r="B232" s="17" t="b">
        <f t="shared" si="64"/>
        <v>0</v>
      </c>
      <c r="C232" s="17" t="b">
        <f t="shared" si="56"/>
        <v>0</v>
      </c>
      <c r="D232" s="17">
        <f t="shared" si="58"/>
        <v>1</v>
      </c>
      <c r="E232" s="17" t="str">
        <f t="shared" si="63"/>
        <v>Section 10 - Spring Boot - Deployement</v>
      </c>
      <c r="F232" s="18" t="str">
        <f t="shared" si="59"/>
        <v/>
      </c>
      <c r="G232" s="13" t="str">
        <f t="shared" si="65"/>
        <v/>
      </c>
      <c r="H232">
        <f t="shared" si="66"/>
        <v>0</v>
      </c>
      <c r="I232">
        <f t="shared" si="67"/>
        <v>0</v>
      </c>
      <c r="J232" s="13">
        <f t="shared" si="68"/>
        <v>155</v>
      </c>
      <c r="K232">
        <f t="shared" si="60"/>
        <v>2</v>
      </c>
      <c r="L232">
        <f t="shared" si="61"/>
        <v>35</v>
      </c>
      <c r="M232" s="13">
        <f t="shared" si="69"/>
        <v>0</v>
      </c>
      <c r="N232">
        <f t="shared" si="69"/>
        <v>27</v>
      </c>
      <c r="O232" s="14">
        <f t="shared" si="57"/>
        <v>27</v>
      </c>
      <c r="P232" s="13">
        <f t="shared" si="62"/>
        <v>0</v>
      </c>
      <c r="Q232">
        <f t="shared" si="70"/>
        <v>27</v>
      </c>
      <c r="R232" s="14">
        <f t="shared" si="71"/>
        <v>27</v>
      </c>
      <c r="S232" s="15"/>
      <c r="W232" s="14"/>
    </row>
    <row r="233" spans="1:23" x14ac:dyDescent="0.25">
      <c r="A233" s="16"/>
      <c r="B233" s="17" t="b">
        <f t="shared" si="64"/>
        <v>0</v>
      </c>
      <c r="C233" s="17" t="b">
        <f t="shared" si="56"/>
        <v>0</v>
      </c>
      <c r="D233" s="17">
        <f t="shared" si="58"/>
        <v>1</v>
      </c>
      <c r="E233" s="17" t="str">
        <f t="shared" si="63"/>
        <v>Section 10 - Spring Boot - Deployement</v>
      </c>
      <c r="F233" s="18" t="str">
        <f t="shared" si="59"/>
        <v/>
      </c>
      <c r="G233" s="13" t="str">
        <f t="shared" si="65"/>
        <v/>
      </c>
      <c r="H233">
        <f t="shared" si="66"/>
        <v>0</v>
      </c>
      <c r="I233">
        <f t="shared" si="67"/>
        <v>0</v>
      </c>
      <c r="J233" s="13">
        <f t="shared" si="68"/>
        <v>155</v>
      </c>
      <c r="K233">
        <f t="shared" si="60"/>
        <v>2</v>
      </c>
      <c r="L233">
        <f t="shared" si="61"/>
        <v>35</v>
      </c>
      <c r="M233" s="13">
        <f t="shared" si="69"/>
        <v>0</v>
      </c>
      <c r="N233">
        <f t="shared" si="69"/>
        <v>27</v>
      </c>
      <c r="O233" s="14">
        <f t="shared" si="57"/>
        <v>27</v>
      </c>
      <c r="P233" s="13">
        <f t="shared" si="62"/>
        <v>0</v>
      </c>
      <c r="Q233">
        <f t="shared" si="70"/>
        <v>27</v>
      </c>
      <c r="R233" s="14">
        <f t="shared" si="71"/>
        <v>27</v>
      </c>
      <c r="S233" s="15"/>
      <c r="W233" s="14"/>
    </row>
    <row r="234" spans="1:23" x14ac:dyDescent="0.25">
      <c r="A234" s="16"/>
      <c r="B234" s="17" t="b">
        <f t="shared" si="64"/>
        <v>0</v>
      </c>
      <c r="C234" s="17" t="b">
        <f t="shared" si="56"/>
        <v>0</v>
      </c>
      <c r="D234" s="17">
        <f t="shared" si="58"/>
        <v>1</v>
      </c>
      <c r="E234" s="17" t="str">
        <f t="shared" si="63"/>
        <v>Section 10 - Spring Boot - Deployement</v>
      </c>
      <c r="F234" s="18" t="str">
        <f t="shared" si="59"/>
        <v/>
      </c>
      <c r="G234" s="13" t="str">
        <f t="shared" si="65"/>
        <v/>
      </c>
      <c r="H234">
        <f t="shared" si="66"/>
        <v>0</v>
      </c>
      <c r="I234">
        <f t="shared" si="67"/>
        <v>0</v>
      </c>
      <c r="J234" s="13">
        <f t="shared" si="68"/>
        <v>155</v>
      </c>
      <c r="K234">
        <f t="shared" si="60"/>
        <v>2</v>
      </c>
      <c r="L234">
        <f t="shared" si="61"/>
        <v>35</v>
      </c>
      <c r="M234" s="13">
        <f t="shared" si="69"/>
        <v>0</v>
      </c>
      <c r="N234">
        <f t="shared" si="69"/>
        <v>27</v>
      </c>
      <c r="O234" s="14">
        <f t="shared" si="57"/>
        <v>27</v>
      </c>
      <c r="P234" s="13">
        <f t="shared" si="62"/>
        <v>0</v>
      </c>
      <c r="Q234">
        <f t="shared" si="70"/>
        <v>27</v>
      </c>
      <c r="R234" s="14">
        <f t="shared" si="71"/>
        <v>27</v>
      </c>
      <c r="S234" s="15"/>
      <c r="W234" s="14"/>
    </row>
    <row r="235" spans="1:23" x14ac:dyDescent="0.25">
      <c r="A235" s="16"/>
      <c r="B235" s="17" t="b">
        <f t="shared" si="64"/>
        <v>0</v>
      </c>
      <c r="C235" s="17" t="b">
        <f t="shared" si="56"/>
        <v>0</v>
      </c>
      <c r="D235" s="17">
        <f t="shared" si="58"/>
        <v>1</v>
      </c>
      <c r="E235" s="17" t="str">
        <f t="shared" si="63"/>
        <v>Section 10 - Spring Boot - Deployement</v>
      </c>
      <c r="F235" s="18" t="str">
        <f t="shared" si="59"/>
        <v/>
      </c>
      <c r="G235" s="13" t="str">
        <f t="shared" si="65"/>
        <v/>
      </c>
      <c r="H235">
        <f t="shared" si="66"/>
        <v>0</v>
      </c>
      <c r="I235">
        <f t="shared" si="67"/>
        <v>0</v>
      </c>
      <c r="J235" s="13">
        <f t="shared" si="68"/>
        <v>155</v>
      </c>
      <c r="K235">
        <f t="shared" si="60"/>
        <v>2</v>
      </c>
      <c r="L235">
        <f t="shared" si="61"/>
        <v>35</v>
      </c>
      <c r="M235" s="13">
        <f t="shared" si="69"/>
        <v>0</v>
      </c>
      <c r="N235">
        <f t="shared" si="69"/>
        <v>27</v>
      </c>
      <c r="O235" s="14">
        <f t="shared" si="57"/>
        <v>27</v>
      </c>
      <c r="P235" s="13">
        <f t="shared" si="62"/>
        <v>0</v>
      </c>
      <c r="Q235">
        <f t="shared" si="70"/>
        <v>27</v>
      </c>
      <c r="R235" s="14">
        <f t="shared" si="71"/>
        <v>27</v>
      </c>
      <c r="S235" s="15"/>
      <c r="W235" s="14"/>
    </row>
    <row r="236" spans="1:23" x14ac:dyDescent="0.25">
      <c r="A236" s="16"/>
      <c r="B236" s="17" t="b">
        <f t="shared" si="64"/>
        <v>0</v>
      </c>
      <c r="C236" s="17" t="b">
        <f t="shared" si="56"/>
        <v>0</v>
      </c>
      <c r="D236" s="17">
        <f t="shared" si="58"/>
        <v>1</v>
      </c>
      <c r="E236" s="17" t="str">
        <f t="shared" si="63"/>
        <v>Section 10 - Spring Boot - Deployement</v>
      </c>
      <c r="F236" s="18" t="str">
        <f t="shared" si="59"/>
        <v/>
      </c>
      <c r="G236" s="13" t="str">
        <f t="shared" si="65"/>
        <v/>
      </c>
      <c r="H236">
        <f t="shared" si="66"/>
        <v>0</v>
      </c>
      <c r="I236">
        <f t="shared" si="67"/>
        <v>0</v>
      </c>
      <c r="J236" s="13">
        <f t="shared" si="68"/>
        <v>155</v>
      </c>
      <c r="K236">
        <f t="shared" si="60"/>
        <v>2</v>
      </c>
      <c r="L236">
        <f t="shared" si="61"/>
        <v>35</v>
      </c>
      <c r="M236" s="13">
        <f t="shared" si="69"/>
        <v>0</v>
      </c>
      <c r="N236">
        <f t="shared" si="69"/>
        <v>27</v>
      </c>
      <c r="O236" s="14">
        <f t="shared" si="57"/>
        <v>27</v>
      </c>
      <c r="P236" s="13">
        <f t="shared" si="62"/>
        <v>0</v>
      </c>
      <c r="Q236">
        <f t="shared" si="70"/>
        <v>27</v>
      </c>
      <c r="R236" s="14">
        <f t="shared" si="71"/>
        <v>27</v>
      </c>
      <c r="S236" s="15"/>
      <c r="W236" s="14"/>
    </row>
    <row r="237" spans="1:23" x14ac:dyDescent="0.25">
      <c r="A237" s="16"/>
      <c r="B237" s="17" t="b">
        <f t="shared" si="64"/>
        <v>0</v>
      </c>
      <c r="C237" s="17" t="b">
        <f t="shared" si="56"/>
        <v>0</v>
      </c>
      <c r="D237" s="17">
        <f t="shared" si="58"/>
        <v>1</v>
      </c>
      <c r="E237" s="17" t="str">
        <f t="shared" si="63"/>
        <v>Section 10 - Spring Boot - Deployement</v>
      </c>
      <c r="F237" s="18" t="str">
        <f t="shared" si="59"/>
        <v/>
      </c>
      <c r="G237" s="13" t="str">
        <f t="shared" si="65"/>
        <v/>
      </c>
      <c r="H237">
        <f t="shared" si="66"/>
        <v>0</v>
      </c>
      <c r="I237">
        <f t="shared" si="67"/>
        <v>0</v>
      </c>
      <c r="J237" s="13">
        <f t="shared" si="68"/>
        <v>155</v>
      </c>
      <c r="K237">
        <f t="shared" si="60"/>
        <v>2</v>
      </c>
      <c r="L237">
        <f t="shared" si="61"/>
        <v>35</v>
      </c>
      <c r="M237" s="13">
        <f t="shared" si="69"/>
        <v>0</v>
      </c>
      <c r="N237">
        <f t="shared" si="69"/>
        <v>27</v>
      </c>
      <c r="O237" s="14">
        <f t="shared" si="57"/>
        <v>27</v>
      </c>
      <c r="P237" s="13">
        <f t="shared" si="62"/>
        <v>0</v>
      </c>
      <c r="Q237">
        <f t="shared" si="70"/>
        <v>27</v>
      </c>
      <c r="R237" s="14">
        <f t="shared" si="71"/>
        <v>27</v>
      </c>
      <c r="S237" s="15"/>
      <c r="W237" s="14"/>
    </row>
    <row r="238" spans="1:23" x14ac:dyDescent="0.25">
      <c r="A238" s="16"/>
      <c r="B238" s="17" t="b">
        <f t="shared" si="64"/>
        <v>0</v>
      </c>
      <c r="C238" s="17" t="b">
        <f t="shared" si="56"/>
        <v>0</v>
      </c>
      <c r="D238" s="17">
        <f t="shared" si="58"/>
        <v>1</v>
      </c>
      <c r="E238" s="17" t="str">
        <f t="shared" si="63"/>
        <v>Section 10 - Spring Boot - Deployement</v>
      </c>
      <c r="F238" s="18" t="str">
        <f t="shared" si="59"/>
        <v/>
      </c>
      <c r="G238" s="13" t="str">
        <f t="shared" si="65"/>
        <v/>
      </c>
      <c r="H238">
        <f t="shared" si="66"/>
        <v>0</v>
      </c>
      <c r="I238">
        <f t="shared" si="67"/>
        <v>0</v>
      </c>
      <c r="J238" s="13">
        <f t="shared" si="68"/>
        <v>155</v>
      </c>
      <c r="K238">
        <f t="shared" si="60"/>
        <v>2</v>
      </c>
      <c r="L238">
        <f t="shared" si="61"/>
        <v>35</v>
      </c>
      <c r="M238" s="13">
        <f t="shared" si="69"/>
        <v>0</v>
      </c>
      <c r="N238">
        <f t="shared" si="69"/>
        <v>27</v>
      </c>
      <c r="O238" s="14">
        <f t="shared" si="57"/>
        <v>27</v>
      </c>
      <c r="P238" s="13">
        <f t="shared" si="62"/>
        <v>0</v>
      </c>
      <c r="Q238">
        <f t="shared" si="70"/>
        <v>27</v>
      </c>
      <c r="R238" s="14">
        <f t="shared" si="71"/>
        <v>27</v>
      </c>
      <c r="S238" s="15"/>
      <c r="W238" s="14"/>
    </row>
    <row r="239" spans="1:23" x14ac:dyDescent="0.25">
      <c r="A239" s="16"/>
      <c r="B239" s="17" t="b">
        <f t="shared" si="64"/>
        <v>0</v>
      </c>
      <c r="C239" s="17" t="b">
        <f t="shared" si="56"/>
        <v>0</v>
      </c>
      <c r="D239" s="17">
        <f t="shared" si="58"/>
        <v>1</v>
      </c>
      <c r="E239" s="17" t="str">
        <f t="shared" si="63"/>
        <v>Section 10 - Spring Boot - Deployement</v>
      </c>
      <c r="F239" s="18" t="str">
        <f t="shared" si="59"/>
        <v/>
      </c>
      <c r="G239" s="13" t="str">
        <f t="shared" si="65"/>
        <v/>
      </c>
      <c r="H239">
        <f t="shared" si="66"/>
        <v>0</v>
      </c>
      <c r="I239">
        <f t="shared" si="67"/>
        <v>0</v>
      </c>
      <c r="J239" s="13">
        <f t="shared" si="68"/>
        <v>155</v>
      </c>
      <c r="K239">
        <f t="shared" si="60"/>
        <v>2</v>
      </c>
      <c r="L239">
        <f t="shared" si="61"/>
        <v>35</v>
      </c>
      <c r="M239" s="13">
        <f t="shared" si="69"/>
        <v>0</v>
      </c>
      <c r="N239">
        <f t="shared" si="69"/>
        <v>27</v>
      </c>
      <c r="O239" s="14">
        <f t="shared" si="57"/>
        <v>27</v>
      </c>
      <c r="P239" s="13">
        <f t="shared" si="62"/>
        <v>0</v>
      </c>
      <c r="Q239">
        <f t="shared" si="70"/>
        <v>27</v>
      </c>
      <c r="R239" s="14">
        <f t="shared" si="71"/>
        <v>27</v>
      </c>
      <c r="S239" s="15"/>
      <c r="W239" s="14"/>
    </row>
    <row r="240" spans="1:23" x14ac:dyDescent="0.25">
      <c r="A240" s="16"/>
      <c r="B240" s="17" t="b">
        <f t="shared" si="64"/>
        <v>0</v>
      </c>
      <c r="C240" s="17" t="b">
        <f t="shared" si="56"/>
        <v>0</v>
      </c>
      <c r="D240" s="17">
        <f t="shared" si="58"/>
        <v>1</v>
      </c>
      <c r="E240" s="17" t="str">
        <f t="shared" si="63"/>
        <v>Section 10 - Spring Boot - Deployement</v>
      </c>
      <c r="F240" s="18" t="str">
        <f t="shared" si="59"/>
        <v/>
      </c>
      <c r="G240" s="13" t="str">
        <f t="shared" si="65"/>
        <v/>
      </c>
      <c r="H240">
        <f t="shared" si="66"/>
        <v>0</v>
      </c>
      <c r="I240">
        <f t="shared" si="67"/>
        <v>0</v>
      </c>
      <c r="J240" s="13">
        <f t="shared" si="68"/>
        <v>155</v>
      </c>
      <c r="K240">
        <f t="shared" si="60"/>
        <v>2</v>
      </c>
      <c r="L240">
        <f t="shared" si="61"/>
        <v>35</v>
      </c>
      <c r="M240" s="13">
        <f t="shared" si="69"/>
        <v>0</v>
      </c>
      <c r="N240">
        <f t="shared" si="69"/>
        <v>27</v>
      </c>
      <c r="O240" s="14">
        <f t="shared" si="57"/>
        <v>27</v>
      </c>
      <c r="P240" s="13">
        <f t="shared" si="62"/>
        <v>0</v>
      </c>
      <c r="Q240">
        <f t="shared" si="70"/>
        <v>27</v>
      </c>
      <c r="R240" s="14">
        <f t="shared" si="71"/>
        <v>27</v>
      </c>
      <c r="S240" s="15"/>
      <c r="W240" s="14"/>
    </row>
    <row r="241" spans="1:23" x14ac:dyDescent="0.25">
      <c r="A241" s="16"/>
      <c r="B241" s="17" t="b">
        <f t="shared" si="64"/>
        <v>0</v>
      </c>
      <c r="C241" s="17" t="b">
        <f t="shared" si="56"/>
        <v>0</v>
      </c>
      <c r="D241" s="17">
        <f t="shared" si="58"/>
        <v>1</v>
      </c>
      <c r="E241" s="17" t="str">
        <f t="shared" si="63"/>
        <v>Section 10 - Spring Boot - Deployement</v>
      </c>
      <c r="F241" s="18" t="str">
        <f t="shared" si="59"/>
        <v/>
      </c>
      <c r="G241" s="13" t="str">
        <f t="shared" si="65"/>
        <v/>
      </c>
      <c r="H241">
        <f t="shared" si="66"/>
        <v>0</v>
      </c>
      <c r="I241">
        <f t="shared" si="67"/>
        <v>0</v>
      </c>
      <c r="J241" s="13">
        <f t="shared" si="68"/>
        <v>155</v>
      </c>
      <c r="K241">
        <f t="shared" si="60"/>
        <v>2</v>
      </c>
      <c r="L241">
        <f t="shared" si="61"/>
        <v>35</v>
      </c>
      <c r="M241" s="13">
        <f t="shared" si="69"/>
        <v>0</v>
      </c>
      <c r="N241">
        <f t="shared" si="69"/>
        <v>27</v>
      </c>
      <c r="O241" s="14">
        <f t="shared" si="57"/>
        <v>27</v>
      </c>
      <c r="P241" s="13">
        <f t="shared" si="62"/>
        <v>0</v>
      </c>
      <c r="Q241">
        <f t="shared" si="70"/>
        <v>27</v>
      </c>
      <c r="R241" s="14">
        <f t="shared" si="71"/>
        <v>27</v>
      </c>
      <c r="S241" s="15"/>
      <c r="W241" s="14"/>
    </row>
    <row r="242" spans="1:23" x14ac:dyDescent="0.25">
      <c r="A242" s="16"/>
      <c r="B242" s="17" t="b">
        <f t="shared" si="64"/>
        <v>0</v>
      </c>
      <c r="C242" s="17" t="b">
        <f t="shared" si="56"/>
        <v>0</v>
      </c>
      <c r="D242" s="17">
        <f t="shared" si="58"/>
        <v>1</v>
      </c>
      <c r="E242" s="17" t="str">
        <f t="shared" si="63"/>
        <v>Section 10 - Spring Boot - Deployement</v>
      </c>
      <c r="F242" s="18" t="str">
        <f t="shared" si="59"/>
        <v/>
      </c>
      <c r="G242" s="13" t="str">
        <f t="shared" si="65"/>
        <v/>
      </c>
      <c r="H242">
        <f t="shared" si="66"/>
        <v>0</v>
      </c>
      <c r="I242">
        <f t="shared" si="67"/>
        <v>0</v>
      </c>
      <c r="J242" s="13">
        <f t="shared" si="68"/>
        <v>155</v>
      </c>
      <c r="K242">
        <f t="shared" si="60"/>
        <v>2</v>
      </c>
      <c r="L242">
        <f t="shared" si="61"/>
        <v>35</v>
      </c>
      <c r="M242" s="13">
        <f t="shared" si="69"/>
        <v>0</v>
      </c>
      <c r="N242">
        <f t="shared" si="69"/>
        <v>27</v>
      </c>
      <c r="O242" s="14">
        <f t="shared" si="57"/>
        <v>27</v>
      </c>
      <c r="P242" s="13">
        <f t="shared" si="62"/>
        <v>0</v>
      </c>
      <c r="Q242">
        <f t="shared" si="70"/>
        <v>27</v>
      </c>
      <c r="R242" s="14">
        <f t="shared" si="71"/>
        <v>27</v>
      </c>
      <c r="S242" s="15"/>
      <c r="W242" s="14"/>
    </row>
    <row r="243" spans="1:23" x14ac:dyDescent="0.25">
      <c r="A243" s="16"/>
      <c r="B243" s="17" t="b">
        <f t="shared" si="64"/>
        <v>0</v>
      </c>
      <c r="C243" s="17" t="b">
        <f t="shared" si="56"/>
        <v>0</v>
      </c>
      <c r="D243" s="17">
        <f t="shared" si="58"/>
        <v>1</v>
      </c>
      <c r="E243" s="17" t="str">
        <f t="shared" si="63"/>
        <v>Section 10 - Spring Boot - Deployement</v>
      </c>
      <c r="F243" s="18" t="str">
        <f t="shared" si="59"/>
        <v/>
      </c>
      <c r="G243" s="13" t="str">
        <f t="shared" si="65"/>
        <v/>
      </c>
      <c r="H243">
        <f t="shared" si="66"/>
        <v>0</v>
      </c>
      <c r="I243">
        <f t="shared" si="67"/>
        <v>0</v>
      </c>
      <c r="J243" s="13">
        <f t="shared" si="68"/>
        <v>155</v>
      </c>
      <c r="K243">
        <f t="shared" si="60"/>
        <v>2</v>
      </c>
      <c r="L243">
        <f t="shared" si="61"/>
        <v>35</v>
      </c>
      <c r="M243" s="13">
        <f t="shared" si="69"/>
        <v>0</v>
      </c>
      <c r="N243">
        <f t="shared" si="69"/>
        <v>27</v>
      </c>
      <c r="O243" s="14">
        <f t="shared" si="57"/>
        <v>27</v>
      </c>
      <c r="P243" s="13">
        <f t="shared" si="62"/>
        <v>0</v>
      </c>
      <c r="Q243">
        <f t="shared" si="70"/>
        <v>27</v>
      </c>
      <c r="R243" s="14">
        <f t="shared" si="71"/>
        <v>27</v>
      </c>
      <c r="S243" s="15"/>
      <c r="W243" s="14"/>
    </row>
    <row r="244" spans="1:23" x14ac:dyDescent="0.25">
      <c r="A244" s="16"/>
      <c r="B244" s="17" t="b">
        <f t="shared" si="64"/>
        <v>0</v>
      </c>
      <c r="C244" s="17" t="b">
        <f t="shared" si="56"/>
        <v>0</v>
      </c>
      <c r="D244" s="17">
        <f t="shared" si="58"/>
        <v>1</v>
      </c>
      <c r="E244" s="17" t="str">
        <f t="shared" si="63"/>
        <v>Section 10 - Spring Boot - Deployement</v>
      </c>
      <c r="F244" s="18" t="str">
        <f t="shared" si="59"/>
        <v/>
      </c>
      <c r="G244" s="13" t="str">
        <f t="shared" si="65"/>
        <v/>
      </c>
      <c r="H244">
        <f t="shared" si="66"/>
        <v>0</v>
      </c>
      <c r="I244">
        <f t="shared" si="67"/>
        <v>0</v>
      </c>
      <c r="J244" s="13">
        <f t="shared" si="68"/>
        <v>155</v>
      </c>
      <c r="K244">
        <f t="shared" si="60"/>
        <v>2</v>
      </c>
      <c r="L244">
        <f t="shared" si="61"/>
        <v>35</v>
      </c>
      <c r="M244" s="13">
        <f t="shared" si="69"/>
        <v>0</v>
      </c>
      <c r="N244">
        <f t="shared" si="69"/>
        <v>27</v>
      </c>
      <c r="O244" s="14">
        <f t="shared" si="57"/>
        <v>27</v>
      </c>
      <c r="P244" s="13">
        <f t="shared" si="62"/>
        <v>0</v>
      </c>
      <c r="Q244">
        <f t="shared" si="70"/>
        <v>27</v>
      </c>
      <c r="R244" s="14">
        <f t="shared" si="71"/>
        <v>27</v>
      </c>
      <c r="S244" s="15"/>
      <c r="W244" s="14"/>
    </row>
    <row r="245" spans="1:23" x14ac:dyDescent="0.25">
      <c r="A245" s="16"/>
      <c r="B245" s="17" t="b">
        <f t="shared" si="64"/>
        <v>0</v>
      </c>
      <c r="C245" s="17" t="b">
        <f t="shared" si="56"/>
        <v>0</v>
      </c>
      <c r="D245" s="17">
        <f t="shared" si="58"/>
        <v>1</v>
      </c>
      <c r="E245" s="17" t="str">
        <f t="shared" si="63"/>
        <v>Section 10 - Spring Boot - Deployement</v>
      </c>
      <c r="F245" s="18" t="str">
        <f t="shared" si="59"/>
        <v/>
      </c>
      <c r="G245" s="13" t="str">
        <f t="shared" si="65"/>
        <v/>
      </c>
      <c r="H245">
        <f t="shared" si="66"/>
        <v>0</v>
      </c>
      <c r="I245">
        <f t="shared" si="67"/>
        <v>0</v>
      </c>
      <c r="J245" s="13">
        <f t="shared" si="68"/>
        <v>155</v>
      </c>
      <c r="K245">
        <f t="shared" si="60"/>
        <v>2</v>
      </c>
      <c r="L245">
        <f t="shared" si="61"/>
        <v>35</v>
      </c>
      <c r="M245" s="13">
        <f t="shared" si="69"/>
        <v>0</v>
      </c>
      <c r="N245">
        <f t="shared" si="69"/>
        <v>27</v>
      </c>
      <c r="O245" s="14">
        <f t="shared" si="57"/>
        <v>27</v>
      </c>
      <c r="P245" s="13">
        <f t="shared" si="62"/>
        <v>0</v>
      </c>
      <c r="Q245">
        <f t="shared" si="70"/>
        <v>27</v>
      </c>
      <c r="R245" s="14">
        <f t="shared" si="71"/>
        <v>27</v>
      </c>
      <c r="S245" s="15"/>
      <c r="W245" s="14"/>
    </row>
    <row r="246" spans="1:23" x14ac:dyDescent="0.25">
      <c r="A246" s="16"/>
      <c r="B246" s="17" t="b">
        <f t="shared" si="64"/>
        <v>0</v>
      </c>
      <c r="C246" s="17" t="b">
        <f t="shared" si="56"/>
        <v>0</v>
      </c>
      <c r="D246" s="17">
        <f t="shared" si="58"/>
        <v>1</v>
      </c>
      <c r="E246" s="17" t="str">
        <f t="shared" si="63"/>
        <v>Section 10 - Spring Boot - Deployement</v>
      </c>
      <c r="F246" s="18" t="str">
        <f t="shared" si="59"/>
        <v/>
      </c>
      <c r="G246" s="13" t="str">
        <f t="shared" si="65"/>
        <v/>
      </c>
      <c r="H246">
        <f t="shared" si="66"/>
        <v>0</v>
      </c>
      <c r="I246">
        <f t="shared" si="67"/>
        <v>0</v>
      </c>
      <c r="J246" s="13">
        <f t="shared" si="68"/>
        <v>155</v>
      </c>
      <c r="K246">
        <f t="shared" si="60"/>
        <v>2</v>
      </c>
      <c r="L246">
        <f t="shared" si="61"/>
        <v>35</v>
      </c>
      <c r="M246" s="13">
        <f t="shared" si="69"/>
        <v>0</v>
      </c>
      <c r="N246">
        <f t="shared" si="69"/>
        <v>27</v>
      </c>
      <c r="O246" s="14">
        <f t="shared" si="57"/>
        <v>27</v>
      </c>
      <c r="P246" s="13">
        <f t="shared" si="62"/>
        <v>0</v>
      </c>
      <c r="Q246">
        <f t="shared" si="70"/>
        <v>27</v>
      </c>
      <c r="R246" s="14">
        <f t="shared" si="71"/>
        <v>27</v>
      </c>
      <c r="S246" s="15"/>
      <c r="W246" s="14"/>
    </row>
    <row r="247" spans="1:23" x14ac:dyDescent="0.25">
      <c r="A247" s="16"/>
      <c r="B247" s="17" t="b">
        <f t="shared" si="64"/>
        <v>0</v>
      </c>
      <c r="C247" s="17" t="b">
        <f t="shared" si="56"/>
        <v>0</v>
      </c>
      <c r="D247" s="17">
        <f t="shared" si="58"/>
        <v>1</v>
      </c>
      <c r="E247" s="17" t="str">
        <f t="shared" si="63"/>
        <v>Section 10 - Spring Boot - Deployement</v>
      </c>
      <c r="F247" s="18" t="str">
        <f t="shared" si="59"/>
        <v/>
      </c>
      <c r="G247" s="13" t="str">
        <f t="shared" si="65"/>
        <v/>
      </c>
      <c r="H247">
        <f t="shared" si="66"/>
        <v>0</v>
      </c>
      <c r="I247">
        <f t="shared" si="67"/>
        <v>0</v>
      </c>
      <c r="J247" s="13">
        <f t="shared" si="68"/>
        <v>155</v>
      </c>
      <c r="K247">
        <f t="shared" si="60"/>
        <v>2</v>
      </c>
      <c r="L247">
        <f t="shared" si="61"/>
        <v>35</v>
      </c>
      <c r="M247" s="13">
        <f t="shared" si="69"/>
        <v>0</v>
      </c>
      <c r="N247">
        <f t="shared" si="69"/>
        <v>27</v>
      </c>
      <c r="O247" s="14">
        <f t="shared" si="57"/>
        <v>27</v>
      </c>
      <c r="P247" s="13">
        <f t="shared" si="62"/>
        <v>0</v>
      </c>
      <c r="Q247">
        <f t="shared" si="70"/>
        <v>27</v>
      </c>
      <c r="R247" s="14">
        <f t="shared" si="71"/>
        <v>27</v>
      </c>
      <c r="S247" s="15"/>
      <c r="W247" s="14"/>
    </row>
    <row r="248" spans="1:23" x14ac:dyDescent="0.25">
      <c r="A248" s="16"/>
      <c r="B248" s="17" t="b">
        <f t="shared" si="64"/>
        <v>0</v>
      </c>
      <c r="C248" s="17" t="b">
        <f t="shared" si="56"/>
        <v>0</v>
      </c>
      <c r="D248" s="17">
        <f t="shared" si="58"/>
        <v>1</v>
      </c>
      <c r="E248" s="17" t="str">
        <f t="shared" si="63"/>
        <v>Section 10 - Spring Boot - Deployement</v>
      </c>
      <c r="F248" s="18" t="str">
        <f t="shared" si="59"/>
        <v/>
      </c>
      <c r="G248" s="13" t="str">
        <f t="shared" si="65"/>
        <v/>
      </c>
      <c r="H248">
        <f t="shared" si="66"/>
        <v>0</v>
      </c>
      <c r="I248">
        <f t="shared" si="67"/>
        <v>0</v>
      </c>
      <c r="J248" s="13">
        <f t="shared" si="68"/>
        <v>155</v>
      </c>
      <c r="K248">
        <f t="shared" si="60"/>
        <v>2</v>
      </c>
      <c r="L248">
        <f t="shared" si="61"/>
        <v>35</v>
      </c>
      <c r="M248" s="13">
        <f t="shared" si="69"/>
        <v>0</v>
      </c>
      <c r="N248">
        <f t="shared" si="69"/>
        <v>27</v>
      </c>
      <c r="O248" s="14">
        <f t="shared" si="57"/>
        <v>27</v>
      </c>
      <c r="P248" s="13">
        <f t="shared" si="62"/>
        <v>0</v>
      </c>
      <c r="Q248">
        <f t="shared" si="70"/>
        <v>27</v>
      </c>
      <c r="R248" s="14">
        <f t="shared" si="71"/>
        <v>27</v>
      </c>
      <c r="S248" s="15"/>
      <c r="W248" s="14"/>
    </row>
    <row r="249" spans="1:23" x14ac:dyDescent="0.25">
      <c r="A249" s="16"/>
      <c r="B249" s="17" t="b">
        <f t="shared" si="64"/>
        <v>0</v>
      </c>
      <c r="C249" s="17" t="b">
        <f t="shared" si="56"/>
        <v>0</v>
      </c>
      <c r="D249" s="17">
        <f t="shared" si="58"/>
        <v>1</v>
      </c>
      <c r="E249" s="17" t="str">
        <f t="shared" si="63"/>
        <v>Section 10 - Spring Boot - Deployement</v>
      </c>
      <c r="F249" s="18" t="str">
        <f t="shared" si="59"/>
        <v/>
      </c>
      <c r="G249" s="13" t="str">
        <f t="shared" si="65"/>
        <v/>
      </c>
      <c r="H249">
        <f t="shared" si="66"/>
        <v>0</v>
      </c>
      <c r="I249">
        <f t="shared" si="67"/>
        <v>0</v>
      </c>
      <c r="J249" s="13">
        <f t="shared" si="68"/>
        <v>155</v>
      </c>
      <c r="K249">
        <f t="shared" si="60"/>
        <v>2</v>
      </c>
      <c r="L249">
        <f t="shared" si="61"/>
        <v>35</v>
      </c>
      <c r="M249" s="13">
        <f t="shared" si="69"/>
        <v>0</v>
      </c>
      <c r="N249">
        <f t="shared" si="69"/>
        <v>27</v>
      </c>
      <c r="O249" s="14">
        <f t="shared" si="57"/>
        <v>27</v>
      </c>
      <c r="P249" s="13">
        <f t="shared" si="62"/>
        <v>0</v>
      </c>
      <c r="Q249">
        <f t="shared" si="70"/>
        <v>27</v>
      </c>
      <c r="R249" s="14">
        <f t="shared" si="71"/>
        <v>27</v>
      </c>
      <c r="S249" s="15"/>
      <c r="W249" s="14"/>
    </row>
    <row r="250" spans="1:23" x14ac:dyDescent="0.25">
      <c r="A250" s="16"/>
      <c r="B250" s="17" t="b">
        <f t="shared" si="64"/>
        <v>0</v>
      </c>
      <c r="C250" s="17" t="b">
        <f t="shared" si="56"/>
        <v>0</v>
      </c>
      <c r="D250" s="17">
        <f t="shared" si="58"/>
        <v>1</v>
      </c>
      <c r="E250" s="17" t="str">
        <f t="shared" si="63"/>
        <v>Section 10 - Spring Boot - Deployement</v>
      </c>
      <c r="F250" s="18" t="str">
        <f t="shared" si="59"/>
        <v/>
      </c>
      <c r="G250" s="13" t="str">
        <f t="shared" si="65"/>
        <v/>
      </c>
      <c r="H250">
        <f t="shared" si="66"/>
        <v>0</v>
      </c>
      <c r="I250">
        <f t="shared" si="67"/>
        <v>0</v>
      </c>
      <c r="J250" s="13">
        <f t="shared" si="68"/>
        <v>155</v>
      </c>
      <c r="K250">
        <f t="shared" si="60"/>
        <v>2</v>
      </c>
      <c r="L250">
        <f t="shared" si="61"/>
        <v>35</v>
      </c>
      <c r="M250" s="13">
        <f t="shared" si="69"/>
        <v>0</v>
      </c>
      <c r="N250">
        <f t="shared" si="69"/>
        <v>27</v>
      </c>
      <c r="O250" s="14">
        <f t="shared" si="57"/>
        <v>27</v>
      </c>
      <c r="P250" s="13">
        <f t="shared" si="62"/>
        <v>0</v>
      </c>
      <c r="Q250">
        <f t="shared" si="70"/>
        <v>27</v>
      </c>
      <c r="R250" s="14">
        <f t="shared" si="71"/>
        <v>27</v>
      </c>
      <c r="S250" s="15"/>
      <c r="W250" s="14"/>
    </row>
    <row r="251" spans="1:23" x14ac:dyDescent="0.25">
      <c r="A251" s="16"/>
      <c r="B251" s="17" t="b">
        <f t="shared" si="64"/>
        <v>0</v>
      </c>
      <c r="C251" s="17" t="b">
        <f t="shared" si="56"/>
        <v>0</v>
      </c>
      <c r="D251" s="17">
        <f t="shared" si="58"/>
        <v>1</v>
      </c>
      <c r="E251" s="17" t="str">
        <f t="shared" si="63"/>
        <v>Section 10 - Spring Boot - Deployement</v>
      </c>
      <c r="F251" s="18" t="str">
        <f t="shared" si="59"/>
        <v/>
      </c>
      <c r="G251" s="13" t="str">
        <f t="shared" si="65"/>
        <v/>
      </c>
      <c r="H251">
        <f t="shared" si="66"/>
        <v>0</v>
      </c>
      <c r="I251">
        <f t="shared" si="67"/>
        <v>0</v>
      </c>
      <c r="J251" s="13">
        <f t="shared" si="68"/>
        <v>155</v>
      </c>
      <c r="K251">
        <f t="shared" si="60"/>
        <v>2</v>
      </c>
      <c r="L251">
        <f t="shared" si="61"/>
        <v>35</v>
      </c>
      <c r="M251" s="13">
        <f t="shared" si="69"/>
        <v>0</v>
      </c>
      <c r="N251">
        <f t="shared" si="69"/>
        <v>27</v>
      </c>
      <c r="O251" s="14">
        <f t="shared" si="57"/>
        <v>27</v>
      </c>
      <c r="P251" s="13">
        <f t="shared" si="62"/>
        <v>0</v>
      </c>
      <c r="Q251">
        <f t="shared" si="70"/>
        <v>27</v>
      </c>
      <c r="R251" s="14">
        <f t="shared" si="71"/>
        <v>27</v>
      </c>
      <c r="S251" s="15"/>
      <c r="W251" s="14"/>
    </row>
    <row r="252" spans="1:23" x14ac:dyDescent="0.25">
      <c r="A252" s="16"/>
      <c r="B252" s="17" t="b">
        <f t="shared" si="64"/>
        <v>0</v>
      </c>
      <c r="C252" s="17" t="b">
        <f t="shared" si="56"/>
        <v>0</v>
      </c>
      <c r="D252" s="17">
        <f t="shared" si="58"/>
        <v>1</v>
      </c>
      <c r="E252" s="17" t="str">
        <f t="shared" si="63"/>
        <v>Section 10 - Spring Boot - Deployement</v>
      </c>
      <c r="F252" s="18" t="str">
        <f t="shared" si="59"/>
        <v/>
      </c>
      <c r="G252" s="13" t="str">
        <f t="shared" si="65"/>
        <v/>
      </c>
      <c r="H252">
        <f t="shared" si="66"/>
        <v>0</v>
      </c>
      <c r="I252">
        <f t="shared" si="67"/>
        <v>0</v>
      </c>
      <c r="J252" s="13">
        <f t="shared" si="68"/>
        <v>155</v>
      </c>
      <c r="K252">
        <f t="shared" si="60"/>
        <v>2</v>
      </c>
      <c r="L252">
        <f t="shared" si="61"/>
        <v>35</v>
      </c>
      <c r="M252" s="13">
        <f t="shared" si="69"/>
        <v>0</v>
      </c>
      <c r="N252">
        <f t="shared" si="69"/>
        <v>27</v>
      </c>
      <c r="O252" s="14">
        <f t="shared" si="57"/>
        <v>27</v>
      </c>
      <c r="P252" s="13">
        <f t="shared" si="62"/>
        <v>0</v>
      </c>
      <c r="Q252">
        <f t="shared" si="70"/>
        <v>27</v>
      </c>
      <c r="R252" s="14">
        <f t="shared" si="71"/>
        <v>27</v>
      </c>
      <c r="S252" s="15"/>
      <c r="W252" s="14"/>
    </row>
    <row r="253" spans="1:23" x14ac:dyDescent="0.25">
      <c r="A253" s="16"/>
      <c r="B253" s="17" t="b">
        <f t="shared" si="64"/>
        <v>0</v>
      </c>
      <c r="C253" s="17" t="b">
        <f t="shared" si="56"/>
        <v>0</v>
      </c>
      <c r="D253" s="17">
        <f t="shared" si="58"/>
        <v>1</v>
      </c>
      <c r="E253" s="17" t="str">
        <f t="shared" si="63"/>
        <v>Section 10 - Spring Boot - Deployement</v>
      </c>
      <c r="F253" s="18" t="str">
        <f t="shared" si="59"/>
        <v/>
      </c>
      <c r="G253" s="13" t="str">
        <f t="shared" si="65"/>
        <v/>
      </c>
      <c r="H253">
        <f t="shared" si="66"/>
        <v>0</v>
      </c>
      <c r="I253">
        <f t="shared" si="67"/>
        <v>0</v>
      </c>
      <c r="J253" s="13">
        <f t="shared" si="68"/>
        <v>155</v>
      </c>
      <c r="K253">
        <f t="shared" si="60"/>
        <v>2</v>
      </c>
      <c r="L253">
        <f t="shared" si="61"/>
        <v>35</v>
      </c>
      <c r="M253" s="13">
        <f t="shared" si="69"/>
        <v>0</v>
      </c>
      <c r="N253">
        <f t="shared" si="69"/>
        <v>27</v>
      </c>
      <c r="O253" s="14">
        <f t="shared" si="57"/>
        <v>27</v>
      </c>
      <c r="P253" s="13">
        <f t="shared" si="62"/>
        <v>0</v>
      </c>
      <c r="Q253">
        <f t="shared" si="70"/>
        <v>27</v>
      </c>
      <c r="R253" s="14">
        <f t="shared" si="71"/>
        <v>27</v>
      </c>
      <c r="S253" s="15"/>
      <c r="W253" s="14"/>
    </row>
    <row r="254" spans="1:23" x14ac:dyDescent="0.25">
      <c r="A254" s="16"/>
      <c r="B254" s="17" t="b">
        <f t="shared" si="64"/>
        <v>0</v>
      </c>
      <c r="C254" s="17" t="b">
        <f t="shared" si="56"/>
        <v>0</v>
      </c>
      <c r="D254" s="17">
        <f t="shared" si="58"/>
        <v>1</v>
      </c>
      <c r="E254" s="17" t="str">
        <f t="shared" si="63"/>
        <v>Section 10 - Spring Boot - Deployement</v>
      </c>
      <c r="F254" s="18" t="str">
        <f t="shared" si="59"/>
        <v/>
      </c>
      <c r="G254" s="13" t="str">
        <f t="shared" si="65"/>
        <v/>
      </c>
      <c r="H254">
        <f t="shared" si="66"/>
        <v>0</v>
      </c>
      <c r="I254">
        <f t="shared" si="67"/>
        <v>0</v>
      </c>
      <c r="J254" s="13">
        <f t="shared" si="68"/>
        <v>155</v>
      </c>
      <c r="K254">
        <f t="shared" si="60"/>
        <v>2</v>
      </c>
      <c r="L254">
        <f t="shared" si="61"/>
        <v>35</v>
      </c>
      <c r="M254" s="13">
        <f t="shared" si="69"/>
        <v>0</v>
      </c>
      <c r="N254">
        <f t="shared" si="69"/>
        <v>27</v>
      </c>
      <c r="O254" s="14">
        <f t="shared" si="57"/>
        <v>27</v>
      </c>
      <c r="P254" s="13">
        <f t="shared" si="62"/>
        <v>0</v>
      </c>
      <c r="Q254">
        <f t="shared" si="70"/>
        <v>27</v>
      </c>
      <c r="R254" s="14">
        <f t="shared" si="71"/>
        <v>27</v>
      </c>
      <c r="S254" s="15"/>
      <c r="W254" s="14"/>
    </row>
    <row r="255" spans="1:23" x14ac:dyDescent="0.25">
      <c r="A255" s="16"/>
      <c r="B255" s="17" t="b">
        <f t="shared" si="64"/>
        <v>0</v>
      </c>
      <c r="C255" s="17" t="b">
        <f t="shared" si="56"/>
        <v>0</v>
      </c>
      <c r="D255" s="17">
        <f t="shared" si="58"/>
        <v>1</v>
      </c>
      <c r="E255" s="17" t="str">
        <f t="shared" si="63"/>
        <v>Section 10 - Spring Boot - Deployement</v>
      </c>
      <c r="F255" s="18" t="str">
        <f t="shared" si="59"/>
        <v/>
      </c>
      <c r="G255" s="13" t="str">
        <f t="shared" si="65"/>
        <v/>
      </c>
      <c r="H255">
        <f t="shared" si="66"/>
        <v>0</v>
      </c>
      <c r="I255">
        <f t="shared" si="67"/>
        <v>0</v>
      </c>
      <c r="J255" s="13">
        <f t="shared" si="68"/>
        <v>155</v>
      </c>
      <c r="K255">
        <f t="shared" si="60"/>
        <v>2</v>
      </c>
      <c r="L255">
        <f t="shared" si="61"/>
        <v>35</v>
      </c>
      <c r="M255" s="13">
        <f t="shared" si="69"/>
        <v>0</v>
      </c>
      <c r="N255">
        <f t="shared" si="69"/>
        <v>27</v>
      </c>
      <c r="O255" s="14">
        <f t="shared" si="57"/>
        <v>27</v>
      </c>
      <c r="P255" s="13">
        <f t="shared" si="62"/>
        <v>0</v>
      </c>
      <c r="Q255">
        <f t="shared" si="70"/>
        <v>27</v>
      </c>
      <c r="R255" s="14">
        <f t="shared" si="71"/>
        <v>27</v>
      </c>
      <c r="S255" s="15"/>
      <c r="W255" s="14"/>
    </row>
    <row r="256" spans="1:23" x14ac:dyDescent="0.25">
      <c r="A256" s="16"/>
      <c r="B256" s="17" t="b">
        <f t="shared" si="64"/>
        <v>0</v>
      </c>
      <c r="C256" s="17" t="b">
        <f t="shared" ref="C256:C319" si="72">OR(NOT(ISERROR(FIND("hr",A257))), NOT(ISERROR(FIND("min ",A257))),RIGHT(A257,3)="min")</f>
        <v>0</v>
      </c>
      <c r="D256" s="17">
        <f t="shared" si="58"/>
        <v>1</v>
      </c>
      <c r="E256" s="17" t="str">
        <f t="shared" si="63"/>
        <v>Section 10 - Spring Boot - Deployement</v>
      </c>
      <c r="F256" s="18" t="str">
        <f t="shared" si="59"/>
        <v/>
      </c>
      <c r="G256" s="13" t="str">
        <f t="shared" si="65"/>
        <v/>
      </c>
      <c r="H256">
        <f t="shared" si="66"/>
        <v>0</v>
      </c>
      <c r="I256">
        <f t="shared" si="67"/>
        <v>0</v>
      </c>
      <c r="J256" s="13">
        <f t="shared" si="68"/>
        <v>155</v>
      </c>
      <c r="K256">
        <f t="shared" si="60"/>
        <v>2</v>
      </c>
      <c r="L256">
        <f t="shared" si="61"/>
        <v>35</v>
      </c>
      <c r="M256" s="13">
        <f t="shared" si="69"/>
        <v>0</v>
      </c>
      <c r="N256">
        <f t="shared" si="69"/>
        <v>27</v>
      </c>
      <c r="O256" s="14">
        <f t="shared" si="57"/>
        <v>27</v>
      </c>
      <c r="P256" s="13">
        <f t="shared" si="62"/>
        <v>0</v>
      </c>
      <c r="Q256">
        <f t="shared" si="70"/>
        <v>27</v>
      </c>
      <c r="R256" s="14">
        <f t="shared" si="71"/>
        <v>27</v>
      </c>
      <c r="S256" s="15"/>
      <c r="W256" s="14"/>
    </row>
    <row r="257" spans="1:23" x14ac:dyDescent="0.25">
      <c r="A257" s="16"/>
      <c r="B257" s="17" t="b">
        <f t="shared" si="64"/>
        <v>0</v>
      </c>
      <c r="C257" s="17" t="b">
        <f t="shared" si="72"/>
        <v>0</v>
      </c>
      <c r="D257" s="17">
        <f t="shared" si="58"/>
        <v>1</v>
      </c>
      <c r="E257" s="17" t="str">
        <f t="shared" si="63"/>
        <v>Section 10 - Spring Boot - Deployement</v>
      </c>
      <c r="F257" s="18" t="str">
        <f t="shared" si="59"/>
        <v/>
      </c>
      <c r="G257" s="13" t="str">
        <f t="shared" si="65"/>
        <v/>
      </c>
      <c r="H257">
        <f t="shared" si="66"/>
        <v>0</v>
      </c>
      <c r="I257">
        <f t="shared" si="67"/>
        <v>0</v>
      </c>
      <c r="J257" s="13">
        <f t="shared" si="68"/>
        <v>155</v>
      </c>
      <c r="K257">
        <f t="shared" si="60"/>
        <v>2</v>
      </c>
      <c r="L257">
        <f t="shared" si="61"/>
        <v>35</v>
      </c>
      <c r="M257" s="13">
        <f t="shared" si="69"/>
        <v>0</v>
      </c>
      <c r="N257">
        <f t="shared" si="69"/>
        <v>27</v>
      </c>
      <c r="O257" s="14">
        <f t="shared" si="57"/>
        <v>27</v>
      </c>
      <c r="P257" s="13">
        <f t="shared" si="62"/>
        <v>0</v>
      </c>
      <c r="Q257">
        <f t="shared" si="70"/>
        <v>27</v>
      </c>
      <c r="R257" s="14">
        <f t="shared" si="71"/>
        <v>27</v>
      </c>
      <c r="S257" s="15"/>
      <c r="W257" s="14"/>
    </row>
    <row r="258" spans="1:23" x14ac:dyDescent="0.25">
      <c r="A258" s="16"/>
      <c r="B258" s="17" t="b">
        <f t="shared" si="64"/>
        <v>0</v>
      </c>
      <c r="C258" s="17" t="b">
        <f t="shared" si="72"/>
        <v>0</v>
      </c>
      <c r="D258" s="17">
        <f t="shared" si="58"/>
        <v>1</v>
      </c>
      <c r="E258" s="17" t="str">
        <f t="shared" si="63"/>
        <v>Section 10 - Spring Boot - Deployement</v>
      </c>
      <c r="F258" s="18" t="str">
        <f t="shared" si="59"/>
        <v/>
      </c>
      <c r="G258" s="13" t="str">
        <f t="shared" si="65"/>
        <v/>
      </c>
      <c r="H258">
        <f t="shared" si="66"/>
        <v>0</v>
      </c>
      <c r="I258">
        <f t="shared" si="67"/>
        <v>0</v>
      </c>
      <c r="J258" s="13">
        <f t="shared" si="68"/>
        <v>155</v>
      </c>
      <c r="K258">
        <f t="shared" si="60"/>
        <v>2</v>
      </c>
      <c r="L258">
        <f t="shared" si="61"/>
        <v>35</v>
      </c>
      <c r="M258" s="13">
        <f t="shared" si="69"/>
        <v>0</v>
      </c>
      <c r="N258">
        <f t="shared" si="69"/>
        <v>27</v>
      </c>
      <c r="O258" s="14">
        <f t="shared" si="57"/>
        <v>27</v>
      </c>
      <c r="P258" s="13">
        <f t="shared" si="62"/>
        <v>0</v>
      </c>
      <c r="Q258">
        <f t="shared" si="70"/>
        <v>27</v>
      </c>
      <c r="R258" s="14">
        <f t="shared" si="71"/>
        <v>27</v>
      </c>
      <c r="S258" s="15"/>
      <c r="W258" s="14"/>
    </row>
    <row r="259" spans="1:23" x14ac:dyDescent="0.25">
      <c r="A259" s="16"/>
      <c r="B259" s="17" t="b">
        <f t="shared" si="64"/>
        <v>0</v>
      </c>
      <c r="C259" s="17" t="b">
        <f t="shared" si="72"/>
        <v>0</v>
      </c>
      <c r="D259" s="17">
        <f t="shared" si="58"/>
        <v>1</v>
      </c>
      <c r="E259" s="17" t="str">
        <f t="shared" si="63"/>
        <v>Section 10 - Spring Boot - Deployement</v>
      </c>
      <c r="F259" s="18" t="str">
        <f t="shared" si="59"/>
        <v/>
      </c>
      <c r="G259" s="13" t="str">
        <f t="shared" si="65"/>
        <v/>
      </c>
      <c r="H259">
        <f t="shared" si="66"/>
        <v>0</v>
      </c>
      <c r="I259">
        <f t="shared" si="67"/>
        <v>0</v>
      </c>
      <c r="J259" s="13">
        <f t="shared" si="68"/>
        <v>155</v>
      </c>
      <c r="K259">
        <f t="shared" si="60"/>
        <v>2</v>
      </c>
      <c r="L259">
        <f t="shared" si="61"/>
        <v>35</v>
      </c>
      <c r="M259" s="13">
        <f t="shared" si="69"/>
        <v>0</v>
      </c>
      <c r="N259">
        <f t="shared" si="69"/>
        <v>27</v>
      </c>
      <c r="O259" s="14">
        <f t="shared" si="57"/>
        <v>27</v>
      </c>
      <c r="P259" s="13">
        <f t="shared" si="62"/>
        <v>0</v>
      </c>
      <c r="Q259">
        <f t="shared" si="70"/>
        <v>27</v>
      </c>
      <c r="R259" s="14">
        <f t="shared" si="71"/>
        <v>27</v>
      </c>
      <c r="S259" s="15"/>
      <c r="W259" s="14"/>
    </row>
    <row r="260" spans="1:23" x14ac:dyDescent="0.25">
      <c r="A260" s="16"/>
      <c r="B260" s="17" t="b">
        <f t="shared" si="64"/>
        <v>0</v>
      </c>
      <c r="C260" s="17" t="b">
        <f t="shared" si="72"/>
        <v>0</v>
      </c>
      <c r="D260" s="17">
        <f t="shared" si="58"/>
        <v>1</v>
      </c>
      <c r="E260" s="17" t="str">
        <f t="shared" si="63"/>
        <v>Section 10 - Spring Boot - Deployement</v>
      </c>
      <c r="F260" s="18" t="str">
        <f t="shared" si="59"/>
        <v/>
      </c>
      <c r="G260" s="13" t="str">
        <f t="shared" si="65"/>
        <v/>
      </c>
      <c r="H260">
        <f t="shared" si="66"/>
        <v>0</v>
      </c>
      <c r="I260">
        <f t="shared" si="67"/>
        <v>0</v>
      </c>
      <c r="J260" s="13">
        <f t="shared" si="68"/>
        <v>155</v>
      </c>
      <c r="K260">
        <f t="shared" si="60"/>
        <v>2</v>
      </c>
      <c r="L260">
        <f t="shared" si="61"/>
        <v>35</v>
      </c>
      <c r="M260" s="13">
        <f t="shared" si="69"/>
        <v>0</v>
      </c>
      <c r="N260">
        <f t="shared" si="69"/>
        <v>27</v>
      </c>
      <c r="O260" s="14">
        <f t="shared" si="57"/>
        <v>27</v>
      </c>
      <c r="P260" s="13">
        <f t="shared" si="62"/>
        <v>0</v>
      </c>
      <c r="Q260">
        <f t="shared" si="70"/>
        <v>27</v>
      </c>
      <c r="R260" s="14">
        <f t="shared" si="71"/>
        <v>27</v>
      </c>
      <c r="S260" s="15"/>
      <c r="W260" s="14"/>
    </row>
    <row r="261" spans="1:23" x14ac:dyDescent="0.25">
      <c r="A261" s="16"/>
      <c r="B261" s="17" t="b">
        <f t="shared" si="64"/>
        <v>0</v>
      </c>
      <c r="C261" s="17" t="b">
        <f t="shared" si="72"/>
        <v>0</v>
      </c>
      <c r="D261" s="17">
        <f t="shared" si="58"/>
        <v>1</v>
      </c>
      <c r="E261" s="17" t="str">
        <f t="shared" si="63"/>
        <v>Section 10 - Spring Boot - Deployement</v>
      </c>
      <c r="F261" s="18" t="str">
        <f t="shared" si="59"/>
        <v/>
      </c>
      <c r="G261" s="13" t="str">
        <f t="shared" si="65"/>
        <v/>
      </c>
      <c r="H261">
        <f t="shared" si="66"/>
        <v>0</v>
      </c>
      <c r="I261">
        <f t="shared" si="67"/>
        <v>0</v>
      </c>
      <c r="J261" s="13">
        <f t="shared" si="68"/>
        <v>155</v>
      </c>
      <c r="K261">
        <f t="shared" si="60"/>
        <v>2</v>
      </c>
      <c r="L261">
        <f t="shared" si="61"/>
        <v>35</v>
      </c>
      <c r="M261" s="13">
        <f t="shared" si="69"/>
        <v>0</v>
      </c>
      <c r="N261">
        <f t="shared" si="69"/>
        <v>27</v>
      </c>
      <c r="O261" s="14">
        <f t="shared" si="57"/>
        <v>27</v>
      </c>
      <c r="P261" s="13">
        <f t="shared" si="62"/>
        <v>0</v>
      </c>
      <c r="Q261">
        <f t="shared" si="70"/>
        <v>27</v>
      </c>
      <c r="R261" s="14">
        <f t="shared" si="71"/>
        <v>27</v>
      </c>
      <c r="S261" s="15"/>
      <c r="W261" s="14"/>
    </row>
    <row r="262" spans="1:23" x14ac:dyDescent="0.25">
      <c r="A262" s="16"/>
      <c r="B262" s="17" t="b">
        <f t="shared" si="64"/>
        <v>0</v>
      </c>
      <c r="C262" s="17" t="b">
        <f t="shared" si="72"/>
        <v>0</v>
      </c>
      <c r="D262" s="17">
        <f t="shared" si="58"/>
        <v>1</v>
      </c>
      <c r="E262" s="17" t="str">
        <f t="shared" si="63"/>
        <v>Section 10 - Spring Boot - Deployement</v>
      </c>
      <c r="F262" s="18" t="str">
        <f t="shared" si="59"/>
        <v/>
      </c>
      <c r="G262" s="13" t="str">
        <f t="shared" si="65"/>
        <v/>
      </c>
      <c r="H262">
        <f t="shared" si="66"/>
        <v>0</v>
      </c>
      <c r="I262">
        <f t="shared" si="67"/>
        <v>0</v>
      </c>
      <c r="J262" s="13">
        <f t="shared" si="68"/>
        <v>155</v>
      </c>
      <c r="K262">
        <f t="shared" si="60"/>
        <v>2</v>
      </c>
      <c r="L262">
        <f t="shared" si="61"/>
        <v>35</v>
      </c>
      <c r="M262" s="13">
        <f t="shared" si="69"/>
        <v>0</v>
      </c>
      <c r="N262">
        <f t="shared" si="69"/>
        <v>27</v>
      </c>
      <c r="O262" s="14">
        <f t="shared" si="57"/>
        <v>27</v>
      </c>
      <c r="P262" s="13">
        <f t="shared" si="62"/>
        <v>0</v>
      </c>
      <c r="Q262">
        <f t="shared" si="70"/>
        <v>27</v>
      </c>
      <c r="R262" s="14">
        <f t="shared" si="71"/>
        <v>27</v>
      </c>
      <c r="S262" s="15"/>
      <c r="W262" s="14"/>
    </row>
    <row r="263" spans="1:23" x14ac:dyDescent="0.25">
      <c r="A263" s="16"/>
      <c r="B263" s="17" t="b">
        <f t="shared" si="64"/>
        <v>0</v>
      </c>
      <c r="C263" s="17" t="b">
        <f t="shared" si="72"/>
        <v>0</v>
      </c>
      <c r="D263" s="17">
        <f t="shared" si="58"/>
        <v>1</v>
      </c>
      <c r="E263" s="17" t="str">
        <f t="shared" si="63"/>
        <v>Section 10 - Spring Boot - Deployement</v>
      </c>
      <c r="F263" s="18" t="str">
        <f t="shared" si="59"/>
        <v/>
      </c>
      <c r="G263" s="13" t="str">
        <f t="shared" si="65"/>
        <v/>
      </c>
      <c r="H263">
        <f t="shared" si="66"/>
        <v>0</v>
      </c>
      <c r="I263">
        <f t="shared" si="67"/>
        <v>0</v>
      </c>
      <c r="J263" s="13">
        <f t="shared" si="68"/>
        <v>155</v>
      </c>
      <c r="K263">
        <f t="shared" si="60"/>
        <v>2</v>
      </c>
      <c r="L263">
        <f t="shared" si="61"/>
        <v>35</v>
      </c>
      <c r="M263" s="13">
        <f t="shared" si="69"/>
        <v>0</v>
      </c>
      <c r="N263">
        <f t="shared" si="69"/>
        <v>27</v>
      </c>
      <c r="O263" s="14">
        <f t="shared" si="57"/>
        <v>27</v>
      </c>
      <c r="P263" s="13">
        <f t="shared" si="62"/>
        <v>0</v>
      </c>
      <c r="Q263">
        <f t="shared" si="70"/>
        <v>27</v>
      </c>
      <c r="R263" s="14">
        <f t="shared" si="71"/>
        <v>27</v>
      </c>
      <c r="S263" s="15"/>
      <c r="W263" s="14"/>
    </row>
    <row r="264" spans="1:23" x14ac:dyDescent="0.25">
      <c r="A264" s="16"/>
      <c r="B264" s="17" t="b">
        <f t="shared" si="64"/>
        <v>0</v>
      </c>
      <c r="C264" s="17" t="b">
        <f t="shared" si="72"/>
        <v>0</v>
      </c>
      <c r="D264" s="17">
        <f t="shared" si="58"/>
        <v>1</v>
      </c>
      <c r="E264" s="17" t="str">
        <f t="shared" si="63"/>
        <v>Section 10 - Spring Boot - Deployement</v>
      </c>
      <c r="F264" s="18" t="str">
        <f t="shared" si="59"/>
        <v/>
      </c>
      <c r="G264" s="13" t="str">
        <f t="shared" si="65"/>
        <v/>
      </c>
      <c r="H264">
        <f t="shared" si="66"/>
        <v>0</v>
      </c>
      <c r="I264">
        <f t="shared" si="67"/>
        <v>0</v>
      </c>
      <c r="J264" s="13">
        <f t="shared" si="68"/>
        <v>155</v>
      </c>
      <c r="K264">
        <f t="shared" si="60"/>
        <v>2</v>
      </c>
      <c r="L264">
        <f t="shared" si="61"/>
        <v>35</v>
      </c>
      <c r="M264" s="13">
        <f t="shared" si="69"/>
        <v>0</v>
      </c>
      <c r="N264">
        <f t="shared" si="69"/>
        <v>27</v>
      </c>
      <c r="O264" s="14">
        <f t="shared" si="57"/>
        <v>27</v>
      </c>
      <c r="P264" s="13">
        <f t="shared" si="62"/>
        <v>0</v>
      </c>
      <c r="Q264">
        <f t="shared" si="70"/>
        <v>27</v>
      </c>
      <c r="R264" s="14">
        <f t="shared" si="71"/>
        <v>27</v>
      </c>
      <c r="S264" s="15"/>
      <c r="W264" s="14"/>
    </row>
    <row r="265" spans="1:23" x14ac:dyDescent="0.25">
      <c r="A265" s="16"/>
      <c r="B265" s="17" t="b">
        <f t="shared" si="64"/>
        <v>0</v>
      </c>
      <c r="C265" s="17" t="b">
        <f t="shared" si="72"/>
        <v>0</v>
      </c>
      <c r="D265" s="17">
        <f t="shared" si="58"/>
        <v>1</v>
      </c>
      <c r="E265" s="17" t="str">
        <f t="shared" si="63"/>
        <v>Section 10 - Spring Boot - Deployement</v>
      </c>
      <c r="F265" s="18" t="str">
        <f t="shared" si="59"/>
        <v/>
      </c>
      <c r="G265" s="13" t="str">
        <f t="shared" si="65"/>
        <v/>
      </c>
      <c r="H265">
        <f t="shared" si="66"/>
        <v>0</v>
      </c>
      <c r="I265">
        <f t="shared" si="67"/>
        <v>0</v>
      </c>
      <c r="J265" s="13">
        <f t="shared" si="68"/>
        <v>155</v>
      </c>
      <c r="K265">
        <f t="shared" si="60"/>
        <v>2</v>
      </c>
      <c r="L265">
        <f t="shared" si="61"/>
        <v>35</v>
      </c>
      <c r="M265" s="13">
        <f t="shared" si="69"/>
        <v>0</v>
      </c>
      <c r="N265">
        <f t="shared" si="69"/>
        <v>27</v>
      </c>
      <c r="O265" s="14">
        <f t="shared" si="57"/>
        <v>27</v>
      </c>
      <c r="P265" s="13">
        <f t="shared" si="62"/>
        <v>0</v>
      </c>
      <c r="Q265">
        <f t="shared" si="70"/>
        <v>27</v>
      </c>
      <c r="R265" s="14">
        <f t="shared" si="71"/>
        <v>27</v>
      </c>
      <c r="S265" s="15"/>
      <c r="W265" s="14"/>
    </row>
    <row r="266" spans="1:23" x14ac:dyDescent="0.25">
      <c r="A266" s="16"/>
      <c r="B266" s="17" t="b">
        <f t="shared" si="64"/>
        <v>0</v>
      </c>
      <c r="C266" s="17" t="b">
        <f t="shared" si="72"/>
        <v>0</v>
      </c>
      <c r="D266" s="17">
        <f t="shared" si="58"/>
        <v>1</v>
      </c>
      <c r="E266" s="17" t="str">
        <f t="shared" si="63"/>
        <v>Section 10 - Spring Boot - Deployement</v>
      </c>
      <c r="F266" s="18" t="str">
        <f t="shared" si="59"/>
        <v/>
      </c>
      <c r="G266" s="13" t="str">
        <f t="shared" si="65"/>
        <v/>
      </c>
      <c r="H266">
        <f t="shared" si="66"/>
        <v>0</v>
      </c>
      <c r="I266">
        <f t="shared" si="67"/>
        <v>0</v>
      </c>
      <c r="J266" s="13">
        <f t="shared" si="68"/>
        <v>155</v>
      </c>
      <c r="K266">
        <f t="shared" si="60"/>
        <v>2</v>
      </c>
      <c r="L266">
        <f t="shared" si="61"/>
        <v>35</v>
      </c>
      <c r="M266" s="13">
        <f t="shared" si="69"/>
        <v>0</v>
      </c>
      <c r="N266">
        <f t="shared" si="69"/>
        <v>27</v>
      </c>
      <c r="O266" s="14">
        <f t="shared" ref="O266:O329" si="73">((M266*60)+N266)</f>
        <v>27</v>
      </c>
      <c r="P266" s="13">
        <f t="shared" si="62"/>
        <v>0</v>
      </c>
      <c r="Q266">
        <f t="shared" si="70"/>
        <v>27</v>
      </c>
      <c r="R266" s="14">
        <f t="shared" si="71"/>
        <v>27</v>
      </c>
      <c r="S266" s="15"/>
      <c r="W266" s="14"/>
    </row>
    <row r="267" spans="1:23" x14ac:dyDescent="0.25">
      <c r="A267" s="16"/>
      <c r="B267" s="17" t="b">
        <f t="shared" si="64"/>
        <v>0</v>
      </c>
      <c r="C267" s="17" t="b">
        <f t="shared" si="72"/>
        <v>0</v>
      </c>
      <c r="D267" s="17">
        <f t="shared" ref="D267:D330" si="74">IF(B267,0,IF(C267,D266+1,D266))</f>
        <v>1</v>
      </c>
      <c r="E267" s="17" t="str">
        <f t="shared" si="63"/>
        <v>Section 10 - Spring Boot - Deployement</v>
      </c>
      <c r="F267" s="18" t="str">
        <f t="shared" ref="F267:F330" si="75">IF(C267,A267,"")</f>
        <v/>
      </c>
      <c r="G267" s="13" t="str">
        <f t="shared" si="65"/>
        <v/>
      </c>
      <c r="H267">
        <f t="shared" si="66"/>
        <v>0</v>
      </c>
      <c r="I267">
        <f t="shared" si="67"/>
        <v>0</v>
      </c>
      <c r="J267" s="13">
        <f t="shared" si="68"/>
        <v>155</v>
      </c>
      <c r="K267">
        <f t="shared" ref="K267:K330" si="76">INT(J267/60)</f>
        <v>2</v>
      </c>
      <c r="L267">
        <f t="shared" ref="L267:L330" si="77">INT(J267-(K267*60))</f>
        <v>35</v>
      </c>
      <c r="M267" s="13">
        <f t="shared" si="69"/>
        <v>0</v>
      </c>
      <c r="N267">
        <f t="shared" si="69"/>
        <v>27</v>
      </c>
      <c r="O267" s="14">
        <f t="shared" si="73"/>
        <v>27</v>
      </c>
      <c r="P267" s="13">
        <f t="shared" ref="P267:P330" si="78">INT(R267/60)</f>
        <v>0</v>
      </c>
      <c r="Q267">
        <f t="shared" si="70"/>
        <v>27</v>
      </c>
      <c r="R267" s="14">
        <f t="shared" si="71"/>
        <v>27</v>
      </c>
      <c r="S267" s="15"/>
      <c r="W267" s="14"/>
    </row>
    <row r="268" spans="1:23" x14ac:dyDescent="0.25">
      <c r="A268" s="16"/>
      <c r="B268" s="17" t="b">
        <f t="shared" si="64"/>
        <v>0</v>
      </c>
      <c r="C268" s="17" t="b">
        <f t="shared" si="72"/>
        <v>0</v>
      </c>
      <c r="D268" s="17">
        <f t="shared" si="74"/>
        <v>1</v>
      </c>
      <c r="E268" s="17" t="str">
        <f t="shared" ref="E268:E331" si="79">SUBSTITUTE(IF(B268,A268,E267),":", " -")</f>
        <v>Section 10 - Spring Boot - Deployement</v>
      </c>
      <c r="F268" s="18" t="str">
        <f t="shared" si="75"/>
        <v/>
      </c>
      <c r="G268" s="13" t="str">
        <f t="shared" si="65"/>
        <v/>
      </c>
      <c r="H268">
        <f t="shared" si="66"/>
        <v>0</v>
      </c>
      <c r="I268">
        <f t="shared" si="67"/>
        <v>0</v>
      </c>
      <c r="J268" s="13">
        <f t="shared" si="68"/>
        <v>155</v>
      </c>
      <c r="K268">
        <f t="shared" si="76"/>
        <v>2</v>
      </c>
      <c r="L268">
        <f t="shared" si="77"/>
        <v>35</v>
      </c>
      <c r="M268" s="13">
        <f t="shared" si="69"/>
        <v>0</v>
      </c>
      <c r="N268">
        <f t="shared" si="69"/>
        <v>27</v>
      </c>
      <c r="O268" s="14">
        <f t="shared" si="73"/>
        <v>27</v>
      </c>
      <c r="P268" s="13">
        <f t="shared" si="78"/>
        <v>0</v>
      </c>
      <c r="Q268">
        <f t="shared" si="70"/>
        <v>27</v>
      </c>
      <c r="R268" s="14">
        <f t="shared" si="71"/>
        <v>27</v>
      </c>
      <c r="S268" s="15"/>
      <c r="W268" s="14"/>
    </row>
    <row r="269" spans="1:23" x14ac:dyDescent="0.25">
      <c r="A269" s="16"/>
      <c r="B269" s="17" t="b">
        <f t="shared" si="64"/>
        <v>0</v>
      </c>
      <c r="C269" s="17" t="b">
        <f t="shared" si="72"/>
        <v>0</v>
      </c>
      <c r="D269" s="17">
        <f t="shared" si="74"/>
        <v>1</v>
      </c>
      <c r="E269" s="17" t="str">
        <f t="shared" si="79"/>
        <v>Section 10 - Spring Boot - Deployement</v>
      </c>
      <c r="F269" s="18" t="str">
        <f t="shared" si="75"/>
        <v/>
      </c>
      <c r="G269" s="13" t="str">
        <f t="shared" si="65"/>
        <v/>
      </c>
      <c r="H269">
        <f t="shared" si="66"/>
        <v>0</v>
      </c>
      <c r="I269">
        <f t="shared" si="67"/>
        <v>0</v>
      </c>
      <c r="J269" s="13">
        <f t="shared" si="68"/>
        <v>155</v>
      </c>
      <c r="K269">
        <f t="shared" si="76"/>
        <v>2</v>
      </c>
      <c r="L269">
        <f t="shared" si="77"/>
        <v>35</v>
      </c>
      <c r="M269" s="13">
        <f t="shared" si="69"/>
        <v>0</v>
      </c>
      <c r="N269">
        <f t="shared" si="69"/>
        <v>27</v>
      </c>
      <c r="O269" s="14">
        <f t="shared" si="73"/>
        <v>27</v>
      </c>
      <c r="P269" s="13">
        <f t="shared" si="78"/>
        <v>0</v>
      </c>
      <c r="Q269">
        <f t="shared" si="70"/>
        <v>27</v>
      </c>
      <c r="R269" s="14">
        <f t="shared" si="71"/>
        <v>27</v>
      </c>
      <c r="S269" s="15"/>
      <c r="W269" s="14"/>
    </row>
    <row r="270" spans="1:23" x14ac:dyDescent="0.25">
      <c r="A270" s="16"/>
      <c r="B270" s="17" t="b">
        <f t="shared" si="64"/>
        <v>0</v>
      </c>
      <c r="C270" s="17" t="b">
        <f t="shared" si="72"/>
        <v>0</v>
      </c>
      <c r="D270" s="17">
        <f t="shared" si="74"/>
        <v>1</v>
      </c>
      <c r="E270" s="17" t="str">
        <f t="shared" si="79"/>
        <v>Section 10 - Spring Boot - Deployement</v>
      </c>
      <c r="F270" s="18" t="str">
        <f t="shared" si="75"/>
        <v/>
      </c>
      <c r="G270" s="13" t="str">
        <f t="shared" si="65"/>
        <v/>
      </c>
      <c r="H270">
        <f t="shared" si="66"/>
        <v>0</v>
      </c>
      <c r="I270">
        <f t="shared" si="67"/>
        <v>0</v>
      </c>
      <c r="J270" s="13">
        <f t="shared" si="68"/>
        <v>155</v>
      </c>
      <c r="K270">
        <f t="shared" si="76"/>
        <v>2</v>
      </c>
      <c r="L270">
        <f t="shared" si="77"/>
        <v>35</v>
      </c>
      <c r="M270" s="13">
        <f t="shared" si="69"/>
        <v>0</v>
      </c>
      <c r="N270">
        <f t="shared" si="69"/>
        <v>27</v>
      </c>
      <c r="O270" s="14">
        <f t="shared" si="73"/>
        <v>27</v>
      </c>
      <c r="P270" s="13">
        <f t="shared" si="78"/>
        <v>0</v>
      </c>
      <c r="Q270">
        <f t="shared" si="70"/>
        <v>27</v>
      </c>
      <c r="R270" s="14">
        <f t="shared" si="71"/>
        <v>27</v>
      </c>
      <c r="S270" s="15"/>
      <c r="W270" s="14"/>
    </row>
    <row r="271" spans="1:23" x14ac:dyDescent="0.25">
      <c r="A271" s="16"/>
      <c r="B271" s="17" t="b">
        <f t="shared" si="64"/>
        <v>0</v>
      </c>
      <c r="C271" s="17" t="b">
        <f t="shared" si="72"/>
        <v>0</v>
      </c>
      <c r="D271" s="17">
        <f t="shared" si="74"/>
        <v>1</v>
      </c>
      <c r="E271" s="17" t="str">
        <f t="shared" si="79"/>
        <v>Section 10 - Spring Boot - Deployement</v>
      </c>
      <c r="F271" s="18" t="str">
        <f t="shared" si="75"/>
        <v/>
      </c>
      <c r="G271" s="13" t="str">
        <f t="shared" si="65"/>
        <v/>
      </c>
      <c r="H271">
        <f t="shared" si="66"/>
        <v>0</v>
      </c>
      <c r="I271">
        <f t="shared" si="67"/>
        <v>0</v>
      </c>
      <c r="J271" s="13">
        <f t="shared" si="68"/>
        <v>155</v>
      </c>
      <c r="K271">
        <f t="shared" si="76"/>
        <v>2</v>
      </c>
      <c r="L271">
        <f t="shared" si="77"/>
        <v>35</v>
      </c>
      <c r="M271" s="13">
        <f t="shared" si="69"/>
        <v>0</v>
      </c>
      <c r="N271">
        <f t="shared" si="69"/>
        <v>27</v>
      </c>
      <c r="O271" s="14">
        <f t="shared" si="73"/>
        <v>27</v>
      </c>
      <c r="P271" s="13">
        <f t="shared" si="78"/>
        <v>0</v>
      </c>
      <c r="Q271">
        <f t="shared" si="70"/>
        <v>27</v>
      </c>
      <c r="R271" s="14">
        <f t="shared" si="71"/>
        <v>27</v>
      </c>
      <c r="S271" s="15"/>
      <c r="W271" s="14"/>
    </row>
    <row r="272" spans="1:23" x14ac:dyDescent="0.25">
      <c r="A272" s="16"/>
      <c r="B272" s="17" t="b">
        <f t="shared" si="64"/>
        <v>0</v>
      </c>
      <c r="C272" s="17" t="b">
        <f t="shared" si="72"/>
        <v>0</v>
      </c>
      <c r="D272" s="17">
        <f t="shared" si="74"/>
        <v>1</v>
      </c>
      <c r="E272" s="17" t="str">
        <f t="shared" si="79"/>
        <v>Section 10 - Spring Boot - Deployement</v>
      </c>
      <c r="F272" s="18" t="str">
        <f t="shared" si="75"/>
        <v/>
      </c>
      <c r="G272" s="13" t="str">
        <f t="shared" si="65"/>
        <v/>
      </c>
      <c r="H272">
        <f t="shared" si="66"/>
        <v>0</v>
      </c>
      <c r="I272">
        <f t="shared" si="67"/>
        <v>0</v>
      </c>
      <c r="J272" s="13">
        <f t="shared" si="68"/>
        <v>155</v>
      </c>
      <c r="K272">
        <f t="shared" si="76"/>
        <v>2</v>
      </c>
      <c r="L272">
        <f t="shared" si="77"/>
        <v>35</v>
      </c>
      <c r="M272" s="13">
        <f t="shared" si="69"/>
        <v>0</v>
      </c>
      <c r="N272">
        <f t="shared" si="69"/>
        <v>27</v>
      </c>
      <c r="O272" s="14">
        <f t="shared" si="73"/>
        <v>27</v>
      </c>
      <c r="P272" s="13">
        <f t="shared" si="78"/>
        <v>0</v>
      </c>
      <c r="Q272">
        <f t="shared" si="70"/>
        <v>27</v>
      </c>
      <c r="R272" s="14">
        <f t="shared" si="71"/>
        <v>27</v>
      </c>
      <c r="S272" s="15"/>
      <c r="W272" s="14"/>
    </row>
    <row r="273" spans="1:23" x14ac:dyDescent="0.25">
      <c r="A273" s="16"/>
      <c r="B273" s="17" t="b">
        <f t="shared" si="64"/>
        <v>0</v>
      </c>
      <c r="C273" s="17" t="b">
        <f t="shared" si="72"/>
        <v>0</v>
      </c>
      <c r="D273" s="17">
        <f t="shared" si="74"/>
        <v>1</v>
      </c>
      <c r="E273" s="17" t="str">
        <f t="shared" si="79"/>
        <v>Section 10 - Spring Boot - Deployement</v>
      </c>
      <c r="F273" s="18" t="str">
        <f t="shared" si="75"/>
        <v/>
      </c>
      <c r="G273" s="13" t="str">
        <f t="shared" si="65"/>
        <v/>
      </c>
      <c r="H273">
        <f t="shared" si="66"/>
        <v>0</v>
      </c>
      <c r="I273">
        <f t="shared" si="67"/>
        <v>0</v>
      </c>
      <c r="J273" s="13">
        <f t="shared" si="68"/>
        <v>155</v>
      </c>
      <c r="K273">
        <f t="shared" si="76"/>
        <v>2</v>
      </c>
      <c r="L273">
        <f t="shared" si="77"/>
        <v>35</v>
      </c>
      <c r="M273" s="13">
        <f t="shared" si="69"/>
        <v>0</v>
      </c>
      <c r="N273">
        <f t="shared" si="69"/>
        <v>27</v>
      </c>
      <c r="O273" s="14">
        <f t="shared" si="73"/>
        <v>27</v>
      </c>
      <c r="P273" s="13">
        <f t="shared" si="78"/>
        <v>0</v>
      </c>
      <c r="Q273">
        <f t="shared" si="70"/>
        <v>27</v>
      </c>
      <c r="R273" s="14">
        <f t="shared" si="71"/>
        <v>27</v>
      </c>
      <c r="S273" s="15"/>
      <c r="W273" s="14"/>
    </row>
    <row r="274" spans="1:23" x14ac:dyDescent="0.25">
      <c r="A274" s="16"/>
      <c r="B274" s="17" t="b">
        <f t="shared" ref="B274:B337" si="80">AND(NOT(ISERROR(FIND("Section ",A274))),NOT(ISERROR(FIND("Section ",A274))))</f>
        <v>0</v>
      </c>
      <c r="C274" s="17" t="b">
        <f t="shared" si="72"/>
        <v>0</v>
      </c>
      <c r="D274" s="17">
        <f t="shared" si="74"/>
        <v>1</v>
      </c>
      <c r="E274" s="17" t="str">
        <f t="shared" si="79"/>
        <v>Section 10 - Spring Boot - Deployement</v>
      </c>
      <c r="F274" s="18" t="str">
        <f t="shared" si="75"/>
        <v/>
      </c>
      <c r="G274" s="13" t="str">
        <f t="shared" si="65"/>
        <v/>
      </c>
      <c r="H274">
        <f t="shared" si="66"/>
        <v>0</v>
      </c>
      <c r="I274">
        <f t="shared" si="67"/>
        <v>0</v>
      </c>
      <c r="J274" s="13">
        <f t="shared" si="68"/>
        <v>155</v>
      </c>
      <c r="K274">
        <f t="shared" si="76"/>
        <v>2</v>
      </c>
      <c r="L274">
        <f t="shared" si="77"/>
        <v>35</v>
      </c>
      <c r="M274" s="13">
        <f t="shared" si="69"/>
        <v>0</v>
      </c>
      <c r="N274">
        <f t="shared" si="69"/>
        <v>27</v>
      </c>
      <c r="O274" s="14">
        <f t="shared" si="73"/>
        <v>27</v>
      </c>
      <c r="P274" s="13">
        <f t="shared" si="78"/>
        <v>0</v>
      </c>
      <c r="Q274">
        <f t="shared" si="70"/>
        <v>27</v>
      </c>
      <c r="R274" s="14">
        <f t="shared" si="71"/>
        <v>27</v>
      </c>
      <c r="S274" s="15"/>
      <c r="W274" s="14"/>
    </row>
    <row r="275" spans="1:23" x14ac:dyDescent="0.25">
      <c r="A275" s="16"/>
      <c r="B275" s="17" t="b">
        <f t="shared" si="80"/>
        <v>0</v>
      </c>
      <c r="C275" s="17" t="b">
        <f t="shared" si="72"/>
        <v>0</v>
      </c>
      <c r="D275" s="17">
        <f t="shared" si="74"/>
        <v>1</v>
      </c>
      <c r="E275" s="17" t="str">
        <f t="shared" si="79"/>
        <v>Section 10 - Spring Boot - Deployement</v>
      </c>
      <c r="F275" s="18" t="str">
        <f t="shared" si="75"/>
        <v/>
      </c>
      <c r="G275" s="13" t="str">
        <f t="shared" si="65"/>
        <v/>
      </c>
      <c r="H275">
        <f t="shared" si="66"/>
        <v>0</v>
      </c>
      <c r="I275">
        <f t="shared" si="67"/>
        <v>0</v>
      </c>
      <c r="J275" s="13">
        <f t="shared" si="68"/>
        <v>155</v>
      </c>
      <c r="K275">
        <f t="shared" si="76"/>
        <v>2</v>
      </c>
      <c r="L275">
        <f t="shared" si="77"/>
        <v>35</v>
      </c>
      <c r="M275" s="13">
        <f t="shared" si="69"/>
        <v>0</v>
      </c>
      <c r="N275">
        <f t="shared" si="69"/>
        <v>27</v>
      </c>
      <c r="O275" s="14">
        <f t="shared" si="73"/>
        <v>27</v>
      </c>
      <c r="P275" s="13">
        <f t="shared" si="78"/>
        <v>0</v>
      </c>
      <c r="Q275">
        <f t="shared" si="70"/>
        <v>27</v>
      </c>
      <c r="R275" s="14">
        <f t="shared" si="71"/>
        <v>27</v>
      </c>
      <c r="S275" s="15"/>
      <c r="W275" s="14"/>
    </row>
    <row r="276" spans="1:23" x14ac:dyDescent="0.25">
      <c r="A276" s="16"/>
      <c r="B276" s="17" t="b">
        <f t="shared" si="80"/>
        <v>0</v>
      </c>
      <c r="C276" s="17" t="b">
        <f t="shared" si="72"/>
        <v>0</v>
      </c>
      <c r="D276" s="17">
        <f t="shared" si="74"/>
        <v>1</v>
      </c>
      <c r="E276" s="17" t="str">
        <f t="shared" si="79"/>
        <v>Section 10 - Spring Boot - Deployement</v>
      </c>
      <c r="F276" s="18" t="str">
        <f t="shared" si="75"/>
        <v/>
      </c>
      <c r="G276" s="13" t="str">
        <f t="shared" si="65"/>
        <v/>
      </c>
      <c r="H276">
        <f t="shared" si="66"/>
        <v>0</v>
      </c>
      <c r="I276">
        <f t="shared" si="67"/>
        <v>0</v>
      </c>
      <c r="J276" s="13">
        <f t="shared" si="68"/>
        <v>155</v>
      </c>
      <c r="K276">
        <f t="shared" si="76"/>
        <v>2</v>
      </c>
      <c r="L276">
        <f t="shared" si="77"/>
        <v>35</v>
      </c>
      <c r="M276" s="13">
        <f t="shared" si="69"/>
        <v>0</v>
      </c>
      <c r="N276">
        <f t="shared" si="69"/>
        <v>27</v>
      </c>
      <c r="O276" s="14">
        <f t="shared" si="73"/>
        <v>27</v>
      </c>
      <c r="P276" s="13">
        <f t="shared" si="78"/>
        <v>0</v>
      </c>
      <c r="Q276">
        <f t="shared" si="70"/>
        <v>27</v>
      </c>
      <c r="R276" s="14">
        <f t="shared" si="71"/>
        <v>27</v>
      </c>
      <c r="S276" s="15"/>
      <c r="W276" s="14"/>
    </row>
    <row r="277" spans="1:23" x14ac:dyDescent="0.25">
      <c r="A277" s="16"/>
      <c r="B277" s="17" t="b">
        <f t="shared" si="80"/>
        <v>0</v>
      </c>
      <c r="C277" s="17" t="b">
        <f t="shared" si="72"/>
        <v>0</v>
      </c>
      <c r="D277" s="17">
        <f t="shared" si="74"/>
        <v>1</v>
      </c>
      <c r="E277" s="17" t="str">
        <f t="shared" si="79"/>
        <v>Section 10 - Spring Boot - Deployement</v>
      </c>
      <c r="F277" s="18" t="str">
        <f t="shared" si="75"/>
        <v/>
      </c>
      <c r="G277" s="13" t="str">
        <f t="shared" ref="G277:G340" si="81">IF(C277,A278,"")</f>
        <v/>
      </c>
      <c r="H277">
        <f t="shared" ref="H277:H340" si="82">VALUE(IF(NOT(ISERROR(FIND("hr",G277))),LEFT(G277,FIND("hr",G277)-1),0))</f>
        <v>0</v>
      </c>
      <c r="I277">
        <f t="shared" ref="I277:I340" si="83">VALUE(IF(ISERROR(FIND("min",G277)),0,SUBSTITUTE(MID(G277,IF(ISERROR(FIND("hr ",G277)),1,FIND("hr ",G277)+3),LEN(G277)),"min","")))</f>
        <v>0</v>
      </c>
      <c r="J277" s="13">
        <f t="shared" ref="J277:J340" si="84">J276+(H277*60+I277)</f>
        <v>155</v>
      </c>
      <c r="K277">
        <f t="shared" si="76"/>
        <v>2</v>
      </c>
      <c r="L277">
        <f t="shared" si="77"/>
        <v>35</v>
      </c>
      <c r="M277" s="13">
        <f t="shared" ref="M277:N340" si="85">P276</f>
        <v>0</v>
      </c>
      <c r="N277">
        <f t="shared" si="85"/>
        <v>27</v>
      </c>
      <c r="O277" s="14">
        <f t="shared" si="73"/>
        <v>27</v>
      </c>
      <c r="P277" s="13">
        <f t="shared" si="78"/>
        <v>0</v>
      </c>
      <c r="Q277">
        <f t="shared" ref="Q277:Q340" si="86">R277-(P277*60)</f>
        <v>27</v>
      </c>
      <c r="R277" s="14">
        <f t="shared" ref="R277:R340" si="87">((H277*60)+I277)+O277</f>
        <v>27</v>
      </c>
      <c r="S277" s="15"/>
      <c r="W277" s="14"/>
    </row>
    <row r="278" spans="1:23" x14ac:dyDescent="0.25">
      <c r="A278" s="16"/>
      <c r="B278" s="17" t="b">
        <f t="shared" si="80"/>
        <v>0</v>
      </c>
      <c r="C278" s="17" t="b">
        <f t="shared" si="72"/>
        <v>0</v>
      </c>
      <c r="D278" s="17">
        <f t="shared" si="74"/>
        <v>1</v>
      </c>
      <c r="E278" s="17" t="str">
        <f t="shared" si="79"/>
        <v>Section 10 - Spring Boot - Deployement</v>
      </c>
      <c r="F278" s="18" t="str">
        <f t="shared" si="75"/>
        <v/>
      </c>
      <c r="G278" s="13" t="str">
        <f t="shared" si="81"/>
        <v/>
      </c>
      <c r="H278">
        <f t="shared" si="82"/>
        <v>0</v>
      </c>
      <c r="I278">
        <f t="shared" si="83"/>
        <v>0</v>
      </c>
      <c r="J278" s="13">
        <f t="shared" si="84"/>
        <v>155</v>
      </c>
      <c r="K278">
        <f t="shared" si="76"/>
        <v>2</v>
      </c>
      <c r="L278">
        <f t="shared" si="77"/>
        <v>35</v>
      </c>
      <c r="M278" s="13">
        <f t="shared" si="85"/>
        <v>0</v>
      </c>
      <c r="N278">
        <f t="shared" si="85"/>
        <v>27</v>
      </c>
      <c r="O278" s="14">
        <f t="shared" si="73"/>
        <v>27</v>
      </c>
      <c r="P278" s="13">
        <f t="shared" si="78"/>
        <v>0</v>
      </c>
      <c r="Q278">
        <f t="shared" si="86"/>
        <v>27</v>
      </c>
      <c r="R278" s="14">
        <f t="shared" si="87"/>
        <v>27</v>
      </c>
      <c r="S278" s="15"/>
      <c r="W278" s="14"/>
    </row>
    <row r="279" spans="1:23" x14ac:dyDescent="0.25">
      <c r="A279" s="16"/>
      <c r="B279" s="17" t="b">
        <f t="shared" si="80"/>
        <v>0</v>
      </c>
      <c r="C279" s="17" t="b">
        <f t="shared" si="72"/>
        <v>0</v>
      </c>
      <c r="D279" s="17">
        <f t="shared" si="74"/>
        <v>1</v>
      </c>
      <c r="E279" s="17" t="str">
        <f t="shared" si="79"/>
        <v>Section 10 - Spring Boot - Deployement</v>
      </c>
      <c r="F279" s="18" t="str">
        <f t="shared" si="75"/>
        <v/>
      </c>
      <c r="G279" s="13" t="str">
        <f t="shared" si="81"/>
        <v/>
      </c>
      <c r="H279">
        <f t="shared" si="82"/>
        <v>0</v>
      </c>
      <c r="I279">
        <f t="shared" si="83"/>
        <v>0</v>
      </c>
      <c r="J279" s="13">
        <f t="shared" si="84"/>
        <v>155</v>
      </c>
      <c r="K279">
        <f t="shared" si="76"/>
        <v>2</v>
      </c>
      <c r="L279">
        <f t="shared" si="77"/>
        <v>35</v>
      </c>
      <c r="M279" s="13">
        <f t="shared" si="85"/>
        <v>0</v>
      </c>
      <c r="N279">
        <f t="shared" si="85"/>
        <v>27</v>
      </c>
      <c r="O279" s="14">
        <f t="shared" si="73"/>
        <v>27</v>
      </c>
      <c r="P279" s="13">
        <f t="shared" si="78"/>
        <v>0</v>
      </c>
      <c r="Q279">
        <f t="shared" si="86"/>
        <v>27</v>
      </c>
      <c r="R279" s="14">
        <f t="shared" si="87"/>
        <v>27</v>
      </c>
      <c r="S279" s="15"/>
      <c r="W279" s="14"/>
    </row>
    <row r="280" spans="1:23" x14ac:dyDescent="0.25">
      <c r="A280" s="16"/>
      <c r="B280" s="17" t="b">
        <f t="shared" si="80"/>
        <v>0</v>
      </c>
      <c r="C280" s="17" t="b">
        <f t="shared" si="72"/>
        <v>0</v>
      </c>
      <c r="D280" s="17">
        <f t="shared" si="74"/>
        <v>1</v>
      </c>
      <c r="E280" s="17" t="str">
        <f t="shared" si="79"/>
        <v>Section 10 - Spring Boot - Deployement</v>
      </c>
      <c r="F280" s="18" t="str">
        <f t="shared" si="75"/>
        <v/>
      </c>
      <c r="G280" s="13" t="str">
        <f t="shared" si="81"/>
        <v/>
      </c>
      <c r="H280">
        <f t="shared" si="82"/>
        <v>0</v>
      </c>
      <c r="I280">
        <f t="shared" si="83"/>
        <v>0</v>
      </c>
      <c r="J280" s="13">
        <f t="shared" si="84"/>
        <v>155</v>
      </c>
      <c r="K280">
        <f t="shared" si="76"/>
        <v>2</v>
      </c>
      <c r="L280">
        <f t="shared" si="77"/>
        <v>35</v>
      </c>
      <c r="M280" s="13">
        <f t="shared" si="85"/>
        <v>0</v>
      </c>
      <c r="N280">
        <f t="shared" si="85"/>
        <v>27</v>
      </c>
      <c r="O280" s="14">
        <f t="shared" si="73"/>
        <v>27</v>
      </c>
      <c r="P280" s="13">
        <f t="shared" si="78"/>
        <v>0</v>
      </c>
      <c r="Q280">
        <f t="shared" si="86"/>
        <v>27</v>
      </c>
      <c r="R280" s="14">
        <f t="shared" si="87"/>
        <v>27</v>
      </c>
      <c r="S280" s="15"/>
      <c r="W280" s="14"/>
    </row>
    <row r="281" spans="1:23" x14ac:dyDescent="0.25">
      <c r="A281" s="16"/>
      <c r="B281" s="17" t="b">
        <f t="shared" si="80"/>
        <v>0</v>
      </c>
      <c r="C281" s="17" t="b">
        <f t="shared" si="72"/>
        <v>0</v>
      </c>
      <c r="D281" s="17">
        <f t="shared" si="74"/>
        <v>1</v>
      </c>
      <c r="E281" s="17" t="str">
        <f t="shared" si="79"/>
        <v>Section 10 - Spring Boot - Deployement</v>
      </c>
      <c r="F281" s="18" t="str">
        <f t="shared" si="75"/>
        <v/>
      </c>
      <c r="G281" s="13" t="str">
        <f t="shared" si="81"/>
        <v/>
      </c>
      <c r="H281">
        <f t="shared" si="82"/>
        <v>0</v>
      </c>
      <c r="I281">
        <f t="shared" si="83"/>
        <v>0</v>
      </c>
      <c r="J281" s="13">
        <f t="shared" si="84"/>
        <v>155</v>
      </c>
      <c r="K281">
        <f t="shared" si="76"/>
        <v>2</v>
      </c>
      <c r="L281">
        <f t="shared" si="77"/>
        <v>35</v>
      </c>
      <c r="M281" s="13">
        <f t="shared" si="85"/>
        <v>0</v>
      </c>
      <c r="N281">
        <f t="shared" si="85"/>
        <v>27</v>
      </c>
      <c r="O281" s="14">
        <f t="shared" si="73"/>
        <v>27</v>
      </c>
      <c r="P281" s="13">
        <f t="shared" si="78"/>
        <v>0</v>
      </c>
      <c r="Q281">
        <f t="shared" si="86"/>
        <v>27</v>
      </c>
      <c r="R281" s="14">
        <f t="shared" si="87"/>
        <v>27</v>
      </c>
      <c r="S281" s="15"/>
      <c r="W281" s="14"/>
    </row>
    <row r="282" spans="1:23" x14ac:dyDescent="0.25">
      <c r="A282" s="16"/>
      <c r="B282" s="17" t="b">
        <f t="shared" si="80"/>
        <v>0</v>
      </c>
      <c r="C282" s="17" t="b">
        <f t="shared" si="72"/>
        <v>0</v>
      </c>
      <c r="D282" s="17">
        <f t="shared" si="74"/>
        <v>1</v>
      </c>
      <c r="E282" s="17" t="str">
        <f t="shared" si="79"/>
        <v>Section 10 - Spring Boot - Deployement</v>
      </c>
      <c r="F282" s="18" t="str">
        <f t="shared" si="75"/>
        <v/>
      </c>
      <c r="G282" s="13" t="str">
        <f t="shared" si="81"/>
        <v/>
      </c>
      <c r="H282">
        <f t="shared" si="82"/>
        <v>0</v>
      </c>
      <c r="I282">
        <f t="shared" si="83"/>
        <v>0</v>
      </c>
      <c r="J282" s="13">
        <f t="shared" si="84"/>
        <v>155</v>
      </c>
      <c r="K282">
        <f t="shared" si="76"/>
        <v>2</v>
      </c>
      <c r="L282">
        <f t="shared" si="77"/>
        <v>35</v>
      </c>
      <c r="M282" s="13">
        <f t="shared" si="85"/>
        <v>0</v>
      </c>
      <c r="N282">
        <f t="shared" si="85"/>
        <v>27</v>
      </c>
      <c r="O282" s="14">
        <f t="shared" si="73"/>
        <v>27</v>
      </c>
      <c r="P282" s="13">
        <f t="shared" si="78"/>
        <v>0</v>
      </c>
      <c r="Q282">
        <f t="shared" si="86"/>
        <v>27</v>
      </c>
      <c r="R282" s="14">
        <f t="shared" si="87"/>
        <v>27</v>
      </c>
      <c r="S282" s="15"/>
      <c r="W282" s="14"/>
    </row>
    <row r="283" spans="1:23" x14ac:dyDescent="0.25">
      <c r="A283" s="16"/>
      <c r="B283" s="17" t="b">
        <f t="shared" si="80"/>
        <v>0</v>
      </c>
      <c r="C283" s="17" t="b">
        <f t="shared" si="72"/>
        <v>0</v>
      </c>
      <c r="D283" s="17">
        <f t="shared" si="74"/>
        <v>1</v>
      </c>
      <c r="E283" s="17" t="str">
        <f t="shared" si="79"/>
        <v>Section 10 - Spring Boot - Deployement</v>
      </c>
      <c r="F283" s="18" t="str">
        <f t="shared" si="75"/>
        <v/>
      </c>
      <c r="G283" s="13" t="str">
        <f t="shared" si="81"/>
        <v/>
      </c>
      <c r="H283">
        <f t="shared" si="82"/>
        <v>0</v>
      </c>
      <c r="I283">
        <f t="shared" si="83"/>
        <v>0</v>
      </c>
      <c r="J283" s="13">
        <f t="shared" si="84"/>
        <v>155</v>
      </c>
      <c r="K283">
        <f t="shared" si="76"/>
        <v>2</v>
      </c>
      <c r="L283">
        <f t="shared" si="77"/>
        <v>35</v>
      </c>
      <c r="M283" s="13">
        <f t="shared" si="85"/>
        <v>0</v>
      </c>
      <c r="N283">
        <f t="shared" si="85"/>
        <v>27</v>
      </c>
      <c r="O283" s="14">
        <f t="shared" si="73"/>
        <v>27</v>
      </c>
      <c r="P283" s="13">
        <f t="shared" si="78"/>
        <v>0</v>
      </c>
      <c r="Q283">
        <f t="shared" si="86"/>
        <v>27</v>
      </c>
      <c r="R283" s="14">
        <f t="shared" si="87"/>
        <v>27</v>
      </c>
      <c r="S283" s="15"/>
      <c r="W283" s="14"/>
    </row>
    <row r="284" spans="1:23" x14ac:dyDescent="0.25">
      <c r="A284" s="16"/>
      <c r="B284" s="17" t="b">
        <f t="shared" si="80"/>
        <v>0</v>
      </c>
      <c r="C284" s="17" t="b">
        <f t="shared" si="72"/>
        <v>0</v>
      </c>
      <c r="D284" s="17">
        <f t="shared" si="74"/>
        <v>1</v>
      </c>
      <c r="E284" s="17" t="str">
        <f t="shared" si="79"/>
        <v>Section 10 - Spring Boot - Deployement</v>
      </c>
      <c r="F284" s="18" t="str">
        <f t="shared" si="75"/>
        <v/>
      </c>
      <c r="G284" s="13" t="str">
        <f t="shared" si="81"/>
        <v/>
      </c>
      <c r="H284">
        <f t="shared" si="82"/>
        <v>0</v>
      </c>
      <c r="I284">
        <f t="shared" si="83"/>
        <v>0</v>
      </c>
      <c r="J284" s="13">
        <f t="shared" si="84"/>
        <v>155</v>
      </c>
      <c r="K284">
        <f t="shared" si="76"/>
        <v>2</v>
      </c>
      <c r="L284">
        <f t="shared" si="77"/>
        <v>35</v>
      </c>
      <c r="M284" s="13">
        <f t="shared" si="85"/>
        <v>0</v>
      </c>
      <c r="N284">
        <f t="shared" si="85"/>
        <v>27</v>
      </c>
      <c r="O284" s="14">
        <f t="shared" si="73"/>
        <v>27</v>
      </c>
      <c r="P284" s="13">
        <f t="shared" si="78"/>
        <v>0</v>
      </c>
      <c r="Q284">
        <f t="shared" si="86"/>
        <v>27</v>
      </c>
      <c r="R284" s="14">
        <f t="shared" si="87"/>
        <v>27</v>
      </c>
      <c r="S284" s="15"/>
      <c r="W284" s="14"/>
    </row>
    <row r="285" spans="1:23" x14ac:dyDescent="0.25">
      <c r="A285" s="16"/>
      <c r="B285" s="17" t="b">
        <f t="shared" si="80"/>
        <v>0</v>
      </c>
      <c r="C285" s="17" t="b">
        <f t="shared" si="72"/>
        <v>0</v>
      </c>
      <c r="D285" s="17">
        <f t="shared" si="74"/>
        <v>1</v>
      </c>
      <c r="E285" s="17" t="str">
        <f t="shared" si="79"/>
        <v>Section 10 - Spring Boot - Deployement</v>
      </c>
      <c r="F285" s="18" t="str">
        <f t="shared" si="75"/>
        <v/>
      </c>
      <c r="G285" s="13" t="str">
        <f t="shared" si="81"/>
        <v/>
      </c>
      <c r="H285">
        <f t="shared" si="82"/>
        <v>0</v>
      </c>
      <c r="I285">
        <f t="shared" si="83"/>
        <v>0</v>
      </c>
      <c r="J285" s="13">
        <f t="shared" si="84"/>
        <v>155</v>
      </c>
      <c r="K285">
        <f t="shared" si="76"/>
        <v>2</v>
      </c>
      <c r="L285">
        <f t="shared" si="77"/>
        <v>35</v>
      </c>
      <c r="M285" s="13">
        <f t="shared" si="85"/>
        <v>0</v>
      </c>
      <c r="N285">
        <f t="shared" si="85"/>
        <v>27</v>
      </c>
      <c r="O285" s="14">
        <f t="shared" si="73"/>
        <v>27</v>
      </c>
      <c r="P285" s="13">
        <f t="shared" si="78"/>
        <v>0</v>
      </c>
      <c r="Q285">
        <f t="shared" si="86"/>
        <v>27</v>
      </c>
      <c r="R285" s="14">
        <f t="shared" si="87"/>
        <v>27</v>
      </c>
      <c r="S285" s="15"/>
      <c r="W285" s="14"/>
    </row>
    <row r="286" spans="1:23" x14ac:dyDescent="0.25">
      <c r="A286" s="16"/>
      <c r="B286" s="17" t="b">
        <f t="shared" si="80"/>
        <v>0</v>
      </c>
      <c r="C286" s="17" t="b">
        <f t="shared" si="72"/>
        <v>0</v>
      </c>
      <c r="D286" s="17">
        <f t="shared" si="74"/>
        <v>1</v>
      </c>
      <c r="E286" s="17" t="str">
        <f t="shared" si="79"/>
        <v>Section 10 - Spring Boot - Deployement</v>
      </c>
      <c r="F286" s="18" t="str">
        <f t="shared" si="75"/>
        <v/>
      </c>
      <c r="G286" s="13" t="str">
        <f t="shared" si="81"/>
        <v/>
      </c>
      <c r="H286">
        <f t="shared" si="82"/>
        <v>0</v>
      </c>
      <c r="I286">
        <f t="shared" si="83"/>
        <v>0</v>
      </c>
      <c r="J286" s="13">
        <f t="shared" si="84"/>
        <v>155</v>
      </c>
      <c r="K286">
        <f t="shared" si="76"/>
        <v>2</v>
      </c>
      <c r="L286">
        <f t="shared" si="77"/>
        <v>35</v>
      </c>
      <c r="M286" s="13">
        <f t="shared" si="85"/>
        <v>0</v>
      </c>
      <c r="N286">
        <f t="shared" si="85"/>
        <v>27</v>
      </c>
      <c r="O286" s="14">
        <f t="shared" si="73"/>
        <v>27</v>
      </c>
      <c r="P286" s="13">
        <f t="shared" si="78"/>
        <v>0</v>
      </c>
      <c r="Q286">
        <f t="shared" si="86"/>
        <v>27</v>
      </c>
      <c r="R286" s="14">
        <f t="shared" si="87"/>
        <v>27</v>
      </c>
      <c r="S286" s="15"/>
      <c r="W286" s="14"/>
    </row>
    <row r="287" spans="1:23" x14ac:dyDescent="0.25">
      <c r="A287" s="16"/>
      <c r="B287" s="17" t="b">
        <f t="shared" si="80"/>
        <v>0</v>
      </c>
      <c r="C287" s="17" t="b">
        <f t="shared" si="72"/>
        <v>0</v>
      </c>
      <c r="D287" s="17">
        <f t="shared" si="74"/>
        <v>1</v>
      </c>
      <c r="E287" s="17" t="str">
        <f t="shared" si="79"/>
        <v>Section 10 - Spring Boot - Deployement</v>
      </c>
      <c r="F287" s="18" t="str">
        <f t="shared" si="75"/>
        <v/>
      </c>
      <c r="G287" s="13" t="str">
        <f t="shared" si="81"/>
        <v/>
      </c>
      <c r="H287">
        <f t="shared" si="82"/>
        <v>0</v>
      </c>
      <c r="I287">
        <f t="shared" si="83"/>
        <v>0</v>
      </c>
      <c r="J287" s="13">
        <f t="shared" si="84"/>
        <v>155</v>
      </c>
      <c r="K287">
        <f t="shared" si="76"/>
        <v>2</v>
      </c>
      <c r="L287">
        <f t="shared" si="77"/>
        <v>35</v>
      </c>
      <c r="M287" s="13">
        <f t="shared" si="85"/>
        <v>0</v>
      </c>
      <c r="N287">
        <f t="shared" si="85"/>
        <v>27</v>
      </c>
      <c r="O287" s="14">
        <f t="shared" si="73"/>
        <v>27</v>
      </c>
      <c r="P287" s="13">
        <f t="shared" si="78"/>
        <v>0</v>
      </c>
      <c r="Q287">
        <f t="shared" si="86"/>
        <v>27</v>
      </c>
      <c r="R287" s="14">
        <f t="shared" si="87"/>
        <v>27</v>
      </c>
      <c r="S287" s="15"/>
      <c r="W287" s="14"/>
    </row>
    <row r="288" spans="1:23" x14ac:dyDescent="0.25">
      <c r="A288" s="16"/>
      <c r="B288" s="17" t="b">
        <f t="shared" si="80"/>
        <v>0</v>
      </c>
      <c r="C288" s="17" t="b">
        <f t="shared" si="72"/>
        <v>0</v>
      </c>
      <c r="D288" s="17">
        <f t="shared" si="74"/>
        <v>1</v>
      </c>
      <c r="E288" s="17" t="str">
        <f t="shared" si="79"/>
        <v>Section 10 - Spring Boot - Deployement</v>
      </c>
      <c r="F288" s="18" t="str">
        <f t="shared" si="75"/>
        <v/>
      </c>
      <c r="G288" s="13" t="str">
        <f t="shared" si="81"/>
        <v/>
      </c>
      <c r="H288">
        <f t="shared" si="82"/>
        <v>0</v>
      </c>
      <c r="I288">
        <f t="shared" si="83"/>
        <v>0</v>
      </c>
      <c r="J288" s="13">
        <f t="shared" si="84"/>
        <v>155</v>
      </c>
      <c r="K288">
        <f t="shared" si="76"/>
        <v>2</v>
      </c>
      <c r="L288">
        <f t="shared" si="77"/>
        <v>35</v>
      </c>
      <c r="M288" s="13">
        <f t="shared" si="85"/>
        <v>0</v>
      </c>
      <c r="N288">
        <f t="shared" si="85"/>
        <v>27</v>
      </c>
      <c r="O288" s="14">
        <f t="shared" si="73"/>
        <v>27</v>
      </c>
      <c r="P288" s="13">
        <f t="shared" si="78"/>
        <v>0</v>
      </c>
      <c r="Q288">
        <f t="shared" si="86"/>
        <v>27</v>
      </c>
      <c r="R288" s="14">
        <f t="shared" si="87"/>
        <v>27</v>
      </c>
      <c r="S288" s="15"/>
      <c r="W288" s="14"/>
    </row>
    <row r="289" spans="1:23" x14ac:dyDescent="0.25">
      <c r="A289" s="16"/>
      <c r="B289" s="17" t="b">
        <f t="shared" si="80"/>
        <v>0</v>
      </c>
      <c r="C289" s="17" t="b">
        <f t="shared" si="72"/>
        <v>0</v>
      </c>
      <c r="D289" s="17">
        <f t="shared" si="74"/>
        <v>1</v>
      </c>
      <c r="E289" s="17" t="str">
        <f t="shared" si="79"/>
        <v>Section 10 - Spring Boot - Deployement</v>
      </c>
      <c r="F289" s="18" t="str">
        <f t="shared" si="75"/>
        <v/>
      </c>
      <c r="G289" s="13" t="str">
        <f t="shared" si="81"/>
        <v/>
      </c>
      <c r="H289">
        <f t="shared" si="82"/>
        <v>0</v>
      </c>
      <c r="I289">
        <f t="shared" si="83"/>
        <v>0</v>
      </c>
      <c r="J289" s="13">
        <f t="shared" si="84"/>
        <v>155</v>
      </c>
      <c r="K289">
        <f t="shared" si="76"/>
        <v>2</v>
      </c>
      <c r="L289">
        <f t="shared" si="77"/>
        <v>35</v>
      </c>
      <c r="M289" s="13">
        <f t="shared" si="85"/>
        <v>0</v>
      </c>
      <c r="N289">
        <f t="shared" si="85"/>
        <v>27</v>
      </c>
      <c r="O289" s="14">
        <f t="shared" si="73"/>
        <v>27</v>
      </c>
      <c r="P289" s="13">
        <f t="shared" si="78"/>
        <v>0</v>
      </c>
      <c r="Q289">
        <f t="shared" si="86"/>
        <v>27</v>
      </c>
      <c r="R289" s="14">
        <f t="shared" si="87"/>
        <v>27</v>
      </c>
      <c r="S289" s="15"/>
      <c r="W289" s="14"/>
    </row>
    <row r="290" spans="1:23" x14ac:dyDescent="0.25">
      <c r="A290" s="16"/>
      <c r="B290" s="17" t="b">
        <f t="shared" si="80"/>
        <v>0</v>
      </c>
      <c r="C290" s="17" t="b">
        <f t="shared" si="72"/>
        <v>0</v>
      </c>
      <c r="D290" s="17">
        <f t="shared" si="74"/>
        <v>1</v>
      </c>
      <c r="E290" s="17" t="str">
        <f t="shared" si="79"/>
        <v>Section 10 - Spring Boot - Deployement</v>
      </c>
      <c r="F290" s="18" t="str">
        <f t="shared" si="75"/>
        <v/>
      </c>
      <c r="G290" s="13" t="str">
        <f t="shared" si="81"/>
        <v/>
      </c>
      <c r="H290">
        <f t="shared" si="82"/>
        <v>0</v>
      </c>
      <c r="I290">
        <f t="shared" si="83"/>
        <v>0</v>
      </c>
      <c r="J290" s="13">
        <f t="shared" si="84"/>
        <v>155</v>
      </c>
      <c r="K290">
        <f t="shared" si="76"/>
        <v>2</v>
      </c>
      <c r="L290">
        <f t="shared" si="77"/>
        <v>35</v>
      </c>
      <c r="M290" s="13">
        <f t="shared" si="85"/>
        <v>0</v>
      </c>
      <c r="N290">
        <f t="shared" si="85"/>
        <v>27</v>
      </c>
      <c r="O290" s="14">
        <f t="shared" si="73"/>
        <v>27</v>
      </c>
      <c r="P290" s="13">
        <f t="shared" si="78"/>
        <v>0</v>
      </c>
      <c r="Q290">
        <f t="shared" si="86"/>
        <v>27</v>
      </c>
      <c r="R290" s="14">
        <f t="shared" si="87"/>
        <v>27</v>
      </c>
      <c r="S290" s="15"/>
      <c r="W290" s="14"/>
    </row>
    <row r="291" spans="1:23" x14ac:dyDescent="0.25">
      <c r="A291" s="16"/>
      <c r="B291" s="17" t="b">
        <f t="shared" si="80"/>
        <v>0</v>
      </c>
      <c r="C291" s="17" t="b">
        <f t="shared" si="72"/>
        <v>0</v>
      </c>
      <c r="D291" s="17">
        <f t="shared" si="74"/>
        <v>1</v>
      </c>
      <c r="E291" s="17" t="str">
        <f t="shared" si="79"/>
        <v>Section 10 - Spring Boot - Deployement</v>
      </c>
      <c r="F291" s="18" t="str">
        <f t="shared" si="75"/>
        <v/>
      </c>
      <c r="G291" s="13" t="str">
        <f t="shared" si="81"/>
        <v/>
      </c>
      <c r="H291">
        <f t="shared" si="82"/>
        <v>0</v>
      </c>
      <c r="I291">
        <f t="shared" si="83"/>
        <v>0</v>
      </c>
      <c r="J291" s="13">
        <f t="shared" si="84"/>
        <v>155</v>
      </c>
      <c r="K291">
        <f t="shared" si="76"/>
        <v>2</v>
      </c>
      <c r="L291">
        <f t="shared" si="77"/>
        <v>35</v>
      </c>
      <c r="M291" s="13">
        <f t="shared" si="85"/>
        <v>0</v>
      </c>
      <c r="N291">
        <f t="shared" si="85"/>
        <v>27</v>
      </c>
      <c r="O291" s="14">
        <f t="shared" si="73"/>
        <v>27</v>
      </c>
      <c r="P291" s="13">
        <f t="shared" si="78"/>
        <v>0</v>
      </c>
      <c r="Q291">
        <f t="shared" si="86"/>
        <v>27</v>
      </c>
      <c r="R291" s="14">
        <f t="shared" si="87"/>
        <v>27</v>
      </c>
      <c r="S291" s="15"/>
      <c r="W291" s="14"/>
    </row>
    <row r="292" spans="1:23" x14ac:dyDescent="0.25">
      <c r="A292" s="16"/>
      <c r="B292" s="17" t="b">
        <f t="shared" si="80"/>
        <v>0</v>
      </c>
      <c r="C292" s="17" t="b">
        <f t="shared" si="72"/>
        <v>0</v>
      </c>
      <c r="D292" s="17">
        <f t="shared" si="74"/>
        <v>1</v>
      </c>
      <c r="E292" s="17" t="str">
        <f t="shared" si="79"/>
        <v>Section 10 - Spring Boot - Deployement</v>
      </c>
      <c r="F292" s="18" t="str">
        <f t="shared" si="75"/>
        <v/>
      </c>
      <c r="G292" s="13" t="str">
        <f t="shared" si="81"/>
        <v/>
      </c>
      <c r="H292">
        <f t="shared" si="82"/>
        <v>0</v>
      </c>
      <c r="I292">
        <f t="shared" si="83"/>
        <v>0</v>
      </c>
      <c r="J292" s="13">
        <f t="shared" si="84"/>
        <v>155</v>
      </c>
      <c r="K292">
        <f t="shared" si="76"/>
        <v>2</v>
      </c>
      <c r="L292">
        <f t="shared" si="77"/>
        <v>35</v>
      </c>
      <c r="M292" s="13">
        <f t="shared" si="85"/>
        <v>0</v>
      </c>
      <c r="N292">
        <f t="shared" si="85"/>
        <v>27</v>
      </c>
      <c r="O292" s="14">
        <f t="shared" si="73"/>
        <v>27</v>
      </c>
      <c r="P292" s="13">
        <f t="shared" si="78"/>
        <v>0</v>
      </c>
      <c r="Q292">
        <f t="shared" si="86"/>
        <v>27</v>
      </c>
      <c r="R292" s="14">
        <f t="shared" si="87"/>
        <v>27</v>
      </c>
      <c r="S292" s="15"/>
      <c r="W292" s="14"/>
    </row>
    <row r="293" spans="1:23" x14ac:dyDescent="0.25">
      <c r="A293" s="16"/>
      <c r="B293" s="17" t="b">
        <f t="shared" si="80"/>
        <v>0</v>
      </c>
      <c r="C293" s="17" t="b">
        <f t="shared" si="72"/>
        <v>0</v>
      </c>
      <c r="D293" s="17">
        <f t="shared" si="74"/>
        <v>1</v>
      </c>
      <c r="E293" s="17" t="str">
        <f t="shared" si="79"/>
        <v>Section 10 - Spring Boot - Deployement</v>
      </c>
      <c r="F293" s="18" t="str">
        <f t="shared" si="75"/>
        <v/>
      </c>
      <c r="G293" s="13" t="str">
        <f t="shared" si="81"/>
        <v/>
      </c>
      <c r="H293">
        <f t="shared" si="82"/>
        <v>0</v>
      </c>
      <c r="I293">
        <f t="shared" si="83"/>
        <v>0</v>
      </c>
      <c r="J293" s="13">
        <f t="shared" si="84"/>
        <v>155</v>
      </c>
      <c r="K293">
        <f t="shared" si="76"/>
        <v>2</v>
      </c>
      <c r="L293">
        <f t="shared" si="77"/>
        <v>35</v>
      </c>
      <c r="M293" s="13">
        <f t="shared" si="85"/>
        <v>0</v>
      </c>
      <c r="N293">
        <f t="shared" si="85"/>
        <v>27</v>
      </c>
      <c r="O293" s="14">
        <f t="shared" si="73"/>
        <v>27</v>
      </c>
      <c r="P293" s="13">
        <f t="shared" si="78"/>
        <v>0</v>
      </c>
      <c r="Q293">
        <f t="shared" si="86"/>
        <v>27</v>
      </c>
      <c r="R293" s="14">
        <f t="shared" si="87"/>
        <v>27</v>
      </c>
      <c r="S293" s="15"/>
      <c r="W293" s="14"/>
    </row>
    <row r="294" spans="1:23" x14ac:dyDescent="0.25">
      <c r="A294" s="16"/>
      <c r="B294" s="17" t="b">
        <f t="shared" si="80"/>
        <v>0</v>
      </c>
      <c r="C294" s="17" t="b">
        <f t="shared" si="72"/>
        <v>0</v>
      </c>
      <c r="D294" s="17">
        <f t="shared" si="74"/>
        <v>1</v>
      </c>
      <c r="E294" s="17" t="str">
        <f t="shared" si="79"/>
        <v>Section 10 - Spring Boot - Deployement</v>
      </c>
      <c r="F294" s="18" t="str">
        <f t="shared" si="75"/>
        <v/>
      </c>
      <c r="G294" s="13" t="str">
        <f t="shared" si="81"/>
        <v/>
      </c>
      <c r="H294">
        <f t="shared" si="82"/>
        <v>0</v>
      </c>
      <c r="I294">
        <f t="shared" si="83"/>
        <v>0</v>
      </c>
      <c r="J294" s="13">
        <f t="shared" si="84"/>
        <v>155</v>
      </c>
      <c r="K294">
        <f t="shared" si="76"/>
        <v>2</v>
      </c>
      <c r="L294">
        <f t="shared" si="77"/>
        <v>35</v>
      </c>
      <c r="M294" s="13">
        <f t="shared" si="85"/>
        <v>0</v>
      </c>
      <c r="N294">
        <f t="shared" si="85"/>
        <v>27</v>
      </c>
      <c r="O294" s="14">
        <f t="shared" si="73"/>
        <v>27</v>
      </c>
      <c r="P294" s="13">
        <f t="shared" si="78"/>
        <v>0</v>
      </c>
      <c r="Q294">
        <f t="shared" si="86"/>
        <v>27</v>
      </c>
      <c r="R294" s="14">
        <f t="shared" si="87"/>
        <v>27</v>
      </c>
      <c r="S294" s="15"/>
      <c r="W294" s="14"/>
    </row>
    <row r="295" spans="1:23" x14ac:dyDescent="0.25">
      <c r="A295" s="16"/>
      <c r="B295" s="17" t="b">
        <f t="shared" si="80"/>
        <v>0</v>
      </c>
      <c r="C295" s="17" t="b">
        <f t="shared" si="72"/>
        <v>0</v>
      </c>
      <c r="D295" s="17">
        <f t="shared" si="74"/>
        <v>1</v>
      </c>
      <c r="E295" s="17" t="str">
        <f t="shared" si="79"/>
        <v>Section 10 - Spring Boot - Deployement</v>
      </c>
      <c r="F295" s="18" t="str">
        <f t="shared" si="75"/>
        <v/>
      </c>
      <c r="G295" s="13" t="str">
        <f t="shared" si="81"/>
        <v/>
      </c>
      <c r="H295">
        <f t="shared" si="82"/>
        <v>0</v>
      </c>
      <c r="I295">
        <f t="shared" si="83"/>
        <v>0</v>
      </c>
      <c r="J295" s="13">
        <f t="shared" si="84"/>
        <v>155</v>
      </c>
      <c r="K295">
        <f t="shared" si="76"/>
        <v>2</v>
      </c>
      <c r="L295">
        <f t="shared" si="77"/>
        <v>35</v>
      </c>
      <c r="M295" s="13">
        <f t="shared" si="85"/>
        <v>0</v>
      </c>
      <c r="N295">
        <f t="shared" si="85"/>
        <v>27</v>
      </c>
      <c r="O295" s="14">
        <f t="shared" si="73"/>
        <v>27</v>
      </c>
      <c r="P295" s="13">
        <f t="shared" si="78"/>
        <v>0</v>
      </c>
      <c r="Q295">
        <f t="shared" si="86"/>
        <v>27</v>
      </c>
      <c r="R295" s="14">
        <f t="shared" si="87"/>
        <v>27</v>
      </c>
      <c r="S295" s="15"/>
      <c r="W295" s="14"/>
    </row>
    <row r="296" spans="1:23" x14ac:dyDescent="0.25">
      <c r="A296" s="16"/>
      <c r="B296" s="17" t="b">
        <f t="shared" si="80"/>
        <v>0</v>
      </c>
      <c r="C296" s="17" t="b">
        <f t="shared" si="72"/>
        <v>0</v>
      </c>
      <c r="D296" s="17">
        <f t="shared" si="74"/>
        <v>1</v>
      </c>
      <c r="E296" s="17" t="str">
        <f t="shared" si="79"/>
        <v>Section 10 - Spring Boot - Deployement</v>
      </c>
      <c r="F296" s="18" t="str">
        <f t="shared" si="75"/>
        <v/>
      </c>
      <c r="G296" s="13" t="str">
        <f t="shared" si="81"/>
        <v/>
      </c>
      <c r="H296">
        <f t="shared" si="82"/>
        <v>0</v>
      </c>
      <c r="I296">
        <f t="shared" si="83"/>
        <v>0</v>
      </c>
      <c r="J296" s="13">
        <f t="shared" si="84"/>
        <v>155</v>
      </c>
      <c r="K296">
        <f t="shared" si="76"/>
        <v>2</v>
      </c>
      <c r="L296">
        <f t="shared" si="77"/>
        <v>35</v>
      </c>
      <c r="M296" s="13">
        <f t="shared" si="85"/>
        <v>0</v>
      </c>
      <c r="N296">
        <f t="shared" si="85"/>
        <v>27</v>
      </c>
      <c r="O296" s="14">
        <f t="shared" si="73"/>
        <v>27</v>
      </c>
      <c r="P296" s="13">
        <f t="shared" si="78"/>
        <v>0</v>
      </c>
      <c r="Q296">
        <f t="shared" si="86"/>
        <v>27</v>
      </c>
      <c r="R296" s="14">
        <f t="shared" si="87"/>
        <v>27</v>
      </c>
      <c r="S296" s="15"/>
      <c r="W296" s="14"/>
    </row>
    <row r="297" spans="1:23" x14ac:dyDescent="0.25">
      <c r="A297" s="16"/>
      <c r="B297" s="17" t="b">
        <f t="shared" si="80"/>
        <v>0</v>
      </c>
      <c r="C297" s="17" t="b">
        <f t="shared" si="72"/>
        <v>0</v>
      </c>
      <c r="D297" s="17">
        <f t="shared" si="74"/>
        <v>1</v>
      </c>
      <c r="E297" s="17" t="str">
        <f t="shared" si="79"/>
        <v>Section 10 - Spring Boot - Deployement</v>
      </c>
      <c r="F297" s="18" t="str">
        <f t="shared" si="75"/>
        <v/>
      </c>
      <c r="G297" s="13" t="str">
        <f t="shared" si="81"/>
        <v/>
      </c>
      <c r="H297">
        <f t="shared" si="82"/>
        <v>0</v>
      </c>
      <c r="I297">
        <f t="shared" si="83"/>
        <v>0</v>
      </c>
      <c r="J297" s="13">
        <f t="shared" si="84"/>
        <v>155</v>
      </c>
      <c r="K297">
        <f t="shared" si="76"/>
        <v>2</v>
      </c>
      <c r="L297">
        <f t="shared" si="77"/>
        <v>35</v>
      </c>
      <c r="M297" s="13">
        <f t="shared" si="85"/>
        <v>0</v>
      </c>
      <c r="N297">
        <f t="shared" si="85"/>
        <v>27</v>
      </c>
      <c r="O297" s="14">
        <f t="shared" si="73"/>
        <v>27</v>
      </c>
      <c r="P297" s="13">
        <f t="shared" si="78"/>
        <v>0</v>
      </c>
      <c r="Q297">
        <f t="shared" si="86"/>
        <v>27</v>
      </c>
      <c r="R297" s="14">
        <f t="shared" si="87"/>
        <v>27</v>
      </c>
      <c r="S297" s="15"/>
      <c r="W297" s="14"/>
    </row>
    <row r="298" spans="1:23" x14ac:dyDescent="0.25">
      <c r="A298" s="16"/>
      <c r="B298" s="17" t="b">
        <f t="shared" si="80"/>
        <v>0</v>
      </c>
      <c r="C298" s="17" t="b">
        <f t="shared" si="72"/>
        <v>0</v>
      </c>
      <c r="D298" s="17">
        <f t="shared" si="74"/>
        <v>1</v>
      </c>
      <c r="E298" s="17" t="str">
        <f t="shared" si="79"/>
        <v>Section 10 - Spring Boot - Deployement</v>
      </c>
      <c r="F298" s="18" t="str">
        <f t="shared" si="75"/>
        <v/>
      </c>
      <c r="G298" s="13" t="str">
        <f t="shared" si="81"/>
        <v/>
      </c>
      <c r="H298">
        <f t="shared" si="82"/>
        <v>0</v>
      </c>
      <c r="I298">
        <f t="shared" si="83"/>
        <v>0</v>
      </c>
      <c r="J298" s="13">
        <f t="shared" si="84"/>
        <v>155</v>
      </c>
      <c r="K298">
        <f t="shared" si="76"/>
        <v>2</v>
      </c>
      <c r="L298">
        <f t="shared" si="77"/>
        <v>35</v>
      </c>
      <c r="M298" s="13">
        <f t="shared" si="85"/>
        <v>0</v>
      </c>
      <c r="N298">
        <f t="shared" si="85"/>
        <v>27</v>
      </c>
      <c r="O298" s="14">
        <f t="shared" si="73"/>
        <v>27</v>
      </c>
      <c r="P298" s="13">
        <f t="shared" si="78"/>
        <v>0</v>
      </c>
      <c r="Q298">
        <f t="shared" si="86"/>
        <v>27</v>
      </c>
      <c r="R298" s="14">
        <f t="shared" si="87"/>
        <v>27</v>
      </c>
      <c r="S298" s="15"/>
      <c r="W298" s="14"/>
    </row>
    <row r="299" spans="1:23" x14ac:dyDescent="0.25">
      <c r="A299" s="16"/>
      <c r="B299" s="17" t="b">
        <f t="shared" si="80"/>
        <v>0</v>
      </c>
      <c r="C299" s="17" t="b">
        <f t="shared" si="72"/>
        <v>0</v>
      </c>
      <c r="D299" s="17">
        <f t="shared" si="74"/>
        <v>1</v>
      </c>
      <c r="E299" s="17" t="str">
        <f t="shared" si="79"/>
        <v>Section 10 - Spring Boot - Deployement</v>
      </c>
      <c r="F299" s="18" t="str">
        <f t="shared" si="75"/>
        <v/>
      </c>
      <c r="G299" s="13" t="str">
        <f t="shared" si="81"/>
        <v/>
      </c>
      <c r="H299">
        <f t="shared" si="82"/>
        <v>0</v>
      </c>
      <c r="I299">
        <f t="shared" si="83"/>
        <v>0</v>
      </c>
      <c r="J299" s="13">
        <f t="shared" si="84"/>
        <v>155</v>
      </c>
      <c r="K299">
        <f t="shared" si="76"/>
        <v>2</v>
      </c>
      <c r="L299">
        <f t="shared" si="77"/>
        <v>35</v>
      </c>
      <c r="M299" s="13">
        <f t="shared" si="85"/>
        <v>0</v>
      </c>
      <c r="N299">
        <f t="shared" si="85"/>
        <v>27</v>
      </c>
      <c r="O299" s="14">
        <f t="shared" si="73"/>
        <v>27</v>
      </c>
      <c r="P299" s="13">
        <f t="shared" si="78"/>
        <v>0</v>
      </c>
      <c r="Q299">
        <f t="shared" si="86"/>
        <v>27</v>
      </c>
      <c r="R299" s="14">
        <f t="shared" si="87"/>
        <v>27</v>
      </c>
      <c r="S299" s="15"/>
      <c r="W299" s="14"/>
    </row>
    <row r="300" spans="1:23" x14ac:dyDescent="0.25">
      <c r="A300" s="16"/>
      <c r="B300" s="17" t="b">
        <f t="shared" si="80"/>
        <v>0</v>
      </c>
      <c r="C300" s="17" t="b">
        <f t="shared" si="72"/>
        <v>0</v>
      </c>
      <c r="D300" s="17">
        <f t="shared" si="74"/>
        <v>1</v>
      </c>
      <c r="E300" s="17" t="str">
        <f t="shared" si="79"/>
        <v>Section 10 - Spring Boot - Deployement</v>
      </c>
      <c r="F300" s="18" t="str">
        <f t="shared" si="75"/>
        <v/>
      </c>
      <c r="G300" s="13" t="str">
        <f t="shared" si="81"/>
        <v/>
      </c>
      <c r="H300">
        <f t="shared" si="82"/>
        <v>0</v>
      </c>
      <c r="I300">
        <f t="shared" si="83"/>
        <v>0</v>
      </c>
      <c r="J300" s="13">
        <f t="shared" si="84"/>
        <v>155</v>
      </c>
      <c r="K300">
        <f t="shared" si="76"/>
        <v>2</v>
      </c>
      <c r="L300">
        <f t="shared" si="77"/>
        <v>35</v>
      </c>
      <c r="M300" s="13">
        <f t="shared" si="85"/>
        <v>0</v>
      </c>
      <c r="N300">
        <f t="shared" si="85"/>
        <v>27</v>
      </c>
      <c r="O300" s="14">
        <f t="shared" si="73"/>
        <v>27</v>
      </c>
      <c r="P300" s="13">
        <f t="shared" si="78"/>
        <v>0</v>
      </c>
      <c r="Q300">
        <f t="shared" si="86"/>
        <v>27</v>
      </c>
      <c r="R300" s="14">
        <f t="shared" si="87"/>
        <v>27</v>
      </c>
      <c r="S300" s="15"/>
      <c r="W300" s="14"/>
    </row>
    <row r="301" spans="1:23" x14ac:dyDescent="0.25">
      <c r="A301" s="16"/>
      <c r="B301" s="17" t="b">
        <f t="shared" si="80"/>
        <v>0</v>
      </c>
      <c r="C301" s="17" t="b">
        <f t="shared" si="72"/>
        <v>0</v>
      </c>
      <c r="D301" s="17">
        <f t="shared" si="74"/>
        <v>1</v>
      </c>
      <c r="E301" s="17" t="str">
        <f t="shared" si="79"/>
        <v>Section 10 - Spring Boot - Deployement</v>
      </c>
      <c r="F301" s="18" t="str">
        <f t="shared" si="75"/>
        <v/>
      </c>
      <c r="G301" s="13" t="str">
        <f t="shared" si="81"/>
        <v/>
      </c>
      <c r="H301">
        <f t="shared" si="82"/>
        <v>0</v>
      </c>
      <c r="I301">
        <f t="shared" si="83"/>
        <v>0</v>
      </c>
      <c r="J301" s="13">
        <f t="shared" si="84"/>
        <v>155</v>
      </c>
      <c r="K301">
        <f t="shared" si="76"/>
        <v>2</v>
      </c>
      <c r="L301">
        <f t="shared" si="77"/>
        <v>35</v>
      </c>
      <c r="M301" s="13">
        <f t="shared" si="85"/>
        <v>0</v>
      </c>
      <c r="N301">
        <f t="shared" si="85"/>
        <v>27</v>
      </c>
      <c r="O301" s="14">
        <f t="shared" si="73"/>
        <v>27</v>
      </c>
      <c r="P301" s="13">
        <f t="shared" si="78"/>
        <v>0</v>
      </c>
      <c r="Q301">
        <f t="shared" si="86"/>
        <v>27</v>
      </c>
      <c r="R301" s="14">
        <f t="shared" si="87"/>
        <v>27</v>
      </c>
      <c r="S301" s="15"/>
      <c r="W301" s="14"/>
    </row>
    <row r="302" spans="1:23" x14ac:dyDescent="0.25">
      <c r="A302" s="16"/>
      <c r="B302" s="17" t="b">
        <f t="shared" si="80"/>
        <v>0</v>
      </c>
      <c r="C302" s="17" t="b">
        <f t="shared" si="72"/>
        <v>0</v>
      </c>
      <c r="D302" s="17">
        <f t="shared" si="74"/>
        <v>1</v>
      </c>
      <c r="E302" s="17" t="str">
        <f t="shared" si="79"/>
        <v>Section 10 - Spring Boot - Deployement</v>
      </c>
      <c r="F302" s="18" t="str">
        <f t="shared" si="75"/>
        <v/>
      </c>
      <c r="G302" s="13" t="str">
        <f t="shared" si="81"/>
        <v/>
      </c>
      <c r="H302">
        <f t="shared" si="82"/>
        <v>0</v>
      </c>
      <c r="I302">
        <f t="shared" si="83"/>
        <v>0</v>
      </c>
      <c r="J302" s="13">
        <f t="shared" si="84"/>
        <v>155</v>
      </c>
      <c r="K302">
        <f t="shared" si="76"/>
        <v>2</v>
      </c>
      <c r="L302">
        <f t="shared" si="77"/>
        <v>35</v>
      </c>
      <c r="M302" s="13">
        <f t="shared" si="85"/>
        <v>0</v>
      </c>
      <c r="N302">
        <f t="shared" si="85"/>
        <v>27</v>
      </c>
      <c r="O302" s="14">
        <f t="shared" si="73"/>
        <v>27</v>
      </c>
      <c r="P302" s="13">
        <f t="shared" si="78"/>
        <v>0</v>
      </c>
      <c r="Q302">
        <f t="shared" si="86"/>
        <v>27</v>
      </c>
      <c r="R302" s="14">
        <f t="shared" si="87"/>
        <v>27</v>
      </c>
      <c r="S302" s="15"/>
      <c r="W302" s="14"/>
    </row>
    <row r="303" spans="1:23" x14ac:dyDescent="0.25">
      <c r="A303" s="16"/>
      <c r="B303" s="17" t="b">
        <f t="shared" si="80"/>
        <v>0</v>
      </c>
      <c r="C303" s="17" t="b">
        <f t="shared" si="72"/>
        <v>0</v>
      </c>
      <c r="D303" s="17">
        <f t="shared" si="74"/>
        <v>1</v>
      </c>
      <c r="E303" s="17" t="str">
        <f t="shared" si="79"/>
        <v>Section 10 - Spring Boot - Deployement</v>
      </c>
      <c r="F303" s="18" t="str">
        <f t="shared" si="75"/>
        <v/>
      </c>
      <c r="G303" s="13" t="str">
        <f t="shared" si="81"/>
        <v/>
      </c>
      <c r="H303">
        <f t="shared" si="82"/>
        <v>0</v>
      </c>
      <c r="I303">
        <f t="shared" si="83"/>
        <v>0</v>
      </c>
      <c r="J303" s="13">
        <f t="shared" si="84"/>
        <v>155</v>
      </c>
      <c r="K303">
        <f t="shared" si="76"/>
        <v>2</v>
      </c>
      <c r="L303">
        <f t="shared" si="77"/>
        <v>35</v>
      </c>
      <c r="M303" s="13">
        <f t="shared" si="85"/>
        <v>0</v>
      </c>
      <c r="N303">
        <f t="shared" si="85"/>
        <v>27</v>
      </c>
      <c r="O303" s="14">
        <f t="shared" si="73"/>
        <v>27</v>
      </c>
      <c r="P303" s="13">
        <f t="shared" si="78"/>
        <v>0</v>
      </c>
      <c r="Q303">
        <f t="shared" si="86"/>
        <v>27</v>
      </c>
      <c r="R303" s="14">
        <f t="shared" si="87"/>
        <v>27</v>
      </c>
      <c r="S303" s="15"/>
      <c r="W303" s="14"/>
    </row>
    <row r="304" spans="1:23" x14ac:dyDescent="0.25">
      <c r="A304" s="16"/>
      <c r="B304" s="17" t="b">
        <f t="shared" si="80"/>
        <v>0</v>
      </c>
      <c r="C304" s="17" t="b">
        <f t="shared" si="72"/>
        <v>0</v>
      </c>
      <c r="D304" s="17">
        <f t="shared" si="74"/>
        <v>1</v>
      </c>
      <c r="E304" s="17" t="str">
        <f t="shared" si="79"/>
        <v>Section 10 - Spring Boot - Deployement</v>
      </c>
      <c r="F304" s="18" t="str">
        <f t="shared" si="75"/>
        <v/>
      </c>
      <c r="G304" s="13" t="str">
        <f t="shared" si="81"/>
        <v/>
      </c>
      <c r="H304">
        <f t="shared" si="82"/>
        <v>0</v>
      </c>
      <c r="I304">
        <f t="shared" si="83"/>
        <v>0</v>
      </c>
      <c r="J304" s="13">
        <f t="shared" si="84"/>
        <v>155</v>
      </c>
      <c r="K304">
        <f t="shared" si="76"/>
        <v>2</v>
      </c>
      <c r="L304">
        <f t="shared" si="77"/>
        <v>35</v>
      </c>
      <c r="M304" s="13">
        <f t="shared" si="85"/>
        <v>0</v>
      </c>
      <c r="N304">
        <f t="shared" si="85"/>
        <v>27</v>
      </c>
      <c r="O304" s="14">
        <f t="shared" si="73"/>
        <v>27</v>
      </c>
      <c r="P304" s="13">
        <f t="shared" si="78"/>
        <v>0</v>
      </c>
      <c r="Q304">
        <f t="shared" si="86"/>
        <v>27</v>
      </c>
      <c r="R304" s="14">
        <f t="shared" si="87"/>
        <v>27</v>
      </c>
      <c r="S304" s="15"/>
      <c r="W304" s="14"/>
    </row>
    <row r="305" spans="1:23" x14ac:dyDescent="0.25">
      <c r="A305" s="16"/>
      <c r="B305" s="17" t="b">
        <f t="shared" si="80"/>
        <v>0</v>
      </c>
      <c r="C305" s="17" t="b">
        <f t="shared" si="72"/>
        <v>0</v>
      </c>
      <c r="D305" s="17">
        <f t="shared" si="74"/>
        <v>1</v>
      </c>
      <c r="E305" s="17" t="str">
        <f t="shared" si="79"/>
        <v>Section 10 - Spring Boot - Deployement</v>
      </c>
      <c r="F305" s="18" t="str">
        <f t="shared" si="75"/>
        <v/>
      </c>
      <c r="G305" s="13" t="str">
        <f t="shared" si="81"/>
        <v/>
      </c>
      <c r="H305">
        <f t="shared" si="82"/>
        <v>0</v>
      </c>
      <c r="I305">
        <f t="shared" si="83"/>
        <v>0</v>
      </c>
      <c r="J305" s="13">
        <f t="shared" si="84"/>
        <v>155</v>
      </c>
      <c r="K305">
        <f t="shared" si="76"/>
        <v>2</v>
      </c>
      <c r="L305">
        <f t="shared" si="77"/>
        <v>35</v>
      </c>
      <c r="M305" s="13">
        <f t="shared" si="85"/>
        <v>0</v>
      </c>
      <c r="N305">
        <f t="shared" si="85"/>
        <v>27</v>
      </c>
      <c r="O305" s="14">
        <f t="shared" si="73"/>
        <v>27</v>
      </c>
      <c r="P305" s="13">
        <f t="shared" si="78"/>
        <v>0</v>
      </c>
      <c r="Q305">
        <f t="shared" si="86"/>
        <v>27</v>
      </c>
      <c r="R305" s="14">
        <f t="shared" si="87"/>
        <v>27</v>
      </c>
      <c r="S305" s="15"/>
      <c r="W305" s="14"/>
    </row>
    <row r="306" spans="1:23" x14ac:dyDescent="0.25">
      <c r="A306" s="16"/>
      <c r="B306" s="17" t="b">
        <f t="shared" si="80"/>
        <v>0</v>
      </c>
      <c r="C306" s="17" t="b">
        <f t="shared" si="72"/>
        <v>0</v>
      </c>
      <c r="D306" s="17">
        <f t="shared" si="74"/>
        <v>1</v>
      </c>
      <c r="E306" s="17" t="str">
        <f t="shared" si="79"/>
        <v>Section 10 - Spring Boot - Deployement</v>
      </c>
      <c r="F306" s="18" t="str">
        <f t="shared" si="75"/>
        <v/>
      </c>
      <c r="G306" s="13" t="str">
        <f t="shared" si="81"/>
        <v/>
      </c>
      <c r="H306">
        <f t="shared" si="82"/>
        <v>0</v>
      </c>
      <c r="I306">
        <f t="shared" si="83"/>
        <v>0</v>
      </c>
      <c r="J306" s="13">
        <f t="shared" si="84"/>
        <v>155</v>
      </c>
      <c r="K306">
        <f t="shared" si="76"/>
        <v>2</v>
      </c>
      <c r="L306">
        <f t="shared" si="77"/>
        <v>35</v>
      </c>
      <c r="M306" s="13">
        <f t="shared" si="85"/>
        <v>0</v>
      </c>
      <c r="N306">
        <f t="shared" si="85"/>
        <v>27</v>
      </c>
      <c r="O306" s="14">
        <f t="shared" si="73"/>
        <v>27</v>
      </c>
      <c r="P306" s="13">
        <f t="shared" si="78"/>
        <v>0</v>
      </c>
      <c r="Q306">
        <f t="shared" si="86"/>
        <v>27</v>
      </c>
      <c r="R306" s="14">
        <f t="shared" si="87"/>
        <v>27</v>
      </c>
      <c r="S306" s="15"/>
      <c r="W306" s="14"/>
    </row>
    <row r="307" spans="1:23" x14ac:dyDescent="0.25">
      <c r="A307" s="16"/>
      <c r="B307" s="17" t="b">
        <f t="shared" si="80"/>
        <v>0</v>
      </c>
      <c r="C307" s="17" t="b">
        <f t="shared" si="72"/>
        <v>0</v>
      </c>
      <c r="D307" s="17">
        <f t="shared" si="74"/>
        <v>1</v>
      </c>
      <c r="E307" s="17" t="str">
        <f t="shared" si="79"/>
        <v>Section 10 - Spring Boot - Deployement</v>
      </c>
      <c r="F307" s="18" t="str">
        <f t="shared" si="75"/>
        <v/>
      </c>
      <c r="G307" s="13" t="str">
        <f t="shared" si="81"/>
        <v/>
      </c>
      <c r="H307">
        <f t="shared" si="82"/>
        <v>0</v>
      </c>
      <c r="I307">
        <f t="shared" si="83"/>
        <v>0</v>
      </c>
      <c r="J307" s="13">
        <f t="shared" si="84"/>
        <v>155</v>
      </c>
      <c r="K307">
        <f t="shared" si="76"/>
        <v>2</v>
      </c>
      <c r="L307">
        <f t="shared" si="77"/>
        <v>35</v>
      </c>
      <c r="M307" s="13">
        <f t="shared" si="85"/>
        <v>0</v>
      </c>
      <c r="N307">
        <f t="shared" si="85"/>
        <v>27</v>
      </c>
      <c r="O307" s="14">
        <f t="shared" si="73"/>
        <v>27</v>
      </c>
      <c r="P307" s="13">
        <f t="shared" si="78"/>
        <v>0</v>
      </c>
      <c r="Q307">
        <f t="shared" si="86"/>
        <v>27</v>
      </c>
      <c r="R307" s="14">
        <f t="shared" si="87"/>
        <v>27</v>
      </c>
      <c r="S307" s="15"/>
      <c r="W307" s="14"/>
    </row>
    <row r="308" spans="1:23" x14ac:dyDescent="0.25">
      <c r="A308" s="16"/>
      <c r="B308" s="17" t="b">
        <f t="shared" si="80"/>
        <v>0</v>
      </c>
      <c r="C308" s="17" t="b">
        <f t="shared" si="72"/>
        <v>0</v>
      </c>
      <c r="D308" s="17">
        <f t="shared" si="74"/>
        <v>1</v>
      </c>
      <c r="E308" s="17" t="str">
        <f t="shared" si="79"/>
        <v>Section 10 - Spring Boot - Deployement</v>
      </c>
      <c r="F308" s="18" t="str">
        <f t="shared" si="75"/>
        <v/>
      </c>
      <c r="G308" s="13" t="str">
        <f t="shared" si="81"/>
        <v/>
      </c>
      <c r="H308">
        <f t="shared" si="82"/>
        <v>0</v>
      </c>
      <c r="I308">
        <f t="shared" si="83"/>
        <v>0</v>
      </c>
      <c r="J308" s="13">
        <f t="shared" si="84"/>
        <v>155</v>
      </c>
      <c r="K308">
        <f t="shared" si="76"/>
        <v>2</v>
      </c>
      <c r="L308">
        <f t="shared" si="77"/>
        <v>35</v>
      </c>
      <c r="M308" s="13">
        <f t="shared" si="85"/>
        <v>0</v>
      </c>
      <c r="N308">
        <f t="shared" si="85"/>
        <v>27</v>
      </c>
      <c r="O308" s="14">
        <f t="shared" si="73"/>
        <v>27</v>
      </c>
      <c r="P308" s="13">
        <f t="shared" si="78"/>
        <v>0</v>
      </c>
      <c r="Q308">
        <f t="shared" si="86"/>
        <v>27</v>
      </c>
      <c r="R308" s="14">
        <f t="shared" si="87"/>
        <v>27</v>
      </c>
      <c r="S308" s="15"/>
      <c r="W308" s="14"/>
    </row>
    <row r="309" spans="1:23" x14ac:dyDescent="0.25">
      <c r="A309" s="16"/>
      <c r="B309" s="17" t="b">
        <f t="shared" si="80"/>
        <v>0</v>
      </c>
      <c r="C309" s="17" t="b">
        <f t="shared" si="72"/>
        <v>0</v>
      </c>
      <c r="D309" s="17">
        <f t="shared" si="74"/>
        <v>1</v>
      </c>
      <c r="E309" s="17" t="str">
        <f t="shared" si="79"/>
        <v>Section 10 - Spring Boot - Deployement</v>
      </c>
      <c r="F309" s="18" t="str">
        <f t="shared" si="75"/>
        <v/>
      </c>
      <c r="G309" s="13" t="str">
        <f t="shared" si="81"/>
        <v/>
      </c>
      <c r="H309">
        <f t="shared" si="82"/>
        <v>0</v>
      </c>
      <c r="I309">
        <f t="shared" si="83"/>
        <v>0</v>
      </c>
      <c r="J309" s="13">
        <f t="shared" si="84"/>
        <v>155</v>
      </c>
      <c r="K309">
        <f t="shared" si="76"/>
        <v>2</v>
      </c>
      <c r="L309">
        <f t="shared" si="77"/>
        <v>35</v>
      </c>
      <c r="M309" s="13">
        <f t="shared" si="85"/>
        <v>0</v>
      </c>
      <c r="N309">
        <f t="shared" si="85"/>
        <v>27</v>
      </c>
      <c r="O309" s="14">
        <f t="shared" si="73"/>
        <v>27</v>
      </c>
      <c r="P309" s="13">
        <f t="shared" si="78"/>
        <v>0</v>
      </c>
      <c r="Q309">
        <f t="shared" si="86"/>
        <v>27</v>
      </c>
      <c r="R309" s="14">
        <f t="shared" si="87"/>
        <v>27</v>
      </c>
      <c r="S309" s="15"/>
      <c r="W309" s="14"/>
    </row>
    <row r="310" spans="1:23" x14ac:dyDescent="0.25">
      <c r="A310" s="16"/>
      <c r="B310" s="17" t="b">
        <f t="shared" si="80"/>
        <v>0</v>
      </c>
      <c r="C310" s="17" t="b">
        <f t="shared" si="72"/>
        <v>0</v>
      </c>
      <c r="D310" s="17">
        <f t="shared" si="74"/>
        <v>1</v>
      </c>
      <c r="E310" s="17" t="str">
        <f t="shared" si="79"/>
        <v>Section 10 - Spring Boot - Deployement</v>
      </c>
      <c r="F310" s="18" t="str">
        <f t="shared" si="75"/>
        <v/>
      </c>
      <c r="G310" s="13" t="str">
        <f t="shared" si="81"/>
        <v/>
      </c>
      <c r="H310">
        <f t="shared" si="82"/>
        <v>0</v>
      </c>
      <c r="I310">
        <f t="shared" si="83"/>
        <v>0</v>
      </c>
      <c r="J310" s="13">
        <f t="shared" si="84"/>
        <v>155</v>
      </c>
      <c r="K310">
        <f t="shared" si="76"/>
        <v>2</v>
      </c>
      <c r="L310">
        <f t="shared" si="77"/>
        <v>35</v>
      </c>
      <c r="M310" s="13">
        <f t="shared" si="85"/>
        <v>0</v>
      </c>
      <c r="N310">
        <f t="shared" si="85"/>
        <v>27</v>
      </c>
      <c r="O310" s="14">
        <f t="shared" si="73"/>
        <v>27</v>
      </c>
      <c r="P310" s="13">
        <f t="shared" si="78"/>
        <v>0</v>
      </c>
      <c r="Q310">
        <f t="shared" si="86"/>
        <v>27</v>
      </c>
      <c r="R310" s="14">
        <f t="shared" si="87"/>
        <v>27</v>
      </c>
      <c r="S310" s="15"/>
      <c r="W310" s="14"/>
    </row>
    <row r="311" spans="1:23" x14ac:dyDescent="0.25">
      <c r="A311" s="16"/>
      <c r="B311" s="17" t="b">
        <f t="shared" si="80"/>
        <v>0</v>
      </c>
      <c r="C311" s="17" t="b">
        <f t="shared" si="72"/>
        <v>0</v>
      </c>
      <c r="D311" s="17">
        <f t="shared" si="74"/>
        <v>1</v>
      </c>
      <c r="E311" s="17" t="str">
        <f t="shared" si="79"/>
        <v>Section 10 - Spring Boot - Deployement</v>
      </c>
      <c r="F311" s="18" t="str">
        <f t="shared" si="75"/>
        <v/>
      </c>
      <c r="G311" s="13" t="str">
        <f t="shared" si="81"/>
        <v/>
      </c>
      <c r="H311">
        <f t="shared" si="82"/>
        <v>0</v>
      </c>
      <c r="I311">
        <f t="shared" si="83"/>
        <v>0</v>
      </c>
      <c r="J311" s="13">
        <f t="shared" si="84"/>
        <v>155</v>
      </c>
      <c r="K311">
        <f t="shared" si="76"/>
        <v>2</v>
      </c>
      <c r="L311">
        <f t="shared" si="77"/>
        <v>35</v>
      </c>
      <c r="M311" s="13">
        <f t="shared" si="85"/>
        <v>0</v>
      </c>
      <c r="N311">
        <f t="shared" si="85"/>
        <v>27</v>
      </c>
      <c r="O311" s="14">
        <f t="shared" si="73"/>
        <v>27</v>
      </c>
      <c r="P311" s="13">
        <f t="shared" si="78"/>
        <v>0</v>
      </c>
      <c r="Q311">
        <f t="shared" si="86"/>
        <v>27</v>
      </c>
      <c r="R311" s="14">
        <f t="shared" si="87"/>
        <v>27</v>
      </c>
      <c r="S311" s="15"/>
      <c r="W311" s="14"/>
    </row>
    <row r="312" spans="1:23" x14ac:dyDescent="0.25">
      <c r="A312" s="16"/>
      <c r="B312" s="17" t="b">
        <f t="shared" si="80"/>
        <v>0</v>
      </c>
      <c r="C312" s="17" t="b">
        <f t="shared" si="72"/>
        <v>0</v>
      </c>
      <c r="D312" s="17">
        <f t="shared" si="74"/>
        <v>1</v>
      </c>
      <c r="E312" s="17" t="str">
        <f t="shared" si="79"/>
        <v>Section 10 - Spring Boot - Deployement</v>
      </c>
      <c r="F312" s="18" t="str">
        <f t="shared" si="75"/>
        <v/>
      </c>
      <c r="G312" s="13" t="str">
        <f t="shared" si="81"/>
        <v/>
      </c>
      <c r="H312">
        <f t="shared" si="82"/>
        <v>0</v>
      </c>
      <c r="I312">
        <f t="shared" si="83"/>
        <v>0</v>
      </c>
      <c r="J312" s="13">
        <f t="shared" si="84"/>
        <v>155</v>
      </c>
      <c r="K312">
        <f t="shared" si="76"/>
        <v>2</v>
      </c>
      <c r="L312">
        <f t="shared" si="77"/>
        <v>35</v>
      </c>
      <c r="M312" s="13">
        <f t="shared" si="85"/>
        <v>0</v>
      </c>
      <c r="N312">
        <f t="shared" si="85"/>
        <v>27</v>
      </c>
      <c r="O312" s="14">
        <f t="shared" si="73"/>
        <v>27</v>
      </c>
      <c r="P312" s="13">
        <f t="shared" si="78"/>
        <v>0</v>
      </c>
      <c r="Q312">
        <f t="shared" si="86"/>
        <v>27</v>
      </c>
      <c r="R312" s="14">
        <f t="shared" si="87"/>
        <v>27</v>
      </c>
      <c r="S312" s="15"/>
      <c r="W312" s="14"/>
    </row>
    <row r="313" spans="1:23" x14ac:dyDescent="0.25">
      <c r="A313" s="16"/>
      <c r="B313" s="17" t="b">
        <f t="shared" si="80"/>
        <v>0</v>
      </c>
      <c r="C313" s="17" t="b">
        <f t="shared" si="72"/>
        <v>0</v>
      </c>
      <c r="D313" s="17">
        <f t="shared" si="74"/>
        <v>1</v>
      </c>
      <c r="E313" s="17" t="str">
        <f t="shared" si="79"/>
        <v>Section 10 - Spring Boot - Deployement</v>
      </c>
      <c r="F313" s="18" t="str">
        <f t="shared" si="75"/>
        <v/>
      </c>
      <c r="G313" s="13" t="str">
        <f t="shared" si="81"/>
        <v/>
      </c>
      <c r="H313">
        <f t="shared" si="82"/>
        <v>0</v>
      </c>
      <c r="I313">
        <f t="shared" si="83"/>
        <v>0</v>
      </c>
      <c r="J313" s="13">
        <f t="shared" si="84"/>
        <v>155</v>
      </c>
      <c r="K313">
        <f t="shared" si="76"/>
        <v>2</v>
      </c>
      <c r="L313">
        <f t="shared" si="77"/>
        <v>35</v>
      </c>
      <c r="M313" s="13">
        <f t="shared" si="85"/>
        <v>0</v>
      </c>
      <c r="N313">
        <f t="shared" si="85"/>
        <v>27</v>
      </c>
      <c r="O313" s="14">
        <f t="shared" si="73"/>
        <v>27</v>
      </c>
      <c r="P313" s="13">
        <f t="shared" si="78"/>
        <v>0</v>
      </c>
      <c r="Q313">
        <f t="shared" si="86"/>
        <v>27</v>
      </c>
      <c r="R313" s="14">
        <f t="shared" si="87"/>
        <v>27</v>
      </c>
      <c r="S313" s="15"/>
      <c r="W313" s="14"/>
    </row>
    <row r="314" spans="1:23" x14ac:dyDescent="0.25">
      <c r="A314" s="16"/>
      <c r="B314" s="17" t="b">
        <f t="shared" si="80"/>
        <v>0</v>
      </c>
      <c r="C314" s="17" t="b">
        <f t="shared" si="72"/>
        <v>0</v>
      </c>
      <c r="D314" s="17">
        <f t="shared" si="74"/>
        <v>1</v>
      </c>
      <c r="E314" s="17" t="str">
        <f t="shared" si="79"/>
        <v>Section 10 - Spring Boot - Deployement</v>
      </c>
      <c r="F314" s="18" t="str">
        <f t="shared" si="75"/>
        <v/>
      </c>
      <c r="G314" s="13" t="str">
        <f t="shared" si="81"/>
        <v/>
      </c>
      <c r="H314">
        <f t="shared" si="82"/>
        <v>0</v>
      </c>
      <c r="I314">
        <f t="shared" si="83"/>
        <v>0</v>
      </c>
      <c r="J314" s="13">
        <f t="shared" si="84"/>
        <v>155</v>
      </c>
      <c r="K314">
        <f t="shared" si="76"/>
        <v>2</v>
      </c>
      <c r="L314">
        <f t="shared" si="77"/>
        <v>35</v>
      </c>
      <c r="M314" s="13">
        <f t="shared" si="85"/>
        <v>0</v>
      </c>
      <c r="N314">
        <f t="shared" si="85"/>
        <v>27</v>
      </c>
      <c r="O314" s="14">
        <f t="shared" si="73"/>
        <v>27</v>
      </c>
      <c r="P314" s="13">
        <f t="shared" si="78"/>
        <v>0</v>
      </c>
      <c r="Q314">
        <f t="shared" si="86"/>
        <v>27</v>
      </c>
      <c r="R314" s="14">
        <f t="shared" si="87"/>
        <v>27</v>
      </c>
      <c r="S314" s="15"/>
      <c r="W314" s="14"/>
    </row>
    <row r="315" spans="1:23" x14ac:dyDescent="0.25">
      <c r="A315" s="16"/>
      <c r="B315" s="17" t="b">
        <f t="shared" si="80"/>
        <v>0</v>
      </c>
      <c r="C315" s="17" t="b">
        <f t="shared" si="72"/>
        <v>0</v>
      </c>
      <c r="D315" s="17">
        <f t="shared" si="74"/>
        <v>1</v>
      </c>
      <c r="E315" s="17" t="str">
        <f t="shared" si="79"/>
        <v>Section 10 - Spring Boot - Deployement</v>
      </c>
      <c r="F315" s="18" t="str">
        <f t="shared" si="75"/>
        <v/>
      </c>
      <c r="G315" s="13" t="str">
        <f t="shared" si="81"/>
        <v/>
      </c>
      <c r="H315">
        <f t="shared" si="82"/>
        <v>0</v>
      </c>
      <c r="I315">
        <f t="shared" si="83"/>
        <v>0</v>
      </c>
      <c r="J315" s="13">
        <f t="shared" si="84"/>
        <v>155</v>
      </c>
      <c r="K315">
        <f t="shared" si="76"/>
        <v>2</v>
      </c>
      <c r="L315">
        <f t="shared" si="77"/>
        <v>35</v>
      </c>
      <c r="M315" s="13">
        <f t="shared" si="85"/>
        <v>0</v>
      </c>
      <c r="N315">
        <f t="shared" si="85"/>
        <v>27</v>
      </c>
      <c r="O315" s="14">
        <f t="shared" si="73"/>
        <v>27</v>
      </c>
      <c r="P315" s="13">
        <f t="shared" si="78"/>
        <v>0</v>
      </c>
      <c r="Q315">
        <f t="shared" si="86"/>
        <v>27</v>
      </c>
      <c r="R315" s="14">
        <f t="shared" si="87"/>
        <v>27</v>
      </c>
      <c r="S315" s="15"/>
      <c r="W315" s="14"/>
    </row>
    <row r="316" spans="1:23" x14ac:dyDescent="0.25">
      <c r="A316" s="16"/>
      <c r="B316" s="17" t="b">
        <f t="shared" si="80"/>
        <v>0</v>
      </c>
      <c r="C316" s="17" t="b">
        <f t="shared" si="72"/>
        <v>0</v>
      </c>
      <c r="D316" s="17">
        <f t="shared" si="74"/>
        <v>1</v>
      </c>
      <c r="E316" s="17" t="str">
        <f t="shared" si="79"/>
        <v>Section 10 - Spring Boot - Deployement</v>
      </c>
      <c r="F316" s="18" t="str">
        <f t="shared" si="75"/>
        <v/>
      </c>
      <c r="G316" s="13" t="str">
        <f t="shared" si="81"/>
        <v/>
      </c>
      <c r="H316">
        <f t="shared" si="82"/>
        <v>0</v>
      </c>
      <c r="I316">
        <f t="shared" si="83"/>
        <v>0</v>
      </c>
      <c r="J316" s="13">
        <f t="shared" si="84"/>
        <v>155</v>
      </c>
      <c r="K316">
        <f t="shared" si="76"/>
        <v>2</v>
      </c>
      <c r="L316">
        <f t="shared" si="77"/>
        <v>35</v>
      </c>
      <c r="M316" s="13">
        <f t="shared" si="85"/>
        <v>0</v>
      </c>
      <c r="N316">
        <f t="shared" si="85"/>
        <v>27</v>
      </c>
      <c r="O316" s="14">
        <f t="shared" si="73"/>
        <v>27</v>
      </c>
      <c r="P316" s="13">
        <f t="shared" si="78"/>
        <v>0</v>
      </c>
      <c r="Q316">
        <f t="shared" si="86"/>
        <v>27</v>
      </c>
      <c r="R316" s="14">
        <f t="shared" si="87"/>
        <v>27</v>
      </c>
      <c r="S316" s="15"/>
      <c r="W316" s="14"/>
    </row>
    <row r="317" spans="1:23" x14ac:dyDescent="0.25">
      <c r="A317" s="16"/>
      <c r="B317" s="17" t="b">
        <f t="shared" si="80"/>
        <v>0</v>
      </c>
      <c r="C317" s="17" t="b">
        <f t="shared" si="72"/>
        <v>0</v>
      </c>
      <c r="D317" s="17">
        <f t="shared" si="74"/>
        <v>1</v>
      </c>
      <c r="E317" s="17" t="str">
        <f t="shared" si="79"/>
        <v>Section 10 - Spring Boot - Deployement</v>
      </c>
      <c r="F317" s="18" t="str">
        <f t="shared" si="75"/>
        <v/>
      </c>
      <c r="G317" s="13" t="str">
        <f t="shared" si="81"/>
        <v/>
      </c>
      <c r="H317">
        <f t="shared" si="82"/>
        <v>0</v>
      </c>
      <c r="I317">
        <f t="shared" si="83"/>
        <v>0</v>
      </c>
      <c r="J317" s="13">
        <f t="shared" si="84"/>
        <v>155</v>
      </c>
      <c r="K317">
        <f t="shared" si="76"/>
        <v>2</v>
      </c>
      <c r="L317">
        <f t="shared" si="77"/>
        <v>35</v>
      </c>
      <c r="M317" s="13">
        <f t="shared" si="85"/>
        <v>0</v>
      </c>
      <c r="N317">
        <f t="shared" si="85"/>
        <v>27</v>
      </c>
      <c r="O317" s="14">
        <f t="shared" si="73"/>
        <v>27</v>
      </c>
      <c r="P317" s="13">
        <f t="shared" si="78"/>
        <v>0</v>
      </c>
      <c r="Q317">
        <f t="shared" si="86"/>
        <v>27</v>
      </c>
      <c r="R317" s="14">
        <f t="shared" si="87"/>
        <v>27</v>
      </c>
      <c r="S317" s="15"/>
      <c r="W317" s="14"/>
    </row>
    <row r="318" spans="1:23" x14ac:dyDescent="0.25">
      <c r="A318" s="16"/>
      <c r="B318" s="17" t="b">
        <f t="shared" si="80"/>
        <v>0</v>
      </c>
      <c r="C318" s="17" t="b">
        <f t="shared" si="72"/>
        <v>0</v>
      </c>
      <c r="D318" s="17">
        <f t="shared" si="74"/>
        <v>1</v>
      </c>
      <c r="E318" s="17" t="str">
        <f t="shared" si="79"/>
        <v>Section 10 - Spring Boot - Deployement</v>
      </c>
      <c r="F318" s="18" t="str">
        <f t="shared" si="75"/>
        <v/>
      </c>
      <c r="G318" s="13" t="str">
        <f t="shared" si="81"/>
        <v/>
      </c>
      <c r="H318">
        <f t="shared" si="82"/>
        <v>0</v>
      </c>
      <c r="I318">
        <f t="shared" si="83"/>
        <v>0</v>
      </c>
      <c r="J318" s="13">
        <f t="shared" si="84"/>
        <v>155</v>
      </c>
      <c r="K318">
        <f t="shared" si="76"/>
        <v>2</v>
      </c>
      <c r="L318">
        <f t="shared" si="77"/>
        <v>35</v>
      </c>
      <c r="M318" s="13">
        <f t="shared" si="85"/>
        <v>0</v>
      </c>
      <c r="N318">
        <f t="shared" si="85"/>
        <v>27</v>
      </c>
      <c r="O318" s="14">
        <f t="shared" si="73"/>
        <v>27</v>
      </c>
      <c r="P318" s="13">
        <f t="shared" si="78"/>
        <v>0</v>
      </c>
      <c r="Q318">
        <f t="shared" si="86"/>
        <v>27</v>
      </c>
      <c r="R318" s="14">
        <f t="shared" si="87"/>
        <v>27</v>
      </c>
      <c r="S318" s="15"/>
      <c r="W318" s="14"/>
    </row>
    <row r="319" spans="1:23" x14ac:dyDescent="0.25">
      <c r="A319" s="16"/>
      <c r="B319" s="17" t="b">
        <f t="shared" si="80"/>
        <v>0</v>
      </c>
      <c r="C319" s="17" t="b">
        <f t="shared" si="72"/>
        <v>0</v>
      </c>
      <c r="D319" s="17">
        <f t="shared" si="74"/>
        <v>1</v>
      </c>
      <c r="E319" s="17" t="str">
        <f t="shared" si="79"/>
        <v>Section 10 - Spring Boot - Deployement</v>
      </c>
      <c r="F319" s="18" t="str">
        <f t="shared" si="75"/>
        <v/>
      </c>
      <c r="G319" s="13" t="str">
        <f t="shared" si="81"/>
        <v/>
      </c>
      <c r="H319">
        <f t="shared" si="82"/>
        <v>0</v>
      </c>
      <c r="I319">
        <f t="shared" si="83"/>
        <v>0</v>
      </c>
      <c r="J319" s="13">
        <f t="shared" si="84"/>
        <v>155</v>
      </c>
      <c r="K319">
        <f t="shared" si="76"/>
        <v>2</v>
      </c>
      <c r="L319">
        <f t="shared" si="77"/>
        <v>35</v>
      </c>
      <c r="M319" s="13">
        <f t="shared" si="85"/>
        <v>0</v>
      </c>
      <c r="N319">
        <f t="shared" si="85"/>
        <v>27</v>
      </c>
      <c r="O319" s="14">
        <f t="shared" si="73"/>
        <v>27</v>
      </c>
      <c r="P319" s="13">
        <f t="shared" si="78"/>
        <v>0</v>
      </c>
      <c r="Q319">
        <f t="shared" si="86"/>
        <v>27</v>
      </c>
      <c r="R319" s="14">
        <f t="shared" si="87"/>
        <v>27</v>
      </c>
      <c r="S319" s="15"/>
      <c r="W319" s="14"/>
    </row>
    <row r="320" spans="1:23" x14ac:dyDescent="0.25">
      <c r="A320" s="16"/>
      <c r="B320" s="17" t="b">
        <f t="shared" si="80"/>
        <v>0</v>
      </c>
      <c r="C320" s="17" t="b">
        <f t="shared" ref="C320:C383" si="88">OR(NOT(ISERROR(FIND("hr",A321))), NOT(ISERROR(FIND("min ",A321))),RIGHT(A321,3)="min")</f>
        <v>0</v>
      </c>
      <c r="D320" s="17">
        <f t="shared" si="74"/>
        <v>1</v>
      </c>
      <c r="E320" s="17" t="str">
        <f t="shared" si="79"/>
        <v>Section 10 - Spring Boot - Deployement</v>
      </c>
      <c r="F320" s="18" t="str">
        <f t="shared" si="75"/>
        <v/>
      </c>
      <c r="G320" s="13" t="str">
        <f t="shared" si="81"/>
        <v/>
      </c>
      <c r="H320">
        <f t="shared" si="82"/>
        <v>0</v>
      </c>
      <c r="I320">
        <f t="shared" si="83"/>
        <v>0</v>
      </c>
      <c r="J320" s="13">
        <f t="shared" si="84"/>
        <v>155</v>
      </c>
      <c r="K320">
        <f t="shared" si="76"/>
        <v>2</v>
      </c>
      <c r="L320">
        <f t="shared" si="77"/>
        <v>35</v>
      </c>
      <c r="M320" s="13">
        <f t="shared" si="85"/>
        <v>0</v>
      </c>
      <c r="N320">
        <f t="shared" si="85"/>
        <v>27</v>
      </c>
      <c r="O320" s="14">
        <f t="shared" si="73"/>
        <v>27</v>
      </c>
      <c r="P320" s="13">
        <f t="shared" si="78"/>
        <v>0</v>
      </c>
      <c r="Q320">
        <f t="shared" si="86"/>
        <v>27</v>
      </c>
      <c r="R320" s="14">
        <f t="shared" si="87"/>
        <v>27</v>
      </c>
      <c r="S320" s="15"/>
      <c r="W320" s="14"/>
    </row>
    <row r="321" spans="1:23" x14ac:dyDescent="0.25">
      <c r="A321" s="16"/>
      <c r="B321" s="17" t="b">
        <f t="shared" si="80"/>
        <v>0</v>
      </c>
      <c r="C321" s="17" t="b">
        <f t="shared" si="88"/>
        <v>0</v>
      </c>
      <c r="D321" s="17">
        <f t="shared" si="74"/>
        <v>1</v>
      </c>
      <c r="E321" s="17" t="str">
        <f t="shared" si="79"/>
        <v>Section 10 - Spring Boot - Deployement</v>
      </c>
      <c r="F321" s="18" t="str">
        <f t="shared" si="75"/>
        <v/>
      </c>
      <c r="G321" s="13" t="str">
        <f t="shared" si="81"/>
        <v/>
      </c>
      <c r="H321">
        <f t="shared" si="82"/>
        <v>0</v>
      </c>
      <c r="I321">
        <f t="shared" si="83"/>
        <v>0</v>
      </c>
      <c r="J321" s="13">
        <f t="shared" si="84"/>
        <v>155</v>
      </c>
      <c r="K321">
        <f t="shared" si="76"/>
        <v>2</v>
      </c>
      <c r="L321">
        <f t="shared" si="77"/>
        <v>35</v>
      </c>
      <c r="M321" s="13">
        <f t="shared" si="85"/>
        <v>0</v>
      </c>
      <c r="N321">
        <f t="shared" si="85"/>
        <v>27</v>
      </c>
      <c r="O321" s="14">
        <f t="shared" si="73"/>
        <v>27</v>
      </c>
      <c r="P321" s="13">
        <f t="shared" si="78"/>
        <v>0</v>
      </c>
      <c r="Q321">
        <f t="shared" si="86"/>
        <v>27</v>
      </c>
      <c r="R321" s="14">
        <f t="shared" si="87"/>
        <v>27</v>
      </c>
      <c r="S321" s="15"/>
      <c r="W321" s="14"/>
    </row>
    <row r="322" spans="1:23" x14ac:dyDescent="0.25">
      <c r="A322" s="16"/>
      <c r="B322" s="17" t="b">
        <f t="shared" si="80"/>
        <v>0</v>
      </c>
      <c r="C322" s="17" t="b">
        <f t="shared" si="88"/>
        <v>0</v>
      </c>
      <c r="D322" s="17">
        <f t="shared" si="74"/>
        <v>1</v>
      </c>
      <c r="E322" s="17" t="str">
        <f t="shared" si="79"/>
        <v>Section 10 - Spring Boot - Deployement</v>
      </c>
      <c r="F322" s="18" t="str">
        <f t="shared" si="75"/>
        <v/>
      </c>
      <c r="G322" s="13" t="str">
        <f t="shared" si="81"/>
        <v/>
      </c>
      <c r="H322">
        <f t="shared" si="82"/>
        <v>0</v>
      </c>
      <c r="I322">
        <f t="shared" si="83"/>
        <v>0</v>
      </c>
      <c r="J322" s="13">
        <f t="shared" si="84"/>
        <v>155</v>
      </c>
      <c r="K322">
        <f t="shared" si="76"/>
        <v>2</v>
      </c>
      <c r="L322">
        <f t="shared" si="77"/>
        <v>35</v>
      </c>
      <c r="M322" s="13">
        <f t="shared" si="85"/>
        <v>0</v>
      </c>
      <c r="N322">
        <f t="shared" si="85"/>
        <v>27</v>
      </c>
      <c r="O322" s="14">
        <f t="shared" si="73"/>
        <v>27</v>
      </c>
      <c r="P322" s="13">
        <f t="shared" si="78"/>
        <v>0</v>
      </c>
      <c r="Q322">
        <f t="shared" si="86"/>
        <v>27</v>
      </c>
      <c r="R322" s="14">
        <f t="shared" si="87"/>
        <v>27</v>
      </c>
      <c r="S322" s="15"/>
      <c r="W322" s="14"/>
    </row>
    <row r="323" spans="1:23" x14ac:dyDescent="0.25">
      <c r="A323" s="16"/>
      <c r="B323" s="17" t="b">
        <f t="shared" si="80"/>
        <v>0</v>
      </c>
      <c r="C323" s="17" t="b">
        <f t="shared" si="88"/>
        <v>0</v>
      </c>
      <c r="D323" s="17">
        <f t="shared" si="74"/>
        <v>1</v>
      </c>
      <c r="E323" s="17" t="str">
        <f t="shared" si="79"/>
        <v>Section 10 - Spring Boot - Deployement</v>
      </c>
      <c r="F323" s="18" t="str">
        <f t="shared" si="75"/>
        <v/>
      </c>
      <c r="G323" s="13" t="str">
        <f t="shared" si="81"/>
        <v/>
      </c>
      <c r="H323">
        <f t="shared" si="82"/>
        <v>0</v>
      </c>
      <c r="I323">
        <f t="shared" si="83"/>
        <v>0</v>
      </c>
      <c r="J323" s="13">
        <f t="shared" si="84"/>
        <v>155</v>
      </c>
      <c r="K323">
        <f t="shared" si="76"/>
        <v>2</v>
      </c>
      <c r="L323">
        <f t="shared" si="77"/>
        <v>35</v>
      </c>
      <c r="M323" s="13">
        <f t="shared" si="85"/>
        <v>0</v>
      </c>
      <c r="N323">
        <f t="shared" si="85"/>
        <v>27</v>
      </c>
      <c r="O323" s="14">
        <f t="shared" si="73"/>
        <v>27</v>
      </c>
      <c r="P323" s="13">
        <f t="shared" si="78"/>
        <v>0</v>
      </c>
      <c r="Q323">
        <f t="shared" si="86"/>
        <v>27</v>
      </c>
      <c r="R323" s="14">
        <f t="shared" si="87"/>
        <v>27</v>
      </c>
      <c r="S323" s="15"/>
      <c r="W323" s="14"/>
    </row>
    <row r="324" spans="1:23" x14ac:dyDescent="0.25">
      <c r="A324" s="16"/>
      <c r="B324" s="17" t="b">
        <f t="shared" si="80"/>
        <v>0</v>
      </c>
      <c r="C324" s="17" t="b">
        <f t="shared" si="88"/>
        <v>0</v>
      </c>
      <c r="D324" s="17">
        <f t="shared" si="74"/>
        <v>1</v>
      </c>
      <c r="E324" s="17" t="str">
        <f t="shared" si="79"/>
        <v>Section 10 - Spring Boot - Deployement</v>
      </c>
      <c r="F324" s="18" t="str">
        <f t="shared" si="75"/>
        <v/>
      </c>
      <c r="G324" s="13" t="str">
        <f t="shared" si="81"/>
        <v/>
      </c>
      <c r="H324">
        <f t="shared" si="82"/>
        <v>0</v>
      </c>
      <c r="I324">
        <f t="shared" si="83"/>
        <v>0</v>
      </c>
      <c r="J324" s="13">
        <f t="shared" si="84"/>
        <v>155</v>
      </c>
      <c r="K324">
        <f t="shared" si="76"/>
        <v>2</v>
      </c>
      <c r="L324">
        <f t="shared" si="77"/>
        <v>35</v>
      </c>
      <c r="M324" s="13">
        <f t="shared" si="85"/>
        <v>0</v>
      </c>
      <c r="N324">
        <f t="shared" si="85"/>
        <v>27</v>
      </c>
      <c r="O324" s="14">
        <f t="shared" si="73"/>
        <v>27</v>
      </c>
      <c r="P324" s="13">
        <f t="shared" si="78"/>
        <v>0</v>
      </c>
      <c r="Q324">
        <f t="shared" si="86"/>
        <v>27</v>
      </c>
      <c r="R324" s="14">
        <f t="shared" si="87"/>
        <v>27</v>
      </c>
      <c r="S324" s="15"/>
      <c r="W324" s="14"/>
    </row>
    <row r="325" spans="1:23" x14ac:dyDescent="0.25">
      <c r="A325" s="16"/>
      <c r="B325" s="17" t="b">
        <f t="shared" si="80"/>
        <v>0</v>
      </c>
      <c r="C325" s="17" t="b">
        <f t="shared" si="88"/>
        <v>0</v>
      </c>
      <c r="D325" s="17">
        <f t="shared" si="74"/>
        <v>1</v>
      </c>
      <c r="E325" s="17" t="str">
        <f t="shared" si="79"/>
        <v>Section 10 - Spring Boot - Deployement</v>
      </c>
      <c r="F325" s="18" t="str">
        <f t="shared" si="75"/>
        <v/>
      </c>
      <c r="G325" s="13" t="str">
        <f t="shared" si="81"/>
        <v/>
      </c>
      <c r="H325">
        <f t="shared" si="82"/>
        <v>0</v>
      </c>
      <c r="I325">
        <f t="shared" si="83"/>
        <v>0</v>
      </c>
      <c r="J325" s="13">
        <f t="shared" si="84"/>
        <v>155</v>
      </c>
      <c r="K325">
        <f t="shared" si="76"/>
        <v>2</v>
      </c>
      <c r="L325">
        <f t="shared" si="77"/>
        <v>35</v>
      </c>
      <c r="M325" s="13">
        <f t="shared" si="85"/>
        <v>0</v>
      </c>
      <c r="N325">
        <f t="shared" si="85"/>
        <v>27</v>
      </c>
      <c r="O325" s="14">
        <f t="shared" si="73"/>
        <v>27</v>
      </c>
      <c r="P325" s="13">
        <f t="shared" si="78"/>
        <v>0</v>
      </c>
      <c r="Q325">
        <f t="shared" si="86"/>
        <v>27</v>
      </c>
      <c r="R325" s="14">
        <f t="shared" si="87"/>
        <v>27</v>
      </c>
      <c r="S325" s="15"/>
      <c r="W325" s="14"/>
    </row>
    <row r="326" spans="1:23" x14ac:dyDescent="0.25">
      <c r="A326" s="16"/>
      <c r="B326" s="17" t="b">
        <f t="shared" si="80"/>
        <v>0</v>
      </c>
      <c r="C326" s="17" t="b">
        <f t="shared" si="88"/>
        <v>0</v>
      </c>
      <c r="D326" s="17">
        <f t="shared" si="74"/>
        <v>1</v>
      </c>
      <c r="E326" s="17" t="str">
        <f t="shared" si="79"/>
        <v>Section 10 - Spring Boot - Deployement</v>
      </c>
      <c r="F326" s="18" t="str">
        <f t="shared" si="75"/>
        <v/>
      </c>
      <c r="G326" s="13" t="str">
        <f t="shared" si="81"/>
        <v/>
      </c>
      <c r="H326">
        <f t="shared" si="82"/>
        <v>0</v>
      </c>
      <c r="I326">
        <f t="shared" si="83"/>
        <v>0</v>
      </c>
      <c r="J326" s="13">
        <f t="shared" si="84"/>
        <v>155</v>
      </c>
      <c r="K326">
        <f t="shared" si="76"/>
        <v>2</v>
      </c>
      <c r="L326">
        <f t="shared" si="77"/>
        <v>35</v>
      </c>
      <c r="M326" s="13">
        <f t="shared" si="85"/>
        <v>0</v>
      </c>
      <c r="N326">
        <f t="shared" si="85"/>
        <v>27</v>
      </c>
      <c r="O326" s="14">
        <f t="shared" si="73"/>
        <v>27</v>
      </c>
      <c r="P326" s="13">
        <f t="shared" si="78"/>
        <v>0</v>
      </c>
      <c r="Q326">
        <f t="shared" si="86"/>
        <v>27</v>
      </c>
      <c r="R326" s="14">
        <f t="shared" si="87"/>
        <v>27</v>
      </c>
      <c r="S326" s="15"/>
      <c r="W326" s="14"/>
    </row>
    <row r="327" spans="1:23" x14ac:dyDescent="0.25">
      <c r="A327" s="16"/>
      <c r="B327" s="17" t="b">
        <f t="shared" si="80"/>
        <v>0</v>
      </c>
      <c r="C327" s="17" t="b">
        <f t="shared" si="88"/>
        <v>0</v>
      </c>
      <c r="D327" s="17">
        <f t="shared" si="74"/>
        <v>1</v>
      </c>
      <c r="E327" s="17" t="str">
        <f t="shared" si="79"/>
        <v>Section 10 - Spring Boot - Deployement</v>
      </c>
      <c r="F327" s="18" t="str">
        <f t="shared" si="75"/>
        <v/>
      </c>
      <c r="G327" s="13" t="str">
        <f t="shared" si="81"/>
        <v/>
      </c>
      <c r="H327">
        <f t="shared" si="82"/>
        <v>0</v>
      </c>
      <c r="I327">
        <f t="shared" si="83"/>
        <v>0</v>
      </c>
      <c r="J327" s="13">
        <f t="shared" si="84"/>
        <v>155</v>
      </c>
      <c r="K327">
        <f t="shared" si="76"/>
        <v>2</v>
      </c>
      <c r="L327">
        <f t="shared" si="77"/>
        <v>35</v>
      </c>
      <c r="M327" s="13">
        <f t="shared" si="85"/>
        <v>0</v>
      </c>
      <c r="N327">
        <f t="shared" si="85"/>
        <v>27</v>
      </c>
      <c r="O327" s="14">
        <f t="shared" si="73"/>
        <v>27</v>
      </c>
      <c r="P327" s="13">
        <f t="shared" si="78"/>
        <v>0</v>
      </c>
      <c r="Q327">
        <f t="shared" si="86"/>
        <v>27</v>
      </c>
      <c r="R327" s="14">
        <f t="shared" si="87"/>
        <v>27</v>
      </c>
      <c r="S327" s="15"/>
      <c r="W327" s="14"/>
    </row>
    <row r="328" spans="1:23" x14ac:dyDescent="0.25">
      <c r="A328" s="16"/>
      <c r="B328" s="17" t="b">
        <f t="shared" si="80"/>
        <v>0</v>
      </c>
      <c r="C328" s="17" t="b">
        <f t="shared" si="88"/>
        <v>0</v>
      </c>
      <c r="D328" s="17">
        <f t="shared" si="74"/>
        <v>1</v>
      </c>
      <c r="E328" s="17" t="str">
        <f t="shared" si="79"/>
        <v>Section 10 - Spring Boot - Deployement</v>
      </c>
      <c r="F328" s="18" t="str">
        <f t="shared" si="75"/>
        <v/>
      </c>
      <c r="G328" s="13" t="str">
        <f t="shared" si="81"/>
        <v/>
      </c>
      <c r="H328">
        <f t="shared" si="82"/>
        <v>0</v>
      </c>
      <c r="I328">
        <f t="shared" si="83"/>
        <v>0</v>
      </c>
      <c r="J328" s="13">
        <f t="shared" si="84"/>
        <v>155</v>
      </c>
      <c r="K328">
        <f t="shared" si="76"/>
        <v>2</v>
      </c>
      <c r="L328">
        <f t="shared" si="77"/>
        <v>35</v>
      </c>
      <c r="M328" s="13">
        <f t="shared" si="85"/>
        <v>0</v>
      </c>
      <c r="N328">
        <f t="shared" si="85"/>
        <v>27</v>
      </c>
      <c r="O328" s="14">
        <f t="shared" si="73"/>
        <v>27</v>
      </c>
      <c r="P328" s="13">
        <f t="shared" si="78"/>
        <v>0</v>
      </c>
      <c r="Q328">
        <f t="shared" si="86"/>
        <v>27</v>
      </c>
      <c r="R328" s="14">
        <f t="shared" si="87"/>
        <v>27</v>
      </c>
      <c r="S328" s="15"/>
      <c r="W328" s="14"/>
    </row>
    <row r="329" spans="1:23" x14ac:dyDescent="0.25">
      <c r="A329" s="16"/>
      <c r="B329" s="17" t="b">
        <f t="shared" si="80"/>
        <v>0</v>
      </c>
      <c r="C329" s="17" t="b">
        <f t="shared" si="88"/>
        <v>0</v>
      </c>
      <c r="D329" s="17">
        <f t="shared" si="74"/>
        <v>1</v>
      </c>
      <c r="E329" s="17" t="str">
        <f t="shared" si="79"/>
        <v>Section 10 - Spring Boot - Deployement</v>
      </c>
      <c r="F329" s="18" t="str">
        <f t="shared" si="75"/>
        <v/>
      </c>
      <c r="G329" s="13" t="str">
        <f t="shared" si="81"/>
        <v/>
      </c>
      <c r="H329">
        <f t="shared" si="82"/>
        <v>0</v>
      </c>
      <c r="I329">
        <f t="shared" si="83"/>
        <v>0</v>
      </c>
      <c r="J329" s="13">
        <f t="shared" si="84"/>
        <v>155</v>
      </c>
      <c r="K329">
        <f t="shared" si="76"/>
        <v>2</v>
      </c>
      <c r="L329">
        <f t="shared" si="77"/>
        <v>35</v>
      </c>
      <c r="M329" s="13">
        <f t="shared" si="85"/>
        <v>0</v>
      </c>
      <c r="N329">
        <f t="shared" si="85"/>
        <v>27</v>
      </c>
      <c r="O329" s="14">
        <f t="shared" si="73"/>
        <v>27</v>
      </c>
      <c r="P329" s="13">
        <f t="shared" si="78"/>
        <v>0</v>
      </c>
      <c r="Q329">
        <f t="shared" si="86"/>
        <v>27</v>
      </c>
      <c r="R329" s="14">
        <f t="shared" si="87"/>
        <v>27</v>
      </c>
      <c r="S329" s="15"/>
      <c r="W329" s="14"/>
    </row>
    <row r="330" spans="1:23" x14ac:dyDescent="0.25">
      <c r="A330" s="16"/>
      <c r="B330" s="17" t="b">
        <f t="shared" si="80"/>
        <v>0</v>
      </c>
      <c r="C330" s="17" t="b">
        <f t="shared" si="88"/>
        <v>0</v>
      </c>
      <c r="D330" s="17">
        <f t="shared" si="74"/>
        <v>1</v>
      </c>
      <c r="E330" s="17" t="str">
        <f t="shared" si="79"/>
        <v>Section 10 - Spring Boot - Deployement</v>
      </c>
      <c r="F330" s="18" t="str">
        <f t="shared" si="75"/>
        <v/>
      </c>
      <c r="G330" s="13" t="str">
        <f t="shared" si="81"/>
        <v/>
      </c>
      <c r="H330">
        <f t="shared" si="82"/>
        <v>0</v>
      </c>
      <c r="I330">
        <f t="shared" si="83"/>
        <v>0</v>
      </c>
      <c r="J330" s="13">
        <f t="shared" si="84"/>
        <v>155</v>
      </c>
      <c r="K330">
        <f t="shared" si="76"/>
        <v>2</v>
      </c>
      <c r="L330">
        <f t="shared" si="77"/>
        <v>35</v>
      </c>
      <c r="M330" s="13">
        <f t="shared" si="85"/>
        <v>0</v>
      </c>
      <c r="N330">
        <f t="shared" si="85"/>
        <v>27</v>
      </c>
      <c r="O330" s="14">
        <f t="shared" ref="O330:O393" si="89">((M330*60)+N330)</f>
        <v>27</v>
      </c>
      <c r="P330" s="13">
        <f t="shared" si="78"/>
        <v>0</v>
      </c>
      <c r="Q330">
        <f t="shared" si="86"/>
        <v>27</v>
      </c>
      <c r="R330" s="14">
        <f t="shared" si="87"/>
        <v>27</v>
      </c>
      <c r="S330" s="15"/>
      <c r="W330" s="14"/>
    </row>
    <row r="331" spans="1:23" x14ac:dyDescent="0.25">
      <c r="A331" s="16"/>
      <c r="B331" s="17" t="b">
        <f t="shared" si="80"/>
        <v>0</v>
      </c>
      <c r="C331" s="17" t="b">
        <f t="shared" si="88"/>
        <v>0</v>
      </c>
      <c r="D331" s="17">
        <f t="shared" ref="D331:D394" si="90">IF(B331,0,IF(C331,D330+1,D330))</f>
        <v>1</v>
      </c>
      <c r="E331" s="17" t="str">
        <f t="shared" si="79"/>
        <v>Section 10 - Spring Boot - Deployement</v>
      </c>
      <c r="F331" s="18" t="str">
        <f t="shared" ref="F331:F394" si="91">IF(C331,A331,"")</f>
        <v/>
      </c>
      <c r="G331" s="13" t="str">
        <f t="shared" si="81"/>
        <v/>
      </c>
      <c r="H331">
        <f t="shared" si="82"/>
        <v>0</v>
      </c>
      <c r="I331">
        <f t="shared" si="83"/>
        <v>0</v>
      </c>
      <c r="J331" s="13">
        <f t="shared" si="84"/>
        <v>155</v>
      </c>
      <c r="K331">
        <f t="shared" ref="K331:K394" si="92">INT(J331/60)</f>
        <v>2</v>
      </c>
      <c r="L331">
        <f t="shared" ref="L331:L394" si="93">INT(J331-(K331*60))</f>
        <v>35</v>
      </c>
      <c r="M331" s="13">
        <f t="shared" si="85"/>
        <v>0</v>
      </c>
      <c r="N331">
        <f t="shared" si="85"/>
        <v>27</v>
      </c>
      <c r="O331" s="14">
        <f t="shared" si="89"/>
        <v>27</v>
      </c>
      <c r="P331" s="13">
        <f t="shared" ref="P331:P394" si="94">INT(R331/60)</f>
        <v>0</v>
      </c>
      <c r="Q331">
        <f t="shared" si="86"/>
        <v>27</v>
      </c>
      <c r="R331" s="14">
        <f t="shared" si="87"/>
        <v>27</v>
      </c>
      <c r="S331" s="15"/>
      <c r="W331" s="14"/>
    </row>
    <row r="332" spans="1:23" x14ac:dyDescent="0.25">
      <c r="A332" s="16"/>
      <c r="B332" s="17" t="b">
        <f t="shared" si="80"/>
        <v>0</v>
      </c>
      <c r="C332" s="17" t="b">
        <f t="shared" si="88"/>
        <v>0</v>
      </c>
      <c r="D332" s="17">
        <f t="shared" si="90"/>
        <v>1</v>
      </c>
      <c r="E332" s="17" t="str">
        <f t="shared" ref="E332:E395" si="95">SUBSTITUTE(IF(B332,A332,E331),":", " -")</f>
        <v>Section 10 - Spring Boot - Deployement</v>
      </c>
      <c r="F332" s="18" t="str">
        <f t="shared" si="91"/>
        <v/>
      </c>
      <c r="G332" s="13" t="str">
        <f t="shared" si="81"/>
        <v/>
      </c>
      <c r="H332">
        <f t="shared" si="82"/>
        <v>0</v>
      </c>
      <c r="I332">
        <f t="shared" si="83"/>
        <v>0</v>
      </c>
      <c r="J332" s="13">
        <f t="shared" si="84"/>
        <v>155</v>
      </c>
      <c r="K332">
        <f t="shared" si="92"/>
        <v>2</v>
      </c>
      <c r="L332">
        <f t="shared" si="93"/>
        <v>35</v>
      </c>
      <c r="M332" s="13">
        <f t="shared" si="85"/>
        <v>0</v>
      </c>
      <c r="N332">
        <f t="shared" si="85"/>
        <v>27</v>
      </c>
      <c r="O332" s="14">
        <f t="shared" si="89"/>
        <v>27</v>
      </c>
      <c r="P332" s="13">
        <f t="shared" si="94"/>
        <v>0</v>
      </c>
      <c r="Q332">
        <f t="shared" si="86"/>
        <v>27</v>
      </c>
      <c r="R332" s="14">
        <f t="shared" si="87"/>
        <v>27</v>
      </c>
      <c r="S332" s="15"/>
      <c r="W332" s="14"/>
    </row>
    <row r="333" spans="1:23" x14ac:dyDescent="0.25">
      <c r="A333" s="16"/>
      <c r="B333" s="17" t="b">
        <f t="shared" si="80"/>
        <v>0</v>
      </c>
      <c r="C333" s="17" t="b">
        <f t="shared" si="88"/>
        <v>0</v>
      </c>
      <c r="D333" s="17">
        <f t="shared" si="90"/>
        <v>1</v>
      </c>
      <c r="E333" s="17" t="str">
        <f t="shared" si="95"/>
        <v>Section 10 - Spring Boot - Deployement</v>
      </c>
      <c r="F333" s="18" t="str">
        <f t="shared" si="91"/>
        <v/>
      </c>
      <c r="G333" s="13" t="str">
        <f t="shared" si="81"/>
        <v/>
      </c>
      <c r="H333">
        <f t="shared" si="82"/>
        <v>0</v>
      </c>
      <c r="I333">
        <f t="shared" si="83"/>
        <v>0</v>
      </c>
      <c r="J333" s="13">
        <f t="shared" si="84"/>
        <v>155</v>
      </c>
      <c r="K333">
        <f t="shared" si="92"/>
        <v>2</v>
      </c>
      <c r="L333">
        <f t="shared" si="93"/>
        <v>35</v>
      </c>
      <c r="M333" s="13">
        <f t="shared" si="85"/>
        <v>0</v>
      </c>
      <c r="N333">
        <f t="shared" si="85"/>
        <v>27</v>
      </c>
      <c r="O333" s="14">
        <f t="shared" si="89"/>
        <v>27</v>
      </c>
      <c r="P333" s="13">
        <f t="shared" si="94"/>
        <v>0</v>
      </c>
      <c r="Q333">
        <f t="shared" si="86"/>
        <v>27</v>
      </c>
      <c r="R333" s="14">
        <f t="shared" si="87"/>
        <v>27</v>
      </c>
      <c r="S333" s="15"/>
      <c r="W333" s="14"/>
    </row>
    <row r="334" spans="1:23" x14ac:dyDescent="0.25">
      <c r="A334" s="16"/>
      <c r="B334" s="17" t="b">
        <f t="shared" si="80"/>
        <v>0</v>
      </c>
      <c r="C334" s="17" t="b">
        <f t="shared" si="88"/>
        <v>0</v>
      </c>
      <c r="D334" s="17">
        <f t="shared" si="90"/>
        <v>1</v>
      </c>
      <c r="E334" s="17" t="str">
        <f t="shared" si="95"/>
        <v>Section 10 - Spring Boot - Deployement</v>
      </c>
      <c r="F334" s="18" t="str">
        <f t="shared" si="91"/>
        <v/>
      </c>
      <c r="G334" s="13" t="str">
        <f t="shared" si="81"/>
        <v/>
      </c>
      <c r="H334">
        <f t="shared" si="82"/>
        <v>0</v>
      </c>
      <c r="I334">
        <f t="shared" si="83"/>
        <v>0</v>
      </c>
      <c r="J334" s="13">
        <f t="shared" si="84"/>
        <v>155</v>
      </c>
      <c r="K334">
        <f t="shared" si="92"/>
        <v>2</v>
      </c>
      <c r="L334">
        <f t="shared" si="93"/>
        <v>35</v>
      </c>
      <c r="M334" s="13">
        <f t="shared" si="85"/>
        <v>0</v>
      </c>
      <c r="N334">
        <f t="shared" si="85"/>
        <v>27</v>
      </c>
      <c r="O334" s="14">
        <f t="shared" si="89"/>
        <v>27</v>
      </c>
      <c r="P334" s="13">
        <f t="shared" si="94"/>
        <v>0</v>
      </c>
      <c r="Q334">
        <f t="shared" si="86"/>
        <v>27</v>
      </c>
      <c r="R334" s="14">
        <f t="shared" si="87"/>
        <v>27</v>
      </c>
      <c r="S334" s="15"/>
      <c r="W334" s="14"/>
    </row>
    <row r="335" spans="1:23" x14ac:dyDescent="0.25">
      <c r="A335" s="16"/>
      <c r="B335" s="17" t="b">
        <f t="shared" si="80"/>
        <v>0</v>
      </c>
      <c r="C335" s="17" t="b">
        <f t="shared" si="88"/>
        <v>0</v>
      </c>
      <c r="D335" s="17">
        <f t="shared" si="90"/>
        <v>1</v>
      </c>
      <c r="E335" s="17" t="str">
        <f t="shared" si="95"/>
        <v>Section 10 - Spring Boot - Deployement</v>
      </c>
      <c r="F335" s="18" t="str">
        <f t="shared" si="91"/>
        <v/>
      </c>
      <c r="G335" s="13" t="str">
        <f t="shared" si="81"/>
        <v/>
      </c>
      <c r="H335">
        <f t="shared" si="82"/>
        <v>0</v>
      </c>
      <c r="I335">
        <f t="shared" si="83"/>
        <v>0</v>
      </c>
      <c r="J335" s="13">
        <f t="shared" si="84"/>
        <v>155</v>
      </c>
      <c r="K335">
        <f t="shared" si="92"/>
        <v>2</v>
      </c>
      <c r="L335">
        <f t="shared" si="93"/>
        <v>35</v>
      </c>
      <c r="M335" s="13">
        <f t="shared" si="85"/>
        <v>0</v>
      </c>
      <c r="N335">
        <f t="shared" si="85"/>
        <v>27</v>
      </c>
      <c r="O335" s="14">
        <f t="shared" si="89"/>
        <v>27</v>
      </c>
      <c r="P335" s="13">
        <f t="shared" si="94"/>
        <v>0</v>
      </c>
      <c r="Q335">
        <f t="shared" si="86"/>
        <v>27</v>
      </c>
      <c r="R335" s="14">
        <f t="shared" si="87"/>
        <v>27</v>
      </c>
      <c r="S335" s="15"/>
      <c r="W335" s="14"/>
    </row>
    <row r="336" spans="1:23" x14ac:dyDescent="0.25">
      <c r="A336" s="16"/>
      <c r="B336" s="17" t="b">
        <f t="shared" si="80"/>
        <v>0</v>
      </c>
      <c r="C336" s="17" t="b">
        <f t="shared" si="88"/>
        <v>0</v>
      </c>
      <c r="D336" s="17">
        <f t="shared" si="90"/>
        <v>1</v>
      </c>
      <c r="E336" s="17" t="str">
        <f t="shared" si="95"/>
        <v>Section 10 - Spring Boot - Deployement</v>
      </c>
      <c r="F336" s="18" t="str">
        <f t="shared" si="91"/>
        <v/>
      </c>
      <c r="G336" s="13" t="str">
        <f t="shared" si="81"/>
        <v/>
      </c>
      <c r="H336">
        <f t="shared" si="82"/>
        <v>0</v>
      </c>
      <c r="I336">
        <f t="shared" si="83"/>
        <v>0</v>
      </c>
      <c r="J336" s="13">
        <f t="shared" si="84"/>
        <v>155</v>
      </c>
      <c r="K336">
        <f t="shared" si="92"/>
        <v>2</v>
      </c>
      <c r="L336">
        <f t="shared" si="93"/>
        <v>35</v>
      </c>
      <c r="M336" s="13">
        <f t="shared" si="85"/>
        <v>0</v>
      </c>
      <c r="N336">
        <f t="shared" si="85"/>
        <v>27</v>
      </c>
      <c r="O336" s="14">
        <f t="shared" si="89"/>
        <v>27</v>
      </c>
      <c r="P336" s="13">
        <f t="shared" si="94"/>
        <v>0</v>
      </c>
      <c r="Q336">
        <f t="shared" si="86"/>
        <v>27</v>
      </c>
      <c r="R336" s="14">
        <f t="shared" si="87"/>
        <v>27</v>
      </c>
      <c r="S336" s="15"/>
      <c r="W336" s="14"/>
    </row>
    <row r="337" spans="1:23" x14ac:dyDescent="0.25">
      <c r="A337" s="16"/>
      <c r="B337" s="17" t="b">
        <f t="shared" si="80"/>
        <v>0</v>
      </c>
      <c r="C337" s="17" t="b">
        <f t="shared" si="88"/>
        <v>0</v>
      </c>
      <c r="D337" s="17">
        <f t="shared" si="90"/>
        <v>1</v>
      </c>
      <c r="E337" s="17" t="str">
        <f t="shared" si="95"/>
        <v>Section 10 - Spring Boot - Deployement</v>
      </c>
      <c r="F337" s="18" t="str">
        <f t="shared" si="91"/>
        <v/>
      </c>
      <c r="G337" s="13" t="str">
        <f t="shared" si="81"/>
        <v/>
      </c>
      <c r="H337">
        <f t="shared" si="82"/>
        <v>0</v>
      </c>
      <c r="I337">
        <f t="shared" si="83"/>
        <v>0</v>
      </c>
      <c r="J337" s="13">
        <f t="shared" si="84"/>
        <v>155</v>
      </c>
      <c r="K337">
        <f t="shared" si="92"/>
        <v>2</v>
      </c>
      <c r="L337">
        <f t="shared" si="93"/>
        <v>35</v>
      </c>
      <c r="M337" s="13">
        <f t="shared" si="85"/>
        <v>0</v>
      </c>
      <c r="N337">
        <f t="shared" si="85"/>
        <v>27</v>
      </c>
      <c r="O337" s="14">
        <f t="shared" si="89"/>
        <v>27</v>
      </c>
      <c r="P337" s="13">
        <f t="shared" si="94"/>
        <v>0</v>
      </c>
      <c r="Q337">
        <f t="shared" si="86"/>
        <v>27</v>
      </c>
      <c r="R337" s="14">
        <f t="shared" si="87"/>
        <v>27</v>
      </c>
      <c r="S337" s="15"/>
      <c r="W337" s="14"/>
    </row>
    <row r="338" spans="1:23" x14ac:dyDescent="0.25">
      <c r="A338" s="16"/>
      <c r="B338" s="17" t="b">
        <f t="shared" ref="B338:B401" si="96">AND(NOT(ISERROR(FIND("Section ",A338))),NOT(ISERROR(FIND("Section ",A338))))</f>
        <v>0</v>
      </c>
      <c r="C338" s="17" t="b">
        <f t="shared" si="88"/>
        <v>0</v>
      </c>
      <c r="D338" s="17">
        <f t="shared" si="90"/>
        <v>1</v>
      </c>
      <c r="E338" s="17" t="str">
        <f t="shared" si="95"/>
        <v>Section 10 - Spring Boot - Deployement</v>
      </c>
      <c r="F338" s="18" t="str">
        <f t="shared" si="91"/>
        <v/>
      </c>
      <c r="G338" s="13" t="str">
        <f t="shared" si="81"/>
        <v/>
      </c>
      <c r="H338">
        <f t="shared" si="82"/>
        <v>0</v>
      </c>
      <c r="I338">
        <f t="shared" si="83"/>
        <v>0</v>
      </c>
      <c r="J338" s="13">
        <f t="shared" si="84"/>
        <v>155</v>
      </c>
      <c r="K338">
        <f t="shared" si="92"/>
        <v>2</v>
      </c>
      <c r="L338">
        <f t="shared" si="93"/>
        <v>35</v>
      </c>
      <c r="M338" s="13">
        <f t="shared" si="85"/>
        <v>0</v>
      </c>
      <c r="N338">
        <f t="shared" si="85"/>
        <v>27</v>
      </c>
      <c r="O338" s="14">
        <f t="shared" si="89"/>
        <v>27</v>
      </c>
      <c r="P338" s="13">
        <f t="shared" si="94"/>
        <v>0</v>
      </c>
      <c r="Q338">
        <f t="shared" si="86"/>
        <v>27</v>
      </c>
      <c r="R338" s="14">
        <f t="shared" si="87"/>
        <v>27</v>
      </c>
      <c r="S338" s="15"/>
      <c r="W338" s="14"/>
    </row>
    <row r="339" spans="1:23" x14ac:dyDescent="0.25">
      <c r="A339" s="16"/>
      <c r="B339" s="17" t="b">
        <f t="shared" si="96"/>
        <v>0</v>
      </c>
      <c r="C339" s="17" t="b">
        <f t="shared" si="88"/>
        <v>0</v>
      </c>
      <c r="D339" s="17">
        <f t="shared" si="90"/>
        <v>1</v>
      </c>
      <c r="E339" s="17" t="str">
        <f t="shared" si="95"/>
        <v>Section 10 - Spring Boot - Deployement</v>
      </c>
      <c r="F339" s="18" t="str">
        <f t="shared" si="91"/>
        <v/>
      </c>
      <c r="G339" s="13" t="str">
        <f t="shared" si="81"/>
        <v/>
      </c>
      <c r="H339">
        <f t="shared" si="82"/>
        <v>0</v>
      </c>
      <c r="I339">
        <f t="shared" si="83"/>
        <v>0</v>
      </c>
      <c r="J339" s="13">
        <f t="shared" si="84"/>
        <v>155</v>
      </c>
      <c r="K339">
        <f t="shared" si="92"/>
        <v>2</v>
      </c>
      <c r="L339">
        <f t="shared" si="93"/>
        <v>35</v>
      </c>
      <c r="M339" s="13">
        <f t="shared" si="85"/>
        <v>0</v>
      </c>
      <c r="N339">
        <f t="shared" si="85"/>
        <v>27</v>
      </c>
      <c r="O339" s="14">
        <f t="shared" si="89"/>
        <v>27</v>
      </c>
      <c r="P339" s="13">
        <f t="shared" si="94"/>
        <v>0</v>
      </c>
      <c r="Q339">
        <f t="shared" si="86"/>
        <v>27</v>
      </c>
      <c r="R339" s="14">
        <f t="shared" si="87"/>
        <v>27</v>
      </c>
      <c r="S339" s="15"/>
      <c r="W339" s="14"/>
    </row>
    <row r="340" spans="1:23" x14ac:dyDescent="0.25">
      <c r="A340" s="16"/>
      <c r="B340" s="17" t="b">
        <f t="shared" si="96"/>
        <v>0</v>
      </c>
      <c r="C340" s="17" t="b">
        <f t="shared" si="88"/>
        <v>0</v>
      </c>
      <c r="D340" s="17">
        <f t="shared" si="90"/>
        <v>1</v>
      </c>
      <c r="E340" s="17" t="str">
        <f t="shared" si="95"/>
        <v>Section 10 - Spring Boot - Deployement</v>
      </c>
      <c r="F340" s="18" t="str">
        <f t="shared" si="91"/>
        <v/>
      </c>
      <c r="G340" s="13" t="str">
        <f t="shared" si="81"/>
        <v/>
      </c>
      <c r="H340">
        <f t="shared" si="82"/>
        <v>0</v>
      </c>
      <c r="I340">
        <f t="shared" si="83"/>
        <v>0</v>
      </c>
      <c r="J340" s="13">
        <f t="shared" si="84"/>
        <v>155</v>
      </c>
      <c r="K340">
        <f t="shared" si="92"/>
        <v>2</v>
      </c>
      <c r="L340">
        <f t="shared" si="93"/>
        <v>35</v>
      </c>
      <c r="M340" s="13">
        <f t="shared" si="85"/>
        <v>0</v>
      </c>
      <c r="N340">
        <f t="shared" si="85"/>
        <v>27</v>
      </c>
      <c r="O340" s="14">
        <f t="shared" si="89"/>
        <v>27</v>
      </c>
      <c r="P340" s="13">
        <f t="shared" si="94"/>
        <v>0</v>
      </c>
      <c r="Q340">
        <f t="shared" si="86"/>
        <v>27</v>
      </c>
      <c r="R340" s="14">
        <f t="shared" si="87"/>
        <v>27</v>
      </c>
      <c r="S340" s="15"/>
      <c r="W340" s="14"/>
    </row>
    <row r="341" spans="1:23" x14ac:dyDescent="0.25">
      <c r="A341" s="16"/>
      <c r="B341" s="17" t="b">
        <f t="shared" si="96"/>
        <v>0</v>
      </c>
      <c r="C341" s="17" t="b">
        <f t="shared" si="88"/>
        <v>0</v>
      </c>
      <c r="D341" s="17">
        <f t="shared" si="90"/>
        <v>1</v>
      </c>
      <c r="E341" s="17" t="str">
        <f t="shared" si="95"/>
        <v>Section 10 - Spring Boot - Deployement</v>
      </c>
      <c r="F341" s="18" t="str">
        <f t="shared" si="91"/>
        <v/>
      </c>
      <c r="G341" s="13" t="str">
        <f t="shared" ref="G341:G404" si="97">IF(C341,A342,"")</f>
        <v/>
      </c>
      <c r="H341">
        <f t="shared" ref="H341:H404" si="98">VALUE(IF(NOT(ISERROR(FIND("hr",G341))),LEFT(G341,FIND("hr",G341)-1),0))</f>
        <v>0</v>
      </c>
      <c r="I341">
        <f t="shared" ref="I341:I404" si="99">VALUE(IF(ISERROR(FIND("min",G341)),0,SUBSTITUTE(MID(G341,IF(ISERROR(FIND("hr ",G341)),1,FIND("hr ",G341)+3),LEN(G341)),"min","")))</f>
        <v>0</v>
      </c>
      <c r="J341" s="13">
        <f t="shared" ref="J341:J404" si="100">J340+(H341*60+I341)</f>
        <v>155</v>
      </c>
      <c r="K341">
        <f t="shared" si="92"/>
        <v>2</v>
      </c>
      <c r="L341">
        <f t="shared" si="93"/>
        <v>35</v>
      </c>
      <c r="M341" s="13">
        <f t="shared" ref="M341:N404" si="101">P340</f>
        <v>0</v>
      </c>
      <c r="N341">
        <f t="shared" si="101"/>
        <v>27</v>
      </c>
      <c r="O341" s="14">
        <f t="shared" si="89"/>
        <v>27</v>
      </c>
      <c r="P341" s="13">
        <f t="shared" si="94"/>
        <v>0</v>
      </c>
      <c r="Q341">
        <f t="shared" ref="Q341:Q404" si="102">R341-(P341*60)</f>
        <v>27</v>
      </c>
      <c r="R341" s="14">
        <f t="shared" ref="R341:R404" si="103">((H341*60)+I341)+O341</f>
        <v>27</v>
      </c>
      <c r="S341" s="15"/>
      <c r="W341" s="14"/>
    </row>
    <row r="342" spans="1:23" x14ac:dyDescent="0.25">
      <c r="A342" s="16"/>
      <c r="B342" s="17" t="b">
        <f t="shared" si="96"/>
        <v>0</v>
      </c>
      <c r="C342" s="17" t="b">
        <f t="shared" si="88"/>
        <v>0</v>
      </c>
      <c r="D342" s="17">
        <f t="shared" si="90"/>
        <v>1</v>
      </c>
      <c r="E342" s="17" t="str">
        <f t="shared" si="95"/>
        <v>Section 10 - Spring Boot - Deployement</v>
      </c>
      <c r="F342" s="18" t="str">
        <f t="shared" si="91"/>
        <v/>
      </c>
      <c r="G342" s="13" t="str">
        <f t="shared" si="97"/>
        <v/>
      </c>
      <c r="H342">
        <f t="shared" si="98"/>
        <v>0</v>
      </c>
      <c r="I342">
        <f t="shared" si="99"/>
        <v>0</v>
      </c>
      <c r="J342" s="13">
        <f t="shared" si="100"/>
        <v>155</v>
      </c>
      <c r="K342">
        <f t="shared" si="92"/>
        <v>2</v>
      </c>
      <c r="L342">
        <f t="shared" si="93"/>
        <v>35</v>
      </c>
      <c r="M342" s="13">
        <f t="shared" si="101"/>
        <v>0</v>
      </c>
      <c r="N342">
        <f t="shared" si="101"/>
        <v>27</v>
      </c>
      <c r="O342" s="14">
        <f t="shared" si="89"/>
        <v>27</v>
      </c>
      <c r="P342" s="13">
        <f t="shared" si="94"/>
        <v>0</v>
      </c>
      <c r="Q342">
        <f t="shared" si="102"/>
        <v>27</v>
      </c>
      <c r="R342" s="14">
        <f t="shared" si="103"/>
        <v>27</v>
      </c>
      <c r="S342" s="15"/>
      <c r="W342" s="14"/>
    </row>
    <row r="343" spans="1:23" x14ac:dyDescent="0.25">
      <c r="A343" s="16"/>
      <c r="B343" s="17" t="b">
        <f t="shared" si="96"/>
        <v>0</v>
      </c>
      <c r="C343" s="17" t="b">
        <f t="shared" si="88"/>
        <v>0</v>
      </c>
      <c r="D343" s="17">
        <f t="shared" si="90"/>
        <v>1</v>
      </c>
      <c r="E343" s="17" t="str">
        <f t="shared" si="95"/>
        <v>Section 10 - Spring Boot - Deployement</v>
      </c>
      <c r="F343" s="18" t="str">
        <f t="shared" si="91"/>
        <v/>
      </c>
      <c r="G343" s="13" t="str">
        <f t="shared" si="97"/>
        <v/>
      </c>
      <c r="H343">
        <f t="shared" si="98"/>
        <v>0</v>
      </c>
      <c r="I343">
        <f t="shared" si="99"/>
        <v>0</v>
      </c>
      <c r="J343" s="13">
        <f t="shared" si="100"/>
        <v>155</v>
      </c>
      <c r="K343">
        <f t="shared" si="92"/>
        <v>2</v>
      </c>
      <c r="L343">
        <f t="shared" si="93"/>
        <v>35</v>
      </c>
      <c r="M343" s="13">
        <f t="shared" si="101"/>
        <v>0</v>
      </c>
      <c r="N343">
        <f t="shared" si="101"/>
        <v>27</v>
      </c>
      <c r="O343" s="14">
        <f t="shared" si="89"/>
        <v>27</v>
      </c>
      <c r="P343" s="13">
        <f t="shared" si="94"/>
        <v>0</v>
      </c>
      <c r="Q343">
        <f t="shared" si="102"/>
        <v>27</v>
      </c>
      <c r="R343" s="14">
        <f t="shared" si="103"/>
        <v>27</v>
      </c>
      <c r="S343" s="15"/>
      <c r="W343" s="14"/>
    </row>
    <row r="344" spans="1:23" x14ac:dyDescent="0.25">
      <c r="A344" s="16"/>
      <c r="B344" s="17" t="b">
        <f t="shared" si="96"/>
        <v>0</v>
      </c>
      <c r="C344" s="17" t="b">
        <f t="shared" si="88"/>
        <v>0</v>
      </c>
      <c r="D344" s="17">
        <f t="shared" si="90"/>
        <v>1</v>
      </c>
      <c r="E344" s="17" t="str">
        <f t="shared" si="95"/>
        <v>Section 10 - Spring Boot - Deployement</v>
      </c>
      <c r="F344" s="18" t="str">
        <f t="shared" si="91"/>
        <v/>
      </c>
      <c r="G344" s="13" t="str">
        <f t="shared" si="97"/>
        <v/>
      </c>
      <c r="H344">
        <f t="shared" si="98"/>
        <v>0</v>
      </c>
      <c r="I344">
        <f t="shared" si="99"/>
        <v>0</v>
      </c>
      <c r="J344" s="13">
        <f t="shared" si="100"/>
        <v>155</v>
      </c>
      <c r="K344">
        <f t="shared" si="92"/>
        <v>2</v>
      </c>
      <c r="L344">
        <f t="shared" si="93"/>
        <v>35</v>
      </c>
      <c r="M344" s="13">
        <f t="shared" si="101"/>
        <v>0</v>
      </c>
      <c r="N344">
        <f t="shared" si="101"/>
        <v>27</v>
      </c>
      <c r="O344" s="14">
        <f t="shared" si="89"/>
        <v>27</v>
      </c>
      <c r="P344" s="13">
        <f t="shared" si="94"/>
        <v>0</v>
      </c>
      <c r="Q344">
        <f t="shared" si="102"/>
        <v>27</v>
      </c>
      <c r="R344" s="14">
        <f t="shared" si="103"/>
        <v>27</v>
      </c>
      <c r="S344" s="15"/>
      <c r="W344" s="14"/>
    </row>
    <row r="345" spans="1:23" x14ac:dyDescent="0.25">
      <c r="A345" s="16"/>
      <c r="B345" s="17" t="b">
        <f t="shared" si="96"/>
        <v>0</v>
      </c>
      <c r="C345" s="17" t="b">
        <f t="shared" si="88"/>
        <v>0</v>
      </c>
      <c r="D345" s="17">
        <f t="shared" si="90"/>
        <v>1</v>
      </c>
      <c r="E345" s="17" t="str">
        <f t="shared" si="95"/>
        <v>Section 10 - Spring Boot - Deployement</v>
      </c>
      <c r="F345" s="18" t="str">
        <f t="shared" si="91"/>
        <v/>
      </c>
      <c r="G345" s="13" t="str">
        <f t="shared" si="97"/>
        <v/>
      </c>
      <c r="H345">
        <f t="shared" si="98"/>
        <v>0</v>
      </c>
      <c r="I345">
        <f t="shared" si="99"/>
        <v>0</v>
      </c>
      <c r="J345" s="13">
        <f t="shared" si="100"/>
        <v>155</v>
      </c>
      <c r="K345">
        <f t="shared" si="92"/>
        <v>2</v>
      </c>
      <c r="L345">
        <f t="shared" si="93"/>
        <v>35</v>
      </c>
      <c r="M345" s="13">
        <f t="shared" si="101"/>
        <v>0</v>
      </c>
      <c r="N345">
        <f t="shared" si="101"/>
        <v>27</v>
      </c>
      <c r="O345" s="14">
        <f t="shared" si="89"/>
        <v>27</v>
      </c>
      <c r="P345" s="13">
        <f t="shared" si="94"/>
        <v>0</v>
      </c>
      <c r="Q345">
        <f t="shared" si="102"/>
        <v>27</v>
      </c>
      <c r="R345" s="14">
        <f t="shared" si="103"/>
        <v>27</v>
      </c>
      <c r="S345" s="15"/>
      <c r="W345" s="14"/>
    </row>
    <row r="346" spans="1:23" x14ac:dyDescent="0.25">
      <c r="A346" s="16"/>
      <c r="B346" s="17" t="b">
        <f t="shared" si="96"/>
        <v>0</v>
      </c>
      <c r="C346" s="17" t="b">
        <f t="shared" si="88"/>
        <v>0</v>
      </c>
      <c r="D346" s="17">
        <f t="shared" si="90"/>
        <v>1</v>
      </c>
      <c r="E346" s="17" t="str">
        <f t="shared" si="95"/>
        <v>Section 10 - Spring Boot - Deployement</v>
      </c>
      <c r="F346" s="18" t="str">
        <f t="shared" si="91"/>
        <v/>
      </c>
      <c r="G346" s="13" t="str">
        <f t="shared" si="97"/>
        <v/>
      </c>
      <c r="H346">
        <f t="shared" si="98"/>
        <v>0</v>
      </c>
      <c r="I346">
        <f t="shared" si="99"/>
        <v>0</v>
      </c>
      <c r="J346" s="13">
        <f t="shared" si="100"/>
        <v>155</v>
      </c>
      <c r="K346">
        <f t="shared" si="92"/>
        <v>2</v>
      </c>
      <c r="L346">
        <f t="shared" si="93"/>
        <v>35</v>
      </c>
      <c r="M346" s="13">
        <f t="shared" si="101"/>
        <v>0</v>
      </c>
      <c r="N346">
        <f t="shared" si="101"/>
        <v>27</v>
      </c>
      <c r="O346" s="14">
        <f t="shared" si="89"/>
        <v>27</v>
      </c>
      <c r="P346" s="13">
        <f t="shared" si="94"/>
        <v>0</v>
      </c>
      <c r="Q346">
        <f t="shared" si="102"/>
        <v>27</v>
      </c>
      <c r="R346" s="14">
        <f t="shared" si="103"/>
        <v>27</v>
      </c>
      <c r="S346" s="15"/>
      <c r="W346" s="14"/>
    </row>
    <row r="347" spans="1:23" x14ac:dyDescent="0.25">
      <c r="A347" s="16"/>
      <c r="B347" s="17" t="b">
        <f t="shared" si="96"/>
        <v>0</v>
      </c>
      <c r="C347" s="17" t="b">
        <f t="shared" si="88"/>
        <v>0</v>
      </c>
      <c r="D347" s="17">
        <f t="shared" si="90"/>
        <v>1</v>
      </c>
      <c r="E347" s="17" t="str">
        <f t="shared" si="95"/>
        <v>Section 10 - Spring Boot - Deployement</v>
      </c>
      <c r="F347" s="18" t="str">
        <f t="shared" si="91"/>
        <v/>
      </c>
      <c r="G347" s="13" t="str">
        <f t="shared" si="97"/>
        <v/>
      </c>
      <c r="H347">
        <f t="shared" si="98"/>
        <v>0</v>
      </c>
      <c r="I347">
        <f t="shared" si="99"/>
        <v>0</v>
      </c>
      <c r="J347" s="13">
        <f t="shared" si="100"/>
        <v>155</v>
      </c>
      <c r="K347">
        <f t="shared" si="92"/>
        <v>2</v>
      </c>
      <c r="L347">
        <f t="shared" si="93"/>
        <v>35</v>
      </c>
      <c r="M347" s="13">
        <f t="shared" si="101"/>
        <v>0</v>
      </c>
      <c r="N347">
        <f t="shared" si="101"/>
        <v>27</v>
      </c>
      <c r="O347" s="14">
        <f t="shared" si="89"/>
        <v>27</v>
      </c>
      <c r="P347" s="13">
        <f t="shared" si="94"/>
        <v>0</v>
      </c>
      <c r="Q347">
        <f t="shared" si="102"/>
        <v>27</v>
      </c>
      <c r="R347" s="14">
        <f t="shared" si="103"/>
        <v>27</v>
      </c>
      <c r="S347" s="15"/>
      <c r="W347" s="14"/>
    </row>
    <row r="348" spans="1:23" x14ac:dyDescent="0.25">
      <c r="A348" s="16"/>
      <c r="B348" s="17" t="b">
        <f t="shared" si="96"/>
        <v>0</v>
      </c>
      <c r="C348" s="17" t="b">
        <f t="shared" si="88"/>
        <v>0</v>
      </c>
      <c r="D348" s="17">
        <f t="shared" si="90"/>
        <v>1</v>
      </c>
      <c r="E348" s="17" t="str">
        <f t="shared" si="95"/>
        <v>Section 10 - Spring Boot - Deployement</v>
      </c>
      <c r="F348" s="18" t="str">
        <f t="shared" si="91"/>
        <v/>
      </c>
      <c r="G348" s="13" t="str">
        <f t="shared" si="97"/>
        <v/>
      </c>
      <c r="H348">
        <f t="shared" si="98"/>
        <v>0</v>
      </c>
      <c r="I348">
        <f t="shared" si="99"/>
        <v>0</v>
      </c>
      <c r="J348" s="13">
        <f t="shared" si="100"/>
        <v>155</v>
      </c>
      <c r="K348">
        <f t="shared" si="92"/>
        <v>2</v>
      </c>
      <c r="L348">
        <f t="shared" si="93"/>
        <v>35</v>
      </c>
      <c r="M348" s="13">
        <f t="shared" si="101"/>
        <v>0</v>
      </c>
      <c r="N348">
        <f t="shared" si="101"/>
        <v>27</v>
      </c>
      <c r="O348" s="14">
        <f t="shared" si="89"/>
        <v>27</v>
      </c>
      <c r="P348" s="13">
        <f t="shared" si="94"/>
        <v>0</v>
      </c>
      <c r="Q348">
        <f t="shared" si="102"/>
        <v>27</v>
      </c>
      <c r="R348" s="14">
        <f t="shared" si="103"/>
        <v>27</v>
      </c>
      <c r="S348" s="15"/>
      <c r="W348" s="14"/>
    </row>
    <row r="349" spans="1:23" x14ac:dyDescent="0.25">
      <c r="A349" s="16"/>
      <c r="B349" s="17" t="b">
        <f t="shared" si="96"/>
        <v>0</v>
      </c>
      <c r="C349" s="17" t="b">
        <f t="shared" si="88"/>
        <v>0</v>
      </c>
      <c r="D349" s="17">
        <f t="shared" si="90"/>
        <v>1</v>
      </c>
      <c r="E349" s="17" t="str">
        <f t="shared" si="95"/>
        <v>Section 10 - Spring Boot - Deployement</v>
      </c>
      <c r="F349" s="18" t="str">
        <f t="shared" si="91"/>
        <v/>
      </c>
      <c r="G349" s="13" t="str">
        <f t="shared" si="97"/>
        <v/>
      </c>
      <c r="H349">
        <f t="shared" si="98"/>
        <v>0</v>
      </c>
      <c r="I349">
        <f t="shared" si="99"/>
        <v>0</v>
      </c>
      <c r="J349" s="13">
        <f t="shared" si="100"/>
        <v>155</v>
      </c>
      <c r="K349">
        <f t="shared" si="92"/>
        <v>2</v>
      </c>
      <c r="L349">
        <f t="shared" si="93"/>
        <v>35</v>
      </c>
      <c r="M349" s="13">
        <f t="shared" si="101"/>
        <v>0</v>
      </c>
      <c r="N349">
        <f t="shared" si="101"/>
        <v>27</v>
      </c>
      <c r="O349" s="14">
        <f t="shared" si="89"/>
        <v>27</v>
      </c>
      <c r="P349" s="13">
        <f t="shared" si="94"/>
        <v>0</v>
      </c>
      <c r="Q349">
        <f t="shared" si="102"/>
        <v>27</v>
      </c>
      <c r="R349" s="14">
        <f t="shared" si="103"/>
        <v>27</v>
      </c>
      <c r="S349" s="15"/>
      <c r="W349" s="14"/>
    </row>
    <row r="350" spans="1:23" x14ac:dyDescent="0.25">
      <c r="A350" s="16"/>
      <c r="B350" s="17" t="b">
        <f t="shared" si="96"/>
        <v>0</v>
      </c>
      <c r="C350" s="17" t="b">
        <f t="shared" si="88"/>
        <v>0</v>
      </c>
      <c r="D350" s="17">
        <f t="shared" si="90"/>
        <v>1</v>
      </c>
      <c r="E350" s="17" t="str">
        <f t="shared" si="95"/>
        <v>Section 10 - Spring Boot - Deployement</v>
      </c>
      <c r="F350" s="18" t="str">
        <f t="shared" si="91"/>
        <v/>
      </c>
      <c r="G350" s="13" t="str">
        <f t="shared" si="97"/>
        <v/>
      </c>
      <c r="H350">
        <f t="shared" si="98"/>
        <v>0</v>
      </c>
      <c r="I350">
        <f t="shared" si="99"/>
        <v>0</v>
      </c>
      <c r="J350" s="13">
        <f t="shared" si="100"/>
        <v>155</v>
      </c>
      <c r="K350">
        <f t="shared" si="92"/>
        <v>2</v>
      </c>
      <c r="L350">
        <f t="shared" si="93"/>
        <v>35</v>
      </c>
      <c r="M350" s="13">
        <f t="shared" si="101"/>
        <v>0</v>
      </c>
      <c r="N350">
        <f t="shared" si="101"/>
        <v>27</v>
      </c>
      <c r="O350" s="14">
        <f t="shared" si="89"/>
        <v>27</v>
      </c>
      <c r="P350" s="13">
        <f t="shared" si="94"/>
        <v>0</v>
      </c>
      <c r="Q350">
        <f t="shared" si="102"/>
        <v>27</v>
      </c>
      <c r="R350" s="14">
        <f t="shared" si="103"/>
        <v>27</v>
      </c>
      <c r="S350" s="15"/>
      <c r="W350" s="14"/>
    </row>
    <row r="351" spans="1:23" x14ac:dyDescent="0.25">
      <c r="A351" s="16"/>
      <c r="B351" s="17" t="b">
        <f t="shared" si="96"/>
        <v>0</v>
      </c>
      <c r="C351" s="17" t="b">
        <f t="shared" si="88"/>
        <v>0</v>
      </c>
      <c r="D351" s="17">
        <f t="shared" si="90"/>
        <v>1</v>
      </c>
      <c r="E351" s="17" t="str">
        <f t="shared" si="95"/>
        <v>Section 10 - Spring Boot - Deployement</v>
      </c>
      <c r="F351" s="18" t="str">
        <f t="shared" si="91"/>
        <v/>
      </c>
      <c r="G351" s="13" t="str">
        <f t="shared" si="97"/>
        <v/>
      </c>
      <c r="H351">
        <f t="shared" si="98"/>
        <v>0</v>
      </c>
      <c r="I351">
        <f t="shared" si="99"/>
        <v>0</v>
      </c>
      <c r="J351" s="13">
        <f t="shared" si="100"/>
        <v>155</v>
      </c>
      <c r="K351">
        <f t="shared" si="92"/>
        <v>2</v>
      </c>
      <c r="L351">
        <f t="shared" si="93"/>
        <v>35</v>
      </c>
      <c r="M351" s="13">
        <f t="shared" si="101"/>
        <v>0</v>
      </c>
      <c r="N351">
        <f t="shared" si="101"/>
        <v>27</v>
      </c>
      <c r="O351" s="14">
        <f t="shared" si="89"/>
        <v>27</v>
      </c>
      <c r="P351" s="13">
        <f t="shared" si="94"/>
        <v>0</v>
      </c>
      <c r="Q351">
        <f t="shared" si="102"/>
        <v>27</v>
      </c>
      <c r="R351" s="14">
        <f t="shared" si="103"/>
        <v>27</v>
      </c>
      <c r="S351" s="15"/>
      <c r="W351" s="14"/>
    </row>
    <row r="352" spans="1:23" x14ac:dyDescent="0.25">
      <c r="A352" s="16"/>
      <c r="B352" s="17" t="b">
        <f t="shared" si="96"/>
        <v>0</v>
      </c>
      <c r="C352" s="17" t="b">
        <f t="shared" si="88"/>
        <v>0</v>
      </c>
      <c r="D352" s="17">
        <f t="shared" si="90"/>
        <v>1</v>
      </c>
      <c r="E352" s="17" t="str">
        <f t="shared" si="95"/>
        <v>Section 10 - Spring Boot - Deployement</v>
      </c>
      <c r="F352" s="18" t="str">
        <f t="shared" si="91"/>
        <v/>
      </c>
      <c r="G352" s="13" t="str">
        <f t="shared" si="97"/>
        <v/>
      </c>
      <c r="H352">
        <f t="shared" si="98"/>
        <v>0</v>
      </c>
      <c r="I352">
        <f t="shared" si="99"/>
        <v>0</v>
      </c>
      <c r="J352" s="13">
        <f t="shared" si="100"/>
        <v>155</v>
      </c>
      <c r="K352">
        <f t="shared" si="92"/>
        <v>2</v>
      </c>
      <c r="L352">
        <f t="shared" si="93"/>
        <v>35</v>
      </c>
      <c r="M352" s="13">
        <f t="shared" si="101"/>
        <v>0</v>
      </c>
      <c r="N352">
        <f t="shared" si="101"/>
        <v>27</v>
      </c>
      <c r="O352" s="14">
        <f t="shared" si="89"/>
        <v>27</v>
      </c>
      <c r="P352" s="13">
        <f t="shared" si="94"/>
        <v>0</v>
      </c>
      <c r="Q352">
        <f t="shared" si="102"/>
        <v>27</v>
      </c>
      <c r="R352" s="14">
        <f t="shared" si="103"/>
        <v>27</v>
      </c>
      <c r="S352" s="15"/>
      <c r="W352" s="14"/>
    </row>
    <row r="353" spans="1:23" x14ac:dyDescent="0.25">
      <c r="A353" s="16"/>
      <c r="B353" s="17" t="b">
        <f t="shared" si="96"/>
        <v>0</v>
      </c>
      <c r="C353" s="17" t="b">
        <f t="shared" si="88"/>
        <v>0</v>
      </c>
      <c r="D353" s="17">
        <f t="shared" si="90"/>
        <v>1</v>
      </c>
      <c r="E353" s="17" t="str">
        <f t="shared" si="95"/>
        <v>Section 10 - Spring Boot - Deployement</v>
      </c>
      <c r="F353" s="18" t="str">
        <f t="shared" si="91"/>
        <v/>
      </c>
      <c r="G353" s="13" t="str">
        <f t="shared" si="97"/>
        <v/>
      </c>
      <c r="H353">
        <f t="shared" si="98"/>
        <v>0</v>
      </c>
      <c r="I353">
        <f t="shared" si="99"/>
        <v>0</v>
      </c>
      <c r="J353" s="13">
        <f t="shared" si="100"/>
        <v>155</v>
      </c>
      <c r="K353">
        <f t="shared" si="92"/>
        <v>2</v>
      </c>
      <c r="L353">
        <f t="shared" si="93"/>
        <v>35</v>
      </c>
      <c r="M353" s="13">
        <f t="shared" si="101"/>
        <v>0</v>
      </c>
      <c r="N353">
        <f t="shared" si="101"/>
        <v>27</v>
      </c>
      <c r="O353" s="14">
        <f t="shared" si="89"/>
        <v>27</v>
      </c>
      <c r="P353" s="13">
        <f t="shared" si="94"/>
        <v>0</v>
      </c>
      <c r="Q353">
        <f t="shared" si="102"/>
        <v>27</v>
      </c>
      <c r="R353" s="14">
        <f t="shared" si="103"/>
        <v>27</v>
      </c>
      <c r="S353" s="15"/>
      <c r="W353" s="14"/>
    </row>
    <row r="354" spans="1:23" x14ac:dyDescent="0.25">
      <c r="A354" s="16"/>
      <c r="B354" s="17" t="b">
        <f t="shared" si="96"/>
        <v>0</v>
      </c>
      <c r="C354" s="17" t="b">
        <f t="shared" si="88"/>
        <v>0</v>
      </c>
      <c r="D354" s="17">
        <f t="shared" si="90"/>
        <v>1</v>
      </c>
      <c r="E354" s="17" t="str">
        <f t="shared" si="95"/>
        <v>Section 10 - Spring Boot - Deployement</v>
      </c>
      <c r="F354" s="18" t="str">
        <f t="shared" si="91"/>
        <v/>
      </c>
      <c r="G354" s="13" t="str">
        <f t="shared" si="97"/>
        <v/>
      </c>
      <c r="H354">
        <f t="shared" si="98"/>
        <v>0</v>
      </c>
      <c r="I354">
        <f t="shared" si="99"/>
        <v>0</v>
      </c>
      <c r="J354" s="13">
        <f t="shared" si="100"/>
        <v>155</v>
      </c>
      <c r="K354">
        <f t="shared" si="92"/>
        <v>2</v>
      </c>
      <c r="L354">
        <f t="shared" si="93"/>
        <v>35</v>
      </c>
      <c r="M354" s="13">
        <f t="shared" si="101"/>
        <v>0</v>
      </c>
      <c r="N354">
        <f t="shared" si="101"/>
        <v>27</v>
      </c>
      <c r="O354" s="14">
        <f t="shared" si="89"/>
        <v>27</v>
      </c>
      <c r="P354" s="13">
        <f t="shared" si="94"/>
        <v>0</v>
      </c>
      <c r="Q354">
        <f t="shared" si="102"/>
        <v>27</v>
      </c>
      <c r="R354" s="14">
        <f t="shared" si="103"/>
        <v>27</v>
      </c>
      <c r="S354" s="15"/>
      <c r="W354" s="14"/>
    </row>
    <row r="355" spans="1:23" x14ac:dyDescent="0.25">
      <c r="A355" s="16"/>
      <c r="B355" s="17" t="b">
        <f t="shared" si="96"/>
        <v>0</v>
      </c>
      <c r="C355" s="17" t="b">
        <f t="shared" si="88"/>
        <v>0</v>
      </c>
      <c r="D355" s="17">
        <f t="shared" si="90"/>
        <v>1</v>
      </c>
      <c r="E355" s="17" t="str">
        <f t="shared" si="95"/>
        <v>Section 10 - Spring Boot - Deployement</v>
      </c>
      <c r="F355" s="18" t="str">
        <f t="shared" si="91"/>
        <v/>
      </c>
      <c r="G355" s="13" t="str">
        <f t="shared" si="97"/>
        <v/>
      </c>
      <c r="H355">
        <f t="shared" si="98"/>
        <v>0</v>
      </c>
      <c r="I355">
        <f t="shared" si="99"/>
        <v>0</v>
      </c>
      <c r="J355" s="13">
        <f t="shared" si="100"/>
        <v>155</v>
      </c>
      <c r="K355">
        <f t="shared" si="92"/>
        <v>2</v>
      </c>
      <c r="L355">
        <f t="shared" si="93"/>
        <v>35</v>
      </c>
      <c r="M355" s="13">
        <f t="shared" si="101"/>
        <v>0</v>
      </c>
      <c r="N355">
        <f t="shared" si="101"/>
        <v>27</v>
      </c>
      <c r="O355" s="14">
        <f t="shared" si="89"/>
        <v>27</v>
      </c>
      <c r="P355" s="13">
        <f t="shared" si="94"/>
        <v>0</v>
      </c>
      <c r="Q355">
        <f t="shared" si="102"/>
        <v>27</v>
      </c>
      <c r="R355" s="14">
        <f t="shared" si="103"/>
        <v>27</v>
      </c>
      <c r="S355" s="15"/>
      <c r="W355" s="14"/>
    </row>
    <row r="356" spans="1:23" x14ac:dyDescent="0.25">
      <c r="A356" s="16"/>
      <c r="B356" s="17" t="b">
        <f t="shared" si="96"/>
        <v>0</v>
      </c>
      <c r="C356" s="17" t="b">
        <f t="shared" si="88"/>
        <v>0</v>
      </c>
      <c r="D356" s="17">
        <f t="shared" si="90"/>
        <v>1</v>
      </c>
      <c r="E356" s="17" t="str">
        <f t="shared" si="95"/>
        <v>Section 10 - Spring Boot - Deployement</v>
      </c>
      <c r="F356" s="18" t="str">
        <f t="shared" si="91"/>
        <v/>
      </c>
      <c r="G356" s="13" t="str">
        <f t="shared" si="97"/>
        <v/>
      </c>
      <c r="H356">
        <f t="shared" si="98"/>
        <v>0</v>
      </c>
      <c r="I356">
        <f t="shared" si="99"/>
        <v>0</v>
      </c>
      <c r="J356" s="13">
        <f t="shared" si="100"/>
        <v>155</v>
      </c>
      <c r="K356">
        <f t="shared" si="92"/>
        <v>2</v>
      </c>
      <c r="L356">
        <f t="shared" si="93"/>
        <v>35</v>
      </c>
      <c r="M356" s="13">
        <f t="shared" si="101"/>
        <v>0</v>
      </c>
      <c r="N356">
        <f t="shared" si="101"/>
        <v>27</v>
      </c>
      <c r="O356" s="14">
        <f t="shared" si="89"/>
        <v>27</v>
      </c>
      <c r="P356" s="13">
        <f t="shared" si="94"/>
        <v>0</v>
      </c>
      <c r="Q356">
        <f t="shared" si="102"/>
        <v>27</v>
      </c>
      <c r="R356" s="14">
        <f t="shared" si="103"/>
        <v>27</v>
      </c>
      <c r="S356" s="15"/>
      <c r="W356" s="14"/>
    </row>
    <row r="357" spans="1:23" x14ac:dyDescent="0.25">
      <c r="A357" s="16"/>
      <c r="B357" s="17" t="b">
        <f t="shared" si="96"/>
        <v>0</v>
      </c>
      <c r="C357" s="17" t="b">
        <f t="shared" si="88"/>
        <v>0</v>
      </c>
      <c r="D357" s="17">
        <f t="shared" si="90"/>
        <v>1</v>
      </c>
      <c r="E357" s="17" t="str">
        <f t="shared" si="95"/>
        <v>Section 10 - Spring Boot - Deployement</v>
      </c>
      <c r="F357" s="18" t="str">
        <f t="shared" si="91"/>
        <v/>
      </c>
      <c r="G357" s="13" t="str">
        <f t="shared" si="97"/>
        <v/>
      </c>
      <c r="H357">
        <f t="shared" si="98"/>
        <v>0</v>
      </c>
      <c r="I357">
        <f t="shared" si="99"/>
        <v>0</v>
      </c>
      <c r="J357" s="13">
        <f t="shared" si="100"/>
        <v>155</v>
      </c>
      <c r="K357">
        <f t="shared" si="92"/>
        <v>2</v>
      </c>
      <c r="L357">
        <f t="shared" si="93"/>
        <v>35</v>
      </c>
      <c r="M357" s="13">
        <f t="shared" si="101"/>
        <v>0</v>
      </c>
      <c r="N357">
        <f t="shared" si="101"/>
        <v>27</v>
      </c>
      <c r="O357" s="14">
        <f t="shared" si="89"/>
        <v>27</v>
      </c>
      <c r="P357" s="13">
        <f t="shared" si="94"/>
        <v>0</v>
      </c>
      <c r="Q357">
        <f t="shared" si="102"/>
        <v>27</v>
      </c>
      <c r="R357" s="14">
        <f t="shared" si="103"/>
        <v>27</v>
      </c>
      <c r="S357" s="15"/>
      <c r="W357" s="14"/>
    </row>
    <row r="358" spans="1:23" x14ac:dyDescent="0.25">
      <c r="A358" s="16"/>
      <c r="B358" s="17" t="b">
        <f t="shared" si="96"/>
        <v>0</v>
      </c>
      <c r="C358" s="17" t="b">
        <f t="shared" si="88"/>
        <v>0</v>
      </c>
      <c r="D358" s="17">
        <f t="shared" si="90"/>
        <v>1</v>
      </c>
      <c r="E358" s="17" t="str">
        <f t="shared" si="95"/>
        <v>Section 10 - Spring Boot - Deployement</v>
      </c>
      <c r="F358" s="18" t="str">
        <f t="shared" si="91"/>
        <v/>
      </c>
      <c r="G358" s="13" t="str">
        <f t="shared" si="97"/>
        <v/>
      </c>
      <c r="H358">
        <f t="shared" si="98"/>
        <v>0</v>
      </c>
      <c r="I358">
        <f t="shared" si="99"/>
        <v>0</v>
      </c>
      <c r="J358" s="13">
        <f t="shared" si="100"/>
        <v>155</v>
      </c>
      <c r="K358">
        <f t="shared" si="92"/>
        <v>2</v>
      </c>
      <c r="L358">
        <f t="shared" si="93"/>
        <v>35</v>
      </c>
      <c r="M358" s="13">
        <f t="shared" si="101"/>
        <v>0</v>
      </c>
      <c r="N358">
        <f t="shared" si="101"/>
        <v>27</v>
      </c>
      <c r="O358" s="14">
        <f t="shared" si="89"/>
        <v>27</v>
      </c>
      <c r="P358" s="13">
        <f t="shared" si="94"/>
        <v>0</v>
      </c>
      <c r="Q358">
        <f t="shared" si="102"/>
        <v>27</v>
      </c>
      <c r="R358" s="14">
        <f t="shared" si="103"/>
        <v>27</v>
      </c>
      <c r="S358" s="15"/>
      <c r="W358" s="14"/>
    </row>
    <row r="359" spans="1:23" x14ac:dyDescent="0.25">
      <c r="A359" s="16"/>
      <c r="B359" s="17" t="b">
        <f t="shared" si="96"/>
        <v>0</v>
      </c>
      <c r="C359" s="17" t="b">
        <f t="shared" si="88"/>
        <v>0</v>
      </c>
      <c r="D359" s="17">
        <f t="shared" si="90"/>
        <v>1</v>
      </c>
      <c r="E359" s="17" t="str">
        <f t="shared" si="95"/>
        <v>Section 10 - Spring Boot - Deployement</v>
      </c>
      <c r="F359" s="18" t="str">
        <f t="shared" si="91"/>
        <v/>
      </c>
      <c r="G359" s="13" t="str">
        <f t="shared" si="97"/>
        <v/>
      </c>
      <c r="H359">
        <f t="shared" si="98"/>
        <v>0</v>
      </c>
      <c r="I359">
        <f t="shared" si="99"/>
        <v>0</v>
      </c>
      <c r="J359" s="13">
        <f t="shared" si="100"/>
        <v>155</v>
      </c>
      <c r="K359">
        <f t="shared" si="92"/>
        <v>2</v>
      </c>
      <c r="L359">
        <f t="shared" si="93"/>
        <v>35</v>
      </c>
      <c r="M359" s="13">
        <f t="shared" si="101"/>
        <v>0</v>
      </c>
      <c r="N359">
        <f t="shared" si="101"/>
        <v>27</v>
      </c>
      <c r="O359" s="14">
        <f t="shared" si="89"/>
        <v>27</v>
      </c>
      <c r="P359" s="13">
        <f t="shared" si="94"/>
        <v>0</v>
      </c>
      <c r="Q359">
        <f t="shared" si="102"/>
        <v>27</v>
      </c>
      <c r="R359" s="14">
        <f t="shared" si="103"/>
        <v>27</v>
      </c>
      <c r="S359" s="15"/>
      <c r="W359" s="14"/>
    </row>
    <row r="360" spans="1:23" x14ac:dyDescent="0.25">
      <c r="A360" s="16"/>
      <c r="B360" s="17" t="b">
        <f t="shared" si="96"/>
        <v>0</v>
      </c>
      <c r="C360" s="17" t="b">
        <f t="shared" si="88"/>
        <v>0</v>
      </c>
      <c r="D360" s="17">
        <f t="shared" si="90"/>
        <v>1</v>
      </c>
      <c r="E360" s="17" t="str">
        <f t="shared" si="95"/>
        <v>Section 10 - Spring Boot - Deployement</v>
      </c>
      <c r="F360" s="18" t="str">
        <f t="shared" si="91"/>
        <v/>
      </c>
      <c r="G360" s="13" t="str">
        <f t="shared" si="97"/>
        <v/>
      </c>
      <c r="H360">
        <f t="shared" si="98"/>
        <v>0</v>
      </c>
      <c r="I360">
        <f t="shared" si="99"/>
        <v>0</v>
      </c>
      <c r="J360" s="13">
        <f t="shared" si="100"/>
        <v>155</v>
      </c>
      <c r="K360">
        <f t="shared" si="92"/>
        <v>2</v>
      </c>
      <c r="L360">
        <f t="shared" si="93"/>
        <v>35</v>
      </c>
      <c r="M360" s="13">
        <f t="shared" si="101"/>
        <v>0</v>
      </c>
      <c r="N360">
        <f t="shared" si="101"/>
        <v>27</v>
      </c>
      <c r="O360" s="14">
        <f t="shared" si="89"/>
        <v>27</v>
      </c>
      <c r="P360" s="13">
        <f t="shared" si="94"/>
        <v>0</v>
      </c>
      <c r="Q360">
        <f t="shared" si="102"/>
        <v>27</v>
      </c>
      <c r="R360" s="14">
        <f t="shared" si="103"/>
        <v>27</v>
      </c>
      <c r="S360" s="15"/>
      <c r="W360" s="14"/>
    </row>
    <row r="361" spans="1:23" x14ac:dyDescent="0.25">
      <c r="A361" s="16"/>
      <c r="B361" s="17" t="b">
        <f t="shared" si="96"/>
        <v>0</v>
      </c>
      <c r="C361" s="17" t="b">
        <f t="shared" si="88"/>
        <v>0</v>
      </c>
      <c r="D361" s="17">
        <f t="shared" si="90"/>
        <v>1</v>
      </c>
      <c r="E361" s="17" t="str">
        <f t="shared" si="95"/>
        <v>Section 10 - Spring Boot - Deployement</v>
      </c>
      <c r="F361" s="18" t="str">
        <f t="shared" si="91"/>
        <v/>
      </c>
      <c r="G361" s="13" t="str">
        <f t="shared" si="97"/>
        <v/>
      </c>
      <c r="H361">
        <f t="shared" si="98"/>
        <v>0</v>
      </c>
      <c r="I361">
        <f t="shared" si="99"/>
        <v>0</v>
      </c>
      <c r="J361" s="13">
        <f t="shared" si="100"/>
        <v>155</v>
      </c>
      <c r="K361">
        <f t="shared" si="92"/>
        <v>2</v>
      </c>
      <c r="L361">
        <f t="shared" si="93"/>
        <v>35</v>
      </c>
      <c r="M361" s="13">
        <f t="shared" si="101"/>
        <v>0</v>
      </c>
      <c r="N361">
        <f t="shared" si="101"/>
        <v>27</v>
      </c>
      <c r="O361" s="14">
        <f t="shared" si="89"/>
        <v>27</v>
      </c>
      <c r="P361" s="13">
        <f t="shared" si="94"/>
        <v>0</v>
      </c>
      <c r="Q361">
        <f t="shared" si="102"/>
        <v>27</v>
      </c>
      <c r="R361" s="14">
        <f t="shared" si="103"/>
        <v>27</v>
      </c>
      <c r="S361" s="15"/>
      <c r="W361" s="14"/>
    </row>
    <row r="362" spans="1:23" x14ac:dyDescent="0.25">
      <c r="A362" s="16"/>
      <c r="B362" s="17" t="b">
        <f t="shared" si="96"/>
        <v>0</v>
      </c>
      <c r="C362" s="17" t="b">
        <f t="shared" si="88"/>
        <v>0</v>
      </c>
      <c r="D362" s="17">
        <f t="shared" si="90"/>
        <v>1</v>
      </c>
      <c r="E362" s="17" t="str">
        <f t="shared" si="95"/>
        <v>Section 10 - Spring Boot - Deployement</v>
      </c>
      <c r="F362" s="18" t="str">
        <f t="shared" si="91"/>
        <v/>
      </c>
      <c r="G362" s="13" t="str">
        <f t="shared" si="97"/>
        <v/>
      </c>
      <c r="H362">
        <f t="shared" si="98"/>
        <v>0</v>
      </c>
      <c r="I362">
        <f t="shared" si="99"/>
        <v>0</v>
      </c>
      <c r="J362" s="13">
        <f t="shared" si="100"/>
        <v>155</v>
      </c>
      <c r="K362">
        <f t="shared" si="92"/>
        <v>2</v>
      </c>
      <c r="L362">
        <f t="shared" si="93"/>
        <v>35</v>
      </c>
      <c r="M362" s="13">
        <f t="shared" si="101"/>
        <v>0</v>
      </c>
      <c r="N362">
        <f t="shared" si="101"/>
        <v>27</v>
      </c>
      <c r="O362" s="14">
        <f t="shared" si="89"/>
        <v>27</v>
      </c>
      <c r="P362" s="13">
        <f t="shared" si="94"/>
        <v>0</v>
      </c>
      <c r="Q362">
        <f t="shared" si="102"/>
        <v>27</v>
      </c>
      <c r="R362" s="14">
        <f t="shared" si="103"/>
        <v>27</v>
      </c>
      <c r="S362" s="15"/>
      <c r="W362" s="14"/>
    </row>
    <row r="363" spans="1:23" x14ac:dyDescent="0.25">
      <c r="A363" s="16"/>
      <c r="B363" s="17" t="b">
        <f t="shared" si="96"/>
        <v>0</v>
      </c>
      <c r="C363" s="17" t="b">
        <f t="shared" si="88"/>
        <v>0</v>
      </c>
      <c r="D363" s="17">
        <f t="shared" si="90"/>
        <v>1</v>
      </c>
      <c r="E363" s="17" t="str">
        <f t="shared" si="95"/>
        <v>Section 10 - Spring Boot - Deployement</v>
      </c>
      <c r="F363" s="18" t="str">
        <f t="shared" si="91"/>
        <v/>
      </c>
      <c r="G363" s="13" t="str">
        <f t="shared" si="97"/>
        <v/>
      </c>
      <c r="H363">
        <f t="shared" si="98"/>
        <v>0</v>
      </c>
      <c r="I363">
        <f t="shared" si="99"/>
        <v>0</v>
      </c>
      <c r="J363" s="13">
        <f t="shared" si="100"/>
        <v>155</v>
      </c>
      <c r="K363">
        <f t="shared" si="92"/>
        <v>2</v>
      </c>
      <c r="L363">
        <f t="shared" si="93"/>
        <v>35</v>
      </c>
      <c r="M363" s="13">
        <f t="shared" si="101"/>
        <v>0</v>
      </c>
      <c r="N363">
        <f t="shared" si="101"/>
        <v>27</v>
      </c>
      <c r="O363" s="14">
        <f t="shared" si="89"/>
        <v>27</v>
      </c>
      <c r="P363" s="13">
        <f t="shared" si="94"/>
        <v>0</v>
      </c>
      <c r="Q363">
        <f t="shared" si="102"/>
        <v>27</v>
      </c>
      <c r="R363" s="14">
        <f t="shared" si="103"/>
        <v>27</v>
      </c>
      <c r="S363" s="15"/>
      <c r="W363" s="14"/>
    </row>
    <row r="364" spans="1:23" x14ac:dyDescent="0.25">
      <c r="A364" s="16"/>
      <c r="B364" s="17" t="b">
        <f t="shared" si="96"/>
        <v>0</v>
      </c>
      <c r="C364" s="17" t="b">
        <f t="shared" si="88"/>
        <v>0</v>
      </c>
      <c r="D364" s="17">
        <f t="shared" si="90"/>
        <v>1</v>
      </c>
      <c r="E364" s="17" t="str">
        <f t="shared" si="95"/>
        <v>Section 10 - Spring Boot - Deployement</v>
      </c>
      <c r="F364" s="18" t="str">
        <f t="shared" si="91"/>
        <v/>
      </c>
      <c r="G364" s="13" t="str">
        <f t="shared" si="97"/>
        <v/>
      </c>
      <c r="H364">
        <f t="shared" si="98"/>
        <v>0</v>
      </c>
      <c r="I364">
        <f t="shared" si="99"/>
        <v>0</v>
      </c>
      <c r="J364" s="13">
        <f t="shared" si="100"/>
        <v>155</v>
      </c>
      <c r="K364">
        <f t="shared" si="92"/>
        <v>2</v>
      </c>
      <c r="L364">
        <f t="shared" si="93"/>
        <v>35</v>
      </c>
      <c r="M364" s="13">
        <f t="shared" si="101"/>
        <v>0</v>
      </c>
      <c r="N364">
        <f t="shared" si="101"/>
        <v>27</v>
      </c>
      <c r="O364" s="14">
        <f t="shared" si="89"/>
        <v>27</v>
      </c>
      <c r="P364" s="13">
        <f t="shared" si="94"/>
        <v>0</v>
      </c>
      <c r="Q364">
        <f t="shared" si="102"/>
        <v>27</v>
      </c>
      <c r="R364" s="14">
        <f t="shared" si="103"/>
        <v>27</v>
      </c>
      <c r="S364" s="15"/>
      <c r="W364" s="14"/>
    </row>
    <row r="365" spans="1:23" x14ac:dyDescent="0.25">
      <c r="A365" s="16"/>
      <c r="B365" s="17" t="b">
        <f t="shared" si="96"/>
        <v>0</v>
      </c>
      <c r="C365" s="17" t="b">
        <f t="shared" si="88"/>
        <v>0</v>
      </c>
      <c r="D365" s="17">
        <f t="shared" si="90"/>
        <v>1</v>
      </c>
      <c r="E365" s="17" t="str">
        <f t="shared" si="95"/>
        <v>Section 10 - Spring Boot - Deployement</v>
      </c>
      <c r="F365" s="18" t="str">
        <f t="shared" si="91"/>
        <v/>
      </c>
      <c r="G365" s="13" t="str">
        <f t="shared" si="97"/>
        <v/>
      </c>
      <c r="H365">
        <f t="shared" si="98"/>
        <v>0</v>
      </c>
      <c r="I365">
        <f t="shared" si="99"/>
        <v>0</v>
      </c>
      <c r="J365" s="13">
        <f t="shared" si="100"/>
        <v>155</v>
      </c>
      <c r="K365">
        <f t="shared" si="92"/>
        <v>2</v>
      </c>
      <c r="L365">
        <f t="shared" si="93"/>
        <v>35</v>
      </c>
      <c r="M365" s="13">
        <f t="shared" si="101"/>
        <v>0</v>
      </c>
      <c r="N365">
        <f t="shared" si="101"/>
        <v>27</v>
      </c>
      <c r="O365" s="14">
        <f t="shared" si="89"/>
        <v>27</v>
      </c>
      <c r="P365" s="13">
        <f t="shared" si="94"/>
        <v>0</v>
      </c>
      <c r="Q365">
        <f t="shared" si="102"/>
        <v>27</v>
      </c>
      <c r="R365" s="14">
        <f t="shared" si="103"/>
        <v>27</v>
      </c>
      <c r="S365" s="15"/>
      <c r="W365" s="14"/>
    </row>
    <row r="366" spans="1:23" x14ac:dyDescent="0.25">
      <c r="A366" s="16"/>
      <c r="B366" s="17" t="b">
        <f t="shared" si="96"/>
        <v>0</v>
      </c>
      <c r="C366" s="17" t="b">
        <f t="shared" si="88"/>
        <v>0</v>
      </c>
      <c r="D366" s="17">
        <f t="shared" si="90"/>
        <v>1</v>
      </c>
      <c r="E366" s="17" t="str">
        <f t="shared" si="95"/>
        <v>Section 10 - Spring Boot - Deployement</v>
      </c>
      <c r="F366" s="18" t="str">
        <f t="shared" si="91"/>
        <v/>
      </c>
      <c r="G366" s="13" t="str">
        <f t="shared" si="97"/>
        <v/>
      </c>
      <c r="H366">
        <f t="shared" si="98"/>
        <v>0</v>
      </c>
      <c r="I366">
        <f t="shared" si="99"/>
        <v>0</v>
      </c>
      <c r="J366" s="13">
        <f t="shared" si="100"/>
        <v>155</v>
      </c>
      <c r="K366">
        <f t="shared" si="92"/>
        <v>2</v>
      </c>
      <c r="L366">
        <f t="shared" si="93"/>
        <v>35</v>
      </c>
      <c r="M366" s="13">
        <f t="shared" si="101"/>
        <v>0</v>
      </c>
      <c r="N366">
        <f t="shared" si="101"/>
        <v>27</v>
      </c>
      <c r="O366" s="14">
        <f t="shared" si="89"/>
        <v>27</v>
      </c>
      <c r="P366" s="13">
        <f t="shared" si="94"/>
        <v>0</v>
      </c>
      <c r="Q366">
        <f t="shared" si="102"/>
        <v>27</v>
      </c>
      <c r="R366" s="14">
        <f t="shared" si="103"/>
        <v>27</v>
      </c>
      <c r="S366" s="15"/>
      <c r="W366" s="14"/>
    </row>
    <row r="367" spans="1:23" x14ac:dyDescent="0.25">
      <c r="A367" s="16"/>
      <c r="B367" s="17" t="b">
        <f t="shared" si="96"/>
        <v>0</v>
      </c>
      <c r="C367" s="17" t="b">
        <f t="shared" si="88"/>
        <v>0</v>
      </c>
      <c r="D367" s="17">
        <f t="shared" si="90"/>
        <v>1</v>
      </c>
      <c r="E367" s="17" t="str">
        <f t="shared" si="95"/>
        <v>Section 10 - Spring Boot - Deployement</v>
      </c>
      <c r="F367" s="18" t="str">
        <f t="shared" si="91"/>
        <v/>
      </c>
      <c r="G367" s="13" t="str">
        <f t="shared" si="97"/>
        <v/>
      </c>
      <c r="H367">
        <f t="shared" si="98"/>
        <v>0</v>
      </c>
      <c r="I367">
        <f t="shared" si="99"/>
        <v>0</v>
      </c>
      <c r="J367" s="13">
        <f t="shared" si="100"/>
        <v>155</v>
      </c>
      <c r="K367">
        <f t="shared" si="92"/>
        <v>2</v>
      </c>
      <c r="L367">
        <f t="shared" si="93"/>
        <v>35</v>
      </c>
      <c r="M367" s="13">
        <f t="shared" si="101"/>
        <v>0</v>
      </c>
      <c r="N367">
        <f t="shared" si="101"/>
        <v>27</v>
      </c>
      <c r="O367" s="14">
        <f t="shared" si="89"/>
        <v>27</v>
      </c>
      <c r="P367" s="13">
        <f t="shared" si="94"/>
        <v>0</v>
      </c>
      <c r="Q367">
        <f t="shared" si="102"/>
        <v>27</v>
      </c>
      <c r="R367" s="14">
        <f t="shared" si="103"/>
        <v>27</v>
      </c>
      <c r="S367" s="15"/>
      <c r="W367" s="14"/>
    </row>
    <row r="368" spans="1:23" x14ac:dyDescent="0.25">
      <c r="A368" s="16"/>
      <c r="B368" s="17" t="b">
        <f t="shared" si="96"/>
        <v>0</v>
      </c>
      <c r="C368" s="17" t="b">
        <f t="shared" si="88"/>
        <v>0</v>
      </c>
      <c r="D368" s="17">
        <f t="shared" si="90"/>
        <v>1</v>
      </c>
      <c r="E368" s="17" t="str">
        <f t="shared" si="95"/>
        <v>Section 10 - Spring Boot - Deployement</v>
      </c>
      <c r="F368" s="18" t="str">
        <f t="shared" si="91"/>
        <v/>
      </c>
      <c r="G368" s="13" t="str">
        <f t="shared" si="97"/>
        <v/>
      </c>
      <c r="H368">
        <f t="shared" si="98"/>
        <v>0</v>
      </c>
      <c r="I368">
        <f t="shared" si="99"/>
        <v>0</v>
      </c>
      <c r="J368" s="13">
        <f t="shared" si="100"/>
        <v>155</v>
      </c>
      <c r="K368">
        <f t="shared" si="92"/>
        <v>2</v>
      </c>
      <c r="L368">
        <f t="shared" si="93"/>
        <v>35</v>
      </c>
      <c r="M368" s="13">
        <f t="shared" si="101"/>
        <v>0</v>
      </c>
      <c r="N368">
        <f t="shared" si="101"/>
        <v>27</v>
      </c>
      <c r="O368" s="14">
        <f t="shared" si="89"/>
        <v>27</v>
      </c>
      <c r="P368" s="13">
        <f t="shared" si="94"/>
        <v>0</v>
      </c>
      <c r="Q368">
        <f t="shared" si="102"/>
        <v>27</v>
      </c>
      <c r="R368" s="14">
        <f t="shared" si="103"/>
        <v>27</v>
      </c>
      <c r="S368" s="15"/>
      <c r="W368" s="14"/>
    </row>
    <row r="369" spans="1:23" x14ac:dyDescent="0.25">
      <c r="A369" s="16"/>
      <c r="B369" s="17" t="b">
        <f t="shared" si="96"/>
        <v>0</v>
      </c>
      <c r="C369" s="17" t="b">
        <f t="shared" si="88"/>
        <v>0</v>
      </c>
      <c r="D369" s="17">
        <f t="shared" si="90"/>
        <v>1</v>
      </c>
      <c r="E369" s="17" t="str">
        <f t="shared" si="95"/>
        <v>Section 10 - Spring Boot - Deployement</v>
      </c>
      <c r="F369" s="18" t="str">
        <f t="shared" si="91"/>
        <v/>
      </c>
      <c r="G369" s="13" t="str">
        <f t="shared" si="97"/>
        <v/>
      </c>
      <c r="H369">
        <f t="shared" si="98"/>
        <v>0</v>
      </c>
      <c r="I369">
        <f t="shared" si="99"/>
        <v>0</v>
      </c>
      <c r="J369" s="13">
        <f t="shared" si="100"/>
        <v>155</v>
      </c>
      <c r="K369">
        <f t="shared" si="92"/>
        <v>2</v>
      </c>
      <c r="L369">
        <f t="shared" si="93"/>
        <v>35</v>
      </c>
      <c r="M369" s="13">
        <f t="shared" si="101"/>
        <v>0</v>
      </c>
      <c r="N369">
        <f t="shared" si="101"/>
        <v>27</v>
      </c>
      <c r="O369" s="14">
        <f t="shared" si="89"/>
        <v>27</v>
      </c>
      <c r="P369" s="13">
        <f t="shared" si="94"/>
        <v>0</v>
      </c>
      <c r="Q369">
        <f t="shared" si="102"/>
        <v>27</v>
      </c>
      <c r="R369" s="14">
        <f t="shared" si="103"/>
        <v>27</v>
      </c>
      <c r="S369" s="15"/>
      <c r="W369" s="14"/>
    </row>
    <row r="370" spans="1:23" x14ac:dyDescent="0.25">
      <c r="A370" s="16"/>
      <c r="B370" s="17" t="b">
        <f t="shared" si="96"/>
        <v>0</v>
      </c>
      <c r="C370" s="17" t="b">
        <f t="shared" si="88"/>
        <v>0</v>
      </c>
      <c r="D370" s="17">
        <f t="shared" si="90"/>
        <v>1</v>
      </c>
      <c r="E370" s="17" t="str">
        <f t="shared" si="95"/>
        <v>Section 10 - Spring Boot - Deployement</v>
      </c>
      <c r="F370" s="18" t="str">
        <f t="shared" si="91"/>
        <v/>
      </c>
      <c r="G370" s="13" t="str">
        <f t="shared" si="97"/>
        <v/>
      </c>
      <c r="H370">
        <f t="shared" si="98"/>
        <v>0</v>
      </c>
      <c r="I370">
        <f t="shared" si="99"/>
        <v>0</v>
      </c>
      <c r="J370" s="13">
        <f t="shared" si="100"/>
        <v>155</v>
      </c>
      <c r="K370">
        <f t="shared" si="92"/>
        <v>2</v>
      </c>
      <c r="L370">
        <f t="shared" si="93"/>
        <v>35</v>
      </c>
      <c r="M370" s="13">
        <f t="shared" si="101"/>
        <v>0</v>
      </c>
      <c r="N370">
        <f t="shared" si="101"/>
        <v>27</v>
      </c>
      <c r="O370" s="14">
        <f t="shared" si="89"/>
        <v>27</v>
      </c>
      <c r="P370" s="13">
        <f t="shared" si="94"/>
        <v>0</v>
      </c>
      <c r="Q370">
        <f t="shared" si="102"/>
        <v>27</v>
      </c>
      <c r="R370" s="14">
        <f t="shared" si="103"/>
        <v>27</v>
      </c>
      <c r="S370" s="15"/>
      <c r="W370" s="14"/>
    </row>
    <row r="371" spans="1:23" x14ac:dyDescent="0.25">
      <c r="A371" s="16"/>
      <c r="B371" s="17" t="b">
        <f t="shared" si="96"/>
        <v>0</v>
      </c>
      <c r="C371" s="17" t="b">
        <f t="shared" si="88"/>
        <v>0</v>
      </c>
      <c r="D371" s="17">
        <f t="shared" si="90"/>
        <v>1</v>
      </c>
      <c r="E371" s="17" t="str">
        <f t="shared" si="95"/>
        <v>Section 10 - Spring Boot - Deployement</v>
      </c>
      <c r="F371" s="18" t="str">
        <f t="shared" si="91"/>
        <v/>
      </c>
      <c r="G371" s="13" t="str">
        <f t="shared" si="97"/>
        <v/>
      </c>
      <c r="H371">
        <f t="shared" si="98"/>
        <v>0</v>
      </c>
      <c r="I371">
        <f t="shared" si="99"/>
        <v>0</v>
      </c>
      <c r="J371" s="13">
        <f t="shared" si="100"/>
        <v>155</v>
      </c>
      <c r="K371">
        <f t="shared" si="92"/>
        <v>2</v>
      </c>
      <c r="L371">
        <f t="shared" si="93"/>
        <v>35</v>
      </c>
      <c r="M371" s="13">
        <f t="shared" si="101"/>
        <v>0</v>
      </c>
      <c r="N371">
        <f t="shared" si="101"/>
        <v>27</v>
      </c>
      <c r="O371" s="14">
        <f t="shared" si="89"/>
        <v>27</v>
      </c>
      <c r="P371" s="13">
        <f t="shared" si="94"/>
        <v>0</v>
      </c>
      <c r="Q371">
        <f t="shared" si="102"/>
        <v>27</v>
      </c>
      <c r="R371" s="14">
        <f t="shared" si="103"/>
        <v>27</v>
      </c>
      <c r="S371" s="15"/>
      <c r="W371" s="14"/>
    </row>
    <row r="372" spans="1:23" x14ac:dyDescent="0.25">
      <c r="A372" s="16"/>
      <c r="B372" s="17" t="b">
        <f t="shared" si="96"/>
        <v>0</v>
      </c>
      <c r="C372" s="17" t="b">
        <f t="shared" si="88"/>
        <v>0</v>
      </c>
      <c r="D372" s="17">
        <f t="shared" si="90"/>
        <v>1</v>
      </c>
      <c r="E372" s="17" t="str">
        <f t="shared" si="95"/>
        <v>Section 10 - Spring Boot - Deployement</v>
      </c>
      <c r="F372" s="18" t="str">
        <f t="shared" si="91"/>
        <v/>
      </c>
      <c r="G372" s="13" t="str">
        <f t="shared" si="97"/>
        <v/>
      </c>
      <c r="H372">
        <f t="shared" si="98"/>
        <v>0</v>
      </c>
      <c r="I372">
        <f t="shared" si="99"/>
        <v>0</v>
      </c>
      <c r="J372" s="13">
        <f t="shared" si="100"/>
        <v>155</v>
      </c>
      <c r="K372">
        <f t="shared" si="92"/>
        <v>2</v>
      </c>
      <c r="L372">
        <f t="shared" si="93"/>
        <v>35</v>
      </c>
      <c r="M372" s="13">
        <f t="shared" si="101"/>
        <v>0</v>
      </c>
      <c r="N372">
        <f t="shared" si="101"/>
        <v>27</v>
      </c>
      <c r="O372" s="14">
        <f t="shared" si="89"/>
        <v>27</v>
      </c>
      <c r="P372" s="13">
        <f t="shared" si="94"/>
        <v>0</v>
      </c>
      <c r="Q372">
        <f t="shared" si="102"/>
        <v>27</v>
      </c>
      <c r="R372" s="14">
        <f t="shared" si="103"/>
        <v>27</v>
      </c>
      <c r="S372" s="15"/>
      <c r="W372" s="14"/>
    </row>
    <row r="373" spans="1:23" x14ac:dyDescent="0.25">
      <c r="A373" s="16"/>
      <c r="B373" s="17" t="b">
        <f t="shared" si="96"/>
        <v>0</v>
      </c>
      <c r="C373" s="17" t="b">
        <f t="shared" si="88"/>
        <v>0</v>
      </c>
      <c r="D373" s="17">
        <f t="shared" si="90"/>
        <v>1</v>
      </c>
      <c r="E373" s="17" t="str">
        <f t="shared" si="95"/>
        <v>Section 10 - Spring Boot - Deployement</v>
      </c>
      <c r="F373" s="18" t="str">
        <f t="shared" si="91"/>
        <v/>
      </c>
      <c r="G373" s="13" t="str">
        <f t="shared" si="97"/>
        <v/>
      </c>
      <c r="H373">
        <f t="shared" si="98"/>
        <v>0</v>
      </c>
      <c r="I373">
        <f t="shared" si="99"/>
        <v>0</v>
      </c>
      <c r="J373" s="13">
        <f t="shared" si="100"/>
        <v>155</v>
      </c>
      <c r="K373">
        <f t="shared" si="92"/>
        <v>2</v>
      </c>
      <c r="L373">
        <f t="shared" si="93"/>
        <v>35</v>
      </c>
      <c r="M373" s="13">
        <f t="shared" si="101"/>
        <v>0</v>
      </c>
      <c r="N373">
        <f t="shared" si="101"/>
        <v>27</v>
      </c>
      <c r="O373" s="14">
        <f t="shared" si="89"/>
        <v>27</v>
      </c>
      <c r="P373" s="13">
        <f t="shared" si="94"/>
        <v>0</v>
      </c>
      <c r="Q373">
        <f t="shared" si="102"/>
        <v>27</v>
      </c>
      <c r="R373" s="14">
        <f t="shared" si="103"/>
        <v>27</v>
      </c>
      <c r="S373" s="15"/>
      <c r="W373" s="14"/>
    </row>
    <row r="374" spans="1:23" x14ac:dyDescent="0.25">
      <c r="A374" s="16"/>
      <c r="B374" s="17" t="b">
        <f t="shared" si="96"/>
        <v>0</v>
      </c>
      <c r="C374" s="17" t="b">
        <f t="shared" si="88"/>
        <v>0</v>
      </c>
      <c r="D374" s="17">
        <f t="shared" si="90"/>
        <v>1</v>
      </c>
      <c r="E374" s="17" t="str">
        <f t="shared" si="95"/>
        <v>Section 10 - Spring Boot - Deployement</v>
      </c>
      <c r="F374" s="18" t="str">
        <f t="shared" si="91"/>
        <v/>
      </c>
      <c r="G374" s="13" t="str">
        <f t="shared" si="97"/>
        <v/>
      </c>
      <c r="H374">
        <f t="shared" si="98"/>
        <v>0</v>
      </c>
      <c r="I374">
        <f t="shared" si="99"/>
        <v>0</v>
      </c>
      <c r="J374" s="13">
        <f t="shared" si="100"/>
        <v>155</v>
      </c>
      <c r="K374">
        <f t="shared" si="92"/>
        <v>2</v>
      </c>
      <c r="L374">
        <f t="shared" si="93"/>
        <v>35</v>
      </c>
      <c r="M374" s="13">
        <f t="shared" si="101"/>
        <v>0</v>
      </c>
      <c r="N374">
        <f t="shared" si="101"/>
        <v>27</v>
      </c>
      <c r="O374" s="14">
        <f t="shared" si="89"/>
        <v>27</v>
      </c>
      <c r="P374" s="13">
        <f t="shared" si="94"/>
        <v>0</v>
      </c>
      <c r="Q374">
        <f t="shared" si="102"/>
        <v>27</v>
      </c>
      <c r="R374" s="14">
        <f t="shared" si="103"/>
        <v>27</v>
      </c>
      <c r="S374" s="15"/>
      <c r="W374" s="14"/>
    </row>
    <row r="375" spans="1:23" x14ac:dyDescent="0.25">
      <c r="A375" s="16"/>
      <c r="B375" s="17" t="b">
        <f t="shared" si="96"/>
        <v>0</v>
      </c>
      <c r="C375" s="17" t="b">
        <f t="shared" si="88"/>
        <v>0</v>
      </c>
      <c r="D375" s="17">
        <f t="shared" si="90"/>
        <v>1</v>
      </c>
      <c r="E375" s="17" t="str">
        <f t="shared" si="95"/>
        <v>Section 10 - Spring Boot - Deployement</v>
      </c>
      <c r="F375" s="18" t="str">
        <f t="shared" si="91"/>
        <v/>
      </c>
      <c r="G375" s="13" t="str">
        <f t="shared" si="97"/>
        <v/>
      </c>
      <c r="H375">
        <f t="shared" si="98"/>
        <v>0</v>
      </c>
      <c r="I375">
        <f t="shared" si="99"/>
        <v>0</v>
      </c>
      <c r="J375" s="13">
        <f t="shared" si="100"/>
        <v>155</v>
      </c>
      <c r="K375">
        <f t="shared" si="92"/>
        <v>2</v>
      </c>
      <c r="L375">
        <f t="shared" si="93"/>
        <v>35</v>
      </c>
      <c r="M375" s="13">
        <f t="shared" si="101"/>
        <v>0</v>
      </c>
      <c r="N375">
        <f t="shared" si="101"/>
        <v>27</v>
      </c>
      <c r="O375" s="14">
        <f t="shared" si="89"/>
        <v>27</v>
      </c>
      <c r="P375" s="13">
        <f t="shared" si="94"/>
        <v>0</v>
      </c>
      <c r="Q375">
        <f t="shared" si="102"/>
        <v>27</v>
      </c>
      <c r="R375" s="14">
        <f t="shared" si="103"/>
        <v>27</v>
      </c>
      <c r="S375" s="15"/>
      <c r="W375" s="14"/>
    </row>
    <row r="376" spans="1:23" x14ac:dyDescent="0.25">
      <c r="A376" s="16"/>
      <c r="B376" s="17" t="b">
        <f t="shared" si="96"/>
        <v>0</v>
      </c>
      <c r="C376" s="17" t="b">
        <f t="shared" si="88"/>
        <v>0</v>
      </c>
      <c r="D376" s="17">
        <f t="shared" si="90"/>
        <v>1</v>
      </c>
      <c r="E376" s="17" t="str">
        <f t="shared" si="95"/>
        <v>Section 10 - Spring Boot - Deployement</v>
      </c>
      <c r="F376" s="18" t="str">
        <f t="shared" si="91"/>
        <v/>
      </c>
      <c r="G376" s="13" t="str">
        <f t="shared" si="97"/>
        <v/>
      </c>
      <c r="H376">
        <f t="shared" si="98"/>
        <v>0</v>
      </c>
      <c r="I376">
        <f t="shared" si="99"/>
        <v>0</v>
      </c>
      <c r="J376" s="13">
        <f t="shared" si="100"/>
        <v>155</v>
      </c>
      <c r="K376">
        <f t="shared" si="92"/>
        <v>2</v>
      </c>
      <c r="L376">
        <f t="shared" si="93"/>
        <v>35</v>
      </c>
      <c r="M376" s="13">
        <f t="shared" si="101"/>
        <v>0</v>
      </c>
      <c r="N376">
        <f t="shared" si="101"/>
        <v>27</v>
      </c>
      <c r="O376" s="14">
        <f t="shared" si="89"/>
        <v>27</v>
      </c>
      <c r="P376" s="13">
        <f t="shared" si="94"/>
        <v>0</v>
      </c>
      <c r="Q376">
        <f t="shared" si="102"/>
        <v>27</v>
      </c>
      <c r="R376" s="14">
        <f t="shared" si="103"/>
        <v>27</v>
      </c>
      <c r="S376" s="15"/>
      <c r="W376" s="14"/>
    </row>
    <row r="377" spans="1:23" x14ac:dyDescent="0.25">
      <c r="A377" s="16"/>
      <c r="B377" s="17" t="b">
        <f t="shared" si="96"/>
        <v>0</v>
      </c>
      <c r="C377" s="17" t="b">
        <f t="shared" si="88"/>
        <v>0</v>
      </c>
      <c r="D377" s="17">
        <f t="shared" si="90"/>
        <v>1</v>
      </c>
      <c r="E377" s="17" t="str">
        <f t="shared" si="95"/>
        <v>Section 10 - Spring Boot - Deployement</v>
      </c>
      <c r="F377" s="18" t="str">
        <f t="shared" si="91"/>
        <v/>
      </c>
      <c r="G377" s="13" t="str">
        <f t="shared" si="97"/>
        <v/>
      </c>
      <c r="H377">
        <f t="shared" si="98"/>
        <v>0</v>
      </c>
      <c r="I377">
        <f t="shared" si="99"/>
        <v>0</v>
      </c>
      <c r="J377" s="13">
        <f t="shared" si="100"/>
        <v>155</v>
      </c>
      <c r="K377">
        <f t="shared" si="92"/>
        <v>2</v>
      </c>
      <c r="L377">
        <f t="shared" si="93"/>
        <v>35</v>
      </c>
      <c r="M377" s="13">
        <f t="shared" si="101"/>
        <v>0</v>
      </c>
      <c r="N377">
        <f t="shared" si="101"/>
        <v>27</v>
      </c>
      <c r="O377" s="14">
        <f t="shared" si="89"/>
        <v>27</v>
      </c>
      <c r="P377" s="13">
        <f t="shared" si="94"/>
        <v>0</v>
      </c>
      <c r="Q377">
        <f t="shared" si="102"/>
        <v>27</v>
      </c>
      <c r="R377" s="14">
        <f t="shared" si="103"/>
        <v>27</v>
      </c>
      <c r="S377" s="15"/>
      <c r="W377" s="14"/>
    </row>
    <row r="378" spans="1:23" x14ac:dyDescent="0.25">
      <c r="A378" s="16"/>
      <c r="B378" s="17" t="b">
        <f t="shared" si="96"/>
        <v>0</v>
      </c>
      <c r="C378" s="17" t="b">
        <f t="shared" si="88"/>
        <v>0</v>
      </c>
      <c r="D378" s="17">
        <f t="shared" si="90"/>
        <v>1</v>
      </c>
      <c r="E378" s="17" t="str">
        <f t="shared" si="95"/>
        <v>Section 10 - Spring Boot - Deployement</v>
      </c>
      <c r="F378" s="18" t="str">
        <f t="shared" si="91"/>
        <v/>
      </c>
      <c r="G378" s="13" t="str">
        <f t="shared" si="97"/>
        <v/>
      </c>
      <c r="H378">
        <f t="shared" si="98"/>
        <v>0</v>
      </c>
      <c r="I378">
        <f t="shared" si="99"/>
        <v>0</v>
      </c>
      <c r="J378" s="13">
        <f t="shared" si="100"/>
        <v>155</v>
      </c>
      <c r="K378">
        <f t="shared" si="92"/>
        <v>2</v>
      </c>
      <c r="L378">
        <f t="shared" si="93"/>
        <v>35</v>
      </c>
      <c r="M378" s="13">
        <f t="shared" si="101"/>
        <v>0</v>
      </c>
      <c r="N378">
        <f t="shared" si="101"/>
        <v>27</v>
      </c>
      <c r="O378" s="14">
        <f t="shared" si="89"/>
        <v>27</v>
      </c>
      <c r="P378" s="13">
        <f t="shared" si="94"/>
        <v>0</v>
      </c>
      <c r="Q378">
        <f t="shared" si="102"/>
        <v>27</v>
      </c>
      <c r="R378" s="14">
        <f t="shared" si="103"/>
        <v>27</v>
      </c>
      <c r="S378" s="15"/>
      <c r="W378" s="14"/>
    </row>
    <row r="379" spans="1:23" x14ac:dyDescent="0.25">
      <c r="A379" s="16"/>
      <c r="B379" s="17" t="b">
        <f t="shared" si="96"/>
        <v>0</v>
      </c>
      <c r="C379" s="17" t="b">
        <f t="shared" si="88"/>
        <v>0</v>
      </c>
      <c r="D379" s="17">
        <f t="shared" si="90"/>
        <v>1</v>
      </c>
      <c r="E379" s="17" t="str">
        <f t="shared" si="95"/>
        <v>Section 10 - Spring Boot - Deployement</v>
      </c>
      <c r="F379" s="18" t="str">
        <f t="shared" si="91"/>
        <v/>
      </c>
      <c r="G379" s="13" t="str">
        <f t="shared" si="97"/>
        <v/>
      </c>
      <c r="H379">
        <f t="shared" si="98"/>
        <v>0</v>
      </c>
      <c r="I379">
        <f t="shared" si="99"/>
        <v>0</v>
      </c>
      <c r="J379" s="13">
        <f t="shared" si="100"/>
        <v>155</v>
      </c>
      <c r="K379">
        <f t="shared" si="92"/>
        <v>2</v>
      </c>
      <c r="L379">
        <f t="shared" si="93"/>
        <v>35</v>
      </c>
      <c r="M379" s="13">
        <f t="shared" si="101"/>
        <v>0</v>
      </c>
      <c r="N379">
        <f t="shared" si="101"/>
        <v>27</v>
      </c>
      <c r="O379" s="14">
        <f t="shared" si="89"/>
        <v>27</v>
      </c>
      <c r="P379" s="13">
        <f t="shared" si="94"/>
        <v>0</v>
      </c>
      <c r="Q379">
        <f t="shared" si="102"/>
        <v>27</v>
      </c>
      <c r="R379" s="14">
        <f t="shared" si="103"/>
        <v>27</v>
      </c>
      <c r="S379" s="15"/>
      <c r="W379" s="14"/>
    </row>
    <row r="380" spans="1:23" x14ac:dyDescent="0.25">
      <c r="A380" s="16"/>
      <c r="B380" s="17" t="b">
        <f t="shared" si="96"/>
        <v>0</v>
      </c>
      <c r="C380" s="17" t="b">
        <f t="shared" si="88"/>
        <v>0</v>
      </c>
      <c r="D380" s="17">
        <f t="shared" si="90"/>
        <v>1</v>
      </c>
      <c r="E380" s="17" t="str">
        <f t="shared" si="95"/>
        <v>Section 10 - Spring Boot - Deployement</v>
      </c>
      <c r="F380" s="18" t="str">
        <f t="shared" si="91"/>
        <v/>
      </c>
      <c r="G380" s="13" t="str">
        <f t="shared" si="97"/>
        <v/>
      </c>
      <c r="H380">
        <f t="shared" si="98"/>
        <v>0</v>
      </c>
      <c r="I380">
        <f t="shared" si="99"/>
        <v>0</v>
      </c>
      <c r="J380" s="13">
        <f t="shared" si="100"/>
        <v>155</v>
      </c>
      <c r="K380">
        <f t="shared" si="92"/>
        <v>2</v>
      </c>
      <c r="L380">
        <f t="shared" si="93"/>
        <v>35</v>
      </c>
      <c r="M380" s="13">
        <f t="shared" si="101"/>
        <v>0</v>
      </c>
      <c r="N380">
        <f t="shared" si="101"/>
        <v>27</v>
      </c>
      <c r="O380" s="14">
        <f t="shared" si="89"/>
        <v>27</v>
      </c>
      <c r="P380" s="13">
        <f t="shared" si="94"/>
        <v>0</v>
      </c>
      <c r="Q380">
        <f t="shared" si="102"/>
        <v>27</v>
      </c>
      <c r="R380" s="14">
        <f t="shared" si="103"/>
        <v>27</v>
      </c>
      <c r="S380" s="15"/>
      <c r="W380" s="14"/>
    </row>
    <row r="381" spans="1:23" x14ac:dyDescent="0.25">
      <c r="A381" s="16"/>
      <c r="B381" s="17" t="b">
        <f t="shared" si="96"/>
        <v>0</v>
      </c>
      <c r="C381" s="17" t="b">
        <f t="shared" si="88"/>
        <v>0</v>
      </c>
      <c r="D381" s="17">
        <f t="shared" si="90"/>
        <v>1</v>
      </c>
      <c r="E381" s="17" t="str">
        <f t="shared" si="95"/>
        <v>Section 10 - Spring Boot - Deployement</v>
      </c>
      <c r="F381" s="18" t="str">
        <f t="shared" si="91"/>
        <v/>
      </c>
      <c r="G381" s="13" t="str">
        <f t="shared" si="97"/>
        <v/>
      </c>
      <c r="H381">
        <f t="shared" si="98"/>
        <v>0</v>
      </c>
      <c r="I381">
        <f t="shared" si="99"/>
        <v>0</v>
      </c>
      <c r="J381" s="13">
        <f t="shared" si="100"/>
        <v>155</v>
      </c>
      <c r="K381">
        <f t="shared" si="92"/>
        <v>2</v>
      </c>
      <c r="L381">
        <f t="shared" si="93"/>
        <v>35</v>
      </c>
      <c r="M381" s="13">
        <f t="shared" si="101"/>
        <v>0</v>
      </c>
      <c r="N381">
        <f t="shared" si="101"/>
        <v>27</v>
      </c>
      <c r="O381" s="14">
        <f t="shared" si="89"/>
        <v>27</v>
      </c>
      <c r="P381" s="13">
        <f t="shared" si="94"/>
        <v>0</v>
      </c>
      <c r="Q381">
        <f t="shared" si="102"/>
        <v>27</v>
      </c>
      <c r="R381" s="14">
        <f t="shared" si="103"/>
        <v>27</v>
      </c>
      <c r="S381" s="15"/>
      <c r="W381" s="14"/>
    </row>
    <row r="382" spans="1:23" x14ac:dyDescent="0.25">
      <c r="A382" s="16"/>
      <c r="B382" s="17" t="b">
        <f t="shared" si="96"/>
        <v>0</v>
      </c>
      <c r="C382" s="17" t="b">
        <f t="shared" si="88"/>
        <v>0</v>
      </c>
      <c r="D382" s="17">
        <f t="shared" si="90"/>
        <v>1</v>
      </c>
      <c r="E382" s="17" t="str">
        <f t="shared" si="95"/>
        <v>Section 10 - Spring Boot - Deployement</v>
      </c>
      <c r="F382" s="18" t="str">
        <f t="shared" si="91"/>
        <v/>
      </c>
      <c r="G382" s="13" t="str">
        <f t="shared" si="97"/>
        <v/>
      </c>
      <c r="H382">
        <f t="shared" si="98"/>
        <v>0</v>
      </c>
      <c r="I382">
        <f t="shared" si="99"/>
        <v>0</v>
      </c>
      <c r="J382" s="13">
        <f t="shared" si="100"/>
        <v>155</v>
      </c>
      <c r="K382">
        <f t="shared" si="92"/>
        <v>2</v>
      </c>
      <c r="L382">
        <f t="shared" si="93"/>
        <v>35</v>
      </c>
      <c r="M382" s="13">
        <f t="shared" si="101"/>
        <v>0</v>
      </c>
      <c r="N382">
        <f t="shared" si="101"/>
        <v>27</v>
      </c>
      <c r="O382" s="14">
        <f t="shared" si="89"/>
        <v>27</v>
      </c>
      <c r="P382" s="13">
        <f t="shared" si="94"/>
        <v>0</v>
      </c>
      <c r="Q382">
        <f t="shared" si="102"/>
        <v>27</v>
      </c>
      <c r="R382" s="14">
        <f t="shared" si="103"/>
        <v>27</v>
      </c>
      <c r="S382" s="15"/>
      <c r="W382" s="14"/>
    </row>
    <row r="383" spans="1:23" x14ac:dyDescent="0.25">
      <c r="A383" s="16"/>
      <c r="B383" s="17" t="b">
        <f t="shared" si="96"/>
        <v>0</v>
      </c>
      <c r="C383" s="17" t="b">
        <f t="shared" si="88"/>
        <v>0</v>
      </c>
      <c r="D383" s="17">
        <f t="shared" si="90"/>
        <v>1</v>
      </c>
      <c r="E383" s="17" t="str">
        <f t="shared" si="95"/>
        <v>Section 10 - Spring Boot - Deployement</v>
      </c>
      <c r="F383" s="18" t="str">
        <f t="shared" si="91"/>
        <v/>
      </c>
      <c r="G383" s="13" t="str">
        <f t="shared" si="97"/>
        <v/>
      </c>
      <c r="H383">
        <f t="shared" si="98"/>
        <v>0</v>
      </c>
      <c r="I383">
        <f t="shared" si="99"/>
        <v>0</v>
      </c>
      <c r="J383" s="13">
        <f t="shared" si="100"/>
        <v>155</v>
      </c>
      <c r="K383">
        <f t="shared" si="92"/>
        <v>2</v>
      </c>
      <c r="L383">
        <f t="shared" si="93"/>
        <v>35</v>
      </c>
      <c r="M383" s="13">
        <f t="shared" si="101"/>
        <v>0</v>
      </c>
      <c r="N383">
        <f t="shared" si="101"/>
        <v>27</v>
      </c>
      <c r="O383" s="14">
        <f t="shared" si="89"/>
        <v>27</v>
      </c>
      <c r="P383" s="13">
        <f t="shared" si="94"/>
        <v>0</v>
      </c>
      <c r="Q383">
        <f t="shared" si="102"/>
        <v>27</v>
      </c>
      <c r="R383" s="14">
        <f t="shared" si="103"/>
        <v>27</v>
      </c>
      <c r="S383" s="15"/>
      <c r="W383" s="14"/>
    </row>
    <row r="384" spans="1:23" x14ac:dyDescent="0.25">
      <c r="A384" s="16"/>
      <c r="B384" s="17" t="b">
        <f t="shared" si="96"/>
        <v>0</v>
      </c>
      <c r="C384" s="17" t="b">
        <f t="shared" ref="C384:C447" si="104">OR(NOT(ISERROR(FIND("hr",A385))), NOT(ISERROR(FIND("min ",A385))),RIGHT(A385,3)="min")</f>
        <v>0</v>
      </c>
      <c r="D384" s="17">
        <f t="shared" si="90"/>
        <v>1</v>
      </c>
      <c r="E384" s="17" t="str">
        <f t="shared" si="95"/>
        <v>Section 10 - Spring Boot - Deployement</v>
      </c>
      <c r="F384" s="18" t="str">
        <f t="shared" si="91"/>
        <v/>
      </c>
      <c r="G384" s="13" t="str">
        <f t="shared" si="97"/>
        <v/>
      </c>
      <c r="H384">
        <f t="shared" si="98"/>
        <v>0</v>
      </c>
      <c r="I384">
        <f t="shared" si="99"/>
        <v>0</v>
      </c>
      <c r="J384" s="13">
        <f t="shared" si="100"/>
        <v>155</v>
      </c>
      <c r="K384">
        <f t="shared" si="92"/>
        <v>2</v>
      </c>
      <c r="L384">
        <f t="shared" si="93"/>
        <v>35</v>
      </c>
      <c r="M384" s="13">
        <f t="shared" si="101"/>
        <v>0</v>
      </c>
      <c r="N384">
        <f t="shared" si="101"/>
        <v>27</v>
      </c>
      <c r="O384" s="14">
        <f t="shared" si="89"/>
        <v>27</v>
      </c>
      <c r="P384" s="13">
        <f t="shared" si="94"/>
        <v>0</v>
      </c>
      <c r="Q384">
        <f t="shared" si="102"/>
        <v>27</v>
      </c>
      <c r="R384" s="14">
        <f t="shared" si="103"/>
        <v>27</v>
      </c>
      <c r="S384" s="15"/>
      <c r="W384" s="14"/>
    </row>
    <row r="385" spans="1:23" x14ac:dyDescent="0.25">
      <c r="A385" s="16"/>
      <c r="B385" s="17" t="b">
        <f t="shared" si="96"/>
        <v>0</v>
      </c>
      <c r="C385" s="17" t="b">
        <f t="shared" si="104"/>
        <v>0</v>
      </c>
      <c r="D385" s="17">
        <f t="shared" si="90"/>
        <v>1</v>
      </c>
      <c r="E385" s="17" t="str">
        <f t="shared" si="95"/>
        <v>Section 10 - Spring Boot - Deployement</v>
      </c>
      <c r="F385" s="18" t="str">
        <f t="shared" si="91"/>
        <v/>
      </c>
      <c r="G385" s="13" t="str">
        <f t="shared" si="97"/>
        <v/>
      </c>
      <c r="H385">
        <f t="shared" si="98"/>
        <v>0</v>
      </c>
      <c r="I385">
        <f t="shared" si="99"/>
        <v>0</v>
      </c>
      <c r="J385" s="13">
        <f t="shared" si="100"/>
        <v>155</v>
      </c>
      <c r="K385">
        <f t="shared" si="92"/>
        <v>2</v>
      </c>
      <c r="L385">
        <f t="shared" si="93"/>
        <v>35</v>
      </c>
      <c r="M385" s="13">
        <f t="shared" si="101"/>
        <v>0</v>
      </c>
      <c r="N385">
        <f t="shared" si="101"/>
        <v>27</v>
      </c>
      <c r="O385" s="14">
        <f t="shared" si="89"/>
        <v>27</v>
      </c>
      <c r="P385" s="13">
        <f t="shared" si="94"/>
        <v>0</v>
      </c>
      <c r="Q385">
        <f t="shared" si="102"/>
        <v>27</v>
      </c>
      <c r="R385" s="14">
        <f t="shared" si="103"/>
        <v>27</v>
      </c>
      <c r="S385" s="15"/>
      <c r="W385" s="14"/>
    </row>
    <row r="386" spans="1:23" x14ac:dyDescent="0.25">
      <c r="A386" s="16"/>
      <c r="B386" s="17" t="b">
        <f t="shared" si="96"/>
        <v>0</v>
      </c>
      <c r="C386" s="17" t="b">
        <f t="shared" si="104"/>
        <v>0</v>
      </c>
      <c r="D386" s="17">
        <f t="shared" si="90"/>
        <v>1</v>
      </c>
      <c r="E386" s="17" t="str">
        <f t="shared" si="95"/>
        <v>Section 10 - Spring Boot - Deployement</v>
      </c>
      <c r="F386" s="18" t="str">
        <f t="shared" si="91"/>
        <v/>
      </c>
      <c r="G386" s="13" t="str">
        <f t="shared" si="97"/>
        <v/>
      </c>
      <c r="H386">
        <f t="shared" si="98"/>
        <v>0</v>
      </c>
      <c r="I386">
        <f t="shared" si="99"/>
        <v>0</v>
      </c>
      <c r="J386" s="13">
        <f t="shared" si="100"/>
        <v>155</v>
      </c>
      <c r="K386">
        <f t="shared" si="92"/>
        <v>2</v>
      </c>
      <c r="L386">
        <f t="shared" si="93"/>
        <v>35</v>
      </c>
      <c r="M386" s="13">
        <f t="shared" si="101"/>
        <v>0</v>
      </c>
      <c r="N386">
        <f t="shared" si="101"/>
        <v>27</v>
      </c>
      <c r="O386" s="14">
        <f t="shared" si="89"/>
        <v>27</v>
      </c>
      <c r="P386" s="13">
        <f t="shared" si="94"/>
        <v>0</v>
      </c>
      <c r="Q386">
        <f t="shared" si="102"/>
        <v>27</v>
      </c>
      <c r="R386" s="14">
        <f t="shared" si="103"/>
        <v>27</v>
      </c>
      <c r="S386" s="15"/>
      <c r="W386" s="14"/>
    </row>
    <row r="387" spans="1:23" x14ac:dyDescent="0.25">
      <c r="A387" s="16"/>
      <c r="B387" s="17" t="b">
        <f t="shared" si="96"/>
        <v>0</v>
      </c>
      <c r="C387" s="17" t="b">
        <f t="shared" si="104"/>
        <v>0</v>
      </c>
      <c r="D387" s="17">
        <f t="shared" si="90"/>
        <v>1</v>
      </c>
      <c r="E387" s="17" t="str">
        <f t="shared" si="95"/>
        <v>Section 10 - Spring Boot - Deployement</v>
      </c>
      <c r="F387" s="18" t="str">
        <f t="shared" si="91"/>
        <v/>
      </c>
      <c r="G387" s="13" t="str">
        <f t="shared" si="97"/>
        <v/>
      </c>
      <c r="H387">
        <f t="shared" si="98"/>
        <v>0</v>
      </c>
      <c r="I387">
        <f t="shared" si="99"/>
        <v>0</v>
      </c>
      <c r="J387" s="13">
        <f t="shared" si="100"/>
        <v>155</v>
      </c>
      <c r="K387">
        <f t="shared" si="92"/>
        <v>2</v>
      </c>
      <c r="L387">
        <f t="shared" si="93"/>
        <v>35</v>
      </c>
      <c r="M387" s="13">
        <f t="shared" si="101"/>
        <v>0</v>
      </c>
      <c r="N387">
        <f t="shared" si="101"/>
        <v>27</v>
      </c>
      <c r="O387" s="14">
        <f t="shared" si="89"/>
        <v>27</v>
      </c>
      <c r="P387" s="13">
        <f t="shared" si="94"/>
        <v>0</v>
      </c>
      <c r="Q387">
        <f t="shared" si="102"/>
        <v>27</v>
      </c>
      <c r="R387" s="14">
        <f t="shared" si="103"/>
        <v>27</v>
      </c>
      <c r="S387" s="15"/>
      <c r="W387" s="14"/>
    </row>
    <row r="388" spans="1:23" x14ac:dyDescent="0.25">
      <c r="A388" s="16"/>
      <c r="B388" s="17" t="b">
        <f t="shared" si="96"/>
        <v>0</v>
      </c>
      <c r="C388" s="17" t="b">
        <f t="shared" si="104"/>
        <v>0</v>
      </c>
      <c r="D388" s="17">
        <f t="shared" si="90"/>
        <v>1</v>
      </c>
      <c r="E388" s="17" t="str">
        <f t="shared" si="95"/>
        <v>Section 10 - Spring Boot - Deployement</v>
      </c>
      <c r="F388" s="18" t="str">
        <f t="shared" si="91"/>
        <v/>
      </c>
      <c r="G388" s="13" t="str">
        <f t="shared" si="97"/>
        <v/>
      </c>
      <c r="H388">
        <f t="shared" si="98"/>
        <v>0</v>
      </c>
      <c r="I388">
        <f t="shared" si="99"/>
        <v>0</v>
      </c>
      <c r="J388" s="13">
        <f t="shared" si="100"/>
        <v>155</v>
      </c>
      <c r="K388">
        <f t="shared" si="92"/>
        <v>2</v>
      </c>
      <c r="L388">
        <f t="shared" si="93"/>
        <v>35</v>
      </c>
      <c r="M388" s="13">
        <f t="shared" si="101"/>
        <v>0</v>
      </c>
      <c r="N388">
        <f t="shared" si="101"/>
        <v>27</v>
      </c>
      <c r="O388" s="14">
        <f t="shared" si="89"/>
        <v>27</v>
      </c>
      <c r="P388" s="13">
        <f t="shared" si="94"/>
        <v>0</v>
      </c>
      <c r="Q388">
        <f t="shared" si="102"/>
        <v>27</v>
      </c>
      <c r="R388" s="14">
        <f t="shared" si="103"/>
        <v>27</v>
      </c>
      <c r="S388" s="15"/>
      <c r="W388" s="14"/>
    </row>
    <row r="389" spans="1:23" x14ac:dyDescent="0.25">
      <c r="A389" s="16"/>
      <c r="B389" s="17" t="b">
        <f t="shared" si="96"/>
        <v>0</v>
      </c>
      <c r="C389" s="17" t="b">
        <f t="shared" si="104"/>
        <v>0</v>
      </c>
      <c r="D389" s="17">
        <f t="shared" si="90"/>
        <v>1</v>
      </c>
      <c r="E389" s="17" t="str">
        <f t="shared" si="95"/>
        <v>Section 10 - Spring Boot - Deployement</v>
      </c>
      <c r="F389" s="18" t="str">
        <f t="shared" si="91"/>
        <v/>
      </c>
      <c r="G389" s="13" t="str">
        <f t="shared" si="97"/>
        <v/>
      </c>
      <c r="H389">
        <f t="shared" si="98"/>
        <v>0</v>
      </c>
      <c r="I389">
        <f t="shared" si="99"/>
        <v>0</v>
      </c>
      <c r="J389" s="13">
        <f t="shared" si="100"/>
        <v>155</v>
      </c>
      <c r="K389">
        <f t="shared" si="92"/>
        <v>2</v>
      </c>
      <c r="L389">
        <f t="shared" si="93"/>
        <v>35</v>
      </c>
      <c r="M389" s="13">
        <f t="shared" si="101"/>
        <v>0</v>
      </c>
      <c r="N389">
        <f t="shared" si="101"/>
        <v>27</v>
      </c>
      <c r="O389" s="14">
        <f t="shared" si="89"/>
        <v>27</v>
      </c>
      <c r="P389" s="13">
        <f t="shared" si="94"/>
        <v>0</v>
      </c>
      <c r="Q389">
        <f t="shared" si="102"/>
        <v>27</v>
      </c>
      <c r="R389" s="14">
        <f t="shared" si="103"/>
        <v>27</v>
      </c>
      <c r="S389" s="15"/>
      <c r="W389" s="14"/>
    </row>
    <row r="390" spans="1:23" x14ac:dyDescent="0.25">
      <c r="A390" s="16"/>
      <c r="B390" s="17" t="b">
        <f t="shared" si="96"/>
        <v>0</v>
      </c>
      <c r="C390" s="17" t="b">
        <f t="shared" si="104"/>
        <v>0</v>
      </c>
      <c r="D390" s="17">
        <f t="shared" si="90"/>
        <v>1</v>
      </c>
      <c r="E390" s="17" t="str">
        <f t="shared" si="95"/>
        <v>Section 10 - Spring Boot - Deployement</v>
      </c>
      <c r="F390" s="18" t="str">
        <f t="shared" si="91"/>
        <v/>
      </c>
      <c r="G390" s="13" t="str">
        <f t="shared" si="97"/>
        <v/>
      </c>
      <c r="H390">
        <f t="shared" si="98"/>
        <v>0</v>
      </c>
      <c r="I390">
        <f t="shared" si="99"/>
        <v>0</v>
      </c>
      <c r="J390" s="13">
        <f t="shared" si="100"/>
        <v>155</v>
      </c>
      <c r="K390">
        <f t="shared" si="92"/>
        <v>2</v>
      </c>
      <c r="L390">
        <f t="shared" si="93"/>
        <v>35</v>
      </c>
      <c r="M390" s="13">
        <f t="shared" si="101"/>
        <v>0</v>
      </c>
      <c r="N390">
        <f t="shared" si="101"/>
        <v>27</v>
      </c>
      <c r="O390" s="14">
        <f t="shared" si="89"/>
        <v>27</v>
      </c>
      <c r="P390" s="13">
        <f t="shared" si="94"/>
        <v>0</v>
      </c>
      <c r="Q390">
        <f t="shared" si="102"/>
        <v>27</v>
      </c>
      <c r="R390" s="14">
        <f t="shared" si="103"/>
        <v>27</v>
      </c>
      <c r="S390" s="15"/>
      <c r="W390" s="14"/>
    </row>
    <row r="391" spans="1:23" x14ac:dyDescent="0.25">
      <c r="A391" s="16"/>
      <c r="B391" s="17" t="b">
        <f t="shared" si="96"/>
        <v>0</v>
      </c>
      <c r="C391" s="17" t="b">
        <f t="shared" si="104"/>
        <v>0</v>
      </c>
      <c r="D391" s="17">
        <f t="shared" si="90"/>
        <v>1</v>
      </c>
      <c r="E391" s="17" t="str">
        <f t="shared" si="95"/>
        <v>Section 10 - Spring Boot - Deployement</v>
      </c>
      <c r="F391" s="18" t="str">
        <f t="shared" si="91"/>
        <v/>
      </c>
      <c r="G391" s="13" t="str">
        <f t="shared" si="97"/>
        <v/>
      </c>
      <c r="H391">
        <f t="shared" si="98"/>
        <v>0</v>
      </c>
      <c r="I391">
        <f t="shared" si="99"/>
        <v>0</v>
      </c>
      <c r="J391" s="13">
        <f t="shared" si="100"/>
        <v>155</v>
      </c>
      <c r="K391">
        <f t="shared" si="92"/>
        <v>2</v>
      </c>
      <c r="L391">
        <f t="shared" si="93"/>
        <v>35</v>
      </c>
      <c r="M391" s="13">
        <f t="shared" si="101"/>
        <v>0</v>
      </c>
      <c r="N391">
        <f t="shared" si="101"/>
        <v>27</v>
      </c>
      <c r="O391" s="14">
        <f t="shared" si="89"/>
        <v>27</v>
      </c>
      <c r="P391" s="13">
        <f t="shared" si="94"/>
        <v>0</v>
      </c>
      <c r="Q391">
        <f t="shared" si="102"/>
        <v>27</v>
      </c>
      <c r="R391" s="14">
        <f t="shared" si="103"/>
        <v>27</v>
      </c>
      <c r="S391" s="15"/>
      <c r="W391" s="14"/>
    </row>
    <row r="392" spans="1:23" x14ac:dyDescent="0.25">
      <c r="A392" s="16"/>
      <c r="B392" s="17" t="b">
        <f t="shared" si="96"/>
        <v>0</v>
      </c>
      <c r="C392" s="17" t="b">
        <f t="shared" si="104"/>
        <v>0</v>
      </c>
      <c r="D392" s="17">
        <f t="shared" si="90"/>
        <v>1</v>
      </c>
      <c r="E392" s="17" t="str">
        <f t="shared" si="95"/>
        <v>Section 10 - Spring Boot - Deployement</v>
      </c>
      <c r="F392" s="18" t="str">
        <f t="shared" si="91"/>
        <v/>
      </c>
      <c r="G392" s="13" t="str">
        <f t="shared" si="97"/>
        <v/>
      </c>
      <c r="H392">
        <f t="shared" si="98"/>
        <v>0</v>
      </c>
      <c r="I392">
        <f t="shared" si="99"/>
        <v>0</v>
      </c>
      <c r="J392" s="13">
        <f t="shared" si="100"/>
        <v>155</v>
      </c>
      <c r="K392">
        <f t="shared" si="92"/>
        <v>2</v>
      </c>
      <c r="L392">
        <f t="shared" si="93"/>
        <v>35</v>
      </c>
      <c r="M392" s="13">
        <f t="shared" si="101"/>
        <v>0</v>
      </c>
      <c r="N392">
        <f t="shared" si="101"/>
        <v>27</v>
      </c>
      <c r="O392" s="14">
        <f t="shared" si="89"/>
        <v>27</v>
      </c>
      <c r="P392" s="13">
        <f t="shared" si="94"/>
        <v>0</v>
      </c>
      <c r="Q392">
        <f t="shared" si="102"/>
        <v>27</v>
      </c>
      <c r="R392" s="14">
        <f t="shared" si="103"/>
        <v>27</v>
      </c>
      <c r="S392" s="15"/>
      <c r="W392" s="14"/>
    </row>
    <row r="393" spans="1:23" x14ac:dyDescent="0.25">
      <c r="A393" s="16"/>
      <c r="B393" s="17" t="b">
        <f t="shared" si="96"/>
        <v>0</v>
      </c>
      <c r="C393" s="17" t="b">
        <f t="shared" si="104"/>
        <v>0</v>
      </c>
      <c r="D393" s="17">
        <f t="shared" si="90"/>
        <v>1</v>
      </c>
      <c r="E393" s="17" t="str">
        <f t="shared" si="95"/>
        <v>Section 10 - Spring Boot - Deployement</v>
      </c>
      <c r="F393" s="18" t="str">
        <f t="shared" si="91"/>
        <v/>
      </c>
      <c r="G393" s="13" t="str">
        <f t="shared" si="97"/>
        <v/>
      </c>
      <c r="H393">
        <f t="shared" si="98"/>
        <v>0</v>
      </c>
      <c r="I393">
        <f t="shared" si="99"/>
        <v>0</v>
      </c>
      <c r="J393" s="13">
        <f t="shared" si="100"/>
        <v>155</v>
      </c>
      <c r="K393">
        <f t="shared" si="92"/>
        <v>2</v>
      </c>
      <c r="L393">
        <f t="shared" si="93"/>
        <v>35</v>
      </c>
      <c r="M393" s="13">
        <f t="shared" si="101"/>
        <v>0</v>
      </c>
      <c r="N393">
        <f t="shared" si="101"/>
        <v>27</v>
      </c>
      <c r="O393" s="14">
        <f t="shared" si="89"/>
        <v>27</v>
      </c>
      <c r="P393" s="13">
        <f t="shared" si="94"/>
        <v>0</v>
      </c>
      <c r="Q393">
        <f t="shared" si="102"/>
        <v>27</v>
      </c>
      <c r="R393" s="14">
        <f t="shared" si="103"/>
        <v>27</v>
      </c>
      <c r="S393" s="15"/>
      <c r="W393" s="14"/>
    </row>
    <row r="394" spans="1:23" x14ac:dyDescent="0.25">
      <c r="A394" s="16"/>
      <c r="B394" s="17" t="b">
        <f t="shared" si="96"/>
        <v>0</v>
      </c>
      <c r="C394" s="17" t="b">
        <f t="shared" si="104"/>
        <v>0</v>
      </c>
      <c r="D394" s="17">
        <f t="shared" si="90"/>
        <v>1</v>
      </c>
      <c r="E394" s="17" t="str">
        <f t="shared" si="95"/>
        <v>Section 10 - Spring Boot - Deployement</v>
      </c>
      <c r="F394" s="18" t="str">
        <f t="shared" si="91"/>
        <v/>
      </c>
      <c r="G394" s="13" t="str">
        <f t="shared" si="97"/>
        <v/>
      </c>
      <c r="H394">
        <f t="shared" si="98"/>
        <v>0</v>
      </c>
      <c r="I394">
        <f t="shared" si="99"/>
        <v>0</v>
      </c>
      <c r="J394" s="13">
        <f t="shared" si="100"/>
        <v>155</v>
      </c>
      <c r="K394">
        <f t="shared" si="92"/>
        <v>2</v>
      </c>
      <c r="L394">
        <f t="shared" si="93"/>
        <v>35</v>
      </c>
      <c r="M394" s="13">
        <f t="shared" si="101"/>
        <v>0</v>
      </c>
      <c r="N394">
        <f t="shared" si="101"/>
        <v>27</v>
      </c>
      <c r="O394" s="14">
        <f t="shared" ref="O394:O457" si="105">((M394*60)+N394)</f>
        <v>27</v>
      </c>
      <c r="P394" s="13">
        <f t="shared" si="94"/>
        <v>0</v>
      </c>
      <c r="Q394">
        <f t="shared" si="102"/>
        <v>27</v>
      </c>
      <c r="R394" s="14">
        <f t="shared" si="103"/>
        <v>27</v>
      </c>
      <c r="S394" s="15"/>
      <c r="W394" s="14"/>
    </row>
    <row r="395" spans="1:23" x14ac:dyDescent="0.25">
      <c r="A395" s="16"/>
      <c r="B395" s="17" t="b">
        <f t="shared" si="96"/>
        <v>0</v>
      </c>
      <c r="C395" s="17" t="b">
        <f t="shared" si="104"/>
        <v>0</v>
      </c>
      <c r="D395" s="17">
        <f t="shared" ref="D395:D458" si="106">IF(B395,0,IF(C395,D394+1,D394))</f>
        <v>1</v>
      </c>
      <c r="E395" s="17" t="str">
        <f t="shared" si="95"/>
        <v>Section 10 - Spring Boot - Deployement</v>
      </c>
      <c r="F395" s="18" t="str">
        <f t="shared" ref="F395:F458" si="107">IF(C395,A395,"")</f>
        <v/>
      </c>
      <c r="G395" s="13" t="str">
        <f t="shared" si="97"/>
        <v/>
      </c>
      <c r="H395">
        <f t="shared" si="98"/>
        <v>0</v>
      </c>
      <c r="I395">
        <f t="shared" si="99"/>
        <v>0</v>
      </c>
      <c r="J395" s="13">
        <f t="shared" si="100"/>
        <v>155</v>
      </c>
      <c r="K395">
        <f t="shared" ref="K395:K458" si="108">INT(J395/60)</f>
        <v>2</v>
      </c>
      <c r="L395">
        <f t="shared" ref="L395:L458" si="109">INT(J395-(K395*60))</f>
        <v>35</v>
      </c>
      <c r="M395" s="13">
        <f t="shared" si="101"/>
        <v>0</v>
      </c>
      <c r="N395">
        <f t="shared" si="101"/>
        <v>27</v>
      </c>
      <c r="O395" s="14">
        <f t="shared" si="105"/>
        <v>27</v>
      </c>
      <c r="P395" s="13">
        <f t="shared" ref="P395:P458" si="110">INT(R395/60)</f>
        <v>0</v>
      </c>
      <c r="Q395">
        <f t="shared" si="102"/>
        <v>27</v>
      </c>
      <c r="R395" s="14">
        <f t="shared" si="103"/>
        <v>27</v>
      </c>
      <c r="S395" s="15"/>
      <c r="W395" s="14"/>
    </row>
    <row r="396" spans="1:23" x14ac:dyDescent="0.25">
      <c r="A396" s="16"/>
      <c r="B396" s="17" t="b">
        <f t="shared" si="96"/>
        <v>0</v>
      </c>
      <c r="C396" s="17" t="b">
        <f t="shared" si="104"/>
        <v>0</v>
      </c>
      <c r="D396" s="17">
        <f t="shared" si="106"/>
        <v>1</v>
      </c>
      <c r="E396" s="17" t="str">
        <f t="shared" ref="E396:E459" si="111">SUBSTITUTE(IF(B396,A396,E395),":", " -")</f>
        <v>Section 10 - Spring Boot - Deployement</v>
      </c>
      <c r="F396" s="18" t="str">
        <f t="shared" si="107"/>
        <v/>
      </c>
      <c r="G396" s="13" t="str">
        <f t="shared" si="97"/>
        <v/>
      </c>
      <c r="H396">
        <f t="shared" si="98"/>
        <v>0</v>
      </c>
      <c r="I396">
        <f t="shared" si="99"/>
        <v>0</v>
      </c>
      <c r="J396" s="13">
        <f t="shared" si="100"/>
        <v>155</v>
      </c>
      <c r="K396">
        <f t="shared" si="108"/>
        <v>2</v>
      </c>
      <c r="L396">
        <f t="shared" si="109"/>
        <v>35</v>
      </c>
      <c r="M396" s="13">
        <f t="shared" si="101"/>
        <v>0</v>
      </c>
      <c r="N396">
        <f t="shared" si="101"/>
        <v>27</v>
      </c>
      <c r="O396" s="14">
        <f t="shared" si="105"/>
        <v>27</v>
      </c>
      <c r="P396" s="13">
        <f t="shared" si="110"/>
        <v>0</v>
      </c>
      <c r="Q396">
        <f t="shared" si="102"/>
        <v>27</v>
      </c>
      <c r="R396" s="14">
        <f t="shared" si="103"/>
        <v>27</v>
      </c>
      <c r="S396" s="15"/>
      <c r="W396" s="14"/>
    </row>
    <row r="397" spans="1:23" x14ac:dyDescent="0.25">
      <c r="A397" s="16"/>
      <c r="B397" s="17" t="b">
        <f t="shared" si="96"/>
        <v>0</v>
      </c>
      <c r="C397" s="17" t="b">
        <f t="shared" si="104"/>
        <v>0</v>
      </c>
      <c r="D397" s="17">
        <f t="shared" si="106"/>
        <v>1</v>
      </c>
      <c r="E397" s="17" t="str">
        <f t="shared" si="111"/>
        <v>Section 10 - Spring Boot - Deployement</v>
      </c>
      <c r="F397" s="18" t="str">
        <f t="shared" si="107"/>
        <v/>
      </c>
      <c r="G397" s="13" t="str">
        <f t="shared" si="97"/>
        <v/>
      </c>
      <c r="H397">
        <f t="shared" si="98"/>
        <v>0</v>
      </c>
      <c r="I397">
        <f t="shared" si="99"/>
        <v>0</v>
      </c>
      <c r="J397" s="13">
        <f t="shared" si="100"/>
        <v>155</v>
      </c>
      <c r="K397">
        <f t="shared" si="108"/>
        <v>2</v>
      </c>
      <c r="L397">
        <f t="shared" si="109"/>
        <v>35</v>
      </c>
      <c r="M397" s="13">
        <f t="shared" si="101"/>
        <v>0</v>
      </c>
      <c r="N397">
        <f t="shared" si="101"/>
        <v>27</v>
      </c>
      <c r="O397" s="14">
        <f t="shared" si="105"/>
        <v>27</v>
      </c>
      <c r="P397" s="13">
        <f t="shared" si="110"/>
        <v>0</v>
      </c>
      <c r="Q397">
        <f t="shared" si="102"/>
        <v>27</v>
      </c>
      <c r="R397" s="14">
        <f t="shared" si="103"/>
        <v>27</v>
      </c>
      <c r="S397" s="15"/>
      <c r="W397" s="14"/>
    </row>
    <row r="398" spans="1:23" x14ac:dyDescent="0.25">
      <c r="A398" s="16"/>
      <c r="B398" s="17" t="b">
        <f t="shared" si="96"/>
        <v>0</v>
      </c>
      <c r="C398" s="17" t="b">
        <f t="shared" si="104"/>
        <v>0</v>
      </c>
      <c r="D398" s="17">
        <f t="shared" si="106"/>
        <v>1</v>
      </c>
      <c r="E398" s="17" t="str">
        <f t="shared" si="111"/>
        <v>Section 10 - Spring Boot - Deployement</v>
      </c>
      <c r="F398" s="18" t="str">
        <f t="shared" si="107"/>
        <v/>
      </c>
      <c r="G398" s="13" t="str">
        <f t="shared" si="97"/>
        <v/>
      </c>
      <c r="H398">
        <f t="shared" si="98"/>
        <v>0</v>
      </c>
      <c r="I398">
        <f t="shared" si="99"/>
        <v>0</v>
      </c>
      <c r="J398" s="13">
        <f t="shared" si="100"/>
        <v>155</v>
      </c>
      <c r="K398">
        <f t="shared" si="108"/>
        <v>2</v>
      </c>
      <c r="L398">
        <f t="shared" si="109"/>
        <v>35</v>
      </c>
      <c r="M398" s="13">
        <f t="shared" si="101"/>
        <v>0</v>
      </c>
      <c r="N398">
        <f t="shared" si="101"/>
        <v>27</v>
      </c>
      <c r="O398" s="14">
        <f t="shared" si="105"/>
        <v>27</v>
      </c>
      <c r="P398" s="13">
        <f t="shared" si="110"/>
        <v>0</v>
      </c>
      <c r="Q398">
        <f t="shared" si="102"/>
        <v>27</v>
      </c>
      <c r="R398" s="14">
        <f t="shared" si="103"/>
        <v>27</v>
      </c>
      <c r="S398" s="15"/>
      <c r="W398" s="14"/>
    </row>
    <row r="399" spans="1:23" x14ac:dyDescent="0.25">
      <c r="A399" s="16"/>
      <c r="B399" s="17" t="b">
        <f t="shared" si="96"/>
        <v>0</v>
      </c>
      <c r="C399" s="17" t="b">
        <f t="shared" si="104"/>
        <v>0</v>
      </c>
      <c r="D399" s="17">
        <f t="shared" si="106"/>
        <v>1</v>
      </c>
      <c r="E399" s="17" t="str">
        <f t="shared" si="111"/>
        <v>Section 10 - Spring Boot - Deployement</v>
      </c>
      <c r="F399" s="18" t="str">
        <f t="shared" si="107"/>
        <v/>
      </c>
      <c r="G399" s="13" t="str">
        <f t="shared" si="97"/>
        <v/>
      </c>
      <c r="H399">
        <f t="shared" si="98"/>
        <v>0</v>
      </c>
      <c r="I399">
        <f t="shared" si="99"/>
        <v>0</v>
      </c>
      <c r="J399" s="13">
        <f t="shared" si="100"/>
        <v>155</v>
      </c>
      <c r="K399">
        <f t="shared" si="108"/>
        <v>2</v>
      </c>
      <c r="L399">
        <f t="shared" si="109"/>
        <v>35</v>
      </c>
      <c r="M399" s="13">
        <f t="shared" si="101"/>
        <v>0</v>
      </c>
      <c r="N399">
        <f t="shared" si="101"/>
        <v>27</v>
      </c>
      <c r="O399" s="14">
        <f t="shared" si="105"/>
        <v>27</v>
      </c>
      <c r="P399" s="13">
        <f t="shared" si="110"/>
        <v>0</v>
      </c>
      <c r="Q399">
        <f t="shared" si="102"/>
        <v>27</v>
      </c>
      <c r="R399" s="14">
        <f t="shared" si="103"/>
        <v>27</v>
      </c>
      <c r="S399" s="15"/>
      <c r="W399" s="14"/>
    </row>
    <row r="400" spans="1:23" x14ac:dyDescent="0.25">
      <c r="A400" s="16"/>
      <c r="B400" s="17" t="b">
        <f t="shared" si="96"/>
        <v>0</v>
      </c>
      <c r="C400" s="17" t="b">
        <f t="shared" si="104"/>
        <v>0</v>
      </c>
      <c r="D400" s="17">
        <f t="shared" si="106"/>
        <v>1</v>
      </c>
      <c r="E400" s="17" t="str">
        <f t="shared" si="111"/>
        <v>Section 10 - Spring Boot - Deployement</v>
      </c>
      <c r="F400" s="18" t="str">
        <f t="shared" si="107"/>
        <v/>
      </c>
      <c r="G400" s="13" t="str">
        <f t="shared" si="97"/>
        <v/>
      </c>
      <c r="H400">
        <f t="shared" si="98"/>
        <v>0</v>
      </c>
      <c r="I400">
        <f t="shared" si="99"/>
        <v>0</v>
      </c>
      <c r="J400" s="13">
        <f t="shared" si="100"/>
        <v>155</v>
      </c>
      <c r="K400">
        <f t="shared" si="108"/>
        <v>2</v>
      </c>
      <c r="L400">
        <f t="shared" si="109"/>
        <v>35</v>
      </c>
      <c r="M400" s="13">
        <f t="shared" si="101"/>
        <v>0</v>
      </c>
      <c r="N400">
        <f t="shared" si="101"/>
        <v>27</v>
      </c>
      <c r="O400" s="14">
        <f t="shared" si="105"/>
        <v>27</v>
      </c>
      <c r="P400" s="13">
        <f t="shared" si="110"/>
        <v>0</v>
      </c>
      <c r="Q400">
        <f t="shared" si="102"/>
        <v>27</v>
      </c>
      <c r="R400" s="14">
        <f t="shared" si="103"/>
        <v>27</v>
      </c>
      <c r="S400" s="15"/>
      <c r="W400" s="14"/>
    </row>
    <row r="401" spans="1:23" x14ac:dyDescent="0.25">
      <c r="A401" s="16"/>
      <c r="B401" s="17" t="b">
        <f t="shared" si="96"/>
        <v>0</v>
      </c>
      <c r="C401" s="17" t="b">
        <f t="shared" si="104"/>
        <v>0</v>
      </c>
      <c r="D401" s="17">
        <f t="shared" si="106"/>
        <v>1</v>
      </c>
      <c r="E401" s="17" t="str">
        <f t="shared" si="111"/>
        <v>Section 10 - Spring Boot - Deployement</v>
      </c>
      <c r="F401" s="18" t="str">
        <f t="shared" si="107"/>
        <v/>
      </c>
      <c r="G401" s="13" t="str">
        <f t="shared" si="97"/>
        <v/>
      </c>
      <c r="H401">
        <f t="shared" si="98"/>
        <v>0</v>
      </c>
      <c r="I401">
        <f t="shared" si="99"/>
        <v>0</v>
      </c>
      <c r="J401" s="13">
        <f t="shared" si="100"/>
        <v>155</v>
      </c>
      <c r="K401">
        <f t="shared" si="108"/>
        <v>2</v>
      </c>
      <c r="L401">
        <f t="shared" si="109"/>
        <v>35</v>
      </c>
      <c r="M401" s="13">
        <f t="shared" si="101"/>
        <v>0</v>
      </c>
      <c r="N401">
        <f t="shared" si="101"/>
        <v>27</v>
      </c>
      <c r="O401" s="14">
        <f t="shared" si="105"/>
        <v>27</v>
      </c>
      <c r="P401" s="13">
        <f t="shared" si="110"/>
        <v>0</v>
      </c>
      <c r="Q401">
        <f t="shared" si="102"/>
        <v>27</v>
      </c>
      <c r="R401" s="14">
        <f t="shared" si="103"/>
        <v>27</v>
      </c>
      <c r="S401" s="15"/>
      <c r="W401" s="14"/>
    </row>
    <row r="402" spans="1:23" x14ac:dyDescent="0.25">
      <c r="A402" s="16"/>
      <c r="B402" s="17" t="b">
        <f t="shared" ref="B402:B465" si="112">AND(NOT(ISERROR(FIND("Section ",A402))),NOT(ISERROR(FIND("Section ",A402))))</f>
        <v>0</v>
      </c>
      <c r="C402" s="17" t="b">
        <f t="shared" si="104"/>
        <v>0</v>
      </c>
      <c r="D402" s="17">
        <f t="shared" si="106"/>
        <v>1</v>
      </c>
      <c r="E402" s="17" t="str">
        <f t="shared" si="111"/>
        <v>Section 10 - Spring Boot - Deployement</v>
      </c>
      <c r="F402" s="18" t="str">
        <f t="shared" si="107"/>
        <v/>
      </c>
      <c r="G402" s="13" t="str">
        <f t="shared" si="97"/>
        <v/>
      </c>
      <c r="H402">
        <f t="shared" si="98"/>
        <v>0</v>
      </c>
      <c r="I402">
        <f t="shared" si="99"/>
        <v>0</v>
      </c>
      <c r="J402" s="13">
        <f t="shared" si="100"/>
        <v>155</v>
      </c>
      <c r="K402">
        <f t="shared" si="108"/>
        <v>2</v>
      </c>
      <c r="L402">
        <f t="shared" si="109"/>
        <v>35</v>
      </c>
      <c r="M402" s="13">
        <f t="shared" si="101"/>
        <v>0</v>
      </c>
      <c r="N402">
        <f t="shared" si="101"/>
        <v>27</v>
      </c>
      <c r="O402" s="14">
        <f t="shared" si="105"/>
        <v>27</v>
      </c>
      <c r="P402" s="13">
        <f t="shared" si="110"/>
        <v>0</v>
      </c>
      <c r="Q402">
        <f t="shared" si="102"/>
        <v>27</v>
      </c>
      <c r="R402" s="14">
        <f t="shared" si="103"/>
        <v>27</v>
      </c>
      <c r="S402" s="15"/>
      <c r="W402" s="14"/>
    </row>
    <row r="403" spans="1:23" x14ac:dyDescent="0.25">
      <c r="A403" s="16"/>
      <c r="B403" s="17" t="b">
        <f t="shared" si="112"/>
        <v>0</v>
      </c>
      <c r="C403" s="17" t="b">
        <f t="shared" si="104"/>
        <v>0</v>
      </c>
      <c r="D403" s="17">
        <f t="shared" si="106"/>
        <v>1</v>
      </c>
      <c r="E403" s="17" t="str">
        <f t="shared" si="111"/>
        <v>Section 10 - Spring Boot - Deployement</v>
      </c>
      <c r="F403" s="18" t="str">
        <f t="shared" si="107"/>
        <v/>
      </c>
      <c r="G403" s="13" t="str">
        <f t="shared" si="97"/>
        <v/>
      </c>
      <c r="H403">
        <f t="shared" si="98"/>
        <v>0</v>
      </c>
      <c r="I403">
        <f t="shared" si="99"/>
        <v>0</v>
      </c>
      <c r="J403" s="13">
        <f t="shared" si="100"/>
        <v>155</v>
      </c>
      <c r="K403">
        <f t="shared" si="108"/>
        <v>2</v>
      </c>
      <c r="L403">
        <f t="shared" si="109"/>
        <v>35</v>
      </c>
      <c r="M403" s="13">
        <f t="shared" si="101"/>
        <v>0</v>
      </c>
      <c r="N403">
        <f t="shared" si="101"/>
        <v>27</v>
      </c>
      <c r="O403" s="14">
        <f t="shared" si="105"/>
        <v>27</v>
      </c>
      <c r="P403" s="13">
        <f t="shared" si="110"/>
        <v>0</v>
      </c>
      <c r="Q403">
        <f t="shared" si="102"/>
        <v>27</v>
      </c>
      <c r="R403" s="14">
        <f t="shared" si="103"/>
        <v>27</v>
      </c>
      <c r="S403" s="15"/>
      <c r="W403" s="14"/>
    </row>
    <row r="404" spans="1:23" x14ac:dyDescent="0.25">
      <c r="A404" s="16"/>
      <c r="B404" s="17" t="b">
        <f t="shared" si="112"/>
        <v>0</v>
      </c>
      <c r="C404" s="17" t="b">
        <f t="shared" si="104"/>
        <v>0</v>
      </c>
      <c r="D404" s="17">
        <f t="shared" si="106"/>
        <v>1</v>
      </c>
      <c r="E404" s="17" t="str">
        <f t="shared" si="111"/>
        <v>Section 10 - Spring Boot - Deployement</v>
      </c>
      <c r="F404" s="18" t="str">
        <f t="shared" si="107"/>
        <v/>
      </c>
      <c r="G404" s="13" t="str">
        <f t="shared" si="97"/>
        <v/>
      </c>
      <c r="H404">
        <f t="shared" si="98"/>
        <v>0</v>
      </c>
      <c r="I404">
        <f t="shared" si="99"/>
        <v>0</v>
      </c>
      <c r="J404" s="13">
        <f t="shared" si="100"/>
        <v>155</v>
      </c>
      <c r="K404">
        <f t="shared" si="108"/>
        <v>2</v>
      </c>
      <c r="L404">
        <f t="shared" si="109"/>
        <v>35</v>
      </c>
      <c r="M404" s="13">
        <f t="shared" si="101"/>
        <v>0</v>
      </c>
      <c r="N404">
        <f t="shared" si="101"/>
        <v>27</v>
      </c>
      <c r="O404" s="14">
        <f t="shared" si="105"/>
        <v>27</v>
      </c>
      <c r="P404" s="13">
        <f t="shared" si="110"/>
        <v>0</v>
      </c>
      <c r="Q404">
        <f t="shared" si="102"/>
        <v>27</v>
      </c>
      <c r="R404" s="14">
        <f t="shared" si="103"/>
        <v>27</v>
      </c>
      <c r="S404" s="15"/>
      <c r="W404" s="14"/>
    </row>
    <row r="405" spans="1:23" x14ac:dyDescent="0.25">
      <c r="A405" s="16"/>
      <c r="B405" s="17" t="b">
        <f t="shared" si="112"/>
        <v>0</v>
      </c>
      <c r="C405" s="17" t="b">
        <f t="shared" si="104"/>
        <v>0</v>
      </c>
      <c r="D405" s="17">
        <f t="shared" si="106"/>
        <v>1</v>
      </c>
      <c r="E405" s="17" t="str">
        <f t="shared" si="111"/>
        <v>Section 10 - Spring Boot - Deployement</v>
      </c>
      <c r="F405" s="18" t="str">
        <f t="shared" si="107"/>
        <v/>
      </c>
      <c r="G405" s="13" t="str">
        <f t="shared" ref="G405:G468" si="113">IF(C405,A406,"")</f>
        <v/>
      </c>
      <c r="H405">
        <f t="shared" ref="H405:H468" si="114">VALUE(IF(NOT(ISERROR(FIND("hr",G405))),LEFT(G405,FIND("hr",G405)-1),0))</f>
        <v>0</v>
      </c>
      <c r="I405">
        <f t="shared" ref="I405:I468" si="115">VALUE(IF(ISERROR(FIND("min",G405)),0,SUBSTITUTE(MID(G405,IF(ISERROR(FIND("hr ",G405)),1,FIND("hr ",G405)+3),LEN(G405)),"min","")))</f>
        <v>0</v>
      </c>
      <c r="J405" s="13">
        <f t="shared" ref="J405:J468" si="116">J404+(H405*60+I405)</f>
        <v>155</v>
      </c>
      <c r="K405">
        <f t="shared" si="108"/>
        <v>2</v>
      </c>
      <c r="L405">
        <f t="shared" si="109"/>
        <v>35</v>
      </c>
      <c r="M405" s="13">
        <f t="shared" ref="M405:N468" si="117">P404</f>
        <v>0</v>
      </c>
      <c r="N405">
        <f t="shared" si="117"/>
        <v>27</v>
      </c>
      <c r="O405" s="14">
        <f t="shared" si="105"/>
        <v>27</v>
      </c>
      <c r="P405" s="13">
        <f t="shared" si="110"/>
        <v>0</v>
      </c>
      <c r="Q405">
        <f t="shared" ref="Q405:Q468" si="118">R405-(P405*60)</f>
        <v>27</v>
      </c>
      <c r="R405" s="14">
        <f t="shared" ref="R405:R468" si="119">((H405*60)+I405)+O405</f>
        <v>27</v>
      </c>
      <c r="S405" s="15"/>
      <c r="W405" s="14"/>
    </row>
    <row r="406" spans="1:23" x14ac:dyDescent="0.25">
      <c r="A406" s="16"/>
      <c r="B406" s="17" t="b">
        <f t="shared" si="112"/>
        <v>0</v>
      </c>
      <c r="C406" s="17" t="b">
        <f t="shared" si="104"/>
        <v>0</v>
      </c>
      <c r="D406" s="17">
        <f t="shared" si="106"/>
        <v>1</v>
      </c>
      <c r="E406" s="17" t="str">
        <f t="shared" si="111"/>
        <v>Section 10 - Spring Boot - Deployement</v>
      </c>
      <c r="F406" s="18" t="str">
        <f t="shared" si="107"/>
        <v/>
      </c>
      <c r="G406" s="13" t="str">
        <f t="shared" si="113"/>
        <v/>
      </c>
      <c r="H406">
        <f t="shared" si="114"/>
        <v>0</v>
      </c>
      <c r="I406">
        <f t="shared" si="115"/>
        <v>0</v>
      </c>
      <c r="J406" s="13">
        <f t="shared" si="116"/>
        <v>155</v>
      </c>
      <c r="K406">
        <f t="shared" si="108"/>
        <v>2</v>
      </c>
      <c r="L406">
        <f t="shared" si="109"/>
        <v>35</v>
      </c>
      <c r="M406" s="13">
        <f t="shared" si="117"/>
        <v>0</v>
      </c>
      <c r="N406">
        <f t="shared" si="117"/>
        <v>27</v>
      </c>
      <c r="O406" s="14">
        <f t="shared" si="105"/>
        <v>27</v>
      </c>
      <c r="P406" s="13">
        <f t="shared" si="110"/>
        <v>0</v>
      </c>
      <c r="Q406">
        <f t="shared" si="118"/>
        <v>27</v>
      </c>
      <c r="R406" s="14">
        <f t="shared" si="119"/>
        <v>27</v>
      </c>
      <c r="S406" s="15"/>
      <c r="W406" s="14"/>
    </row>
    <row r="407" spans="1:23" x14ac:dyDescent="0.25">
      <c r="A407" s="16"/>
      <c r="B407" s="17" t="b">
        <f t="shared" si="112"/>
        <v>0</v>
      </c>
      <c r="C407" s="17" t="b">
        <f t="shared" si="104"/>
        <v>0</v>
      </c>
      <c r="D407" s="17">
        <f t="shared" si="106"/>
        <v>1</v>
      </c>
      <c r="E407" s="17" t="str">
        <f t="shared" si="111"/>
        <v>Section 10 - Spring Boot - Deployement</v>
      </c>
      <c r="F407" s="18" t="str">
        <f t="shared" si="107"/>
        <v/>
      </c>
      <c r="G407" s="13" t="str">
        <f t="shared" si="113"/>
        <v/>
      </c>
      <c r="H407">
        <f t="shared" si="114"/>
        <v>0</v>
      </c>
      <c r="I407">
        <f t="shared" si="115"/>
        <v>0</v>
      </c>
      <c r="J407" s="13">
        <f t="shared" si="116"/>
        <v>155</v>
      </c>
      <c r="K407">
        <f t="shared" si="108"/>
        <v>2</v>
      </c>
      <c r="L407">
        <f t="shared" si="109"/>
        <v>35</v>
      </c>
      <c r="M407" s="13">
        <f t="shared" si="117"/>
        <v>0</v>
      </c>
      <c r="N407">
        <f t="shared" si="117"/>
        <v>27</v>
      </c>
      <c r="O407" s="14">
        <f t="shared" si="105"/>
        <v>27</v>
      </c>
      <c r="P407" s="13">
        <f t="shared" si="110"/>
        <v>0</v>
      </c>
      <c r="Q407">
        <f t="shared" si="118"/>
        <v>27</v>
      </c>
      <c r="R407" s="14">
        <f t="shared" si="119"/>
        <v>27</v>
      </c>
      <c r="S407" s="15"/>
      <c r="W407" s="14"/>
    </row>
    <row r="408" spans="1:23" x14ac:dyDescent="0.25">
      <c r="A408" s="16"/>
      <c r="B408" s="17" t="b">
        <f t="shared" si="112"/>
        <v>0</v>
      </c>
      <c r="C408" s="17" t="b">
        <f t="shared" si="104"/>
        <v>0</v>
      </c>
      <c r="D408" s="17">
        <f t="shared" si="106"/>
        <v>1</v>
      </c>
      <c r="E408" s="17" t="str">
        <f t="shared" si="111"/>
        <v>Section 10 - Spring Boot - Deployement</v>
      </c>
      <c r="F408" s="18" t="str">
        <f t="shared" si="107"/>
        <v/>
      </c>
      <c r="G408" s="13" t="str">
        <f t="shared" si="113"/>
        <v/>
      </c>
      <c r="H408">
        <f t="shared" si="114"/>
        <v>0</v>
      </c>
      <c r="I408">
        <f t="shared" si="115"/>
        <v>0</v>
      </c>
      <c r="J408" s="13">
        <f t="shared" si="116"/>
        <v>155</v>
      </c>
      <c r="K408">
        <f t="shared" si="108"/>
        <v>2</v>
      </c>
      <c r="L408">
        <f t="shared" si="109"/>
        <v>35</v>
      </c>
      <c r="M408" s="13">
        <f t="shared" si="117"/>
        <v>0</v>
      </c>
      <c r="N408">
        <f t="shared" si="117"/>
        <v>27</v>
      </c>
      <c r="O408" s="14">
        <f t="shared" si="105"/>
        <v>27</v>
      </c>
      <c r="P408" s="13">
        <f t="shared" si="110"/>
        <v>0</v>
      </c>
      <c r="Q408">
        <f t="shared" si="118"/>
        <v>27</v>
      </c>
      <c r="R408" s="14">
        <f t="shared" si="119"/>
        <v>27</v>
      </c>
      <c r="S408" s="15"/>
      <c r="W408" s="14"/>
    </row>
    <row r="409" spans="1:23" x14ac:dyDescent="0.25">
      <c r="A409" s="16"/>
      <c r="B409" s="17" t="b">
        <f t="shared" si="112"/>
        <v>0</v>
      </c>
      <c r="C409" s="17" t="b">
        <f t="shared" si="104"/>
        <v>0</v>
      </c>
      <c r="D409" s="17">
        <f t="shared" si="106"/>
        <v>1</v>
      </c>
      <c r="E409" s="17" t="str">
        <f t="shared" si="111"/>
        <v>Section 10 - Spring Boot - Deployement</v>
      </c>
      <c r="F409" s="18" t="str">
        <f t="shared" si="107"/>
        <v/>
      </c>
      <c r="G409" s="13" t="str">
        <f t="shared" si="113"/>
        <v/>
      </c>
      <c r="H409">
        <f t="shared" si="114"/>
        <v>0</v>
      </c>
      <c r="I409">
        <f t="shared" si="115"/>
        <v>0</v>
      </c>
      <c r="J409" s="13">
        <f t="shared" si="116"/>
        <v>155</v>
      </c>
      <c r="K409">
        <f t="shared" si="108"/>
        <v>2</v>
      </c>
      <c r="L409">
        <f t="shared" si="109"/>
        <v>35</v>
      </c>
      <c r="M409" s="13">
        <f t="shared" si="117"/>
        <v>0</v>
      </c>
      <c r="N409">
        <f t="shared" si="117"/>
        <v>27</v>
      </c>
      <c r="O409" s="14">
        <f t="shared" si="105"/>
        <v>27</v>
      </c>
      <c r="P409" s="13">
        <f t="shared" si="110"/>
        <v>0</v>
      </c>
      <c r="Q409">
        <f t="shared" si="118"/>
        <v>27</v>
      </c>
      <c r="R409" s="14">
        <f t="shared" si="119"/>
        <v>27</v>
      </c>
      <c r="S409" s="15"/>
      <c r="W409" s="14"/>
    </row>
    <row r="410" spans="1:23" x14ac:dyDescent="0.25">
      <c r="A410" s="16"/>
      <c r="B410" s="17" t="b">
        <f t="shared" si="112"/>
        <v>0</v>
      </c>
      <c r="C410" s="17" t="b">
        <f t="shared" si="104"/>
        <v>0</v>
      </c>
      <c r="D410" s="17">
        <f t="shared" si="106"/>
        <v>1</v>
      </c>
      <c r="E410" s="17" t="str">
        <f t="shared" si="111"/>
        <v>Section 10 - Spring Boot - Deployement</v>
      </c>
      <c r="F410" s="18" t="str">
        <f t="shared" si="107"/>
        <v/>
      </c>
      <c r="G410" s="13" t="str">
        <f t="shared" si="113"/>
        <v/>
      </c>
      <c r="H410">
        <f t="shared" si="114"/>
        <v>0</v>
      </c>
      <c r="I410">
        <f t="shared" si="115"/>
        <v>0</v>
      </c>
      <c r="J410" s="13">
        <f t="shared" si="116"/>
        <v>155</v>
      </c>
      <c r="K410">
        <f t="shared" si="108"/>
        <v>2</v>
      </c>
      <c r="L410">
        <f t="shared" si="109"/>
        <v>35</v>
      </c>
      <c r="M410" s="13">
        <f t="shared" si="117"/>
        <v>0</v>
      </c>
      <c r="N410">
        <f t="shared" si="117"/>
        <v>27</v>
      </c>
      <c r="O410" s="14">
        <f t="shared" si="105"/>
        <v>27</v>
      </c>
      <c r="P410" s="13">
        <f t="shared" si="110"/>
        <v>0</v>
      </c>
      <c r="Q410">
        <f t="shared" si="118"/>
        <v>27</v>
      </c>
      <c r="R410" s="14">
        <f t="shared" si="119"/>
        <v>27</v>
      </c>
      <c r="S410" s="15"/>
      <c r="W410" s="14"/>
    </row>
    <row r="411" spans="1:23" x14ac:dyDescent="0.25">
      <c r="A411" s="16"/>
      <c r="B411" s="17" t="b">
        <f t="shared" si="112"/>
        <v>0</v>
      </c>
      <c r="C411" s="17" t="b">
        <f t="shared" si="104"/>
        <v>0</v>
      </c>
      <c r="D411" s="17">
        <f t="shared" si="106"/>
        <v>1</v>
      </c>
      <c r="E411" s="17" t="str">
        <f t="shared" si="111"/>
        <v>Section 10 - Spring Boot - Deployement</v>
      </c>
      <c r="F411" s="18" t="str">
        <f t="shared" si="107"/>
        <v/>
      </c>
      <c r="G411" s="13" t="str">
        <f t="shared" si="113"/>
        <v/>
      </c>
      <c r="H411">
        <f t="shared" si="114"/>
        <v>0</v>
      </c>
      <c r="I411">
        <f t="shared" si="115"/>
        <v>0</v>
      </c>
      <c r="J411" s="13">
        <f t="shared" si="116"/>
        <v>155</v>
      </c>
      <c r="K411">
        <f t="shared" si="108"/>
        <v>2</v>
      </c>
      <c r="L411">
        <f t="shared" si="109"/>
        <v>35</v>
      </c>
      <c r="M411" s="13">
        <f t="shared" si="117"/>
        <v>0</v>
      </c>
      <c r="N411">
        <f t="shared" si="117"/>
        <v>27</v>
      </c>
      <c r="O411" s="14">
        <f t="shared" si="105"/>
        <v>27</v>
      </c>
      <c r="P411" s="13">
        <f t="shared" si="110"/>
        <v>0</v>
      </c>
      <c r="Q411">
        <f t="shared" si="118"/>
        <v>27</v>
      </c>
      <c r="R411" s="14">
        <f t="shared" si="119"/>
        <v>27</v>
      </c>
      <c r="S411" s="15"/>
      <c r="W411" s="14"/>
    </row>
    <row r="412" spans="1:23" x14ac:dyDescent="0.25">
      <c r="A412" s="16"/>
      <c r="B412" s="17" t="b">
        <f t="shared" si="112"/>
        <v>0</v>
      </c>
      <c r="C412" s="17" t="b">
        <f t="shared" si="104"/>
        <v>0</v>
      </c>
      <c r="D412" s="17">
        <f t="shared" si="106"/>
        <v>1</v>
      </c>
      <c r="E412" s="17" t="str">
        <f t="shared" si="111"/>
        <v>Section 10 - Spring Boot - Deployement</v>
      </c>
      <c r="F412" s="18" t="str">
        <f t="shared" si="107"/>
        <v/>
      </c>
      <c r="G412" s="13" t="str">
        <f t="shared" si="113"/>
        <v/>
      </c>
      <c r="H412">
        <f t="shared" si="114"/>
        <v>0</v>
      </c>
      <c r="I412">
        <f t="shared" si="115"/>
        <v>0</v>
      </c>
      <c r="J412" s="13">
        <f t="shared" si="116"/>
        <v>155</v>
      </c>
      <c r="K412">
        <f t="shared" si="108"/>
        <v>2</v>
      </c>
      <c r="L412">
        <f t="shared" si="109"/>
        <v>35</v>
      </c>
      <c r="M412" s="13">
        <f t="shared" si="117"/>
        <v>0</v>
      </c>
      <c r="N412">
        <f t="shared" si="117"/>
        <v>27</v>
      </c>
      <c r="O412" s="14">
        <f t="shared" si="105"/>
        <v>27</v>
      </c>
      <c r="P412" s="13">
        <f t="shared" si="110"/>
        <v>0</v>
      </c>
      <c r="Q412">
        <f t="shared" si="118"/>
        <v>27</v>
      </c>
      <c r="R412" s="14">
        <f t="shared" si="119"/>
        <v>27</v>
      </c>
      <c r="S412" s="15"/>
      <c r="W412" s="14"/>
    </row>
    <row r="413" spans="1:23" x14ac:dyDescent="0.25">
      <c r="A413" s="16"/>
      <c r="B413" s="17" t="b">
        <f t="shared" si="112"/>
        <v>0</v>
      </c>
      <c r="C413" s="17" t="b">
        <f t="shared" si="104"/>
        <v>0</v>
      </c>
      <c r="D413" s="17">
        <f t="shared" si="106"/>
        <v>1</v>
      </c>
      <c r="E413" s="17" t="str">
        <f t="shared" si="111"/>
        <v>Section 10 - Spring Boot - Deployement</v>
      </c>
      <c r="F413" s="18" t="str">
        <f t="shared" si="107"/>
        <v/>
      </c>
      <c r="G413" s="13" t="str">
        <f t="shared" si="113"/>
        <v/>
      </c>
      <c r="H413">
        <f t="shared" si="114"/>
        <v>0</v>
      </c>
      <c r="I413">
        <f t="shared" si="115"/>
        <v>0</v>
      </c>
      <c r="J413" s="13">
        <f t="shared" si="116"/>
        <v>155</v>
      </c>
      <c r="K413">
        <f t="shared" si="108"/>
        <v>2</v>
      </c>
      <c r="L413">
        <f t="shared" si="109"/>
        <v>35</v>
      </c>
      <c r="M413" s="13">
        <f t="shared" si="117"/>
        <v>0</v>
      </c>
      <c r="N413">
        <f t="shared" si="117"/>
        <v>27</v>
      </c>
      <c r="O413" s="14">
        <f t="shared" si="105"/>
        <v>27</v>
      </c>
      <c r="P413" s="13">
        <f t="shared" si="110"/>
        <v>0</v>
      </c>
      <c r="Q413">
        <f t="shared" si="118"/>
        <v>27</v>
      </c>
      <c r="R413" s="14">
        <f t="shared" si="119"/>
        <v>27</v>
      </c>
      <c r="S413" s="15"/>
      <c r="W413" s="14"/>
    </row>
    <row r="414" spans="1:23" x14ac:dyDescent="0.25">
      <c r="A414" s="16"/>
      <c r="B414" s="17" t="b">
        <f t="shared" si="112"/>
        <v>0</v>
      </c>
      <c r="C414" s="17" t="b">
        <f t="shared" si="104"/>
        <v>0</v>
      </c>
      <c r="D414" s="17">
        <f t="shared" si="106"/>
        <v>1</v>
      </c>
      <c r="E414" s="17" t="str">
        <f t="shared" si="111"/>
        <v>Section 10 - Spring Boot - Deployement</v>
      </c>
      <c r="F414" s="18" t="str">
        <f t="shared" si="107"/>
        <v/>
      </c>
      <c r="G414" s="13" t="str">
        <f t="shared" si="113"/>
        <v/>
      </c>
      <c r="H414">
        <f t="shared" si="114"/>
        <v>0</v>
      </c>
      <c r="I414">
        <f t="shared" si="115"/>
        <v>0</v>
      </c>
      <c r="J414" s="13">
        <f t="shared" si="116"/>
        <v>155</v>
      </c>
      <c r="K414">
        <f t="shared" si="108"/>
        <v>2</v>
      </c>
      <c r="L414">
        <f t="shared" si="109"/>
        <v>35</v>
      </c>
      <c r="M414" s="13">
        <f t="shared" si="117"/>
        <v>0</v>
      </c>
      <c r="N414">
        <f t="shared" si="117"/>
        <v>27</v>
      </c>
      <c r="O414" s="14">
        <f t="shared" si="105"/>
        <v>27</v>
      </c>
      <c r="P414" s="13">
        <f t="shared" si="110"/>
        <v>0</v>
      </c>
      <c r="Q414">
        <f t="shared" si="118"/>
        <v>27</v>
      </c>
      <c r="R414" s="14">
        <f t="shared" si="119"/>
        <v>27</v>
      </c>
      <c r="S414" s="15"/>
      <c r="W414" s="14"/>
    </row>
    <row r="415" spans="1:23" x14ac:dyDescent="0.25">
      <c r="A415" s="16"/>
      <c r="B415" s="17" t="b">
        <f t="shared" si="112"/>
        <v>0</v>
      </c>
      <c r="C415" s="17" t="b">
        <f t="shared" si="104"/>
        <v>0</v>
      </c>
      <c r="D415" s="17">
        <f t="shared" si="106"/>
        <v>1</v>
      </c>
      <c r="E415" s="17" t="str">
        <f t="shared" si="111"/>
        <v>Section 10 - Spring Boot - Deployement</v>
      </c>
      <c r="F415" s="18" t="str">
        <f t="shared" si="107"/>
        <v/>
      </c>
      <c r="G415" s="13" t="str">
        <f t="shared" si="113"/>
        <v/>
      </c>
      <c r="H415">
        <f t="shared" si="114"/>
        <v>0</v>
      </c>
      <c r="I415">
        <f t="shared" si="115"/>
        <v>0</v>
      </c>
      <c r="J415" s="13">
        <f t="shared" si="116"/>
        <v>155</v>
      </c>
      <c r="K415">
        <f t="shared" si="108"/>
        <v>2</v>
      </c>
      <c r="L415">
        <f t="shared" si="109"/>
        <v>35</v>
      </c>
      <c r="M415" s="13">
        <f t="shared" si="117"/>
        <v>0</v>
      </c>
      <c r="N415">
        <f t="shared" si="117"/>
        <v>27</v>
      </c>
      <c r="O415" s="14">
        <f t="shared" si="105"/>
        <v>27</v>
      </c>
      <c r="P415" s="13">
        <f t="shared" si="110"/>
        <v>0</v>
      </c>
      <c r="Q415">
        <f t="shared" si="118"/>
        <v>27</v>
      </c>
      <c r="R415" s="14">
        <f t="shared" si="119"/>
        <v>27</v>
      </c>
      <c r="S415" s="15"/>
      <c r="W415" s="14"/>
    </row>
    <row r="416" spans="1:23" x14ac:dyDescent="0.25">
      <c r="A416" s="16"/>
      <c r="B416" s="17" t="b">
        <f t="shared" si="112"/>
        <v>0</v>
      </c>
      <c r="C416" s="17" t="b">
        <f t="shared" si="104"/>
        <v>0</v>
      </c>
      <c r="D416" s="17">
        <f t="shared" si="106"/>
        <v>1</v>
      </c>
      <c r="E416" s="17" t="str">
        <f t="shared" si="111"/>
        <v>Section 10 - Spring Boot - Deployement</v>
      </c>
      <c r="F416" s="18" t="str">
        <f t="shared" si="107"/>
        <v/>
      </c>
      <c r="G416" s="13" t="str">
        <f t="shared" si="113"/>
        <v/>
      </c>
      <c r="H416">
        <f t="shared" si="114"/>
        <v>0</v>
      </c>
      <c r="I416">
        <f t="shared" si="115"/>
        <v>0</v>
      </c>
      <c r="J416" s="13">
        <f t="shared" si="116"/>
        <v>155</v>
      </c>
      <c r="K416">
        <f t="shared" si="108"/>
        <v>2</v>
      </c>
      <c r="L416">
        <f t="shared" si="109"/>
        <v>35</v>
      </c>
      <c r="M416" s="13">
        <f t="shared" si="117"/>
        <v>0</v>
      </c>
      <c r="N416">
        <f t="shared" si="117"/>
        <v>27</v>
      </c>
      <c r="O416" s="14">
        <f t="shared" si="105"/>
        <v>27</v>
      </c>
      <c r="P416" s="13">
        <f t="shared" si="110"/>
        <v>0</v>
      </c>
      <c r="Q416">
        <f t="shared" si="118"/>
        <v>27</v>
      </c>
      <c r="R416" s="14">
        <f t="shared" si="119"/>
        <v>27</v>
      </c>
      <c r="S416" s="15"/>
      <c r="W416" s="14"/>
    </row>
    <row r="417" spans="1:23" x14ac:dyDescent="0.25">
      <c r="A417" s="16"/>
      <c r="B417" s="17" t="b">
        <f t="shared" si="112"/>
        <v>0</v>
      </c>
      <c r="C417" s="17" t="b">
        <f t="shared" si="104"/>
        <v>0</v>
      </c>
      <c r="D417" s="17">
        <f t="shared" si="106"/>
        <v>1</v>
      </c>
      <c r="E417" s="17" t="str">
        <f t="shared" si="111"/>
        <v>Section 10 - Spring Boot - Deployement</v>
      </c>
      <c r="F417" s="18" t="str">
        <f t="shared" si="107"/>
        <v/>
      </c>
      <c r="G417" s="13" t="str">
        <f t="shared" si="113"/>
        <v/>
      </c>
      <c r="H417">
        <f t="shared" si="114"/>
        <v>0</v>
      </c>
      <c r="I417">
        <f t="shared" si="115"/>
        <v>0</v>
      </c>
      <c r="J417" s="13">
        <f t="shared" si="116"/>
        <v>155</v>
      </c>
      <c r="K417">
        <f t="shared" si="108"/>
        <v>2</v>
      </c>
      <c r="L417">
        <f t="shared" si="109"/>
        <v>35</v>
      </c>
      <c r="M417" s="13">
        <f t="shared" si="117"/>
        <v>0</v>
      </c>
      <c r="N417">
        <f t="shared" si="117"/>
        <v>27</v>
      </c>
      <c r="O417" s="14">
        <f t="shared" si="105"/>
        <v>27</v>
      </c>
      <c r="P417" s="13">
        <f t="shared" si="110"/>
        <v>0</v>
      </c>
      <c r="Q417">
        <f t="shared" si="118"/>
        <v>27</v>
      </c>
      <c r="R417" s="14">
        <f t="shared" si="119"/>
        <v>27</v>
      </c>
      <c r="S417" s="15"/>
      <c r="W417" s="14"/>
    </row>
    <row r="418" spans="1:23" x14ac:dyDescent="0.25">
      <c r="A418" s="16"/>
      <c r="B418" s="17" t="b">
        <f t="shared" si="112"/>
        <v>0</v>
      </c>
      <c r="C418" s="17" t="b">
        <f t="shared" si="104"/>
        <v>0</v>
      </c>
      <c r="D418" s="17">
        <f t="shared" si="106"/>
        <v>1</v>
      </c>
      <c r="E418" s="17" t="str">
        <f t="shared" si="111"/>
        <v>Section 10 - Spring Boot - Deployement</v>
      </c>
      <c r="F418" s="18" t="str">
        <f t="shared" si="107"/>
        <v/>
      </c>
      <c r="G418" s="13" t="str">
        <f t="shared" si="113"/>
        <v/>
      </c>
      <c r="H418">
        <f t="shared" si="114"/>
        <v>0</v>
      </c>
      <c r="I418">
        <f t="shared" si="115"/>
        <v>0</v>
      </c>
      <c r="J418" s="13">
        <f t="shared" si="116"/>
        <v>155</v>
      </c>
      <c r="K418">
        <f t="shared" si="108"/>
        <v>2</v>
      </c>
      <c r="L418">
        <f t="shared" si="109"/>
        <v>35</v>
      </c>
      <c r="M418" s="13">
        <f t="shared" si="117"/>
        <v>0</v>
      </c>
      <c r="N418">
        <f t="shared" si="117"/>
        <v>27</v>
      </c>
      <c r="O418" s="14">
        <f t="shared" si="105"/>
        <v>27</v>
      </c>
      <c r="P418" s="13">
        <f t="shared" si="110"/>
        <v>0</v>
      </c>
      <c r="Q418">
        <f t="shared" si="118"/>
        <v>27</v>
      </c>
      <c r="R418" s="14">
        <f t="shared" si="119"/>
        <v>27</v>
      </c>
      <c r="S418" s="15"/>
      <c r="W418" s="14"/>
    </row>
    <row r="419" spans="1:23" x14ac:dyDescent="0.25">
      <c r="A419" s="16"/>
      <c r="B419" s="17" t="b">
        <f t="shared" si="112"/>
        <v>0</v>
      </c>
      <c r="C419" s="17" t="b">
        <f t="shared" si="104"/>
        <v>0</v>
      </c>
      <c r="D419" s="17">
        <f t="shared" si="106"/>
        <v>1</v>
      </c>
      <c r="E419" s="17" t="str">
        <f t="shared" si="111"/>
        <v>Section 10 - Spring Boot - Deployement</v>
      </c>
      <c r="F419" s="18" t="str">
        <f t="shared" si="107"/>
        <v/>
      </c>
      <c r="G419" s="13" t="str">
        <f t="shared" si="113"/>
        <v/>
      </c>
      <c r="H419">
        <f t="shared" si="114"/>
        <v>0</v>
      </c>
      <c r="I419">
        <f t="shared" si="115"/>
        <v>0</v>
      </c>
      <c r="J419" s="13">
        <f t="shared" si="116"/>
        <v>155</v>
      </c>
      <c r="K419">
        <f t="shared" si="108"/>
        <v>2</v>
      </c>
      <c r="L419">
        <f t="shared" si="109"/>
        <v>35</v>
      </c>
      <c r="M419" s="13">
        <f t="shared" si="117"/>
        <v>0</v>
      </c>
      <c r="N419">
        <f t="shared" si="117"/>
        <v>27</v>
      </c>
      <c r="O419" s="14">
        <f t="shared" si="105"/>
        <v>27</v>
      </c>
      <c r="P419" s="13">
        <f t="shared" si="110"/>
        <v>0</v>
      </c>
      <c r="Q419">
        <f t="shared" si="118"/>
        <v>27</v>
      </c>
      <c r="R419" s="14">
        <f t="shared" si="119"/>
        <v>27</v>
      </c>
      <c r="S419" s="15"/>
      <c r="W419" s="14"/>
    </row>
    <row r="420" spans="1:23" x14ac:dyDescent="0.25">
      <c r="A420" s="16"/>
      <c r="B420" s="17" t="b">
        <f t="shared" si="112"/>
        <v>0</v>
      </c>
      <c r="C420" s="17" t="b">
        <f t="shared" si="104"/>
        <v>0</v>
      </c>
      <c r="D420" s="17">
        <f t="shared" si="106"/>
        <v>1</v>
      </c>
      <c r="E420" s="17" t="str">
        <f t="shared" si="111"/>
        <v>Section 10 - Spring Boot - Deployement</v>
      </c>
      <c r="F420" s="18" t="str">
        <f t="shared" si="107"/>
        <v/>
      </c>
      <c r="G420" s="13" t="str">
        <f t="shared" si="113"/>
        <v/>
      </c>
      <c r="H420">
        <f t="shared" si="114"/>
        <v>0</v>
      </c>
      <c r="I420">
        <f t="shared" si="115"/>
        <v>0</v>
      </c>
      <c r="J420" s="13">
        <f t="shared" si="116"/>
        <v>155</v>
      </c>
      <c r="K420">
        <f t="shared" si="108"/>
        <v>2</v>
      </c>
      <c r="L420">
        <f t="shared" si="109"/>
        <v>35</v>
      </c>
      <c r="M420" s="13">
        <f t="shared" si="117"/>
        <v>0</v>
      </c>
      <c r="N420">
        <f t="shared" si="117"/>
        <v>27</v>
      </c>
      <c r="O420" s="14">
        <f t="shared" si="105"/>
        <v>27</v>
      </c>
      <c r="P420" s="13">
        <f t="shared" si="110"/>
        <v>0</v>
      </c>
      <c r="Q420">
        <f t="shared" si="118"/>
        <v>27</v>
      </c>
      <c r="R420" s="14">
        <f t="shared" si="119"/>
        <v>27</v>
      </c>
      <c r="S420" s="15"/>
      <c r="W420" s="14"/>
    </row>
    <row r="421" spans="1:23" x14ac:dyDescent="0.25">
      <c r="A421" s="16"/>
      <c r="B421" s="17" t="b">
        <f t="shared" si="112"/>
        <v>0</v>
      </c>
      <c r="C421" s="17" t="b">
        <f t="shared" si="104"/>
        <v>0</v>
      </c>
      <c r="D421" s="17">
        <f t="shared" si="106"/>
        <v>1</v>
      </c>
      <c r="E421" s="17" t="str">
        <f t="shared" si="111"/>
        <v>Section 10 - Spring Boot - Deployement</v>
      </c>
      <c r="F421" s="18" t="str">
        <f t="shared" si="107"/>
        <v/>
      </c>
      <c r="G421" s="13" t="str">
        <f t="shared" si="113"/>
        <v/>
      </c>
      <c r="H421">
        <f t="shared" si="114"/>
        <v>0</v>
      </c>
      <c r="I421">
        <f t="shared" si="115"/>
        <v>0</v>
      </c>
      <c r="J421" s="13">
        <f t="shared" si="116"/>
        <v>155</v>
      </c>
      <c r="K421">
        <f t="shared" si="108"/>
        <v>2</v>
      </c>
      <c r="L421">
        <f t="shared" si="109"/>
        <v>35</v>
      </c>
      <c r="M421" s="13">
        <f t="shared" si="117"/>
        <v>0</v>
      </c>
      <c r="N421">
        <f t="shared" si="117"/>
        <v>27</v>
      </c>
      <c r="O421" s="14">
        <f t="shared" si="105"/>
        <v>27</v>
      </c>
      <c r="P421" s="13">
        <f t="shared" si="110"/>
        <v>0</v>
      </c>
      <c r="Q421">
        <f t="shared" si="118"/>
        <v>27</v>
      </c>
      <c r="R421" s="14">
        <f t="shared" si="119"/>
        <v>27</v>
      </c>
      <c r="S421" s="15"/>
      <c r="W421" s="14"/>
    </row>
    <row r="422" spans="1:23" x14ac:dyDescent="0.25">
      <c r="A422" s="16"/>
      <c r="B422" s="17" t="b">
        <f t="shared" si="112"/>
        <v>0</v>
      </c>
      <c r="C422" s="17" t="b">
        <f t="shared" si="104"/>
        <v>0</v>
      </c>
      <c r="D422" s="17">
        <f t="shared" si="106"/>
        <v>1</v>
      </c>
      <c r="E422" s="17" t="str">
        <f t="shared" si="111"/>
        <v>Section 10 - Spring Boot - Deployement</v>
      </c>
      <c r="F422" s="18" t="str">
        <f t="shared" si="107"/>
        <v/>
      </c>
      <c r="G422" s="13" t="str">
        <f t="shared" si="113"/>
        <v/>
      </c>
      <c r="H422">
        <f t="shared" si="114"/>
        <v>0</v>
      </c>
      <c r="I422">
        <f t="shared" si="115"/>
        <v>0</v>
      </c>
      <c r="J422" s="13">
        <f t="shared" si="116"/>
        <v>155</v>
      </c>
      <c r="K422">
        <f t="shared" si="108"/>
        <v>2</v>
      </c>
      <c r="L422">
        <f t="shared" si="109"/>
        <v>35</v>
      </c>
      <c r="M422" s="13">
        <f t="shared" si="117"/>
        <v>0</v>
      </c>
      <c r="N422">
        <f t="shared" si="117"/>
        <v>27</v>
      </c>
      <c r="O422" s="14">
        <f t="shared" si="105"/>
        <v>27</v>
      </c>
      <c r="P422" s="13">
        <f t="shared" si="110"/>
        <v>0</v>
      </c>
      <c r="Q422">
        <f t="shared" si="118"/>
        <v>27</v>
      </c>
      <c r="R422" s="14">
        <f t="shared" si="119"/>
        <v>27</v>
      </c>
      <c r="S422" s="15"/>
      <c r="W422" s="14"/>
    </row>
    <row r="423" spans="1:23" x14ac:dyDescent="0.25">
      <c r="A423" s="16"/>
      <c r="B423" s="17" t="b">
        <f t="shared" si="112"/>
        <v>0</v>
      </c>
      <c r="C423" s="17" t="b">
        <f t="shared" si="104"/>
        <v>0</v>
      </c>
      <c r="D423" s="17">
        <f t="shared" si="106"/>
        <v>1</v>
      </c>
      <c r="E423" s="17" t="str">
        <f t="shared" si="111"/>
        <v>Section 10 - Spring Boot - Deployement</v>
      </c>
      <c r="F423" s="18" t="str">
        <f t="shared" si="107"/>
        <v/>
      </c>
      <c r="G423" s="13" t="str">
        <f t="shared" si="113"/>
        <v/>
      </c>
      <c r="H423">
        <f t="shared" si="114"/>
        <v>0</v>
      </c>
      <c r="I423">
        <f t="shared" si="115"/>
        <v>0</v>
      </c>
      <c r="J423" s="13">
        <f t="shared" si="116"/>
        <v>155</v>
      </c>
      <c r="K423">
        <f t="shared" si="108"/>
        <v>2</v>
      </c>
      <c r="L423">
        <f t="shared" si="109"/>
        <v>35</v>
      </c>
      <c r="M423" s="13">
        <f t="shared" si="117"/>
        <v>0</v>
      </c>
      <c r="N423">
        <f t="shared" si="117"/>
        <v>27</v>
      </c>
      <c r="O423" s="14">
        <f t="shared" si="105"/>
        <v>27</v>
      </c>
      <c r="P423" s="13">
        <f t="shared" si="110"/>
        <v>0</v>
      </c>
      <c r="Q423">
        <f t="shared" si="118"/>
        <v>27</v>
      </c>
      <c r="R423" s="14">
        <f t="shared" si="119"/>
        <v>27</v>
      </c>
      <c r="S423" s="15"/>
      <c r="W423" s="14"/>
    </row>
    <row r="424" spans="1:23" x14ac:dyDescent="0.25">
      <c r="A424" s="16"/>
      <c r="B424" s="17" t="b">
        <f t="shared" si="112"/>
        <v>0</v>
      </c>
      <c r="C424" s="17" t="b">
        <f t="shared" si="104"/>
        <v>0</v>
      </c>
      <c r="D424" s="17">
        <f t="shared" si="106"/>
        <v>1</v>
      </c>
      <c r="E424" s="17" t="str">
        <f t="shared" si="111"/>
        <v>Section 10 - Spring Boot - Deployement</v>
      </c>
      <c r="F424" s="18" t="str">
        <f t="shared" si="107"/>
        <v/>
      </c>
      <c r="G424" s="13" t="str">
        <f t="shared" si="113"/>
        <v/>
      </c>
      <c r="H424">
        <f t="shared" si="114"/>
        <v>0</v>
      </c>
      <c r="I424">
        <f t="shared" si="115"/>
        <v>0</v>
      </c>
      <c r="J424" s="13">
        <f t="shared" si="116"/>
        <v>155</v>
      </c>
      <c r="K424">
        <f t="shared" si="108"/>
        <v>2</v>
      </c>
      <c r="L424">
        <f t="shared" si="109"/>
        <v>35</v>
      </c>
      <c r="M424" s="13">
        <f t="shared" si="117"/>
        <v>0</v>
      </c>
      <c r="N424">
        <f t="shared" si="117"/>
        <v>27</v>
      </c>
      <c r="O424" s="14">
        <f t="shared" si="105"/>
        <v>27</v>
      </c>
      <c r="P424" s="13">
        <f t="shared" si="110"/>
        <v>0</v>
      </c>
      <c r="Q424">
        <f t="shared" si="118"/>
        <v>27</v>
      </c>
      <c r="R424" s="14">
        <f t="shared" si="119"/>
        <v>27</v>
      </c>
      <c r="S424" s="15"/>
      <c r="W424" s="14"/>
    </row>
    <row r="425" spans="1:23" x14ac:dyDescent="0.25">
      <c r="A425" s="16"/>
      <c r="B425" s="17" t="b">
        <f t="shared" si="112"/>
        <v>0</v>
      </c>
      <c r="C425" s="17" t="b">
        <f t="shared" si="104"/>
        <v>0</v>
      </c>
      <c r="D425" s="17">
        <f t="shared" si="106"/>
        <v>1</v>
      </c>
      <c r="E425" s="17" t="str">
        <f t="shared" si="111"/>
        <v>Section 10 - Spring Boot - Deployement</v>
      </c>
      <c r="F425" s="18" t="str">
        <f t="shared" si="107"/>
        <v/>
      </c>
      <c r="G425" s="13" t="str">
        <f t="shared" si="113"/>
        <v/>
      </c>
      <c r="H425">
        <f t="shared" si="114"/>
        <v>0</v>
      </c>
      <c r="I425">
        <f t="shared" si="115"/>
        <v>0</v>
      </c>
      <c r="J425" s="13">
        <f t="shared" si="116"/>
        <v>155</v>
      </c>
      <c r="K425">
        <f t="shared" si="108"/>
        <v>2</v>
      </c>
      <c r="L425">
        <f t="shared" si="109"/>
        <v>35</v>
      </c>
      <c r="M425" s="13">
        <f t="shared" si="117"/>
        <v>0</v>
      </c>
      <c r="N425">
        <f t="shared" si="117"/>
        <v>27</v>
      </c>
      <c r="O425" s="14">
        <f t="shared" si="105"/>
        <v>27</v>
      </c>
      <c r="P425" s="13">
        <f t="shared" si="110"/>
        <v>0</v>
      </c>
      <c r="Q425">
        <f t="shared" si="118"/>
        <v>27</v>
      </c>
      <c r="R425" s="14">
        <f t="shared" si="119"/>
        <v>27</v>
      </c>
      <c r="S425" s="15"/>
      <c r="W425" s="14"/>
    </row>
    <row r="426" spans="1:23" x14ac:dyDescent="0.25">
      <c r="A426" s="16"/>
      <c r="B426" s="17" t="b">
        <f t="shared" si="112"/>
        <v>0</v>
      </c>
      <c r="C426" s="17" t="b">
        <f t="shared" si="104"/>
        <v>0</v>
      </c>
      <c r="D426" s="17">
        <f t="shared" si="106"/>
        <v>1</v>
      </c>
      <c r="E426" s="17" t="str">
        <f t="shared" si="111"/>
        <v>Section 10 - Spring Boot - Deployement</v>
      </c>
      <c r="F426" s="18" t="str">
        <f t="shared" si="107"/>
        <v/>
      </c>
      <c r="G426" s="13" t="str">
        <f t="shared" si="113"/>
        <v/>
      </c>
      <c r="H426">
        <f t="shared" si="114"/>
        <v>0</v>
      </c>
      <c r="I426">
        <f t="shared" si="115"/>
        <v>0</v>
      </c>
      <c r="J426" s="13">
        <f t="shared" si="116"/>
        <v>155</v>
      </c>
      <c r="K426">
        <f t="shared" si="108"/>
        <v>2</v>
      </c>
      <c r="L426">
        <f t="shared" si="109"/>
        <v>35</v>
      </c>
      <c r="M426" s="13">
        <f t="shared" si="117"/>
        <v>0</v>
      </c>
      <c r="N426">
        <f t="shared" si="117"/>
        <v>27</v>
      </c>
      <c r="O426" s="14">
        <f t="shared" si="105"/>
        <v>27</v>
      </c>
      <c r="P426" s="13">
        <f t="shared" si="110"/>
        <v>0</v>
      </c>
      <c r="Q426">
        <f t="shared" si="118"/>
        <v>27</v>
      </c>
      <c r="R426" s="14">
        <f t="shared" si="119"/>
        <v>27</v>
      </c>
      <c r="S426" s="15"/>
      <c r="W426" s="14"/>
    </row>
    <row r="427" spans="1:23" x14ac:dyDescent="0.25">
      <c r="A427" s="16"/>
      <c r="B427" s="17" t="b">
        <f t="shared" si="112"/>
        <v>0</v>
      </c>
      <c r="C427" s="17" t="b">
        <f t="shared" si="104"/>
        <v>0</v>
      </c>
      <c r="D427" s="17">
        <f t="shared" si="106"/>
        <v>1</v>
      </c>
      <c r="E427" s="17" t="str">
        <f t="shared" si="111"/>
        <v>Section 10 - Spring Boot - Deployement</v>
      </c>
      <c r="F427" s="18" t="str">
        <f t="shared" si="107"/>
        <v/>
      </c>
      <c r="G427" s="13" t="str">
        <f t="shared" si="113"/>
        <v/>
      </c>
      <c r="H427">
        <f t="shared" si="114"/>
        <v>0</v>
      </c>
      <c r="I427">
        <f t="shared" si="115"/>
        <v>0</v>
      </c>
      <c r="J427" s="13">
        <f t="shared" si="116"/>
        <v>155</v>
      </c>
      <c r="K427">
        <f t="shared" si="108"/>
        <v>2</v>
      </c>
      <c r="L427">
        <f t="shared" si="109"/>
        <v>35</v>
      </c>
      <c r="M427" s="13">
        <f t="shared" si="117"/>
        <v>0</v>
      </c>
      <c r="N427">
        <f t="shared" si="117"/>
        <v>27</v>
      </c>
      <c r="O427" s="14">
        <f t="shared" si="105"/>
        <v>27</v>
      </c>
      <c r="P427" s="13">
        <f t="shared" si="110"/>
        <v>0</v>
      </c>
      <c r="Q427">
        <f t="shared" si="118"/>
        <v>27</v>
      </c>
      <c r="R427" s="14">
        <f t="shared" si="119"/>
        <v>27</v>
      </c>
      <c r="S427" s="15"/>
      <c r="W427" s="14"/>
    </row>
    <row r="428" spans="1:23" x14ac:dyDescent="0.25">
      <c r="A428" s="16"/>
      <c r="B428" s="17" t="b">
        <f t="shared" si="112"/>
        <v>0</v>
      </c>
      <c r="C428" s="17" t="b">
        <f t="shared" si="104"/>
        <v>0</v>
      </c>
      <c r="D428" s="17">
        <f t="shared" si="106"/>
        <v>1</v>
      </c>
      <c r="E428" s="17" t="str">
        <f t="shared" si="111"/>
        <v>Section 10 - Spring Boot - Deployement</v>
      </c>
      <c r="F428" s="18" t="str">
        <f t="shared" si="107"/>
        <v/>
      </c>
      <c r="G428" s="13" t="str">
        <f t="shared" si="113"/>
        <v/>
      </c>
      <c r="H428">
        <f t="shared" si="114"/>
        <v>0</v>
      </c>
      <c r="I428">
        <f t="shared" si="115"/>
        <v>0</v>
      </c>
      <c r="J428" s="13">
        <f t="shared" si="116"/>
        <v>155</v>
      </c>
      <c r="K428">
        <f t="shared" si="108"/>
        <v>2</v>
      </c>
      <c r="L428">
        <f t="shared" si="109"/>
        <v>35</v>
      </c>
      <c r="M428" s="13">
        <f t="shared" si="117"/>
        <v>0</v>
      </c>
      <c r="N428">
        <f t="shared" si="117"/>
        <v>27</v>
      </c>
      <c r="O428" s="14">
        <f t="shared" si="105"/>
        <v>27</v>
      </c>
      <c r="P428" s="13">
        <f t="shared" si="110"/>
        <v>0</v>
      </c>
      <c r="Q428">
        <f t="shared" si="118"/>
        <v>27</v>
      </c>
      <c r="R428" s="14">
        <f t="shared" si="119"/>
        <v>27</v>
      </c>
      <c r="S428" s="15"/>
      <c r="W428" s="14"/>
    </row>
    <row r="429" spans="1:23" x14ac:dyDescent="0.25">
      <c r="A429" s="16"/>
      <c r="B429" s="17" t="b">
        <f t="shared" si="112"/>
        <v>0</v>
      </c>
      <c r="C429" s="17" t="b">
        <f t="shared" si="104"/>
        <v>0</v>
      </c>
      <c r="D429" s="17">
        <f t="shared" si="106"/>
        <v>1</v>
      </c>
      <c r="E429" s="17" t="str">
        <f t="shared" si="111"/>
        <v>Section 10 - Spring Boot - Deployement</v>
      </c>
      <c r="F429" s="18" t="str">
        <f t="shared" si="107"/>
        <v/>
      </c>
      <c r="G429" s="13" t="str">
        <f t="shared" si="113"/>
        <v/>
      </c>
      <c r="H429">
        <f t="shared" si="114"/>
        <v>0</v>
      </c>
      <c r="I429">
        <f t="shared" si="115"/>
        <v>0</v>
      </c>
      <c r="J429" s="13">
        <f t="shared" si="116"/>
        <v>155</v>
      </c>
      <c r="K429">
        <f t="shared" si="108"/>
        <v>2</v>
      </c>
      <c r="L429">
        <f t="shared" si="109"/>
        <v>35</v>
      </c>
      <c r="M429" s="13">
        <f t="shared" si="117"/>
        <v>0</v>
      </c>
      <c r="N429">
        <f t="shared" si="117"/>
        <v>27</v>
      </c>
      <c r="O429" s="14">
        <f t="shared" si="105"/>
        <v>27</v>
      </c>
      <c r="P429" s="13">
        <f t="shared" si="110"/>
        <v>0</v>
      </c>
      <c r="Q429">
        <f t="shared" si="118"/>
        <v>27</v>
      </c>
      <c r="R429" s="14">
        <f t="shared" si="119"/>
        <v>27</v>
      </c>
      <c r="S429" s="15"/>
      <c r="W429" s="14"/>
    </row>
    <row r="430" spans="1:23" x14ac:dyDescent="0.25">
      <c r="A430" s="16"/>
      <c r="B430" s="17" t="b">
        <f t="shared" si="112"/>
        <v>0</v>
      </c>
      <c r="C430" s="17" t="b">
        <f t="shared" si="104"/>
        <v>0</v>
      </c>
      <c r="D430" s="17">
        <f t="shared" si="106"/>
        <v>1</v>
      </c>
      <c r="E430" s="17" t="str">
        <f t="shared" si="111"/>
        <v>Section 10 - Spring Boot - Deployement</v>
      </c>
      <c r="F430" s="18" t="str">
        <f t="shared" si="107"/>
        <v/>
      </c>
      <c r="G430" s="13" t="str">
        <f t="shared" si="113"/>
        <v/>
      </c>
      <c r="H430">
        <f t="shared" si="114"/>
        <v>0</v>
      </c>
      <c r="I430">
        <f t="shared" si="115"/>
        <v>0</v>
      </c>
      <c r="J430" s="13">
        <f t="shared" si="116"/>
        <v>155</v>
      </c>
      <c r="K430">
        <f t="shared" si="108"/>
        <v>2</v>
      </c>
      <c r="L430">
        <f t="shared" si="109"/>
        <v>35</v>
      </c>
      <c r="M430" s="13">
        <f t="shared" si="117"/>
        <v>0</v>
      </c>
      <c r="N430">
        <f t="shared" si="117"/>
        <v>27</v>
      </c>
      <c r="O430" s="14">
        <f t="shared" si="105"/>
        <v>27</v>
      </c>
      <c r="P430" s="13">
        <f t="shared" si="110"/>
        <v>0</v>
      </c>
      <c r="Q430">
        <f t="shared" si="118"/>
        <v>27</v>
      </c>
      <c r="R430" s="14">
        <f t="shared" si="119"/>
        <v>27</v>
      </c>
      <c r="S430" s="15"/>
      <c r="W430" s="14"/>
    </row>
    <row r="431" spans="1:23" x14ac:dyDescent="0.25">
      <c r="A431" s="16"/>
      <c r="B431" s="17" t="b">
        <f t="shared" si="112"/>
        <v>0</v>
      </c>
      <c r="C431" s="17" t="b">
        <f t="shared" si="104"/>
        <v>0</v>
      </c>
      <c r="D431" s="17">
        <f t="shared" si="106"/>
        <v>1</v>
      </c>
      <c r="E431" s="17" t="str">
        <f t="shared" si="111"/>
        <v>Section 10 - Spring Boot - Deployement</v>
      </c>
      <c r="F431" s="18" t="str">
        <f t="shared" si="107"/>
        <v/>
      </c>
      <c r="G431" s="13" t="str">
        <f t="shared" si="113"/>
        <v/>
      </c>
      <c r="H431">
        <f t="shared" si="114"/>
        <v>0</v>
      </c>
      <c r="I431">
        <f t="shared" si="115"/>
        <v>0</v>
      </c>
      <c r="J431" s="13">
        <f t="shared" si="116"/>
        <v>155</v>
      </c>
      <c r="K431">
        <f t="shared" si="108"/>
        <v>2</v>
      </c>
      <c r="L431">
        <f t="shared" si="109"/>
        <v>35</v>
      </c>
      <c r="M431" s="13">
        <f t="shared" si="117"/>
        <v>0</v>
      </c>
      <c r="N431">
        <f t="shared" si="117"/>
        <v>27</v>
      </c>
      <c r="O431" s="14">
        <f t="shared" si="105"/>
        <v>27</v>
      </c>
      <c r="P431" s="13">
        <f t="shared" si="110"/>
        <v>0</v>
      </c>
      <c r="Q431">
        <f t="shared" si="118"/>
        <v>27</v>
      </c>
      <c r="R431" s="14">
        <f t="shared" si="119"/>
        <v>27</v>
      </c>
      <c r="S431" s="15"/>
      <c r="W431" s="14"/>
    </row>
    <row r="432" spans="1:23" x14ac:dyDescent="0.25">
      <c r="A432" s="16"/>
      <c r="B432" s="17" t="b">
        <f t="shared" si="112"/>
        <v>0</v>
      </c>
      <c r="C432" s="17" t="b">
        <f t="shared" si="104"/>
        <v>0</v>
      </c>
      <c r="D432" s="17">
        <f t="shared" si="106"/>
        <v>1</v>
      </c>
      <c r="E432" s="17" t="str">
        <f t="shared" si="111"/>
        <v>Section 10 - Spring Boot - Deployement</v>
      </c>
      <c r="F432" s="18" t="str">
        <f t="shared" si="107"/>
        <v/>
      </c>
      <c r="G432" s="13" t="str">
        <f t="shared" si="113"/>
        <v/>
      </c>
      <c r="H432">
        <f t="shared" si="114"/>
        <v>0</v>
      </c>
      <c r="I432">
        <f t="shared" si="115"/>
        <v>0</v>
      </c>
      <c r="J432" s="13">
        <f t="shared" si="116"/>
        <v>155</v>
      </c>
      <c r="K432">
        <f t="shared" si="108"/>
        <v>2</v>
      </c>
      <c r="L432">
        <f t="shared" si="109"/>
        <v>35</v>
      </c>
      <c r="M432" s="13">
        <f t="shared" si="117"/>
        <v>0</v>
      </c>
      <c r="N432">
        <f t="shared" si="117"/>
        <v>27</v>
      </c>
      <c r="O432" s="14">
        <f t="shared" si="105"/>
        <v>27</v>
      </c>
      <c r="P432" s="13">
        <f t="shared" si="110"/>
        <v>0</v>
      </c>
      <c r="Q432">
        <f t="shared" si="118"/>
        <v>27</v>
      </c>
      <c r="R432" s="14">
        <f t="shared" si="119"/>
        <v>27</v>
      </c>
      <c r="S432" s="15"/>
      <c r="W432" s="14"/>
    </row>
    <row r="433" spans="1:23" x14ac:dyDescent="0.25">
      <c r="A433" s="16"/>
      <c r="B433" s="17" t="b">
        <f t="shared" si="112"/>
        <v>0</v>
      </c>
      <c r="C433" s="17" t="b">
        <f t="shared" si="104"/>
        <v>0</v>
      </c>
      <c r="D433" s="17">
        <f t="shared" si="106"/>
        <v>1</v>
      </c>
      <c r="E433" s="17" t="str">
        <f t="shared" si="111"/>
        <v>Section 10 - Spring Boot - Deployement</v>
      </c>
      <c r="F433" s="18" t="str">
        <f t="shared" si="107"/>
        <v/>
      </c>
      <c r="G433" s="13" t="str">
        <f t="shared" si="113"/>
        <v/>
      </c>
      <c r="H433">
        <f t="shared" si="114"/>
        <v>0</v>
      </c>
      <c r="I433">
        <f t="shared" si="115"/>
        <v>0</v>
      </c>
      <c r="J433" s="13">
        <f t="shared" si="116"/>
        <v>155</v>
      </c>
      <c r="K433">
        <f t="shared" si="108"/>
        <v>2</v>
      </c>
      <c r="L433">
        <f t="shared" si="109"/>
        <v>35</v>
      </c>
      <c r="M433" s="13">
        <f t="shared" si="117"/>
        <v>0</v>
      </c>
      <c r="N433">
        <f t="shared" si="117"/>
        <v>27</v>
      </c>
      <c r="O433" s="14">
        <f t="shared" si="105"/>
        <v>27</v>
      </c>
      <c r="P433" s="13">
        <f t="shared" si="110"/>
        <v>0</v>
      </c>
      <c r="Q433">
        <f t="shared" si="118"/>
        <v>27</v>
      </c>
      <c r="R433" s="14">
        <f t="shared" si="119"/>
        <v>27</v>
      </c>
      <c r="S433" s="15"/>
      <c r="W433" s="14"/>
    </row>
    <row r="434" spans="1:23" x14ac:dyDescent="0.25">
      <c r="A434" s="16"/>
      <c r="B434" s="17" t="b">
        <f t="shared" si="112"/>
        <v>0</v>
      </c>
      <c r="C434" s="17" t="b">
        <f t="shared" si="104"/>
        <v>0</v>
      </c>
      <c r="D434" s="17">
        <f t="shared" si="106"/>
        <v>1</v>
      </c>
      <c r="E434" s="17" t="str">
        <f t="shared" si="111"/>
        <v>Section 10 - Spring Boot - Deployement</v>
      </c>
      <c r="F434" s="18" t="str">
        <f t="shared" si="107"/>
        <v/>
      </c>
      <c r="G434" s="13" t="str">
        <f t="shared" si="113"/>
        <v/>
      </c>
      <c r="H434">
        <f t="shared" si="114"/>
        <v>0</v>
      </c>
      <c r="I434">
        <f t="shared" si="115"/>
        <v>0</v>
      </c>
      <c r="J434" s="13">
        <f t="shared" si="116"/>
        <v>155</v>
      </c>
      <c r="K434">
        <f t="shared" si="108"/>
        <v>2</v>
      </c>
      <c r="L434">
        <f t="shared" si="109"/>
        <v>35</v>
      </c>
      <c r="M434" s="13">
        <f t="shared" si="117"/>
        <v>0</v>
      </c>
      <c r="N434">
        <f t="shared" si="117"/>
        <v>27</v>
      </c>
      <c r="O434" s="14">
        <f t="shared" si="105"/>
        <v>27</v>
      </c>
      <c r="P434" s="13">
        <f t="shared" si="110"/>
        <v>0</v>
      </c>
      <c r="Q434">
        <f t="shared" si="118"/>
        <v>27</v>
      </c>
      <c r="R434" s="14">
        <f t="shared" si="119"/>
        <v>27</v>
      </c>
      <c r="S434" s="15"/>
      <c r="W434" s="14"/>
    </row>
    <row r="435" spans="1:23" x14ac:dyDescent="0.25">
      <c r="A435" s="16"/>
      <c r="B435" s="17" t="b">
        <f t="shared" si="112"/>
        <v>0</v>
      </c>
      <c r="C435" s="17" t="b">
        <f t="shared" si="104"/>
        <v>0</v>
      </c>
      <c r="D435" s="17">
        <f t="shared" si="106"/>
        <v>1</v>
      </c>
      <c r="E435" s="17" t="str">
        <f t="shared" si="111"/>
        <v>Section 10 - Spring Boot - Deployement</v>
      </c>
      <c r="F435" s="18" t="str">
        <f t="shared" si="107"/>
        <v/>
      </c>
      <c r="G435" s="13" t="str">
        <f t="shared" si="113"/>
        <v/>
      </c>
      <c r="H435">
        <f t="shared" si="114"/>
        <v>0</v>
      </c>
      <c r="I435">
        <f t="shared" si="115"/>
        <v>0</v>
      </c>
      <c r="J435" s="13">
        <f t="shared" si="116"/>
        <v>155</v>
      </c>
      <c r="K435">
        <f t="shared" si="108"/>
        <v>2</v>
      </c>
      <c r="L435">
        <f t="shared" si="109"/>
        <v>35</v>
      </c>
      <c r="M435" s="13">
        <f t="shared" si="117"/>
        <v>0</v>
      </c>
      <c r="N435">
        <f t="shared" si="117"/>
        <v>27</v>
      </c>
      <c r="O435" s="14">
        <f t="shared" si="105"/>
        <v>27</v>
      </c>
      <c r="P435" s="13">
        <f t="shared" si="110"/>
        <v>0</v>
      </c>
      <c r="Q435">
        <f t="shared" si="118"/>
        <v>27</v>
      </c>
      <c r="R435" s="14">
        <f t="shared" si="119"/>
        <v>27</v>
      </c>
      <c r="S435" s="15"/>
      <c r="W435" s="14"/>
    </row>
    <row r="436" spans="1:23" x14ac:dyDescent="0.25">
      <c r="A436" s="16"/>
      <c r="B436" s="17" t="b">
        <f t="shared" si="112"/>
        <v>0</v>
      </c>
      <c r="C436" s="17" t="b">
        <f t="shared" si="104"/>
        <v>0</v>
      </c>
      <c r="D436" s="17">
        <f t="shared" si="106"/>
        <v>1</v>
      </c>
      <c r="E436" s="17" t="str">
        <f t="shared" si="111"/>
        <v>Section 10 - Spring Boot - Deployement</v>
      </c>
      <c r="F436" s="18" t="str">
        <f t="shared" si="107"/>
        <v/>
      </c>
      <c r="G436" s="13" t="str">
        <f t="shared" si="113"/>
        <v/>
      </c>
      <c r="H436">
        <f t="shared" si="114"/>
        <v>0</v>
      </c>
      <c r="I436">
        <f t="shared" si="115"/>
        <v>0</v>
      </c>
      <c r="J436" s="13">
        <f t="shared" si="116"/>
        <v>155</v>
      </c>
      <c r="K436">
        <f t="shared" si="108"/>
        <v>2</v>
      </c>
      <c r="L436">
        <f t="shared" si="109"/>
        <v>35</v>
      </c>
      <c r="M436" s="13">
        <f t="shared" si="117"/>
        <v>0</v>
      </c>
      <c r="N436">
        <f t="shared" si="117"/>
        <v>27</v>
      </c>
      <c r="O436" s="14">
        <f t="shared" si="105"/>
        <v>27</v>
      </c>
      <c r="P436" s="13">
        <f t="shared" si="110"/>
        <v>0</v>
      </c>
      <c r="Q436">
        <f t="shared" si="118"/>
        <v>27</v>
      </c>
      <c r="R436" s="14">
        <f t="shared" si="119"/>
        <v>27</v>
      </c>
      <c r="S436" s="15"/>
      <c r="W436" s="14"/>
    </row>
    <row r="437" spans="1:23" x14ac:dyDescent="0.25">
      <c r="A437" s="16"/>
      <c r="B437" s="17" t="b">
        <f t="shared" si="112"/>
        <v>0</v>
      </c>
      <c r="C437" s="17" t="b">
        <f t="shared" si="104"/>
        <v>0</v>
      </c>
      <c r="D437" s="17">
        <f t="shared" si="106"/>
        <v>1</v>
      </c>
      <c r="E437" s="17" t="str">
        <f t="shared" si="111"/>
        <v>Section 10 - Spring Boot - Deployement</v>
      </c>
      <c r="F437" s="18" t="str">
        <f t="shared" si="107"/>
        <v/>
      </c>
      <c r="G437" s="13" t="str">
        <f t="shared" si="113"/>
        <v/>
      </c>
      <c r="H437">
        <f t="shared" si="114"/>
        <v>0</v>
      </c>
      <c r="I437">
        <f t="shared" si="115"/>
        <v>0</v>
      </c>
      <c r="J437" s="13">
        <f t="shared" si="116"/>
        <v>155</v>
      </c>
      <c r="K437">
        <f t="shared" si="108"/>
        <v>2</v>
      </c>
      <c r="L437">
        <f t="shared" si="109"/>
        <v>35</v>
      </c>
      <c r="M437" s="13">
        <f t="shared" si="117"/>
        <v>0</v>
      </c>
      <c r="N437">
        <f t="shared" si="117"/>
        <v>27</v>
      </c>
      <c r="O437" s="14">
        <f t="shared" si="105"/>
        <v>27</v>
      </c>
      <c r="P437" s="13">
        <f t="shared" si="110"/>
        <v>0</v>
      </c>
      <c r="Q437">
        <f t="shared" si="118"/>
        <v>27</v>
      </c>
      <c r="R437" s="14">
        <f t="shared" si="119"/>
        <v>27</v>
      </c>
      <c r="S437" s="15"/>
      <c r="W437" s="14"/>
    </row>
    <row r="438" spans="1:23" x14ac:dyDescent="0.25">
      <c r="A438" s="16"/>
      <c r="B438" s="17" t="b">
        <f t="shared" si="112"/>
        <v>0</v>
      </c>
      <c r="C438" s="17" t="b">
        <f t="shared" si="104"/>
        <v>0</v>
      </c>
      <c r="D438" s="17">
        <f t="shared" si="106"/>
        <v>1</v>
      </c>
      <c r="E438" s="17" t="str">
        <f t="shared" si="111"/>
        <v>Section 10 - Spring Boot - Deployement</v>
      </c>
      <c r="F438" s="18" t="str">
        <f t="shared" si="107"/>
        <v/>
      </c>
      <c r="G438" s="13" t="str">
        <f t="shared" si="113"/>
        <v/>
      </c>
      <c r="H438">
        <f t="shared" si="114"/>
        <v>0</v>
      </c>
      <c r="I438">
        <f t="shared" si="115"/>
        <v>0</v>
      </c>
      <c r="J438" s="13">
        <f t="shared" si="116"/>
        <v>155</v>
      </c>
      <c r="K438">
        <f t="shared" si="108"/>
        <v>2</v>
      </c>
      <c r="L438">
        <f t="shared" si="109"/>
        <v>35</v>
      </c>
      <c r="M438" s="13">
        <f t="shared" si="117"/>
        <v>0</v>
      </c>
      <c r="N438">
        <f t="shared" si="117"/>
        <v>27</v>
      </c>
      <c r="O438" s="14">
        <f t="shared" si="105"/>
        <v>27</v>
      </c>
      <c r="P438" s="13">
        <f t="shared" si="110"/>
        <v>0</v>
      </c>
      <c r="Q438">
        <f t="shared" si="118"/>
        <v>27</v>
      </c>
      <c r="R438" s="14">
        <f t="shared" si="119"/>
        <v>27</v>
      </c>
      <c r="S438" s="15"/>
      <c r="W438" s="14"/>
    </row>
    <row r="439" spans="1:23" x14ac:dyDescent="0.25">
      <c r="A439" s="16"/>
      <c r="B439" s="17" t="b">
        <f t="shared" si="112"/>
        <v>0</v>
      </c>
      <c r="C439" s="17" t="b">
        <f t="shared" si="104"/>
        <v>0</v>
      </c>
      <c r="D439" s="17">
        <f t="shared" si="106"/>
        <v>1</v>
      </c>
      <c r="E439" s="17" t="str">
        <f t="shared" si="111"/>
        <v>Section 10 - Spring Boot - Deployement</v>
      </c>
      <c r="F439" s="18" t="str">
        <f t="shared" si="107"/>
        <v/>
      </c>
      <c r="G439" s="13" t="str">
        <f t="shared" si="113"/>
        <v/>
      </c>
      <c r="H439">
        <f t="shared" si="114"/>
        <v>0</v>
      </c>
      <c r="I439">
        <f t="shared" si="115"/>
        <v>0</v>
      </c>
      <c r="J439" s="13">
        <f t="shared" si="116"/>
        <v>155</v>
      </c>
      <c r="K439">
        <f t="shared" si="108"/>
        <v>2</v>
      </c>
      <c r="L439">
        <f t="shared" si="109"/>
        <v>35</v>
      </c>
      <c r="M439" s="13">
        <f t="shared" si="117"/>
        <v>0</v>
      </c>
      <c r="N439">
        <f t="shared" si="117"/>
        <v>27</v>
      </c>
      <c r="O439" s="14">
        <f t="shared" si="105"/>
        <v>27</v>
      </c>
      <c r="P439" s="13">
        <f t="shared" si="110"/>
        <v>0</v>
      </c>
      <c r="Q439">
        <f t="shared" si="118"/>
        <v>27</v>
      </c>
      <c r="R439" s="14">
        <f t="shared" si="119"/>
        <v>27</v>
      </c>
      <c r="S439" s="15"/>
      <c r="W439" s="14"/>
    </row>
    <row r="440" spans="1:23" x14ac:dyDescent="0.25">
      <c r="A440" s="16"/>
      <c r="B440" s="17" t="b">
        <f t="shared" si="112"/>
        <v>0</v>
      </c>
      <c r="C440" s="17" t="b">
        <f t="shared" si="104"/>
        <v>0</v>
      </c>
      <c r="D440" s="17">
        <f t="shared" si="106"/>
        <v>1</v>
      </c>
      <c r="E440" s="17" t="str">
        <f t="shared" si="111"/>
        <v>Section 10 - Spring Boot - Deployement</v>
      </c>
      <c r="F440" s="18" t="str">
        <f t="shared" si="107"/>
        <v/>
      </c>
      <c r="G440" s="13" t="str">
        <f t="shared" si="113"/>
        <v/>
      </c>
      <c r="H440">
        <f t="shared" si="114"/>
        <v>0</v>
      </c>
      <c r="I440">
        <f t="shared" si="115"/>
        <v>0</v>
      </c>
      <c r="J440" s="13">
        <f t="shared" si="116"/>
        <v>155</v>
      </c>
      <c r="K440">
        <f t="shared" si="108"/>
        <v>2</v>
      </c>
      <c r="L440">
        <f t="shared" si="109"/>
        <v>35</v>
      </c>
      <c r="M440" s="13">
        <f t="shared" si="117"/>
        <v>0</v>
      </c>
      <c r="N440">
        <f t="shared" si="117"/>
        <v>27</v>
      </c>
      <c r="O440" s="14">
        <f t="shared" si="105"/>
        <v>27</v>
      </c>
      <c r="P440" s="13">
        <f t="shared" si="110"/>
        <v>0</v>
      </c>
      <c r="Q440">
        <f t="shared" si="118"/>
        <v>27</v>
      </c>
      <c r="R440" s="14">
        <f t="shared" si="119"/>
        <v>27</v>
      </c>
      <c r="S440" s="15"/>
      <c r="W440" s="14"/>
    </row>
    <row r="441" spans="1:23" x14ac:dyDescent="0.25">
      <c r="A441" s="16"/>
      <c r="B441" s="17" t="b">
        <f t="shared" si="112"/>
        <v>0</v>
      </c>
      <c r="C441" s="17" t="b">
        <f t="shared" si="104"/>
        <v>0</v>
      </c>
      <c r="D441" s="17">
        <f t="shared" si="106"/>
        <v>1</v>
      </c>
      <c r="E441" s="17" t="str">
        <f t="shared" si="111"/>
        <v>Section 10 - Spring Boot - Deployement</v>
      </c>
      <c r="F441" s="18" t="str">
        <f t="shared" si="107"/>
        <v/>
      </c>
      <c r="G441" s="13" t="str">
        <f t="shared" si="113"/>
        <v/>
      </c>
      <c r="H441">
        <f t="shared" si="114"/>
        <v>0</v>
      </c>
      <c r="I441">
        <f t="shared" si="115"/>
        <v>0</v>
      </c>
      <c r="J441" s="13">
        <f t="shared" si="116"/>
        <v>155</v>
      </c>
      <c r="K441">
        <f t="shared" si="108"/>
        <v>2</v>
      </c>
      <c r="L441">
        <f t="shared" si="109"/>
        <v>35</v>
      </c>
      <c r="M441" s="13">
        <f t="shared" si="117"/>
        <v>0</v>
      </c>
      <c r="N441">
        <f t="shared" si="117"/>
        <v>27</v>
      </c>
      <c r="O441" s="14">
        <f t="shared" si="105"/>
        <v>27</v>
      </c>
      <c r="P441" s="13">
        <f t="shared" si="110"/>
        <v>0</v>
      </c>
      <c r="Q441">
        <f t="shared" si="118"/>
        <v>27</v>
      </c>
      <c r="R441" s="14">
        <f t="shared" si="119"/>
        <v>27</v>
      </c>
      <c r="S441" s="15"/>
      <c r="W441" s="14"/>
    </row>
    <row r="442" spans="1:23" x14ac:dyDescent="0.25">
      <c r="A442" s="16"/>
      <c r="B442" s="17" t="b">
        <f t="shared" si="112"/>
        <v>0</v>
      </c>
      <c r="C442" s="17" t="b">
        <f t="shared" si="104"/>
        <v>0</v>
      </c>
      <c r="D442" s="17">
        <f t="shared" si="106"/>
        <v>1</v>
      </c>
      <c r="E442" s="17" t="str">
        <f t="shared" si="111"/>
        <v>Section 10 - Spring Boot - Deployement</v>
      </c>
      <c r="F442" s="18" t="str">
        <f t="shared" si="107"/>
        <v/>
      </c>
      <c r="G442" s="13" t="str">
        <f t="shared" si="113"/>
        <v/>
      </c>
      <c r="H442">
        <f t="shared" si="114"/>
        <v>0</v>
      </c>
      <c r="I442">
        <f t="shared" si="115"/>
        <v>0</v>
      </c>
      <c r="J442" s="13">
        <f t="shared" si="116"/>
        <v>155</v>
      </c>
      <c r="K442">
        <f t="shared" si="108"/>
        <v>2</v>
      </c>
      <c r="L442">
        <f t="shared" si="109"/>
        <v>35</v>
      </c>
      <c r="M442" s="13">
        <f t="shared" si="117"/>
        <v>0</v>
      </c>
      <c r="N442">
        <f t="shared" si="117"/>
        <v>27</v>
      </c>
      <c r="O442" s="14">
        <f t="shared" si="105"/>
        <v>27</v>
      </c>
      <c r="P442" s="13">
        <f t="shared" si="110"/>
        <v>0</v>
      </c>
      <c r="Q442">
        <f t="shared" si="118"/>
        <v>27</v>
      </c>
      <c r="R442" s="14">
        <f t="shared" si="119"/>
        <v>27</v>
      </c>
      <c r="S442" s="15"/>
      <c r="W442" s="14"/>
    </row>
    <row r="443" spans="1:23" x14ac:dyDescent="0.25">
      <c r="A443" s="16"/>
      <c r="B443" s="17" t="b">
        <f t="shared" si="112"/>
        <v>0</v>
      </c>
      <c r="C443" s="17" t="b">
        <f t="shared" si="104"/>
        <v>0</v>
      </c>
      <c r="D443" s="17">
        <f t="shared" si="106"/>
        <v>1</v>
      </c>
      <c r="E443" s="17" t="str">
        <f t="shared" si="111"/>
        <v>Section 10 - Spring Boot - Deployement</v>
      </c>
      <c r="F443" s="18" t="str">
        <f t="shared" si="107"/>
        <v/>
      </c>
      <c r="G443" s="13" t="str">
        <f t="shared" si="113"/>
        <v/>
      </c>
      <c r="H443">
        <f t="shared" si="114"/>
        <v>0</v>
      </c>
      <c r="I443">
        <f t="shared" si="115"/>
        <v>0</v>
      </c>
      <c r="J443" s="13">
        <f t="shared" si="116"/>
        <v>155</v>
      </c>
      <c r="K443">
        <f t="shared" si="108"/>
        <v>2</v>
      </c>
      <c r="L443">
        <f t="shared" si="109"/>
        <v>35</v>
      </c>
      <c r="M443" s="13">
        <f t="shared" si="117"/>
        <v>0</v>
      </c>
      <c r="N443">
        <f t="shared" si="117"/>
        <v>27</v>
      </c>
      <c r="O443" s="14">
        <f t="shared" si="105"/>
        <v>27</v>
      </c>
      <c r="P443" s="13">
        <f t="shared" si="110"/>
        <v>0</v>
      </c>
      <c r="Q443">
        <f t="shared" si="118"/>
        <v>27</v>
      </c>
      <c r="R443" s="14">
        <f t="shared" si="119"/>
        <v>27</v>
      </c>
      <c r="S443" s="15"/>
      <c r="W443" s="14"/>
    </row>
    <row r="444" spans="1:23" x14ac:dyDescent="0.25">
      <c r="A444" s="16"/>
      <c r="B444" s="17" t="b">
        <f t="shared" si="112"/>
        <v>0</v>
      </c>
      <c r="C444" s="17" t="b">
        <f t="shared" si="104"/>
        <v>0</v>
      </c>
      <c r="D444" s="17">
        <f t="shared" si="106"/>
        <v>1</v>
      </c>
      <c r="E444" s="17" t="str">
        <f t="shared" si="111"/>
        <v>Section 10 - Spring Boot - Deployement</v>
      </c>
      <c r="F444" s="18" t="str">
        <f t="shared" si="107"/>
        <v/>
      </c>
      <c r="G444" s="13" t="str">
        <f t="shared" si="113"/>
        <v/>
      </c>
      <c r="H444">
        <f t="shared" si="114"/>
        <v>0</v>
      </c>
      <c r="I444">
        <f t="shared" si="115"/>
        <v>0</v>
      </c>
      <c r="J444" s="13">
        <f t="shared" si="116"/>
        <v>155</v>
      </c>
      <c r="K444">
        <f t="shared" si="108"/>
        <v>2</v>
      </c>
      <c r="L444">
        <f t="shared" si="109"/>
        <v>35</v>
      </c>
      <c r="M444" s="13">
        <f t="shared" si="117"/>
        <v>0</v>
      </c>
      <c r="N444">
        <f t="shared" si="117"/>
        <v>27</v>
      </c>
      <c r="O444" s="14">
        <f t="shared" si="105"/>
        <v>27</v>
      </c>
      <c r="P444" s="13">
        <f t="shared" si="110"/>
        <v>0</v>
      </c>
      <c r="Q444">
        <f t="shared" si="118"/>
        <v>27</v>
      </c>
      <c r="R444" s="14">
        <f t="shared" si="119"/>
        <v>27</v>
      </c>
      <c r="S444" s="15"/>
      <c r="W444" s="14"/>
    </row>
    <row r="445" spans="1:23" x14ac:dyDescent="0.25">
      <c r="A445" s="16"/>
      <c r="B445" s="17" t="b">
        <f t="shared" si="112"/>
        <v>0</v>
      </c>
      <c r="C445" s="17" t="b">
        <f t="shared" si="104"/>
        <v>0</v>
      </c>
      <c r="D445" s="17">
        <f t="shared" si="106"/>
        <v>1</v>
      </c>
      <c r="E445" s="17" t="str">
        <f t="shared" si="111"/>
        <v>Section 10 - Spring Boot - Deployement</v>
      </c>
      <c r="F445" s="18" t="str">
        <f t="shared" si="107"/>
        <v/>
      </c>
      <c r="G445" s="13" t="str">
        <f t="shared" si="113"/>
        <v/>
      </c>
      <c r="H445">
        <f t="shared" si="114"/>
        <v>0</v>
      </c>
      <c r="I445">
        <f t="shared" si="115"/>
        <v>0</v>
      </c>
      <c r="J445" s="13">
        <f t="shared" si="116"/>
        <v>155</v>
      </c>
      <c r="K445">
        <f t="shared" si="108"/>
        <v>2</v>
      </c>
      <c r="L445">
        <f t="shared" si="109"/>
        <v>35</v>
      </c>
      <c r="M445" s="13">
        <f t="shared" si="117"/>
        <v>0</v>
      </c>
      <c r="N445">
        <f t="shared" si="117"/>
        <v>27</v>
      </c>
      <c r="O445" s="14">
        <f t="shared" si="105"/>
        <v>27</v>
      </c>
      <c r="P445" s="13">
        <f t="shared" si="110"/>
        <v>0</v>
      </c>
      <c r="Q445">
        <f t="shared" si="118"/>
        <v>27</v>
      </c>
      <c r="R445" s="14">
        <f t="shared" si="119"/>
        <v>27</v>
      </c>
      <c r="S445" s="15"/>
      <c r="W445" s="14"/>
    </row>
    <row r="446" spans="1:23" x14ac:dyDescent="0.25">
      <c r="A446" s="16"/>
      <c r="B446" s="17" t="b">
        <f t="shared" si="112"/>
        <v>0</v>
      </c>
      <c r="C446" s="17" t="b">
        <f t="shared" si="104"/>
        <v>0</v>
      </c>
      <c r="D446" s="17">
        <f t="shared" si="106"/>
        <v>1</v>
      </c>
      <c r="E446" s="17" t="str">
        <f t="shared" si="111"/>
        <v>Section 10 - Spring Boot - Deployement</v>
      </c>
      <c r="F446" s="18" t="str">
        <f t="shared" si="107"/>
        <v/>
      </c>
      <c r="G446" s="13" t="str">
        <f t="shared" si="113"/>
        <v/>
      </c>
      <c r="H446">
        <f t="shared" si="114"/>
        <v>0</v>
      </c>
      <c r="I446">
        <f t="shared" si="115"/>
        <v>0</v>
      </c>
      <c r="J446" s="13">
        <f t="shared" si="116"/>
        <v>155</v>
      </c>
      <c r="K446">
        <f t="shared" si="108"/>
        <v>2</v>
      </c>
      <c r="L446">
        <f t="shared" si="109"/>
        <v>35</v>
      </c>
      <c r="M446" s="13">
        <f t="shared" si="117"/>
        <v>0</v>
      </c>
      <c r="N446">
        <f t="shared" si="117"/>
        <v>27</v>
      </c>
      <c r="O446" s="14">
        <f t="shared" si="105"/>
        <v>27</v>
      </c>
      <c r="P446" s="13">
        <f t="shared" si="110"/>
        <v>0</v>
      </c>
      <c r="Q446">
        <f t="shared" si="118"/>
        <v>27</v>
      </c>
      <c r="R446" s="14">
        <f t="shared" si="119"/>
        <v>27</v>
      </c>
      <c r="S446" s="15"/>
      <c r="W446" s="14"/>
    </row>
    <row r="447" spans="1:23" x14ac:dyDescent="0.25">
      <c r="A447" s="16"/>
      <c r="B447" s="17" t="b">
        <f t="shared" si="112"/>
        <v>0</v>
      </c>
      <c r="C447" s="17" t="b">
        <f t="shared" si="104"/>
        <v>0</v>
      </c>
      <c r="D447" s="17">
        <f t="shared" si="106"/>
        <v>1</v>
      </c>
      <c r="E447" s="17" t="str">
        <f t="shared" si="111"/>
        <v>Section 10 - Spring Boot - Deployement</v>
      </c>
      <c r="F447" s="18" t="str">
        <f t="shared" si="107"/>
        <v/>
      </c>
      <c r="G447" s="13" t="str">
        <f t="shared" si="113"/>
        <v/>
      </c>
      <c r="H447">
        <f t="shared" si="114"/>
        <v>0</v>
      </c>
      <c r="I447">
        <f t="shared" si="115"/>
        <v>0</v>
      </c>
      <c r="J447" s="13">
        <f t="shared" si="116"/>
        <v>155</v>
      </c>
      <c r="K447">
        <f t="shared" si="108"/>
        <v>2</v>
      </c>
      <c r="L447">
        <f t="shared" si="109"/>
        <v>35</v>
      </c>
      <c r="M447" s="13">
        <f t="shared" si="117"/>
        <v>0</v>
      </c>
      <c r="N447">
        <f t="shared" si="117"/>
        <v>27</v>
      </c>
      <c r="O447" s="14">
        <f t="shared" si="105"/>
        <v>27</v>
      </c>
      <c r="P447" s="13">
        <f t="shared" si="110"/>
        <v>0</v>
      </c>
      <c r="Q447">
        <f t="shared" si="118"/>
        <v>27</v>
      </c>
      <c r="R447" s="14">
        <f t="shared" si="119"/>
        <v>27</v>
      </c>
      <c r="S447" s="15"/>
      <c r="W447" s="14"/>
    </row>
    <row r="448" spans="1:23" x14ac:dyDescent="0.25">
      <c r="A448" s="16"/>
      <c r="B448" s="17" t="b">
        <f t="shared" si="112"/>
        <v>0</v>
      </c>
      <c r="C448" s="17" t="b">
        <f t="shared" ref="C448:C511" si="120">OR(NOT(ISERROR(FIND("hr",A449))), NOT(ISERROR(FIND("min ",A449))),RIGHT(A449,3)="min")</f>
        <v>0</v>
      </c>
      <c r="D448" s="17">
        <f t="shared" si="106"/>
        <v>1</v>
      </c>
      <c r="E448" s="17" t="str">
        <f t="shared" si="111"/>
        <v>Section 10 - Spring Boot - Deployement</v>
      </c>
      <c r="F448" s="18" t="str">
        <f t="shared" si="107"/>
        <v/>
      </c>
      <c r="G448" s="13" t="str">
        <f t="shared" si="113"/>
        <v/>
      </c>
      <c r="H448">
        <f t="shared" si="114"/>
        <v>0</v>
      </c>
      <c r="I448">
        <f t="shared" si="115"/>
        <v>0</v>
      </c>
      <c r="J448" s="13">
        <f t="shared" si="116"/>
        <v>155</v>
      </c>
      <c r="K448">
        <f t="shared" si="108"/>
        <v>2</v>
      </c>
      <c r="L448">
        <f t="shared" si="109"/>
        <v>35</v>
      </c>
      <c r="M448" s="13">
        <f t="shared" si="117"/>
        <v>0</v>
      </c>
      <c r="N448">
        <f t="shared" si="117"/>
        <v>27</v>
      </c>
      <c r="O448" s="14">
        <f t="shared" si="105"/>
        <v>27</v>
      </c>
      <c r="P448" s="13">
        <f t="shared" si="110"/>
        <v>0</v>
      </c>
      <c r="Q448">
        <f t="shared" si="118"/>
        <v>27</v>
      </c>
      <c r="R448" s="14">
        <f t="shared" si="119"/>
        <v>27</v>
      </c>
      <c r="S448" s="15"/>
      <c r="W448" s="14"/>
    </row>
    <row r="449" spans="1:23" x14ac:dyDescent="0.25">
      <c r="A449" s="16"/>
      <c r="B449" s="17" t="b">
        <f t="shared" si="112"/>
        <v>0</v>
      </c>
      <c r="C449" s="17" t="b">
        <f t="shared" si="120"/>
        <v>0</v>
      </c>
      <c r="D449" s="17">
        <f t="shared" si="106"/>
        <v>1</v>
      </c>
      <c r="E449" s="17" t="str">
        <f t="shared" si="111"/>
        <v>Section 10 - Spring Boot - Deployement</v>
      </c>
      <c r="F449" s="18" t="str">
        <f t="shared" si="107"/>
        <v/>
      </c>
      <c r="G449" s="13" t="str">
        <f t="shared" si="113"/>
        <v/>
      </c>
      <c r="H449">
        <f t="shared" si="114"/>
        <v>0</v>
      </c>
      <c r="I449">
        <f t="shared" si="115"/>
        <v>0</v>
      </c>
      <c r="J449" s="13">
        <f t="shared" si="116"/>
        <v>155</v>
      </c>
      <c r="K449">
        <f t="shared" si="108"/>
        <v>2</v>
      </c>
      <c r="L449">
        <f t="shared" si="109"/>
        <v>35</v>
      </c>
      <c r="M449" s="13">
        <f t="shared" si="117"/>
        <v>0</v>
      </c>
      <c r="N449">
        <f t="shared" si="117"/>
        <v>27</v>
      </c>
      <c r="O449" s="14">
        <f t="shared" si="105"/>
        <v>27</v>
      </c>
      <c r="P449" s="13">
        <f t="shared" si="110"/>
        <v>0</v>
      </c>
      <c r="Q449">
        <f t="shared" si="118"/>
        <v>27</v>
      </c>
      <c r="R449" s="14">
        <f t="shared" si="119"/>
        <v>27</v>
      </c>
      <c r="S449" s="15"/>
      <c r="W449" s="14"/>
    </row>
    <row r="450" spans="1:23" x14ac:dyDescent="0.25">
      <c r="A450" s="16"/>
      <c r="B450" s="17" t="b">
        <f t="shared" si="112"/>
        <v>0</v>
      </c>
      <c r="C450" s="17" t="b">
        <f t="shared" si="120"/>
        <v>0</v>
      </c>
      <c r="D450" s="17">
        <f t="shared" si="106"/>
        <v>1</v>
      </c>
      <c r="E450" s="17" t="str">
        <f t="shared" si="111"/>
        <v>Section 10 - Spring Boot - Deployement</v>
      </c>
      <c r="F450" s="18" t="str">
        <f t="shared" si="107"/>
        <v/>
      </c>
      <c r="G450" s="13" t="str">
        <f t="shared" si="113"/>
        <v/>
      </c>
      <c r="H450">
        <f t="shared" si="114"/>
        <v>0</v>
      </c>
      <c r="I450">
        <f t="shared" si="115"/>
        <v>0</v>
      </c>
      <c r="J450" s="13">
        <f t="shared" si="116"/>
        <v>155</v>
      </c>
      <c r="K450">
        <f t="shared" si="108"/>
        <v>2</v>
      </c>
      <c r="L450">
        <f t="shared" si="109"/>
        <v>35</v>
      </c>
      <c r="M450" s="13">
        <f t="shared" si="117"/>
        <v>0</v>
      </c>
      <c r="N450">
        <f t="shared" si="117"/>
        <v>27</v>
      </c>
      <c r="O450" s="14">
        <f t="shared" si="105"/>
        <v>27</v>
      </c>
      <c r="P450" s="13">
        <f t="shared" si="110"/>
        <v>0</v>
      </c>
      <c r="Q450">
        <f t="shared" si="118"/>
        <v>27</v>
      </c>
      <c r="R450" s="14">
        <f t="shared" si="119"/>
        <v>27</v>
      </c>
      <c r="S450" s="15"/>
      <c r="W450" s="14"/>
    </row>
    <row r="451" spans="1:23" x14ac:dyDescent="0.25">
      <c r="A451" s="16"/>
      <c r="B451" s="17" t="b">
        <f t="shared" si="112"/>
        <v>0</v>
      </c>
      <c r="C451" s="17" t="b">
        <f t="shared" si="120"/>
        <v>0</v>
      </c>
      <c r="D451" s="17">
        <f t="shared" si="106"/>
        <v>1</v>
      </c>
      <c r="E451" s="17" t="str">
        <f t="shared" si="111"/>
        <v>Section 10 - Spring Boot - Deployement</v>
      </c>
      <c r="F451" s="18" t="str">
        <f t="shared" si="107"/>
        <v/>
      </c>
      <c r="G451" s="13" t="str">
        <f t="shared" si="113"/>
        <v/>
      </c>
      <c r="H451">
        <f t="shared" si="114"/>
        <v>0</v>
      </c>
      <c r="I451">
        <f t="shared" si="115"/>
        <v>0</v>
      </c>
      <c r="J451" s="13">
        <f t="shared" si="116"/>
        <v>155</v>
      </c>
      <c r="K451">
        <f t="shared" si="108"/>
        <v>2</v>
      </c>
      <c r="L451">
        <f t="shared" si="109"/>
        <v>35</v>
      </c>
      <c r="M451" s="13">
        <f t="shared" si="117"/>
        <v>0</v>
      </c>
      <c r="N451">
        <f t="shared" si="117"/>
        <v>27</v>
      </c>
      <c r="O451" s="14">
        <f t="shared" si="105"/>
        <v>27</v>
      </c>
      <c r="P451" s="13">
        <f t="shared" si="110"/>
        <v>0</v>
      </c>
      <c r="Q451">
        <f t="shared" si="118"/>
        <v>27</v>
      </c>
      <c r="R451" s="14">
        <f t="shared" si="119"/>
        <v>27</v>
      </c>
      <c r="S451" s="15"/>
      <c r="W451" s="14"/>
    </row>
    <row r="452" spans="1:23" x14ac:dyDescent="0.25">
      <c r="A452" s="16"/>
      <c r="B452" s="17" t="b">
        <f t="shared" si="112"/>
        <v>0</v>
      </c>
      <c r="C452" s="17" t="b">
        <f t="shared" si="120"/>
        <v>0</v>
      </c>
      <c r="D452" s="17">
        <f t="shared" si="106"/>
        <v>1</v>
      </c>
      <c r="E452" s="17" t="str">
        <f t="shared" si="111"/>
        <v>Section 10 - Spring Boot - Deployement</v>
      </c>
      <c r="F452" s="18" t="str">
        <f t="shared" si="107"/>
        <v/>
      </c>
      <c r="G452" s="13" t="str">
        <f t="shared" si="113"/>
        <v/>
      </c>
      <c r="H452">
        <f t="shared" si="114"/>
        <v>0</v>
      </c>
      <c r="I452">
        <f t="shared" si="115"/>
        <v>0</v>
      </c>
      <c r="J452" s="13">
        <f t="shared" si="116"/>
        <v>155</v>
      </c>
      <c r="K452">
        <f t="shared" si="108"/>
        <v>2</v>
      </c>
      <c r="L452">
        <f t="shared" si="109"/>
        <v>35</v>
      </c>
      <c r="M452" s="13">
        <f t="shared" si="117"/>
        <v>0</v>
      </c>
      <c r="N452">
        <f t="shared" si="117"/>
        <v>27</v>
      </c>
      <c r="O452" s="14">
        <f t="shared" si="105"/>
        <v>27</v>
      </c>
      <c r="P452" s="13">
        <f t="shared" si="110"/>
        <v>0</v>
      </c>
      <c r="Q452">
        <f t="shared" si="118"/>
        <v>27</v>
      </c>
      <c r="R452" s="14">
        <f t="shared" si="119"/>
        <v>27</v>
      </c>
      <c r="S452" s="15"/>
      <c r="W452" s="14"/>
    </row>
    <row r="453" spans="1:23" x14ac:dyDescent="0.25">
      <c r="A453" s="16"/>
      <c r="B453" s="17" t="b">
        <f t="shared" si="112"/>
        <v>0</v>
      </c>
      <c r="C453" s="17" t="b">
        <f t="shared" si="120"/>
        <v>0</v>
      </c>
      <c r="D453" s="17">
        <f t="shared" si="106"/>
        <v>1</v>
      </c>
      <c r="E453" s="17" t="str">
        <f t="shared" si="111"/>
        <v>Section 10 - Spring Boot - Deployement</v>
      </c>
      <c r="F453" s="18" t="str">
        <f t="shared" si="107"/>
        <v/>
      </c>
      <c r="G453" s="13" t="str">
        <f t="shared" si="113"/>
        <v/>
      </c>
      <c r="H453">
        <f t="shared" si="114"/>
        <v>0</v>
      </c>
      <c r="I453">
        <f t="shared" si="115"/>
        <v>0</v>
      </c>
      <c r="J453" s="13">
        <f t="shared" si="116"/>
        <v>155</v>
      </c>
      <c r="K453">
        <f t="shared" si="108"/>
        <v>2</v>
      </c>
      <c r="L453">
        <f t="shared" si="109"/>
        <v>35</v>
      </c>
      <c r="M453" s="13">
        <f t="shared" si="117"/>
        <v>0</v>
      </c>
      <c r="N453">
        <f t="shared" si="117"/>
        <v>27</v>
      </c>
      <c r="O453" s="14">
        <f t="shared" si="105"/>
        <v>27</v>
      </c>
      <c r="P453" s="13">
        <f t="shared" si="110"/>
        <v>0</v>
      </c>
      <c r="Q453">
        <f t="shared" si="118"/>
        <v>27</v>
      </c>
      <c r="R453" s="14">
        <f t="shared" si="119"/>
        <v>27</v>
      </c>
      <c r="S453" s="15"/>
      <c r="W453" s="14"/>
    </row>
    <row r="454" spans="1:23" x14ac:dyDescent="0.25">
      <c r="A454" s="16"/>
      <c r="B454" s="17" t="b">
        <f t="shared" si="112"/>
        <v>0</v>
      </c>
      <c r="C454" s="17" t="b">
        <f t="shared" si="120"/>
        <v>0</v>
      </c>
      <c r="D454" s="17">
        <f t="shared" si="106"/>
        <v>1</v>
      </c>
      <c r="E454" s="17" t="str">
        <f t="shared" si="111"/>
        <v>Section 10 - Spring Boot - Deployement</v>
      </c>
      <c r="F454" s="18" t="str">
        <f t="shared" si="107"/>
        <v/>
      </c>
      <c r="G454" s="13" t="str">
        <f t="shared" si="113"/>
        <v/>
      </c>
      <c r="H454">
        <f t="shared" si="114"/>
        <v>0</v>
      </c>
      <c r="I454">
        <f t="shared" si="115"/>
        <v>0</v>
      </c>
      <c r="J454" s="13">
        <f t="shared" si="116"/>
        <v>155</v>
      </c>
      <c r="K454">
        <f t="shared" si="108"/>
        <v>2</v>
      </c>
      <c r="L454">
        <f t="shared" si="109"/>
        <v>35</v>
      </c>
      <c r="M454" s="13">
        <f t="shared" si="117"/>
        <v>0</v>
      </c>
      <c r="N454">
        <f t="shared" si="117"/>
        <v>27</v>
      </c>
      <c r="O454" s="14">
        <f t="shared" si="105"/>
        <v>27</v>
      </c>
      <c r="P454" s="13">
        <f t="shared" si="110"/>
        <v>0</v>
      </c>
      <c r="Q454">
        <f t="shared" si="118"/>
        <v>27</v>
      </c>
      <c r="R454" s="14">
        <f t="shared" si="119"/>
        <v>27</v>
      </c>
      <c r="S454" s="15"/>
      <c r="W454" s="14"/>
    </row>
    <row r="455" spans="1:23" x14ac:dyDescent="0.25">
      <c r="A455" s="16"/>
      <c r="B455" s="17" t="b">
        <f t="shared" si="112"/>
        <v>0</v>
      </c>
      <c r="C455" s="17" t="b">
        <f t="shared" si="120"/>
        <v>0</v>
      </c>
      <c r="D455" s="17">
        <f t="shared" si="106"/>
        <v>1</v>
      </c>
      <c r="E455" s="17" t="str">
        <f t="shared" si="111"/>
        <v>Section 10 - Spring Boot - Deployement</v>
      </c>
      <c r="F455" s="18" t="str">
        <f t="shared" si="107"/>
        <v/>
      </c>
      <c r="G455" s="13" t="str">
        <f t="shared" si="113"/>
        <v/>
      </c>
      <c r="H455">
        <f t="shared" si="114"/>
        <v>0</v>
      </c>
      <c r="I455">
        <f t="shared" si="115"/>
        <v>0</v>
      </c>
      <c r="J455" s="13">
        <f t="shared" si="116"/>
        <v>155</v>
      </c>
      <c r="K455">
        <f t="shared" si="108"/>
        <v>2</v>
      </c>
      <c r="L455">
        <f t="shared" si="109"/>
        <v>35</v>
      </c>
      <c r="M455" s="13">
        <f t="shared" si="117"/>
        <v>0</v>
      </c>
      <c r="N455">
        <f t="shared" si="117"/>
        <v>27</v>
      </c>
      <c r="O455" s="14">
        <f t="shared" si="105"/>
        <v>27</v>
      </c>
      <c r="P455" s="13">
        <f t="shared" si="110"/>
        <v>0</v>
      </c>
      <c r="Q455">
        <f t="shared" si="118"/>
        <v>27</v>
      </c>
      <c r="R455" s="14">
        <f t="shared" si="119"/>
        <v>27</v>
      </c>
      <c r="S455" s="15"/>
      <c r="W455" s="14"/>
    </row>
    <row r="456" spans="1:23" x14ac:dyDescent="0.25">
      <c r="A456" s="16"/>
      <c r="B456" s="17" t="b">
        <f t="shared" si="112"/>
        <v>0</v>
      </c>
      <c r="C456" s="17" t="b">
        <f t="shared" si="120"/>
        <v>0</v>
      </c>
      <c r="D456" s="17">
        <f t="shared" si="106"/>
        <v>1</v>
      </c>
      <c r="E456" s="17" t="str">
        <f t="shared" si="111"/>
        <v>Section 10 - Spring Boot - Deployement</v>
      </c>
      <c r="F456" s="18" t="str">
        <f t="shared" si="107"/>
        <v/>
      </c>
      <c r="G456" s="13" t="str">
        <f t="shared" si="113"/>
        <v/>
      </c>
      <c r="H456">
        <f t="shared" si="114"/>
        <v>0</v>
      </c>
      <c r="I456">
        <f t="shared" si="115"/>
        <v>0</v>
      </c>
      <c r="J456" s="13">
        <f t="shared" si="116"/>
        <v>155</v>
      </c>
      <c r="K456">
        <f t="shared" si="108"/>
        <v>2</v>
      </c>
      <c r="L456">
        <f t="shared" si="109"/>
        <v>35</v>
      </c>
      <c r="M456" s="13">
        <f t="shared" si="117"/>
        <v>0</v>
      </c>
      <c r="N456">
        <f t="shared" si="117"/>
        <v>27</v>
      </c>
      <c r="O456" s="14">
        <f t="shared" si="105"/>
        <v>27</v>
      </c>
      <c r="P456" s="13">
        <f t="shared" si="110"/>
        <v>0</v>
      </c>
      <c r="Q456">
        <f t="shared" si="118"/>
        <v>27</v>
      </c>
      <c r="R456" s="14">
        <f t="shared" si="119"/>
        <v>27</v>
      </c>
      <c r="S456" s="15"/>
      <c r="W456" s="14"/>
    </row>
    <row r="457" spans="1:23" x14ac:dyDescent="0.25">
      <c r="A457" s="16"/>
      <c r="B457" s="17" t="b">
        <f t="shared" si="112"/>
        <v>0</v>
      </c>
      <c r="C457" s="17" t="b">
        <f t="shared" si="120"/>
        <v>0</v>
      </c>
      <c r="D457" s="17">
        <f t="shared" si="106"/>
        <v>1</v>
      </c>
      <c r="E457" s="17" t="str">
        <f t="shared" si="111"/>
        <v>Section 10 - Spring Boot - Deployement</v>
      </c>
      <c r="F457" s="18" t="str">
        <f t="shared" si="107"/>
        <v/>
      </c>
      <c r="G457" s="13" t="str">
        <f t="shared" si="113"/>
        <v/>
      </c>
      <c r="H457">
        <f t="shared" si="114"/>
        <v>0</v>
      </c>
      <c r="I457">
        <f t="shared" si="115"/>
        <v>0</v>
      </c>
      <c r="J457" s="13">
        <f t="shared" si="116"/>
        <v>155</v>
      </c>
      <c r="K457">
        <f t="shared" si="108"/>
        <v>2</v>
      </c>
      <c r="L457">
        <f t="shared" si="109"/>
        <v>35</v>
      </c>
      <c r="M457" s="13">
        <f t="shared" si="117"/>
        <v>0</v>
      </c>
      <c r="N457">
        <f t="shared" si="117"/>
        <v>27</v>
      </c>
      <c r="O457" s="14">
        <f t="shared" si="105"/>
        <v>27</v>
      </c>
      <c r="P457" s="13">
        <f t="shared" si="110"/>
        <v>0</v>
      </c>
      <c r="Q457">
        <f t="shared" si="118"/>
        <v>27</v>
      </c>
      <c r="R457" s="14">
        <f t="shared" si="119"/>
        <v>27</v>
      </c>
      <c r="S457" s="15"/>
      <c r="W457" s="14"/>
    </row>
    <row r="458" spans="1:23" x14ac:dyDescent="0.25">
      <c r="A458" s="16"/>
      <c r="B458" s="17" t="b">
        <f t="shared" si="112"/>
        <v>0</v>
      </c>
      <c r="C458" s="17" t="b">
        <f t="shared" si="120"/>
        <v>0</v>
      </c>
      <c r="D458" s="17">
        <f t="shared" si="106"/>
        <v>1</v>
      </c>
      <c r="E458" s="17" t="str">
        <f t="shared" si="111"/>
        <v>Section 10 - Spring Boot - Deployement</v>
      </c>
      <c r="F458" s="18" t="str">
        <f t="shared" si="107"/>
        <v/>
      </c>
      <c r="G458" s="13" t="str">
        <f t="shared" si="113"/>
        <v/>
      </c>
      <c r="H458">
        <f t="shared" si="114"/>
        <v>0</v>
      </c>
      <c r="I458">
        <f t="shared" si="115"/>
        <v>0</v>
      </c>
      <c r="J458" s="13">
        <f t="shared" si="116"/>
        <v>155</v>
      </c>
      <c r="K458">
        <f t="shared" si="108"/>
        <v>2</v>
      </c>
      <c r="L458">
        <f t="shared" si="109"/>
        <v>35</v>
      </c>
      <c r="M458" s="13">
        <f t="shared" si="117"/>
        <v>0</v>
      </c>
      <c r="N458">
        <f t="shared" si="117"/>
        <v>27</v>
      </c>
      <c r="O458" s="14">
        <f t="shared" ref="O458:O521" si="121">((M458*60)+N458)</f>
        <v>27</v>
      </c>
      <c r="P458" s="13">
        <f t="shared" si="110"/>
        <v>0</v>
      </c>
      <c r="Q458">
        <f t="shared" si="118"/>
        <v>27</v>
      </c>
      <c r="R458" s="14">
        <f t="shared" si="119"/>
        <v>27</v>
      </c>
      <c r="S458" s="15"/>
      <c r="W458" s="14"/>
    </row>
    <row r="459" spans="1:23" x14ac:dyDescent="0.25">
      <c r="A459" s="16"/>
      <c r="B459" s="17" t="b">
        <f t="shared" si="112"/>
        <v>0</v>
      </c>
      <c r="C459" s="17" t="b">
        <f t="shared" si="120"/>
        <v>0</v>
      </c>
      <c r="D459" s="17">
        <f t="shared" ref="D459:D522" si="122">IF(B459,0,IF(C459,D458+1,D458))</f>
        <v>1</v>
      </c>
      <c r="E459" s="17" t="str">
        <f t="shared" si="111"/>
        <v>Section 10 - Spring Boot - Deployement</v>
      </c>
      <c r="F459" s="18" t="str">
        <f t="shared" ref="F459:F522" si="123">IF(C459,A459,"")</f>
        <v/>
      </c>
      <c r="G459" s="13" t="str">
        <f t="shared" si="113"/>
        <v/>
      </c>
      <c r="H459">
        <f t="shared" si="114"/>
        <v>0</v>
      </c>
      <c r="I459">
        <f t="shared" si="115"/>
        <v>0</v>
      </c>
      <c r="J459" s="13">
        <f t="shared" si="116"/>
        <v>155</v>
      </c>
      <c r="K459">
        <f t="shared" ref="K459:K522" si="124">INT(J459/60)</f>
        <v>2</v>
      </c>
      <c r="L459">
        <f t="shared" ref="L459:L522" si="125">INT(J459-(K459*60))</f>
        <v>35</v>
      </c>
      <c r="M459" s="13">
        <f t="shared" si="117"/>
        <v>0</v>
      </c>
      <c r="N459">
        <f t="shared" si="117"/>
        <v>27</v>
      </c>
      <c r="O459" s="14">
        <f t="shared" si="121"/>
        <v>27</v>
      </c>
      <c r="P459" s="13">
        <f t="shared" ref="P459:P522" si="126">INT(R459/60)</f>
        <v>0</v>
      </c>
      <c r="Q459">
        <f t="shared" si="118"/>
        <v>27</v>
      </c>
      <c r="R459" s="14">
        <f t="shared" si="119"/>
        <v>27</v>
      </c>
      <c r="S459" s="15"/>
      <c r="W459" s="14"/>
    </row>
    <row r="460" spans="1:23" x14ac:dyDescent="0.25">
      <c r="A460" s="16"/>
      <c r="B460" s="17" t="b">
        <f t="shared" si="112"/>
        <v>0</v>
      </c>
      <c r="C460" s="17" t="b">
        <f t="shared" si="120"/>
        <v>0</v>
      </c>
      <c r="D460" s="17">
        <f t="shared" si="122"/>
        <v>1</v>
      </c>
      <c r="E460" s="17" t="str">
        <f t="shared" ref="E460:E523" si="127">SUBSTITUTE(IF(B460,A460,E459),":", " -")</f>
        <v>Section 10 - Spring Boot - Deployement</v>
      </c>
      <c r="F460" s="18" t="str">
        <f t="shared" si="123"/>
        <v/>
      </c>
      <c r="G460" s="13" t="str">
        <f t="shared" si="113"/>
        <v/>
      </c>
      <c r="H460">
        <f t="shared" si="114"/>
        <v>0</v>
      </c>
      <c r="I460">
        <f t="shared" si="115"/>
        <v>0</v>
      </c>
      <c r="J460" s="13">
        <f t="shared" si="116"/>
        <v>155</v>
      </c>
      <c r="K460">
        <f t="shared" si="124"/>
        <v>2</v>
      </c>
      <c r="L460">
        <f t="shared" si="125"/>
        <v>35</v>
      </c>
      <c r="M460" s="13">
        <f t="shared" si="117"/>
        <v>0</v>
      </c>
      <c r="N460">
        <f t="shared" si="117"/>
        <v>27</v>
      </c>
      <c r="O460" s="14">
        <f t="shared" si="121"/>
        <v>27</v>
      </c>
      <c r="P460" s="13">
        <f t="shared" si="126"/>
        <v>0</v>
      </c>
      <c r="Q460">
        <f t="shared" si="118"/>
        <v>27</v>
      </c>
      <c r="R460" s="14">
        <f t="shared" si="119"/>
        <v>27</v>
      </c>
      <c r="S460" s="15"/>
      <c r="W460" s="14"/>
    </row>
    <row r="461" spans="1:23" x14ac:dyDescent="0.25">
      <c r="A461" s="16"/>
      <c r="B461" s="17" t="b">
        <f t="shared" si="112"/>
        <v>0</v>
      </c>
      <c r="C461" s="17" t="b">
        <f t="shared" si="120"/>
        <v>0</v>
      </c>
      <c r="D461" s="17">
        <f t="shared" si="122"/>
        <v>1</v>
      </c>
      <c r="E461" s="17" t="str">
        <f t="shared" si="127"/>
        <v>Section 10 - Spring Boot - Deployement</v>
      </c>
      <c r="F461" s="18" t="str">
        <f t="shared" si="123"/>
        <v/>
      </c>
      <c r="G461" s="13" t="str">
        <f t="shared" si="113"/>
        <v/>
      </c>
      <c r="H461">
        <f t="shared" si="114"/>
        <v>0</v>
      </c>
      <c r="I461">
        <f t="shared" si="115"/>
        <v>0</v>
      </c>
      <c r="J461" s="13">
        <f t="shared" si="116"/>
        <v>155</v>
      </c>
      <c r="K461">
        <f t="shared" si="124"/>
        <v>2</v>
      </c>
      <c r="L461">
        <f t="shared" si="125"/>
        <v>35</v>
      </c>
      <c r="M461" s="13">
        <f t="shared" si="117"/>
        <v>0</v>
      </c>
      <c r="N461">
        <f t="shared" si="117"/>
        <v>27</v>
      </c>
      <c r="O461" s="14">
        <f t="shared" si="121"/>
        <v>27</v>
      </c>
      <c r="P461" s="13">
        <f t="shared" si="126"/>
        <v>0</v>
      </c>
      <c r="Q461">
        <f t="shared" si="118"/>
        <v>27</v>
      </c>
      <c r="R461" s="14">
        <f t="shared" si="119"/>
        <v>27</v>
      </c>
      <c r="S461" s="15"/>
      <c r="W461" s="14"/>
    </row>
    <row r="462" spans="1:23" x14ac:dyDescent="0.25">
      <c r="A462" s="16"/>
      <c r="B462" s="17" t="b">
        <f t="shared" si="112"/>
        <v>0</v>
      </c>
      <c r="C462" s="17" t="b">
        <f t="shared" si="120"/>
        <v>0</v>
      </c>
      <c r="D462" s="17">
        <f t="shared" si="122"/>
        <v>1</v>
      </c>
      <c r="E462" s="17" t="str">
        <f t="shared" si="127"/>
        <v>Section 10 - Spring Boot - Deployement</v>
      </c>
      <c r="F462" s="18" t="str">
        <f t="shared" si="123"/>
        <v/>
      </c>
      <c r="G462" s="13" t="str">
        <f t="shared" si="113"/>
        <v/>
      </c>
      <c r="H462">
        <f t="shared" si="114"/>
        <v>0</v>
      </c>
      <c r="I462">
        <f t="shared" si="115"/>
        <v>0</v>
      </c>
      <c r="J462" s="13">
        <f t="shared" si="116"/>
        <v>155</v>
      </c>
      <c r="K462">
        <f t="shared" si="124"/>
        <v>2</v>
      </c>
      <c r="L462">
        <f t="shared" si="125"/>
        <v>35</v>
      </c>
      <c r="M462" s="13">
        <f t="shared" si="117"/>
        <v>0</v>
      </c>
      <c r="N462">
        <f t="shared" si="117"/>
        <v>27</v>
      </c>
      <c r="O462" s="14">
        <f t="shared" si="121"/>
        <v>27</v>
      </c>
      <c r="P462" s="13">
        <f t="shared" si="126"/>
        <v>0</v>
      </c>
      <c r="Q462">
        <f t="shared" si="118"/>
        <v>27</v>
      </c>
      <c r="R462" s="14">
        <f t="shared" si="119"/>
        <v>27</v>
      </c>
      <c r="S462" s="15"/>
      <c r="W462" s="14"/>
    </row>
    <row r="463" spans="1:23" x14ac:dyDescent="0.25">
      <c r="A463" s="16"/>
      <c r="B463" s="17" t="b">
        <f t="shared" si="112"/>
        <v>0</v>
      </c>
      <c r="C463" s="17" t="b">
        <f t="shared" si="120"/>
        <v>0</v>
      </c>
      <c r="D463" s="17">
        <f t="shared" si="122"/>
        <v>1</v>
      </c>
      <c r="E463" s="17" t="str">
        <f t="shared" si="127"/>
        <v>Section 10 - Spring Boot - Deployement</v>
      </c>
      <c r="F463" s="18" t="str">
        <f t="shared" si="123"/>
        <v/>
      </c>
      <c r="G463" s="13" t="str">
        <f t="shared" si="113"/>
        <v/>
      </c>
      <c r="H463">
        <f t="shared" si="114"/>
        <v>0</v>
      </c>
      <c r="I463">
        <f t="shared" si="115"/>
        <v>0</v>
      </c>
      <c r="J463" s="13">
        <f t="shared" si="116"/>
        <v>155</v>
      </c>
      <c r="K463">
        <f t="shared" si="124"/>
        <v>2</v>
      </c>
      <c r="L463">
        <f t="shared" si="125"/>
        <v>35</v>
      </c>
      <c r="M463" s="13">
        <f t="shared" si="117"/>
        <v>0</v>
      </c>
      <c r="N463">
        <f t="shared" si="117"/>
        <v>27</v>
      </c>
      <c r="O463" s="14">
        <f t="shared" si="121"/>
        <v>27</v>
      </c>
      <c r="P463" s="13">
        <f t="shared" si="126"/>
        <v>0</v>
      </c>
      <c r="Q463">
        <f t="shared" si="118"/>
        <v>27</v>
      </c>
      <c r="R463" s="14">
        <f t="shared" si="119"/>
        <v>27</v>
      </c>
      <c r="S463" s="15"/>
      <c r="W463" s="14"/>
    </row>
    <row r="464" spans="1:23" x14ac:dyDescent="0.25">
      <c r="A464" s="16"/>
      <c r="B464" s="17" t="b">
        <f t="shared" si="112"/>
        <v>0</v>
      </c>
      <c r="C464" s="17" t="b">
        <f t="shared" si="120"/>
        <v>0</v>
      </c>
      <c r="D464" s="17">
        <f t="shared" si="122"/>
        <v>1</v>
      </c>
      <c r="E464" s="17" t="str">
        <f t="shared" si="127"/>
        <v>Section 10 - Spring Boot - Deployement</v>
      </c>
      <c r="F464" s="18" t="str">
        <f t="shared" si="123"/>
        <v/>
      </c>
      <c r="G464" s="13" t="str">
        <f t="shared" si="113"/>
        <v/>
      </c>
      <c r="H464">
        <f t="shared" si="114"/>
        <v>0</v>
      </c>
      <c r="I464">
        <f t="shared" si="115"/>
        <v>0</v>
      </c>
      <c r="J464" s="13">
        <f t="shared" si="116"/>
        <v>155</v>
      </c>
      <c r="K464">
        <f t="shared" si="124"/>
        <v>2</v>
      </c>
      <c r="L464">
        <f t="shared" si="125"/>
        <v>35</v>
      </c>
      <c r="M464" s="13">
        <f t="shared" si="117"/>
        <v>0</v>
      </c>
      <c r="N464">
        <f t="shared" si="117"/>
        <v>27</v>
      </c>
      <c r="O464" s="14">
        <f t="shared" si="121"/>
        <v>27</v>
      </c>
      <c r="P464" s="13">
        <f t="shared" si="126"/>
        <v>0</v>
      </c>
      <c r="Q464">
        <f t="shared" si="118"/>
        <v>27</v>
      </c>
      <c r="R464" s="14">
        <f t="shared" si="119"/>
        <v>27</v>
      </c>
      <c r="S464" s="15"/>
      <c r="W464" s="14"/>
    </row>
    <row r="465" spans="1:23" x14ac:dyDescent="0.25">
      <c r="A465" s="16"/>
      <c r="B465" s="17" t="b">
        <f t="shared" si="112"/>
        <v>0</v>
      </c>
      <c r="C465" s="17" t="b">
        <f t="shared" si="120"/>
        <v>0</v>
      </c>
      <c r="D465" s="17">
        <f t="shared" si="122"/>
        <v>1</v>
      </c>
      <c r="E465" s="17" t="str">
        <f t="shared" si="127"/>
        <v>Section 10 - Spring Boot - Deployement</v>
      </c>
      <c r="F465" s="18" t="str">
        <f t="shared" si="123"/>
        <v/>
      </c>
      <c r="G465" s="13" t="str">
        <f t="shared" si="113"/>
        <v/>
      </c>
      <c r="H465">
        <f t="shared" si="114"/>
        <v>0</v>
      </c>
      <c r="I465">
        <f t="shared" si="115"/>
        <v>0</v>
      </c>
      <c r="J465" s="13">
        <f t="shared" si="116"/>
        <v>155</v>
      </c>
      <c r="K465">
        <f t="shared" si="124"/>
        <v>2</v>
      </c>
      <c r="L465">
        <f t="shared" si="125"/>
        <v>35</v>
      </c>
      <c r="M465" s="13">
        <f t="shared" si="117"/>
        <v>0</v>
      </c>
      <c r="N465">
        <f t="shared" si="117"/>
        <v>27</v>
      </c>
      <c r="O465" s="14">
        <f t="shared" si="121"/>
        <v>27</v>
      </c>
      <c r="P465" s="13">
        <f t="shared" si="126"/>
        <v>0</v>
      </c>
      <c r="Q465">
        <f t="shared" si="118"/>
        <v>27</v>
      </c>
      <c r="R465" s="14">
        <f t="shared" si="119"/>
        <v>27</v>
      </c>
      <c r="S465" s="15"/>
      <c r="W465" s="14"/>
    </row>
    <row r="466" spans="1:23" x14ac:dyDescent="0.25">
      <c r="A466" s="16"/>
      <c r="B466" s="17" t="b">
        <f t="shared" ref="B466:B529" si="128">AND(NOT(ISERROR(FIND("Section ",A466))),NOT(ISERROR(FIND("Section ",A466))))</f>
        <v>0</v>
      </c>
      <c r="C466" s="17" t="b">
        <f t="shared" si="120"/>
        <v>0</v>
      </c>
      <c r="D466" s="17">
        <f t="shared" si="122"/>
        <v>1</v>
      </c>
      <c r="E466" s="17" t="str">
        <f t="shared" si="127"/>
        <v>Section 10 - Spring Boot - Deployement</v>
      </c>
      <c r="F466" s="18" t="str">
        <f t="shared" si="123"/>
        <v/>
      </c>
      <c r="G466" s="13" t="str">
        <f t="shared" si="113"/>
        <v/>
      </c>
      <c r="H466">
        <f t="shared" si="114"/>
        <v>0</v>
      </c>
      <c r="I466">
        <f t="shared" si="115"/>
        <v>0</v>
      </c>
      <c r="J466" s="13">
        <f t="shared" si="116"/>
        <v>155</v>
      </c>
      <c r="K466">
        <f t="shared" si="124"/>
        <v>2</v>
      </c>
      <c r="L466">
        <f t="shared" si="125"/>
        <v>35</v>
      </c>
      <c r="M466" s="13">
        <f t="shared" si="117"/>
        <v>0</v>
      </c>
      <c r="N466">
        <f t="shared" si="117"/>
        <v>27</v>
      </c>
      <c r="O466" s="14">
        <f t="shared" si="121"/>
        <v>27</v>
      </c>
      <c r="P466" s="13">
        <f t="shared" si="126"/>
        <v>0</v>
      </c>
      <c r="Q466">
        <f t="shared" si="118"/>
        <v>27</v>
      </c>
      <c r="R466" s="14">
        <f t="shared" si="119"/>
        <v>27</v>
      </c>
      <c r="S466" s="15"/>
      <c r="W466" s="14"/>
    </row>
    <row r="467" spans="1:23" x14ac:dyDescent="0.25">
      <c r="A467" s="16"/>
      <c r="B467" s="17" t="b">
        <f t="shared" si="128"/>
        <v>0</v>
      </c>
      <c r="C467" s="17" t="b">
        <f t="shared" si="120"/>
        <v>0</v>
      </c>
      <c r="D467" s="17">
        <f t="shared" si="122"/>
        <v>1</v>
      </c>
      <c r="E467" s="17" t="str">
        <f t="shared" si="127"/>
        <v>Section 10 - Spring Boot - Deployement</v>
      </c>
      <c r="F467" s="18" t="str">
        <f t="shared" si="123"/>
        <v/>
      </c>
      <c r="G467" s="13" t="str">
        <f t="shared" si="113"/>
        <v/>
      </c>
      <c r="H467">
        <f t="shared" si="114"/>
        <v>0</v>
      </c>
      <c r="I467">
        <f t="shared" si="115"/>
        <v>0</v>
      </c>
      <c r="J467" s="13">
        <f t="shared" si="116"/>
        <v>155</v>
      </c>
      <c r="K467">
        <f t="shared" si="124"/>
        <v>2</v>
      </c>
      <c r="L467">
        <f t="shared" si="125"/>
        <v>35</v>
      </c>
      <c r="M467" s="13">
        <f t="shared" si="117"/>
        <v>0</v>
      </c>
      <c r="N467">
        <f t="shared" si="117"/>
        <v>27</v>
      </c>
      <c r="O467" s="14">
        <f t="shared" si="121"/>
        <v>27</v>
      </c>
      <c r="P467" s="13">
        <f t="shared" si="126"/>
        <v>0</v>
      </c>
      <c r="Q467">
        <f t="shared" si="118"/>
        <v>27</v>
      </c>
      <c r="R467" s="14">
        <f t="shared" si="119"/>
        <v>27</v>
      </c>
      <c r="S467" s="15"/>
      <c r="W467" s="14"/>
    </row>
    <row r="468" spans="1:23" x14ac:dyDescent="0.25">
      <c r="A468" s="16"/>
      <c r="B468" s="17" t="b">
        <f t="shared" si="128"/>
        <v>0</v>
      </c>
      <c r="C468" s="17" t="b">
        <f t="shared" si="120"/>
        <v>0</v>
      </c>
      <c r="D468" s="17">
        <f t="shared" si="122"/>
        <v>1</v>
      </c>
      <c r="E468" s="17" t="str">
        <f t="shared" si="127"/>
        <v>Section 10 - Spring Boot - Deployement</v>
      </c>
      <c r="F468" s="18" t="str">
        <f t="shared" si="123"/>
        <v/>
      </c>
      <c r="G468" s="13" t="str">
        <f t="shared" si="113"/>
        <v/>
      </c>
      <c r="H468">
        <f t="shared" si="114"/>
        <v>0</v>
      </c>
      <c r="I468">
        <f t="shared" si="115"/>
        <v>0</v>
      </c>
      <c r="J468" s="13">
        <f t="shared" si="116"/>
        <v>155</v>
      </c>
      <c r="K468">
        <f t="shared" si="124"/>
        <v>2</v>
      </c>
      <c r="L468">
        <f t="shared" si="125"/>
        <v>35</v>
      </c>
      <c r="M468" s="13">
        <f t="shared" si="117"/>
        <v>0</v>
      </c>
      <c r="N468">
        <f t="shared" si="117"/>
        <v>27</v>
      </c>
      <c r="O468" s="14">
        <f t="shared" si="121"/>
        <v>27</v>
      </c>
      <c r="P468" s="13">
        <f t="shared" si="126"/>
        <v>0</v>
      </c>
      <c r="Q468">
        <f t="shared" si="118"/>
        <v>27</v>
      </c>
      <c r="R468" s="14">
        <f t="shared" si="119"/>
        <v>27</v>
      </c>
      <c r="S468" s="15"/>
      <c r="W468" s="14"/>
    </row>
    <row r="469" spans="1:23" x14ac:dyDescent="0.25">
      <c r="A469" s="16"/>
      <c r="B469" s="17" t="b">
        <f t="shared" si="128"/>
        <v>0</v>
      </c>
      <c r="C469" s="17" t="b">
        <f t="shared" si="120"/>
        <v>0</v>
      </c>
      <c r="D469" s="17">
        <f t="shared" si="122"/>
        <v>1</v>
      </c>
      <c r="E469" s="17" t="str">
        <f t="shared" si="127"/>
        <v>Section 10 - Spring Boot - Deployement</v>
      </c>
      <c r="F469" s="18" t="str">
        <f t="shared" si="123"/>
        <v/>
      </c>
      <c r="G469" s="13" t="str">
        <f t="shared" ref="G469:G532" si="129">IF(C469,A470,"")</f>
        <v/>
      </c>
      <c r="H469">
        <f t="shared" ref="H469:H532" si="130">VALUE(IF(NOT(ISERROR(FIND("hr",G469))),LEFT(G469,FIND("hr",G469)-1),0))</f>
        <v>0</v>
      </c>
      <c r="I469">
        <f t="shared" ref="I469:I532" si="131">VALUE(IF(ISERROR(FIND("min",G469)),0,SUBSTITUTE(MID(G469,IF(ISERROR(FIND("hr ",G469)),1,FIND("hr ",G469)+3),LEN(G469)),"min","")))</f>
        <v>0</v>
      </c>
      <c r="J469" s="13">
        <f t="shared" ref="J469:J532" si="132">J468+(H469*60+I469)</f>
        <v>155</v>
      </c>
      <c r="K469">
        <f t="shared" si="124"/>
        <v>2</v>
      </c>
      <c r="L469">
        <f t="shared" si="125"/>
        <v>35</v>
      </c>
      <c r="M469" s="13">
        <f t="shared" ref="M469:N532" si="133">P468</f>
        <v>0</v>
      </c>
      <c r="N469">
        <f t="shared" si="133"/>
        <v>27</v>
      </c>
      <c r="O469" s="14">
        <f t="shared" si="121"/>
        <v>27</v>
      </c>
      <c r="P469" s="13">
        <f t="shared" si="126"/>
        <v>0</v>
      </c>
      <c r="Q469">
        <f t="shared" ref="Q469:Q532" si="134">R469-(P469*60)</f>
        <v>27</v>
      </c>
      <c r="R469" s="14">
        <f t="shared" ref="R469:R532" si="135">((H469*60)+I469)+O469</f>
        <v>27</v>
      </c>
      <c r="S469" s="15"/>
      <c r="W469" s="14"/>
    </row>
    <row r="470" spans="1:23" x14ac:dyDescent="0.25">
      <c r="A470" s="16"/>
      <c r="B470" s="17" t="b">
        <f t="shared" si="128"/>
        <v>0</v>
      </c>
      <c r="C470" s="17" t="b">
        <f t="shared" si="120"/>
        <v>0</v>
      </c>
      <c r="D470" s="17">
        <f t="shared" si="122"/>
        <v>1</v>
      </c>
      <c r="E470" s="17" t="str">
        <f t="shared" si="127"/>
        <v>Section 10 - Spring Boot - Deployement</v>
      </c>
      <c r="F470" s="18" t="str">
        <f t="shared" si="123"/>
        <v/>
      </c>
      <c r="G470" s="13" t="str">
        <f t="shared" si="129"/>
        <v/>
      </c>
      <c r="H470">
        <f t="shared" si="130"/>
        <v>0</v>
      </c>
      <c r="I470">
        <f t="shared" si="131"/>
        <v>0</v>
      </c>
      <c r="J470" s="13">
        <f t="shared" si="132"/>
        <v>155</v>
      </c>
      <c r="K470">
        <f t="shared" si="124"/>
        <v>2</v>
      </c>
      <c r="L470">
        <f t="shared" si="125"/>
        <v>35</v>
      </c>
      <c r="M470" s="13">
        <f t="shared" si="133"/>
        <v>0</v>
      </c>
      <c r="N470">
        <f t="shared" si="133"/>
        <v>27</v>
      </c>
      <c r="O470" s="14">
        <f t="shared" si="121"/>
        <v>27</v>
      </c>
      <c r="P470" s="13">
        <f t="shared" si="126"/>
        <v>0</v>
      </c>
      <c r="Q470">
        <f t="shared" si="134"/>
        <v>27</v>
      </c>
      <c r="R470" s="14">
        <f t="shared" si="135"/>
        <v>27</v>
      </c>
      <c r="S470" s="15"/>
      <c r="W470" s="14"/>
    </row>
    <row r="471" spans="1:23" x14ac:dyDescent="0.25">
      <c r="A471" s="16"/>
      <c r="B471" s="17" t="b">
        <f t="shared" si="128"/>
        <v>0</v>
      </c>
      <c r="C471" s="17" t="b">
        <f t="shared" si="120"/>
        <v>0</v>
      </c>
      <c r="D471" s="17">
        <f t="shared" si="122"/>
        <v>1</v>
      </c>
      <c r="E471" s="17" t="str">
        <f t="shared" si="127"/>
        <v>Section 10 - Spring Boot - Deployement</v>
      </c>
      <c r="F471" s="18" t="str">
        <f t="shared" si="123"/>
        <v/>
      </c>
      <c r="G471" s="13" t="str">
        <f t="shared" si="129"/>
        <v/>
      </c>
      <c r="H471">
        <f t="shared" si="130"/>
        <v>0</v>
      </c>
      <c r="I471">
        <f t="shared" si="131"/>
        <v>0</v>
      </c>
      <c r="J471" s="13">
        <f t="shared" si="132"/>
        <v>155</v>
      </c>
      <c r="K471">
        <f t="shared" si="124"/>
        <v>2</v>
      </c>
      <c r="L471">
        <f t="shared" si="125"/>
        <v>35</v>
      </c>
      <c r="M471" s="13">
        <f t="shared" si="133"/>
        <v>0</v>
      </c>
      <c r="N471">
        <f t="shared" si="133"/>
        <v>27</v>
      </c>
      <c r="O471" s="14">
        <f t="shared" si="121"/>
        <v>27</v>
      </c>
      <c r="P471" s="13">
        <f t="shared" si="126"/>
        <v>0</v>
      </c>
      <c r="Q471">
        <f t="shared" si="134"/>
        <v>27</v>
      </c>
      <c r="R471" s="14">
        <f t="shared" si="135"/>
        <v>27</v>
      </c>
      <c r="S471" s="15"/>
      <c r="W471" s="14"/>
    </row>
    <row r="472" spans="1:23" x14ac:dyDescent="0.25">
      <c r="A472" s="16"/>
      <c r="B472" s="17" t="b">
        <f t="shared" si="128"/>
        <v>0</v>
      </c>
      <c r="C472" s="17" t="b">
        <f t="shared" si="120"/>
        <v>0</v>
      </c>
      <c r="D472" s="17">
        <f t="shared" si="122"/>
        <v>1</v>
      </c>
      <c r="E472" s="17" t="str">
        <f t="shared" si="127"/>
        <v>Section 10 - Spring Boot - Deployement</v>
      </c>
      <c r="F472" s="18" t="str">
        <f t="shared" si="123"/>
        <v/>
      </c>
      <c r="G472" s="13" t="str">
        <f t="shared" si="129"/>
        <v/>
      </c>
      <c r="H472">
        <f t="shared" si="130"/>
        <v>0</v>
      </c>
      <c r="I472">
        <f t="shared" si="131"/>
        <v>0</v>
      </c>
      <c r="J472" s="13">
        <f t="shared" si="132"/>
        <v>155</v>
      </c>
      <c r="K472">
        <f t="shared" si="124"/>
        <v>2</v>
      </c>
      <c r="L472">
        <f t="shared" si="125"/>
        <v>35</v>
      </c>
      <c r="M472" s="13">
        <f t="shared" si="133"/>
        <v>0</v>
      </c>
      <c r="N472">
        <f t="shared" si="133"/>
        <v>27</v>
      </c>
      <c r="O472" s="14">
        <f t="shared" si="121"/>
        <v>27</v>
      </c>
      <c r="P472" s="13">
        <f t="shared" si="126"/>
        <v>0</v>
      </c>
      <c r="Q472">
        <f t="shared" si="134"/>
        <v>27</v>
      </c>
      <c r="R472" s="14">
        <f t="shared" si="135"/>
        <v>27</v>
      </c>
      <c r="S472" s="15"/>
      <c r="W472" s="14"/>
    </row>
    <row r="473" spans="1:23" x14ac:dyDescent="0.25">
      <c r="A473" s="16"/>
      <c r="B473" s="17" t="b">
        <f t="shared" si="128"/>
        <v>0</v>
      </c>
      <c r="C473" s="17" t="b">
        <f t="shared" si="120"/>
        <v>0</v>
      </c>
      <c r="D473" s="17">
        <f t="shared" si="122"/>
        <v>1</v>
      </c>
      <c r="E473" s="17" t="str">
        <f t="shared" si="127"/>
        <v>Section 10 - Spring Boot - Deployement</v>
      </c>
      <c r="F473" s="18" t="str">
        <f t="shared" si="123"/>
        <v/>
      </c>
      <c r="G473" s="13" t="str">
        <f t="shared" si="129"/>
        <v/>
      </c>
      <c r="H473">
        <f t="shared" si="130"/>
        <v>0</v>
      </c>
      <c r="I473">
        <f t="shared" si="131"/>
        <v>0</v>
      </c>
      <c r="J473" s="13">
        <f t="shared" si="132"/>
        <v>155</v>
      </c>
      <c r="K473">
        <f t="shared" si="124"/>
        <v>2</v>
      </c>
      <c r="L473">
        <f t="shared" si="125"/>
        <v>35</v>
      </c>
      <c r="M473" s="13">
        <f t="shared" si="133"/>
        <v>0</v>
      </c>
      <c r="N473">
        <f t="shared" si="133"/>
        <v>27</v>
      </c>
      <c r="O473" s="14">
        <f t="shared" si="121"/>
        <v>27</v>
      </c>
      <c r="P473" s="13">
        <f t="shared" si="126"/>
        <v>0</v>
      </c>
      <c r="Q473">
        <f t="shared" si="134"/>
        <v>27</v>
      </c>
      <c r="R473" s="14">
        <f t="shared" si="135"/>
        <v>27</v>
      </c>
      <c r="S473" s="15"/>
      <c r="W473" s="14"/>
    </row>
    <row r="474" spans="1:23" x14ac:dyDescent="0.25">
      <c r="A474" s="16"/>
      <c r="B474" s="17" t="b">
        <f t="shared" si="128"/>
        <v>0</v>
      </c>
      <c r="C474" s="17" t="b">
        <f t="shared" si="120"/>
        <v>0</v>
      </c>
      <c r="D474" s="17">
        <f t="shared" si="122"/>
        <v>1</v>
      </c>
      <c r="E474" s="17" t="str">
        <f t="shared" si="127"/>
        <v>Section 10 - Spring Boot - Deployement</v>
      </c>
      <c r="F474" s="18" t="str">
        <f t="shared" si="123"/>
        <v/>
      </c>
      <c r="G474" s="13" t="str">
        <f t="shared" si="129"/>
        <v/>
      </c>
      <c r="H474">
        <f t="shared" si="130"/>
        <v>0</v>
      </c>
      <c r="I474">
        <f t="shared" si="131"/>
        <v>0</v>
      </c>
      <c r="J474" s="13">
        <f t="shared" si="132"/>
        <v>155</v>
      </c>
      <c r="K474">
        <f t="shared" si="124"/>
        <v>2</v>
      </c>
      <c r="L474">
        <f t="shared" si="125"/>
        <v>35</v>
      </c>
      <c r="M474" s="13">
        <f t="shared" si="133"/>
        <v>0</v>
      </c>
      <c r="N474">
        <f t="shared" si="133"/>
        <v>27</v>
      </c>
      <c r="O474" s="14">
        <f t="shared" si="121"/>
        <v>27</v>
      </c>
      <c r="P474" s="13">
        <f t="shared" si="126"/>
        <v>0</v>
      </c>
      <c r="Q474">
        <f t="shared" si="134"/>
        <v>27</v>
      </c>
      <c r="R474" s="14">
        <f t="shared" si="135"/>
        <v>27</v>
      </c>
      <c r="S474" s="15"/>
      <c r="W474" s="14"/>
    </row>
    <row r="475" spans="1:23" x14ac:dyDescent="0.25">
      <c r="A475" s="16"/>
      <c r="B475" s="17" t="b">
        <f t="shared" si="128"/>
        <v>0</v>
      </c>
      <c r="C475" s="17" t="b">
        <f t="shared" si="120"/>
        <v>0</v>
      </c>
      <c r="D475" s="17">
        <f t="shared" si="122"/>
        <v>1</v>
      </c>
      <c r="E475" s="17" t="str">
        <f t="shared" si="127"/>
        <v>Section 10 - Spring Boot - Deployement</v>
      </c>
      <c r="F475" s="18" t="str">
        <f t="shared" si="123"/>
        <v/>
      </c>
      <c r="G475" s="13" t="str">
        <f t="shared" si="129"/>
        <v/>
      </c>
      <c r="H475">
        <f t="shared" si="130"/>
        <v>0</v>
      </c>
      <c r="I475">
        <f t="shared" si="131"/>
        <v>0</v>
      </c>
      <c r="J475" s="13">
        <f t="shared" si="132"/>
        <v>155</v>
      </c>
      <c r="K475">
        <f t="shared" si="124"/>
        <v>2</v>
      </c>
      <c r="L475">
        <f t="shared" si="125"/>
        <v>35</v>
      </c>
      <c r="M475" s="13">
        <f t="shared" si="133"/>
        <v>0</v>
      </c>
      <c r="N475">
        <f t="shared" si="133"/>
        <v>27</v>
      </c>
      <c r="O475" s="14">
        <f t="shared" si="121"/>
        <v>27</v>
      </c>
      <c r="P475" s="13">
        <f t="shared" si="126"/>
        <v>0</v>
      </c>
      <c r="Q475">
        <f t="shared" si="134"/>
        <v>27</v>
      </c>
      <c r="R475" s="14">
        <f t="shared" si="135"/>
        <v>27</v>
      </c>
      <c r="S475" s="15"/>
      <c r="W475" s="14"/>
    </row>
    <row r="476" spans="1:23" x14ac:dyDescent="0.25">
      <c r="A476" s="16"/>
      <c r="B476" s="17" t="b">
        <f t="shared" si="128"/>
        <v>0</v>
      </c>
      <c r="C476" s="17" t="b">
        <f t="shared" si="120"/>
        <v>0</v>
      </c>
      <c r="D476" s="17">
        <f t="shared" si="122"/>
        <v>1</v>
      </c>
      <c r="E476" s="17" t="str">
        <f t="shared" si="127"/>
        <v>Section 10 - Spring Boot - Deployement</v>
      </c>
      <c r="F476" s="18" t="str">
        <f t="shared" si="123"/>
        <v/>
      </c>
      <c r="G476" s="13" t="str">
        <f t="shared" si="129"/>
        <v/>
      </c>
      <c r="H476">
        <f t="shared" si="130"/>
        <v>0</v>
      </c>
      <c r="I476">
        <f t="shared" si="131"/>
        <v>0</v>
      </c>
      <c r="J476" s="13">
        <f t="shared" si="132"/>
        <v>155</v>
      </c>
      <c r="K476">
        <f t="shared" si="124"/>
        <v>2</v>
      </c>
      <c r="L476">
        <f t="shared" si="125"/>
        <v>35</v>
      </c>
      <c r="M476" s="13">
        <f t="shared" si="133"/>
        <v>0</v>
      </c>
      <c r="N476">
        <f t="shared" si="133"/>
        <v>27</v>
      </c>
      <c r="O476" s="14">
        <f t="shared" si="121"/>
        <v>27</v>
      </c>
      <c r="P476" s="13">
        <f t="shared" si="126"/>
        <v>0</v>
      </c>
      <c r="Q476">
        <f t="shared" si="134"/>
        <v>27</v>
      </c>
      <c r="R476" s="14">
        <f t="shared" si="135"/>
        <v>27</v>
      </c>
      <c r="S476" s="15"/>
      <c r="W476" s="14"/>
    </row>
    <row r="477" spans="1:23" x14ac:dyDescent="0.25">
      <c r="A477" s="16"/>
      <c r="B477" s="17" t="b">
        <f t="shared" si="128"/>
        <v>0</v>
      </c>
      <c r="C477" s="17" t="b">
        <f t="shared" si="120"/>
        <v>0</v>
      </c>
      <c r="D477" s="17">
        <f t="shared" si="122"/>
        <v>1</v>
      </c>
      <c r="E477" s="17" t="str">
        <f t="shared" si="127"/>
        <v>Section 10 - Spring Boot - Deployement</v>
      </c>
      <c r="F477" s="18" t="str">
        <f t="shared" si="123"/>
        <v/>
      </c>
      <c r="G477" s="13" t="str">
        <f t="shared" si="129"/>
        <v/>
      </c>
      <c r="H477">
        <f t="shared" si="130"/>
        <v>0</v>
      </c>
      <c r="I477">
        <f t="shared" si="131"/>
        <v>0</v>
      </c>
      <c r="J477" s="13">
        <f t="shared" si="132"/>
        <v>155</v>
      </c>
      <c r="K477">
        <f t="shared" si="124"/>
        <v>2</v>
      </c>
      <c r="L477">
        <f t="shared" si="125"/>
        <v>35</v>
      </c>
      <c r="M477" s="13">
        <f t="shared" si="133"/>
        <v>0</v>
      </c>
      <c r="N477">
        <f t="shared" si="133"/>
        <v>27</v>
      </c>
      <c r="O477" s="14">
        <f t="shared" si="121"/>
        <v>27</v>
      </c>
      <c r="P477" s="13">
        <f t="shared" si="126"/>
        <v>0</v>
      </c>
      <c r="Q477">
        <f t="shared" si="134"/>
        <v>27</v>
      </c>
      <c r="R477" s="14">
        <f t="shared" si="135"/>
        <v>27</v>
      </c>
      <c r="S477" s="15"/>
      <c r="W477" s="14"/>
    </row>
    <row r="478" spans="1:23" x14ac:dyDescent="0.25">
      <c r="A478" s="16"/>
      <c r="B478" s="17" t="b">
        <f t="shared" si="128"/>
        <v>0</v>
      </c>
      <c r="C478" s="17" t="b">
        <f t="shared" si="120"/>
        <v>0</v>
      </c>
      <c r="D478" s="17">
        <f t="shared" si="122"/>
        <v>1</v>
      </c>
      <c r="E478" s="17" t="str">
        <f t="shared" si="127"/>
        <v>Section 10 - Spring Boot - Deployement</v>
      </c>
      <c r="F478" s="18" t="str">
        <f t="shared" si="123"/>
        <v/>
      </c>
      <c r="G478" s="13" t="str">
        <f t="shared" si="129"/>
        <v/>
      </c>
      <c r="H478">
        <f t="shared" si="130"/>
        <v>0</v>
      </c>
      <c r="I478">
        <f t="shared" si="131"/>
        <v>0</v>
      </c>
      <c r="J478" s="13">
        <f t="shared" si="132"/>
        <v>155</v>
      </c>
      <c r="K478">
        <f t="shared" si="124"/>
        <v>2</v>
      </c>
      <c r="L478">
        <f t="shared" si="125"/>
        <v>35</v>
      </c>
      <c r="M478" s="13">
        <f t="shared" si="133"/>
        <v>0</v>
      </c>
      <c r="N478">
        <f t="shared" si="133"/>
        <v>27</v>
      </c>
      <c r="O478" s="14">
        <f t="shared" si="121"/>
        <v>27</v>
      </c>
      <c r="P478" s="13">
        <f t="shared" si="126"/>
        <v>0</v>
      </c>
      <c r="Q478">
        <f t="shared" si="134"/>
        <v>27</v>
      </c>
      <c r="R478" s="14">
        <f t="shared" si="135"/>
        <v>27</v>
      </c>
      <c r="S478" s="15"/>
      <c r="W478" s="14"/>
    </row>
    <row r="479" spans="1:23" x14ac:dyDescent="0.25">
      <c r="A479" s="16"/>
      <c r="B479" s="17" t="b">
        <f t="shared" si="128"/>
        <v>0</v>
      </c>
      <c r="C479" s="17" t="b">
        <f t="shared" si="120"/>
        <v>0</v>
      </c>
      <c r="D479" s="17">
        <f t="shared" si="122"/>
        <v>1</v>
      </c>
      <c r="E479" s="17" t="str">
        <f t="shared" si="127"/>
        <v>Section 10 - Spring Boot - Deployement</v>
      </c>
      <c r="F479" s="18" t="str">
        <f t="shared" si="123"/>
        <v/>
      </c>
      <c r="G479" s="13" t="str">
        <f t="shared" si="129"/>
        <v/>
      </c>
      <c r="H479">
        <f t="shared" si="130"/>
        <v>0</v>
      </c>
      <c r="I479">
        <f t="shared" si="131"/>
        <v>0</v>
      </c>
      <c r="J479" s="13">
        <f t="shared" si="132"/>
        <v>155</v>
      </c>
      <c r="K479">
        <f t="shared" si="124"/>
        <v>2</v>
      </c>
      <c r="L479">
        <f t="shared" si="125"/>
        <v>35</v>
      </c>
      <c r="M479" s="13">
        <f t="shared" si="133"/>
        <v>0</v>
      </c>
      <c r="N479">
        <f t="shared" si="133"/>
        <v>27</v>
      </c>
      <c r="O479" s="14">
        <f t="shared" si="121"/>
        <v>27</v>
      </c>
      <c r="P479" s="13">
        <f t="shared" si="126"/>
        <v>0</v>
      </c>
      <c r="Q479">
        <f t="shared" si="134"/>
        <v>27</v>
      </c>
      <c r="R479" s="14">
        <f t="shared" si="135"/>
        <v>27</v>
      </c>
      <c r="S479" s="15"/>
      <c r="W479" s="14"/>
    </row>
    <row r="480" spans="1:23" x14ac:dyDescent="0.25">
      <c r="A480" s="16"/>
      <c r="B480" s="17" t="b">
        <f t="shared" si="128"/>
        <v>0</v>
      </c>
      <c r="C480" s="17" t="b">
        <f t="shared" si="120"/>
        <v>0</v>
      </c>
      <c r="D480" s="17">
        <f t="shared" si="122"/>
        <v>1</v>
      </c>
      <c r="E480" s="17" t="str">
        <f t="shared" si="127"/>
        <v>Section 10 - Spring Boot - Deployement</v>
      </c>
      <c r="F480" s="18" t="str">
        <f t="shared" si="123"/>
        <v/>
      </c>
      <c r="G480" s="13" t="str">
        <f t="shared" si="129"/>
        <v/>
      </c>
      <c r="H480">
        <f t="shared" si="130"/>
        <v>0</v>
      </c>
      <c r="I480">
        <f t="shared" si="131"/>
        <v>0</v>
      </c>
      <c r="J480" s="13">
        <f t="shared" si="132"/>
        <v>155</v>
      </c>
      <c r="K480">
        <f t="shared" si="124"/>
        <v>2</v>
      </c>
      <c r="L480">
        <f t="shared" si="125"/>
        <v>35</v>
      </c>
      <c r="M480" s="13">
        <f t="shared" si="133"/>
        <v>0</v>
      </c>
      <c r="N480">
        <f t="shared" si="133"/>
        <v>27</v>
      </c>
      <c r="O480" s="14">
        <f t="shared" si="121"/>
        <v>27</v>
      </c>
      <c r="P480" s="13">
        <f t="shared" si="126"/>
        <v>0</v>
      </c>
      <c r="Q480">
        <f t="shared" si="134"/>
        <v>27</v>
      </c>
      <c r="R480" s="14">
        <f t="shared" si="135"/>
        <v>27</v>
      </c>
      <c r="S480" s="15"/>
      <c r="W480" s="14"/>
    </row>
    <row r="481" spans="1:23" x14ac:dyDescent="0.25">
      <c r="A481" s="16"/>
      <c r="B481" s="17" t="b">
        <f t="shared" si="128"/>
        <v>0</v>
      </c>
      <c r="C481" s="17" t="b">
        <f t="shared" si="120"/>
        <v>0</v>
      </c>
      <c r="D481" s="17">
        <f t="shared" si="122"/>
        <v>1</v>
      </c>
      <c r="E481" s="17" t="str">
        <f t="shared" si="127"/>
        <v>Section 10 - Spring Boot - Deployement</v>
      </c>
      <c r="F481" s="18" t="str">
        <f t="shared" si="123"/>
        <v/>
      </c>
      <c r="G481" s="13" t="str">
        <f t="shared" si="129"/>
        <v/>
      </c>
      <c r="H481">
        <f t="shared" si="130"/>
        <v>0</v>
      </c>
      <c r="I481">
        <f t="shared" si="131"/>
        <v>0</v>
      </c>
      <c r="J481" s="13">
        <f t="shared" si="132"/>
        <v>155</v>
      </c>
      <c r="K481">
        <f t="shared" si="124"/>
        <v>2</v>
      </c>
      <c r="L481">
        <f t="shared" si="125"/>
        <v>35</v>
      </c>
      <c r="M481" s="13">
        <f t="shared" si="133"/>
        <v>0</v>
      </c>
      <c r="N481">
        <f t="shared" si="133"/>
        <v>27</v>
      </c>
      <c r="O481" s="14">
        <f t="shared" si="121"/>
        <v>27</v>
      </c>
      <c r="P481" s="13">
        <f t="shared" si="126"/>
        <v>0</v>
      </c>
      <c r="Q481">
        <f t="shared" si="134"/>
        <v>27</v>
      </c>
      <c r="R481" s="14">
        <f t="shared" si="135"/>
        <v>27</v>
      </c>
      <c r="S481" s="15"/>
      <c r="W481" s="14"/>
    </row>
    <row r="482" spans="1:23" x14ac:dyDescent="0.25">
      <c r="A482" s="16"/>
      <c r="B482" s="17" t="b">
        <f t="shared" si="128"/>
        <v>0</v>
      </c>
      <c r="C482" s="17" t="b">
        <f t="shared" si="120"/>
        <v>0</v>
      </c>
      <c r="D482" s="17">
        <f t="shared" si="122"/>
        <v>1</v>
      </c>
      <c r="E482" s="17" t="str">
        <f t="shared" si="127"/>
        <v>Section 10 - Spring Boot - Deployement</v>
      </c>
      <c r="F482" s="18" t="str">
        <f t="shared" si="123"/>
        <v/>
      </c>
      <c r="G482" s="13" t="str">
        <f t="shared" si="129"/>
        <v/>
      </c>
      <c r="H482">
        <f t="shared" si="130"/>
        <v>0</v>
      </c>
      <c r="I482">
        <f t="shared" si="131"/>
        <v>0</v>
      </c>
      <c r="J482" s="13">
        <f t="shared" si="132"/>
        <v>155</v>
      </c>
      <c r="K482">
        <f t="shared" si="124"/>
        <v>2</v>
      </c>
      <c r="L482">
        <f t="shared" si="125"/>
        <v>35</v>
      </c>
      <c r="M482" s="13">
        <f t="shared" si="133"/>
        <v>0</v>
      </c>
      <c r="N482">
        <f t="shared" si="133"/>
        <v>27</v>
      </c>
      <c r="O482" s="14">
        <f t="shared" si="121"/>
        <v>27</v>
      </c>
      <c r="P482" s="13">
        <f t="shared" si="126"/>
        <v>0</v>
      </c>
      <c r="Q482">
        <f t="shared" si="134"/>
        <v>27</v>
      </c>
      <c r="R482" s="14">
        <f t="shared" si="135"/>
        <v>27</v>
      </c>
      <c r="S482" s="15"/>
      <c r="W482" s="14"/>
    </row>
    <row r="483" spans="1:23" x14ac:dyDescent="0.25">
      <c r="A483" s="16"/>
      <c r="B483" s="17" t="b">
        <f t="shared" si="128"/>
        <v>0</v>
      </c>
      <c r="C483" s="17" t="b">
        <f t="shared" si="120"/>
        <v>0</v>
      </c>
      <c r="D483" s="17">
        <f t="shared" si="122"/>
        <v>1</v>
      </c>
      <c r="E483" s="17" t="str">
        <f t="shared" si="127"/>
        <v>Section 10 - Spring Boot - Deployement</v>
      </c>
      <c r="F483" s="18" t="str">
        <f t="shared" si="123"/>
        <v/>
      </c>
      <c r="G483" s="13" t="str">
        <f t="shared" si="129"/>
        <v/>
      </c>
      <c r="H483">
        <f t="shared" si="130"/>
        <v>0</v>
      </c>
      <c r="I483">
        <f t="shared" si="131"/>
        <v>0</v>
      </c>
      <c r="J483" s="13">
        <f t="shared" si="132"/>
        <v>155</v>
      </c>
      <c r="K483">
        <f t="shared" si="124"/>
        <v>2</v>
      </c>
      <c r="L483">
        <f t="shared" si="125"/>
        <v>35</v>
      </c>
      <c r="M483" s="13">
        <f t="shared" si="133"/>
        <v>0</v>
      </c>
      <c r="N483">
        <f t="shared" si="133"/>
        <v>27</v>
      </c>
      <c r="O483" s="14">
        <f t="shared" si="121"/>
        <v>27</v>
      </c>
      <c r="P483" s="13">
        <f t="shared" si="126"/>
        <v>0</v>
      </c>
      <c r="Q483">
        <f t="shared" si="134"/>
        <v>27</v>
      </c>
      <c r="R483" s="14">
        <f t="shared" si="135"/>
        <v>27</v>
      </c>
      <c r="S483" s="15"/>
      <c r="W483" s="14"/>
    </row>
    <row r="484" spans="1:23" x14ac:dyDescent="0.25">
      <c r="A484" s="16"/>
      <c r="B484" s="17" t="b">
        <f t="shared" si="128"/>
        <v>0</v>
      </c>
      <c r="C484" s="17" t="b">
        <f t="shared" si="120"/>
        <v>0</v>
      </c>
      <c r="D484" s="17">
        <f t="shared" si="122"/>
        <v>1</v>
      </c>
      <c r="E484" s="17" t="str">
        <f t="shared" si="127"/>
        <v>Section 10 - Spring Boot - Deployement</v>
      </c>
      <c r="F484" s="18" t="str">
        <f t="shared" si="123"/>
        <v/>
      </c>
      <c r="G484" s="13" t="str">
        <f t="shared" si="129"/>
        <v/>
      </c>
      <c r="H484">
        <f t="shared" si="130"/>
        <v>0</v>
      </c>
      <c r="I484">
        <f t="shared" si="131"/>
        <v>0</v>
      </c>
      <c r="J484" s="13">
        <f t="shared" si="132"/>
        <v>155</v>
      </c>
      <c r="K484">
        <f t="shared" si="124"/>
        <v>2</v>
      </c>
      <c r="L484">
        <f t="shared" si="125"/>
        <v>35</v>
      </c>
      <c r="M484" s="13">
        <f t="shared" si="133"/>
        <v>0</v>
      </c>
      <c r="N484">
        <f t="shared" si="133"/>
        <v>27</v>
      </c>
      <c r="O484" s="14">
        <f t="shared" si="121"/>
        <v>27</v>
      </c>
      <c r="P484" s="13">
        <f t="shared" si="126"/>
        <v>0</v>
      </c>
      <c r="Q484">
        <f t="shared" si="134"/>
        <v>27</v>
      </c>
      <c r="R484" s="14">
        <f t="shared" si="135"/>
        <v>27</v>
      </c>
      <c r="S484" s="15"/>
      <c r="W484" s="14"/>
    </row>
    <row r="485" spans="1:23" x14ac:dyDescent="0.25">
      <c r="A485" s="16"/>
      <c r="B485" s="17" t="b">
        <f t="shared" si="128"/>
        <v>0</v>
      </c>
      <c r="C485" s="17" t="b">
        <f t="shared" si="120"/>
        <v>0</v>
      </c>
      <c r="D485" s="17">
        <f t="shared" si="122"/>
        <v>1</v>
      </c>
      <c r="E485" s="17" t="str">
        <f t="shared" si="127"/>
        <v>Section 10 - Spring Boot - Deployement</v>
      </c>
      <c r="F485" s="18" t="str">
        <f t="shared" si="123"/>
        <v/>
      </c>
      <c r="G485" s="13" t="str">
        <f t="shared" si="129"/>
        <v/>
      </c>
      <c r="H485">
        <f t="shared" si="130"/>
        <v>0</v>
      </c>
      <c r="I485">
        <f t="shared" si="131"/>
        <v>0</v>
      </c>
      <c r="J485" s="13">
        <f t="shared" si="132"/>
        <v>155</v>
      </c>
      <c r="K485">
        <f t="shared" si="124"/>
        <v>2</v>
      </c>
      <c r="L485">
        <f t="shared" si="125"/>
        <v>35</v>
      </c>
      <c r="M485" s="13">
        <f t="shared" si="133"/>
        <v>0</v>
      </c>
      <c r="N485">
        <f t="shared" si="133"/>
        <v>27</v>
      </c>
      <c r="O485" s="14">
        <f t="shared" si="121"/>
        <v>27</v>
      </c>
      <c r="P485" s="13">
        <f t="shared" si="126"/>
        <v>0</v>
      </c>
      <c r="Q485">
        <f t="shared" si="134"/>
        <v>27</v>
      </c>
      <c r="R485" s="14">
        <f t="shared" si="135"/>
        <v>27</v>
      </c>
      <c r="S485" s="15"/>
      <c r="W485" s="14"/>
    </row>
    <row r="486" spans="1:23" x14ac:dyDescent="0.25">
      <c r="A486" s="16"/>
      <c r="B486" s="17" t="b">
        <f t="shared" si="128"/>
        <v>0</v>
      </c>
      <c r="C486" s="17" t="b">
        <f t="shared" si="120"/>
        <v>0</v>
      </c>
      <c r="D486" s="17">
        <f t="shared" si="122"/>
        <v>1</v>
      </c>
      <c r="E486" s="17" t="str">
        <f t="shared" si="127"/>
        <v>Section 10 - Spring Boot - Deployement</v>
      </c>
      <c r="F486" s="18" t="str">
        <f t="shared" si="123"/>
        <v/>
      </c>
      <c r="G486" s="13" t="str">
        <f t="shared" si="129"/>
        <v/>
      </c>
      <c r="H486">
        <f t="shared" si="130"/>
        <v>0</v>
      </c>
      <c r="I486">
        <f t="shared" si="131"/>
        <v>0</v>
      </c>
      <c r="J486" s="13">
        <f t="shared" si="132"/>
        <v>155</v>
      </c>
      <c r="K486">
        <f t="shared" si="124"/>
        <v>2</v>
      </c>
      <c r="L486">
        <f t="shared" si="125"/>
        <v>35</v>
      </c>
      <c r="M486" s="13">
        <f t="shared" si="133"/>
        <v>0</v>
      </c>
      <c r="N486">
        <f t="shared" si="133"/>
        <v>27</v>
      </c>
      <c r="O486" s="14">
        <f t="shared" si="121"/>
        <v>27</v>
      </c>
      <c r="P486" s="13">
        <f t="shared" si="126"/>
        <v>0</v>
      </c>
      <c r="Q486">
        <f t="shared" si="134"/>
        <v>27</v>
      </c>
      <c r="R486" s="14">
        <f t="shared" si="135"/>
        <v>27</v>
      </c>
      <c r="S486" s="15"/>
      <c r="W486" s="14"/>
    </row>
    <row r="487" spans="1:23" x14ac:dyDescent="0.25">
      <c r="A487" s="16"/>
      <c r="B487" s="17" t="b">
        <f t="shared" si="128"/>
        <v>0</v>
      </c>
      <c r="C487" s="17" t="b">
        <f t="shared" si="120"/>
        <v>0</v>
      </c>
      <c r="D487" s="17">
        <f t="shared" si="122"/>
        <v>1</v>
      </c>
      <c r="E487" s="17" t="str">
        <f t="shared" si="127"/>
        <v>Section 10 - Spring Boot - Deployement</v>
      </c>
      <c r="F487" s="18" t="str">
        <f t="shared" si="123"/>
        <v/>
      </c>
      <c r="G487" s="13" t="str">
        <f t="shared" si="129"/>
        <v/>
      </c>
      <c r="H487">
        <f t="shared" si="130"/>
        <v>0</v>
      </c>
      <c r="I487">
        <f t="shared" si="131"/>
        <v>0</v>
      </c>
      <c r="J487" s="13">
        <f t="shared" si="132"/>
        <v>155</v>
      </c>
      <c r="K487">
        <f t="shared" si="124"/>
        <v>2</v>
      </c>
      <c r="L487">
        <f t="shared" si="125"/>
        <v>35</v>
      </c>
      <c r="M487" s="13">
        <f t="shared" si="133"/>
        <v>0</v>
      </c>
      <c r="N487">
        <f t="shared" si="133"/>
        <v>27</v>
      </c>
      <c r="O487" s="14">
        <f t="shared" si="121"/>
        <v>27</v>
      </c>
      <c r="P487" s="13">
        <f t="shared" si="126"/>
        <v>0</v>
      </c>
      <c r="Q487">
        <f t="shared" si="134"/>
        <v>27</v>
      </c>
      <c r="R487" s="14">
        <f t="shared" si="135"/>
        <v>27</v>
      </c>
      <c r="S487" s="15"/>
      <c r="W487" s="14"/>
    </row>
    <row r="488" spans="1:23" x14ac:dyDescent="0.25">
      <c r="A488" s="16"/>
      <c r="B488" s="17" t="b">
        <f t="shared" si="128"/>
        <v>0</v>
      </c>
      <c r="C488" s="17" t="b">
        <f t="shared" si="120"/>
        <v>0</v>
      </c>
      <c r="D488" s="17">
        <f t="shared" si="122"/>
        <v>1</v>
      </c>
      <c r="E488" s="17" t="str">
        <f t="shared" si="127"/>
        <v>Section 10 - Spring Boot - Deployement</v>
      </c>
      <c r="F488" s="18" t="str">
        <f t="shared" si="123"/>
        <v/>
      </c>
      <c r="G488" s="13" t="str">
        <f t="shared" si="129"/>
        <v/>
      </c>
      <c r="H488">
        <f t="shared" si="130"/>
        <v>0</v>
      </c>
      <c r="I488">
        <f t="shared" si="131"/>
        <v>0</v>
      </c>
      <c r="J488" s="13">
        <f t="shared" si="132"/>
        <v>155</v>
      </c>
      <c r="K488">
        <f t="shared" si="124"/>
        <v>2</v>
      </c>
      <c r="L488">
        <f t="shared" si="125"/>
        <v>35</v>
      </c>
      <c r="M488" s="13">
        <f t="shared" si="133"/>
        <v>0</v>
      </c>
      <c r="N488">
        <f t="shared" si="133"/>
        <v>27</v>
      </c>
      <c r="O488" s="14">
        <f t="shared" si="121"/>
        <v>27</v>
      </c>
      <c r="P488" s="13">
        <f t="shared" si="126"/>
        <v>0</v>
      </c>
      <c r="Q488">
        <f t="shared" si="134"/>
        <v>27</v>
      </c>
      <c r="R488" s="14">
        <f t="shared" si="135"/>
        <v>27</v>
      </c>
      <c r="S488" s="15"/>
      <c r="W488" s="14"/>
    </row>
    <row r="489" spans="1:23" x14ac:dyDescent="0.25">
      <c r="A489" s="16"/>
      <c r="B489" s="17" t="b">
        <f t="shared" si="128"/>
        <v>0</v>
      </c>
      <c r="C489" s="17" t="b">
        <f t="shared" si="120"/>
        <v>0</v>
      </c>
      <c r="D489" s="17">
        <f t="shared" si="122"/>
        <v>1</v>
      </c>
      <c r="E489" s="17" t="str">
        <f t="shared" si="127"/>
        <v>Section 10 - Spring Boot - Deployement</v>
      </c>
      <c r="F489" s="18" t="str">
        <f t="shared" si="123"/>
        <v/>
      </c>
      <c r="G489" s="13" t="str">
        <f t="shared" si="129"/>
        <v/>
      </c>
      <c r="H489">
        <f t="shared" si="130"/>
        <v>0</v>
      </c>
      <c r="I489">
        <f t="shared" si="131"/>
        <v>0</v>
      </c>
      <c r="J489" s="13">
        <f t="shared" si="132"/>
        <v>155</v>
      </c>
      <c r="K489">
        <f t="shared" si="124"/>
        <v>2</v>
      </c>
      <c r="L489">
        <f t="shared" si="125"/>
        <v>35</v>
      </c>
      <c r="M489" s="13">
        <f t="shared" si="133"/>
        <v>0</v>
      </c>
      <c r="N489">
        <f t="shared" si="133"/>
        <v>27</v>
      </c>
      <c r="O489" s="14">
        <f t="shared" si="121"/>
        <v>27</v>
      </c>
      <c r="P489" s="13">
        <f t="shared" si="126"/>
        <v>0</v>
      </c>
      <c r="Q489">
        <f t="shared" si="134"/>
        <v>27</v>
      </c>
      <c r="R489" s="14">
        <f t="shared" si="135"/>
        <v>27</v>
      </c>
      <c r="S489" s="15"/>
      <c r="W489" s="14"/>
    </row>
    <row r="490" spans="1:23" x14ac:dyDescent="0.25">
      <c r="A490" s="16"/>
      <c r="B490" s="17" t="b">
        <f t="shared" si="128"/>
        <v>0</v>
      </c>
      <c r="C490" s="17" t="b">
        <f t="shared" si="120"/>
        <v>0</v>
      </c>
      <c r="D490" s="17">
        <f t="shared" si="122"/>
        <v>1</v>
      </c>
      <c r="E490" s="17" t="str">
        <f t="shared" si="127"/>
        <v>Section 10 - Spring Boot - Deployement</v>
      </c>
      <c r="F490" s="18" t="str">
        <f t="shared" si="123"/>
        <v/>
      </c>
      <c r="G490" s="13" t="str">
        <f t="shared" si="129"/>
        <v/>
      </c>
      <c r="H490">
        <f t="shared" si="130"/>
        <v>0</v>
      </c>
      <c r="I490">
        <f t="shared" si="131"/>
        <v>0</v>
      </c>
      <c r="J490" s="13">
        <f t="shared" si="132"/>
        <v>155</v>
      </c>
      <c r="K490">
        <f t="shared" si="124"/>
        <v>2</v>
      </c>
      <c r="L490">
        <f t="shared" si="125"/>
        <v>35</v>
      </c>
      <c r="M490" s="13">
        <f t="shared" si="133"/>
        <v>0</v>
      </c>
      <c r="N490">
        <f t="shared" si="133"/>
        <v>27</v>
      </c>
      <c r="O490" s="14">
        <f t="shared" si="121"/>
        <v>27</v>
      </c>
      <c r="P490" s="13">
        <f t="shared" si="126"/>
        <v>0</v>
      </c>
      <c r="Q490">
        <f t="shared" si="134"/>
        <v>27</v>
      </c>
      <c r="R490" s="14">
        <f t="shared" si="135"/>
        <v>27</v>
      </c>
      <c r="S490" s="15"/>
      <c r="W490" s="14"/>
    </row>
    <row r="491" spans="1:23" x14ac:dyDescent="0.25">
      <c r="A491" s="16"/>
      <c r="B491" s="17" t="b">
        <f t="shared" si="128"/>
        <v>0</v>
      </c>
      <c r="C491" s="17" t="b">
        <f t="shared" si="120"/>
        <v>0</v>
      </c>
      <c r="D491" s="17">
        <f t="shared" si="122"/>
        <v>1</v>
      </c>
      <c r="E491" s="17" t="str">
        <f t="shared" si="127"/>
        <v>Section 10 - Spring Boot - Deployement</v>
      </c>
      <c r="F491" s="18" t="str">
        <f t="shared" si="123"/>
        <v/>
      </c>
      <c r="G491" s="13" t="str">
        <f t="shared" si="129"/>
        <v/>
      </c>
      <c r="H491">
        <f t="shared" si="130"/>
        <v>0</v>
      </c>
      <c r="I491">
        <f t="shared" si="131"/>
        <v>0</v>
      </c>
      <c r="J491" s="13">
        <f t="shared" si="132"/>
        <v>155</v>
      </c>
      <c r="K491">
        <f t="shared" si="124"/>
        <v>2</v>
      </c>
      <c r="L491">
        <f t="shared" si="125"/>
        <v>35</v>
      </c>
      <c r="M491" s="13">
        <f t="shared" si="133"/>
        <v>0</v>
      </c>
      <c r="N491">
        <f t="shared" si="133"/>
        <v>27</v>
      </c>
      <c r="O491" s="14">
        <f t="shared" si="121"/>
        <v>27</v>
      </c>
      <c r="P491" s="13">
        <f t="shared" si="126"/>
        <v>0</v>
      </c>
      <c r="Q491">
        <f t="shared" si="134"/>
        <v>27</v>
      </c>
      <c r="R491" s="14">
        <f t="shared" si="135"/>
        <v>27</v>
      </c>
      <c r="S491" s="15"/>
      <c r="W491" s="14"/>
    </row>
    <row r="492" spans="1:23" x14ac:dyDescent="0.25">
      <c r="A492" s="16"/>
      <c r="B492" s="17" t="b">
        <f t="shared" si="128"/>
        <v>0</v>
      </c>
      <c r="C492" s="17" t="b">
        <f t="shared" si="120"/>
        <v>0</v>
      </c>
      <c r="D492" s="17">
        <f t="shared" si="122"/>
        <v>1</v>
      </c>
      <c r="E492" s="17" t="str">
        <f t="shared" si="127"/>
        <v>Section 10 - Spring Boot - Deployement</v>
      </c>
      <c r="F492" s="18" t="str">
        <f t="shared" si="123"/>
        <v/>
      </c>
      <c r="G492" s="13" t="str">
        <f t="shared" si="129"/>
        <v/>
      </c>
      <c r="H492">
        <f t="shared" si="130"/>
        <v>0</v>
      </c>
      <c r="I492">
        <f t="shared" si="131"/>
        <v>0</v>
      </c>
      <c r="J492" s="13">
        <f t="shared" si="132"/>
        <v>155</v>
      </c>
      <c r="K492">
        <f t="shared" si="124"/>
        <v>2</v>
      </c>
      <c r="L492">
        <f t="shared" si="125"/>
        <v>35</v>
      </c>
      <c r="M492" s="13">
        <f t="shared" si="133"/>
        <v>0</v>
      </c>
      <c r="N492">
        <f t="shared" si="133"/>
        <v>27</v>
      </c>
      <c r="O492" s="14">
        <f t="shared" si="121"/>
        <v>27</v>
      </c>
      <c r="P492" s="13">
        <f t="shared" si="126"/>
        <v>0</v>
      </c>
      <c r="Q492">
        <f t="shared" si="134"/>
        <v>27</v>
      </c>
      <c r="R492" s="14">
        <f t="shared" si="135"/>
        <v>27</v>
      </c>
      <c r="S492" s="15"/>
      <c r="W492" s="14"/>
    </row>
    <row r="493" spans="1:23" x14ac:dyDescent="0.25">
      <c r="A493" s="16"/>
      <c r="B493" s="17" t="b">
        <f t="shared" si="128"/>
        <v>0</v>
      </c>
      <c r="C493" s="17" t="b">
        <f t="shared" si="120"/>
        <v>0</v>
      </c>
      <c r="D493" s="17">
        <f t="shared" si="122"/>
        <v>1</v>
      </c>
      <c r="E493" s="17" t="str">
        <f t="shared" si="127"/>
        <v>Section 10 - Spring Boot - Deployement</v>
      </c>
      <c r="F493" s="18" t="str">
        <f t="shared" si="123"/>
        <v/>
      </c>
      <c r="G493" s="13" t="str">
        <f t="shared" si="129"/>
        <v/>
      </c>
      <c r="H493">
        <f t="shared" si="130"/>
        <v>0</v>
      </c>
      <c r="I493">
        <f t="shared" si="131"/>
        <v>0</v>
      </c>
      <c r="J493" s="13">
        <f t="shared" si="132"/>
        <v>155</v>
      </c>
      <c r="K493">
        <f t="shared" si="124"/>
        <v>2</v>
      </c>
      <c r="L493">
        <f t="shared" si="125"/>
        <v>35</v>
      </c>
      <c r="M493" s="13">
        <f t="shared" si="133"/>
        <v>0</v>
      </c>
      <c r="N493">
        <f t="shared" si="133"/>
        <v>27</v>
      </c>
      <c r="O493" s="14">
        <f t="shared" si="121"/>
        <v>27</v>
      </c>
      <c r="P493" s="13">
        <f t="shared" si="126"/>
        <v>0</v>
      </c>
      <c r="Q493">
        <f t="shared" si="134"/>
        <v>27</v>
      </c>
      <c r="R493" s="14">
        <f t="shared" si="135"/>
        <v>27</v>
      </c>
      <c r="S493" s="15"/>
      <c r="W493" s="14"/>
    </row>
    <row r="494" spans="1:23" x14ac:dyDescent="0.25">
      <c r="A494" s="16"/>
      <c r="B494" s="17" t="b">
        <f t="shared" si="128"/>
        <v>0</v>
      </c>
      <c r="C494" s="17" t="b">
        <f t="shared" si="120"/>
        <v>0</v>
      </c>
      <c r="D494" s="17">
        <f t="shared" si="122"/>
        <v>1</v>
      </c>
      <c r="E494" s="17" t="str">
        <f t="shared" si="127"/>
        <v>Section 10 - Spring Boot - Deployement</v>
      </c>
      <c r="F494" s="18" t="str">
        <f t="shared" si="123"/>
        <v/>
      </c>
      <c r="G494" s="13" t="str">
        <f t="shared" si="129"/>
        <v/>
      </c>
      <c r="H494">
        <f t="shared" si="130"/>
        <v>0</v>
      </c>
      <c r="I494">
        <f t="shared" si="131"/>
        <v>0</v>
      </c>
      <c r="J494" s="13">
        <f t="shared" si="132"/>
        <v>155</v>
      </c>
      <c r="K494">
        <f t="shared" si="124"/>
        <v>2</v>
      </c>
      <c r="L494">
        <f t="shared" si="125"/>
        <v>35</v>
      </c>
      <c r="M494" s="13">
        <f t="shared" si="133"/>
        <v>0</v>
      </c>
      <c r="N494">
        <f t="shared" si="133"/>
        <v>27</v>
      </c>
      <c r="O494" s="14">
        <f t="shared" si="121"/>
        <v>27</v>
      </c>
      <c r="P494" s="13">
        <f t="shared" si="126"/>
        <v>0</v>
      </c>
      <c r="Q494">
        <f t="shared" si="134"/>
        <v>27</v>
      </c>
      <c r="R494" s="14">
        <f t="shared" si="135"/>
        <v>27</v>
      </c>
      <c r="S494" s="15"/>
      <c r="W494" s="14"/>
    </row>
    <row r="495" spans="1:23" x14ac:dyDescent="0.25">
      <c r="A495" s="16"/>
      <c r="B495" s="17" t="b">
        <f t="shared" si="128"/>
        <v>0</v>
      </c>
      <c r="C495" s="17" t="b">
        <f t="shared" si="120"/>
        <v>0</v>
      </c>
      <c r="D495" s="17">
        <f t="shared" si="122"/>
        <v>1</v>
      </c>
      <c r="E495" s="17" t="str">
        <f t="shared" si="127"/>
        <v>Section 10 - Spring Boot - Deployement</v>
      </c>
      <c r="F495" s="18" t="str">
        <f t="shared" si="123"/>
        <v/>
      </c>
      <c r="G495" s="13" t="str">
        <f t="shared" si="129"/>
        <v/>
      </c>
      <c r="H495">
        <f t="shared" si="130"/>
        <v>0</v>
      </c>
      <c r="I495">
        <f t="shared" si="131"/>
        <v>0</v>
      </c>
      <c r="J495" s="13">
        <f t="shared" si="132"/>
        <v>155</v>
      </c>
      <c r="K495">
        <f t="shared" si="124"/>
        <v>2</v>
      </c>
      <c r="L495">
        <f t="shared" si="125"/>
        <v>35</v>
      </c>
      <c r="M495" s="13">
        <f t="shared" si="133"/>
        <v>0</v>
      </c>
      <c r="N495">
        <f t="shared" si="133"/>
        <v>27</v>
      </c>
      <c r="O495" s="14">
        <f t="shared" si="121"/>
        <v>27</v>
      </c>
      <c r="P495" s="13">
        <f t="shared" si="126"/>
        <v>0</v>
      </c>
      <c r="Q495">
        <f t="shared" si="134"/>
        <v>27</v>
      </c>
      <c r="R495" s="14">
        <f t="shared" si="135"/>
        <v>27</v>
      </c>
      <c r="S495" s="15"/>
      <c r="W495" s="14"/>
    </row>
    <row r="496" spans="1:23" x14ac:dyDescent="0.25">
      <c r="A496" s="16"/>
      <c r="B496" s="17" t="b">
        <f t="shared" si="128"/>
        <v>0</v>
      </c>
      <c r="C496" s="17" t="b">
        <f t="shared" si="120"/>
        <v>0</v>
      </c>
      <c r="D496" s="17">
        <f t="shared" si="122"/>
        <v>1</v>
      </c>
      <c r="E496" s="17" t="str">
        <f t="shared" si="127"/>
        <v>Section 10 - Spring Boot - Deployement</v>
      </c>
      <c r="F496" s="18" t="str">
        <f t="shared" si="123"/>
        <v/>
      </c>
      <c r="G496" s="13" t="str">
        <f t="shared" si="129"/>
        <v/>
      </c>
      <c r="H496">
        <f t="shared" si="130"/>
        <v>0</v>
      </c>
      <c r="I496">
        <f t="shared" si="131"/>
        <v>0</v>
      </c>
      <c r="J496" s="13">
        <f t="shared" si="132"/>
        <v>155</v>
      </c>
      <c r="K496">
        <f t="shared" si="124"/>
        <v>2</v>
      </c>
      <c r="L496">
        <f t="shared" si="125"/>
        <v>35</v>
      </c>
      <c r="M496" s="13">
        <f t="shared" si="133"/>
        <v>0</v>
      </c>
      <c r="N496">
        <f t="shared" si="133"/>
        <v>27</v>
      </c>
      <c r="O496" s="14">
        <f t="shared" si="121"/>
        <v>27</v>
      </c>
      <c r="P496" s="13">
        <f t="shared" si="126"/>
        <v>0</v>
      </c>
      <c r="Q496">
        <f t="shared" si="134"/>
        <v>27</v>
      </c>
      <c r="R496" s="14">
        <f t="shared" si="135"/>
        <v>27</v>
      </c>
      <c r="S496" s="15"/>
      <c r="W496" s="14"/>
    </row>
    <row r="497" spans="1:23" x14ac:dyDescent="0.25">
      <c r="A497" s="16"/>
      <c r="B497" s="17" t="b">
        <f t="shared" si="128"/>
        <v>0</v>
      </c>
      <c r="C497" s="17" t="b">
        <f t="shared" si="120"/>
        <v>0</v>
      </c>
      <c r="D497" s="17">
        <f t="shared" si="122"/>
        <v>1</v>
      </c>
      <c r="E497" s="17" t="str">
        <f t="shared" si="127"/>
        <v>Section 10 - Spring Boot - Deployement</v>
      </c>
      <c r="F497" s="18" t="str">
        <f t="shared" si="123"/>
        <v/>
      </c>
      <c r="G497" s="13" t="str">
        <f t="shared" si="129"/>
        <v/>
      </c>
      <c r="H497">
        <f t="shared" si="130"/>
        <v>0</v>
      </c>
      <c r="I497">
        <f t="shared" si="131"/>
        <v>0</v>
      </c>
      <c r="J497" s="13">
        <f t="shared" si="132"/>
        <v>155</v>
      </c>
      <c r="K497">
        <f t="shared" si="124"/>
        <v>2</v>
      </c>
      <c r="L497">
        <f t="shared" si="125"/>
        <v>35</v>
      </c>
      <c r="M497" s="13">
        <f t="shared" si="133"/>
        <v>0</v>
      </c>
      <c r="N497">
        <f t="shared" si="133"/>
        <v>27</v>
      </c>
      <c r="O497" s="14">
        <f t="shared" si="121"/>
        <v>27</v>
      </c>
      <c r="P497" s="13">
        <f t="shared" si="126"/>
        <v>0</v>
      </c>
      <c r="Q497">
        <f t="shared" si="134"/>
        <v>27</v>
      </c>
      <c r="R497" s="14">
        <f t="shared" si="135"/>
        <v>27</v>
      </c>
      <c r="S497" s="15"/>
      <c r="W497" s="14"/>
    </row>
    <row r="498" spans="1:23" x14ac:dyDescent="0.25">
      <c r="A498" s="16"/>
      <c r="B498" s="17" t="b">
        <f t="shared" si="128"/>
        <v>0</v>
      </c>
      <c r="C498" s="17" t="b">
        <f t="shared" si="120"/>
        <v>0</v>
      </c>
      <c r="D498" s="17">
        <f t="shared" si="122"/>
        <v>1</v>
      </c>
      <c r="E498" s="17" t="str">
        <f t="shared" si="127"/>
        <v>Section 10 - Spring Boot - Deployement</v>
      </c>
      <c r="F498" s="18" t="str">
        <f t="shared" si="123"/>
        <v/>
      </c>
      <c r="G498" s="13" t="str">
        <f t="shared" si="129"/>
        <v/>
      </c>
      <c r="H498">
        <f t="shared" si="130"/>
        <v>0</v>
      </c>
      <c r="I498">
        <f t="shared" si="131"/>
        <v>0</v>
      </c>
      <c r="J498" s="13">
        <f t="shared" si="132"/>
        <v>155</v>
      </c>
      <c r="K498">
        <f t="shared" si="124"/>
        <v>2</v>
      </c>
      <c r="L498">
        <f t="shared" si="125"/>
        <v>35</v>
      </c>
      <c r="M498" s="13">
        <f t="shared" si="133"/>
        <v>0</v>
      </c>
      <c r="N498">
        <f t="shared" si="133"/>
        <v>27</v>
      </c>
      <c r="O498" s="14">
        <f t="shared" si="121"/>
        <v>27</v>
      </c>
      <c r="P498" s="13">
        <f t="shared" si="126"/>
        <v>0</v>
      </c>
      <c r="Q498">
        <f t="shared" si="134"/>
        <v>27</v>
      </c>
      <c r="R498" s="14">
        <f t="shared" si="135"/>
        <v>27</v>
      </c>
      <c r="S498" s="15"/>
      <c r="W498" s="14"/>
    </row>
    <row r="499" spans="1:23" x14ac:dyDescent="0.25">
      <c r="A499" s="16"/>
      <c r="B499" s="17" t="b">
        <f t="shared" si="128"/>
        <v>0</v>
      </c>
      <c r="C499" s="17" t="b">
        <f t="shared" si="120"/>
        <v>0</v>
      </c>
      <c r="D499" s="17">
        <f t="shared" si="122"/>
        <v>1</v>
      </c>
      <c r="E499" s="17" t="str">
        <f t="shared" si="127"/>
        <v>Section 10 - Spring Boot - Deployement</v>
      </c>
      <c r="F499" s="18" t="str">
        <f t="shared" si="123"/>
        <v/>
      </c>
      <c r="G499" s="13" t="str">
        <f t="shared" si="129"/>
        <v/>
      </c>
      <c r="H499">
        <f t="shared" si="130"/>
        <v>0</v>
      </c>
      <c r="I499">
        <f t="shared" si="131"/>
        <v>0</v>
      </c>
      <c r="J499" s="13">
        <f t="shared" si="132"/>
        <v>155</v>
      </c>
      <c r="K499">
        <f t="shared" si="124"/>
        <v>2</v>
      </c>
      <c r="L499">
        <f t="shared" si="125"/>
        <v>35</v>
      </c>
      <c r="M499" s="13">
        <f t="shared" si="133"/>
        <v>0</v>
      </c>
      <c r="N499">
        <f t="shared" si="133"/>
        <v>27</v>
      </c>
      <c r="O499" s="14">
        <f t="shared" si="121"/>
        <v>27</v>
      </c>
      <c r="P499" s="13">
        <f t="shared" si="126"/>
        <v>0</v>
      </c>
      <c r="Q499">
        <f t="shared" si="134"/>
        <v>27</v>
      </c>
      <c r="R499" s="14">
        <f t="shared" si="135"/>
        <v>27</v>
      </c>
      <c r="S499" s="15"/>
      <c r="W499" s="14"/>
    </row>
    <row r="500" spans="1:23" x14ac:dyDescent="0.25">
      <c r="A500" s="16"/>
      <c r="B500" s="17" t="b">
        <f t="shared" si="128"/>
        <v>0</v>
      </c>
      <c r="C500" s="17" t="b">
        <f t="shared" si="120"/>
        <v>0</v>
      </c>
      <c r="D500" s="17">
        <f t="shared" si="122"/>
        <v>1</v>
      </c>
      <c r="E500" s="17" t="str">
        <f t="shared" si="127"/>
        <v>Section 10 - Spring Boot - Deployement</v>
      </c>
      <c r="F500" s="18" t="str">
        <f t="shared" si="123"/>
        <v/>
      </c>
      <c r="G500" s="13" t="str">
        <f t="shared" si="129"/>
        <v/>
      </c>
      <c r="H500">
        <f t="shared" si="130"/>
        <v>0</v>
      </c>
      <c r="I500">
        <f t="shared" si="131"/>
        <v>0</v>
      </c>
      <c r="J500" s="13">
        <f t="shared" si="132"/>
        <v>155</v>
      </c>
      <c r="K500">
        <f t="shared" si="124"/>
        <v>2</v>
      </c>
      <c r="L500">
        <f t="shared" si="125"/>
        <v>35</v>
      </c>
      <c r="M500" s="13">
        <f t="shared" si="133"/>
        <v>0</v>
      </c>
      <c r="N500">
        <f t="shared" si="133"/>
        <v>27</v>
      </c>
      <c r="O500" s="14">
        <f t="shared" si="121"/>
        <v>27</v>
      </c>
      <c r="P500" s="13">
        <f t="shared" si="126"/>
        <v>0</v>
      </c>
      <c r="Q500">
        <f t="shared" si="134"/>
        <v>27</v>
      </c>
      <c r="R500" s="14">
        <f t="shared" si="135"/>
        <v>27</v>
      </c>
      <c r="S500" s="15"/>
      <c r="W500" s="14"/>
    </row>
    <row r="501" spans="1:23" x14ac:dyDescent="0.25">
      <c r="A501" s="16"/>
      <c r="B501" s="17" t="b">
        <f t="shared" si="128"/>
        <v>0</v>
      </c>
      <c r="C501" s="17" t="b">
        <f t="shared" si="120"/>
        <v>0</v>
      </c>
      <c r="D501" s="17">
        <f t="shared" si="122"/>
        <v>1</v>
      </c>
      <c r="E501" s="17" t="str">
        <f t="shared" si="127"/>
        <v>Section 10 - Spring Boot - Deployement</v>
      </c>
      <c r="F501" s="18" t="str">
        <f t="shared" si="123"/>
        <v/>
      </c>
      <c r="G501" s="13" t="str">
        <f t="shared" si="129"/>
        <v/>
      </c>
      <c r="H501">
        <f t="shared" si="130"/>
        <v>0</v>
      </c>
      <c r="I501">
        <f t="shared" si="131"/>
        <v>0</v>
      </c>
      <c r="J501" s="13">
        <f t="shared" si="132"/>
        <v>155</v>
      </c>
      <c r="K501">
        <f t="shared" si="124"/>
        <v>2</v>
      </c>
      <c r="L501">
        <f t="shared" si="125"/>
        <v>35</v>
      </c>
      <c r="M501" s="13">
        <f t="shared" si="133"/>
        <v>0</v>
      </c>
      <c r="N501">
        <f t="shared" si="133"/>
        <v>27</v>
      </c>
      <c r="O501" s="14">
        <f t="shared" si="121"/>
        <v>27</v>
      </c>
      <c r="P501" s="13">
        <f t="shared" si="126"/>
        <v>0</v>
      </c>
      <c r="Q501">
        <f t="shared" si="134"/>
        <v>27</v>
      </c>
      <c r="R501" s="14">
        <f t="shared" si="135"/>
        <v>27</v>
      </c>
      <c r="S501" s="15"/>
      <c r="W501" s="14"/>
    </row>
    <row r="502" spans="1:23" x14ac:dyDescent="0.25">
      <c r="A502" s="16"/>
      <c r="B502" s="17" t="b">
        <f t="shared" si="128"/>
        <v>0</v>
      </c>
      <c r="C502" s="17" t="b">
        <f t="shared" si="120"/>
        <v>0</v>
      </c>
      <c r="D502" s="17">
        <f t="shared" si="122"/>
        <v>1</v>
      </c>
      <c r="E502" s="17" t="str">
        <f t="shared" si="127"/>
        <v>Section 10 - Spring Boot - Deployement</v>
      </c>
      <c r="F502" s="18" t="str">
        <f t="shared" si="123"/>
        <v/>
      </c>
      <c r="G502" s="13" t="str">
        <f t="shared" si="129"/>
        <v/>
      </c>
      <c r="H502">
        <f t="shared" si="130"/>
        <v>0</v>
      </c>
      <c r="I502">
        <f t="shared" si="131"/>
        <v>0</v>
      </c>
      <c r="J502" s="13">
        <f t="shared" si="132"/>
        <v>155</v>
      </c>
      <c r="K502">
        <f t="shared" si="124"/>
        <v>2</v>
      </c>
      <c r="L502">
        <f t="shared" si="125"/>
        <v>35</v>
      </c>
      <c r="M502" s="13">
        <f t="shared" si="133"/>
        <v>0</v>
      </c>
      <c r="N502">
        <f t="shared" si="133"/>
        <v>27</v>
      </c>
      <c r="O502" s="14">
        <f t="shared" si="121"/>
        <v>27</v>
      </c>
      <c r="P502" s="13">
        <f t="shared" si="126"/>
        <v>0</v>
      </c>
      <c r="Q502">
        <f t="shared" si="134"/>
        <v>27</v>
      </c>
      <c r="R502" s="14">
        <f t="shared" si="135"/>
        <v>27</v>
      </c>
      <c r="S502" s="15"/>
      <c r="W502" s="14"/>
    </row>
    <row r="503" spans="1:23" x14ac:dyDescent="0.25">
      <c r="A503" s="16"/>
      <c r="B503" s="17" t="b">
        <f t="shared" si="128"/>
        <v>0</v>
      </c>
      <c r="C503" s="17" t="b">
        <f t="shared" si="120"/>
        <v>0</v>
      </c>
      <c r="D503" s="17">
        <f t="shared" si="122"/>
        <v>1</v>
      </c>
      <c r="E503" s="17" t="str">
        <f t="shared" si="127"/>
        <v>Section 10 - Spring Boot - Deployement</v>
      </c>
      <c r="F503" s="18" t="str">
        <f t="shared" si="123"/>
        <v/>
      </c>
      <c r="G503" s="13" t="str">
        <f t="shared" si="129"/>
        <v/>
      </c>
      <c r="H503">
        <f t="shared" si="130"/>
        <v>0</v>
      </c>
      <c r="I503">
        <f t="shared" si="131"/>
        <v>0</v>
      </c>
      <c r="J503" s="13">
        <f t="shared" si="132"/>
        <v>155</v>
      </c>
      <c r="K503">
        <f t="shared" si="124"/>
        <v>2</v>
      </c>
      <c r="L503">
        <f t="shared" si="125"/>
        <v>35</v>
      </c>
      <c r="M503" s="13">
        <f t="shared" si="133"/>
        <v>0</v>
      </c>
      <c r="N503">
        <f t="shared" si="133"/>
        <v>27</v>
      </c>
      <c r="O503" s="14">
        <f t="shared" si="121"/>
        <v>27</v>
      </c>
      <c r="P503" s="13">
        <f t="shared" si="126"/>
        <v>0</v>
      </c>
      <c r="Q503">
        <f t="shared" si="134"/>
        <v>27</v>
      </c>
      <c r="R503" s="14">
        <f t="shared" si="135"/>
        <v>27</v>
      </c>
      <c r="S503" s="15"/>
      <c r="W503" s="14"/>
    </row>
    <row r="504" spans="1:23" x14ac:dyDescent="0.25">
      <c r="A504" s="16"/>
      <c r="B504" s="17" t="b">
        <f t="shared" si="128"/>
        <v>0</v>
      </c>
      <c r="C504" s="17" t="b">
        <f t="shared" si="120"/>
        <v>0</v>
      </c>
      <c r="D504" s="17">
        <f t="shared" si="122"/>
        <v>1</v>
      </c>
      <c r="E504" s="17" t="str">
        <f t="shared" si="127"/>
        <v>Section 10 - Spring Boot - Deployement</v>
      </c>
      <c r="F504" s="18" t="str">
        <f t="shared" si="123"/>
        <v/>
      </c>
      <c r="G504" s="13" t="str">
        <f t="shared" si="129"/>
        <v/>
      </c>
      <c r="H504">
        <f t="shared" si="130"/>
        <v>0</v>
      </c>
      <c r="I504">
        <f t="shared" si="131"/>
        <v>0</v>
      </c>
      <c r="J504" s="13">
        <f t="shared" si="132"/>
        <v>155</v>
      </c>
      <c r="K504">
        <f t="shared" si="124"/>
        <v>2</v>
      </c>
      <c r="L504">
        <f t="shared" si="125"/>
        <v>35</v>
      </c>
      <c r="M504" s="13">
        <f t="shared" si="133"/>
        <v>0</v>
      </c>
      <c r="N504">
        <f t="shared" si="133"/>
        <v>27</v>
      </c>
      <c r="O504" s="14">
        <f t="shared" si="121"/>
        <v>27</v>
      </c>
      <c r="P504" s="13">
        <f t="shared" si="126"/>
        <v>0</v>
      </c>
      <c r="Q504">
        <f t="shared" si="134"/>
        <v>27</v>
      </c>
      <c r="R504" s="14">
        <f t="shared" si="135"/>
        <v>27</v>
      </c>
      <c r="S504" s="15"/>
      <c r="W504" s="14"/>
    </row>
    <row r="505" spans="1:23" x14ac:dyDescent="0.25">
      <c r="A505" s="16"/>
      <c r="B505" s="17" t="b">
        <f t="shared" si="128"/>
        <v>0</v>
      </c>
      <c r="C505" s="17" t="b">
        <f t="shared" si="120"/>
        <v>0</v>
      </c>
      <c r="D505" s="17">
        <f t="shared" si="122"/>
        <v>1</v>
      </c>
      <c r="E505" s="17" t="str">
        <f t="shared" si="127"/>
        <v>Section 10 - Spring Boot - Deployement</v>
      </c>
      <c r="F505" s="18" t="str">
        <f t="shared" si="123"/>
        <v/>
      </c>
      <c r="G505" s="13" t="str">
        <f t="shared" si="129"/>
        <v/>
      </c>
      <c r="H505">
        <f t="shared" si="130"/>
        <v>0</v>
      </c>
      <c r="I505">
        <f t="shared" si="131"/>
        <v>0</v>
      </c>
      <c r="J505" s="13">
        <f t="shared" si="132"/>
        <v>155</v>
      </c>
      <c r="K505">
        <f t="shared" si="124"/>
        <v>2</v>
      </c>
      <c r="L505">
        <f t="shared" si="125"/>
        <v>35</v>
      </c>
      <c r="M505" s="13">
        <f t="shared" si="133"/>
        <v>0</v>
      </c>
      <c r="N505">
        <f t="shared" si="133"/>
        <v>27</v>
      </c>
      <c r="O505" s="14">
        <f t="shared" si="121"/>
        <v>27</v>
      </c>
      <c r="P505" s="13">
        <f t="shared" si="126"/>
        <v>0</v>
      </c>
      <c r="Q505">
        <f t="shared" si="134"/>
        <v>27</v>
      </c>
      <c r="R505" s="14">
        <f t="shared" si="135"/>
        <v>27</v>
      </c>
      <c r="S505" s="15"/>
      <c r="W505" s="14"/>
    </row>
    <row r="506" spans="1:23" x14ac:dyDescent="0.25">
      <c r="A506" s="16"/>
      <c r="B506" s="17" t="b">
        <f t="shared" si="128"/>
        <v>0</v>
      </c>
      <c r="C506" s="17" t="b">
        <f t="shared" si="120"/>
        <v>0</v>
      </c>
      <c r="D506" s="17">
        <f t="shared" si="122"/>
        <v>1</v>
      </c>
      <c r="E506" s="17" t="str">
        <f t="shared" si="127"/>
        <v>Section 10 - Spring Boot - Deployement</v>
      </c>
      <c r="F506" s="18" t="str">
        <f t="shared" si="123"/>
        <v/>
      </c>
      <c r="G506" s="13" t="str">
        <f t="shared" si="129"/>
        <v/>
      </c>
      <c r="H506">
        <f t="shared" si="130"/>
        <v>0</v>
      </c>
      <c r="I506">
        <f t="shared" si="131"/>
        <v>0</v>
      </c>
      <c r="J506" s="13">
        <f t="shared" si="132"/>
        <v>155</v>
      </c>
      <c r="K506">
        <f t="shared" si="124"/>
        <v>2</v>
      </c>
      <c r="L506">
        <f t="shared" si="125"/>
        <v>35</v>
      </c>
      <c r="M506" s="13">
        <f t="shared" si="133"/>
        <v>0</v>
      </c>
      <c r="N506">
        <f t="shared" si="133"/>
        <v>27</v>
      </c>
      <c r="O506" s="14">
        <f t="shared" si="121"/>
        <v>27</v>
      </c>
      <c r="P506" s="13">
        <f t="shared" si="126"/>
        <v>0</v>
      </c>
      <c r="Q506">
        <f t="shared" si="134"/>
        <v>27</v>
      </c>
      <c r="R506" s="14">
        <f t="shared" si="135"/>
        <v>27</v>
      </c>
      <c r="S506" s="15"/>
      <c r="W506" s="14"/>
    </row>
    <row r="507" spans="1:23" x14ac:dyDescent="0.25">
      <c r="A507" s="16"/>
      <c r="B507" s="17" t="b">
        <f t="shared" si="128"/>
        <v>0</v>
      </c>
      <c r="C507" s="17" t="b">
        <f t="shared" si="120"/>
        <v>0</v>
      </c>
      <c r="D507" s="17">
        <f t="shared" si="122"/>
        <v>1</v>
      </c>
      <c r="E507" s="17" t="str">
        <f t="shared" si="127"/>
        <v>Section 10 - Spring Boot - Deployement</v>
      </c>
      <c r="F507" s="18" t="str">
        <f t="shared" si="123"/>
        <v/>
      </c>
      <c r="G507" s="13" t="str">
        <f t="shared" si="129"/>
        <v/>
      </c>
      <c r="H507">
        <f t="shared" si="130"/>
        <v>0</v>
      </c>
      <c r="I507">
        <f t="shared" si="131"/>
        <v>0</v>
      </c>
      <c r="J507" s="13">
        <f t="shared" si="132"/>
        <v>155</v>
      </c>
      <c r="K507">
        <f t="shared" si="124"/>
        <v>2</v>
      </c>
      <c r="L507">
        <f t="shared" si="125"/>
        <v>35</v>
      </c>
      <c r="M507" s="13">
        <f t="shared" si="133"/>
        <v>0</v>
      </c>
      <c r="N507">
        <f t="shared" si="133"/>
        <v>27</v>
      </c>
      <c r="O507" s="14">
        <f t="shared" si="121"/>
        <v>27</v>
      </c>
      <c r="P507" s="13">
        <f t="shared" si="126"/>
        <v>0</v>
      </c>
      <c r="Q507">
        <f t="shared" si="134"/>
        <v>27</v>
      </c>
      <c r="R507" s="14">
        <f t="shared" si="135"/>
        <v>27</v>
      </c>
      <c r="S507" s="15"/>
      <c r="W507" s="14"/>
    </row>
    <row r="508" spans="1:23" x14ac:dyDescent="0.25">
      <c r="A508" s="16"/>
      <c r="B508" s="17" t="b">
        <f t="shared" si="128"/>
        <v>0</v>
      </c>
      <c r="C508" s="17" t="b">
        <f t="shared" si="120"/>
        <v>0</v>
      </c>
      <c r="D508" s="17">
        <f t="shared" si="122"/>
        <v>1</v>
      </c>
      <c r="E508" s="17" t="str">
        <f t="shared" si="127"/>
        <v>Section 10 - Spring Boot - Deployement</v>
      </c>
      <c r="F508" s="18" t="str">
        <f t="shared" si="123"/>
        <v/>
      </c>
      <c r="G508" s="13" t="str">
        <f t="shared" si="129"/>
        <v/>
      </c>
      <c r="H508">
        <f t="shared" si="130"/>
        <v>0</v>
      </c>
      <c r="I508">
        <f t="shared" si="131"/>
        <v>0</v>
      </c>
      <c r="J508" s="13">
        <f t="shared" si="132"/>
        <v>155</v>
      </c>
      <c r="K508">
        <f t="shared" si="124"/>
        <v>2</v>
      </c>
      <c r="L508">
        <f t="shared" si="125"/>
        <v>35</v>
      </c>
      <c r="M508" s="13">
        <f t="shared" si="133"/>
        <v>0</v>
      </c>
      <c r="N508">
        <f t="shared" si="133"/>
        <v>27</v>
      </c>
      <c r="O508" s="14">
        <f t="shared" si="121"/>
        <v>27</v>
      </c>
      <c r="P508" s="13">
        <f t="shared" si="126"/>
        <v>0</v>
      </c>
      <c r="Q508">
        <f t="shared" si="134"/>
        <v>27</v>
      </c>
      <c r="R508" s="14">
        <f t="shared" si="135"/>
        <v>27</v>
      </c>
      <c r="S508" s="15"/>
      <c r="W508" s="14"/>
    </row>
    <row r="509" spans="1:23" x14ac:dyDescent="0.25">
      <c r="A509" s="16"/>
      <c r="B509" s="17" t="b">
        <f t="shared" si="128"/>
        <v>0</v>
      </c>
      <c r="C509" s="17" t="b">
        <f t="shared" si="120"/>
        <v>0</v>
      </c>
      <c r="D509" s="17">
        <f t="shared" si="122"/>
        <v>1</v>
      </c>
      <c r="E509" s="17" t="str">
        <f t="shared" si="127"/>
        <v>Section 10 - Spring Boot - Deployement</v>
      </c>
      <c r="F509" s="18" t="str">
        <f t="shared" si="123"/>
        <v/>
      </c>
      <c r="G509" s="13" t="str">
        <f t="shared" si="129"/>
        <v/>
      </c>
      <c r="H509">
        <f t="shared" si="130"/>
        <v>0</v>
      </c>
      <c r="I509">
        <f t="shared" si="131"/>
        <v>0</v>
      </c>
      <c r="J509" s="13">
        <f t="shared" si="132"/>
        <v>155</v>
      </c>
      <c r="K509">
        <f t="shared" si="124"/>
        <v>2</v>
      </c>
      <c r="L509">
        <f t="shared" si="125"/>
        <v>35</v>
      </c>
      <c r="M509" s="13">
        <f t="shared" si="133"/>
        <v>0</v>
      </c>
      <c r="N509">
        <f t="shared" si="133"/>
        <v>27</v>
      </c>
      <c r="O509" s="14">
        <f t="shared" si="121"/>
        <v>27</v>
      </c>
      <c r="P509" s="13">
        <f t="shared" si="126"/>
        <v>0</v>
      </c>
      <c r="Q509">
        <f t="shared" si="134"/>
        <v>27</v>
      </c>
      <c r="R509" s="14">
        <f t="shared" si="135"/>
        <v>27</v>
      </c>
      <c r="S509" s="15"/>
      <c r="W509" s="14"/>
    </row>
    <row r="510" spans="1:23" x14ac:dyDescent="0.25">
      <c r="A510" s="16"/>
      <c r="B510" s="17" t="b">
        <f t="shared" si="128"/>
        <v>0</v>
      </c>
      <c r="C510" s="17" t="b">
        <f t="shared" si="120"/>
        <v>0</v>
      </c>
      <c r="D510" s="17">
        <f t="shared" si="122"/>
        <v>1</v>
      </c>
      <c r="E510" s="17" t="str">
        <f t="shared" si="127"/>
        <v>Section 10 - Spring Boot - Deployement</v>
      </c>
      <c r="F510" s="18" t="str">
        <f t="shared" si="123"/>
        <v/>
      </c>
      <c r="G510" s="13" t="str">
        <f t="shared" si="129"/>
        <v/>
      </c>
      <c r="H510">
        <f t="shared" si="130"/>
        <v>0</v>
      </c>
      <c r="I510">
        <f t="shared" si="131"/>
        <v>0</v>
      </c>
      <c r="J510" s="13">
        <f t="shared" si="132"/>
        <v>155</v>
      </c>
      <c r="K510">
        <f t="shared" si="124"/>
        <v>2</v>
      </c>
      <c r="L510">
        <f t="shared" si="125"/>
        <v>35</v>
      </c>
      <c r="M510" s="13">
        <f t="shared" si="133"/>
        <v>0</v>
      </c>
      <c r="N510">
        <f t="shared" si="133"/>
        <v>27</v>
      </c>
      <c r="O510" s="14">
        <f t="shared" si="121"/>
        <v>27</v>
      </c>
      <c r="P510" s="13">
        <f t="shared" si="126"/>
        <v>0</v>
      </c>
      <c r="Q510">
        <f t="shared" si="134"/>
        <v>27</v>
      </c>
      <c r="R510" s="14">
        <f t="shared" si="135"/>
        <v>27</v>
      </c>
      <c r="S510" s="15"/>
      <c r="W510" s="14"/>
    </row>
    <row r="511" spans="1:23" x14ac:dyDescent="0.25">
      <c r="A511" s="16"/>
      <c r="B511" s="17" t="b">
        <f t="shared" si="128"/>
        <v>0</v>
      </c>
      <c r="C511" s="17" t="b">
        <f t="shared" si="120"/>
        <v>0</v>
      </c>
      <c r="D511" s="17">
        <f t="shared" si="122"/>
        <v>1</v>
      </c>
      <c r="E511" s="17" t="str">
        <f t="shared" si="127"/>
        <v>Section 10 - Spring Boot - Deployement</v>
      </c>
      <c r="F511" s="18" t="str">
        <f t="shared" si="123"/>
        <v/>
      </c>
      <c r="G511" s="13" t="str">
        <f t="shared" si="129"/>
        <v/>
      </c>
      <c r="H511">
        <f t="shared" si="130"/>
        <v>0</v>
      </c>
      <c r="I511">
        <f t="shared" si="131"/>
        <v>0</v>
      </c>
      <c r="J511" s="13">
        <f t="shared" si="132"/>
        <v>155</v>
      </c>
      <c r="K511">
        <f t="shared" si="124"/>
        <v>2</v>
      </c>
      <c r="L511">
        <f t="shared" si="125"/>
        <v>35</v>
      </c>
      <c r="M511" s="13">
        <f t="shared" si="133"/>
        <v>0</v>
      </c>
      <c r="N511">
        <f t="shared" si="133"/>
        <v>27</v>
      </c>
      <c r="O511" s="14">
        <f t="shared" si="121"/>
        <v>27</v>
      </c>
      <c r="P511" s="13">
        <f t="shared" si="126"/>
        <v>0</v>
      </c>
      <c r="Q511">
        <f t="shared" si="134"/>
        <v>27</v>
      </c>
      <c r="R511" s="14">
        <f t="shared" si="135"/>
        <v>27</v>
      </c>
      <c r="S511" s="15"/>
      <c r="W511" s="14"/>
    </row>
    <row r="512" spans="1:23" x14ac:dyDescent="0.25">
      <c r="A512" s="16"/>
      <c r="B512" s="17" t="b">
        <f t="shared" si="128"/>
        <v>0</v>
      </c>
      <c r="C512" s="17" t="b">
        <f t="shared" ref="C512:C565" si="136">OR(NOT(ISERROR(FIND("hr",A513))), NOT(ISERROR(FIND("min ",A513))),RIGHT(A513,3)="min")</f>
        <v>0</v>
      </c>
      <c r="D512" s="17">
        <f t="shared" si="122"/>
        <v>1</v>
      </c>
      <c r="E512" s="17" t="str">
        <f t="shared" si="127"/>
        <v>Section 10 - Spring Boot - Deployement</v>
      </c>
      <c r="F512" s="18" t="str">
        <f t="shared" si="123"/>
        <v/>
      </c>
      <c r="G512" s="13" t="str">
        <f t="shared" si="129"/>
        <v/>
      </c>
      <c r="H512">
        <f t="shared" si="130"/>
        <v>0</v>
      </c>
      <c r="I512">
        <f t="shared" si="131"/>
        <v>0</v>
      </c>
      <c r="J512" s="13">
        <f t="shared" si="132"/>
        <v>155</v>
      </c>
      <c r="K512">
        <f t="shared" si="124"/>
        <v>2</v>
      </c>
      <c r="L512">
        <f t="shared" si="125"/>
        <v>35</v>
      </c>
      <c r="M512" s="13">
        <f t="shared" si="133"/>
        <v>0</v>
      </c>
      <c r="N512">
        <f t="shared" si="133"/>
        <v>27</v>
      </c>
      <c r="O512" s="14">
        <f t="shared" si="121"/>
        <v>27</v>
      </c>
      <c r="P512" s="13">
        <f t="shared" si="126"/>
        <v>0</v>
      </c>
      <c r="Q512">
        <f t="shared" si="134"/>
        <v>27</v>
      </c>
      <c r="R512" s="14">
        <f t="shared" si="135"/>
        <v>27</v>
      </c>
      <c r="S512" s="15"/>
      <c r="W512" s="14"/>
    </row>
    <row r="513" spans="1:23" x14ac:dyDescent="0.25">
      <c r="A513" s="16"/>
      <c r="B513" s="17" t="b">
        <f t="shared" si="128"/>
        <v>0</v>
      </c>
      <c r="C513" s="17" t="b">
        <f t="shared" si="136"/>
        <v>0</v>
      </c>
      <c r="D513" s="17">
        <f t="shared" si="122"/>
        <v>1</v>
      </c>
      <c r="E513" s="17" t="str">
        <f t="shared" si="127"/>
        <v>Section 10 - Spring Boot - Deployement</v>
      </c>
      <c r="F513" s="18" t="str">
        <f t="shared" si="123"/>
        <v/>
      </c>
      <c r="G513" s="13" t="str">
        <f t="shared" si="129"/>
        <v/>
      </c>
      <c r="H513">
        <f t="shared" si="130"/>
        <v>0</v>
      </c>
      <c r="I513">
        <f t="shared" si="131"/>
        <v>0</v>
      </c>
      <c r="J513" s="13">
        <f t="shared" si="132"/>
        <v>155</v>
      </c>
      <c r="K513">
        <f t="shared" si="124"/>
        <v>2</v>
      </c>
      <c r="L513">
        <f t="shared" si="125"/>
        <v>35</v>
      </c>
      <c r="M513" s="13">
        <f t="shared" si="133"/>
        <v>0</v>
      </c>
      <c r="N513">
        <f t="shared" si="133"/>
        <v>27</v>
      </c>
      <c r="O513" s="14">
        <f t="shared" si="121"/>
        <v>27</v>
      </c>
      <c r="P513" s="13">
        <f t="shared" si="126"/>
        <v>0</v>
      </c>
      <c r="Q513">
        <f t="shared" si="134"/>
        <v>27</v>
      </c>
      <c r="R513" s="14">
        <f t="shared" si="135"/>
        <v>27</v>
      </c>
      <c r="S513" s="15"/>
      <c r="W513" s="14"/>
    </row>
    <row r="514" spans="1:23" x14ac:dyDescent="0.25">
      <c r="A514" s="16"/>
      <c r="B514" s="17" t="b">
        <f t="shared" si="128"/>
        <v>0</v>
      </c>
      <c r="C514" s="17" t="b">
        <f t="shared" si="136"/>
        <v>0</v>
      </c>
      <c r="D514" s="17">
        <f t="shared" si="122"/>
        <v>1</v>
      </c>
      <c r="E514" s="17" t="str">
        <f t="shared" si="127"/>
        <v>Section 10 - Spring Boot - Deployement</v>
      </c>
      <c r="F514" s="18" t="str">
        <f t="shared" si="123"/>
        <v/>
      </c>
      <c r="G514" s="13" t="str">
        <f t="shared" si="129"/>
        <v/>
      </c>
      <c r="H514">
        <f t="shared" si="130"/>
        <v>0</v>
      </c>
      <c r="I514">
        <f t="shared" si="131"/>
        <v>0</v>
      </c>
      <c r="J514" s="13">
        <f t="shared" si="132"/>
        <v>155</v>
      </c>
      <c r="K514">
        <f t="shared" si="124"/>
        <v>2</v>
      </c>
      <c r="L514">
        <f t="shared" si="125"/>
        <v>35</v>
      </c>
      <c r="M514" s="13">
        <f t="shared" si="133"/>
        <v>0</v>
      </c>
      <c r="N514">
        <f t="shared" si="133"/>
        <v>27</v>
      </c>
      <c r="O514" s="14">
        <f t="shared" si="121"/>
        <v>27</v>
      </c>
      <c r="P514" s="13">
        <f t="shared" si="126"/>
        <v>0</v>
      </c>
      <c r="Q514">
        <f t="shared" si="134"/>
        <v>27</v>
      </c>
      <c r="R514" s="14">
        <f t="shared" si="135"/>
        <v>27</v>
      </c>
      <c r="S514" s="15"/>
      <c r="W514" s="14"/>
    </row>
    <row r="515" spans="1:23" x14ac:dyDescent="0.25">
      <c r="A515" s="16"/>
      <c r="B515" s="17" t="b">
        <f t="shared" si="128"/>
        <v>0</v>
      </c>
      <c r="C515" s="17" t="b">
        <f t="shared" si="136"/>
        <v>0</v>
      </c>
      <c r="D515" s="17">
        <f t="shared" si="122"/>
        <v>1</v>
      </c>
      <c r="E515" s="17" t="str">
        <f t="shared" si="127"/>
        <v>Section 10 - Spring Boot - Deployement</v>
      </c>
      <c r="F515" s="18" t="str">
        <f t="shared" si="123"/>
        <v/>
      </c>
      <c r="G515" s="13" t="str">
        <f t="shared" si="129"/>
        <v/>
      </c>
      <c r="H515">
        <f t="shared" si="130"/>
        <v>0</v>
      </c>
      <c r="I515">
        <f t="shared" si="131"/>
        <v>0</v>
      </c>
      <c r="J515" s="13">
        <f t="shared" si="132"/>
        <v>155</v>
      </c>
      <c r="K515">
        <f t="shared" si="124"/>
        <v>2</v>
      </c>
      <c r="L515">
        <f t="shared" si="125"/>
        <v>35</v>
      </c>
      <c r="M515" s="13">
        <f t="shared" si="133"/>
        <v>0</v>
      </c>
      <c r="N515">
        <f t="shared" si="133"/>
        <v>27</v>
      </c>
      <c r="O515" s="14">
        <f t="shared" si="121"/>
        <v>27</v>
      </c>
      <c r="P515" s="13">
        <f t="shared" si="126"/>
        <v>0</v>
      </c>
      <c r="Q515">
        <f t="shared" si="134"/>
        <v>27</v>
      </c>
      <c r="R515" s="14">
        <f t="shared" si="135"/>
        <v>27</v>
      </c>
      <c r="S515" s="15"/>
      <c r="W515" s="14"/>
    </row>
    <row r="516" spans="1:23" x14ac:dyDescent="0.25">
      <c r="A516" s="16"/>
      <c r="B516" s="17" t="b">
        <f t="shared" si="128"/>
        <v>0</v>
      </c>
      <c r="C516" s="17" t="b">
        <f t="shared" si="136"/>
        <v>0</v>
      </c>
      <c r="D516" s="17">
        <f t="shared" si="122"/>
        <v>1</v>
      </c>
      <c r="E516" s="17" t="str">
        <f t="shared" si="127"/>
        <v>Section 10 - Spring Boot - Deployement</v>
      </c>
      <c r="F516" s="18" t="str">
        <f t="shared" si="123"/>
        <v/>
      </c>
      <c r="G516" s="13" t="str">
        <f t="shared" si="129"/>
        <v/>
      </c>
      <c r="H516">
        <f t="shared" si="130"/>
        <v>0</v>
      </c>
      <c r="I516">
        <f t="shared" si="131"/>
        <v>0</v>
      </c>
      <c r="J516" s="13">
        <f t="shared" si="132"/>
        <v>155</v>
      </c>
      <c r="K516">
        <f t="shared" si="124"/>
        <v>2</v>
      </c>
      <c r="L516">
        <f t="shared" si="125"/>
        <v>35</v>
      </c>
      <c r="M516" s="13">
        <f t="shared" si="133"/>
        <v>0</v>
      </c>
      <c r="N516">
        <f t="shared" si="133"/>
        <v>27</v>
      </c>
      <c r="O516" s="14">
        <f t="shared" si="121"/>
        <v>27</v>
      </c>
      <c r="P516" s="13">
        <f t="shared" si="126"/>
        <v>0</v>
      </c>
      <c r="Q516">
        <f t="shared" si="134"/>
        <v>27</v>
      </c>
      <c r="R516" s="14">
        <f t="shared" si="135"/>
        <v>27</v>
      </c>
      <c r="S516" s="15"/>
      <c r="W516" s="14"/>
    </row>
    <row r="517" spans="1:23" x14ac:dyDescent="0.25">
      <c r="A517" s="16"/>
      <c r="B517" s="17" t="b">
        <f t="shared" si="128"/>
        <v>0</v>
      </c>
      <c r="C517" s="17" t="b">
        <f t="shared" si="136"/>
        <v>0</v>
      </c>
      <c r="D517" s="17">
        <f t="shared" si="122"/>
        <v>1</v>
      </c>
      <c r="E517" s="17" t="str">
        <f t="shared" si="127"/>
        <v>Section 10 - Spring Boot - Deployement</v>
      </c>
      <c r="F517" s="18" t="str">
        <f t="shared" si="123"/>
        <v/>
      </c>
      <c r="G517" s="13" t="str">
        <f t="shared" si="129"/>
        <v/>
      </c>
      <c r="H517">
        <f t="shared" si="130"/>
        <v>0</v>
      </c>
      <c r="I517">
        <f t="shared" si="131"/>
        <v>0</v>
      </c>
      <c r="J517" s="13">
        <f t="shared" si="132"/>
        <v>155</v>
      </c>
      <c r="K517">
        <f t="shared" si="124"/>
        <v>2</v>
      </c>
      <c r="L517">
        <f t="shared" si="125"/>
        <v>35</v>
      </c>
      <c r="M517" s="13">
        <f t="shared" si="133"/>
        <v>0</v>
      </c>
      <c r="N517">
        <f t="shared" si="133"/>
        <v>27</v>
      </c>
      <c r="O517" s="14">
        <f t="shared" si="121"/>
        <v>27</v>
      </c>
      <c r="P517" s="13">
        <f t="shared" si="126"/>
        <v>0</v>
      </c>
      <c r="Q517">
        <f t="shared" si="134"/>
        <v>27</v>
      </c>
      <c r="R517" s="14">
        <f t="shared" si="135"/>
        <v>27</v>
      </c>
      <c r="S517" s="15"/>
      <c r="W517" s="14"/>
    </row>
    <row r="518" spans="1:23" x14ac:dyDescent="0.25">
      <c r="A518" s="16"/>
      <c r="B518" s="17" t="b">
        <f t="shared" si="128"/>
        <v>0</v>
      </c>
      <c r="C518" s="17" t="b">
        <f t="shared" si="136"/>
        <v>0</v>
      </c>
      <c r="D518" s="17">
        <f t="shared" si="122"/>
        <v>1</v>
      </c>
      <c r="E518" s="17" t="str">
        <f t="shared" si="127"/>
        <v>Section 10 - Spring Boot - Deployement</v>
      </c>
      <c r="F518" s="18" t="str">
        <f t="shared" si="123"/>
        <v/>
      </c>
      <c r="G518" s="13" t="str">
        <f t="shared" si="129"/>
        <v/>
      </c>
      <c r="H518">
        <f t="shared" si="130"/>
        <v>0</v>
      </c>
      <c r="I518">
        <f t="shared" si="131"/>
        <v>0</v>
      </c>
      <c r="J518" s="13">
        <f t="shared" si="132"/>
        <v>155</v>
      </c>
      <c r="K518">
        <f t="shared" si="124"/>
        <v>2</v>
      </c>
      <c r="L518">
        <f t="shared" si="125"/>
        <v>35</v>
      </c>
      <c r="M518" s="13">
        <f t="shared" si="133"/>
        <v>0</v>
      </c>
      <c r="N518">
        <f t="shared" si="133"/>
        <v>27</v>
      </c>
      <c r="O518" s="14">
        <f t="shared" si="121"/>
        <v>27</v>
      </c>
      <c r="P518" s="13">
        <f t="shared" si="126"/>
        <v>0</v>
      </c>
      <c r="Q518">
        <f t="shared" si="134"/>
        <v>27</v>
      </c>
      <c r="R518" s="14">
        <f t="shared" si="135"/>
        <v>27</v>
      </c>
      <c r="S518" s="15"/>
      <c r="W518" s="14"/>
    </row>
    <row r="519" spans="1:23" x14ac:dyDescent="0.25">
      <c r="A519" s="16"/>
      <c r="B519" s="17" t="b">
        <f t="shared" si="128"/>
        <v>0</v>
      </c>
      <c r="C519" s="17" t="b">
        <f t="shared" si="136"/>
        <v>0</v>
      </c>
      <c r="D519" s="17">
        <f t="shared" si="122"/>
        <v>1</v>
      </c>
      <c r="E519" s="17" t="str">
        <f t="shared" si="127"/>
        <v>Section 10 - Spring Boot - Deployement</v>
      </c>
      <c r="F519" s="18" t="str">
        <f t="shared" si="123"/>
        <v/>
      </c>
      <c r="G519" s="13" t="str">
        <f t="shared" si="129"/>
        <v/>
      </c>
      <c r="H519">
        <f t="shared" si="130"/>
        <v>0</v>
      </c>
      <c r="I519">
        <f t="shared" si="131"/>
        <v>0</v>
      </c>
      <c r="J519" s="13">
        <f t="shared" si="132"/>
        <v>155</v>
      </c>
      <c r="K519">
        <f t="shared" si="124"/>
        <v>2</v>
      </c>
      <c r="L519">
        <f t="shared" si="125"/>
        <v>35</v>
      </c>
      <c r="M519" s="13">
        <f t="shared" si="133"/>
        <v>0</v>
      </c>
      <c r="N519">
        <f t="shared" si="133"/>
        <v>27</v>
      </c>
      <c r="O519" s="14">
        <f t="shared" si="121"/>
        <v>27</v>
      </c>
      <c r="P519" s="13">
        <f t="shared" si="126"/>
        <v>0</v>
      </c>
      <c r="Q519">
        <f t="shared" si="134"/>
        <v>27</v>
      </c>
      <c r="R519" s="14">
        <f t="shared" si="135"/>
        <v>27</v>
      </c>
      <c r="S519" s="15"/>
      <c r="W519" s="14"/>
    </row>
    <row r="520" spans="1:23" x14ac:dyDescent="0.25">
      <c r="A520" s="16"/>
      <c r="B520" s="17" t="b">
        <f t="shared" si="128"/>
        <v>0</v>
      </c>
      <c r="C520" s="17" t="b">
        <f t="shared" si="136"/>
        <v>0</v>
      </c>
      <c r="D520" s="17">
        <f t="shared" si="122"/>
        <v>1</v>
      </c>
      <c r="E520" s="17" t="str">
        <f t="shared" si="127"/>
        <v>Section 10 - Spring Boot - Deployement</v>
      </c>
      <c r="F520" s="18" t="str">
        <f t="shared" si="123"/>
        <v/>
      </c>
      <c r="G520" s="13" t="str">
        <f t="shared" si="129"/>
        <v/>
      </c>
      <c r="H520">
        <f t="shared" si="130"/>
        <v>0</v>
      </c>
      <c r="I520">
        <f t="shared" si="131"/>
        <v>0</v>
      </c>
      <c r="J520" s="13">
        <f t="shared" si="132"/>
        <v>155</v>
      </c>
      <c r="K520">
        <f t="shared" si="124"/>
        <v>2</v>
      </c>
      <c r="L520">
        <f t="shared" si="125"/>
        <v>35</v>
      </c>
      <c r="M520" s="13">
        <f t="shared" si="133"/>
        <v>0</v>
      </c>
      <c r="N520">
        <f t="shared" si="133"/>
        <v>27</v>
      </c>
      <c r="O520" s="14">
        <f t="shared" si="121"/>
        <v>27</v>
      </c>
      <c r="P520" s="13">
        <f t="shared" si="126"/>
        <v>0</v>
      </c>
      <c r="Q520">
        <f t="shared" si="134"/>
        <v>27</v>
      </c>
      <c r="R520" s="14">
        <f t="shared" si="135"/>
        <v>27</v>
      </c>
      <c r="S520" s="15"/>
      <c r="W520" s="14"/>
    </row>
    <row r="521" spans="1:23" x14ac:dyDescent="0.25">
      <c r="A521" s="16"/>
      <c r="B521" s="17" t="b">
        <f t="shared" si="128"/>
        <v>0</v>
      </c>
      <c r="C521" s="17" t="b">
        <f t="shared" si="136"/>
        <v>0</v>
      </c>
      <c r="D521" s="17">
        <f t="shared" si="122"/>
        <v>1</v>
      </c>
      <c r="E521" s="17" t="str">
        <f t="shared" si="127"/>
        <v>Section 10 - Spring Boot - Deployement</v>
      </c>
      <c r="F521" s="18" t="str">
        <f t="shared" si="123"/>
        <v/>
      </c>
      <c r="G521" s="13" t="str">
        <f t="shared" si="129"/>
        <v/>
      </c>
      <c r="H521">
        <f t="shared" si="130"/>
        <v>0</v>
      </c>
      <c r="I521">
        <f t="shared" si="131"/>
        <v>0</v>
      </c>
      <c r="J521" s="13">
        <f t="shared" si="132"/>
        <v>155</v>
      </c>
      <c r="K521">
        <f t="shared" si="124"/>
        <v>2</v>
      </c>
      <c r="L521">
        <f t="shared" si="125"/>
        <v>35</v>
      </c>
      <c r="M521" s="13">
        <f t="shared" si="133"/>
        <v>0</v>
      </c>
      <c r="N521">
        <f t="shared" si="133"/>
        <v>27</v>
      </c>
      <c r="O521" s="14">
        <f t="shared" si="121"/>
        <v>27</v>
      </c>
      <c r="P521" s="13">
        <f t="shared" si="126"/>
        <v>0</v>
      </c>
      <c r="Q521">
        <f t="shared" si="134"/>
        <v>27</v>
      </c>
      <c r="R521" s="14">
        <f t="shared" si="135"/>
        <v>27</v>
      </c>
      <c r="S521" s="15"/>
      <c r="W521" s="14"/>
    </row>
    <row r="522" spans="1:23" x14ac:dyDescent="0.25">
      <c r="A522" s="16"/>
      <c r="B522" s="17" t="b">
        <f t="shared" si="128"/>
        <v>0</v>
      </c>
      <c r="C522" s="17" t="b">
        <f t="shared" si="136"/>
        <v>0</v>
      </c>
      <c r="D522" s="17">
        <f t="shared" si="122"/>
        <v>1</v>
      </c>
      <c r="E522" s="17" t="str">
        <f t="shared" si="127"/>
        <v>Section 10 - Spring Boot - Deployement</v>
      </c>
      <c r="F522" s="18" t="str">
        <f t="shared" si="123"/>
        <v/>
      </c>
      <c r="G522" s="13" t="str">
        <f t="shared" si="129"/>
        <v/>
      </c>
      <c r="H522">
        <f t="shared" si="130"/>
        <v>0</v>
      </c>
      <c r="I522">
        <f t="shared" si="131"/>
        <v>0</v>
      </c>
      <c r="J522" s="13">
        <f t="shared" si="132"/>
        <v>155</v>
      </c>
      <c r="K522">
        <f t="shared" si="124"/>
        <v>2</v>
      </c>
      <c r="L522">
        <f t="shared" si="125"/>
        <v>35</v>
      </c>
      <c r="M522" s="13">
        <f t="shared" si="133"/>
        <v>0</v>
      </c>
      <c r="N522">
        <f t="shared" si="133"/>
        <v>27</v>
      </c>
      <c r="O522" s="14">
        <f t="shared" ref="O522:O565" si="137">((M522*60)+N522)</f>
        <v>27</v>
      </c>
      <c r="P522" s="13">
        <f t="shared" si="126"/>
        <v>0</v>
      </c>
      <c r="Q522">
        <f t="shared" si="134"/>
        <v>27</v>
      </c>
      <c r="R522" s="14">
        <f t="shared" si="135"/>
        <v>27</v>
      </c>
      <c r="S522" s="15"/>
      <c r="W522" s="14"/>
    </row>
    <row r="523" spans="1:23" x14ac:dyDescent="0.25">
      <c r="A523" s="16"/>
      <c r="B523" s="17" t="b">
        <f t="shared" si="128"/>
        <v>0</v>
      </c>
      <c r="C523" s="17" t="b">
        <f t="shared" si="136"/>
        <v>0</v>
      </c>
      <c r="D523" s="17">
        <f t="shared" ref="D523:D565" si="138">IF(B523,0,IF(C523,D522+1,D522))</f>
        <v>1</v>
      </c>
      <c r="E523" s="17" t="str">
        <f t="shared" si="127"/>
        <v>Section 10 - Spring Boot - Deployement</v>
      </c>
      <c r="F523" s="18" t="str">
        <f t="shared" ref="F523:F565" si="139">IF(C523,A523,"")</f>
        <v/>
      </c>
      <c r="G523" s="13" t="str">
        <f t="shared" si="129"/>
        <v/>
      </c>
      <c r="H523">
        <f t="shared" si="130"/>
        <v>0</v>
      </c>
      <c r="I523">
        <f t="shared" si="131"/>
        <v>0</v>
      </c>
      <c r="J523" s="13">
        <f t="shared" si="132"/>
        <v>155</v>
      </c>
      <c r="K523">
        <f t="shared" ref="K523:K565" si="140">INT(J523/60)</f>
        <v>2</v>
      </c>
      <c r="L523">
        <f t="shared" ref="L523:L565" si="141">INT(J523-(K523*60))</f>
        <v>35</v>
      </c>
      <c r="M523" s="13">
        <f t="shared" si="133"/>
        <v>0</v>
      </c>
      <c r="N523">
        <f t="shared" si="133"/>
        <v>27</v>
      </c>
      <c r="O523" s="14">
        <f t="shared" si="137"/>
        <v>27</v>
      </c>
      <c r="P523" s="13">
        <f t="shared" ref="P523:P565" si="142">INT(R523/60)</f>
        <v>0</v>
      </c>
      <c r="Q523">
        <f t="shared" si="134"/>
        <v>27</v>
      </c>
      <c r="R523" s="14">
        <f t="shared" si="135"/>
        <v>27</v>
      </c>
      <c r="S523" s="15"/>
      <c r="W523" s="14"/>
    </row>
    <row r="524" spans="1:23" x14ac:dyDescent="0.25">
      <c r="A524" s="16"/>
      <c r="B524" s="17" t="b">
        <f t="shared" si="128"/>
        <v>0</v>
      </c>
      <c r="C524" s="17" t="b">
        <f t="shared" si="136"/>
        <v>0</v>
      </c>
      <c r="D524" s="17">
        <f t="shared" si="138"/>
        <v>1</v>
      </c>
      <c r="E524" s="17" t="str">
        <f t="shared" ref="E524:E565" si="143">SUBSTITUTE(IF(B524,A524,E523),":", " -")</f>
        <v>Section 10 - Spring Boot - Deployement</v>
      </c>
      <c r="F524" s="18" t="str">
        <f t="shared" si="139"/>
        <v/>
      </c>
      <c r="G524" s="13" t="str">
        <f t="shared" si="129"/>
        <v/>
      </c>
      <c r="H524">
        <f t="shared" si="130"/>
        <v>0</v>
      </c>
      <c r="I524">
        <f t="shared" si="131"/>
        <v>0</v>
      </c>
      <c r="J524" s="13">
        <f t="shared" si="132"/>
        <v>155</v>
      </c>
      <c r="K524">
        <f t="shared" si="140"/>
        <v>2</v>
      </c>
      <c r="L524">
        <f t="shared" si="141"/>
        <v>35</v>
      </c>
      <c r="M524" s="13">
        <f t="shared" si="133"/>
        <v>0</v>
      </c>
      <c r="N524">
        <f t="shared" si="133"/>
        <v>27</v>
      </c>
      <c r="O524" s="14">
        <f t="shared" si="137"/>
        <v>27</v>
      </c>
      <c r="P524" s="13">
        <f t="shared" si="142"/>
        <v>0</v>
      </c>
      <c r="Q524">
        <f t="shared" si="134"/>
        <v>27</v>
      </c>
      <c r="R524" s="14">
        <f t="shared" si="135"/>
        <v>27</v>
      </c>
      <c r="S524" s="15"/>
      <c r="W524" s="14"/>
    </row>
    <row r="525" spans="1:23" x14ac:dyDescent="0.25">
      <c r="A525" s="16"/>
      <c r="B525" s="17" t="b">
        <f t="shared" si="128"/>
        <v>0</v>
      </c>
      <c r="C525" s="17" t="b">
        <f t="shared" si="136"/>
        <v>0</v>
      </c>
      <c r="D525" s="17">
        <f t="shared" si="138"/>
        <v>1</v>
      </c>
      <c r="E525" s="17" t="str">
        <f t="shared" si="143"/>
        <v>Section 10 - Spring Boot - Deployement</v>
      </c>
      <c r="F525" s="18" t="str">
        <f t="shared" si="139"/>
        <v/>
      </c>
      <c r="G525" s="13" t="str">
        <f t="shared" si="129"/>
        <v/>
      </c>
      <c r="H525">
        <f t="shared" si="130"/>
        <v>0</v>
      </c>
      <c r="I525">
        <f t="shared" si="131"/>
        <v>0</v>
      </c>
      <c r="J525" s="13">
        <f t="shared" si="132"/>
        <v>155</v>
      </c>
      <c r="K525">
        <f t="shared" si="140"/>
        <v>2</v>
      </c>
      <c r="L525">
        <f t="shared" si="141"/>
        <v>35</v>
      </c>
      <c r="M525" s="13">
        <f t="shared" si="133"/>
        <v>0</v>
      </c>
      <c r="N525">
        <f t="shared" si="133"/>
        <v>27</v>
      </c>
      <c r="O525" s="14">
        <f t="shared" si="137"/>
        <v>27</v>
      </c>
      <c r="P525" s="13">
        <f t="shared" si="142"/>
        <v>0</v>
      </c>
      <c r="Q525">
        <f t="shared" si="134"/>
        <v>27</v>
      </c>
      <c r="R525" s="14">
        <f t="shared" si="135"/>
        <v>27</v>
      </c>
      <c r="S525" s="15"/>
      <c r="W525" s="14"/>
    </row>
    <row r="526" spans="1:23" x14ac:dyDescent="0.25">
      <c r="A526" s="16"/>
      <c r="B526" s="17" t="b">
        <f t="shared" si="128"/>
        <v>0</v>
      </c>
      <c r="C526" s="17" t="b">
        <f t="shared" si="136"/>
        <v>0</v>
      </c>
      <c r="D526" s="17">
        <f t="shared" si="138"/>
        <v>1</v>
      </c>
      <c r="E526" s="17" t="str">
        <f t="shared" si="143"/>
        <v>Section 10 - Spring Boot - Deployement</v>
      </c>
      <c r="F526" s="18" t="str">
        <f t="shared" si="139"/>
        <v/>
      </c>
      <c r="G526" s="13" t="str">
        <f t="shared" si="129"/>
        <v/>
      </c>
      <c r="H526">
        <f t="shared" si="130"/>
        <v>0</v>
      </c>
      <c r="I526">
        <f t="shared" si="131"/>
        <v>0</v>
      </c>
      <c r="J526" s="13">
        <f t="shared" si="132"/>
        <v>155</v>
      </c>
      <c r="K526">
        <f t="shared" si="140"/>
        <v>2</v>
      </c>
      <c r="L526">
        <f t="shared" si="141"/>
        <v>35</v>
      </c>
      <c r="M526" s="13">
        <f t="shared" si="133"/>
        <v>0</v>
      </c>
      <c r="N526">
        <f t="shared" si="133"/>
        <v>27</v>
      </c>
      <c r="O526" s="14">
        <f t="shared" si="137"/>
        <v>27</v>
      </c>
      <c r="P526" s="13">
        <f t="shared" si="142"/>
        <v>0</v>
      </c>
      <c r="Q526">
        <f t="shared" si="134"/>
        <v>27</v>
      </c>
      <c r="R526" s="14">
        <f t="shared" si="135"/>
        <v>27</v>
      </c>
      <c r="S526" s="15"/>
      <c r="W526" s="14"/>
    </row>
    <row r="527" spans="1:23" x14ac:dyDescent="0.25">
      <c r="A527" s="16"/>
      <c r="B527" s="17" t="b">
        <f t="shared" si="128"/>
        <v>0</v>
      </c>
      <c r="C527" s="17" t="b">
        <f t="shared" si="136"/>
        <v>0</v>
      </c>
      <c r="D527" s="17">
        <f t="shared" si="138"/>
        <v>1</v>
      </c>
      <c r="E527" s="17" t="str">
        <f t="shared" si="143"/>
        <v>Section 10 - Spring Boot - Deployement</v>
      </c>
      <c r="F527" s="18" t="str">
        <f t="shared" si="139"/>
        <v/>
      </c>
      <c r="G527" s="13" t="str">
        <f t="shared" si="129"/>
        <v/>
      </c>
      <c r="H527">
        <f t="shared" si="130"/>
        <v>0</v>
      </c>
      <c r="I527">
        <f t="shared" si="131"/>
        <v>0</v>
      </c>
      <c r="J527" s="13">
        <f t="shared" si="132"/>
        <v>155</v>
      </c>
      <c r="K527">
        <f t="shared" si="140"/>
        <v>2</v>
      </c>
      <c r="L527">
        <f t="shared" si="141"/>
        <v>35</v>
      </c>
      <c r="M527" s="13">
        <f t="shared" si="133"/>
        <v>0</v>
      </c>
      <c r="N527">
        <f t="shared" si="133"/>
        <v>27</v>
      </c>
      <c r="O527" s="14">
        <f t="shared" si="137"/>
        <v>27</v>
      </c>
      <c r="P527" s="13">
        <f t="shared" si="142"/>
        <v>0</v>
      </c>
      <c r="Q527">
        <f t="shared" si="134"/>
        <v>27</v>
      </c>
      <c r="R527" s="14">
        <f t="shared" si="135"/>
        <v>27</v>
      </c>
      <c r="S527" s="15"/>
      <c r="W527" s="14"/>
    </row>
    <row r="528" spans="1:23" x14ac:dyDescent="0.25">
      <c r="A528" s="16"/>
      <c r="B528" s="17" t="b">
        <f t="shared" si="128"/>
        <v>0</v>
      </c>
      <c r="C528" s="17" t="b">
        <f t="shared" si="136"/>
        <v>0</v>
      </c>
      <c r="D528" s="17">
        <f t="shared" si="138"/>
        <v>1</v>
      </c>
      <c r="E528" s="17" t="str">
        <f t="shared" si="143"/>
        <v>Section 10 - Spring Boot - Deployement</v>
      </c>
      <c r="F528" s="18" t="str">
        <f t="shared" si="139"/>
        <v/>
      </c>
      <c r="G528" s="13" t="str">
        <f t="shared" si="129"/>
        <v/>
      </c>
      <c r="H528">
        <f t="shared" si="130"/>
        <v>0</v>
      </c>
      <c r="I528">
        <f t="shared" si="131"/>
        <v>0</v>
      </c>
      <c r="J528" s="13">
        <f t="shared" si="132"/>
        <v>155</v>
      </c>
      <c r="K528">
        <f t="shared" si="140"/>
        <v>2</v>
      </c>
      <c r="L528">
        <f t="shared" si="141"/>
        <v>35</v>
      </c>
      <c r="M528" s="13">
        <f t="shared" si="133"/>
        <v>0</v>
      </c>
      <c r="N528">
        <f t="shared" si="133"/>
        <v>27</v>
      </c>
      <c r="O528" s="14">
        <f t="shared" si="137"/>
        <v>27</v>
      </c>
      <c r="P528" s="13">
        <f t="shared" si="142"/>
        <v>0</v>
      </c>
      <c r="Q528">
        <f t="shared" si="134"/>
        <v>27</v>
      </c>
      <c r="R528" s="14">
        <f t="shared" si="135"/>
        <v>27</v>
      </c>
      <c r="S528" s="15"/>
      <c r="W528" s="14"/>
    </row>
    <row r="529" spans="1:23" x14ac:dyDescent="0.25">
      <c r="A529" s="16"/>
      <c r="B529" s="17" t="b">
        <f t="shared" si="128"/>
        <v>0</v>
      </c>
      <c r="C529" s="17" t="b">
        <f t="shared" si="136"/>
        <v>0</v>
      </c>
      <c r="D529" s="17">
        <f t="shared" si="138"/>
        <v>1</v>
      </c>
      <c r="E529" s="17" t="str">
        <f t="shared" si="143"/>
        <v>Section 10 - Spring Boot - Deployement</v>
      </c>
      <c r="F529" s="18" t="str">
        <f t="shared" si="139"/>
        <v/>
      </c>
      <c r="G529" s="13" t="str">
        <f t="shared" si="129"/>
        <v/>
      </c>
      <c r="H529">
        <f t="shared" si="130"/>
        <v>0</v>
      </c>
      <c r="I529">
        <f t="shared" si="131"/>
        <v>0</v>
      </c>
      <c r="J529" s="13">
        <f t="shared" si="132"/>
        <v>155</v>
      </c>
      <c r="K529">
        <f t="shared" si="140"/>
        <v>2</v>
      </c>
      <c r="L529">
        <f t="shared" si="141"/>
        <v>35</v>
      </c>
      <c r="M529" s="13">
        <f t="shared" si="133"/>
        <v>0</v>
      </c>
      <c r="N529">
        <f t="shared" si="133"/>
        <v>27</v>
      </c>
      <c r="O529" s="14">
        <f t="shared" si="137"/>
        <v>27</v>
      </c>
      <c r="P529" s="13">
        <f t="shared" si="142"/>
        <v>0</v>
      </c>
      <c r="Q529">
        <f t="shared" si="134"/>
        <v>27</v>
      </c>
      <c r="R529" s="14">
        <f t="shared" si="135"/>
        <v>27</v>
      </c>
      <c r="S529" s="15"/>
      <c r="W529" s="14"/>
    </row>
    <row r="530" spans="1:23" x14ac:dyDescent="0.25">
      <c r="A530" s="16"/>
      <c r="B530" s="17" t="b">
        <f t="shared" ref="B530:B565" si="144">AND(NOT(ISERROR(FIND("Section ",A530))),NOT(ISERROR(FIND("Section ",A530))))</f>
        <v>0</v>
      </c>
      <c r="C530" s="17" t="b">
        <f t="shared" si="136"/>
        <v>0</v>
      </c>
      <c r="D530" s="17">
        <f t="shared" si="138"/>
        <v>1</v>
      </c>
      <c r="E530" s="17" t="str">
        <f t="shared" si="143"/>
        <v>Section 10 - Spring Boot - Deployement</v>
      </c>
      <c r="F530" s="18" t="str">
        <f t="shared" si="139"/>
        <v/>
      </c>
      <c r="G530" s="13" t="str">
        <f t="shared" si="129"/>
        <v/>
      </c>
      <c r="H530">
        <f t="shared" si="130"/>
        <v>0</v>
      </c>
      <c r="I530">
        <f t="shared" si="131"/>
        <v>0</v>
      </c>
      <c r="J530" s="13">
        <f t="shared" si="132"/>
        <v>155</v>
      </c>
      <c r="K530">
        <f t="shared" si="140"/>
        <v>2</v>
      </c>
      <c r="L530">
        <f t="shared" si="141"/>
        <v>35</v>
      </c>
      <c r="M530" s="13">
        <f t="shared" si="133"/>
        <v>0</v>
      </c>
      <c r="N530">
        <f t="shared" si="133"/>
        <v>27</v>
      </c>
      <c r="O530" s="14">
        <f t="shared" si="137"/>
        <v>27</v>
      </c>
      <c r="P530" s="13">
        <f t="shared" si="142"/>
        <v>0</v>
      </c>
      <c r="Q530">
        <f t="shared" si="134"/>
        <v>27</v>
      </c>
      <c r="R530" s="14">
        <f t="shared" si="135"/>
        <v>27</v>
      </c>
      <c r="S530" s="15"/>
      <c r="W530" s="14"/>
    </row>
    <row r="531" spans="1:23" x14ac:dyDescent="0.25">
      <c r="A531" s="16"/>
      <c r="B531" s="17" t="b">
        <f t="shared" si="144"/>
        <v>0</v>
      </c>
      <c r="C531" s="17" t="b">
        <f t="shared" si="136"/>
        <v>0</v>
      </c>
      <c r="D531" s="17">
        <f t="shared" si="138"/>
        <v>1</v>
      </c>
      <c r="E531" s="17" t="str">
        <f t="shared" si="143"/>
        <v>Section 10 - Spring Boot - Deployement</v>
      </c>
      <c r="F531" s="18" t="str">
        <f t="shared" si="139"/>
        <v/>
      </c>
      <c r="G531" s="13" t="str">
        <f t="shared" si="129"/>
        <v/>
      </c>
      <c r="H531">
        <f t="shared" si="130"/>
        <v>0</v>
      </c>
      <c r="I531">
        <f t="shared" si="131"/>
        <v>0</v>
      </c>
      <c r="J531" s="13">
        <f t="shared" si="132"/>
        <v>155</v>
      </c>
      <c r="K531">
        <f t="shared" si="140"/>
        <v>2</v>
      </c>
      <c r="L531">
        <f t="shared" si="141"/>
        <v>35</v>
      </c>
      <c r="M531" s="13">
        <f t="shared" si="133"/>
        <v>0</v>
      </c>
      <c r="N531">
        <f t="shared" si="133"/>
        <v>27</v>
      </c>
      <c r="O531" s="14">
        <f t="shared" si="137"/>
        <v>27</v>
      </c>
      <c r="P531" s="13">
        <f t="shared" si="142"/>
        <v>0</v>
      </c>
      <c r="Q531">
        <f t="shared" si="134"/>
        <v>27</v>
      </c>
      <c r="R531" s="14">
        <f t="shared" si="135"/>
        <v>27</v>
      </c>
      <c r="S531" s="15"/>
      <c r="W531" s="14"/>
    </row>
    <row r="532" spans="1:23" x14ac:dyDescent="0.25">
      <c r="A532" s="16"/>
      <c r="B532" s="17" t="b">
        <f t="shared" si="144"/>
        <v>0</v>
      </c>
      <c r="C532" s="17" t="b">
        <f t="shared" si="136"/>
        <v>0</v>
      </c>
      <c r="D532" s="17">
        <f t="shared" si="138"/>
        <v>1</v>
      </c>
      <c r="E532" s="17" t="str">
        <f t="shared" si="143"/>
        <v>Section 10 - Spring Boot - Deployement</v>
      </c>
      <c r="F532" s="18" t="str">
        <f t="shared" si="139"/>
        <v/>
      </c>
      <c r="G532" s="13" t="str">
        <f t="shared" si="129"/>
        <v/>
      </c>
      <c r="H532">
        <f t="shared" si="130"/>
        <v>0</v>
      </c>
      <c r="I532">
        <f t="shared" si="131"/>
        <v>0</v>
      </c>
      <c r="J532" s="13">
        <f t="shared" si="132"/>
        <v>155</v>
      </c>
      <c r="K532">
        <f t="shared" si="140"/>
        <v>2</v>
      </c>
      <c r="L532">
        <f t="shared" si="141"/>
        <v>35</v>
      </c>
      <c r="M532" s="13">
        <f t="shared" si="133"/>
        <v>0</v>
      </c>
      <c r="N532">
        <f t="shared" si="133"/>
        <v>27</v>
      </c>
      <c r="O532" s="14">
        <f t="shared" si="137"/>
        <v>27</v>
      </c>
      <c r="P532" s="13">
        <f t="shared" si="142"/>
        <v>0</v>
      </c>
      <c r="Q532">
        <f t="shared" si="134"/>
        <v>27</v>
      </c>
      <c r="R532" s="14">
        <f t="shared" si="135"/>
        <v>27</v>
      </c>
      <c r="S532" s="15"/>
      <c r="W532" s="14"/>
    </row>
    <row r="533" spans="1:23" x14ac:dyDescent="0.25">
      <c r="A533" s="16"/>
      <c r="B533" s="17" t="b">
        <f t="shared" si="144"/>
        <v>0</v>
      </c>
      <c r="C533" s="17" t="b">
        <f t="shared" si="136"/>
        <v>0</v>
      </c>
      <c r="D533" s="17">
        <f t="shared" si="138"/>
        <v>1</v>
      </c>
      <c r="E533" s="17" t="str">
        <f t="shared" si="143"/>
        <v>Section 10 - Spring Boot - Deployement</v>
      </c>
      <c r="F533" s="18" t="str">
        <f t="shared" si="139"/>
        <v/>
      </c>
      <c r="G533" s="13" t="str">
        <f t="shared" ref="G533:G565" si="145">IF(C533,A534,"")</f>
        <v/>
      </c>
      <c r="H533">
        <f t="shared" ref="H533:H565" si="146">VALUE(IF(NOT(ISERROR(FIND("hr",G533))),LEFT(G533,FIND("hr",G533)-1),0))</f>
        <v>0</v>
      </c>
      <c r="I533">
        <f t="shared" ref="I533:I565" si="147">VALUE(IF(ISERROR(FIND("min",G533)),0,SUBSTITUTE(MID(G533,IF(ISERROR(FIND("hr ",G533)),1,FIND("hr ",G533)+3),LEN(G533)),"min","")))</f>
        <v>0</v>
      </c>
      <c r="J533" s="13">
        <f t="shared" ref="J533:J565" si="148">J532+(H533*60+I533)</f>
        <v>155</v>
      </c>
      <c r="K533">
        <f t="shared" si="140"/>
        <v>2</v>
      </c>
      <c r="L533">
        <f t="shared" si="141"/>
        <v>35</v>
      </c>
      <c r="M533" s="13">
        <f t="shared" ref="M533:N565" si="149">P532</f>
        <v>0</v>
      </c>
      <c r="N533">
        <f t="shared" si="149"/>
        <v>27</v>
      </c>
      <c r="O533" s="14">
        <f t="shared" si="137"/>
        <v>27</v>
      </c>
      <c r="P533" s="13">
        <f t="shared" si="142"/>
        <v>0</v>
      </c>
      <c r="Q533">
        <f t="shared" ref="Q533:Q565" si="150">R533-(P533*60)</f>
        <v>27</v>
      </c>
      <c r="R533" s="14">
        <f t="shared" ref="R533:R565" si="151">((H533*60)+I533)+O533</f>
        <v>27</v>
      </c>
      <c r="S533" s="15"/>
      <c r="W533" s="14"/>
    </row>
    <row r="534" spans="1:23" x14ac:dyDescent="0.25">
      <c r="A534" s="16"/>
      <c r="B534" s="17" t="b">
        <f t="shared" si="144"/>
        <v>0</v>
      </c>
      <c r="C534" s="17" t="b">
        <f t="shared" si="136"/>
        <v>0</v>
      </c>
      <c r="D534" s="17">
        <f t="shared" si="138"/>
        <v>1</v>
      </c>
      <c r="E534" s="17" t="str">
        <f t="shared" si="143"/>
        <v>Section 10 - Spring Boot - Deployement</v>
      </c>
      <c r="F534" s="18" t="str">
        <f t="shared" si="139"/>
        <v/>
      </c>
      <c r="G534" s="13" t="str">
        <f t="shared" si="145"/>
        <v/>
      </c>
      <c r="H534">
        <f t="shared" si="146"/>
        <v>0</v>
      </c>
      <c r="I534">
        <f t="shared" si="147"/>
        <v>0</v>
      </c>
      <c r="J534" s="13">
        <f t="shared" si="148"/>
        <v>155</v>
      </c>
      <c r="K534">
        <f t="shared" si="140"/>
        <v>2</v>
      </c>
      <c r="L534">
        <f t="shared" si="141"/>
        <v>35</v>
      </c>
      <c r="M534" s="13">
        <f t="shared" si="149"/>
        <v>0</v>
      </c>
      <c r="N534">
        <f t="shared" si="149"/>
        <v>27</v>
      </c>
      <c r="O534" s="14">
        <f t="shared" si="137"/>
        <v>27</v>
      </c>
      <c r="P534" s="13">
        <f t="shared" si="142"/>
        <v>0</v>
      </c>
      <c r="Q534">
        <f t="shared" si="150"/>
        <v>27</v>
      </c>
      <c r="R534" s="14">
        <f t="shared" si="151"/>
        <v>27</v>
      </c>
      <c r="S534" s="15"/>
      <c r="W534" s="14"/>
    </row>
    <row r="535" spans="1:23" x14ac:dyDescent="0.25">
      <c r="A535" s="16"/>
      <c r="B535" s="17" t="b">
        <f t="shared" si="144"/>
        <v>0</v>
      </c>
      <c r="C535" s="17" t="b">
        <f t="shared" si="136"/>
        <v>0</v>
      </c>
      <c r="D535" s="17">
        <f t="shared" si="138"/>
        <v>1</v>
      </c>
      <c r="E535" s="17" t="str">
        <f t="shared" si="143"/>
        <v>Section 10 - Spring Boot - Deployement</v>
      </c>
      <c r="F535" s="18" t="str">
        <f t="shared" si="139"/>
        <v/>
      </c>
      <c r="G535" s="13" t="str">
        <f t="shared" si="145"/>
        <v/>
      </c>
      <c r="H535">
        <f t="shared" si="146"/>
        <v>0</v>
      </c>
      <c r="I535">
        <f t="shared" si="147"/>
        <v>0</v>
      </c>
      <c r="J535" s="13">
        <f t="shared" si="148"/>
        <v>155</v>
      </c>
      <c r="K535">
        <f t="shared" si="140"/>
        <v>2</v>
      </c>
      <c r="L535">
        <f t="shared" si="141"/>
        <v>35</v>
      </c>
      <c r="M535" s="13">
        <f t="shared" si="149"/>
        <v>0</v>
      </c>
      <c r="N535">
        <f t="shared" si="149"/>
        <v>27</v>
      </c>
      <c r="O535" s="14">
        <f t="shared" si="137"/>
        <v>27</v>
      </c>
      <c r="P535" s="13">
        <f t="shared" si="142"/>
        <v>0</v>
      </c>
      <c r="Q535">
        <f t="shared" si="150"/>
        <v>27</v>
      </c>
      <c r="R535" s="14">
        <f t="shared" si="151"/>
        <v>27</v>
      </c>
      <c r="S535" s="15"/>
      <c r="W535" s="14"/>
    </row>
    <row r="536" spans="1:23" x14ac:dyDescent="0.25">
      <c r="A536" s="16"/>
      <c r="B536" s="17" t="b">
        <f t="shared" si="144"/>
        <v>0</v>
      </c>
      <c r="C536" s="17" t="b">
        <f t="shared" si="136"/>
        <v>0</v>
      </c>
      <c r="D536" s="17">
        <f t="shared" si="138"/>
        <v>1</v>
      </c>
      <c r="E536" s="17" t="str">
        <f t="shared" si="143"/>
        <v>Section 10 - Spring Boot - Deployement</v>
      </c>
      <c r="F536" s="18" t="str">
        <f t="shared" si="139"/>
        <v/>
      </c>
      <c r="G536" s="13" t="str">
        <f t="shared" si="145"/>
        <v/>
      </c>
      <c r="H536">
        <f t="shared" si="146"/>
        <v>0</v>
      </c>
      <c r="I536">
        <f t="shared" si="147"/>
        <v>0</v>
      </c>
      <c r="J536" s="13">
        <f t="shared" si="148"/>
        <v>155</v>
      </c>
      <c r="K536">
        <f t="shared" si="140"/>
        <v>2</v>
      </c>
      <c r="L536">
        <f t="shared" si="141"/>
        <v>35</v>
      </c>
      <c r="M536" s="13">
        <f t="shared" si="149"/>
        <v>0</v>
      </c>
      <c r="N536">
        <f t="shared" si="149"/>
        <v>27</v>
      </c>
      <c r="O536" s="14">
        <f t="shared" si="137"/>
        <v>27</v>
      </c>
      <c r="P536" s="13">
        <f t="shared" si="142"/>
        <v>0</v>
      </c>
      <c r="Q536">
        <f t="shared" si="150"/>
        <v>27</v>
      </c>
      <c r="R536" s="14">
        <f t="shared" si="151"/>
        <v>27</v>
      </c>
      <c r="S536" s="15"/>
      <c r="W536" s="14"/>
    </row>
    <row r="537" spans="1:23" x14ac:dyDescent="0.25">
      <c r="A537" s="16"/>
      <c r="B537" s="17" t="b">
        <f t="shared" si="144"/>
        <v>0</v>
      </c>
      <c r="C537" s="17" t="b">
        <f t="shared" si="136"/>
        <v>0</v>
      </c>
      <c r="D537" s="17">
        <f t="shared" si="138"/>
        <v>1</v>
      </c>
      <c r="E537" s="17" t="str">
        <f t="shared" si="143"/>
        <v>Section 10 - Spring Boot - Deployement</v>
      </c>
      <c r="F537" s="18" t="str">
        <f t="shared" si="139"/>
        <v/>
      </c>
      <c r="G537" s="13" t="str">
        <f t="shared" si="145"/>
        <v/>
      </c>
      <c r="H537">
        <f t="shared" si="146"/>
        <v>0</v>
      </c>
      <c r="I537">
        <f t="shared" si="147"/>
        <v>0</v>
      </c>
      <c r="J537" s="13">
        <f t="shared" si="148"/>
        <v>155</v>
      </c>
      <c r="K537">
        <f t="shared" si="140"/>
        <v>2</v>
      </c>
      <c r="L537">
        <f t="shared" si="141"/>
        <v>35</v>
      </c>
      <c r="M537" s="13">
        <f t="shared" si="149"/>
        <v>0</v>
      </c>
      <c r="N537">
        <f t="shared" si="149"/>
        <v>27</v>
      </c>
      <c r="O537" s="14">
        <f t="shared" si="137"/>
        <v>27</v>
      </c>
      <c r="P537" s="13">
        <f t="shared" si="142"/>
        <v>0</v>
      </c>
      <c r="Q537">
        <f t="shared" si="150"/>
        <v>27</v>
      </c>
      <c r="R537" s="14">
        <f t="shared" si="151"/>
        <v>27</v>
      </c>
      <c r="S537" s="15"/>
      <c r="W537" s="14"/>
    </row>
    <row r="538" spans="1:23" x14ac:dyDescent="0.25">
      <c r="A538" s="16"/>
      <c r="B538" s="17" t="b">
        <f t="shared" si="144"/>
        <v>0</v>
      </c>
      <c r="C538" s="17" t="b">
        <f t="shared" si="136"/>
        <v>0</v>
      </c>
      <c r="D538" s="17">
        <f t="shared" si="138"/>
        <v>1</v>
      </c>
      <c r="E538" s="17" t="str">
        <f t="shared" si="143"/>
        <v>Section 10 - Spring Boot - Deployement</v>
      </c>
      <c r="F538" s="18" t="str">
        <f t="shared" si="139"/>
        <v/>
      </c>
      <c r="G538" s="13" t="str">
        <f t="shared" si="145"/>
        <v/>
      </c>
      <c r="H538">
        <f t="shared" si="146"/>
        <v>0</v>
      </c>
      <c r="I538">
        <f t="shared" si="147"/>
        <v>0</v>
      </c>
      <c r="J538" s="13">
        <f t="shared" si="148"/>
        <v>155</v>
      </c>
      <c r="K538">
        <f t="shared" si="140"/>
        <v>2</v>
      </c>
      <c r="L538">
        <f t="shared" si="141"/>
        <v>35</v>
      </c>
      <c r="M538" s="13">
        <f t="shared" si="149"/>
        <v>0</v>
      </c>
      <c r="N538">
        <f t="shared" si="149"/>
        <v>27</v>
      </c>
      <c r="O538" s="14">
        <f t="shared" si="137"/>
        <v>27</v>
      </c>
      <c r="P538" s="13">
        <f t="shared" si="142"/>
        <v>0</v>
      </c>
      <c r="Q538">
        <f t="shared" si="150"/>
        <v>27</v>
      </c>
      <c r="R538" s="14">
        <f t="shared" si="151"/>
        <v>27</v>
      </c>
      <c r="S538" s="15"/>
      <c r="W538" s="14"/>
    </row>
    <row r="539" spans="1:23" x14ac:dyDescent="0.25">
      <c r="A539" s="16"/>
      <c r="B539" s="17" t="b">
        <f t="shared" si="144"/>
        <v>0</v>
      </c>
      <c r="C539" s="17" t="b">
        <f t="shared" si="136"/>
        <v>0</v>
      </c>
      <c r="D539" s="17">
        <f t="shared" si="138"/>
        <v>1</v>
      </c>
      <c r="E539" s="17" t="str">
        <f t="shared" si="143"/>
        <v>Section 10 - Spring Boot - Deployement</v>
      </c>
      <c r="F539" s="18" t="str">
        <f t="shared" si="139"/>
        <v/>
      </c>
      <c r="G539" s="13" t="str">
        <f t="shared" si="145"/>
        <v/>
      </c>
      <c r="H539">
        <f t="shared" si="146"/>
        <v>0</v>
      </c>
      <c r="I539">
        <f t="shared" si="147"/>
        <v>0</v>
      </c>
      <c r="J539" s="13">
        <f t="shared" si="148"/>
        <v>155</v>
      </c>
      <c r="K539">
        <f t="shared" si="140"/>
        <v>2</v>
      </c>
      <c r="L539">
        <f t="shared" si="141"/>
        <v>35</v>
      </c>
      <c r="M539" s="13">
        <f t="shared" si="149"/>
        <v>0</v>
      </c>
      <c r="N539">
        <f t="shared" si="149"/>
        <v>27</v>
      </c>
      <c r="O539" s="14">
        <f t="shared" si="137"/>
        <v>27</v>
      </c>
      <c r="P539" s="13">
        <f t="shared" si="142"/>
        <v>0</v>
      </c>
      <c r="Q539">
        <f t="shared" si="150"/>
        <v>27</v>
      </c>
      <c r="R539" s="14">
        <f t="shared" si="151"/>
        <v>27</v>
      </c>
      <c r="S539" s="15"/>
      <c r="W539" s="14"/>
    </row>
    <row r="540" spans="1:23" x14ac:dyDescent="0.25">
      <c r="A540" s="16"/>
      <c r="B540" s="17" t="b">
        <f t="shared" si="144"/>
        <v>0</v>
      </c>
      <c r="C540" s="17" t="b">
        <f t="shared" si="136"/>
        <v>0</v>
      </c>
      <c r="D540" s="17">
        <f t="shared" si="138"/>
        <v>1</v>
      </c>
      <c r="E540" s="17" t="str">
        <f t="shared" si="143"/>
        <v>Section 10 - Spring Boot - Deployement</v>
      </c>
      <c r="F540" s="18" t="str">
        <f t="shared" si="139"/>
        <v/>
      </c>
      <c r="G540" s="13" t="str">
        <f t="shared" si="145"/>
        <v/>
      </c>
      <c r="H540">
        <f t="shared" si="146"/>
        <v>0</v>
      </c>
      <c r="I540">
        <f t="shared" si="147"/>
        <v>0</v>
      </c>
      <c r="J540" s="13">
        <f t="shared" si="148"/>
        <v>155</v>
      </c>
      <c r="K540">
        <f t="shared" si="140"/>
        <v>2</v>
      </c>
      <c r="L540">
        <f t="shared" si="141"/>
        <v>35</v>
      </c>
      <c r="M540" s="13">
        <f t="shared" si="149"/>
        <v>0</v>
      </c>
      <c r="N540">
        <f t="shared" si="149"/>
        <v>27</v>
      </c>
      <c r="O540" s="14">
        <f t="shared" si="137"/>
        <v>27</v>
      </c>
      <c r="P540" s="13">
        <f t="shared" si="142"/>
        <v>0</v>
      </c>
      <c r="Q540">
        <f t="shared" si="150"/>
        <v>27</v>
      </c>
      <c r="R540" s="14">
        <f t="shared" si="151"/>
        <v>27</v>
      </c>
      <c r="S540" s="15"/>
      <c r="W540" s="14"/>
    </row>
    <row r="541" spans="1:23" x14ac:dyDescent="0.25">
      <c r="A541" s="16"/>
      <c r="B541" s="17" t="b">
        <f t="shared" si="144"/>
        <v>0</v>
      </c>
      <c r="C541" s="17" t="b">
        <f t="shared" si="136"/>
        <v>0</v>
      </c>
      <c r="D541" s="17">
        <f t="shared" si="138"/>
        <v>1</v>
      </c>
      <c r="E541" s="17" t="str">
        <f t="shared" si="143"/>
        <v>Section 10 - Spring Boot - Deployement</v>
      </c>
      <c r="F541" s="18" t="str">
        <f t="shared" si="139"/>
        <v/>
      </c>
      <c r="G541" s="13" t="str">
        <f t="shared" si="145"/>
        <v/>
      </c>
      <c r="H541">
        <f t="shared" si="146"/>
        <v>0</v>
      </c>
      <c r="I541">
        <f t="shared" si="147"/>
        <v>0</v>
      </c>
      <c r="J541" s="13">
        <f t="shared" si="148"/>
        <v>155</v>
      </c>
      <c r="K541">
        <f t="shared" si="140"/>
        <v>2</v>
      </c>
      <c r="L541">
        <f t="shared" si="141"/>
        <v>35</v>
      </c>
      <c r="M541" s="13">
        <f t="shared" si="149"/>
        <v>0</v>
      </c>
      <c r="N541">
        <f t="shared" si="149"/>
        <v>27</v>
      </c>
      <c r="O541" s="14">
        <f t="shared" si="137"/>
        <v>27</v>
      </c>
      <c r="P541" s="13">
        <f t="shared" si="142"/>
        <v>0</v>
      </c>
      <c r="Q541">
        <f t="shared" si="150"/>
        <v>27</v>
      </c>
      <c r="R541" s="14">
        <f t="shared" si="151"/>
        <v>27</v>
      </c>
      <c r="S541" s="15"/>
      <c r="W541" s="14"/>
    </row>
    <row r="542" spans="1:23" x14ac:dyDescent="0.25">
      <c r="A542" s="16"/>
      <c r="B542" s="17" t="b">
        <f t="shared" si="144"/>
        <v>0</v>
      </c>
      <c r="C542" s="17" t="b">
        <f t="shared" si="136"/>
        <v>0</v>
      </c>
      <c r="D542" s="17">
        <f t="shared" si="138"/>
        <v>1</v>
      </c>
      <c r="E542" s="17" t="str">
        <f t="shared" si="143"/>
        <v>Section 10 - Spring Boot - Deployement</v>
      </c>
      <c r="F542" s="18" t="str">
        <f t="shared" si="139"/>
        <v/>
      </c>
      <c r="G542" s="13" t="str">
        <f t="shared" si="145"/>
        <v/>
      </c>
      <c r="H542">
        <f t="shared" si="146"/>
        <v>0</v>
      </c>
      <c r="I542">
        <f t="shared" si="147"/>
        <v>0</v>
      </c>
      <c r="J542" s="13">
        <f t="shared" si="148"/>
        <v>155</v>
      </c>
      <c r="K542">
        <f t="shared" si="140"/>
        <v>2</v>
      </c>
      <c r="L542">
        <f t="shared" si="141"/>
        <v>35</v>
      </c>
      <c r="M542" s="13">
        <f t="shared" si="149"/>
        <v>0</v>
      </c>
      <c r="N542">
        <f t="shared" si="149"/>
        <v>27</v>
      </c>
      <c r="O542" s="14">
        <f t="shared" si="137"/>
        <v>27</v>
      </c>
      <c r="P542" s="13">
        <f t="shared" si="142"/>
        <v>0</v>
      </c>
      <c r="Q542">
        <f t="shared" si="150"/>
        <v>27</v>
      </c>
      <c r="R542" s="14">
        <f t="shared" si="151"/>
        <v>27</v>
      </c>
      <c r="S542" s="15"/>
      <c r="W542" s="14"/>
    </row>
    <row r="543" spans="1:23" x14ac:dyDescent="0.25">
      <c r="A543" s="16"/>
      <c r="B543" s="17" t="b">
        <f t="shared" si="144"/>
        <v>0</v>
      </c>
      <c r="C543" s="17" t="b">
        <f t="shared" si="136"/>
        <v>0</v>
      </c>
      <c r="D543" s="17">
        <f t="shared" si="138"/>
        <v>1</v>
      </c>
      <c r="E543" s="17" t="str">
        <f t="shared" si="143"/>
        <v>Section 10 - Spring Boot - Deployement</v>
      </c>
      <c r="F543" s="18" t="str">
        <f t="shared" si="139"/>
        <v/>
      </c>
      <c r="G543" s="13" t="str">
        <f t="shared" si="145"/>
        <v/>
      </c>
      <c r="H543">
        <f t="shared" si="146"/>
        <v>0</v>
      </c>
      <c r="I543">
        <f t="shared" si="147"/>
        <v>0</v>
      </c>
      <c r="J543" s="13">
        <f t="shared" si="148"/>
        <v>155</v>
      </c>
      <c r="K543">
        <f t="shared" si="140"/>
        <v>2</v>
      </c>
      <c r="L543">
        <f t="shared" si="141"/>
        <v>35</v>
      </c>
      <c r="M543" s="13">
        <f t="shared" si="149"/>
        <v>0</v>
      </c>
      <c r="N543">
        <f t="shared" si="149"/>
        <v>27</v>
      </c>
      <c r="O543" s="14">
        <f t="shared" si="137"/>
        <v>27</v>
      </c>
      <c r="P543" s="13">
        <f t="shared" si="142"/>
        <v>0</v>
      </c>
      <c r="Q543">
        <f t="shared" si="150"/>
        <v>27</v>
      </c>
      <c r="R543" s="14">
        <f t="shared" si="151"/>
        <v>27</v>
      </c>
      <c r="S543" s="15"/>
      <c r="W543" s="14"/>
    </row>
    <row r="544" spans="1:23" x14ac:dyDescent="0.25">
      <c r="A544" s="16"/>
      <c r="B544" s="17" t="b">
        <f t="shared" si="144"/>
        <v>0</v>
      </c>
      <c r="C544" s="17" t="b">
        <f t="shared" si="136"/>
        <v>0</v>
      </c>
      <c r="D544" s="17">
        <f t="shared" si="138"/>
        <v>1</v>
      </c>
      <c r="E544" s="17" t="str">
        <f t="shared" si="143"/>
        <v>Section 10 - Spring Boot - Deployement</v>
      </c>
      <c r="F544" s="18" t="str">
        <f t="shared" si="139"/>
        <v/>
      </c>
      <c r="G544" s="13" t="str">
        <f t="shared" si="145"/>
        <v/>
      </c>
      <c r="H544">
        <f t="shared" si="146"/>
        <v>0</v>
      </c>
      <c r="I544">
        <f t="shared" si="147"/>
        <v>0</v>
      </c>
      <c r="J544" s="13">
        <f t="shared" si="148"/>
        <v>155</v>
      </c>
      <c r="K544">
        <f t="shared" si="140"/>
        <v>2</v>
      </c>
      <c r="L544">
        <f t="shared" si="141"/>
        <v>35</v>
      </c>
      <c r="M544" s="13">
        <f t="shared" si="149"/>
        <v>0</v>
      </c>
      <c r="N544">
        <f t="shared" si="149"/>
        <v>27</v>
      </c>
      <c r="O544" s="14">
        <f t="shared" si="137"/>
        <v>27</v>
      </c>
      <c r="P544" s="13">
        <f t="shared" si="142"/>
        <v>0</v>
      </c>
      <c r="Q544">
        <f t="shared" si="150"/>
        <v>27</v>
      </c>
      <c r="R544" s="14">
        <f t="shared" si="151"/>
        <v>27</v>
      </c>
      <c r="S544" s="15"/>
      <c r="W544" s="14"/>
    </row>
    <row r="545" spans="1:23" x14ac:dyDescent="0.25">
      <c r="A545" s="16"/>
      <c r="B545" s="17" t="b">
        <f t="shared" si="144"/>
        <v>0</v>
      </c>
      <c r="C545" s="17" t="b">
        <f t="shared" si="136"/>
        <v>0</v>
      </c>
      <c r="D545" s="17">
        <f t="shared" si="138"/>
        <v>1</v>
      </c>
      <c r="E545" s="17" t="str">
        <f t="shared" si="143"/>
        <v>Section 10 - Spring Boot - Deployement</v>
      </c>
      <c r="F545" s="18" t="str">
        <f t="shared" si="139"/>
        <v/>
      </c>
      <c r="G545" s="13" t="str">
        <f t="shared" si="145"/>
        <v/>
      </c>
      <c r="H545">
        <f t="shared" si="146"/>
        <v>0</v>
      </c>
      <c r="I545">
        <f t="shared" si="147"/>
        <v>0</v>
      </c>
      <c r="J545" s="13">
        <f t="shared" si="148"/>
        <v>155</v>
      </c>
      <c r="K545">
        <f t="shared" si="140"/>
        <v>2</v>
      </c>
      <c r="L545">
        <f t="shared" si="141"/>
        <v>35</v>
      </c>
      <c r="M545" s="13">
        <f t="shared" si="149"/>
        <v>0</v>
      </c>
      <c r="N545">
        <f t="shared" si="149"/>
        <v>27</v>
      </c>
      <c r="O545" s="14">
        <f t="shared" si="137"/>
        <v>27</v>
      </c>
      <c r="P545" s="13">
        <f t="shared" si="142"/>
        <v>0</v>
      </c>
      <c r="Q545">
        <f t="shared" si="150"/>
        <v>27</v>
      </c>
      <c r="R545" s="14">
        <f t="shared" si="151"/>
        <v>27</v>
      </c>
      <c r="S545" s="15"/>
      <c r="W545" s="14"/>
    </row>
    <row r="546" spans="1:23" x14ac:dyDescent="0.25">
      <c r="A546" s="16"/>
      <c r="B546" s="17" t="b">
        <f t="shared" si="144"/>
        <v>0</v>
      </c>
      <c r="C546" s="17" t="b">
        <f t="shared" si="136"/>
        <v>0</v>
      </c>
      <c r="D546" s="17">
        <f t="shared" si="138"/>
        <v>1</v>
      </c>
      <c r="E546" s="17" t="str">
        <f t="shared" si="143"/>
        <v>Section 10 - Spring Boot - Deployement</v>
      </c>
      <c r="F546" s="18" t="str">
        <f t="shared" si="139"/>
        <v/>
      </c>
      <c r="G546" s="13" t="str">
        <f t="shared" si="145"/>
        <v/>
      </c>
      <c r="H546">
        <f t="shared" si="146"/>
        <v>0</v>
      </c>
      <c r="I546">
        <f t="shared" si="147"/>
        <v>0</v>
      </c>
      <c r="J546" s="13">
        <f t="shared" si="148"/>
        <v>155</v>
      </c>
      <c r="K546">
        <f t="shared" si="140"/>
        <v>2</v>
      </c>
      <c r="L546">
        <f t="shared" si="141"/>
        <v>35</v>
      </c>
      <c r="M546" s="13">
        <f t="shared" si="149"/>
        <v>0</v>
      </c>
      <c r="N546">
        <f t="shared" si="149"/>
        <v>27</v>
      </c>
      <c r="O546" s="14">
        <f t="shared" si="137"/>
        <v>27</v>
      </c>
      <c r="P546" s="13">
        <f t="shared" si="142"/>
        <v>0</v>
      </c>
      <c r="Q546">
        <f t="shared" si="150"/>
        <v>27</v>
      </c>
      <c r="R546" s="14">
        <f t="shared" si="151"/>
        <v>27</v>
      </c>
      <c r="S546" s="15"/>
      <c r="W546" s="14"/>
    </row>
    <row r="547" spans="1:23" x14ac:dyDescent="0.25">
      <c r="A547" s="16"/>
      <c r="B547" s="17" t="b">
        <f t="shared" si="144"/>
        <v>0</v>
      </c>
      <c r="C547" s="17" t="b">
        <f t="shared" si="136"/>
        <v>0</v>
      </c>
      <c r="D547" s="17">
        <f t="shared" si="138"/>
        <v>1</v>
      </c>
      <c r="E547" s="17" t="str">
        <f t="shared" si="143"/>
        <v>Section 10 - Spring Boot - Deployement</v>
      </c>
      <c r="F547" s="18" t="str">
        <f t="shared" si="139"/>
        <v/>
      </c>
      <c r="G547" s="13" t="str">
        <f t="shared" si="145"/>
        <v/>
      </c>
      <c r="H547">
        <f t="shared" si="146"/>
        <v>0</v>
      </c>
      <c r="I547">
        <f t="shared" si="147"/>
        <v>0</v>
      </c>
      <c r="J547" s="13">
        <f t="shared" si="148"/>
        <v>155</v>
      </c>
      <c r="K547">
        <f t="shared" si="140"/>
        <v>2</v>
      </c>
      <c r="L547">
        <f t="shared" si="141"/>
        <v>35</v>
      </c>
      <c r="M547" s="13">
        <f t="shared" si="149"/>
        <v>0</v>
      </c>
      <c r="N547">
        <f t="shared" si="149"/>
        <v>27</v>
      </c>
      <c r="O547" s="14">
        <f t="shared" si="137"/>
        <v>27</v>
      </c>
      <c r="P547" s="13">
        <f t="shared" si="142"/>
        <v>0</v>
      </c>
      <c r="Q547">
        <f t="shared" si="150"/>
        <v>27</v>
      </c>
      <c r="R547" s="14">
        <f t="shared" si="151"/>
        <v>27</v>
      </c>
      <c r="S547" s="15"/>
      <c r="W547" s="14"/>
    </row>
    <row r="548" spans="1:23" x14ac:dyDescent="0.25">
      <c r="A548" s="16"/>
      <c r="B548" s="17" t="b">
        <f t="shared" si="144"/>
        <v>0</v>
      </c>
      <c r="C548" s="17" t="b">
        <f t="shared" si="136"/>
        <v>0</v>
      </c>
      <c r="D548" s="17">
        <f t="shared" si="138"/>
        <v>1</v>
      </c>
      <c r="E548" s="17" t="str">
        <f t="shared" si="143"/>
        <v>Section 10 - Spring Boot - Deployement</v>
      </c>
      <c r="F548" s="18" t="str">
        <f t="shared" si="139"/>
        <v/>
      </c>
      <c r="G548" s="13" t="str">
        <f t="shared" si="145"/>
        <v/>
      </c>
      <c r="H548">
        <f t="shared" si="146"/>
        <v>0</v>
      </c>
      <c r="I548">
        <f t="shared" si="147"/>
        <v>0</v>
      </c>
      <c r="J548" s="13">
        <f t="shared" si="148"/>
        <v>155</v>
      </c>
      <c r="K548">
        <f t="shared" si="140"/>
        <v>2</v>
      </c>
      <c r="L548">
        <f t="shared" si="141"/>
        <v>35</v>
      </c>
      <c r="M548" s="13">
        <f t="shared" si="149"/>
        <v>0</v>
      </c>
      <c r="N548">
        <f t="shared" si="149"/>
        <v>27</v>
      </c>
      <c r="O548" s="14">
        <f t="shared" si="137"/>
        <v>27</v>
      </c>
      <c r="P548" s="13">
        <f t="shared" si="142"/>
        <v>0</v>
      </c>
      <c r="Q548">
        <f t="shared" si="150"/>
        <v>27</v>
      </c>
      <c r="R548" s="14">
        <f t="shared" si="151"/>
        <v>27</v>
      </c>
      <c r="S548" s="15"/>
      <c r="W548" s="14"/>
    </row>
    <row r="549" spans="1:23" x14ac:dyDescent="0.25">
      <c r="A549" s="16"/>
      <c r="B549" s="17" t="b">
        <f t="shared" si="144"/>
        <v>0</v>
      </c>
      <c r="C549" s="17" t="b">
        <f t="shared" si="136"/>
        <v>0</v>
      </c>
      <c r="D549" s="17">
        <f t="shared" si="138"/>
        <v>1</v>
      </c>
      <c r="E549" s="17" t="str">
        <f t="shared" si="143"/>
        <v>Section 10 - Spring Boot - Deployement</v>
      </c>
      <c r="F549" s="18" t="str">
        <f t="shared" si="139"/>
        <v/>
      </c>
      <c r="G549" s="13" t="str">
        <f t="shared" si="145"/>
        <v/>
      </c>
      <c r="H549">
        <f t="shared" si="146"/>
        <v>0</v>
      </c>
      <c r="I549">
        <f t="shared" si="147"/>
        <v>0</v>
      </c>
      <c r="J549" s="13">
        <f t="shared" si="148"/>
        <v>155</v>
      </c>
      <c r="K549">
        <f t="shared" si="140"/>
        <v>2</v>
      </c>
      <c r="L549">
        <f t="shared" si="141"/>
        <v>35</v>
      </c>
      <c r="M549" s="13">
        <f t="shared" si="149"/>
        <v>0</v>
      </c>
      <c r="N549">
        <f t="shared" si="149"/>
        <v>27</v>
      </c>
      <c r="O549" s="14">
        <f t="shared" si="137"/>
        <v>27</v>
      </c>
      <c r="P549" s="13">
        <f t="shared" si="142"/>
        <v>0</v>
      </c>
      <c r="Q549">
        <f t="shared" si="150"/>
        <v>27</v>
      </c>
      <c r="R549" s="14">
        <f t="shared" si="151"/>
        <v>27</v>
      </c>
      <c r="S549" s="15"/>
      <c r="W549" s="14"/>
    </row>
    <row r="550" spans="1:23" x14ac:dyDescent="0.25">
      <c r="A550" s="16"/>
      <c r="B550" s="17" t="b">
        <f t="shared" si="144"/>
        <v>0</v>
      </c>
      <c r="C550" s="17" t="b">
        <f t="shared" si="136"/>
        <v>0</v>
      </c>
      <c r="D550" s="17">
        <f t="shared" si="138"/>
        <v>1</v>
      </c>
      <c r="E550" s="17" t="str">
        <f t="shared" si="143"/>
        <v>Section 10 - Spring Boot - Deployement</v>
      </c>
      <c r="F550" s="18" t="str">
        <f t="shared" si="139"/>
        <v/>
      </c>
      <c r="G550" s="13" t="str">
        <f t="shared" si="145"/>
        <v/>
      </c>
      <c r="H550">
        <f t="shared" si="146"/>
        <v>0</v>
      </c>
      <c r="I550">
        <f t="shared" si="147"/>
        <v>0</v>
      </c>
      <c r="J550" s="13">
        <f t="shared" si="148"/>
        <v>155</v>
      </c>
      <c r="K550">
        <f t="shared" si="140"/>
        <v>2</v>
      </c>
      <c r="L550">
        <f t="shared" si="141"/>
        <v>35</v>
      </c>
      <c r="M550" s="13">
        <f t="shared" si="149"/>
        <v>0</v>
      </c>
      <c r="N550">
        <f t="shared" si="149"/>
        <v>27</v>
      </c>
      <c r="O550" s="14">
        <f t="shared" si="137"/>
        <v>27</v>
      </c>
      <c r="P550" s="13">
        <f t="shared" si="142"/>
        <v>0</v>
      </c>
      <c r="Q550">
        <f t="shared" si="150"/>
        <v>27</v>
      </c>
      <c r="R550" s="14">
        <f t="shared" si="151"/>
        <v>27</v>
      </c>
      <c r="S550" s="15"/>
      <c r="W550" s="14"/>
    </row>
    <row r="551" spans="1:23" x14ac:dyDescent="0.25">
      <c r="A551" s="16"/>
      <c r="B551" s="17" t="b">
        <f t="shared" si="144"/>
        <v>0</v>
      </c>
      <c r="C551" s="17" t="b">
        <f t="shared" si="136"/>
        <v>0</v>
      </c>
      <c r="D551" s="17">
        <f t="shared" si="138"/>
        <v>1</v>
      </c>
      <c r="E551" s="17" t="str">
        <f t="shared" si="143"/>
        <v>Section 10 - Spring Boot - Deployement</v>
      </c>
      <c r="F551" s="18" t="str">
        <f t="shared" si="139"/>
        <v/>
      </c>
      <c r="G551" s="13" t="str">
        <f t="shared" si="145"/>
        <v/>
      </c>
      <c r="H551">
        <f t="shared" si="146"/>
        <v>0</v>
      </c>
      <c r="I551">
        <f t="shared" si="147"/>
        <v>0</v>
      </c>
      <c r="J551" s="13">
        <f t="shared" si="148"/>
        <v>155</v>
      </c>
      <c r="K551">
        <f t="shared" si="140"/>
        <v>2</v>
      </c>
      <c r="L551">
        <f t="shared" si="141"/>
        <v>35</v>
      </c>
      <c r="M551" s="13">
        <f t="shared" si="149"/>
        <v>0</v>
      </c>
      <c r="N551">
        <f t="shared" si="149"/>
        <v>27</v>
      </c>
      <c r="O551" s="14">
        <f t="shared" si="137"/>
        <v>27</v>
      </c>
      <c r="P551" s="13">
        <f t="shared" si="142"/>
        <v>0</v>
      </c>
      <c r="Q551">
        <f t="shared" si="150"/>
        <v>27</v>
      </c>
      <c r="R551" s="14">
        <f t="shared" si="151"/>
        <v>27</v>
      </c>
      <c r="S551" s="15"/>
      <c r="W551" s="14"/>
    </row>
    <row r="552" spans="1:23" x14ac:dyDescent="0.25">
      <c r="A552" s="16"/>
      <c r="B552" s="17" t="b">
        <f t="shared" si="144"/>
        <v>0</v>
      </c>
      <c r="C552" s="17" t="b">
        <f t="shared" si="136"/>
        <v>0</v>
      </c>
      <c r="D552" s="17">
        <f t="shared" si="138"/>
        <v>1</v>
      </c>
      <c r="E552" s="17" t="str">
        <f t="shared" si="143"/>
        <v>Section 10 - Spring Boot - Deployement</v>
      </c>
      <c r="F552" s="18" t="str">
        <f t="shared" si="139"/>
        <v/>
      </c>
      <c r="G552" s="13" t="str">
        <f t="shared" si="145"/>
        <v/>
      </c>
      <c r="H552">
        <f t="shared" si="146"/>
        <v>0</v>
      </c>
      <c r="I552">
        <f t="shared" si="147"/>
        <v>0</v>
      </c>
      <c r="J552" s="13">
        <f t="shared" si="148"/>
        <v>155</v>
      </c>
      <c r="K552">
        <f t="shared" si="140"/>
        <v>2</v>
      </c>
      <c r="L552">
        <f t="shared" si="141"/>
        <v>35</v>
      </c>
      <c r="M552" s="13">
        <f t="shared" si="149"/>
        <v>0</v>
      </c>
      <c r="N552">
        <f t="shared" si="149"/>
        <v>27</v>
      </c>
      <c r="O552" s="14">
        <f t="shared" si="137"/>
        <v>27</v>
      </c>
      <c r="P552" s="13">
        <f t="shared" si="142"/>
        <v>0</v>
      </c>
      <c r="Q552">
        <f t="shared" si="150"/>
        <v>27</v>
      </c>
      <c r="R552" s="14">
        <f t="shared" si="151"/>
        <v>27</v>
      </c>
      <c r="S552" s="15"/>
      <c r="W552" s="14"/>
    </row>
    <row r="553" spans="1:23" x14ac:dyDescent="0.25">
      <c r="A553" s="16"/>
      <c r="B553" s="17" t="b">
        <f t="shared" si="144"/>
        <v>0</v>
      </c>
      <c r="C553" s="17" t="b">
        <f t="shared" si="136"/>
        <v>0</v>
      </c>
      <c r="D553" s="17">
        <f t="shared" si="138"/>
        <v>1</v>
      </c>
      <c r="E553" s="17" t="str">
        <f t="shared" si="143"/>
        <v>Section 10 - Spring Boot - Deployement</v>
      </c>
      <c r="F553" s="18" t="str">
        <f t="shared" si="139"/>
        <v/>
      </c>
      <c r="G553" s="13" t="str">
        <f t="shared" si="145"/>
        <v/>
      </c>
      <c r="H553">
        <f t="shared" si="146"/>
        <v>0</v>
      </c>
      <c r="I553">
        <f t="shared" si="147"/>
        <v>0</v>
      </c>
      <c r="J553" s="13">
        <f t="shared" si="148"/>
        <v>155</v>
      </c>
      <c r="K553">
        <f t="shared" si="140"/>
        <v>2</v>
      </c>
      <c r="L553">
        <f t="shared" si="141"/>
        <v>35</v>
      </c>
      <c r="M553" s="13">
        <f t="shared" si="149"/>
        <v>0</v>
      </c>
      <c r="N553">
        <f t="shared" si="149"/>
        <v>27</v>
      </c>
      <c r="O553" s="14">
        <f t="shared" si="137"/>
        <v>27</v>
      </c>
      <c r="P553" s="13">
        <f t="shared" si="142"/>
        <v>0</v>
      </c>
      <c r="Q553">
        <f t="shared" si="150"/>
        <v>27</v>
      </c>
      <c r="R553" s="14">
        <f t="shared" si="151"/>
        <v>27</v>
      </c>
      <c r="S553" s="15"/>
      <c r="W553" s="14"/>
    </row>
    <row r="554" spans="1:23" x14ac:dyDescent="0.25">
      <c r="A554" s="16"/>
      <c r="B554" s="17" t="b">
        <f t="shared" si="144"/>
        <v>0</v>
      </c>
      <c r="C554" s="17" t="b">
        <f t="shared" si="136"/>
        <v>0</v>
      </c>
      <c r="D554" s="17">
        <f t="shared" si="138"/>
        <v>1</v>
      </c>
      <c r="E554" s="17" t="str">
        <f t="shared" si="143"/>
        <v>Section 10 - Spring Boot - Deployement</v>
      </c>
      <c r="F554" s="18" t="str">
        <f t="shared" si="139"/>
        <v/>
      </c>
      <c r="G554" s="13" t="str">
        <f t="shared" si="145"/>
        <v/>
      </c>
      <c r="H554">
        <f t="shared" si="146"/>
        <v>0</v>
      </c>
      <c r="I554">
        <f t="shared" si="147"/>
        <v>0</v>
      </c>
      <c r="J554" s="13">
        <f t="shared" si="148"/>
        <v>155</v>
      </c>
      <c r="K554">
        <f t="shared" si="140"/>
        <v>2</v>
      </c>
      <c r="L554">
        <f t="shared" si="141"/>
        <v>35</v>
      </c>
      <c r="M554" s="13">
        <f t="shared" si="149"/>
        <v>0</v>
      </c>
      <c r="N554">
        <f t="shared" si="149"/>
        <v>27</v>
      </c>
      <c r="O554" s="14">
        <f t="shared" si="137"/>
        <v>27</v>
      </c>
      <c r="P554" s="13">
        <f t="shared" si="142"/>
        <v>0</v>
      </c>
      <c r="Q554">
        <f t="shared" si="150"/>
        <v>27</v>
      </c>
      <c r="R554" s="14">
        <f t="shared" si="151"/>
        <v>27</v>
      </c>
      <c r="S554" s="15"/>
      <c r="W554" s="14"/>
    </row>
    <row r="555" spans="1:23" x14ac:dyDescent="0.25">
      <c r="A555" s="16"/>
      <c r="B555" s="17" t="b">
        <f t="shared" si="144"/>
        <v>0</v>
      </c>
      <c r="C555" s="17" t="b">
        <f t="shared" si="136"/>
        <v>0</v>
      </c>
      <c r="D555" s="17">
        <f t="shared" si="138"/>
        <v>1</v>
      </c>
      <c r="E555" s="17" t="str">
        <f t="shared" si="143"/>
        <v>Section 10 - Spring Boot - Deployement</v>
      </c>
      <c r="F555" s="18" t="str">
        <f t="shared" si="139"/>
        <v/>
      </c>
      <c r="G555" s="13" t="str">
        <f t="shared" si="145"/>
        <v/>
      </c>
      <c r="H555">
        <f t="shared" si="146"/>
        <v>0</v>
      </c>
      <c r="I555">
        <f t="shared" si="147"/>
        <v>0</v>
      </c>
      <c r="J555" s="13">
        <f t="shared" si="148"/>
        <v>155</v>
      </c>
      <c r="K555">
        <f t="shared" si="140"/>
        <v>2</v>
      </c>
      <c r="L555">
        <f t="shared" si="141"/>
        <v>35</v>
      </c>
      <c r="M555" s="13">
        <f t="shared" si="149"/>
        <v>0</v>
      </c>
      <c r="N555">
        <f t="shared" si="149"/>
        <v>27</v>
      </c>
      <c r="O555" s="14">
        <f t="shared" si="137"/>
        <v>27</v>
      </c>
      <c r="P555" s="13">
        <f t="shared" si="142"/>
        <v>0</v>
      </c>
      <c r="Q555">
        <f t="shared" si="150"/>
        <v>27</v>
      </c>
      <c r="R555" s="14">
        <f t="shared" si="151"/>
        <v>27</v>
      </c>
      <c r="S555" s="15"/>
      <c r="W555" s="14"/>
    </row>
    <row r="556" spans="1:23" x14ac:dyDescent="0.25">
      <c r="A556" s="16"/>
      <c r="B556" s="17" t="b">
        <f t="shared" si="144"/>
        <v>0</v>
      </c>
      <c r="C556" s="17" t="b">
        <f t="shared" si="136"/>
        <v>0</v>
      </c>
      <c r="D556" s="17">
        <f t="shared" si="138"/>
        <v>1</v>
      </c>
      <c r="E556" s="17" t="str">
        <f t="shared" si="143"/>
        <v>Section 10 - Spring Boot - Deployement</v>
      </c>
      <c r="F556" s="18" t="str">
        <f t="shared" si="139"/>
        <v/>
      </c>
      <c r="G556" s="13" t="str">
        <f t="shared" si="145"/>
        <v/>
      </c>
      <c r="H556">
        <f t="shared" si="146"/>
        <v>0</v>
      </c>
      <c r="I556">
        <f t="shared" si="147"/>
        <v>0</v>
      </c>
      <c r="J556" s="13">
        <f t="shared" si="148"/>
        <v>155</v>
      </c>
      <c r="K556">
        <f t="shared" si="140"/>
        <v>2</v>
      </c>
      <c r="L556">
        <f t="shared" si="141"/>
        <v>35</v>
      </c>
      <c r="M556" s="13">
        <f t="shared" si="149"/>
        <v>0</v>
      </c>
      <c r="N556">
        <f t="shared" si="149"/>
        <v>27</v>
      </c>
      <c r="O556" s="14">
        <f t="shared" si="137"/>
        <v>27</v>
      </c>
      <c r="P556" s="13">
        <f t="shared" si="142"/>
        <v>0</v>
      </c>
      <c r="Q556">
        <f t="shared" si="150"/>
        <v>27</v>
      </c>
      <c r="R556" s="14">
        <f t="shared" si="151"/>
        <v>27</v>
      </c>
      <c r="S556" s="15"/>
      <c r="W556" s="14"/>
    </row>
    <row r="557" spans="1:23" x14ac:dyDescent="0.25">
      <c r="A557" s="16"/>
      <c r="B557" s="17" t="b">
        <f t="shared" si="144"/>
        <v>0</v>
      </c>
      <c r="C557" s="17" t="b">
        <f t="shared" si="136"/>
        <v>0</v>
      </c>
      <c r="D557" s="17">
        <f t="shared" si="138"/>
        <v>1</v>
      </c>
      <c r="E557" s="17" t="str">
        <f t="shared" si="143"/>
        <v>Section 10 - Spring Boot - Deployement</v>
      </c>
      <c r="F557" s="18" t="str">
        <f t="shared" si="139"/>
        <v/>
      </c>
      <c r="G557" s="13" t="str">
        <f t="shared" si="145"/>
        <v/>
      </c>
      <c r="H557">
        <f t="shared" si="146"/>
        <v>0</v>
      </c>
      <c r="I557">
        <f t="shared" si="147"/>
        <v>0</v>
      </c>
      <c r="J557" s="13">
        <f t="shared" si="148"/>
        <v>155</v>
      </c>
      <c r="K557">
        <f t="shared" si="140"/>
        <v>2</v>
      </c>
      <c r="L557">
        <f t="shared" si="141"/>
        <v>35</v>
      </c>
      <c r="M557" s="13">
        <f t="shared" si="149"/>
        <v>0</v>
      </c>
      <c r="N557">
        <f t="shared" si="149"/>
        <v>27</v>
      </c>
      <c r="O557" s="14">
        <f t="shared" si="137"/>
        <v>27</v>
      </c>
      <c r="P557" s="13">
        <f t="shared" si="142"/>
        <v>0</v>
      </c>
      <c r="Q557">
        <f t="shared" si="150"/>
        <v>27</v>
      </c>
      <c r="R557" s="14">
        <f t="shared" si="151"/>
        <v>27</v>
      </c>
      <c r="S557" s="15"/>
      <c r="W557" s="14"/>
    </row>
    <row r="558" spans="1:23" x14ac:dyDescent="0.25">
      <c r="A558" s="16"/>
      <c r="B558" s="17" t="b">
        <f t="shared" si="144"/>
        <v>0</v>
      </c>
      <c r="C558" s="17" t="b">
        <f t="shared" si="136"/>
        <v>0</v>
      </c>
      <c r="D558" s="17">
        <f t="shared" si="138"/>
        <v>1</v>
      </c>
      <c r="E558" s="17" t="str">
        <f t="shared" si="143"/>
        <v>Section 10 - Spring Boot - Deployement</v>
      </c>
      <c r="F558" s="18" t="str">
        <f t="shared" si="139"/>
        <v/>
      </c>
      <c r="G558" s="13" t="str">
        <f t="shared" si="145"/>
        <v/>
      </c>
      <c r="H558">
        <f t="shared" si="146"/>
        <v>0</v>
      </c>
      <c r="I558">
        <f t="shared" si="147"/>
        <v>0</v>
      </c>
      <c r="J558" s="13">
        <f t="shared" si="148"/>
        <v>155</v>
      </c>
      <c r="K558">
        <f t="shared" si="140"/>
        <v>2</v>
      </c>
      <c r="L558">
        <f t="shared" si="141"/>
        <v>35</v>
      </c>
      <c r="M558" s="13">
        <f t="shared" si="149"/>
        <v>0</v>
      </c>
      <c r="N558">
        <f t="shared" si="149"/>
        <v>27</v>
      </c>
      <c r="O558" s="14">
        <f t="shared" si="137"/>
        <v>27</v>
      </c>
      <c r="P558" s="13">
        <f t="shared" si="142"/>
        <v>0</v>
      </c>
      <c r="Q558">
        <f t="shared" si="150"/>
        <v>27</v>
      </c>
      <c r="R558" s="14">
        <f t="shared" si="151"/>
        <v>27</v>
      </c>
      <c r="S558" s="15"/>
      <c r="W558" s="14"/>
    </row>
    <row r="559" spans="1:23" x14ac:dyDescent="0.25">
      <c r="A559" s="16"/>
      <c r="B559" s="17" t="b">
        <f t="shared" si="144"/>
        <v>0</v>
      </c>
      <c r="C559" s="17" t="b">
        <f t="shared" si="136"/>
        <v>0</v>
      </c>
      <c r="D559" s="17">
        <f t="shared" si="138"/>
        <v>1</v>
      </c>
      <c r="E559" s="17" t="str">
        <f t="shared" si="143"/>
        <v>Section 10 - Spring Boot - Deployement</v>
      </c>
      <c r="F559" s="18" t="str">
        <f t="shared" si="139"/>
        <v/>
      </c>
      <c r="G559" s="13" t="str">
        <f t="shared" si="145"/>
        <v/>
      </c>
      <c r="H559">
        <f t="shared" si="146"/>
        <v>0</v>
      </c>
      <c r="I559">
        <f t="shared" si="147"/>
        <v>0</v>
      </c>
      <c r="J559" s="13">
        <f t="shared" si="148"/>
        <v>155</v>
      </c>
      <c r="K559">
        <f t="shared" si="140"/>
        <v>2</v>
      </c>
      <c r="L559">
        <f t="shared" si="141"/>
        <v>35</v>
      </c>
      <c r="M559" s="13">
        <f t="shared" si="149"/>
        <v>0</v>
      </c>
      <c r="N559">
        <f t="shared" si="149"/>
        <v>27</v>
      </c>
      <c r="O559" s="14">
        <f t="shared" si="137"/>
        <v>27</v>
      </c>
      <c r="P559" s="13">
        <f t="shared" si="142"/>
        <v>0</v>
      </c>
      <c r="Q559">
        <f t="shared" si="150"/>
        <v>27</v>
      </c>
      <c r="R559" s="14">
        <f t="shared" si="151"/>
        <v>27</v>
      </c>
      <c r="S559" s="15"/>
      <c r="W559" s="14"/>
    </row>
    <row r="560" spans="1:23" x14ac:dyDescent="0.25">
      <c r="A560" s="16"/>
      <c r="B560" s="17" t="b">
        <f t="shared" si="144"/>
        <v>0</v>
      </c>
      <c r="C560" s="17" t="b">
        <f t="shared" si="136"/>
        <v>0</v>
      </c>
      <c r="D560" s="17">
        <f t="shared" si="138"/>
        <v>1</v>
      </c>
      <c r="E560" s="17" t="str">
        <f t="shared" si="143"/>
        <v>Section 10 - Spring Boot - Deployement</v>
      </c>
      <c r="F560" s="18" t="str">
        <f t="shared" si="139"/>
        <v/>
      </c>
      <c r="G560" s="13" t="str">
        <f t="shared" si="145"/>
        <v/>
      </c>
      <c r="H560">
        <f t="shared" si="146"/>
        <v>0</v>
      </c>
      <c r="I560">
        <f t="shared" si="147"/>
        <v>0</v>
      </c>
      <c r="J560" s="13">
        <f t="shared" si="148"/>
        <v>155</v>
      </c>
      <c r="K560">
        <f t="shared" si="140"/>
        <v>2</v>
      </c>
      <c r="L560">
        <f t="shared" si="141"/>
        <v>35</v>
      </c>
      <c r="M560" s="13">
        <f t="shared" si="149"/>
        <v>0</v>
      </c>
      <c r="N560">
        <f t="shared" si="149"/>
        <v>27</v>
      </c>
      <c r="O560" s="14">
        <f t="shared" si="137"/>
        <v>27</v>
      </c>
      <c r="P560" s="13">
        <f t="shared" si="142"/>
        <v>0</v>
      </c>
      <c r="Q560">
        <f t="shared" si="150"/>
        <v>27</v>
      </c>
      <c r="R560" s="14">
        <f t="shared" si="151"/>
        <v>27</v>
      </c>
      <c r="S560" s="15"/>
      <c r="W560" s="14"/>
    </row>
    <row r="561" spans="1:23" x14ac:dyDescent="0.25">
      <c r="A561" s="16"/>
      <c r="B561" s="17" t="b">
        <f t="shared" si="144"/>
        <v>0</v>
      </c>
      <c r="C561" s="17" t="b">
        <f t="shared" si="136"/>
        <v>0</v>
      </c>
      <c r="D561" s="17">
        <f t="shared" si="138"/>
        <v>1</v>
      </c>
      <c r="E561" s="17" t="str">
        <f t="shared" si="143"/>
        <v>Section 10 - Spring Boot - Deployement</v>
      </c>
      <c r="F561" s="18" t="str">
        <f t="shared" si="139"/>
        <v/>
      </c>
      <c r="G561" s="13" t="str">
        <f t="shared" si="145"/>
        <v/>
      </c>
      <c r="H561">
        <f t="shared" si="146"/>
        <v>0</v>
      </c>
      <c r="I561">
        <f t="shared" si="147"/>
        <v>0</v>
      </c>
      <c r="J561" s="13">
        <f t="shared" si="148"/>
        <v>155</v>
      </c>
      <c r="K561">
        <f t="shared" si="140"/>
        <v>2</v>
      </c>
      <c r="L561">
        <f t="shared" si="141"/>
        <v>35</v>
      </c>
      <c r="M561" s="13">
        <f t="shared" si="149"/>
        <v>0</v>
      </c>
      <c r="N561">
        <f t="shared" si="149"/>
        <v>27</v>
      </c>
      <c r="O561" s="14">
        <f t="shared" si="137"/>
        <v>27</v>
      </c>
      <c r="P561" s="13">
        <f t="shared" si="142"/>
        <v>0</v>
      </c>
      <c r="Q561">
        <f t="shared" si="150"/>
        <v>27</v>
      </c>
      <c r="R561" s="14">
        <f t="shared" si="151"/>
        <v>27</v>
      </c>
      <c r="S561" s="15"/>
      <c r="W561" s="14"/>
    </row>
    <row r="562" spans="1:23" x14ac:dyDescent="0.25">
      <c r="A562" s="16"/>
      <c r="B562" s="17" t="b">
        <f t="shared" si="144"/>
        <v>0</v>
      </c>
      <c r="C562" s="17" t="b">
        <f t="shared" si="136"/>
        <v>0</v>
      </c>
      <c r="D562" s="17">
        <f t="shared" si="138"/>
        <v>1</v>
      </c>
      <c r="E562" s="17" t="str">
        <f t="shared" si="143"/>
        <v>Section 10 - Spring Boot - Deployement</v>
      </c>
      <c r="F562" s="18" t="str">
        <f t="shared" si="139"/>
        <v/>
      </c>
      <c r="G562" s="13" t="str">
        <f t="shared" si="145"/>
        <v/>
      </c>
      <c r="H562">
        <f t="shared" si="146"/>
        <v>0</v>
      </c>
      <c r="I562">
        <f t="shared" si="147"/>
        <v>0</v>
      </c>
      <c r="J562" s="13">
        <f t="shared" si="148"/>
        <v>155</v>
      </c>
      <c r="K562">
        <f t="shared" si="140"/>
        <v>2</v>
      </c>
      <c r="L562">
        <f t="shared" si="141"/>
        <v>35</v>
      </c>
      <c r="M562" s="13">
        <f t="shared" si="149"/>
        <v>0</v>
      </c>
      <c r="N562">
        <f t="shared" si="149"/>
        <v>27</v>
      </c>
      <c r="O562" s="14">
        <f t="shared" si="137"/>
        <v>27</v>
      </c>
      <c r="P562" s="13">
        <f t="shared" si="142"/>
        <v>0</v>
      </c>
      <c r="Q562">
        <f t="shared" si="150"/>
        <v>27</v>
      </c>
      <c r="R562" s="14">
        <f t="shared" si="151"/>
        <v>27</v>
      </c>
      <c r="S562" s="15"/>
      <c r="W562" s="14"/>
    </row>
    <row r="563" spans="1:23" x14ac:dyDescent="0.25">
      <c r="A563" s="16"/>
      <c r="B563" s="17" t="b">
        <f t="shared" si="144"/>
        <v>0</v>
      </c>
      <c r="C563" s="17" t="b">
        <f t="shared" si="136"/>
        <v>0</v>
      </c>
      <c r="D563" s="17">
        <f t="shared" si="138"/>
        <v>1</v>
      </c>
      <c r="E563" s="17" t="str">
        <f t="shared" si="143"/>
        <v>Section 10 - Spring Boot - Deployement</v>
      </c>
      <c r="F563" s="18" t="str">
        <f t="shared" si="139"/>
        <v/>
      </c>
      <c r="G563" s="13" t="str">
        <f t="shared" si="145"/>
        <v/>
      </c>
      <c r="H563">
        <f t="shared" si="146"/>
        <v>0</v>
      </c>
      <c r="I563">
        <f t="shared" si="147"/>
        <v>0</v>
      </c>
      <c r="J563" s="13">
        <f t="shared" si="148"/>
        <v>155</v>
      </c>
      <c r="K563">
        <f t="shared" si="140"/>
        <v>2</v>
      </c>
      <c r="L563">
        <f t="shared" si="141"/>
        <v>35</v>
      </c>
      <c r="M563" s="13">
        <f t="shared" si="149"/>
        <v>0</v>
      </c>
      <c r="N563">
        <f t="shared" si="149"/>
        <v>27</v>
      </c>
      <c r="O563" s="14">
        <f t="shared" si="137"/>
        <v>27</v>
      </c>
      <c r="P563" s="13">
        <f t="shared" si="142"/>
        <v>0</v>
      </c>
      <c r="Q563">
        <f t="shared" si="150"/>
        <v>27</v>
      </c>
      <c r="R563" s="14">
        <f t="shared" si="151"/>
        <v>27</v>
      </c>
      <c r="S563" s="15"/>
      <c r="W563" s="14"/>
    </row>
    <row r="564" spans="1:23" x14ac:dyDescent="0.25">
      <c r="A564" s="16"/>
      <c r="B564" s="17" t="b">
        <f t="shared" si="144"/>
        <v>0</v>
      </c>
      <c r="C564" s="17" t="b">
        <f t="shared" si="136"/>
        <v>0</v>
      </c>
      <c r="D564" s="17">
        <f t="shared" si="138"/>
        <v>1</v>
      </c>
      <c r="E564" s="17" t="str">
        <f t="shared" si="143"/>
        <v>Section 10 - Spring Boot - Deployement</v>
      </c>
      <c r="F564" s="18" t="str">
        <f t="shared" si="139"/>
        <v/>
      </c>
      <c r="G564" s="13" t="str">
        <f t="shared" si="145"/>
        <v/>
      </c>
      <c r="H564">
        <f t="shared" si="146"/>
        <v>0</v>
      </c>
      <c r="I564">
        <f t="shared" si="147"/>
        <v>0</v>
      </c>
      <c r="J564" s="13">
        <f t="shared" si="148"/>
        <v>155</v>
      </c>
      <c r="K564">
        <f t="shared" si="140"/>
        <v>2</v>
      </c>
      <c r="L564">
        <f t="shared" si="141"/>
        <v>35</v>
      </c>
      <c r="M564" s="13">
        <f t="shared" si="149"/>
        <v>0</v>
      </c>
      <c r="N564">
        <f t="shared" si="149"/>
        <v>27</v>
      </c>
      <c r="O564" s="14">
        <f t="shared" si="137"/>
        <v>27</v>
      </c>
      <c r="P564" s="13">
        <f t="shared" si="142"/>
        <v>0</v>
      </c>
      <c r="Q564">
        <f t="shared" si="150"/>
        <v>27</v>
      </c>
      <c r="R564" s="14">
        <f t="shared" si="151"/>
        <v>27</v>
      </c>
      <c r="S564" s="15"/>
      <c r="W564" s="14"/>
    </row>
    <row r="565" spans="1:23" x14ac:dyDescent="0.25">
      <c r="A565" s="16"/>
      <c r="B565" s="17" t="b">
        <f t="shared" si="144"/>
        <v>0</v>
      </c>
      <c r="C565" s="17" t="b">
        <f t="shared" si="136"/>
        <v>0</v>
      </c>
      <c r="D565" s="17">
        <f t="shared" si="138"/>
        <v>1</v>
      </c>
      <c r="E565" s="17" t="str">
        <f t="shared" si="143"/>
        <v>Section 10 - Spring Boot - Deployement</v>
      </c>
      <c r="F565" s="18" t="str">
        <f t="shared" si="139"/>
        <v/>
      </c>
      <c r="G565" s="13" t="str">
        <f t="shared" si="145"/>
        <v/>
      </c>
      <c r="H565">
        <f t="shared" si="146"/>
        <v>0</v>
      </c>
      <c r="I565">
        <f t="shared" si="147"/>
        <v>0</v>
      </c>
      <c r="J565" s="13">
        <f t="shared" si="148"/>
        <v>155</v>
      </c>
      <c r="K565">
        <f t="shared" si="140"/>
        <v>2</v>
      </c>
      <c r="L565">
        <f t="shared" si="141"/>
        <v>35</v>
      </c>
      <c r="M565" s="13">
        <f t="shared" si="149"/>
        <v>0</v>
      </c>
      <c r="N565">
        <f t="shared" si="149"/>
        <v>27</v>
      </c>
      <c r="O565" s="14">
        <f t="shared" si="137"/>
        <v>27</v>
      </c>
      <c r="P565" s="13">
        <f t="shared" si="142"/>
        <v>0</v>
      </c>
      <c r="Q565">
        <f t="shared" si="150"/>
        <v>27</v>
      </c>
      <c r="R565" s="14">
        <f t="shared" si="151"/>
        <v>27</v>
      </c>
      <c r="S565" s="15"/>
      <c r="W565" s="14"/>
    </row>
  </sheetData>
  <mergeCells count="12">
    <mergeCell ref="M7:O7"/>
    <mergeCell ref="P7:R7"/>
    <mergeCell ref="S7:W7"/>
    <mergeCell ref="A1:L1"/>
    <mergeCell ref="A7:A8"/>
    <mergeCell ref="B7:B8"/>
    <mergeCell ref="C7:C8"/>
    <mergeCell ref="D7:D8"/>
    <mergeCell ref="E7:E8"/>
    <mergeCell ref="F7:F8"/>
    <mergeCell ref="G7:I7"/>
    <mergeCell ref="J7:L7"/>
  </mergeCells>
  <conditionalFormatting sqref="A10:F10 I20:J565 Q20:R565 F11:F19 F20:G565 M20:O565 A11:D565">
    <cfRule type="expression" dxfId="21" priority="9">
      <formula>$F10&lt;&gt;""</formula>
    </cfRule>
  </conditionalFormatting>
  <conditionalFormatting sqref="E9 G3:G5 E3:E5">
    <cfRule type="cellIs" dxfId="20" priority="8" operator="equal">
      <formula>"No"</formula>
    </cfRule>
  </conditionalFormatting>
  <conditionalFormatting sqref="A1:G1 I1:L1">
    <cfRule type="cellIs" dxfId="19" priority="7" operator="equal">
      <formula>""</formula>
    </cfRule>
  </conditionalFormatting>
  <conditionalFormatting sqref="H20:H565">
    <cfRule type="expression" dxfId="18" priority="6">
      <formula>$F20&lt;&gt;""</formula>
    </cfRule>
  </conditionalFormatting>
  <conditionalFormatting sqref="H1">
    <cfRule type="cellIs" dxfId="17" priority="5" operator="equal">
      <formula>""</formula>
    </cfRule>
  </conditionalFormatting>
  <conditionalFormatting sqref="G10:G19 I10 I11:J19 Q11:R19 P11:P565 M10:R10 M11:O19">
    <cfRule type="expression" dxfId="16" priority="4">
      <formula>$F10&lt;&gt;""</formula>
    </cfRule>
  </conditionalFormatting>
  <conditionalFormatting sqref="H10:H19">
    <cfRule type="expression" dxfId="15" priority="3">
      <formula>$F10&lt;&gt;""</formula>
    </cfRule>
  </conditionalFormatting>
  <conditionalFormatting sqref="E11:E565">
    <cfRule type="expression" dxfId="14" priority="2">
      <formula>$F11&lt;&gt;""</formula>
    </cfRule>
  </conditionalFormatting>
  <conditionalFormatting sqref="J10:L10 K11:L565">
    <cfRule type="expression" dxfId="13" priority="1">
      <formula>$F10&lt;&gt;""</formula>
    </cfRule>
  </conditionalFormatting>
  <dataValidations count="1">
    <dataValidation type="list" allowBlank="1" showInputMessage="1" sqref="G3:G5 E3:E4" xr:uid="{3621FFDC-874B-4733-9D3D-64B78691A83C}">
      <formula1>"Yes, No, N/A"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9338-D63D-4191-9C3A-5A8842BF3C98}">
  <sheetPr filterMode="1"/>
  <dimension ref="A1:W565"/>
  <sheetViews>
    <sheetView workbookViewId="0">
      <selection activeCell="G5" sqref="G5"/>
    </sheetView>
  </sheetViews>
  <sheetFormatPr defaultRowHeight="15" x14ac:dyDescent="0.25"/>
  <cols>
    <col min="1" max="1" width="66.7109375" bestFit="1" customWidth="1"/>
    <col min="2" max="4" width="9.140625" hidden="1" customWidth="1"/>
    <col min="5" max="6" width="48.85546875" bestFit="1" customWidth="1"/>
    <col min="19" max="19" width="11.42578125" style="4" bestFit="1" customWidth="1"/>
    <col min="20" max="20" width="27.5703125" customWidth="1"/>
    <col min="21" max="21" width="37" customWidth="1"/>
    <col min="22" max="22" width="12.7109375" customWidth="1"/>
    <col min="23" max="23" width="14.140625" customWidth="1"/>
  </cols>
  <sheetData>
    <row r="1" spans="1:23" ht="36" x14ac:dyDescent="0.55000000000000004">
      <c r="A1" s="26" t="s">
        <v>225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1" t="s">
        <v>85</v>
      </c>
      <c r="B2" s="5"/>
    </row>
    <row r="3" spans="1:23" x14ac:dyDescent="0.25">
      <c r="A3" s="1" t="s">
        <v>93</v>
      </c>
      <c r="E3" t="s">
        <v>92</v>
      </c>
      <c r="F3" s="1" t="s">
        <v>86</v>
      </c>
      <c r="G3" t="s">
        <v>87</v>
      </c>
    </row>
    <row r="4" spans="1:23" x14ac:dyDescent="0.25">
      <c r="A4" s="1" t="s">
        <v>90</v>
      </c>
      <c r="E4" t="s">
        <v>92</v>
      </c>
      <c r="F4" s="1" t="s">
        <v>91</v>
      </c>
      <c r="G4" t="s">
        <v>87</v>
      </c>
    </row>
    <row r="5" spans="1:23" x14ac:dyDescent="0.25">
      <c r="A5" s="1" t="s">
        <v>140</v>
      </c>
      <c r="E5" t="s">
        <v>141</v>
      </c>
      <c r="F5" s="1" t="s">
        <v>94</v>
      </c>
      <c r="G5" t="s">
        <v>87</v>
      </c>
    </row>
    <row r="6" spans="1:23" ht="15.75" thickBot="1" x14ac:dyDescent="0.3"/>
    <row r="7" spans="1:23" ht="15.75" thickTop="1" x14ac:dyDescent="0.25">
      <c r="A7" s="27" t="s">
        <v>95</v>
      </c>
      <c r="B7" s="29" t="s">
        <v>96</v>
      </c>
      <c r="C7" s="29" t="s">
        <v>97</v>
      </c>
      <c r="D7" s="29" t="s">
        <v>98</v>
      </c>
      <c r="E7" s="29" t="s">
        <v>5</v>
      </c>
      <c r="F7" s="31" t="s">
        <v>99</v>
      </c>
      <c r="G7" s="33" t="s">
        <v>77</v>
      </c>
      <c r="H7" s="34"/>
      <c r="I7" s="34"/>
      <c r="J7" s="33" t="s">
        <v>100</v>
      </c>
      <c r="K7" s="34"/>
      <c r="L7" s="34"/>
      <c r="M7" s="33" t="s">
        <v>101</v>
      </c>
      <c r="N7" s="34"/>
      <c r="O7" s="35"/>
      <c r="P7" s="33" t="s">
        <v>102</v>
      </c>
      <c r="Q7" s="34"/>
      <c r="R7" s="35"/>
      <c r="S7" s="33" t="s">
        <v>103</v>
      </c>
      <c r="T7" s="34"/>
      <c r="U7" s="34"/>
      <c r="V7" s="34"/>
      <c r="W7" s="35"/>
    </row>
    <row r="8" spans="1:23" ht="15.75" thickBot="1" x14ac:dyDescent="0.3">
      <c r="A8" s="28"/>
      <c r="B8" s="30"/>
      <c r="C8" s="30"/>
      <c r="D8" s="30"/>
      <c r="E8" s="30"/>
      <c r="F8" s="32"/>
      <c r="G8" s="6" t="s">
        <v>104</v>
      </c>
      <c r="H8" s="7" t="s">
        <v>142</v>
      </c>
      <c r="I8" s="7" t="s">
        <v>105</v>
      </c>
      <c r="J8" s="6" t="s">
        <v>106</v>
      </c>
      <c r="K8" s="7" t="s">
        <v>73</v>
      </c>
      <c r="L8" s="7" t="s">
        <v>105</v>
      </c>
      <c r="M8" s="9" t="s">
        <v>107</v>
      </c>
      <c r="N8" s="10" t="s">
        <v>105</v>
      </c>
      <c r="O8" s="11" t="s">
        <v>106</v>
      </c>
      <c r="P8" s="6" t="s">
        <v>107</v>
      </c>
      <c r="Q8" s="7" t="s">
        <v>105</v>
      </c>
      <c r="R8" s="8" t="s">
        <v>106</v>
      </c>
      <c r="S8" s="12" t="s">
        <v>108</v>
      </c>
      <c r="T8" s="7" t="s">
        <v>109</v>
      </c>
      <c r="U8" s="7" t="s">
        <v>110</v>
      </c>
      <c r="V8" s="7" t="s">
        <v>111</v>
      </c>
      <c r="W8" s="8" t="s">
        <v>112</v>
      </c>
    </row>
    <row r="9" spans="1:23" ht="15.75" thickTop="1" x14ac:dyDescent="0.25">
      <c r="E9" t="s">
        <v>113</v>
      </c>
      <c r="G9" s="13"/>
      <c r="J9" s="13"/>
      <c r="M9" s="13"/>
      <c r="O9" s="14"/>
      <c r="P9" s="13"/>
      <c r="R9" s="14"/>
      <c r="S9" s="15"/>
      <c r="W9" s="14"/>
    </row>
    <row r="10" spans="1:23" x14ac:dyDescent="0.25">
      <c r="A10" s="16"/>
      <c r="B10" s="17" t="b">
        <f t="shared" ref="B10:B16" si="0">AND(NOT(ISERROR(FIND("Section ",A10))),NOT(ISERROR(FIND("Section ",A10))))</f>
        <v>0</v>
      </c>
      <c r="C10" s="17" t="b">
        <f t="shared" ref="C10:C62" si="1">OR(NOT(ISERROR(FIND("hr",A11))), NOT(ISERROR(FIND("min ",A11))),RIGHT(A11,3)="min")</f>
        <v>0</v>
      </c>
      <c r="D10" s="17">
        <f>IF(B10,0,IF(C10,D9+1,D9))</f>
        <v>0</v>
      </c>
      <c r="E10" s="17" t="str">
        <f>IF(B10,A10,E9)</f>
        <v xml:space="preserve"> </v>
      </c>
      <c r="F10" s="18" t="str">
        <f>IF(C10,A10,"")</f>
        <v/>
      </c>
      <c r="G10" s="13" t="str">
        <f t="shared" ref="G10:G19" si="2">IF(C10,A11,"")</f>
        <v/>
      </c>
      <c r="H10">
        <f t="shared" ref="H10:H19" si="3">VALUE(IF(NOT(ISERROR(FIND("hr",G10))),LEFT(G10,FIND("hr",G10)-1),0))</f>
        <v>0</v>
      </c>
      <c r="I10">
        <f t="shared" ref="I10:I19" si="4">VALUE(IF(ISERROR(FIND("min",G10)),0,SUBSTITUTE(MID(G10,IF(ISERROR(FIND("hr ",G10)),1,FIND("hr ",G10)+3),LEN(G10)),"min","")))</f>
        <v>0</v>
      </c>
      <c r="J10" s="13">
        <f t="shared" ref="J10:J19" si="5">J9+(H10*60+I10)</f>
        <v>0</v>
      </c>
      <c r="K10">
        <f>INT(J10/60)</f>
        <v>0</v>
      </c>
      <c r="L10">
        <f>INT(J10-(K10*60))</f>
        <v>0</v>
      </c>
      <c r="M10" s="13">
        <f t="shared" ref="M10:N19" si="6">P9</f>
        <v>0</v>
      </c>
      <c r="N10">
        <f t="shared" si="6"/>
        <v>0</v>
      </c>
      <c r="O10" s="14">
        <f t="shared" ref="O10:O73" si="7">((M10*60)+N10)</f>
        <v>0</v>
      </c>
      <c r="P10" s="13">
        <f>INT(R10/60)</f>
        <v>0</v>
      </c>
      <c r="Q10">
        <f t="shared" ref="Q10:Q19" si="8">R10-(P10*60)</f>
        <v>0</v>
      </c>
      <c r="R10" s="14">
        <f t="shared" ref="R10:R19" si="9">((H10*60)+I10)+O10</f>
        <v>0</v>
      </c>
      <c r="S10" s="15">
        <v>45107</v>
      </c>
      <c r="W10" s="14"/>
    </row>
    <row r="11" spans="1:23" hidden="1" x14ac:dyDescent="0.25">
      <c r="A11" s="16" t="s">
        <v>115</v>
      </c>
      <c r="B11" s="17" t="b">
        <f t="shared" si="0"/>
        <v>1</v>
      </c>
      <c r="C11" s="17" t="b">
        <f t="shared" si="1"/>
        <v>0</v>
      </c>
      <c r="D11" s="17">
        <f t="shared" ref="D11:D74" si="10">IF(B11,0,IF(C11,D10+1,D10))</f>
        <v>0</v>
      </c>
      <c r="E11" s="17" t="str">
        <f>SUBSTITUTE(IF(B11,A11,E10),":", " -")</f>
        <v>Section 1 - Introduction</v>
      </c>
      <c r="F11" s="18" t="str">
        <f t="shared" ref="F11:F74" si="11">IF(C11,A11,"")</f>
        <v/>
      </c>
      <c r="G11" s="13" t="str">
        <f t="shared" si="2"/>
        <v/>
      </c>
      <c r="H11">
        <f t="shared" si="3"/>
        <v>0</v>
      </c>
      <c r="I11">
        <f t="shared" si="4"/>
        <v>0</v>
      </c>
      <c r="J11" s="13">
        <f t="shared" si="5"/>
        <v>0</v>
      </c>
      <c r="K11">
        <f t="shared" ref="K11:K74" si="12">INT(J11/60)</f>
        <v>0</v>
      </c>
      <c r="L11">
        <f t="shared" ref="L11:L74" si="13">INT(J11-(K11*60))</f>
        <v>0</v>
      </c>
      <c r="M11" s="13">
        <f t="shared" si="6"/>
        <v>0</v>
      </c>
      <c r="N11">
        <f t="shared" si="6"/>
        <v>0</v>
      </c>
      <c r="O11" s="14">
        <f t="shared" si="7"/>
        <v>0</v>
      </c>
      <c r="P11" s="13">
        <f t="shared" ref="P11:P74" si="14">INT(R11/60)</f>
        <v>0</v>
      </c>
      <c r="Q11">
        <f t="shared" si="8"/>
        <v>0</v>
      </c>
      <c r="R11" s="14">
        <f t="shared" si="9"/>
        <v>0</v>
      </c>
      <c r="S11" s="15"/>
      <c r="W11" s="14"/>
    </row>
    <row r="12" spans="1:23" hidden="1" x14ac:dyDescent="0.25">
      <c r="A12" s="16" t="s">
        <v>121</v>
      </c>
      <c r="B12" s="17" t="b">
        <f t="shared" si="0"/>
        <v>0</v>
      </c>
      <c r="C12" s="17" t="b">
        <f t="shared" si="1"/>
        <v>0</v>
      </c>
      <c r="D12" s="17">
        <f t="shared" si="10"/>
        <v>0</v>
      </c>
      <c r="E12" s="17" t="str">
        <f t="shared" ref="E12:E75" si="15">SUBSTITUTE(IF(B12,A12,E11),":", " -")</f>
        <v>Section 1 - Introduction</v>
      </c>
      <c r="F12" s="18" t="str">
        <f t="shared" si="11"/>
        <v/>
      </c>
      <c r="G12" s="13" t="str">
        <f t="shared" si="2"/>
        <v/>
      </c>
      <c r="H12">
        <f t="shared" si="3"/>
        <v>0</v>
      </c>
      <c r="I12">
        <f t="shared" si="4"/>
        <v>0</v>
      </c>
      <c r="J12" s="13">
        <f t="shared" si="5"/>
        <v>0</v>
      </c>
      <c r="K12">
        <f t="shared" si="12"/>
        <v>0</v>
      </c>
      <c r="L12">
        <f t="shared" si="13"/>
        <v>0</v>
      </c>
      <c r="M12" s="13">
        <f t="shared" si="6"/>
        <v>0</v>
      </c>
      <c r="N12">
        <f t="shared" si="6"/>
        <v>0</v>
      </c>
      <c r="O12" s="14">
        <f t="shared" si="7"/>
        <v>0</v>
      </c>
      <c r="P12" s="13">
        <f t="shared" si="14"/>
        <v>0</v>
      </c>
      <c r="Q12">
        <f t="shared" si="8"/>
        <v>0</v>
      </c>
      <c r="R12" s="14">
        <f t="shared" si="9"/>
        <v>0</v>
      </c>
      <c r="S12" s="15"/>
      <c r="W12" s="14"/>
    </row>
    <row r="13" spans="1:23" x14ac:dyDescent="0.25">
      <c r="A13" s="16" t="s">
        <v>143</v>
      </c>
      <c r="B13" s="17" t="b">
        <f t="shared" si="0"/>
        <v>0</v>
      </c>
      <c r="C13" s="17" t="b">
        <f t="shared" si="1"/>
        <v>1</v>
      </c>
      <c r="D13" s="17">
        <f t="shared" si="10"/>
        <v>1</v>
      </c>
      <c r="E13" s="17" t="str">
        <f t="shared" si="15"/>
        <v>Section 1 - Introduction</v>
      </c>
      <c r="F13" s="18" t="str">
        <f t="shared" si="11"/>
        <v>1. Introduction</v>
      </c>
      <c r="G13" s="13" t="str">
        <f t="shared" si="2"/>
        <v>9min</v>
      </c>
      <c r="H13">
        <f t="shared" si="3"/>
        <v>0</v>
      </c>
      <c r="I13">
        <f t="shared" si="4"/>
        <v>9</v>
      </c>
      <c r="J13" s="13">
        <f t="shared" si="5"/>
        <v>9</v>
      </c>
      <c r="K13">
        <f t="shared" si="12"/>
        <v>0</v>
      </c>
      <c r="L13">
        <f t="shared" si="13"/>
        <v>9</v>
      </c>
      <c r="M13" s="13">
        <f t="shared" si="6"/>
        <v>0</v>
      </c>
      <c r="N13">
        <f t="shared" si="6"/>
        <v>0</v>
      </c>
      <c r="O13" s="14">
        <f t="shared" si="7"/>
        <v>0</v>
      </c>
      <c r="P13" s="13">
        <f t="shared" si="14"/>
        <v>0</v>
      </c>
      <c r="Q13">
        <f t="shared" si="8"/>
        <v>9</v>
      </c>
      <c r="R13" s="14">
        <f t="shared" si="9"/>
        <v>9</v>
      </c>
      <c r="S13" s="15" t="str">
        <f>"V:\Tutorials\Programming\Java Spring\Spring Framework And Dependency Injection For Beginners\"&amp;E13&amp;"\"&amp;F13&amp;".mkv"</f>
        <v>V:\Tutorials\Programming\Java Spring\Spring Framework And Dependency Injection For Beginners\Section 1 - Introduction\1. Introduction.mkv</v>
      </c>
      <c r="W13" s="14"/>
    </row>
    <row r="14" spans="1:23" hidden="1" x14ac:dyDescent="0.25">
      <c r="A14" s="16" t="s">
        <v>178</v>
      </c>
      <c r="B14" s="17" t="b">
        <f t="shared" si="0"/>
        <v>0</v>
      </c>
      <c r="C14" s="17" t="b">
        <f t="shared" si="1"/>
        <v>0</v>
      </c>
      <c r="D14" s="17">
        <f t="shared" si="10"/>
        <v>1</v>
      </c>
      <c r="E14" s="17" t="str">
        <f t="shared" si="15"/>
        <v>Section 1 - Introduction</v>
      </c>
      <c r="F14" s="18" t="str">
        <f t="shared" si="11"/>
        <v/>
      </c>
      <c r="G14" s="13" t="str">
        <f t="shared" si="2"/>
        <v/>
      </c>
      <c r="H14">
        <f t="shared" si="3"/>
        <v>0</v>
      </c>
      <c r="I14">
        <f t="shared" si="4"/>
        <v>0</v>
      </c>
      <c r="J14" s="13">
        <f t="shared" si="5"/>
        <v>9</v>
      </c>
      <c r="K14">
        <f t="shared" si="12"/>
        <v>0</v>
      </c>
      <c r="L14">
        <f t="shared" si="13"/>
        <v>9</v>
      </c>
      <c r="M14" s="13">
        <f t="shared" si="6"/>
        <v>0</v>
      </c>
      <c r="N14">
        <f t="shared" si="6"/>
        <v>9</v>
      </c>
      <c r="O14" s="14">
        <f t="shared" si="7"/>
        <v>9</v>
      </c>
      <c r="P14" s="13">
        <f t="shared" si="14"/>
        <v>0</v>
      </c>
      <c r="Q14">
        <f t="shared" si="8"/>
        <v>9</v>
      </c>
      <c r="R14" s="14">
        <f t="shared" si="9"/>
        <v>9</v>
      </c>
      <c r="S14" s="15"/>
      <c r="W14" s="14"/>
    </row>
    <row r="15" spans="1:23" hidden="1" x14ac:dyDescent="0.25">
      <c r="A15" s="16"/>
      <c r="B15" s="17" t="b">
        <f t="shared" si="0"/>
        <v>0</v>
      </c>
      <c r="C15" s="17" t="b">
        <f t="shared" si="1"/>
        <v>0</v>
      </c>
      <c r="D15" s="17">
        <f t="shared" si="10"/>
        <v>1</v>
      </c>
      <c r="E15" s="17" t="str">
        <f t="shared" si="15"/>
        <v>Section 1 - Introduction</v>
      </c>
      <c r="F15" s="18" t="str">
        <f t="shared" si="11"/>
        <v/>
      </c>
      <c r="G15" s="13" t="str">
        <f t="shared" si="2"/>
        <v/>
      </c>
      <c r="H15">
        <f t="shared" si="3"/>
        <v>0</v>
      </c>
      <c r="I15">
        <f t="shared" si="4"/>
        <v>0</v>
      </c>
      <c r="J15" s="13">
        <f t="shared" si="5"/>
        <v>9</v>
      </c>
      <c r="K15">
        <f t="shared" si="12"/>
        <v>0</v>
      </c>
      <c r="L15">
        <f t="shared" si="13"/>
        <v>9</v>
      </c>
      <c r="M15" s="13">
        <f t="shared" si="6"/>
        <v>0</v>
      </c>
      <c r="N15">
        <f t="shared" si="6"/>
        <v>9</v>
      </c>
      <c r="O15" s="14">
        <f t="shared" si="7"/>
        <v>9</v>
      </c>
      <c r="P15" s="13">
        <f t="shared" si="14"/>
        <v>0</v>
      </c>
      <c r="Q15">
        <f t="shared" si="8"/>
        <v>9</v>
      </c>
      <c r="R15" s="14">
        <f t="shared" si="9"/>
        <v>9</v>
      </c>
      <c r="S15" s="15"/>
      <c r="W15" s="14"/>
    </row>
    <row r="16" spans="1:23" hidden="1" x14ac:dyDescent="0.25">
      <c r="A16" s="16" t="s">
        <v>221</v>
      </c>
      <c r="B16" s="17" t="b">
        <f t="shared" si="0"/>
        <v>1</v>
      </c>
      <c r="C16" s="17" t="b">
        <f t="shared" si="1"/>
        <v>0</v>
      </c>
      <c r="D16" s="17">
        <f t="shared" si="10"/>
        <v>0</v>
      </c>
      <c r="E16" s="17" t="str">
        <f t="shared" si="15"/>
        <v>Section 2 - Hello, World</v>
      </c>
      <c r="F16" s="18" t="str">
        <f t="shared" si="11"/>
        <v/>
      </c>
      <c r="G16" s="13" t="str">
        <f t="shared" si="2"/>
        <v/>
      </c>
      <c r="H16">
        <f t="shared" si="3"/>
        <v>0</v>
      </c>
      <c r="I16">
        <f t="shared" si="4"/>
        <v>0</v>
      </c>
      <c r="J16" s="13">
        <f t="shared" si="5"/>
        <v>9</v>
      </c>
      <c r="K16">
        <f t="shared" si="12"/>
        <v>0</v>
      </c>
      <c r="L16">
        <f t="shared" si="13"/>
        <v>9</v>
      </c>
      <c r="M16" s="13">
        <f t="shared" si="6"/>
        <v>0</v>
      </c>
      <c r="N16">
        <f t="shared" si="6"/>
        <v>9</v>
      </c>
      <c r="O16" s="14">
        <f t="shared" si="7"/>
        <v>9</v>
      </c>
      <c r="P16" s="13">
        <f t="shared" si="14"/>
        <v>0</v>
      </c>
      <c r="Q16">
        <f t="shared" si="8"/>
        <v>9</v>
      </c>
      <c r="R16" s="14">
        <f t="shared" si="9"/>
        <v>9</v>
      </c>
      <c r="S16" s="15"/>
      <c r="W16" s="14"/>
    </row>
    <row r="17" spans="1:23" x14ac:dyDescent="0.25">
      <c r="A17" s="16" t="s">
        <v>207</v>
      </c>
      <c r="B17" s="17" t="b">
        <f>AND(NOT(ISERROR(FIND("Section ",A17))),NOT(ISERROR(FIND("Section ",A17))))</f>
        <v>0</v>
      </c>
      <c r="C17" s="17" t="b">
        <f t="shared" si="1"/>
        <v>1</v>
      </c>
      <c r="D17" s="17">
        <f t="shared" si="10"/>
        <v>1</v>
      </c>
      <c r="E17" s="17" t="str">
        <f t="shared" si="15"/>
        <v>Section 2 - Hello, World</v>
      </c>
      <c r="F17" s="18" t="str">
        <f t="shared" si="11"/>
        <v>2. Creating A New Project</v>
      </c>
      <c r="G17" s="13" t="str">
        <f t="shared" si="2"/>
        <v>8min</v>
      </c>
      <c r="H17">
        <f t="shared" si="3"/>
        <v>0</v>
      </c>
      <c r="I17">
        <f t="shared" si="4"/>
        <v>8</v>
      </c>
      <c r="J17" s="13">
        <f t="shared" si="5"/>
        <v>17</v>
      </c>
      <c r="K17">
        <f t="shared" si="12"/>
        <v>0</v>
      </c>
      <c r="L17">
        <f t="shared" si="13"/>
        <v>17</v>
      </c>
      <c r="M17" s="13">
        <f t="shared" si="6"/>
        <v>0</v>
      </c>
      <c r="N17">
        <f t="shared" si="6"/>
        <v>9</v>
      </c>
      <c r="O17" s="14">
        <f t="shared" si="7"/>
        <v>9</v>
      </c>
      <c r="P17" s="13">
        <f t="shared" si="14"/>
        <v>0</v>
      </c>
      <c r="Q17">
        <f t="shared" si="8"/>
        <v>17</v>
      </c>
      <c r="R17" s="14">
        <f t="shared" si="9"/>
        <v>17</v>
      </c>
      <c r="S17" s="15" t="str">
        <f>"V:\Tutorials\Programming\Java Spring\Spring Framework And Dependency Injection For Beginners\"&amp;E17&amp;"\"&amp;F17&amp;".mkv"</f>
        <v>V:\Tutorials\Programming\Java Spring\Spring Framework And Dependency Injection For Beginners\Section 2 - Hello, World\2. Creating A New Project.mkv</v>
      </c>
      <c r="W17" s="14"/>
    </row>
    <row r="18" spans="1:23" hidden="1" x14ac:dyDescent="0.25">
      <c r="A18" s="16" t="s">
        <v>134</v>
      </c>
      <c r="B18" s="17" t="b">
        <f t="shared" ref="B18:B81" si="16">AND(NOT(ISERROR(FIND("Section ",A18))),NOT(ISERROR(FIND("Section ",A18))))</f>
        <v>0</v>
      </c>
      <c r="C18" s="17" t="b">
        <f t="shared" si="1"/>
        <v>0</v>
      </c>
      <c r="D18" s="17">
        <f t="shared" si="10"/>
        <v>1</v>
      </c>
      <c r="E18" s="17" t="str">
        <f t="shared" si="15"/>
        <v>Section 2 - Hello, World</v>
      </c>
      <c r="F18" s="18" t="str">
        <f t="shared" si="11"/>
        <v/>
      </c>
      <c r="G18" s="13" t="str">
        <f t="shared" si="2"/>
        <v/>
      </c>
      <c r="H18">
        <f t="shared" si="3"/>
        <v>0</v>
      </c>
      <c r="I18">
        <f t="shared" si="4"/>
        <v>0</v>
      </c>
      <c r="J18" s="13">
        <f t="shared" si="5"/>
        <v>17</v>
      </c>
      <c r="K18">
        <f t="shared" si="12"/>
        <v>0</v>
      </c>
      <c r="L18">
        <f t="shared" si="13"/>
        <v>17</v>
      </c>
      <c r="M18" s="13">
        <f t="shared" si="6"/>
        <v>0</v>
      </c>
      <c r="N18">
        <f t="shared" si="6"/>
        <v>17</v>
      </c>
      <c r="O18" s="14">
        <f t="shared" si="7"/>
        <v>17</v>
      </c>
      <c r="P18" s="13">
        <f t="shared" si="14"/>
        <v>0</v>
      </c>
      <c r="Q18">
        <f t="shared" si="8"/>
        <v>17</v>
      </c>
      <c r="R18" s="14">
        <f t="shared" si="9"/>
        <v>17</v>
      </c>
      <c r="S18" s="15"/>
      <c r="W18" s="14"/>
    </row>
    <row r="19" spans="1:23" hidden="1" x14ac:dyDescent="0.25">
      <c r="A19" s="16" t="s">
        <v>121</v>
      </c>
      <c r="B19" s="17" t="b">
        <f t="shared" si="16"/>
        <v>0</v>
      </c>
      <c r="C19" s="17" t="b">
        <f t="shared" si="1"/>
        <v>0</v>
      </c>
      <c r="D19" s="17">
        <f t="shared" si="10"/>
        <v>1</v>
      </c>
      <c r="E19" s="17" t="str">
        <f t="shared" si="15"/>
        <v>Section 2 - Hello, World</v>
      </c>
      <c r="F19" s="18" t="str">
        <f t="shared" si="11"/>
        <v/>
      </c>
      <c r="G19" s="13" t="str">
        <f t="shared" si="2"/>
        <v/>
      </c>
      <c r="H19">
        <f t="shared" si="3"/>
        <v>0</v>
      </c>
      <c r="I19">
        <f t="shared" si="4"/>
        <v>0</v>
      </c>
      <c r="J19" s="13">
        <f t="shared" si="5"/>
        <v>17</v>
      </c>
      <c r="K19">
        <f t="shared" si="12"/>
        <v>0</v>
      </c>
      <c r="L19">
        <f t="shared" si="13"/>
        <v>17</v>
      </c>
      <c r="M19" s="13">
        <f t="shared" si="6"/>
        <v>0</v>
      </c>
      <c r="N19">
        <f t="shared" si="6"/>
        <v>17</v>
      </c>
      <c r="O19" s="14">
        <f t="shared" si="7"/>
        <v>17</v>
      </c>
      <c r="P19" s="13">
        <f t="shared" si="14"/>
        <v>0</v>
      </c>
      <c r="Q19">
        <f t="shared" si="8"/>
        <v>17</v>
      </c>
      <c r="R19" s="14">
        <f t="shared" si="9"/>
        <v>17</v>
      </c>
      <c r="S19" s="15"/>
      <c r="W19" s="14"/>
    </row>
    <row r="20" spans="1:23" x14ac:dyDescent="0.25">
      <c r="A20" s="16" t="s">
        <v>208</v>
      </c>
      <c r="B20" s="17" t="b">
        <f t="shared" si="16"/>
        <v>0</v>
      </c>
      <c r="C20" s="17" t="b">
        <f t="shared" si="1"/>
        <v>1</v>
      </c>
      <c r="D20" s="17">
        <f t="shared" si="10"/>
        <v>2</v>
      </c>
      <c r="E20" s="17" t="str">
        <f t="shared" si="15"/>
        <v>Section 2 - Hello, World</v>
      </c>
      <c r="F20" s="18" t="str">
        <f t="shared" si="11"/>
        <v>3. Hello, World</v>
      </c>
      <c r="G20" s="13" t="str">
        <f>IF(C20,A21,"")</f>
        <v>7min</v>
      </c>
      <c r="H20">
        <f>VALUE(IF(NOT(ISERROR(FIND("hr",G20))),LEFT(G20,FIND("hr",G20)-1),0))</f>
        <v>0</v>
      </c>
      <c r="I20">
        <f>VALUE(IF(ISERROR(FIND("min",G20)),0,SUBSTITUTE(MID(G20,IF(ISERROR(FIND("hr ",G20)),1,FIND("hr ",G20)+3),LEN(G20)),"min","")))</f>
        <v>7</v>
      </c>
      <c r="J20" s="13">
        <f>J19+(H20*60+I20)</f>
        <v>24</v>
      </c>
      <c r="K20">
        <f t="shared" si="12"/>
        <v>0</v>
      </c>
      <c r="L20">
        <f t="shared" si="13"/>
        <v>24</v>
      </c>
      <c r="M20" s="13">
        <f>P19</f>
        <v>0</v>
      </c>
      <c r="N20">
        <f>Q19</f>
        <v>17</v>
      </c>
      <c r="O20" s="14">
        <f t="shared" si="7"/>
        <v>17</v>
      </c>
      <c r="P20" s="13">
        <f t="shared" si="14"/>
        <v>0</v>
      </c>
      <c r="Q20">
        <f>R20-(P20*60)</f>
        <v>24</v>
      </c>
      <c r="R20" s="14">
        <f>((H20*60)+I20)+O20</f>
        <v>24</v>
      </c>
      <c r="S20" s="15" t="str">
        <f>"V:\Tutorials\Programming\Java Spring\Spring Framework And Dependency Injection For Beginners\"&amp;E20&amp;"\"&amp;F20&amp;".mkv"</f>
        <v>V:\Tutorials\Programming\Java Spring\Spring Framework And Dependency Injection For Beginners\Section 2 - Hello, World\3. Hello, World.mkv</v>
      </c>
      <c r="W20" s="14"/>
    </row>
    <row r="21" spans="1:23" hidden="1" x14ac:dyDescent="0.25">
      <c r="A21" s="16" t="s">
        <v>209</v>
      </c>
      <c r="B21" s="17" t="b">
        <f t="shared" si="16"/>
        <v>0</v>
      </c>
      <c r="C21" s="17" t="b">
        <f t="shared" si="1"/>
        <v>0</v>
      </c>
      <c r="D21" s="17">
        <f t="shared" si="10"/>
        <v>2</v>
      </c>
      <c r="E21" s="17" t="str">
        <f t="shared" si="15"/>
        <v>Section 2 - Hello, World</v>
      </c>
      <c r="F21" s="18" t="str">
        <f t="shared" si="11"/>
        <v/>
      </c>
      <c r="G21" s="13" t="str">
        <f t="shared" ref="G21:G84" si="17">IF(C21,A22,"")</f>
        <v/>
      </c>
      <c r="H21">
        <f t="shared" ref="H21:H84" si="18">VALUE(IF(NOT(ISERROR(FIND("hr",G21))),LEFT(G21,FIND("hr",G21)-1),0))</f>
        <v>0</v>
      </c>
      <c r="I21">
        <f t="shared" ref="I21:I84" si="19">VALUE(IF(ISERROR(FIND("min",G21)),0,SUBSTITUTE(MID(G21,IF(ISERROR(FIND("hr ",G21)),1,FIND("hr ",G21)+3),LEN(G21)),"min","")))</f>
        <v>0</v>
      </c>
      <c r="J21" s="13">
        <f t="shared" ref="J21:J84" si="20">J20+(H21*60+I21)</f>
        <v>24</v>
      </c>
      <c r="K21">
        <f t="shared" si="12"/>
        <v>0</v>
      </c>
      <c r="L21">
        <f t="shared" si="13"/>
        <v>24</v>
      </c>
      <c r="M21" s="13">
        <f t="shared" ref="M21:N84" si="21">P20</f>
        <v>0</v>
      </c>
      <c r="N21">
        <f t="shared" si="21"/>
        <v>24</v>
      </c>
      <c r="O21" s="14">
        <f t="shared" si="7"/>
        <v>24</v>
      </c>
      <c r="P21" s="13">
        <f t="shared" si="14"/>
        <v>0</v>
      </c>
      <c r="Q21">
        <f t="shared" ref="Q21:Q84" si="22">R21-(P21*60)</f>
        <v>24</v>
      </c>
      <c r="R21" s="14">
        <f t="shared" ref="R21:R84" si="23">((H21*60)+I21)+O21</f>
        <v>24</v>
      </c>
      <c r="S21" s="15"/>
      <c r="W21" s="14"/>
    </row>
    <row r="22" spans="1:23" hidden="1" x14ac:dyDescent="0.25">
      <c r="A22" s="16"/>
      <c r="B22" s="17" t="b">
        <f t="shared" si="16"/>
        <v>0</v>
      </c>
      <c r="C22" s="17" t="b">
        <f t="shared" si="1"/>
        <v>0</v>
      </c>
      <c r="D22" s="17">
        <f t="shared" si="10"/>
        <v>2</v>
      </c>
      <c r="E22" s="17" t="str">
        <f t="shared" si="15"/>
        <v>Section 2 - Hello, World</v>
      </c>
      <c r="F22" s="18" t="str">
        <f t="shared" si="11"/>
        <v/>
      </c>
      <c r="G22" s="13" t="str">
        <f t="shared" si="17"/>
        <v/>
      </c>
      <c r="H22">
        <f t="shared" si="18"/>
        <v>0</v>
      </c>
      <c r="I22">
        <f t="shared" si="19"/>
        <v>0</v>
      </c>
      <c r="J22" s="13">
        <f t="shared" si="20"/>
        <v>24</v>
      </c>
      <c r="K22">
        <f t="shared" si="12"/>
        <v>0</v>
      </c>
      <c r="L22">
        <f t="shared" si="13"/>
        <v>24</v>
      </c>
      <c r="M22" s="13">
        <f t="shared" si="21"/>
        <v>0</v>
      </c>
      <c r="N22">
        <f t="shared" si="21"/>
        <v>24</v>
      </c>
      <c r="O22" s="14">
        <f t="shared" si="7"/>
        <v>24</v>
      </c>
      <c r="P22" s="13">
        <f t="shared" si="14"/>
        <v>0</v>
      </c>
      <c r="Q22">
        <f t="shared" si="22"/>
        <v>24</v>
      </c>
      <c r="R22" s="14">
        <f t="shared" si="23"/>
        <v>24</v>
      </c>
      <c r="S22" s="15"/>
      <c r="W22" s="14"/>
    </row>
    <row r="23" spans="1:23" hidden="1" x14ac:dyDescent="0.25">
      <c r="A23" s="16" t="s">
        <v>222</v>
      </c>
      <c r="B23" s="17" t="b">
        <f t="shared" si="16"/>
        <v>1</v>
      </c>
      <c r="C23" s="17" t="b">
        <f t="shared" si="1"/>
        <v>0</v>
      </c>
      <c r="D23" s="17">
        <f t="shared" si="10"/>
        <v>0</v>
      </c>
      <c r="E23" s="17" t="str">
        <f t="shared" si="15"/>
        <v>Section 3 - Dependency Injection (IoC) Step-By-Step - Part I</v>
      </c>
      <c r="F23" s="18" t="str">
        <f t="shared" si="11"/>
        <v/>
      </c>
      <c r="G23" s="13" t="str">
        <f t="shared" si="17"/>
        <v/>
      </c>
      <c r="H23">
        <f t="shared" si="18"/>
        <v>0</v>
      </c>
      <c r="I23">
        <f t="shared" si="19"/>
        <v>0</v>
      </c>
      <c r="J23" s="13">
        <f t="shared" si="20"/>
        <v>24</v>
      </c>
      <c r="K23">
        <f t="shared" si="12"/>
        <v>0</v>
      </c>
      <c r="L23">
        <f t="shared" si="13"/>
        <v>24</v>
      </c>
      <c r="M23" s="13">
        <f t="shared" si="21"/>
        <v>0</v>
      </c>
      <c r="N23">
        <f t="shared" si="21"/>
        <v>24</v>
      </c>
      <c r="O23" s="14">
        <f t="shared" si="7"/>
        <v>24</v>
      </c>
      <c r="P23" s="13">
        <f t="shared" si="14"/>
        <v>0</v>
      </c>
      <c r="Q23">
        <f t="shared" si="22"/>
        <v>24</v>
      </c>
      <c r="R23" s="14">
        <f t="shared" si="23"/>
        <v>24</v>
      </c>
      <c r="S23" s="15"/>
      <c r="W23" s="14"/>
    </row>
    <row r="24" spans="1:23" x14ac:dyDescent="0.25">
      <c r="A24" s="16" t="s">
        <v>210</v>
      </c>
      <c r="B24" s="17" t="b">
        <f t="shared" si="16"/>
        <v>0</v>
      </c>
      <c r="C24" s="17" t="b">
        <f t="shared" si="1"/>
        <v>1</v>
      </c>
      <c r="D24" s="17">
        <f t="shared" si="10"/>
        <v>1</v>
      </c>
      <c r="E24" s="17" t="str">
        <f t="shared" si="15"/>
        <v>Section 3 - Dependency Injection (IoC) Step-By-Step - Part I</v>
      </c>
      <c r="F24" s="18" t="str">
        <f t="shared" si="11"/>
        <v>4. Setting The Stage</v>
      </c>
      <c r="G24" s="13" t="str">
        <f t="shared" si="17"/>
        <v>7min</v>
      </c>
      <c r="H24">
        <f t="shared" si="18"/>
        <v>0</v>
      </c>
      <c r="I24">
        <f t="shared" si="19"/>
        <v>7</v>
      </c>
      <c r="J24" s="13">
        <f t="shared" si="20"/>
        <v>31</v>
      </c>
      <c r="K24">
        <f t="shared" si="12"/>
        <v>0</v>
      </c>
      <c r="L24">
        <f t="shared" si="13"/>
        <v>31</v>
      </c>
      <c r="M24" s="13">
        <f t="shared" si="21"/>
        <v>0</v>
      </c>
      <c r="N24">
        <v>23</v>
      </c>
      <c r="O24" s="14">
        <f t="shared" si="7"/>
        <v>23</v>
      </c>
      <c r="P24" s="13">
        <f t="shared" si="14"/>
        <v>0</v>
      </c>
      <c r="Q24">
        <f t="shared" si="22"/>
        <v>30</v>
      </c>
      <c r="R24" s="14">
        <f t="shared" si="23"/>
        <v>30</v>
      </c>
      <c r="S24" s="15" t="str">
        <f>"V:\Tutorials\Programming\Java Spring\Spring Framework And Dependency Injection For Beginners\"&amp;E24&amp;"\"&amp;F24&amp;".mkv"</f>
        <v>V:\Tutorials\Programming\Java Spring\Spring Framework And Dependency Injection For Beginners\Section 3 - Dependency Injection (IoC) Step-By-Step - Part I\4. Setting The Stage.mkv</v>
      </c>
      <c r="W24" s="14"/>
    </row>
    <row r="25" spans="1:23" hidden="1" x14ac:dyDescent="0.25">
      <c r="A25" s="16" t="s">
        <v>209</v>
      </c>
      <c r="B25" s="17" t="b">
        <f t="shared" si="16"/>
        <v>0</v>
      </c>
      <c r="C25" s="17" t="b">
        <f t="shared" si="1"/>
        <v>0</v>
      </c>
      <c r="D25" s="17">
        <f t="shared" si="10"/>
        <v>1</v>
      </c>
      <c r="E25" s="17" t="str">
        <f t="shared" si="15"/>
        <v>Section 3 - Dependency Injection (IoC) Step-By-Step - Part I</v>
      </c>
      <c r="F25" s="18" t="str">
        <f t="shared" si="11"/>
        <v/>
      </c>
      <c r="G25" s="13" t="str">
        <f t="shared" si="17"/>
        <v/>
      </c>
      <c r="H25">
        <f t="shared" si="18"/>
        <v>0</v>
      </c>
      <c r="I25">
        <f t="shared" si="19"/>
        <v>0</v>
      </c>
      <c r="J25" s="13">
        <f t="shared" si="20"/>
        <v>31</v>
      </c>
      <c r="K25">
        <f t="shared" si="12"/>
        <v>0</v>
      </c>
      <c r="L25">
        <f t="shared" si="13"/>
        <v>31</v>
      </c>
      <c r="M25" s="13">
        <f t="shared" si="21"/>
        <v>0</v>
      </c>
      <c r="N25">
        <f t="shared" si="21"/>
        <v>30</v>
      </c>
      <c r="O25" s="14">
        <f t="shared" si="7"/>
        <v>30</v>
      </c>
      <c r="P25" s="13">
        <f t="shared" si="14"/>
        <v>0</v>
      </c>
      <c r="Q25">
        <f t="shared" si="22"/>
        <v>30</v>
      </c>
      <c r="R25" s="14">
        <f t="shared" si="23"/>
        <v>30</v>
      </c>
      <c r="S25" s="15"/>
      <c r="W25" s="14"/>
    </row>
    <row r="26" spans="1:23" hidden="1" x14ac:dyDescent="0.25">
      <c r="A26" s="16" t="s">
        <v>121</v>
      </c>
      <c r="B26" s="17" t="b">
        <f t="shared" si="16"/>
        <v>0</v>
      </c>
      <c r="C26" s="17" t="b">
        <f t="shared" si="1"/>
        <v>0</v>
      </c>
      <c r="D26" s="17">
        <f t="shared" si="10"/>
        <v>1</v>
      </c>
      <c r="E26" s="17" t="str">
        <f t="shared" si="15"/>
        <v>Section 3 - Dependency Injection (IoC) Step-By-Step - Part I</v>
      </c>
      <c r="F26" s="18" t="str">
        <f t="shared" si="11"/>
        <v/>
      </c>
      <c r="G26" s="13" t="str">
        <f t="shared" si="17"/>
        <v/>
      </c>
      <c r="H26">
        <f t="shared" si="18"/>
        <v>0</v>
      </c>
      <c r="I26">
        <f t="shared" si="19"/>
        <v>0</v>
      </c>
      <c r="J26" s="13">
        <f t="shared" si="20"/>
        <v>31</v>
      </c>
      <c r="K26">
        <f t="shared" si="12"/>
        <v>0</v>
      </c>
      <c r="L26">
        <f t="shared" si="13"/>
        <v>31</v>
      </c>
      <c r="M26" s="13">
        <f t="shared" si="21"/>
        <v>0</v>
      </c>
      <c r="N26">
        <f t="shared" si="21"/>
        <v>30</v>
      </c>
      <c r="O26" s="14">
        <f t="shared" si="7"/>
        <v>30</v>
      </c>
      <c r="P26" s="13">
        <f t="shared" si="14"/>
        <v>0</v>
      </c>
      <c r="Q26">
        <f t="shared" si="22"/>
        <v>30</v>
      </c>
      <c r="R26" s="14">
        <f t="shared" si="23"/>
        <v>30</v>
      </c>
      <c r="S26" s="15"/>
      <c r="W26" s="14"/>
    </row>
    <row r="27" spans="1:23" x14ac:dyDescent="0.25">
      <c r="A27" s="16" t="s">
        <v>211</v>
      </c>
      <c r="B27" s="17" t="b">
        <f t="shared" si="16"/>
        <v>0</v>
      </c>
      <c r="C27" s="17" t="b">
        <f t="shared" si="1"/>
        <v>1</v>
      </c>
      <c r="D27" s="17">
        <f t="shared" si="10"/>
        <v>2</v>
      </c>
      <c r="E27" s="17" t="str">
        <f t="shared" si="15"/>
        <v>Section 3 - Dependency Injection (IoC) Step-By-Step - Part I</v>
      </c>
      <c r="F27" s="18" t="str">
        <f t="shared" si="11"/>
        <v>5. Dependency Injection - The Basic Concepts</v>
      </c>
      <c r="G27" s="13" t="str">
        <f t="shared" si="17"/>
        <v>4min</v>
      </c>
      <c r="H27">
        <f t="shared" si="18"/>
        <v>0</v>
      </c>
      <c r="I27">
        <f t="shared" si="19"/>
        <v>4</v>
      </c>
      <c r="J27" s="13">
        <f t="shared" si="20"/>
        <v>35</v>
      </c>
      <c r="K27">
        <f t="shared" si="12"/>
        <v>0</v>
      </c>
      <c r="L27">
        <f t="shared" si="13"/>
        <v>35</v>
      </c>
      <c r="M27" s="13">
        <f t="shared" si="21"/>
        <v>0</v>
      </c>
      <c r="N27">
        <v>30</v>
      </c>
      <c r="O27" s="14">
        <f t="shared" si="7"/>
        <v>30</v>
      </c>
      <c r="P27" s="13">
        <f t="shared" si="14"/>
        <v>0</v>
      </c>
      <c r="Q27">
        <f t="shared" si="22"/>
        <v>34</v>
      </c>
      <c r="R27" s="14">
        <f t="shared" si="23"/>
        <v>34</v>
      </c>
      <c r="S27" s="15" t="str">
        <f>"V:\Tutorials\Programming\Java Spring\Spring Framework And Dependency Injection For Beginners\"&amp;E27&amp;"\"&amp;F27&amp;".mkv"</f>
        <v>V:\Tutorials\Programming\Java Spring\Spring Framework And Dependency Injection For Beginners\Section 3 - Dependency Injection (IoC) Step-By-Step - Part I\5. Dependency Injection - The Basic Concepts.mkv</v>
      </c>
      <c r="W27" s="14"/>
    </row>
    <row r="28" spans="1:23" hidden="1" x14ac:dyDescent="0.25">
      <c r="A28" s="16" t="s">
        <v>125</v>
      </c>
      <c r="B28" s="17" t="b">
        <f t="shared" si="16"/>
        <v>0</v>
      </c>
      <c r="C28" s="17" t="b">
        <f t="shared" si="1"/>
        <v>0</v>
      </c>
      <c r="D28" s="17">
        <f t="shared" si="10"/>
        <v>2</v>
      </c>
      <c r="E28" s="17" t="str">
        <f t="shared" si="15"/>
        <v>Section 3 - Dependency Injection (IoC) Step-By-Step - Part I</v>
      </c>
      <c r="F28" s="18" t="str">
        <f t="shared" si="11"/>
        <v/>
      </c>
      <c r="G28" s="13" t="str">
        <f t="shared" si="17"/>
        <v/>
      </c>
      <c r="H28">
        <f t="shared" si="18"/>
        <v>0</v>
      </c>
      <c r="I28">
        <f t="shared" si="19"/>
        <v>0</v>
      </c>
      <c r="J28" s="13">
        <f t="shared" si="20"/>
        <v>35</v>
      </c>
      <c r="K28">
        <f t="shared" si="12"/>
        <v>0</v>
      </c>
      <c r="L28">
        <f t="shared" si="13"/>
        <v>35</v>
      </c>
      <c r="M28" s="13">
        <f t="shared" si="21"/>
        <v>0</v>
      </c>
      <c r="N28">
        <f t="shared" si="21"/>
        <v>34</v>
      </c>
      <c r="O28" s="14">
        <f t="shared" si="7"/>
        <v>34</v>
      </c>
      <c r="P28" s="13">
        <f t="shared" si="14"/>
        <v>0</v>
      </c>
      <c r="Q28">
        <f t="shared" si="22"/>
        <v>34</v>
      </c>
      <c r="R28" s="14">
        <f t="shared" si="23"/>
        <v>34</v>
      </c>
      <c r="S28" s="15"/>
      <c r="W28" s="14"/>
    </row>
    <row r="29" spans="1:23" hidden="1" x14ac:dyDescent="0.25">
      <c r="A29" s="16" t="s">
        <v>121</v>
      </c>
      <c r="B29" s="17" t="b">
        <f t="shared" si="16"/>
        <v>0</v>
      </c>
      <c r="C29" s="17" t="b">
        <f t="shared" si="1"/>
        <v>0</v>
      </c>
      <c r="D29" s="17">
        <f t="shared" si="10"/>
        <v>2</v>
      </c>
      <c r="E29" s="17" t="str">
        <f t="shared" si="15"/>
        <v>Section 3 - Dependency Injection (IoC) Step-By-Step - Part I</v>
      </c>
      <c r="F29" s="18" t="str">
        <f t="shared" si="11"/>
        <v/>
      </c>
      <c r="G29" s="13" t="str">
        <f t="shared" si="17"/>
        <v/>
      </c>
      <c r="H29">
        <f t="shared" si="18"/>
        <v>0</v>
      </c>
      <c r="I29">
        <f t="shared" si="19"/>
        <v>0</v>
      </c>
      <c r="J29" s="13">
        <f t="shared" si="20"/>
        <v>35</v>
      </c>
      <c r="K29">
        <f t="shared" si="12"/>
        <v>0</v>
      </c>
      <c r="L29">
        <f t="shared" si="13"/>
        <v>35</v>
      </c>
      <c r="M29" s="13">
        <f t="shared" si="21"/>
        <v>0</v>
      </c>
      <c r="N29">
        <f t="shared" si="21"/>
        <v>34</v>
      </c>
      <c r="O29" s="14">
        <f t="shared" si="7"/>
        <v>34</v>
      </c>
      <c r="P29" s="13">
        <f t="shared" si="14"/>
        <v>0</v>
      </c>
      <c r="Q29">
        <f t="shared" si="22"/>
        <v>34</v>
      </c>
      <c r="R29" s="14">
        <f t="shared" si="23"/>
        <v>34</v>
      </c>
      <c r="S29" s="15"/>
      <c r="W29" s="14"/>
    </row>
    <row r="30" spans="1:23" x14ac:dyDescent="0.25">
      <c r="A30" s="16" t="s">
        <v>212</v>
      </c>
      <c r="B30" s="17" t="b">
        <f t="shared" si="16"/>
        <v>0</v>
      </c>
      <c r="C30" s="17" t="b">
        <f t="shared" si="1"/>
        <v>1</v>
      </c>
      <c r="D30" s="17">
        <f t="shared" si="10"/>
        <v>3</v>
      </c>
      <c r="E30" s="17" t="str">
        <f t="shared" si="15"/>
        <v>Section 3 - Dependency Injection (IoC) Step-By-Step - Part I</v>
      </c>
      <c r="F30" s="18" t="str">
        <f t="shared" si="11"/>
        <v>6. Injecting Beans</v>
      </c>
      <c r="G30" s="13" t="str">
        <f t="shared" si="17"/>
        <v>7min</v>
      </c>
      <c r="H30">
        <f t="shared" si="18"/>
        <v>0</v>
      </c>
      <c r="I30">
        <f t="shared" si="19"/>
        <v>7</v>
      </c>
      <c r="J30" s="13">
        <f t="shared" si="20"/>
        <v>42</v>
      </c>
      <c r="K30">
        <f t="shared" si="12"/>
        <v>0</v>
      </c>
      <c r="L30">
        <f t="shared" si="13"/>
        <v>42</v>
      </c>
      <c r="M30" s="13">
        <f t="shared" si="21"/>
        <v>0</v>
      </c>
      <c r="N30">
        <f t="shared" si="21"/>
        <v>34</v>
      </c>
      <c r="O30" s="14">
        <f t="shared" si="7"/>
        <v>34</v>
      </c>
      <c r="P30" s="13">
        <f t="shared" si="14"/>
        <v>0</v>
      </c>
      <c r="Q30">
        <f t="shared" si="22"/>
        <v>41</v>
      </c>
      <c r="R30" s="14">
        <f t="shared" si="23"/>
        <v>41</v>
      </c>
      <c r="S30" s="15" t="str">
        <f>"V:\Tutorials\Programming\Java Spring\Spring Framework And Dependency Injection For Beginners\"&amp;E30&amp;"\"&amp;F30&amp;".mkv"</f>
        <v>V:\Tutorials\Programming\Java Spring\Spring Framework And Dependency Injection For Beginners\Section 3 - Dependency Injection (IoC) Step-By-Step - Part I\6. Injecting Beans.mkv</v>
      </c>
      <c r="W30" s="14"/>
    </row>
    <row r="31" spans="1:23" hidden="1" x14ac:dyDescent="0.25">
      <c r="A31" s="16" t="s">
        <v>209</v>
      </c>
      <c r="B31" s="17" t="b">
        <f t="shared" si="16"/>
        <v>0</v>
      </c>
      <c r="C31" s="17" t="b">
        <f t="shared" si="1"/>
        <v>0</v>
      </c>
      <c r="D31" s="17">
        <f t="shared" si="10"/>
        <v>3</v>
      </c>
      <c r="E31" s="17" t="str">
        <f t="shared" si="15"/>
        <v>Section 3 - Dependency Injection (IoC) Step-By-Step - Part I</v>
      </c>
      <c r="F31" s="18" t="str">
        <f t="shared" si="11"/>
        <v/>
      </c>
      <c r="G31" s="13" t="str">
        <f t="shared" si="17"/>
        <v/>
      </c>
      <c r="H31">
        <f t="shared" si="18"/>
        <v>0</v>
      </c>
      <c r="I31">
        <f t="shared" si="19"/>
        <v>0</v>
      </c>
      <c r="J31" s="13">
        <f t="shared" si="20"/>
        <v>42</v>
      </c>
      <c r="K31">
        <f t="shared" si="12"/>
        <v>0</v>
      </c>
      <c r="L31">
        <f t="shared" si="13"/>
        <v>42</v>
      </c>
      <c r="M31" s="13">
        <f t="shared" si="21"/>
        <v>0</v>
      </c>
      <c r="N31">
        <f t="shared" si="21"/>
        <v>41</v>
      </c>
      <c r="O31" s="14">
        <f t="shared" si="7"/>
        <v>41</v>
      </c>
      <c r="P31" s="13">
        <f t="shared" si="14"/>
        <v>0</v>
      </c>
      <c r="Q31">
        <f t="shared" si="22"/>
        <v>41</v>
      </c>
      <c r="R31" s="14">
        <f t="shared" si="23"/>
        <v>41</v>
      </c>
      <c r="S31" s="15"/>
      <c r="W31" s="14"/>
    </row>
    <row r="32" spans="1:23" hidden="1" x14ac:dyDescent="0.25">
      <c r="A32" s="16" t="s">
        <v>121</v>
      </c>
      <c r="B32" s="17" t="b">
        <f t="shared" si="16"/>
        <v>0</v>
      </c>
      <c r="C32" s="17" t="b">
        <f t="shared" si="1"/>
        <v>0</v>
      </c>
      <c r="D32" s="17">
        <f t="shared" si="10"/>
        <v>3</v>
      </c>
      <c r="E32" s="17" t="str">
        <f t="shared" si="15"/>
        <v>Section 3 - Dependency Injection (IoC) Step-By-Step - Part I</v>
      </c>
      <c r="F32" s="18" t="str">
        <f t="shared" si="11"/>
        <v/>
      </c>
      <c r="G32" s="13" t="str">
        <f t="shared" si="17"/>
        <v/>
      </c>
      <c r="H32">
        <f t="shared" si="18"/>
        <v>0</v>
      </c>
      <c r="I32">
        <f t="shared" si="19"/>
        <v>0</v>
      </c>
      <c r="J32" s="13">
        <f t="shared" si="20"/>
        <v>42</v>
      </c>
      <c r="K32">
        <f t="shared" si="12"/>
        <v>0</v>
      </c>
      <c r="L32">
        <f t="shared" si="13"/>
        <v>42</v>
      </c>
      <c r="M32" s="13">
        <f t="shared" si="21"/>
        <v>0</v>
      </c>
      <c r="N32">
        <f t="shared" si="21"/>
        <v>41</v>
      </c>
      <c r="O32" s="14">
        <f t="shared" si="7"/>
        <v>41</v>
      </c>
      <c r="P32" s="13">
        <f t="shared" si="14"/>
        <v>0</v>
      </c>
      <c r="Q32">
        <f t="shared" si="22"/>
        <v>41</v>
      </c>
      <c r="R32" s="14">
        <f t="shared" si="23"/>
        <v>41</v>
      </c>
      <c r="S32" s="15"/>
      <c r="W32" s="14"/>
    </row>
    <row r="33" spans="1:23" x14ac:dyDescent="0.25">
      <c r="A33" s="16" t="s">
        <v>213</v>
      </c>
      <c r="B33" s="17" t="b">
        <f t="shared" si="16"/>
        <v>0</v>
      </c>
      <c r="C33" s="17" t="b">
        <f t="shared" si="1"/>
        <v>1</v>
      </c>
      <c r="D33" s="17">
        <f t="shared" si="10"/>
        <v>4</v>
      </c>
      <c r="E33" s="17" t="str">
        <f t="shared" si="15"/>
        <v>Section 3 - Dependency Injection (IoC) Step-By-Step - Part I</v>
      </c>
      <c r="F33" s="18" t="str">
        <f t="shared" si="11"/>
        <v>7. The Multiple Bean Problem</v>
      </c>
      <c r="G33" s="13" t="str">
        <f t="shared" si="17"/>
        <v>4min</v>
      </c>
      <c r="H33">
        <f t="shared" si="18"/>
        <v>0</v>
      </c>
      <c r="I33">
        <f t="shared" si="19"/>
        <v>4</v>
      </c>
      <c r="J33" s="13">
        <f t="shared" si="20"/>
        <v>46</v>
      </c>
      <c r="K33">
        <f t="shared" si="12"/>
        <v>0</v>
      </c>
      <c r="L33">
        <f t="shared" si="13"/>
        <v>46</v>
      </c>
      <c r="M33" s="13">
        <f t="shared" si="21"/>
        <v>0</v>
      </c>
      <c r="N33">
        <f t="shared" si="21"/>
        <v>41</v>
      </c>
      <c r="O33" s="14">
        <f t="shared" si="7"/>
        <v>41</v>
      </c>
      <c r="P33" s="13">
        <f t="shared" si="14"/>
        <v>0</v>
      </c>
      <c r="Q33">
        <f t="shared" si="22"/>
        <v>45</v>
      </c>
      <c r="R33" s="14">
        <f t="shared" si="23"/>
        <v>45</v>
      </c>
      <c r="S33" s="15" t="str">
        <f>"V:\Tutorials\Programming\Java Spring\Spring Framework And Dependency Injection For Beginners\"&amp;E33&amp;"\"&amp;F33&amp;".mkv"</f>
        <v>V:\Tutorials\Programming\Java Spring\Spring Framework And Dependency Injection For Beginners\Section 3 - Dependency Injection (IoC) Step-By-Step - Part I\7. The Multiple Bean Problem.mkv</v>
      </c>
      <c r="W33" s="14"/>
    </row>
    <row r="34" spans="1:23" hidden="1" x14ac:dyDescent="0.25">
      <c r="A34" s="16" t="s">
        <v>125</v>
      </c>
      <c r="B34" s="17" t="b">
        <f t="shared" si="16"/>
        <v>0</v>
      </c>
      <c r="C34" s="17" t="b">
        <f t="shared" si="1"/>
        <v>0</v>
      </c>
      <c r="D34" s="17">
        <f t="shared" si="10"/>
        <v>4</v>
      </c>
      <c r="E34" s="17" t="str">
        <f t="shared" si="15"/>
        <v>Section 3 - Dependency Injection (IoC) Step-By-Step - Part I</v>
      </c>
      <c r="F34" s="18" t="str">
        <f t="shared" si="11"/>
        <v/>
      </c>
      <c r="G34" s="13" t="str">
        <f t="shared" si="17"/>
        <v/>
      </c>
      <c r="H34">
        <f t="shared" si="18"/>
        <v>0</v>
      </c>
      <c r="I34">
        <f t="shared" si="19"/>
        <v>0</v>
      </c>
      <c r="J34" s="13">
        <f t="shared" si="20"/>
        <v>46</v>
      </c>
      <c r="K34">
        <f t="shared" si="12"/>
        <v>0</v>
      </c>
      <c r="L34">
        <f t="shared" si="13"/>
        <v>46</v>
      </c>
      <c r="M34" s="13">
        <f t="shared" si="21"/>
        <v>0</v>
      </c>
      <c r="N34">
        <f t="shared" si="21"/>
        <v>45</v>
      </c>
      <c r="O34" s="14">
        <f t="shared" si="7"/>
        <v>45</v>
      </c>
      <c r="P34" s="13">
        <f t="shared" si="14"/>
        <v>0</v>
      </c>
      <c r="Q34">
        <f t="shared" si="22"/>
        <v>45</v>
      </c>
      <c r="R34" s="14">
        <f t="shared" si="23"/>
        <v>45</v>
      </c>
      <c r="S34" s="15"/>
      <c r="W34" s="14"/>
    </row>
    <row r="35" spans="1:23" hidden="1" x14ac:dyDescent="0.25">
      <c r="A35" s="16" t="s">
        <v>121</v>
      </c>
      <c r="B35" s="17" t="b">
        <f t="shared" si="16"/>
        <v>0</v>
      </c>
      <c r="C35" s="17" t="b">
        <f t="shared" si="1"/>
        <v>0</v>
      </c>
      <c r="D35" s="17">
        <f t="shared" si="10"/>
        <v>4</v>
      </c>
      <c r="E35" s="17" t="str">
        <f t="shared" si="15"/>
        <v>Section 3 - Dependency Injection (IoC) Step-By-Step - Part I</v>
      </c>
      <c r="F35" s="18" t="str">
        <f t="shared" si="11"/>
        <v/>
      </c>
      <c r="G35" s="13" t="str">
        <f t="shared" si="17"/>
        <v/>
      </c>
      <c r="H35">
        <f t="shared" si="18"/>
        <v>0</v>
      </c>
      <c r="I35">
        <f t="shared" si="19"/>
        <v>0</v>
      </c>
      <c r="J35" s="13">
        <f t="shared" si="20"/>
        <v>46</v>
      </c>
      <c r="K35">
        <f t="shared" si="12"/>
        <v>0</v>
      </c>
      <c r="L35">
        <f t="shared" si="13"/>
        <v>46</v>
      </c>
      <c r="M35" s="13">
        <f t="shared" si="21"/>
        <v>0</v>
      </c>
      <c r="N35">
        <f t="shared" si="21"/>
        <v>45</v>
      </c>
      <c r="O35" s="14">
        <f t="shared" si="7"/>
        <v>45</v>
      </c>
      <c r="P35" s="13">
        <f t="shared" si="14"/>
        <v>0</v>
      </c>
      <c r="Q35">
        <f t="shared" si="22"/>
        <v>45</v>
      </c>
      <c r="R35" s="14">
        <f t="shared" si="23"/>
        <v>45</v>
      </c>
      <c r="S35" s="15"/>
      <c r="W35" s="14"/>
    </row>
    <row r="36" spans="1:23" x14ac:dyDescent="0.25">
      <c r="A36" s="16" t="s">
        <v>214</v>
      </c>
      <c r="B36" s="17" t="b">
        <f t="shared" si="16"/>
        <v>0</v>
      </c>
      <c r="C36" s="17" t="b">
        <f t="shared" si="1"/>
        <v>1</v>
      </c>
      <c r="D36" s="17">
        <f t="shared" si="10"/>
        <v>5</v>
      </c>
      <c r="E36" s="17" t="str">
        <f t="shared" si="15"/>
        <v>Section 3 - Dependency Injection (IoC) Step-By-Step - Part I</v>
      </c>
      <c r="F36" s="18" t="str">
        <f t="shared" si="11"/>
        <v>8. Java Configuration Classes</v>
      </c>
      <c r="G36" s="13" t="str">
        <f t="shared" si="17"/>
        <v>8min</v>
      </c>
      <c r="H36">
        <f t="shared" si="18"/>
        <v>0</v>
      </c>
      <c r="I36">
        <f t="shared" si="19"/>
        <v>8</v>
      </c>
      <c r="J36" s="13">
        <f t="shared" si="20"/>
        <v>54</v>
      </c>
      <c r="K36">
        <f t="shared" si="12"/>
        <v>0</v>
      </c>
      <c r="L36">
        <f t="shared" si="13"/>
        <v>54</v>
      </c>
      <c r="M36" s="13">
        <f t="shared" si="21"/>
        <v>0</v>
      </c>
      <c r="N36">
        <f t="shared" si="21"/>
        <v>45</v>
      </c>
      <c r="O36" s="14">
        <f t="shared" si="7"/>
        <v>45</v>
      </c>
      <c r="P36" s="13">
        <f t="shared" si="14"/>
        <v>0</v>
      </c>
      <c r="Q36">
        <f t="shared" si="22"/>
        <v>53</v>
      </c>
      <c r="R36" s="14">
        <f t="shared" si="23"/>
        <v>53</v>
      </c>
      <c r="S36" s="15" t="str">
        <f>"V:\Tutorials\Programming\Java Spring\Spring Framework And Dependency Injection For Beginners\"&amp;E36&amp;"\"&amp;F36&amp;".mkv"</f>
        <v>V:\Tutorials\Programming\Java Spring\Spring Framework And Dependency Injection For Beginners\Section 3 - Dependency Injection (IoC) Step-By-Step - Part I\8. Java Configuration Classes.mkv</v>
      </c>
      <c r="W36" s="14"/>
    </row>
    <row r="37" spans="1:23" hidden="1" x14ac:dyDescent="0.25">
      <c r="A37" s="16" t="s">
        <v>134</v>
      </c>
      <c r="B37" s="17" t="b">
        <f t="shared" si="16"/>
        <v>0</v>
      </c>
      <c r="C37" s="17" t="b">
        <f t="shared" si="1"/>
        <v>0</v>
      </c>
      <c r="D37" s="17">
        <f t="shared" si="10"/>
        <v>5</v>
      </c>
      <c r="E37" s="17" t="str">
        <f t="shared" si="15"/>
        <v>Section 3 - Dependency Injection (IoC) Step-By-Step - Part I</v>
      </c>
      <c r="F37" s="18" t="str">
        <f t="shared" si="11"/>
        <v/>
      </c>
      <c r="G37" s="13" t="str">
        <f t="shared" si="17"/>
        <v/>
      </c>
      <c r="H37">
        <f t="shared" si="18"/>
        <v>0</v>
      </c>
      <c r="I37">
        <f t="shared" si="19"/>
        <v>0</v>
      </c>
      <c r="J37" s="13">
        <f t="shared" si="20"/>
        <v>54</v>
      </c>
      <c r="K37">
        <f t="shared" si="12"/>
        <v>0</v>
      </c>
      <c r="L37">
        <f t="shared" si="13"/>
        <v>54</v>
      </c>
      <c r="M37" s="13">
        <f t="shared" si="21"/>
        <v>0</v>
      </c>
      <c r="N37">
        <f t="shared" si="21"/>
        <v>53</v>
      </c>
      <c r="O37" s="14">
        <f t="shared" si="7"/>
        <v>53</v>
      </c>
      <c r="P37" s="13">
        <f t="shared" si="14"/>
        <v>0</v>
      </c>
      <c r="Q37">
        <f t="shared" si="22"/>
        <v>53</v>
      </c>
      <c r="R37" s="14">
        <f t="shared" si="23"/>
        <v>53</v>
      </c>
      <c r="S37" s="15"/>
      <c r="W37" s="14"/>
    </row>
    <row r="38" spans="1:23" hidden="1" x14ac:dyDescent="0.25">
      <c r="A38" s="16"/>
      <c r="B38" s="17" t="b">
        <f t="shared" si="16"/>
        <v>0</v>
      </c>
      <c r="C38" s="17" t="b">
        <f t="shared" si="1"/>
        <v>0</v>
      </c>
      <c r="D38" s="17">
        <f t="shared" si="10"/>
        <v>5</v>
      </c>
      <c r="E38" s="17" t="str">
        <f t="shared" si="15"/>
        <v>Section 3 - Dependency Injection (IoC) Step-By-Step - Part I</v>
      </c>
      <c r="F38" s="18" t="str">
        <f t="shared" si="11"/>
        <v/>
      </c>
      <c r="G38" s="13" t="str">
        <f t="shared" si="17"/>
        <v/>
      </c>
      <c r="H38">
        <f t="shared" si="18"/>
        <v>0</v>
      </c>
      <c r="I38">
        <f t="shared" si="19"/>
        <v>0</v>
      </c>
      <c r="J38" s="13">
        <f t="shared" si="20"/>
        <v>54</v>
      </c>
      <c r="K38">
        <f t="shared" si="12"/>
        <v>0</v>
      </c>
      <c r="L38">
        <f t="shared" si="13"/>
        <v>54</v>
      </c>
      <c r="M38" s="13">
        <f t="shared" si="21"/>
        <v>0</v>
      </c>
      <c r="N38">
        <f t="shared" si="21"/>
        <v>53</v>
      </c>
      <c r="O38" s="14">
        <f t="shared" si="7"/>
        <v>53</v>
      </c>
      <c r="P38" s="13">
        <f t="shared" si="14"/>
        <v>0</v>
      </c>
      <c r="Q38">
        <f t="shared" si="22"/>
        <v>53</v>
      </c>
      <c r="R38" s="14">
        <f t="shared" si="23"/>
        <v>53</v>
      </c>
      <c r="S38" s="15"/>
      <c r="W38" s="14"/>
    </row>
    <row r="39" spans="1:23" hidden="1" x14ac:dyDescent="0.25">
      <c r="A39" s="16" t="s">
        <v>223</v>
      </c>
      <c r="B39" s="17" t="b">
        <f t="shared" si="16"/>
        <v>1</v>
      </c>
      <c r="C39" s="17" t="b">
        <f t="shared" si="1"/>
        <v>0</v>
      </c>
      <c r="D39" s="17">
        <f t="shared" si="10"/>
        <v>0</v>
      </c>
      <c r="E39" s="17" t="str">
        <f t="shared" si="15"/>
        <v>Section 4 - Dependency Injection (IoC) Step-By-Step - Part II</v>
      </c>
      <c r="F39" s="18" t="str">
        <f t="shared" si="11"/>
        <v/>
      </c>
      <c r="G39" s="13" t="str">
        <f t="shared" si="17"/>
        <v/>
      </c>
      <c r="H39">
        <f t="shared" si="18"/>
        <v>0</v>
      </c>
      <c r="I39">
        <f t="shared" si="19"/>
        <v>0</v>
      </c>
      <c r="J39" s="13">
        <f t="shared" si="20"/>
        <v>54</v>
      </c>
      <c r="K39">
        <f t="shared" si="12"/>
        <v>0</v>
      </c>
      <c r="L39">
        <f t="shared" si="13"/>
        <v>54</v>
      </c>
      <c r="M39" s="13">
        <f t="shared" si="21"/>
        <v>0</v>
      </c>
      <c r="N39">
        <f t="shared" si="21"/>
        <v>53</v>
      </c>
      <c r="O39" s="14">
        <f t="shared" si="7"/>
        <v>53</v>
      </c>
      <c r="P39" s="13">
        <f t="shared" si="14"/>
        <v>0</v>
      </c>
      <c r="Q39">
        <f t="shared" si="22"/>
        <v>53</v>
      </c>
      <c r="R39" s="14">
        <f t="shared" si="23"/>
        <v>53</v>
      </c>
      <c r="S39" s="15"/>
      <c r="W39" s="14"/>
    </row>
    <row r="40" spans="1:23" x14ac:dyDescent="0.25">
      <c r="A40" s="16" t="s">
        <v>215</v>
      </c>
      <c r="B40" s="17" t="b">
        <f t="shared" si="16"/>
        <v>0</v>
      </c>
      <c r="C40" s="17" t="b">
        <f t="shared" si="1"/>
        <v>1</v>
      </c>
      <c r="D40" s="17">
        <f t="shared" si="10"/>
        <v>1</v>
      </c>
      <c r="E40" s="17" t="str">
        <f t="shared" si="15"/>
        <v>Section 4 - Dependency Injection (IoC) Step-By-Step - Part II</v>
      </c>
      <c r="F40" s="18" t="str">
        <f t="shared" si="11"/>
        <v>9. Externalizing Configuration Using application.properties</v>
      </c>
      <c r="G40" s="13" t="str">
        <f t="shared" si="17"/>
        <v>5min</v>
      </c>
      <c r="H40">
        <f t="shared" si="18"/>
        <v>0</v>
      </c>
      <c r="I40">
        <f t="shared" si="19"/>
        <v>5</v>
      </c>
      <c r="J40" s="13">
        <f t="shared" si="20"/>
        <v>59</v>
      </c>
      <c r="K40">
        <f t="shared" si="12"/>
        <v>0</v>
      </c>
      <c r="L40">
        <f t="shared" si="13"/>
        <v>59</v>
      </c>
      <c r="M40" s="13">
        <f t="shared" si="21"/>
        <v>0</v>
      </c>
      <c r="N40">
        <f t="shared" si="21"/>
        <v>53</v>
      </c>
      <c r="O40" s="14">
        <f t="shared" si="7"/>
        <v>53</v>
      </c>
      <c r="P40" s="13">
        <f t="shared" si="14"/>
        <v>0</v>
      </c>
      <c r="Q40">
        <f t="shared" si="22"/>
        <v>58</v>
      </c>
      <c r="R40" s="14">
        <f t="shared" si="23"/>
        <v>58</v>
      </c>
      <c r="S40" s="15" t="str">
        <f>"V:\Tutorials\Programming\Java Spring\Spring Framework And Dependency Injection For Beginners\"&amp;E40&amp;"\"&amp;F40&amp;".mkv"</f>
        <v>V:\Tutorials\Programming\Java Spring\Spring Framework And Dependency Injection For Beginners\Section 4 - Dependency Injection (IoC) Step-By-Step - Part II\9. Externalizing Configuration Using application.properties.mkv</v>
      </c>
      <c r="W40" s="14"/>
    </row>
    <row r="41" spans="1:23" hidden="1" x14ac:dyDescent="0.25">
      <c r="A41" s="16" t="s">
        <v>120</v>
      </c>
      <c r="B41" s="17" t="b">
        <f t="shared" si="16"/>
        <v>0</v>
      </c>
      <c r="C41" s="17" t="b">
        <f t="shared" si="1"/>
        <v>0</v>
      </c>
      <c r="D41" s="17">
        <f t="shared" si="10"/>
        <v>1</v>
      </c>
      <c r="E41" s="17" t="str">
        <f t="shared" si="15"/>
        <v>Section 4 - Dependency Injection (IoC) Step-By-Step - Part II</v>
      </c>
      <c r="F41" s="18" t="str">
        <f t="shared" si="11"/>
        <v/>
      </c>
      <c r="G41" s="13" t="str">
        <f t="shared" si="17"/>
        <v/>
      </c>
      <c r="H41">
        <f t="shared" si="18"/>
        <v>0</v>
      </c>
      <c r="I41">
        <f t="shared" si="19"/>
        <v>0</v>
      </c>
      <c r="J41" s="13">
        <f t="shared" si="20"/>
        <v>59</v>
      </c>
      <c r="K41">
        <f t="shared" si="12"/>
        <v>0</v>
      </c>
      <c r="L41">
        <f t="shared" si="13"/>
        <v>59</v>
      </c>
      <c r="M41" s="13">
        <f t="shared" si="21"/>
        <v>0</v>
      </c>
      <c r="N41">
        <f t="shared" si="21"/>
        <v>58</v>
      </c>
      <c r="O41" s="14">
        <f t="shared" si="7"/>
        <v>58</v>
      </c>
      <c r="P41" s="13">
        <f t="shared" si="14"/>
        <v>0</v>
      </c>
      <c r="Q41">
        <f t="shared" si="22"/>
        <v>58</v>
      </c>
      <c r="R41" s="14">
        <f t="shared" si="23"/>
        <v>58</v>
      </c>
      <c r="S41" s="15"/>
      <c r="W41" s="14"/>
    </row>
    <row r="42" spans="1:23" hidden="1" x14ac:dyDescent="0.25">
      <c r="A42" s="16" t="s">
        <v>121</v>
      </c>
      <c r="B42" s="17" t="b">
        <f t="shared" si="16"/>
        <v>0</v>
      </c>
      <c r="C42" s="17" t="b">
        <f t="shared" si="1"/>
        <v>0</v>
      </c>
      <c r="D42" s="17">
        <f t="shared" si="10"/>
        <v>1</v>
      </c>
      <c r="E42" s="17" t="str">
        <f t="shared" si="15"/>
        <v>Section 4 - Dependency Injection (IoC) Step-By-Step - Part II</v>
      </c>
      <c r="F42" s="18" t="str">
        <f t="shared" si="11"/>
        <v/>
      </c>
      <c r="G42" s="13" t="str">
        <f t="shared" si="17"/>
        <v/>
      </c>
      <c r="H42">
        <f t="shared" si="18"/>
        <v>0</v>
      </c>
      <c r="I42">
        <f t="shared" si="19"/>
        <v>0</v>
      </c>
      <c r="J42" s="13">
        <f t="shared" si="20"/>
        <v>59</v>
      </c>
      <c r="K42">
        <f t="shared" si="12"/>
        <v>0</v>
      </c>
      <c r="L42">
        <f t="shared" si="13"/>
        <v>59</v>
      </c>
      <c r="M42" s="13">
        <f t="shared" si="21"/>
        <v>0</v>
      </c>
      <c r="N42">
        <f t="shared" si="21"/>
        <v>58</v>
      </c>
      <c r="O42" s="14">
        <f t="shared" si="7"/>
        <v>58</v>
      </c>
      <c r="P42" s="13">
        <f t="shared" si="14"/>
        <v>0</v>
      </c>
      <c r="Q42">
        <f t="shared" si="22"/>
        <v>58</v>
      </c>
      <c r="R42" s="14">
        <f t="shared" si="23"/>
        <v>58</v>
      </c>
      <c r="S42" s="15"/>
      <c r="W42" s="14"/>
    </row>
    <row r="43" spans="1:23" x14ac:dyDescent="0.25">
      <c r="A43" s="16" t="s">
        <v>216</v>
      </c>
      <c r="B43" s="17" t="b">
        <f t="shared" si="16"/>
        <v>0</v>
      </c>
      <c r="C43" s="17" t="b">
        <f t="shared" si="1"/>
        <v>1</v>
      </c>
      <c r="D43" s="17">
        <f t="shared" si="10"/>
        <v>2</v>
      </c>
      <c r="E43" s="17" t="str">
        <f t="shared" si="15"/>
        <v>Section 4 - Dependency Injection (IoC) Step-By-Step - Part II</v>
      </c>
      <c r="F43" s="18" t="str">
        <f t="shared" si="11"/>
        <v>10. Spring Profiles</v>
      </c>
      <c r="G43" s="13" t="str">
        <f t="shared" si="17"/>
        <v>5min</v>
      </c>
      <c r="H43">
        <f t="shared" si="18"/>
        <v>0</v>
      </c>
      <c r="I43">
        <f t="shared" si="19"/>
        <v>5</v>
      </c>
      <c r="J43" s="13">
        <f t="shared" si="20"/>
        <v>64</v>
      </c>
      <c r="K43">
        <f t="shared" si="12"/>
        <v>1</v>
      </c>
      <c r="L43">
        <f t="shared" si="13"/>
        <v>4</v>
      </c>
      <c r="M43" s="13">
        <f t="shared" si="21"/>
        <v>0</v>
      </c>
      <c r="N43">
        <f t="shared" si="21"/>
        <v>58</v>
      </c>
      <c r="O43" s="14">
        <f t="shared" si="7"/>
        <v>58</v>
      </c>
      <c r="P43" s="13">
        <f t="shared" si="14"/>
        <v>1</v>
      </c>
      <c r="Q43">
        <f t="shared" si="22"/>
        <v>3</v>
      </c>
      <c r="R43" s="14">
        <f t="shared" si="23"/>
        <v>63</v>
      </c>
      <c r="S43" s="15" t="str">
        <f>"V:\Tutorials\Programming\Java Spring\Spring Framework And Dependency Injection For Beginners\"&amp;E43&amp;"\"&amp;F43&amp;".mkv"</f>
        <v>V:\Tutorials\Programming\Java Spring\Spring Framework And Dependency Injection For Beginners\Section 4 - Dependency Injection (IoC) Step-By-Step - Part II\10. Spring Profiles.mkv</v>
      </c>
      <c r="W43" s="14"/>
    </row>
    <row r="44" spans="1:23" hidden="1" x14ac:dyDescent="0.25">
      <c r="A44" s="16" t="s">
        <v>120</v>
      </c>
      <c r="B44" s="17" t="b">
        <f t="shared" si="16"/>
        <v>0</v>
      </c>
      <c r="C44" s="17" t="b">
        <f t="shared" si="1"/>
        <v>0</v>
      </c>
      <c r="D44" s="17">
        <f t="shared" si="10"/>
        <v>2</v>
      </c>
      <c r="E44" s="17" t="str">
        <f t="shared" si="15"/>
        <v>Section 4 - Dependency Injection (IoC) Step-By-Step - Part II</v>
      </c>
      <c r="F44" s="18" t="str">
        <f t="shared" si="11"/>
        <v/>
      </c>
      <c r="G44" s="13" t="str">
        <f t="shared" si="17"/>
        <v/>
      </c>
      <c r="H44">
        <f t="shared" si="18"/>
        <v>0</v>
      </c>
      <c r="I44">
        <f t="shared" si="19"/>
        <v>0</v>
      </c>
      <c r="J44" s="13">
        <f t="shared" si="20"/>
        <v>64</v>
      </c>
      <c r="K44">
        <f t="shared" si="12"/>
        <v>1</v>
      </c>
      <c r="L44">
        <f t="shared" si="13"/>
        <v>4</v>
      </c>
      <c r="M44" s="13">
        <f t="shared" si="21"/>
        <v>1</v>
      </c>
      <c r="N44">
        <f t="shared" si="21"/>
        <v>3</v>
      </c>
      <c r="O44" s="14">
        <f t="shared" si="7"/>
        <v>63</v>
      </c>
      <c r="P44" s="13">
        <f t="shared" si="14"/>
        <v>1</v>
      </c>
      <c r="Q44">
        <f t="shared" si="22"/>
        <v>3</v>
      </c>
      <c r="R44" s="14">
        <f t="shared" si="23"/>
        <v>63</v>
      </c>
      <c r="S44" s="15"/>
      <c r="W44" s="14"/>
    </row>
    <row r="45" spans="1:23" hidden="1" x14ac:dyDescent="0.25">
      <c r="A45" s="16" t="s">
        <v>121</v>
      </c>
      <c r="B45" s="17" t="b">
        <f t="shared" si="16"/>
        <v>0</v>
      </c>
      <c r="C45" s="17" t="b">
        <f t="shared" si="1"/>
        <v>0</v>
      </c>
      <c r="D45" s="17">
        <f t="shared" si="10"/>
        <v>2</v>
      </c>
      <c r="E45" s="17" t="str">
        <f t="shared" si="15"/>
        <v>Section 4 - Dependency Injection (IoC) Step-By-Step - Part II</v>
      </c>
      <c r="F45" s="18" t="str">
        <f t="shared" si="11"/>
        <v/>
      </c>
      <c r="G45" s="13" t="str">
        <f t="shared" si="17"/>
        <v/>
      </c>
      <c r="H45">
        <f t="shared" si="18"/>
        <v>0</v>
      </c>
      <c r="I45">
        <f t="shared" si="19"/>
        <v>0</v>
      </c>
      <c r="J45" s="13">
        <f t="shared" si="20"/>
        <v>64</v>
      </c>
      <c r="K45">
        <f t="shared" si="12"/>
        <v>1</v>
      </c>
      <c r="L45">
        <f t="shared" si="13"/>
        <v>4</v>
      </c>
      <c r="M45" s="13">
        <f t="shared" si="21"/>
        <v>1</v>
      </c>
      <c r="N45">
        <f t="shared" si="21"/>
        <v>3</v>
      </c>
      <c r="O45" s="14">
        <f t="shared" si="7"/>
        <v>63</v>
      </c>
      <c r="P45" s="13">
        <f t="shared" si="14"/>
        <v>1</v>
      </c>
      <c r="Q45">
        <f t="shared" si="22"/>
        <v>3</v>
      </c>
      <c r="R45" s="14">
        <f t="shared" si="23"/>
        <v>63</v>
      </c>
      <c r="S45" s="15"/>
      <c r="W45" s="14"/>
    </row>
    <row r="46" spans="1:23" x14ac:dyDescent="0.25">
      <c r="A46" s="16" t="s">
        <v>217</v>
      </c>
      <c r="B46" s="17" t="b">
        <f t="shared" si="16"/>
        <v>0</v>
      </c>
      <c r="C46" s="17" t="b">
        <f t="shared" si="1"/>
        <v>1</v>
      </c>
      <c r="D46" s="17">
        <f t="shared" si="10"/>
        <v>3</v>
      </c>
      <c r="E46" s="17" t="str">
        <f t="shared" si="15"/>
        <v>Section 4 - Dependency Injection (IoC) Step-By-Step - Part II</v>
      </c>
      <c r="F46" s="18" t="str">
        <f t="shared" si="11"/>
        <v>11. Conditional Annotations</v>
      </c>
      <c r="G46" s="13" t="str">
        <f t="shared" si="17"/>
        <v>5min</v>
      </c>
      <c r="H46">
        <f t="shared" si="18"/>
        <v>0</v>
      </c>
      <c r="I46">
        <f t="shared" si="19"/>
        <v>5</v>
      </c>
      <c r="J46" s="13">
        <f t="shared" si="20"/>
        <v>69</v>
      </c>
      <c r="K46">
        <f t="shared" si="12"/>
        <v>1</v>
      </c>
      <c r="L46">
        <f t="shared" si="13"/>
        <v>9</v>
      </c>
      <c r="M46" s="13">
        <f t="shared" si="21"/>
        <v>1</v>
      </c>
      <c r="N46">
        <f t="shared" si="21"/>
        <v>3</v>
      </c>
      <c r="O46" s="14">
        <f t="shared" si="7"/>
        <v>63</v>
      </c>
      <c r="P46" s="13">
        <f t="shared" si="14"/>
        <v>1</v>
      </c>
      <c r="Q46">
        <f t="shared" si="22"/>
        <v>8</v>
      </c>
      <c r="R46" s="14">
        <f t="shared" si="23"/>
        <v>68</v>
      </c>
      <c r="S46" s="15" t="str">
        <f>"V:\Tutorials\Programming\Java Spring\Spring Framework And Dependency Injection For Beginners\"&amp;E46&amp;"\"&amp;F46&amp;".mkv"</f>
        <v>V:\Tutorials\Programming\Java Spring\Spring Framework And Dependency Injection For Beginners\Section 4 - Dependency Injection (IoC) Step-By-Step - Part II\11. Conditional Annotations.mkv</v>
      </c>
      <c r="W46" s="14"/>
    </row>
    <row r="47" spans="1:23" hidden="1" x14ac:dyDescent="0.25">
      <c r="A47" s="16" t="s">
        <v>120</v>
      </c>
      <c r="B47" s="17" t="b">
        <f t="shared" si="16"/>
        <v>0</v>
      </c>
      <c r="C47" s="17" t="b">
        <f t="shared" si="1"/>
        <v>0</v>
      </c>
      <c r="D47" s="17">
        <f t="shared" si="10"/>
        <v>3</v>
      </c>
      <c r="E47" s="17" t="str">
        <f t="shared" si="15"/>
        <v>Section 4 - Dependency Injection (IoC) Step-By-Step - Part II</v>
      </c>
      <c r="F47" s="18" t="str">
        <f t="shared" si="11"/>
        <v/>
      </c>
      <c r="G47" s="13" t="str">
        <f t="shared" si="17"/>
        <v/>
      </c>
      <c r="H47">
        <f t="shared" si="18"/>
        <v>0</v>
      </c>
      <c r="I47">
        <f t="shared" si="19"/>
        <v>0</v>
      </c>
      <c r="J47" s="13">
        <f t="shared" si="20"/>
        <v>69</v>
      </c>
      <c r="K47">
        <f t="shared" si="12"/>
        <v>1</v>
      </c>
      <c r="L47">
        <f t="shared" si="13"/>
        <v>9</v>
      </c>
      <c r="M47" s="13">
        <f t="shared" si="21"/>
        <v>1</v>
      </c>
      <c r="N47">
        <f t="shared" si="21"/>
        <v>8</v>
      </c>
      <c r="O47" s="14">
        <f t="shared" si="7"/>
        <v>68</v>
      </c>
      <c r="P47" s="13">
        <f t="shared" si="14"/>
        <v>1</v>
      </c>
      <c r="Q47">
        <f t="shared" si="22"/>
        <v>8</v>
      </c>
      <c r="R47" s="14">
        <f t="shared" si="23"/>
        <v>68</v>
      </c>
      <c r="S47" s="15"/>
      <c r="W47" s="14"/>
    </row>
    <row r="48" spans="1:23" hidden="1" x14ac:dyDescent="0.25">
      <c r="A48" s="16" t="s">
        <v>121</v>
      </c>
      <c r="B48" s="17" t="b">
        <f t="shared" si="16"/>
        <v>0</v>
      </c>
      <c r="C48" s="17" t="b">
        <f t="shared" si="1"/>
        <v>0</v>
      </c>
      <c r="D48" s="17">
        <f t="shared" si="10"/>
        <v>3</v>
      </c>
      <c r="E48" s="17" t="str">
        <f t="shared" si="15"/>
        <v>Section 4 - Dependency Injection (IoC) Step-By-Step - Part II</v>
      </c>
      <c r="F48" s="18" t="str">
        <f t="shared" si="11"/>
        <v/>
      </c>
      <c r="G48" s="13" t="str">
        <f t="shared" si="17"/>
        <v/>
      </c>
      <c r="H48">
        <f t="shared" si="18"/>
        <v>0</v>
      </c>
      <c r="I48">
        <f t="shared" si="19"/>
        <v>0</v>
      </c>
      <c r="J48" s="13">
        <f t="shared" si="20"/>
        <v>69</v>
      </c>
      <c r="K48">
        <f t="shared" si="12"/>
        <v>1</v>
      </c>
      <c r="L48">
        <f t="shared" si="13"/>
        <v>9</v>
      </c>
      <c r="M48" s="13">
        <f t="shared" si="21"/>
        <v>1</v>
      </c>
      <c r="N48">
        <f t="shared" si="21"/>
        <v>8</v>
      </c>
      <c r="O48" s="14">
        <f t="shared" si="7"/>
        <v>68</v>
      </c>
      <c r="P48" s="13">
        <f t="shared" si="14"/>
        <v>1</v>
      </c>
      <c r="Q48">
        <f t="shared" si="22"/>
        <v>8</v>
      </c>
      <c r="R48" s="14">
        <f t="shared" si="23"/>
        <v>68</v>
      </c>
      <c r="S48" s="15"/>
      <c r="W48" s="14"/>
    </row>
    <row r="49" spans="1:23" x14ac:dyDescent="0.25">
      <c r="A49" s="16" t="s">
        <v>218</v>
      </c>
      <c r="B49" s="17" t="b">
        <f t="shared" si="16"/>
        <v>0</v>
      </c>
      <c r="C49" s="17" t="b">
        <f t="shared" si="1"/>
        <v>1</v>
      </c>
      <c r="D49" s="17">
        <f t="shared" si="10"/>
        <v>4</v>
      </c>
      <c r="E49" s="17" t="str">
        <f t="shared" si="15"/>
        <v>Section 4 - Dependency Injection (IoC) Step-By-Step - Part II</v>
      </c>
      <c r="F49" s="18" t="str">
        <f t="shared" si="11"/>
        <v>12. Sending SMTP Mails</v>
      </c>
      <c r="G49" s="13" t="str">
        <f t="shared" si="17"/>
        <v>8min</v>
      </c>
      <c r="H49">
        <f t="shared" si="18"/>
        <v>0</v>
      </c>
      <c r="I49">
        <f t="shared" si="19"/>
        <v>8</v>
      </c>
      <c r="J49" s="13">
        <f t="shared" si="20"/>
        <v>77</v>
      </c>
      <c r="K49">
        <f t="shared" si="12"/>
        <v>1</v>
      </c>
      <c r="L49">
        <f t="shared" si="13"/>
        <v>17</v>
      </c>
      <c r="M49" s="13">
        <f t="shared" si="21"/>
        <v>1</v>
      </c>
      <c r="N49">
        <f t="shared" si="21"/>
        <v>8</v>
      </c>
      <c r="O49" s="14">
        <f t="shared" si="7"/>
        <v>68</v>
      </c>
      <c r="P49" s="13">
        <f t="shared" si="14"/>
        <v>1</v>
      </c>
      <c r="Q49">
        <f t="shared" si="22"/>
        <v>16</v>
      </c>
      <c r="R49" s="14">
        <f t="shared" si="23"/>
        <v>76</v>
      </c>
      <c r="S49" s="15" t="str">
        <f>"V:\Tutorials\Programming\Java Spring\Spring Framework And Dependency Injection For Beginners\"&amp;E49&amp;"\"&amp;F49&amp;".mkv"</f>
        <v>V:\Tutorials\Programming\Java Spring\Spring Framework And Dependency Injection For Beginners\Section 4 - Dependency Injection (IoC) Step-By-Step - Part II\12. Sending SMTP Mails.mkv</v>
      </c>
      <c r="W49" s="14"/>
    </row>
    <row r="50" spans="1:23" hidden="1" x14ac:dyDescent="0.25">
      <c r="A50" s="16" t="s">
        <v>134</v>
      </c>
      <c r="B50" s="17" t="b">
        <f t="shared" si="16"/>
        <v>0</v>
      </c>
      <c r="C50" s="17" t="b">
        <f t="shared" si="1"/>
        <v>0</v>
      </c>
      <c r="D50" s="17">
        <f t="shared" si="10"/>
        <v>4</v>
      </c>
      <c r="E50" s="17" t="str">
        <f t="shared" si="15"/>
        <v>Section 4 - Dependency Injection (IoC) Step-By-Step - Part II</v>
      </c>
      <c r="F50" s="18" t="str">
        <f t="shared" si="11"/>
        <v/>
      </c>
      <c r="G50" s="13" t="str">
        <f t="shared" si="17"/>
        <v/>
      </c>
      <c r="H50">
        <f t="shared" si="18"/>
        <v>0</v>
      </c>
      <c r="I50">
        <f t="shared" si="19"/>
        <v>0</v>
      </c>
      <c r="J50" s="13">
        <f t="shared" si="20"/>
        <v>77</v>
      </c>
      <c r="K50">
        <f t="shared" si="12"/>
        <v>1</v>
      </c>
      <c r="L50">
        <f t="shared" si="13"/>
        <v>17</v>
      </c>
      <c r="M50" s="13">
        <f t="shared" si="21"/>
        <v>1</v>
      </c>
      <c r="N50">
        <f t="shared" si="21"/>
        <v>16</v>
      </c>
      <c r="O50" s="14">
        <f t="shared" si="7"/>
        <v>76</v>
      </c>
      <c r="P50" s="13">
        <f t="shared" si="14"/>
        <v>1</v>
      </c>
      <c r="Q50">
        <f t="shared" si="22"/>
        <v>16</v>
      </c>
      <c r="R50" s="14">
        <f t="shared" si="23"/>
        <v>76</v>
      </c>
      <c r="S50" s="15"/>
      <c r="W50" s="14"/>
    </row>
    <row r="51" spans="1:23" hidden="1" x14ac:dyDescent="0.25">
      <c r="A51" s="16" t="s">
        <v>121</v>
      </c>
      <c r="B51" s="17" t="b">
        <f t="shared" si="16"/>
        <v>0</v>
      </c>
      <c r="C51" s="17" t="b">
        <f t="shared" si="1"/>
        <v>0</v>
      </c>
      <c r="D51" s="17">
        <f t="shared" si="10"/>
        <v>4</v>
      </c>
      <c r="E51" s="17" t="str">
        <f t="shared" si="15"/>
        <v>Section 4 - Dependency Injection (IoC) Step-By-Step - Part II</v>
      </c>
      <c r="F51" s="18" t="str">
        <f t="shared" si="11"/>
        <v/>
      </c>
      <c r="G51" s="13" t="str">
        <f t="shared" si="17"/>
        <v/>
      </c>
      <c r="H51">
        <f t="shared" si="18"/>
        <v>0</v>
      </c>
      <c r="I51">
        <f t="shared" si="19"/>
        <v>0</v>
      </c>
      <c r="J51" s="13">
        <f t="shared" si="20"/>
        <v>77</v>
      </c>
      <c r="K51">
        <f t="shared" si="12"/>
        <v>1</v>
      </c>
      <c r="L51">
        <f t="shared" si="13"/>
        <v>17</v>
      </c>
      <c r="M51" s="13">
        <f t="shared" si="21"/>
        <v>1</v>
      </c>
      <c r="N51">
        <f t="shared" si="21"/>
        <v>16</v>
      </c>
      <c r="O51" s="14">
        <f t="shared" si="7"/>
        <v>76</v>
      </c>
      <c r="P51" s="13">
        <f t="shared" si="14"/>
        <v>1</v>
      </c>
      <c r="Q51">
        <f t="shared" si="22"/>
        <v>16</v>
      </c>
      <c r="R51" s="14">
        <f t="shared" si="23"/>
        <v>76</v>
      </c>
      <c r="S51" s="15"/>
      <c r="W51" s="14"/>
    </row>
    <row r="52" spans="1:23" x14ac:dyDescent="0.25">
      <c r="A52" s="16" t="s">
        <v>219</v>
      </c>
      <c r="B52" s="17" t="b">
        <f t="shared" si="16"/>
        <v>0</v>
      </c>
      <c r="C52" s="17" t="b">
        <f t="shared" si="1"/>
        <v>1</v>
      </c>
      <c r="D52" s="17">
        <f t="shared" si="10"/>
        <v>5</v>
      </c>
      <c r="E52" s="17" t="str">
        <f t="shared" si="15"/>
        <v>Section 4 - Dependency Injection (IoC) Step-By-Step - Part II</v>
      </c>
      <c r="F52" s="18" t="str">
        <f t="shared" si="11"/>
        <v>13. Java Configuration Classes contd.</v>
      </c>
      <c r="G52" s="13" t="str">
        <f t="shared" si="17"/>
        <v>6min</v>
      </c>
      <c r="H52">
        <f t="shared" si="18"/>
        <v>0</v>
      </c>
      <c r="I52">
        <f t="shared" si="19"/>
        <v>6</v>
      </c>
      <c r="J52" s="13">
        <f t="shared" si="20"/>
        <v>83</v>
      </c>
      <c r="K52">
        <f t="shared" si="12"/>
        <v>1</v>
      </c>
      <c r="L52">
        <f t="shared" si="13"/>
        <v>23</v>
      </c>
      <c r="M52" s="13">
        <f t="shared" si="21"/>
        <v>1</v>
      </c>
      <c r="N52">
        <f t="shared" si="21"/>
        <v>16</v>
      </c>
      <c r="O52" s="14">
        <f t="shared" si="7"/>
        <v>76</v>
      </c>
      <c r="P52" s="13">
        <f t="shared" si="14"/>
        <v>1</v>
      </c>
      <c r="Q52">
        <f t="shared" si="22"/>
        <v>22</v>
      </c>
      <c r="R52" s="14">
        <f t="shared" si="23"/>
        <v>82</v>
      </c>
      <c r="S52" s="15" t="str">
        <f>"V:\Tutorials\Programming\Java Spring\Spring Framework And Dependency Injection For Beginners\"&amp;E52&amp;"\"&amp;F52&amp;".mkv"</f>
        <v>V:\Tutorials\Programming\Java Spring\Spring Framework And Dependency Injection For Beginners\Section 4 - Dependency Injection (IoC) Step-By-Step - Part II\13. Java Configuration Classes contd..mkv</v>
      </c>
      <c r="W52" s="14"/>
    </row>
    <row r="53" spans="1:23" hidden="1" x14ac:dyDescent="0.25">
      <c r="A53" s="16" t="s">
        <v>153</v>
      </c>
      <c r="B53" s="17" t="b">
        <f t="shared" si="16"/>
        <v>0</v>
      </c>
      <c r="C53" s="17" t="b">
        <f t="shared" si="1"/>
        <v>0</v>
      </c>
      <c r="D53" s="17">
        <f t="shared" si="10"/>
        <v>5</v>
      </c>
      <c r="E53" s="17" t="str">
        <f t="shared" si="15"/>
        <v>Section 4 - Dependency Injection (IoC) Step-By-Step - Part II</v>
      </c>
      <c r="F53" s="18" t="str">
        <f t="shared" si="11"/>
        <v/>
      </c>
      <c r="G53" s="13" t="str">
        <f t="shared" si="17"/>
        <v/>
      </c>
      <c r="H53">
        <f t="shared" si="18"/>
        <v>0</v>
      </c>
      <c r="I53">
        <f t="shared" si="19"/>
        <v>0</v>
      </c>
      <c r="J53" s="13">
        <f t="shared" si="20"/>
        <v>83</v>
      </c>
      <c r="K53">
        <f t="shared" si="12"/>
        <v>1</v>
      </c>
      <c r="L53">
        <f t="shared" si="13"/>
        <v>23</v>
      </c>
      <c r="M53" s="13">
        <f t="shared" si="21"/>
        <v>1</v>
      </c>
      <c r="N53">
        <f t="shared" si="21"/>
        <v>22</v>
      </c>
      <c r="O53" s="14">
        <f t="shared" si="7"/>
        <v>82</v>
      </c>
      <c r="P53" s="13">
        <f t="shared" si="14"/>
        <v>1</v>
      </c>
      <c r="Q53">
        <f t="shared" si="22"/>
        <v>22</v>
      </c>
      <c r="R53" s="14">
        <f t="shared" si="23"/>
        <v>82</v>
      </c>
      <c r="S53" s="15"/>
      <c r="W53" s="14"/>
    </row>
    <row r="54" spans="1:23" hidden="1" x14ac:dyDescent="0.25">
      <c r="A54" s="16"/>
      <c r="B54" s="17" t="b">
        <f t="shared" si="16"/>
        <v>0</v>
      </c>
      <c r="C54" s="17" t="b">
        <f t="shared" si="1"/>
        <v>0</v>
      </c>
      <c r="D54" s="17">
        <f t="shared" si="10"/>
        <v>5</v>
      </c>
      <c r="E54" s="17" t="str">
        <f t="shared" si="15"/>
        <v>Section 4 - Dependency Injection (IoC) Step-By-Step - Part II</v>
      </c>
      <c r="F54" s="18" t="str">
        <f t="shared" si="11"/>
        <v/>
      </c>
      <c r="G54" s="13" t="str">
        <f t="shared" si="17"/>
        <v/>
      </c>
      <c r="H54">
        <f t="shared" si="18"/>
        <v>0</v>
      </c>
      <c r="I54">
        <f t="shared" si="19"/>
        <v>0</v>
      </c>
      <c r="J54" s="13">
        <f t="shared" si="20"/>
        <v>83</v>
      </c>
      <c r="K54">
        <f t="shared" si="12"/>
        <v>1</v>
      </c>
      <c r="L54">
        <f t="shared" si="13"/>
        <v>23</v>
      </c>
      <c r="M54" s="13">
        <f t="shared" si="21"/>
        <v>1</v>
      </c>
      <c r="N54">
        <f t="shared" si="21"/>
        <v>22</v>
      </c>
      <c r="O54" s="14">
        <f t="shared" si="7"/>
        <v>82</v>
      </c>
      <c r="P54" s="13">
        <f t="shared" si="14"/>
        <v>1</v>
      </c>
      <c r="Q54">
        <f t="shared" si="22"/>
        <v>22</v>
      </c>
      <c r="R54" s="14">
        <f t="shared" si="23"/>
        <v>82</v>
      </c>
      <c r="S54" s="15"/>
      <c r="W54" s="14"/>
    </row>
    <row r="55" spans="1:23" hidden="1" x14ac:dyDescent="0.25">
      <c r="A55" s="16" t="s">
        <v>224</v>
      </c>
      <c r="B55" s="17" t="b">
        <f t="shared" si="16"/>
        <v>1</v>
      </c>
      <c r="C55" s="17" t="b">
        <f t="shared" si="1"/>
        <v>0</v>
      </c>
      <c r="D55" s="17">
        <f t="shared" si="10"/>
        <v>0</v>
      </c>
      <c r="E55" s="17" t="str">
        <f t="shared" si="15"/>
        <v>Section 5 - Conclusion, And FREE Coupon For Next Course</v>
      </c>
      <c r="F55" s="18" t="str">
        <f t="shared" si="11"/>
        <v/>
      </c>
      <c r="G55" s="13" t="str">
        <f t="shared" si="17"/>
        <v/>
      </c>
      <c r="H55">
        <f t="shared" si="18"/>
        <v>0</v>
      </c>
      <c r="I55">
        <f t="shared" si="19"/>
        <v>0</v>
      </c>
      <c r="J55" s="13">
        <f t="shared" si="20"/>
        <v>83</v>
      </c>
      <c r="K55">
        <f t="shared" si="12"/>
        <v>1</v>
      </c>
      <c r="L55">
        <f t="shared" si="13"/>
        <v>23</v>
      </c>
      <c r="M55" s="13">
        <f t="shared" si="21"/>
        <v>1</v>
      </c>
      <c r="N55">
        <f t="shared" si="21"/>
        <v>22</v>
      </c>
      <c r="O55" s="14">
        <f t="shared" si="7"/>
        <v>82</v>
      </c>
      <c r="P55" s="13">
        <f t="shared" si="14"/>
        <v>1</v>
      </c>
      <c r="Q55">
        <f t="shared" si="22"/>
        <v>22</v>
      </c>
      <c r="R55" s="14">
        <f t="shared" si="23"/>
        <v>82</v>
      </c>
      <c r="S55" s="15"/>
      <c r="W55" s="14"/>
    </row>
    <row r="56" spans="1:23" x14ac:dyDescent="0.25">
      <c r="A56" s="16" t="s">
        <v>220</v>
      </c>
      <c r="B56" s="17" t="b">
        <f t="shared" si="16"/>
        <v>0</v>
      </c>
      <c r="C56" s="17" t="b">
        <f t="shared" si="1"/>
        <v>1</v>
      </c>
      <c r="D56" s="17">
        <f t="shared" si="10"/>
        <v>1</v>
      </c>
      <c r="E56" s="17" t="str">
        <f t="shared" si="15"/>
        <v>Section 5 - Conclusion, And FREE Coupon For Next Course</v>
      </c>
      <c r="F56" s="18" t="str">
        <f t="shared" si="11"/>
        <v>14. Next Steps, And FREE Coupon For The Next Course</v>
      </c>
      <c r="G56" s="13" t="str">
        <f t="shared" si="17"/>
        <v>2min</v>
      </c>
      <c r="H56">
        <f t="shared" si="18"/>
        <v>0</v>
      </c>
      <c r="I56">
        <f t="shared" si="19"/>
        <v>2</v>
      </c>
      <c r="J56" s="13">
        <f t="shared" si="20"/>
        <v>85</v>
      </c>
      <c r="K56">
        <f t="shared" si="12"/>
        <v>1</v>
      </c>
      <c r="L56">
        <f t="shared" si="13"/>
        <v>25</v>
      </c>
      <c r="M56" s="13">
        <f t="shared" si="21"/>
        <v>1</v>
      </c>
      <c r="N56">
        <f t="shared" si="21"/>
        <v>22</v>
      </c>
      <c r="O56" s="14">
        <f t="shared" si="7"/>
        <v>82</v>
      </c>
      <c r="P56" s="13">
        <f t="shared" si="14"/>
        <v>1</v>
      </c>
      <c r="Q56">
        <f t="shared" si="22"/>
        <v>24</v>
      </c>
      <c r="R56" s="14">
        <f t="shared" si="23"/>
        <v>84</v>
      </c>
      <c r="S56" s="15" t="str">
        <f>"V:\Tutorials\Programming\Java Spring\Spring Framework And Dependency Injection For Beginners\"&amp;E56&amp;"\"&amp;F56&amp;".mkv"</f>
        <v>V:\Tutorials\Programming\Java Spring\Spring Framework And Dependency Injection For Beginners\Section 5 - Conclusion, And FREE Coupon For Next Course\14. Next Steps, And FREE Coupon For The Next Course.mkv</v>
      </c>
      <c r="W56" s="14"/>
    </row>
    <row r="57" spans="1:23" hidden="1" x14ac:dyDescent="0.25">
      <c r="A57" s="16" t="s">
        <v>117</v>
      </c>
      <c r="B57" s="17" t="b">
        <f t="shared" si="16"/>
        <v>0</v>
      </c>
      <c r="C57" s="17" t="b">
        <f t="shared" si="1"/>
        <v>0</v>
      </c>
      <c r="D57" s="17">
        <f t="shared" si="10"/>
        <v>1</v>
      </c>
      <c r="E57" s="17" t="str">
        <f t="shared" si="15"/>
        <v>Section 5 - Conclusion, And FREE Coupon For Next Course</v>
      </c>
      <c r="F57" s="18" t="str">
        <f t="shared" si="11"/>
        <v/>
      </c>
      <c r="G57" s="13" t="str">
        <f t="shared" si="17"/>
        <v/>
      </c>
      <c r="H57">
        <f t="shared" si="18"/>
        <v>0</v>
      </c>
      <c r="I57">
        <f t="shared" si="19"/>
        <v>0</v>
      </c>
      <c r="J57" s="13">
        <f t="shared" si="20"/>
        <v>85</v>
      </c>
      <c r="K57">
        <f t="shared" si="12"/>
        <v>1</v>
      </c>
      <c r="L57">
        <f t="shared" si="13"/>
        <v>25</v>
      </c>
      <c r="M57" s="13">
        <f t="shared" si="21"/>
        <v>1</v>
      </c>
      <c r="N57">
        <f t="shared" si="21"/>
        <v>24</v>
      </c>
      <c r="O57" s="14">
        <f t="shared" si="7"/>
        <v>84</v>
      </c>
      <c r="P57" s="13">
        <f t="shared" si="14"/>
        <v>1</v>
      </c>
      <c r="Q57">
        <f t="shared" si="22"/>
        <v>24</v>
      </c>
      <c r="R57" s="14">
        <f t="shared" si="23"/>
        <v>84</v>
      </c>
      <c r="S57" s="15"/>
      <c r="W57" s="14"/>
    </row>
    <row r="58" spans="1:23" hidden="1" x14ac:dyDescent="0.25">
      <c r="A58" s="16"/>
      <c r="B58" s="17" t="b">
        <f t="shared" si="16"/>
        <v>0</v>
      </c>
      <c r="C58" s="17" t="b">
        <f t="shared" si="1"/>
        <v>0</v>
      </c>
      <c r="D58" s="17">
        <f t="shared" si="10"/>
        <v>1</v>
      </c>
      <c r="E58" s="17" t="str">
        <f t="shared" si="15"/>
        <v>Section 5 - Conclusion, And FREE Coupon For Next Course</v>
      </c>
      <c r="F58" s="18" t="str">
        <f t="shared" si="11"/>
        <v/>
      </c>
      <c r="G58" s="13" t="str">
        <f t="shared" si="17"/>
        <v/>
      </c>
      <c r="H58">
        <f t="shared" si="18"/>
        <v>0</v>
      </c>
      <c r="I58">
        <f t="shared" si="19"/>
        <v>0</v>
      </c>
      <c r="J58" s="13">
        <f t="shared" si="20"/>
        <v>85</v>
      </c>
      <c r="K58">
        <f t="shared" si="12"/>
        <v>1</v>
      </c>
      <c r="L58">
        <f t="shared" si="13"/>
        <v>25</v>
      </c>
      <c r="M58" s="13">
        <f t="shared" si="21"/>
        <v>1</v>
      </c>
      <c r="N58">
        <f t="shared" si="21"/>
        <v>24</v>
      </c>
      <c r="O58" s="14">
        <f t="shared" si="7"/>
        <v>84</v>
      </c>
      <c r="P58" s="13">
        <f t="shared" si="14"/>
        <v>1</v>
      </c>
      <c r="Q58">
        <f t="shared" si="22"/>
        <v>24</v>
      </c>
      <c r="R58" s="14">
        <f t="shared" si="23"/>
        <v>84</v>
      </c>
      <c r="S58" s="15"/>
      <c r="W58" s="14"/>
    </row>
    <row r="59" spans="1:23" hidden="1" x14ac:dyDescent="0.25">
      <c r="A59" s="16"/>
      <c r="B59" s="17" t="b">
        <f t="shared" si="16"/>
        <v>0</v>
      </c>
      <c r="C59" s="17" t="b">
        <f t="shared" si="1"/>
        <v>0</v>
      </c>
      <c r="D59" s="17">
        <f t="shared" si="10"/>
        <v>1</v>
      </c>
      <c r="E59" s="17" t="str">
        <f t="shared" si="15"/>
        <v>Section 5 - Conclusion, And FREE Coupon For Next Course</v>
      </c>
      <c r="F59" s="18" t="str">
        <f t="shared" si="11"/>
        <v/>
      </c>
      <c r="G59" s="13" t="str">
        <f t="shared" si="17"/>
        <v/>
      </c>
      <c r="H59">
        <f t="shared" si="18"/>
        <v>0</v>
      </c>
      <c r="I59">
        <f t="shared" si="19"/>
        <v>0</v>
      </c>
      <c r="J59" s="13">
        <f t="shared" si="20"/>
        <v>85</v>
      </c>
      <c r="K59">
        <f t="shared" si="12"/>
        <v>1</v>
      </c>
      <c r="L59">
        <f t="shared" si="13"/>
        <v>25</v>
      </c>
      <c r="M59" s="13">
        <f t="shared" si="21"/>
        <v>1</v>
      </c>
      <c r="N59">
        <f t="shared" si="21"/>
        <v>24</v>
      </c>
      <c r="O59" s="14">
        <f t="shared" si="7"/>
        <v>84</v>
      </c>
      <c r="P59" s="13">
        <f t="shared" si="14"/>
        <v>1</v>
      </c>
      <c r="Q59">
        <f t="shared" si="22"/>
        <v>24</v>
      </c>
      <c r="R59" s="14">
        <f t="shared" si="23"/>
        <v>84</v>
      </c>
      <c r="S59" s="15"/>
      <c r="W59" s="14"/>
    </row>
    <row r="60" spans="1:23" hidden="1" x14ac:dyDescent="0.25">
      <c r="A60" s="16"/>
      <c r="B60" s="17" t="b">
        <f t="shared" si="16"/>
        <v>0</v>
      </c>
      <c r="C60" s="17" t="b">
        <f t="shared" si="1"/>
        <v>0</v>
      </c>
      <c r="D60" s="17">
        <f t="shared" si="10"/>
        <v>1</v>
      </c>
      <c r="E60" s="17" t="str">
        <f t="shared" si="15"/>
        <v>Section 5 - Conclusion, And FREE Coupon For Next Course</v>
      </c>
      <c r="F60" s="18" t="str">
        <f t="shared" si="11"/>
        <v/>
      </c>
      <c r="G60" s="13" t="str">
        <f t="shared" si="17"/>
        <v/>
      </c>
      <c r="H60">
        <f t="shared" si="18"/>
        <v>0</v>
      </c>
      <c r="I60">
        <f t="shared" si="19"/>
        <v>0</v>
      </c>
      <c r="J60" s="13">
        <f t="shared" si="20"/>
        <v>85</v>
      </c>
      <c r="K60">
        <f t="shared" si="12"/>
        <v>1</v>
      </c>
      <c r="L60">
        <f t="shared" si="13"/>
        <v>25</v>
      </c>
      <c r="M60" s="13">
        <f t="shared" si="21"/>
        <v>1</v>
      </c>
      <c r="N60">
        <f t="shared" si="21"/>
        <v>24</v>
      </c>
      <c r="O60" s="14">
        <f t="shared" si="7"/>
        <v>84</v>
      </c>
      <c r="P60" s="13">
        <f t="shared" si="14"/>
        <v>1</v>
      </c>
      <c r="Q60">
        <f t="shared" si="22"/>
        <v>24</v>
      </c>
      <c r="R60" s="14">
        <f t="shared" si="23"/>
        <v>84</v>
      </c>
      <c r="S60" s="15"/>
      <c r="W60" s="14"/>
    </row>
    <row r="61" spans="1:23" hidden="1" x14ac:dyDescent="0.25">
      <c r="A61" s="16"/>
      <c r="B61" s="17" t="b">
        <f t="shared" si="16"/>
        <v>0</v>
      </c>
      <c r="C61" s="17" t="b">
        <f t="shared" si="1"/>
        <v>0</v>
      </c>
      <c r="D61" s="17">
        <f t="shared" si="10"/>
        <v>1</v>
      </c>
      <c r="E61" s="17" t="str">
        <f t="shared" si="15"/>
        <v>Section 5 - Conclusion, And FREE Coupon For Next Course</v>
      </c>
      <c r="F61" s="18" t="str">
        <f t="shared" si="11"/>
        <v/>
      </c>
      <c r="G61" s="13" t="str">
        <f t="shared" si="17"/>
        <v/>
      </c>
      <c r="H61">
        <f t="shared" si="18"/>
        <v>0</v>
      </c>
      <c r="I61">
        <f t="shared" si="19"/>
        <v>0</v>
      </c>
      <c r="J61" s="13">
        <f t="shared" si="20"/>
        <v>85</v>
      </c>
      <c r="K61">
        <f t="shared" si="12"/>
        <v>1</v>
      </c>
      <c r="L61">
        <f t="shared" si="13"/>
        <v>25</v>
      </c>
      <c r="M61" s="13">
        <f t="shared" si="21"/>
        <v>1</v>
      </c>
      <c r="N61">
        <f t="shared" si="21"/>
        <v>24</v>
      </c>
      <c r="O61" s="14">
        <f t="shared" si="7"/>
        <v>84</v>
      </c>
      <c r="P61" s="13">
        <f t="shared" si="14"/>
        <v>1</v>
      </c>
      <c r="Q61">
        <f t="shared" si="22"/>
        <v>24</v>
      </c>
      <c r="R61" s="14">
        <f t="shared" si="23"/>
        <v>84</v>
      </c>
      <c r="S61" s="15"/>
      <c r="W61" s="14"/>
    </row>
    <row r="62" spans="1:23" hidden="1" x14ac:dyDescent="0.25">
      <c r="A62" s="16"/>
      <c r="B62" s="17" t="b">
        <f t="shared" si="16"/>
        <v>0</v>
      </c>
      <c r="C62" s="17" t="b">
        <f t="shared" si="1"/>
        <v>0</v>
      </c>
      <c r="D62" s="17">
        <f t="shared" si="10"/>
        <v>1</v>
      </c>
      <c r="E62" s="17" t="str">
        <f t="shared" si="15"/>
        <v>Section 5 - Conclusion, And FREE Coupon For Next Course</v>
      </c>
      <c r="F62" s="18" t="str">
        <f t="shared" si="11"/>
        <v/>
      </c>
      <c r="G62" s="13" t="str">
        <f t="shared" si="17"/>
        <v/>
      </c>
      <c r="H62">
        <f t="shared" si="18"/>
        <v>0</v>
      </c>
      <c r="I62">
        <f t="shared" si="19"/>
        <v>0</v>
      </c>
      <c r="J62" s="13">
        <f t="shared" si="20"/>
        <v>85</v>
      </c>
      <c r="K62">
        <f t="shared" si="12"/>
        <v>1</v>
      </c>
      <c r="L62">
        <f t="shared" si="13"/>
        <v>25</v>
      </c>
      <c r="M62" s="13">
        <f t="shared" si="21"/>
        <v>1</v>
      </c>
      <c r="N62">
        <f t="shared" si="21"/>
        <v>24</v>
      </c>
      <c r="O62" s="14">
        <f t="shared" si="7"/>
        <v>84</v>
      </c>
      <c r="P62" s="13">
        <f t="shared" si="14"/>
        <v>1</v>
      </c>
      <c r="Q62">
        <f t="shared" si="22"/>
        <v>24</v>
      </c>
      <c r="R62" s="14">
        <f t="shared" si="23"/>
        <v>84</v>
      </c>
      <c r="S62" s="15"/>
      <c r="W62" s="14"/>
    </row>
    <row r="63" spans="1:23" hidden="1" x14ac:dyDescent="0.25">
      <c r="A63" s="16"/>
      <c r="B63" s="17" t="b">
        <f t="shared" si="16"/>
        <v>0</v>
      </c>
      <c r="C63" s="17" t="b">
        <f>OR(NOT(ISERROR(FIND("hr",A64))), NOT(ISERROR(FIND("min ",A64))),RIGHT(A64,3)="min")</f>
        <v>0</v>
      </c>
      <c r="D63" s="17">
        <f t="shared" si="10"/>
        <v>1</v>
      </c>
      <c r="E63" s="17" t="str">
        <f t="shared" si="15"/>
        <v>Section 5 - Conclusion, And FREE Coupon For Next Course</v>
      </c>
      <c r="F63" s="18" t="str">
        <f t="shared" si="11"/>
        <v/>
      </c>
      <c r="G63" s="13" t="str">
        <f t="shared" si="17"/>
        <v/>
      </c>
      <c r="H63">
        <f t="shared" si="18"/>
        <v>0</v>
      </c>
      <c r="I63">
        <f t="shared" si="19"/>
        <v>0</v>
      </c>
      <c r="J63" s="13">
        <f t="shared" si="20"/>
        <v>85</v>
      </c>
      <c r="K63">
        <f t="shared" si="12"/>
        <v>1</v>
      </c>
      <c r="L63">
        <f t="shared" si="13"/>
        <v>25</v>
      </c>
      <c r="M63" s="13">
        <f t="shared" si="21"/>
        <v>1</v>
      </c>
      <c r="N63">
        <f t="shared" si="21"/>
        <v>24</v>
      </c>
      <c r="O63" s="14">
        <f t="shared" si="7"/>
        <v>84</v>
      </c>
      <c r="P63" s="13">
        <f t="shared" si="14"/>
        <v>1</v>
      </c>
      <c r="Q63">
        <f t="shared" si="22"/>
        <v>24</v>
      </c>
      <c r="R63" s="14">
        <f t="shared" si="23"/>
        <v>84</v>
      </c>
      <c r="S63" s="15"/>
      <c r="W63" s="14"/>
    </row>
    <row r="64" spans="1:23" hidden="1" x14ac:dyDescent="0.25">
      <c r="A64" s="16"/>
      <c r="B64" s="17" t="b">
        <f t="shared" si="16"/>
        <v>0</v>
      </c>
      <c r="C64" s="17" t="b">
        <f t="shared" ref="C64:C127" si="24">OR(NOT(ISERROR(FIND("hr",A65))), NOT(ISERROR(FIND("min ",A65))),RIGHT(A65,3)="min")</f>
        <v>0</v>
      </c>
      <c r="D64" s="17">
        <f t="shared" si="10"/>
        <v>1</v>
      </c>
      <c r="E64" s="17" t="str">
        <f t="shared" si="15"/>
        <v>Section 5 - Conclusion, And FREE Coupon For Next Course</v>
      </c>
      <c r="F64" s="18" t="str">
        <f t="shared" si="11"/>
        <v/>
      </c>
      <c r="G64" s="13" t="str">
        <f t="shared" si="17"/>
        <v/>
      </c>
      <c r="H64">
        <f t="shared" si="18"/>
        <v>0</v>
      </c>
      <c r="I64">
        <f t="shared" si="19"/>
        <v>0</v>
      </c>
      <c r="J64" s="13">
        <f t="shared" si="20"/>
        <v>85</v>
      </c>
      <c r="K64">
        <f t="shared" si="12"/>
        <v>1</v>
      </c>
      <c r="L64">
        <f t="shared" si="13"/>
        <v>25</v>
      </c>
      <c r="M64" s="13">
        <f t="shared" si="21"/>
        <v>1</v>
      </c>
      <c r="N64">
        <f t="shared" si="21"/>
        <v>24</v>
      </c>
      <c r="O64" s="14">
        <f t="shared" si="7"/>
        <v>84</v>
      </c>
      <c r="P64" s="13">
        <f t="shared" si="14"/>
        <v>1</v>
      </c>
      <c r="Q64">
        <f t="shared" si="22"/>
        <v>24</v>
      </c>
      <c r="R64" s="14">
        <f t="shared" si="23"/>
        <v>84</v>
      </c>
      <c r="S64" s="15"/>
      <c r="W64" s="14"/>
    </row>
    <row r="65" spans="1:23" hidden="1" x14ac:dyDescent="0.25">
      <c r="A65" s="16"/>
      <c r="B65" s="17" t="b">
        <f t="shared" si="16"/>
        <v>0</v>
      </c>
      <c r="C65" s="17" t="b">
        <f t="shared" si="24"/>
        <v>0</v>
      </c>
      <c r="D65" s="17">
        <f t="shared" si="10"/>
        <v>1</v>
      </c>
      <c r="E65" s="17" t="str">
        <f t="shared" si="15"/>
        <v>Section 5 - Conclusion, And FREE Coupon For Next Course</v>
      </c>
      <c r="F65" s="18" t="str">
        <f t="shared" si="11"/>
        <v/>
      </c>
      <c r="G65" s="13" t="str">
        <f t="shared" si="17"/>
        <v/>
      </c>
      <c r="H65">
        <f t="shared" si="18"/>
        <v>0</v>
      </c>
      <c r="I65">
        <f t="shared" si="19"/>
        <v>0</v>
      </c>
      <c r="J65" s="13">
        <f t="shared" si="20"/>
        <v>85</v>
      </c>
      <c r="K65">
        <f t="shared" si="12"/>
        <v>1</v>
      </c>
      <c r="L65">
        <f t="shared" si="13"/>
        <v>25</v>
      </c>
      <c r="M65" s="13">
        <f t="shared" si="21"/>
        <v>1</v>
      </c>
      <c r="N65">
        <f t="shared" si="21"/>
        <v>24</v>
      </c>
      <c r="O65" s="14">
        <f t="shared" si="7"/>
        <v>84</v>
      </c>
      <c r="P65" s="13">
        <f t="shared" si="14"/>
        <v>1</v>
      </c>
      <c r="Q65">
        <f t="shared" si="22"/>
        <v>24</v>
      </c>
      <c r="R65" s="14">
        <f t="shared" si="23"/>
        <v>84</v>
      </c>
      <c r="S65" s="15"/>
      <c r="W65" s="14"/>
    </row>
    <row r="66" spans="1:23" hidden="1" x14ac:dyDescent="0.25">
      <c r="A66" s="16"/>
      <c r="B66" s="17" t="b">
        <f t="shared" si="16"/>
        <v>0</v>
      </c>
      <c r="C66" s="17" t="b">
        <f t="shared" si="24"/>
        <v>0</v>
      </c>
      <c r="D66" s="17">
        <f t="shared" si="10"/>
        <v>1</v>
      </c>
      <c r="E66" s="17" t="str">
        <f t="shared" si="15"/>
        <v>Section 5 - Conclusion, And FREE Coupon For Next Course</v>
      </c>
      <c r="F66" s="18" t="str">
        <f t="shared" si="11"/>
        <v/>
      </c>
      <c r="G66" s="13" t="str">
        <f t="shared" si="17"/>
        <v/>
      </c>
      <c r="H66">
        <f t="shared" si="18"/>
        <v>0</v>
      </c>
      <c r="I66">
        <f t="shared" si="19"/>
        <v>0</v>
      </c>
      <c r="J66" s="13">
        <f t="shared" si="20"/>
        <v>85</v>
      </c>
      <c r="K66">
        <f t="shared" si="12"/>
        <v>1</v>
      </c>
      <c r="L66">
        <f t="shared" si="13"/>
        <v>25</v>
      </c>
      <c r="M66" s="13">
        <f t="shared" si="21"/>
        <v>1</v>
      </c>
      <c r="N66">
        <f t="shared" si="21"/>
        <v>24</v>
      </c>
      <c r="O66" s="14">
        <f t="shared" si="7"/>
        <v>84</v>
      </c>
      <c r="P66" s="13">
        <f t="shared" si="14"/>
        <v>1</v>
      </c>
      <c r="Q66">
        <f t="shared" si="22"/>
        <v>24</v>
      </c>
      <c r="R66" s="14">
        <f t="shared" si="23"/>
        <v>84</v>
      </c>
      <c r="S66" s="15"/>
      <c r="W66" s="14"/>
    </row>
    <row r="67" spans="1:23" hidden="1" x14ac:dyDescent="0.25">
      <c r="A67" s="16"/>
      <c r="B67" s="17" t="b">
        <f t="shared" si="16"/>
        <v>0</v>
      </c>
      <c r="C67" s="17" t="b">
        <f t="shared" si="24"/>
        <v>0</v>
      </c>
      <c r="D67" s="17">
        <f t="shared" si="10"/>
        <v>1</v>
      </c>
      <c r="E67" s="17" t="str">
        <f t="shared" si="15"/>
        <v>Section 5 - Conclusion, And FREE Coupon For Next Course</v>
      </c>
      <c r="F67" s="18" t="str">
        <f t="shared" si="11"/>
        <v/>
      </c>
      <c r="G67" s="13" t="str">
        <f t="shared" si="17"/>
        <v/>
      </c>
      <c r="H67">
        <f t="shared" si="18"/>
        <v>0</v>
      </c>
      <c r="I67">
        <f t="shared" si="19"/>
        <v>0</v>
      </c>
      <c r="J67" s="13">
        <f t="shared" si="20"/>
        <v>85</v>
      </c>
      <c r="K67">
        <f t="shared" si="12"/>
        <v>1</v>
      </c>
      <c r="L67">
        <f t="shared" si="13"/>
        <v>25</v>
      </c>
      <c r="M67" s="13">
        <f t="shared" si="21"/>
        <v>1</v>
      </c>
      <c r="N67">
        <f t="shared" si="21"/>
        <v>24</v>
      </c>
      <c r="O67" s="14">
        <f t="shared" si="7"/>
        <v>84</v>
      </c>
      <c r="P67" s="13">
        <f t="shared" si="14"/>
        <v>1</v>
      </c>
      <c r="Q67">
        <f t="shared" si="22"/>
        <v>24</v>
      </c>
      <c r="R67" s="14">
        <f t="shared" si="23"/>
        <v>84</v>
      </c>
      <c r="S67" s="15"/>
      <c r="W67" s="14"/>
    </row>
    <row r="68" spans="1:23" hidden="1" x14ac:dyDescent="0.25">
      <c r="A68" s="16"/>
      <c r="B68" s="17" t="b">
        <f t="shared" si="16"/>
        <v>0</v>
      </c>
      <c r="C68" s="17" t="b">
        <f t="shared" si="24"/>
        <v>0</v>
      </c>
      <c r="D68" s="17">
        <f t="shared" si="10"/>
        <v>1</v>
      </c>
      <c r="E68" s="17" t="str">
        <f t="shared" si="15"/>
        <v>Section 5 - Conclusion, And FREE Coupon For Next Course</v>
      </c>
      <c r="F68" s="18" t="str">
        <f t="shared" si="11"/>
        <v/>
      </c>
      <c r="G68" s="13" t="str">
        <f t="shared" si="17"/>
        <v/>
      </c>
      <c r="H68">
        <f t="shared" si="18"/>
        <v>0</v>
      </c>
      <c r="I68">
        <f t="shared" si="19"/>
        <v>0</v>
      </c>
      <c r="J68" s="13">
        <f t="shared" si="20"/>
        <v>85</v>
      </c>
      <c r="K68">
        <f t="shared" si="12"/>
        <v>1</v>
      </c>
      <c r="L68">
        <f t="shared" si="13"/>
        <v>25</v>
      </c>
      <c r="M68" s="13">
        <f t="shared" si="21"/>
        <v>1</v>
      </c>
      <c r="N68">
        <f t="shared" si="21"/>
        <v>24</v>
      </c>
      <c r="O68" s="14">
        <f t="shared" si="7"/>
        <v>84</v>
      </c>
      <c r="P68" s="13">
        <f t="shared" si="14"/>
        <v>1</v>
      </c>
      <c r="Q68">
        <f t="shared" si="22"/>
        <v>24</v>
      </c>
      <c r="R68" s="14">
        <f t="shared" si="23"/>
        <v>84</v>
      </c>
      <c r="S68" s="15"/>
      <c r="W68" s="14"/>
    </row>
    <row r="69" spans="1:23" hidden="1" x14ac:dyDescent="0.25">
      <c r="A69" s="16"/>
      <c r="B69" s="17" t="b">
        <f t="shared" si="16"/>
        <v>0</v>
      </c>
      <c r="C69" s="17" t="b">
        <f t="shared" si="24"/>
        <v>0</v>
      </c>
      <c r="D69" s="17">
        <f t="shared" si="10"/>
        <v>1</v>
      </c>
      <c r="E69" s="17" t="str">
        <f t="shared" si="15"/>
        <v>Section 5 - Conclusion, And FREE Coupon For Next Course</v>
      </c>
      <c r="F69" s="18" t="str">
        <f t="shared" si="11"/>
        <v/>
      </c>
      <c r="G69" s="13" t="str">
        <f t="shared" si="17"/>
        <v/>
      </c>
      <c r="H69">
        <f t="shared" si="18"/>
        <v>0</v>
      </c>
      <c r="I69">
        <f t="shared" si="19"/>
        <v>0</v>
      </c>
      <c r="J69" s="13">
        <f t="shared" si="20"/>
        <v>85</v>
      </c>
      <c r="K69">
        <f t="shared" si="12"/>
        <v>1</v>
      </c>
      <c r="L69">
        <f t="shared" si="13"/>
        <v>25</v>
      </c>
      <c r="M69" s="13">
        <f t="shared" si="21"/>
        <v>1</v>
      </c>
      <c r="N69">
        <f t="shared" si="21"/>
        <v>24</v>
      </c>
      <c r="O69" s="14">
        <f t="shared" si="7"/>
        <v>84</v>
      </c>
      <c r="P69" s="13">
        <f t="shared" si="14"/>
        <v>1</v>
      </c>
      <c r="Q69">
        <f t="shared" si="22"/>
        <v>24</v>
      </c>
      <c r="R69" s="14">
        <f t="shared" si="23"/>
        <v>84</v>
      </c>
      <c r="S69" s="15"/>
      <c r="W69" s="14"/>
    </row>
    <row r="70" spans="1:23" hidden="1" x14ac:dyDescent="0.25">
      <c r="A70" s="16"/>
      <c r="B70" s="17" t="b">
        <f t="shared" si="16"/>
        <v>0</v>
      </c>
      <c r="C70" s="17" t="b">
        <f t="shared" si="24"/>
        <v>0</v>
      </c>
      <c r="D70" s="17">
        <f t="shared" si="10"/>
        <v>1</v>
      </c>
      <c r="E70" s="17" t="str">
        <f t="shared" si="15"/>
        <v>Section 5 - Conclusion, And FREE Coupon For Next Course</v>
      </c>
      <c r="F70" s="18" t="str">
        <f t="shared" si="11"/>
        <v/>
      </c>
      <c r="G70" s="13" t="str">
        <f t="shared" si="17"/>
        <v/>
      </c>
      <c r="H70">
        <f t="shared" si="18"/>
        <v>0</v>
      </c>
      <c r="I70">
        <f t="shared" si="19"/>
        <v>0</v>
      </c>
      <c r="J70" s="13">
        <f t="shared" si="20"/>
        <v>85</v>
      </c>
      <c r="K70">
        <f t="shared" si="12"/>
        <v>1</v>
      </c>
      <c r="L70">
        <f t="shared" si="13"/>
        <v>25</v>
      </c>
      <c r="M70" s="13">
        <f t="shared" si="21"/>
        <v>1</v>
      </c>
      <c r="N70">
        <f t="shared" si="21"/>
        <v>24</v>
      </c>
      <c r="O70" s="14">
        <f t="shared" si="7"/>
        <v>84</v>
      </c>
      <c r="P70" s="13">
        <f t="shared" si="14"/>
        <v>1</v>
      </c>
      <c r="Q70">
        <f t="shared" si="22"/>
        <v>24</v>
      </c>
      <c r="R70" s="14">
        <f t="shared" si="23"/>
        <v>84</v>
      </c>
      <c r="S70" s="15"/>
      <c r="W70" s="14"/>
    </row>
    <row r="71" spans="1:23" hidden="1" x14ac:dyDescent="0.25">
      <c r="A71" s="16"/>
      <c r="B71" s="17" t="b">
        <f t="shared" si="16"/>
        <v>0</v>
      </c>
      <c r="C71" s="17" t="b">
        <f t="shared" si="24"/>
        <v>0</v>
      </c>
      <c r="D71" s="17">
        <f t="shared" si="10"/>
        <v>1</v>
      </c>
      <c r="E71" s="17" t="str">
        <f t="shared" si="15"/>
        <v>Section 5 - Conclusion, And FREE Coupon For Next Course</v>
      </c>
      <c r="F71" s="18" t="str">
        <f t="shared" si="11"/>
        <v/>
      </c>
      <c r="G71" s="13" t="str">
        <f t="shared" si="17"/>
        <v/>
      </c>
      <c r="H71">
        <f t="shared" si="18"/>
        <v>0</v>
      </c>
      <c r="I71">
        <f t="shared" si="19"/>
        <v>0</v>
      </c>
      <c r="J71" s="13">
        <f t="shared" si="20"/>
        <v>85</v>
      </c>
      <c r="K71">
        <f t="shared" si="12"/>
        <v>1</v>
      </c>
      <c r="L71">
        <f t="shared" si="13"/>
        <v>25</v>
      </c>
      <c r="M71" s="13">
        <f t="shared" si="21"/>
        <v>1</v>
      </c>
      <c r="N71">
        <f t="shared" si="21"/>
        <v>24</v>
      </c>
      <c r="O71" s="14">
        <f t="shared" si="7"/>
        <v>84</v>
      </c>
      <c r="P71" s="13">
        <f t="shared" si="14"/>
        <v>1</v>
      </c>
      <c r="Q71">
        <f t="shared" si="22"/>
        <v>24</v>
      </c>
      <c r="R71" s="14">
        <f t="shared" si="23"/>
        <v>84</v>
      </c>
      <c r="S71" s="15"/>
      <c r="W71" s="14"/>
    </row>
    <row r="72" spans="1:23" hidden="1" x14ac:dyDescent="0.25">
      <c r="A72" s="16"/>
      <c r="B72" s="17" t="b">
        <f t="shared" si="16"/>
        <v>0</v>
      </c>
      <c r="C72" s="17" t="b">
        <f t="shared" si="24"/>
        <v>0</v>
      </c>
      <c r="D72" s="17">
        <f t="shared" si="10"/>
        <v>1</v>
      </c>
      <c r="E72" s="17" t="str">
        <f t="shared" si="15"/>
        <v>Section 5 - Conclusion, And FREE Coupon For Next Course</v>
      </c>
      <c r="F72" s="18" t="str">
        <f t="shared" si="11"/>
        <v/>
      </c>
      <c r="G72" s="13" t="str">
        <f t="shared" si="17"/>
        <v/>
      </c>
      <c r="H72">
        <f t="shared" si="18"/>
        <v>0</v>
      </c>
      <c r="I72">
        <f t="shared" si="19"/>
        <v>0</v>
      </c>
      <c r="J72" s="13">
        <f t="shared" si="20"/>
        <v>85</v>
      </c>
      <c r="K72">
        <f t="shared" si="12"/>
        <v>1</v>
      </c>
      <c r="L72">
        <f t="shared" si="13"/>
        <v>25</v>
      </c>
      <c r="M72" s="13">
        <f t="shared" si="21"/>
        <v>1</v>
      </c>
      <c r="N72">
        <f t="shared" si="21"/>
        <v>24</v>
      </c>
      <c r="O72" s="14">
        <f t="shared" si="7"/>
        <v>84</v>
      </c>
      <c r="P72" s="13">
        <f t="shared" si="14"/>
        <v>1</v>
      </c>
      <c r="Q72">
        <f t="shared" si="22"/>
        <v>24</v>
      </c>
      <c r="R72" s="14">
        <f t="shared" si="23"/>
        <v>84</v>
      </c>
      <c r="S72" s="15"/>
      <c r="W72" s="14"/>
    </row>
    <row r="73" spans="1:23" hidden="1" x14ac:dyDescent="0.25">
      <c r="A73" s="16"/>
      <c r="B73" s="17" t="b">
        <f t="shared" si="16"/>
        <v>0</v>
      </c>
      <c r="C73" s="17" t="b">
        <f t="shared" si="24"/>
        <v>0</v>
      </c>
      <c r="D73" s="17">
        <f t="shared" si="10"/>
        <v>1</v>
      </c>
      <c r="E73" s="17" t="str">
        <f t="shared" si="15"/>
        <v>Section 5 - Conclusion, And FREE Coupon For Next Course</v>
      </c>
      <c r="F73" s="18" t="str">
        <f t="shared" si="11"/>
        <v/>
      </c>
      <c r="G73" s="13" t="str">
        <f t="shared" si="17"/>
        <v/>
      </c>
      <c r="H73">
        <f t="shared" si="18"/>
        <v>0</v>
      </c>
      <c r="I73">
        <f t="shared" si="19"/>
        <v>0</v>
      </c>
      <c r="J73" s="13">
        <f t="shared" si="20"/>
        <v>85</v>
      </c>
      <c r="K73">
        <f t="shared" si="12"/>
        <v>1</v>
      </c>
      <c r="L73">
        <f t="shared" si="13"/>
        <v>25</v>
      </c>
      <c r="M73" s="13">
        <f t="shared" si="21"/>
        <v>1</v>
      </c>
      <c r="N73">
        <f t="shared" si="21"/>
        <v>24</v>
      </c>
      <c r="O73" s="14">
        <f t="shared" si="7"/>
        <v>84</v>
      </c>
      <c r="P73" s="13">
        <f t="shared" si="14"/>
        <v>1</v>
      </c>
      <c r="Q73">
        <f t="shared" si="22"/>
        <v>24</v>
      </c>
      <c r="R73" s="14">
        <f t="shared" si="23"/>
        <v>84</v>
      </c>
      <c r="S73" s="15"/>
      <c r="W73" s="14"/>
    </row>
    <row r="74" spans="1:23" hidden="1" x14ac:dyDescent="0.25">
      <c r="A74" s="16"/>
      <c r="B74" s="17" t="b">
        <f t="shared" si="16"/>
        <v>0</v>
      </c>
      <c r="C74" s="17" t="b">
        <f t="shared" si="24"/>
        <v>0</v>
      </c>
      <c r="D74" s="17">
        <f t="shared" si="10"/>
        <v>1</v>
      </c>
      <c r="E74" s="17" t="str">
        <f t="shared" si="15"/>
        <v>Section 5 - Conclusion, And FREE Coupon For Next Course</v>
      </c>
      <c r="F74" s="18" t="str">
        <f t="shared" si="11"/>
        <v/>
      </c>
      <c r="G74" s="13" t="str">
        <f t="shared" si="17"/>
        <v/>
      </c>
      <c r="H74">
        <f t="shared" si="18"/>
        <v>0</v>
      </c>
      <c r="I74">
        <f t="shared" si="19"/>
        <v>0</v>
      </c>
      <c r="J74" s="13">
        <f t="shared" si="20"/>
        <v>85</v>
      </c>
      <c r="K74">
        <f t="shared" si="12"/>
        <v>1</v>
      </c>
      <c r="L74">
        <f t="shared" si="13"/>
        <v>25</v>
      </c>
      <c r="M74" s="13">
        <f t="shared" si="21"/>
        <v>1</v>
      </c>
      <c r="N74">
        <f t="shared" si="21"/>
        <v>24</v>
      </c>
      <c r="O74" s="14">
        <f t="shared" ref="O74:O137" si="25">((M74*60)+N74)</f>
        <v>84</v>
      </c>
      <c r="P74" s="13">
        <f t="shared" si="14"/>
        <v>1</v>
      </c>
      <c r="Q74">
        <f t="shared" si="22"/>
        <v>24</v>
      </c>
      <c r="R74" s="14">
        <f t="shared" si="23"/>
        <v>84</v>
      </c>
      <c r="S74" s="15"/>
      <c r="W74" s="14"/>
    </row>
    <row r="75" spans="1:23" hidden="1" x14ac:dyDescent="0.25">
      <c r="A75" s="16"/>
      <c r="B75" s="17" t="b">
        <f t="shared" si="16"/>
        <v>0</v>
      </c>
      <c r="C75" s="17" t="b">
        <f t="shared" si="24"/>
        <v>0</v>
      </c>
      <c r="D75" s="17">
        <f t="shared" ref="D75:D138" si="26">IF(B75,0,IF(C75,D74+1,D74))</f>
        <v>1</v>
      </c>
      <c r="E75" s="17" t="str">
        <f t="shared" si="15"/>
        <v>Section 5 - Conclusion, And FREE Coupon For Next Course</v>
      </c>
      <c r="F75" s="18" t="str">
        <f t="shared" ref="F75:F138" si="27">IF(C75,A75,"")</f>
        <v/>
      </c>
      <c r="G75" s="13" t="str">
        <f t="shared" si="17"/>
        <v/>
      </c>
      <c r="H75">
        <f t="shared" si="18"/>
        <v>0</v>
      </c>
      <c r="I75">
        <f t="shared" si="19"/>
        <v>0</v>
      </c>
      <c r="J75" s="13">
        <f t="shared" si="20"/>
        <v>85</v>
      </c>
      <c r="K75">
        <f t="shared" ref="K75:K138" si="28">INT(J75/60)</f>
        <v>1</v>
      </c>
      <c r="L75">
        <f t="shared" ref="L75:L138" si="29">INT(J75-(K75*60))</f>
        <v>25</v>
      </c>
      <c r="M75" s="13">
        <f t="shared" si="21"/>
        <v>1</v>
      </c>
      <c r="N75">
        <f t="shared" si="21"/>
        <v>24</v>
      </c>
      <c r="O75" s="14">
        <f t="shared" si="25"/>
        <v>84</v>
      </c>
      <c r="P75" s="13">
        <f t="shared" ref="P75:P138" si="30">INT(R75/60)</f>
        <v>1</v>
      </c>
      <c r="Q75">
        <f t="shared" si="22"/>
        <v>24</v>
      </c>
      <c r="R75" s="14">
        <f t="shared" si="23"/>
        <v>84</v>
      </c>
      <c r="S75" s="15"/>
      <c r="W75" s="14"/>
    </row>
    <row r="76" spans="1:23" hidden="1" x14ac:dyDescent="0.25">
      <c r="A76" s="16"/>
      <c r="B76" s="17" t="b">
        <f t="shared" si="16"/>
        <v>0</v>
      </c>
      <c r="C76" s="17" t="b">
        <f t="shared" si="24"/>
        <v>0</v>
      </c>
      <c r="D76" s="17">
        <f t="shared" si="26"/>
        <v>1</v>
      </c>
      <c r="E76" s="17" t="str">
        <f t="shared" ref="E76:E139" si="31">SUBSTITUTE(IF(B76,A76,E75),":", " -")</f>
        <v>Section 5 - Conclusion, And FREE Coupon For Next Course</v>
      </c>
      <c r="F76" s="18" t="str">
        <f t="shared" si="27"/>
        <v/>
      </c>
      <c r="G76" s="13" t="str">
        <f t="shared" si="17"/>
        <v/>
      </c>
      <c r="H76">
        <f t="shared" si="18"/>
        <v>0</v>
      </c>
      <c r="I76">
        <f t="shared" si="19"/>
        <v>0</v>
      </c>
      <c r="J76" s="13">
        <f t="shared" si="20"/>
        <v>85</v>
      </c>
      <c r="K76">
        <f t="shared" si="28"/>
        <v>1</v>
      </c>
      <c r="L76">
        <f t="shared" si="29"/>
        <v>25</v>
      </c>
      <c r="M76" s="13">
        <f t="shared" si="21"/>
        <v>1</v>
      </c>
      <c r="N76">
        <f t="shared" si="21"/>
        <v>24</v>
      </c>
      <c r="O76" s="14">
        <f t="shared" si="25"/>
        <v>84</v>
      </c>
      <c r="P76" s="13">
        <f t="shared" si="30"/>
        <v>1</v>
      </c>
      <c r="Q76">
        <f t="shared" si="22"/>
        <v>24</v>
      </c>
      <c r="R76" s="14">
        <f t="shared" si="23"/>
        <v>84</v>
      </c>
      <c r="S76" s="15"/>
      <c r="W76" s="14"/>
    </row>
    <row r="77" spans="1:23" hidden="1" x14ac:dyDescent="0.25">
      <c r="A77" s="16"/>
      <c r="B77" s="17" t="b">
        <f t="shared" si="16"/>
        <v>0</v>
      </c>
      <c r="C77" s="17" t="b">
        <f t="shared" si="24"/>
        <v>0</v>
      </c>
      <c r="D77" s="17">
        <f t="shared" si="26"/>
        <v>1</v>
      </c>
      <c r="E77" s="17" t="str">
        <f t="shared" si="31"/>
        <v>Section 5 - Conclusion, And FREE Coupon For Next Course</v>
      </c>
      <c r="F77" s="18" t="str">
        <f t="shared" si="27"/>
        <v/>
      </c>
      <c r="G77" s="13" t="str">
        <f t="shared" si="17"/>
        <v/>
      </c>
      <c r="H77">
        <f t="shared" si="18"/>
        <v>0</v>
      </c>
      <c r="I77">
        <f t="shared" si="19"/>
        <v>0</v>
      </c>
      <c r="J77" s="13">
        <f t="shared" si="20"/>
        <v>85</v>
      </c>
      <c r="K77">
        <f t="shared" si="28"/>
        <v>1</v>
      </c>
      <c r="L77">
        <f t="shared" si="29"/>
        <v>25</v>
      </c>
      <c r="M77" s="13">
        <f t="shared" si="21"/>
        <v>1</v>
      </c>
      <c r="N77">
        <f t="shared" si="21"/>
        <v>24</v>
      </c>
      <c r="O77" s="14">
        <f t="shared" si="25"/>
        <v>84</v>
      </c>
      <c r="P77" s="13">
        <f t="shared" si="30"/>
        <v>1</v>
      </c>
      <c r="Q77">
        <f t="shared" si="22"/>
        <v>24</v>
      </c>
      <c r="R77" s="14">
        <f t="shared" si="23"/>
        <v>84</v>
      </c>
      <c r="S77" s="15"/>
      <c r="W77" s="14"/>
    </row>
    <row r="78" spans="1:23" hidden="1" x14ac:dyDescent="0.25">
      <c r="A78" s="16"/>
      <c r="B78" s="17" t="b">
        <f t="shared" si="16"/>
        <v>0</v>
      </c>
      <c r="C78" s="17" t="b">
        <f t="shared" si="24"/>
        <v>0</v>
      </c>
      <c r="D78" s="17">
        <f t="shared" si="26"/>
        <v>1</v>
      </c>
      <c r="E78" s="17" t="str">
        <f t="shared" si="31"/>
        <v>Section 5 - Conclusion, And FREE Coupon For Next Course</v>
      </c>
      <c r="F78" s="18" t="str">
        <f t="shared" si="27"/>
        <v/>
      </c>
      <c r="G78" s="13" t="str">
        <f t="shared" si="17"/>
        <v/>
      </c>
      <c r="H78">
        <f t="shared" si="18"/>
        <v>0</v>
      </c>
      <c r="I78">
        <f t="shared" si="19"/>
        <v>0</v>
      </c>
      <c r="J78" s="13">
        <f t="shared" si="20"/>
        <v>85</v>
      </c>
      <c r="K78">
        <f t="shared" si="28"/>
        <v>1</v>
      </c>
      <c r="L78">
        <f t="shared" si="29"/>
        <v>25</v>
      </c>
      <c r="M78" s="13">
        <f t="shared" si="21"/>
        <v>1</v>
      </c>
      <c r="N78">
        <f t="shared" si="21"/>
        <v>24</v>
      </c>
      <c r="O78" s="14">
        <f t="shared" si="25"/>
        <v>84</v>
      </c>
      <c r="P78" s="13">
        <f t="shared" si="30"/>
        <v>1</v>
      </c>
      <c r="Q78">
        <f t="shared" si="22"/>
        <v>24</v>
      </c>
      <c r="R78" s="14">
        <f t="shared" si="23"/>
        <v>84</v>
      </c>
      <c r="S78" s="15"/>
      <c r="W78" s="14"/>
    </row>
    <row r="79" spans="1:23" hidden="1" x14ac:dyDescent="0.25">
      <c r="A79" s="16"/>
      <c r="B79" s="17" t="b">
        <f t="shared" si="16"/>
        <v>0</v>
      </c>
      <c r="C79" s="17" t="b">
        <f t="shared" si="24"/>
        <v>0</v>
      </c>
      <c r="D79" s="17">
        <f t="shared" si="26"/>
        <v>1</v>
      </c>
      <c r="E79" s="17" t="str">
        <f t="shared" si="31"/>
        <v>Section 5 - Conclusion, And FREE Coupon For Next Course</v>
      </c>
      <c r="F79" s="18" t="str">
        <f t="shared" si="27"/>
        <v/>
      </c>
      <c r="G79" s="13" t="str">
        <f t="shared" si="17"/>
        <v/>
      </c>
      <c r="H79">
        <f t="shared" si="18"/>
        <v>0</v>
      </c>
      <c r="I79">
        <f t="shared" si="19"/>
        <v>0</v>
      </c>
      <c r="J79" s="13">
        <f t="shared" si="20"/>
        <v>85</v>
      </c>
      <c r="K79">
        <f t="shared" si="28"/>
        <v>1</v>
      </c>
      <c r="L79">
        <f t="shared" si="29"/>
        <v>25</v>
      </c>
      <c r="M79" s="13">
        <f t="shared" si="21"/>
        <v>1</v>
      </c>
      <c r="N79">
        <f t="shared" si="21"/>
        <v>24</v>
      </c>
      <c r="O79" s="14">
        <f t="shared" si="25"/>
        <v>84</v>
      </c>
      <c r="P79" s="13">
        <f t="shared" si="30"/>
        <v>1</v>
      </c>
      <c r="Q79">
        <f t="shared" si="22"/>
        <v>24</v>
      </c>
      <c r="R79" s="14">
        <f t="shared" si="23"/>
        <v>84</v>
      </c>
      <c r="S79" s="15"/>
      <c r="W79" s="14"/>
    </row>
    <row r="80" spans="1:23" hidden="1" x14ac:dyDescent="0.25">
      <c r="A80" s="16"/>
      <c r="B80" s="17" t="b">
        <f t="shared" si="16"/>
        <v>0</v>
      </c>
      <c r="C80" s="17" t="b">
        <f t="shared" si="24"/>
        <v>0</v>
      </c>
      <c r="D80" s="17">
        <f t="shared" si="26"/>
        <v>1</v>
      </c>
      <c r="E80" s="17" t="str">
        <f t="shared" si="31"/>
        <v>Section 5 - Conclusion, And FREE Coupon For Next Course</v>
      </c>
      <c r="F80" s="18" t="str">
        <f t="shared" si="27"/>
        <v/>
      </c>
      <c r="G80" s="13" t="str">
        <f t="shared" si="17"/>
        <v/>
      </c>
      <c r="H80">
        <f t="shared" si="18"/>
        <v>0</v>
      </c>
      <c r="I80">
        <f t="shared" si="19"/>
        <v>0</v>
      </c>
      <c r="J80" s="13">
        <f t="shared" si="20"/>
        <v>85</v>
      </c>
      <c r="K80">
        <f t="shared" si="28"/>
        <v>1</v>
      </c>
      <c r="L80">
        <f t="shared" si="29"/>
        <v>25</v>
      </c>
      <c r="M80" s="13">
        <f t="shared" si="21"/>
        <v>1</v>
      </c>
      <c r="N80">
        <f t="shared" si="21"/>
        <v>24</v>
      </c>
      <c r="O80" s="14">
        <f t="shared" si="25"/>
        <v>84</v>
      </c>
      <c r="P80" s="13">
        <f t="shared" si="30"/>
        <v>1</v>
      </c>
      <c r="Q80">
        <f t="shared" si="22"/>
        <v>24</v>
      </c>
      <c r="R80" s="14">
        <f t="shared" si="23"/>
        <v>84</v>
      </c>
      <c r="S80" s="15"/>
      <c r="W80" s="14"/>
    </row>
    <row r="81" spans="1:23" hidden="1" x14ac:dyDescent="0.25">
      <c r="A81" s="16"/>
      <c r="B81" s="17" t="b">
        <f t="shared" si="16"/>
        <v>0</v>
      </c>
      <c r="C81" s="17" t="b">
        <f t="shared" si="24"/>
        <v>0</v>
      </c>
      <c r="D81" s="17">
        <f t="shared" si="26"/>
        <v>1</v>
      </c>
      <c r="E81" s="17" t="str">
        <f t="shared" si="31"/>
        <v>Section 5 - Conclusion, And FREE Coupon For Next Course</v>
      </c>
      <c r="F81" s="18" t="str">
        <f t="shared" si="27"/>
        <v/>
      </c>
      <c r="G81" s="13" t="str">
        <f t="shared" si="17"/>
        <v/>
      </c>
      <c r="H81">
        <f t="shared" si="18"/>
        <v>0</v>
      </c>
      <c r="I81">
        <f t="shared" si="19"/>
        <v>0</v>
      </c>
      <c r="J81" s="13">
        <f t="shared" si="20"/>
        <v>85</v>
      </c>
      <c r="K81">
        <f t="shared" si="28"/>
        <v>1</v>
      </c>
      <c r="L81">
        <f t="shared" si="29"/>
        <v>25</v>
      </c>
      <c r="M81" s="13">
        <f t="shared" si="21"/>
        <v>1</v>
      </c>
      <c r="N81">
        <f t="shared" si="21"/>
        <v>24</v>
      </c>
      <c r="O81" s="14">
        <f t="shared" si="25"/>
        <v>84</v>
      </c>
      <c r="P81" s="13">
        <f t="shared" si="30"/>
        <v>1</v>
      </c>
      <c r="Q81">
        <f t="shared" si="22"/>
        <v>24</v>
      </c>
      <c r="R81" s="14">
        <f t="shared" si="23"/>
        <v>84</v>
      </c>
      <c r="S81" s="15"/>
      <c r="W81" s="14"/>
    </row>
    <row r="82" spans="1:23" hidden="1" x14ac:dyDescent="0.25">
      <c r="A82" s="16"/>
      <c r="B82" s="17" t="b">
        <f t="shared" ref="B82:B145" si="32">AND(NOT(ISERROR(FIND("Section ",A82))),NOT(ISERROR(FIND("Section ",A82))))</f>
        <v>0</v>
      </c>
      <c r="C82" s="17" t="b">
        <f t="shared" si="24"/>
        <v>0</v>
      </c>
      <c r="D82" s="17">
        <f t="shared" si="26"/>
        <v>1</v>
      </c>
      <c r="E82" s="17" t="str">
        <f t="shared" si="31"/>
        <v>Section 5 - Conclusion, And FREE Coupon For Next Course</v>
      </c>
      <c r="F82" s="18" t="str">
        <f t="shared" si="27"/>
        <v/>
      </c>
      <c r="G82" s="13" t="str">
        <f t="shared" si="17"/>
        <v/>
      </c>
      <c r="H82">
        <f t="shared" si="18"/>
        <v>0</v>
      </c>
      <c r="I82">
        <f t="shared" si="19"/>
        <v>0</v>
      </c>
      <c r="J82" s="13">
        <f t="shared" si="20"/>
        <v>85</v>
      </c>
      <c r="K82">
        <f t="shared" si="28"/>
        <v>1</v>
      </c>
      <c r="L82">
        <f t="shared" si="29"/>
        <v>25</v>
      </c>
      <c r="M82" s="13">
        <f t="shared" si="21"/>
        <v>1</v>
      </c>
      <c r="N82">
        <f t="shared" si="21"/>
        <v>24</v>
      </c>
      <c r="O82" s="14">
        <f t="shared" si="25"/>
        <v>84</v>
      </c>
      <c r="P82" s="13">
        <f t="shared" si="30"/>
        <v>1</v>
      </c>
      <c r="Q82">
        <f t="shared" si="22"/>
        <v>24</v>
      </c>
      <c r="R82" s="14">
        <f t="shared" si="23"/>
        <v>84</v>
      </c>
      <c r="S82" s="15"/>
      <c r="W82" s="14"/>
    </row>
    <row r="83" spans="1:23" hidden="1" x14ac:dyDescent="0.25">
      <c r="A83" s="16"/>
      <c r="B83" s="17" t="b">
        <f t="shared" si="32"/>
        <v>0</v>
      </c>
      <c r="C83" s="17" t="b">
        <f t="shared" si="24"/>
        <v>0</v>
      </c>
      <c r="D83" s="17">
        <f t="shared" si="26"/>
        <v>1</v>
      </c>
      <c r="E83" s="17" t="str">
        <f t="shared" si="31"/>
        <v>Section 5 - Conclusion, And FREE Coupon For Next Course</v>
      </c>
      <c r="F83" s="18" t="str">
        <f t="shared" si="27"/>
        <v/>
      </c>
      <c r="G83" s="13" t="str">
        <f t="shared" si="17"/>
        <v/>
      </c>
      <c r="H83">
        <f t="shared" si="18"/>
        <v>0</v>
      </c>
      <c r="I83">
        <f t="shared" si="19"/>
        <v>0</v>
      </c>
      <c r="J83" s="13">
        <f t="shared" si="20"/>
        <v>85</v>
      </c>
      <c r="K83">
        <f t="shared" si="28"/>
        <v>1</v>
      </c>
      <c r="L83">
        <f t="shared" si="29"/>
        <v>25</v>
      </c>
      <c r="M83" s="13">
        <f t="shared" si="21"/>
        <v>1</v>
      </c>
      <c r="N83">
        <f t="shared" si="21"/>
        <v>24</v>
      </c>
      <c r="O83" s="14">
        <f t="shared" si="25"/>
        <v>84</v>
      </c>
      <c r="P83" s="13">
        <f t="shared" si="30"/>
        <v>1</v>
      </c>
      <c r="Q83">
        <f t="shared" si="22"/>
        <v>24</v>
      </c>
      <c r="R83" s="14">
        <f t="shared" si="23"/>
        <v>84</v>
      </c>
      <c r="S83" s="15"/>
      <c r="W83" s="14"/>
    </row>
    <row r="84" spans="1:23" hidden="1" x14ac:dyDescent="0.25">
      <c r="A84" s="16"/>
      <c r="B84" s="17" t="b">
        <f t="shared" si="32"/>
        <v>0</v>
      </c>
      <c r="C84" s="17" t="b">
        <f t="shared" si="24"/>
        <v>0</v>
      </c>
      <c r="D84" s="17">
        <f t="shared" si="26"/>
        <v>1</v>
      </c>
      <c r="E84" s="17" t="str">
        <f t="shared" si="31"/>
        <v>Section 5 - Conclusion, And FREE Coupon For Next Course</v>
      </c>
      <c r="F84" s="18" t="str">
        <f t="shared" si="27"/>
        <v/>
      </c>
      <c r="G84" s="13" t="str">
        <f t="shared" si="17"/>
        <v/>
      </c>
      <c r="H84">
        <f t="shared" si="18"/>
        <v>0</v>
      </c>
      <c r="I84">
        <f t="shared" si="19"/>
        <v>0</v>
      </c>
      <c r="J84" s="13">
        <f t="shared" si="20"/>
        <v>85</v>
      </c>
      <c r="K84">
        <f t="shared" si="28"/>
        <v>1</v>
      </c>
      <c r="L84">
        <f t="shared" si="29"/>
        <v>25</v>
      </c>
      <c r="M84" s="13">
        <f t="shared" si="21"/>
        <v>1</v>
      </c>
      <c r="N84">
        <f t="shared" si="21"/>
        <v>24</v>
      </c>
      <c r="O84" s="14">
        <f t="shared" si="25"/>
        <v>84</v>
      </c>
      <c r="P84" s="13">
        <f t="shared" si="30"/>
        <v>1</v>
      </c>
      <c r="Q84">
        <f t="shared" si="22"/>
        <v>24</v>
      </c>
      <c r="R84" s="14">
        <f t="shared" si="23"/>
        <v>84</v>
      </c>
      <c r="S84" s="15"/>
      <c r="W84" s="14"/>
    </row>
    <row r="85" spans="1:23" hidden="1" x14ac:dyDescent="0.25">
      <c r="A85" s="16"/>
      <c r="B85" s="17" t="b">
        <f t="shared" si="32"/>
        <v>0</v>
      </c>
      <c r="C85" s="17" t="b">
        <f t="shared" si="24"/>
        <v>0</v>
      </c>
      <c r="D85" s="17">
        <f t="shared" si="26"/>
        <v>1</v>
      </c>
      <c r="E85" s="17" t="str">
        <f t="shared" si="31"/>
        <v>Section 5 - Conclusion, And FREE Coupon For Next Course</v>
      </c>
      <c r="F85" s="18" t="str">
        <f t="shared" si="27"/>
        <v/>
      </c>
      <c r="G85" s="13" t="str">
        <f t="shared" ref="G85:G148" si="33">IF(C85,A86,"")</f>
        <v/>
      </c>
      <c r="H85">
        <f t="shared" ref="H85:H148" si="34">VALUE(IF(NOT(ISERROR(FIND("hr",G85))),LEFT(G85,FIND("hr",G85)-1),0))</f>
        <v>0</v>
      </c>
      <c r="I85">
        <f t="shared" ref="I85:I148" si="35">VALUE(IF(ISERROR(FIND("min",G85)),0,SUBSTITUTE(MID(G85,IF(ISERROR(FIND("hr ",G85)),1,FIND("hr ",G85)+3),LEN(G85)),"min","")))</f>
        <v>0</v>
      </c>
      <c r="J85" s="13">
        <f t="shared" ref="J85:J148" si="36">J84+(H85*60+I85)</f>
        <v>85</v>
      </c>
      <c r="K85">
        <f t="shared" si="28"/>
        <v>1</v>
      </c>
      <c r="L85">
        <f t="shared" si="29"/>
        <v>25</v>
      </c>
      <c r="M85" s="13">
        <f t="shared" ref="M85:N148" si="37">P84</f>
        <v>1</v>
      </c>
      <c r="N85">
        <f t="shared" si="37"/>
        <v>24</v>
      </c>
      <c r="O85" s="14">
        <f t="shared" si="25"/>
        <v>84</v>
      </c>
      <c r="P85" s="13">
        <f t="shared" si="30"/>
        <v>1</v>
      </c>
      <c r="Q85">
        <f t="shared" ref="Q85:Q148" si="38">R85-(P85*60)</f>
        <v>24</v>
      </c>
      <c r="R85" s="14">
        <f t="shared" ref="R85:R148" si="39">((H85*60)+I85)+O85</f>
        <v>84</v>
      </c>
      <c r="S85" s="15"/>
      <c r="W85" s="14"/>
    </row>
    <row r="86" spans="1:23" hidden="1" x14ac:dyDescent="0.25">
      <c r="A86" s="16"/>
      <c r="B86" s="17" t="b">
        <f t="shared" si="32"/>
        <v>0</v>
      </c>
      <c r="C86" s="17" t="b">
        <f t="shared" si="24"/>
        <v>0</v>
      </c>
      <c r="D86" s="17">
        <f t="shared" si="26"/>
        <v>1</v>
      </c>
      <c r="E86" s="17" t="str">
        <f t="shared" si="31"/>
        <v>Section 5 - Conclusion, And FREE Coupon For Next Course</v>
      </c>
      <c r="F86" s="18" t="str">
        <f t="shared" si="27"/>
        <v/>
      </c>
      <c r="G86" s="13" t="str">
        <f t="shared" si="33"/>
        <v/>
      </c>
      <c r="H86">
        <f t="shared" si="34"/>
        <v>0</v>
      </c>
      <c r="I86">
        <f t="shared" si="35"/>
        <v>0</v>
      </c>
      <c r="J86" s="13">
        <f t="shared" si="36"/>
        <v>85</v>
      </c>
      <c r="K86">
        <f t="shared" si="28"/>
        <v>1</v>
      </c>
      <c r="L86">
        <f t="shared" si="29"/>
        <v>25</v>
      </c>
      <c r="M86" s="13">
        <f t="shared" si="37"/>
        <v>1</v>
      </c>
      <c r="N86">
        <f t="shared" si="37"/>
        <v>24</v>
      </c>
      <c r="O86" s="14">
        <f t="shared" si="25"/>
        <v>84</v>
      </c>
      <c r="P86" s="13">
        <f t="shared" si="30"/>
        <v>1</v>
      </c>
      <c r="Q86">
        <f t="shared" si="38"/>
        <v>24</v>
      </c>
      <c r="R86" s="14">
        <f t="shared" si="39"/>
        <v>84</v>
      </c>
      <c r="S86" s="15"/>
      <c r="W86" s="14"/>
    </row>
    <row r="87" spans="1:23" hidden="1" x14ac:dyDescent="0.25">
      <c r="A87" s="16"/>
      <c r="B87" s="17" t="b">
        <f t="shared" si="32"/>
        <v>0</v>
      </c>
      <c r="C87" s="17" t="b">
        <f t="shared" si="24"/>
        <v>0</v>
      </c>
      <c r="D87" s="17">
        <f t="shared" si="26"/>
        <v>1</v>
      </c>
      <c r="E87" s="17" t="str">
        <f t="shared" si="31"/>
        <v>Section 5 - Conclusion, And FREE Coupon For Next Course</v>
      </c>
      <c r="F87" s="18" t="str">
        <f t="shared" si="27"/>
        <v/>
      </c>
      <c r="G87" s="13" t="str">
        <f t="shared" si="33"/>
        <v/>
      </c>
      <c r="H87">
        <f t="shared" si="34"/>
        <v>0</v>
      </c>
      <c r="I87">
        <f t="shared" si="35"/>
        <v>0</v>
      </c>
      <c r="J87" s="13">
        <f t="shared" si="36"/>
        <v>85</v>
      </c>
      <c r="K87">
        <f t="shared" si="28"/>
        <v>1</v>
      </c>
      <c r="L87">
        <f t="shared" si="29"/>
        <v>25</v>
      </c>
      <c r="M87" s="13">
        <f t="shared" si="37"/>
        <v>1</v>
      </c>
      <c r="N87">
        <f t="shared" si="37"/>
        <v>24</v>
      </c>
      <c r="O87" s="14">
        <f t="shared" si="25"/>
        <v>84</v>
      </c>
      <c r="P87" s="13">
        <f t="shared" si="30"/>
        <v>1</v>
      </c>
      <c r="Q87">
        <f t="shared" si="38"/>
        <v>24</v>
      </c>
      <c r="R87" s="14">
        <f t="shared" si="39"/>
        <v>84</v>
      </c>
      <c r="S87" s="15"/>
      <c r="W87" s="14"/>
    </row>
    <row r="88" spans="1:23" hidden="1" x14ac:dyDescent="0.25">
      <c r="A88" s="16"/>
      <c r="B88" s="17" t="b">
        <f t="shared" si="32"/>
        <v>0</v>
      </c>
      <c r="C88" s="17" t="b">
        <f t="shared" si="24"/>
        <v>0</v>
      </c>
      <c r="D88" s="17">
        <f t="shared" si="26"/>
        <v>1</v>
      </c>
      <c r="E88" s="17" t="str">
        <f t="shared" si="31"/>
        <v>Section 5 - Conclusion, And FREE Coupon For Next Course</v>
      </c>
      <c r="F88" s="18" t="str">
        <f t="shared" si="27"/>
        <v/>
      </c>
      <c r="G88" s="13" t="str">
        <f t="shared" si="33"/>
        <v/>
      </c>
      <c r="H88">
        <f t="shared" si="34"/>
        <v>0</v>
      </c>
      <c r="I88">
        <f t="shared" si="35"/>
        <v>0</v>
      </c>
      <c r="J88" s="13">
        <f t="shared" si="36"/>
        <v>85</v>
      </c>
      <c r="K88">
        <f t="shared" si="28"/>
        <v>1</v>
      </c>
      <c r="L88">
        <f t="shared" si="29"/>
        <v>25</v>
      </c>
      <c r="M88" s="13">
        <f t="shared" si="37"/>
        <v>1</v>
      </c>
      <c r="N88">
        <f t="shared" si="37"/>
        <v>24</v>
      </c>
      <c r="O88" s="14">
        <f t="shared" si="25"/>
        <v>84</v>
      </c>
      <c r="P88" s="13">
        <f t="shared" si="30"/>
        <v>1</v>
      </c>
      <c r="Q88">
        <f t="shared" si="38"/>
        <v>24</v>
      </c>
      <c r="R88" s="14">
        <f t="shared" si="39"/>
        <v>84</v>
      </c>
      <c r="S88" s="15"/>
      <c r="W88" s="14"/>
    </row>
    <row r="89" spans="1:23" hidden="1" x14ac:dyDescent="0.25">
      <c r="A89" s="16"/>
      <c r="B89" s="17" t="b">
        <f t="shared" si="32"/>
        <v>0</v>
      </c>
      <c r="C89" s="17" t="b">
        <f t="shared" si="24"/>
        <v>0</v>
      </c>
      <c r="D89" s="17">
        <f t="shared" si="26"/>
        <v>1</v>
      </c>
      <c r="E89" s="17" t="str">
        <f t="shared" si="31"/>
        <v>Section 5 - Conclusion, And FREE Coupon For Next Course</v>
      </c>
      <c r="F89" s="18" t="str">
        <f t="shared" si="27"/>
        <v/>
      </c>
      <c r="G89" s="13" t="str">
        <f t="shared" si="33"/>
        <v/>
      </c>
      <c r="H89">
        <f t="shared" si="34"/>
        <v>0</v>
      </c>
      <c r="I89">
        <f t="shared" si="35"/>
        <v>0</v>
      </c>
      <c r="J89" s="13">
        <f t="shared" si="36"/>
        <v>85</v>
      </c>
      <c r="K89">
        <f t="shared" si="28"/>
        <v>1</v>
      </c>
      <c r="L89">
        <f t="shared" si="29"/>
        <v>25</v>
      </c>
      <c r="M89" s="13">
        <f t="shared" si="37"/>
        <v>1</v>
      </c>
      <c r="N89">
        <f t="shared" si="37"/>
        <v>24</v>
      </c>
      <c r="O89" s="14">
        <f t="shared" si="25"/>
        <v>84</v>
      </c>
      <c r="P89" s="13">
        <f t="shared" si="30"/>
        <v>1</v>
      </c>
      <c r="Q89">
        <f t="shared" si="38"/>
        <v>24</v>
      </c>
      <c r="R89" s="14">
        <f t="shared" si="39"/>
        <v>84</v>
      </c>
      <c r="S89" s="15"/>
      <c r="W89" s="14"/>
    </row>
    <row r="90" spans="1:23" hidden="1" x14ac:dyDescent="0.25">
      <c r="A90" s="16"/>
      <c r="B90" s="17" t="b">
        <f t="shared" si="32"/>
        <v>0</v>
      </c>
      <c r="C90" s="17" t="b">
        <f t="shared" si="24"/>
        <v>0</v>
      </c>
      <c r="D90" s="17">
        <f t="shared" si="26"/>
        <v>1</v>
      </c>
      <c r="E90" s="17" t="str">
        <f t="shared" si="31"/>
        <v>Section 5 - Conclusion, And FREE Coupon For Next Course</v>
      </c>
      <c r="F90" s="18" t="str">
        <f t="shared" si="27"/>
        <v/>
      </c>
      <c r="G90" s="13" t="str">
        <f t="shared" si="33"/>
        <v/>
      </c>
      <c r="H90">
        <f t="shared" si="34"/>
        <v>0</v>
      </c>
      <c r="I90">
        <f t="shared" si="35"/>
        <v>0</v>
      </c>
      <c r="J90" s="13">
        <f t="shared" si="36"/>
        <v>85</v>
      </c>
      <c r="K90">
        <f t="shared" si="28"/>
        <v>1</v>
      </c>
      <c r="L90">
        <f t="shared" si="29"/>
        <v>25</v>
      </c>
      <c r="M90" s="13">
        <f t="shared" si="37"/>
        <v>1</v>
      </c>
      <c r="N90">
        <f t="shared" si="37"/>
        <v>24</v>
      </c>
      <c r="O90" s="14">
        <f t="shared" si="25"/>
        <v>84</v>
      </c>
      <c r="P90" s="13">
        <f t="shared" si="30"/>
        <v>1</v>
      </c>
      <c r="Q90">
        <f t="shared" si="38"/>
        <v>24</v>
      </c>
      <c r="R90" s="14">
        <f t="shared" si="39"/>
        <v>84</v>
      </c>
      <c r="S90" s="15"/>
      <c r="W90" s="14"/>
    </row>
    <row r="91" spans="1:23" hidden="1" x14ac:dyDescent="0.25">
      <c r="A91" s="16"/>
      <c r="B91" s="17" t="b">
        <f t="shared" si="32"/>
        <v>0</v>
      </c>
      <c r="C91" s="17" t="b">
        <f t="shared" si="24"/>
        <v>0</v>
      </c>
      <c r="D91" s="17">
        <f t="shared" si="26"/>
        <v>1</v>
      </c>
      <c r="E91" s="17" t="str">
        <f t="shared" si="31"/>
        <v>Section 5 - Conclusion, And FREE Coupon For Next Course</v>
      </c>
      <c r="F91" s="18" t="str">
        <f t="shared" si="27"/>
        <v/>
      </c>
      <c r="G91" s="13" t="str">
        <f t="shared" si="33"/>
        <v/>
      </c>
      <c r="H91">
        <f t="shared" si="34"/>
        <v>0</v>
      </c>
      <c r="I91">
        <f t="shared" si="35"/>
        <v>0</v>
      </c>
      <c r="J91" s="13">
        <f t="shared" si="36"/>
        <v>85</v>
      </c>
      <c r="K91">
        <f t="shared" si="28"/>
        <v>1</v>
      </c>
      <c r="L91">
        <f t="shared" si="29"/>
        <v>25</v>
      </c>
      <c r="M91" s="13">
        <f t="shared" si="37"/>
        <v>1</v>
      </c>
      <c r="N91">
        <f t="shared" si="37"/>
        <v>24</v>
      </c>
      <c r="O91" s="14">
        <f t="shared" si="25"/>
        <v>84</v>
      </c>
      <c r="P91" s="13">
        <f t="shared" si="30"/>
        <v>1</v>
      </c>
      <c r="Q91">
        <f t="shared" si="38"/>
        <v>24</v>
      </c>
      <c r="R91" s="14">
        <f t="shared" si="39"/>
        <v>84</v>
      </c>
      <c r="S91" s="15"/>
      <c r="W91" s="14"/>
    </row>
    <row r="92" spans="1:23" hidden="1" x14ac:dyDescent="0.25">
      <c r="A92" s="16"/>
      <c r="B92" s="17" t="b">
        <f t="shared" si="32"/>
        <v>0</v>
      </c>
      <c r="C92" s="17" t="b">
        <f t="shared" si="24"/>
        <v>0</v>
      </c>
      <c r="D92" s="17">
        <f t="shared" si="26"/>
        <v>1</v>
      </c>
      <c r="E92" s="17" t="str">
        <f t="shared" si="31"/>
        <v>Section 5 - Conclusion, And FREE Coupon For Next Course</v>
      </c>
      <c r="F92" s="18" t="str">
        <f t="shared" si="27"/>
        <v/>
      </c>
      <c r="G92" s="13" t="str">
        <f t="shared" si="33"/>
        <v/>
      </c>
      <c r="H92">
        <f t="shared" si="34"/>
        <v>0</v>
      </c>
      <c r="I92">
        <f t="shared" si="35"/>
        <v>0</v>
      </c>
      <c r="J92" s="13">
        <f t="shared" si="36"/>
        <v>85</v>
      </c>
      <c r="K92">
        <f t="shared" si="28"/>
        <v>1</v>
      </c>
      <c r="L92">
        <f t="shared" si="29"/>
        <v>25</v>
      </c>
      <c r="M92" s="13">
        <f t="shared" si="37"/>
        <v>1</v>
      </c>
      <c r="N92">
        <f t="shared" si="37"/>
        <v>24</v>
      </c>
      <c r="O92" s="14">
        <f t="shared" si="25"/>
        <v>84</v>
      </c>
      <c r="P92" s="13">
        <f t="shared" si="30"/>
        <v>1</v>
      </c>
      <c r="Q92">
        <f t="shared" si="38"/>
        <v>24</v>
      </c>
      <c r="R92" s="14">
        <f t="shared" si="39"/>
        <v>84</v>
      </c>
      <c r="S92" s="15"/>
      <c r="W92" s="14"/>
    </row>
    <row r="93" spans="1:23" hidden="1" x14ac:dyDescent="0.25">
      <c r="A93" s="16"/>
      <c r="B93" s="17" t="b">
        <f t="shared" si="32"/>
        <v>0</v>
      </c>
      <c r="C93" s="17" t="b">
        <f t="shared" si="24"/>
        <v>0</v>
      </c>
      <c r="D93" s="17">
        <f t="shared" si="26"/>
        <v>1</v>
      </c>
      <c r="E93" s="17" t="str">
        <f t="shared" si="31"/>
        <v>Section 5 - Conclusion, And FREE Coupon For Next Course</v>
      </c>
      <c r="F93" s="18" t="str">
        <f t="shared" si="27"/>
        <v/>
      </c>
      <c r="G93" s="13" t="str">
        <f t="shared" si="33"/>
        <v/>
      </c>
      <c r="H93">
        <f t="shared" si="34"/>
        <v>0</v>
      </c>
      <c r="I93">
        <f t="shared" si="35"/>
        <v>0</v>
      </c>
      <c r="J93" s="13">
        <f t="shared" si="36"/>
        <v>85</v>
      </c>
      <c r="K93">
        <f t="shared" si="28"/>
        <v>1</v>
      </c>
      <c r="L93">
        <f t="shared" si="29"/>
        <v>25</v>
      </c>
      <c r="M93" s="13">
        <f t="shared" si="37"/>
        <v>1</v>
      </c>
      <c r="N93">
        <f t="shared" si="37"/>
        <v>24</v>
      </c>
      <c r="O93" s="14">
        <f t="shared" si="25"/>
        <v>84</v>
      </c>
      <c r="P93" s="13">
        <f t="shared" si="30"/>
        <v>1</v>
      </c>
      <c r="Q93">
        <f t="shared" si="38"/>
        <v>24</v>
      </c>
      <c r="R93" s="14">
        <f t="shared" si="39"/>
        <v>84</v>
      </c>
      <c r="S93" s="15"/>
      <c r="W93" s="14"/>
    </row>
    <row r="94" spans="1:23" hidden="1" x14ac:dyDescent="0.25">
      <c r="A94" s="16"/>
      <c r="B94" s="17" t="b">
        <f t="shared" si="32"/>
        <v>0</v>
      </c>
      <c r="C94" s="17" t="b">
        <f t="shared" si="24"/>
        <v>0</v>
      </c>
      <c r="D94" s="17">
        <f t="shared" si="26"/>
        <v>1</v>
      </c>
      <c r="E94" s="17" t="str">
        <f t="shared" si="31"/>
        <v>Section 5 - Conclusion, And FREE Coupon For Next Course</v>
      </c>
      <c r="F94" s="18" t="str">
        <f t="shared" si="27"/>
        <v/>
      </c>
      <c r="G94" s="13" t="str">
        <f t="shared" si="33"/>
        <v/>
      </c>
      <c r="H94">
        <f t="shared" si="34"/>
        <v>0</v>
      </c>
      <c r="I94">
        <f t="shared" si="35"/>
        <v>0</v>
      </c>
      <c r="J94" s="13">
        <f t="shared" si="36"/>
        <v>85</v>
      </c>
      <c r="K94">
        <f t="shared" si="28"/>
        <v>1</v>
      </c>
      <c r="L94">
        <f t="shared" si="29"/>
        <v>25</v>
      </c>
      <c r="M94" s="13">
        <f t="shared" si="37"/>
        <v>1</v>
      </c>
      <c r="N94">
        <f t="shared" si="37"/>
        <v>24</v>
      </c>
      <c r="O94" s="14">
        <f t="shared" si="25"/>
        <v>84</v>
      </c>
      <c r="P94" s="13">
        <f t="shared" si="30"/>
        <v>1</v>
      </c>
      <c r="Q94">
        <f t="shared" si="38"/>
        <v>24</v>
      </c>
      <c r="R94" s="14">
        <f t="shared" si="39"/>
        <v>84</v>
      </c>
      <c r="S94" s="15"/>
      <c r="W94" s="14"/>
    </row>
    <row r="95" spans="1:23" hidden="1" x14ac:dyDescent="0.25">
      <c r="A95" s="16"/>
      <c r="B95" s="17" t="b">
        <f t="shared" si="32"/>
        <v>0</v>
      </c>
      <c r="C95" s="17" t="b">
        <f t="shared" si="24"/>
        <v>0</v>
      </c>
      <c r="D95" s="17">
        <f t="shared" si="26"/>
        <v>1</v>
      </c>
      <c r="E95" s="17" t="str">
        <f t="shared" si="31"/>
        <v>Section 5 - Conclusion, And FREE Coupon For Next Course</v>
      </c>
      <c r="F95" s="18" t="str">
        <f t="shared" si="27"/>
        <v/>
      </c>
      <c r="G95" s="13" t="str">
        <f t="shared" si="33"/>
        <v/>
      </c>
      <c r="H95">
        <f t="shared" si="34"/>
        <v>0</v>
      </c>
      <c r="I95">
        <f t="shared" si="35"/>
        <v>0</v>
      </c>
      <c r="J95" s="13">
        <f t="shared" si="36"/>
        <v>85</v>
      </c>
      <c r="K95">
        <f t="shared" si="28"/>
        <v>1</v>
      </c>
      <c r="L95">
        <f t="shared" si="29"/>
        <v>25</v>
      </c>
      <c r="M95" s="13">
        <f t="shared" si="37"/>
        <v>1</v>
      </c>
      <c r="N95">
        <f t="shared" si="37"/>
        <v>24</v>
      </c>
      <c r="O95" s="14">
        <f t="shared" si="25"/>
        <v>84</v>
      </c>
      <c r="P95" s="13">
        <f t="shared" si="30"/>
        <v>1</v>
      </c>
      <c r="Q95">
        <f t="shared" si="38"/>
        <v>24</v>
      </c>
      <c r="R95" s="14">
        <f t="shared" si="39"/>
        <v>84</v>
      </c>
      <c r="S95" s="15"/>
      <c r="W95" s="14"/>
    </row>
    <row r="96" spans="1:23" hidden="1" x14ac:dyDescent="0.25">
      <c r="A96" s="16"/>
      <c r="B96" s="17" t="b">
        <f t="shared" si="32"/>
        <v>0</v>
      </c>
      <c r="C96" s="17" t="b">
        <f t="shared" si="24"/>
        <v>0</v>
      </c>
      <c r="D96" s="17">
        <f t="shared" si="26"/>
        <v>1</v>
      </c>
      <c r="E96" s="17" t="str">
        <f t="shared" si="31"/>
        <v>Section 5 - Conclusion, And FREE Coupon For Next Course</v>
      </c>
      <c r="F96" s="18" t="str">
        <f t="shared" si="27"/>
        <v/>
      </c>
      <c r="G96" s="13" t="str">
        <f t="shared" si="33"/>
        <v/>
      </c>
      <c r="H96">
        <f t="shared" si="34"/>
        <v>0</v>
      </c>
      <c r="I96">
        <f t="shared" si="35"/>
        <v>0</v>
      </c>
      <c r="J96" s="13">
        <f t="shared" si="36"/>
        <v>85</v>
      </c>
      <c r="K96">
        <f t="shared" si="28"/>
        <v>1</v>
      </c>
      <c r="L96">
        <f t="shared" si="29"/>
        <v>25</v>
      </c>
      <c r="M96" s="13">
        <f t="shared" si="37"/>
        <v>1</v>
      </c>
      <c r="N96">
        <f t="shared" si="37"/>
        <v>24</v>
      </c>
      <c r="O96" s="14">
        <f t="shared" si="25"/>
        <v>84</v>
      </c>
      <c r="P96" s="13">
        <f t="shared" si="30"/>
        <v>1</v>
      </c>
      <c r="Q96">
        <f t="shared" si="38"/>
        <v>24</v>
      </c>
      <c r="R96" s="14">
        <f t="shared" si="39"/>
        <v>84</v>
      </c>
      <c r="S96" s="15"/>
      <c r="W96" s="14"/>
    </row>
    <row r="97" spans="1:23" hidden="1" x14ac:dyDescent="0.25">
      <c r="A97" s="16"/>
      <c r="B97" s="17" t="b">
        <f t="shared" si="32"/>
        <v>0</v>
      </c>
      <c r="C97" s="17" t="b">
        <f t="shared" si="24"/>
        <v>0</v>
      </c>
      <c r="D97" s="17">
        <f t="shared" si="26"/>
        <v>1</v>
      </c>
      <c r="E97" s="17" t="str">
        <f t="shared" si="31"/>
        <v>Section 5 - Conclusion, And FREE Coupon For Next Course</v>
      </c>
      <c r="F97" s="18" t="str">
        <f t="shared" si="27"/>
        <v/>
      </c>
      <c r="G97" s="13" t="str">
        <f t="shared" si="33"/>
        <v/>
      </c>
      <c r="H97">
        <f t="shared" si="34"/>
        <v>0</v>
      </c>
      <c r="I97">
        <f t="shared" si="35"/>
        <v>0</v>
      </c>
      <c r="J97" s="13">
        <f t="shared" si="36"/>
        <v>85</v>
      </c>
      <c r="K97">
        <f t="shared" si="28"/>
        <v>1</v>
      </c>
      <c r="L97">
        <f t="shared" si="29"/>
        <v>25</v>
      </c>
      <c r="M97" s="13">
        <f t="shared" si="37"/>
        <v>1</v>
      </c>
      <c r="N97">
        <f t="shared" si="37"/>
        <v>24</v>
      </c>
      <c r="O97" s="14">
        <f t="shared" si="25"/>
        <v>84</v>
      </c>
      <c r="P97" s="13">
        <f t="shared" si="30"/>
        <v>1</v>
      </c>
      <c r="Q97">
        <f t="shared" si="38"/>
        <v>24</v>
      </c>
      <c r="R97" s="14">
        <f t="shared" si="39"/>
        <v>84</v>
      </c>
      <c r="S97" s="15"/>
      <c r="W97" s="14"/>
    </row>
    <row r="98" spans="1:23" hidden="1" x14ac:dyDescent="0.25">
      <c r="A98" s="16"/>
      <c r="B98" s="17" t="b">
        <f t="shared" si="32"/>
        <v>0</v>
      </c>
      <c r="C98" s="17" t="b">
        <f t="shared" si="24"/>
        <v>0</v>
      </c>
      <c r="D98" s="17">
        <f t="shared" si="26"/>
        <v>1</v>
      </c>
      <c r="E98" s="17" t="str">
        <f t="shared" si="31"/>
        <v>Section 5 - Conclusion, And FREE Coupon For Next Course</v>
      </c>
      <c r="F98" s="18" t="str">
        <f t="shared" si="27"/>
        <v/>
      </c>
      <c r="G98" s="13" t="str">
        <f t="shared" si="33"/>
        <v/>
      </c>
      <c r="H98">
        <f t="shared" si="34"/>
        <v>0</v>
      </c>
      <c r="I98">
        <f t="shared" si="35"/>
        <v>0</v>
      </c>
      <c r="J98" s="13">
        <f t="shared" si="36"/>
        <v>85</v>
      </c>
      <c r="K98">
        <f t="shared" si="28"/>
        <v>1</v>
      </c>
      <c r="L98">
        <f t="shared" si="29"/>
        <v>25</v>
      </c>
      <c r="M98" s="13">
        <f t="shared" si="37"/>
        <v>1</v>
      </c>
      <c r="N98">
        <f t="shared" si="37"/>
        <v>24</v>
      </c>
      <c r="O98" s="14">
        <f t="shared" si="25"/>
        <v>84</v>
      </c>
      <c r="P98" s="13">
        <f t="shared" si="30"/>
        <v>1</v>
      </c>
      <c r="Q98">
        <f t="shared" si="38"/>
        <v>24</v>
      </c>
      <c r="R98" s="14">
        <f t="shared" si="39"/>
        <v>84</v>
      </c>
      <c r="S98" s="15"/>
      <c r="W98" s="14"/>
    </row>
    <row r="99" spans="1:23" hidden="1" x14ac:dyDescent="0.25">
      <c r="A99" s="16"/>
      <c r="B99" s="17" t="b">
        <f t="shared" si="32"/>
        <v>0</v>
      </c>
      <c r="C99" s="17" t="b">
        <f t="shared" si="24"/>
        <v>0</v>
      </c>
      <c r="D99" s="17">
        <f t="shared" si="26"/>
        <v>1</v>
      </c>
      <c r="E99" s="17" t="str">
        <f t="shared" si="31"/>
        <v>Section 5 - Conclusion, And FREE Coupon For Next Course</v>
      </c>
      <c r="F99" s="18" t="str">
        <f t="shared" si="27"/>
        <v/>
      </c>
      <c r="G99" s="13" t="str">
        <f t="shared" si="33"/>
        <v/>
      </c>
      <c r="H99">
        <f t="shared" si="34"/>
        <v>0</v>
      </c>
      <c r="I99">
        <f t="shared" si="35"/>
        <v>0</v>
      </c>
      <c r="J99" s="13">
        <f t="shared" si="36"/>
        <v>85</v>
      </c>
      <c r="K99">
        <f t="shared" si="28"/>
        <v>1</v>
      </c>
      <c r="L99">
        <f t="shared" si="29"/>
        <v>25</v>
      </c>
      <c r="M99" s="13">
        <f t="shared" si="37"/>
        <v>1</v>
      </c>
      <c r="N99">
        <f t="shared" si="37"/>
        <v>24</v>
      </c>
      <c r="O99" s="14">
        <f t="shared" si="25"/>
        <v>84</v>
      </c>
      <c r="P99" s="13">
        <f t="shared" si="30"/>
        <v>1</v>
      </c>
      <c r="Q99">
        <f t="shared" si="38"/>
        <v>24</v>
      </c>
      <c r="R99" s="14">
        <f t="shared" si="39"/>
        <v>84</v>
      </c>
      <c r="S99" s="15"/>
      <c r="W99" s="14"/>
    </row>
    <row r="100" spans="1:23" hidden="1" x14ac:dyDescent="0.25">
      <c r="A100" s="16"/>
      <c r="B100" s="17" t="b">
        <f t="shared" si="32"/>
        <v>0</v>
      </c>
      <c r="C100" s="17" t="b">
        <f t="shared" si="24"/>
        <v>0</v>
      </c>
      <c r="D100" s="17">
        <f t="shared" si="26"/>
        <v>1</v>
      </c>
      <c r="E100" s="17" t="str">
        <f t="shared" si="31"/>
        <v>Section 5 - Conclusion, And FREE Coupon For Next Course</v>
      </c>
      <c r="F100" s="18" t="str">
        <f t="shared" si="27"/>
        <v/>
      </c>
      <c r="G100" s="13" t="str">
        <f t="shared" si="33"/>
        <v/>
      </c>
      <c r="H100">
        <f t="shared" si="34"/>
        <v>0</v>
      </c>
      <c r="I100">
        <f t="shared" si="35"/>
        <v>0</v>
      </c>
      <c r="J100" s="13">
        <f t="shared" si="36"/>
        <v>85</v>
      </c>
      <c r="K100">
        <f t="shared" si="28"/>
        <v>1</v>
      </c>
      <c r="L100">
        <f t="shared" si="29"/>
        <v>25</v>
      </c>
      <c r="M100" s="13">
        <f t="shared" si="37"/>
        <v>1</v>
      </c>
      <c r="N100">
        <f t="shared" si="37"/>
        <v>24</v>
      </c>
      <c r="O100" s="14">
        <f t="shared" si="25"/>
        <v>84</v>
      </c>
      <c r="P100" s="13">
        <f t="shared" si="30"/>
        <v>1</v>
      </c>
      <c r="Q100">
        <f t="shared" si="38"/>
        <v>24</v>
      </c>
      <c r="R100" s="14">
        <f t="shared" si="39"/>
        <v>84</v>
      </c>
      <c r="S100" s="15"/>
      <c r="W100" s="14"/>
    </row>
    <row r="101" spans="1:23" hidden="1" x14ac:dyDescent="0.25">
      <c r="A101" s="16"/>
      <c r="B101" s="17" t="b">
        <f t="shared" si="32"/>
        <v>0</v>
      </c>
      <c r="C101" s="17" t="b">
        <f t="shared" si="24"/>
        <v>0</v>
      </c>
      <c r="D101" s="17">
        <f t="shared" si="26"/>
        <v>1</v>
      </c>
      <c r="E101" s="17" t="str">
        <f t="shared" si="31"/>
        <v>Section 5 - Conclusion, And FREE Coupon For Next Course</v>
      </c>
      <c r="F101" s="18" t="str">
        <f t="shared" si="27"/>
        <v/>
      </c>
      <c r="G101" s="13" t="str">
        <f t="shared" si="33"/>
        <v/>
      </c>
      <c r="H101">
        <f t="shared" si="34"/>
        <v>0</v>
      </c>
      <c r="I101">
        <f t="shared" si="35"/>
        <v>0</v>
      </c>
      <c r="J101" s="13">
        <f t="shared" si="36"/>
        <v>85</v>
      </c>
      <c r="K101">
        <f t="shared" si="28"/>
        <v>1</v>
      </c>
      <c r="L101">
        <f t="shared" si="29"/>
        <v>25</v>
      </c>
      <c r="M101" s="13">
        <f t="shared" si="37"/>
        <v>1</v>
      </c>
      <c r="N101">
        <f t="shared" si="37"/>
        <v>24</v>
      </c>
      <c r="O101" s="14">
        <f t="shared" si="25"/>
        <v>84</v>
      </c>
      <c r="P101" s="13">
        <f t="shared" si="30"/>
        <v>1</v>
      </c>
      <c r="Q101">
        <f t="shared" si="38"/>
        <v>24</v>
      </c>
      <c r="R101" s="14">
        <f t="shared" si="39"/>
        <v>84</v>
      </c>
      <c r="S101" s="15"/>
      <c r="W101" s="14"/>
    </row>
    <row r="102" spans="1:23" hidden="1" x14ac:dyDescent="0.25">
      <c r="A102" s="16"/>
      <c r="B102" s="17" t="b">
        <f t="shared" si="32"/>
        <v>0</v>
      </c>
      <c r="C102" s="17" t="b">
        <f t="shared" si="24"/>
        <v>0</v>
      </c>
      <c r="D102" s="17">
        <f t="shared" si="26"/>
        <v>1</v>
      </c>
      <c r="E102" s="17" t="str">
        <f t="shared" si="31"/>
        <v>Section 5 - Conclusion, And FREE Coupon For Next Course</v>
      </c>
      <c r="F102" s="18" t="str">
        <f t="shared" si="27"/>
        <v/>
      </c>
      <c r="G102" s="13" t="str">
        <f t="shared" si="33"/>
        <v/>
      </c>
      <c r="H102">
        <f t="shared" si="34"/>
        <v>0</v>
      </c>
      <c r="I102">
        <f t="shared" si="35"/>
        <v>0</v>
      </c>
      <c r="J102" s="13">
        <f t="shared" si="36"/>
        <v>85</v>
      </c>
      <c r="K102">
        <f t="shared" si="28"/>
        <v>1</v>
      </c>
      <c r="L102">
        <f t="shared" si="29"/>
        <v>25</v>
      </c>
      <c r="M102" s="13">
        <f t="shared" si="37"/>
        <v>1</v>
      </c>
      <c r="N102">
        <f t="shared" si="37"/>
        <v>24</v>
      </c>
      <c r="O102" s="14">
        <f t="shared" si="25"/>
        <v>84</v>
      </c>
      <c r="P102" s="13">
        <f t="shared" si="30"/>
        <v>1</v>
      </c>
      <c r="Q102">
        <f t="shared" si="38"/>
        <v>24</v>
      </c>
      <c r="R102" s="14">
        <f t="shared" si="39"/>
        <v>84</v>
      </c>
      <c r="S102" s="15"/>
      <c r="W102" s="14"/>
    </row>
    <row r="103" spans="1:23" hidden="1" x14ac:dyDescent="0.25">
      <c r="A103" s="16"/>
      <c r="B103" s="17" t="b">
        <f t="shared" si="32"/>
        <v>0</v>
      </c>
      <c r="C103" s="17" t="b">
        <f t="shared" si="24"/>
        <v>0</v>
      </c>
      <c r="D103" s="17">
        <f t="shared" si="26"/>
        <v>1</v>
      </c>
      <c r="E103" s="17" t="str">
        <f t="shared" si="31"/>
        <v>Section 5 - Conclusion, And FREE Coupon For Next Course</v>
      </c>
      <c r="F103" s="18" t="str">
        <f t="shared" si="27"/>
        <v/>
      </c>
      <c r="G103" s="13" t="str">
        <f t="shared" si="33"/>
        <v/>
      </c>
      <c r="H103">
        <f t="shared" si="34"/>
        <v>0</v>
      </c>
      <c r="I103">
        <f t="shared" si="35"/>
        <v>0</v>
      </c>
      <c r="J103" s="13">
        <f t="shared" si="36"/>
        <v>85</v>
      </c>
      <c r="K103">
        <f t="shared" si="28"/>
        <v>1</v>
      </c>
      <c r="L103">
        <f t="shared" si="29"/>
        <v>25</v>
      </c>
      <c r="M103" s="13">
        <f t="shared" si="37"/>
        <v>1</v>
      </c>
      <c r="N103">
        <f t="shared" si="37"/>
        <v>24</v>
      </c>
      <c r="O103" s="14">
        <f t="shared" si="25"/>
        <v>84</v>
      </c>
      <c r="P103" s="13">
        <f t="shared" si="30"/>
        <v>1</v>
      </c>
      <c r="Q103">
        <f t="shared" si="38"/>
        <v>24</v>
      </c>
      <c r="R103" s="14">
        <f t="shared" si="39"/>
        <v>84</v>
      </c>
      <c r="S103" s="15"/>
      <c r="W103" s="14"/>
    </row>
    <row r="104" spans="1:23" hidden="1" x14ac:dyDescent="0.25">
      <c r="A104" s="16"/>
      <c r="B104" s="17" t="b">
        <f t="shared" si="32"/>
        <v>0</v>
      </c>
      <c r="C104" s="17" t="b">
        <f t="shared" si="24"/>
        <v>0</v>
      </c>
      <c r="D104" s="17">
        <f t="shared" si="26"/>
        <v>1</v>
      </c>
      <c r="E104" s="17" t="str">
        <f t="shared" si="31"/>
        <v>Section 5 - Conclusion, And FREE Coupon For Next Course</v>
      </c>
      <c r="F104" s="18" t="str">
        <f t="shared" si="27"/>
        <v/>
      </c>
      <c r="G104" s="13" t="str">
        <f t="shared" si="33"/>
        <v/>
      </c>
      <c r="H104">
        <f t="shared" si="34"/>
        <v>0</v>
      </c>
      <c r="I104">
        <f t="shared" si="35"/>
        <v>0</v>
      </c>
      <c r="J104" s="13">
        <f t="shared" si="36"/>
        <v>85</v>
      </c>
      <c r="K104">
        <f t="shared" si="28"/>
        <v>1</v>
      </c>
      <c r="L104">
        <f t="shared" si="29"/>
        <v>25</v>
      </c>
      <c r="M104" s="13">
        <f t="shared" si="37"/>
        <v>1</v>
      </c>
      <c r="N104">
        <f t="shared" si="37"/>
        <v>24</v>
      </c>
      <c r="O104" s="14">
        <f t="shared" si="25"/>
        <v>84</v>
      </c>
      <c r="P104" s="13">
        <f t="shared" si="30"/>
        <v>1</v>
      </c>
      <c r="Q104">
        <f t="shared" si="38"/>
        <v>24</v>
      </c>
      <c r="R104" s="14">
        <f t="shared" si="39"/>
        <v>84</v>
      </c>
      <c r="S104" s="15"/>
      <c r="W104" s="14"/>
    </row>
    <row r="105" spans="1:23" hidden="1" x14ac:dyDescent="0.25">
      <c r="A105" s="16"/>
      <c r="B105" s="17" t="b">
        <f t="shared" si="32"/>
        <v>0</v>
      </c>
      <c r="C105" s="17" t="b">
        <f t="shared" si="24"/>
        <v>0</v>
      </c>
      <c r="D105" s="17">
        <f t="shared" si="26"/>
        <v>1</v>
      </c>
      <c r="E105" s="17" t="str">
        <f t="shared" si="31"/>
        <v>Section 5 - Conclusion, And FREE Coupon For Next Course</v>
      </c>
      <c r="F105" s="18" t="str">
        <f t="shared" si="27"/>
        <v/>
      </c>
      <c r="G105" s="13" t="str">
        <f t="shared" si="33"/>
        <v/>
      </c>
      <c r="H105">
        <f t="shared" si="34"/>
        <v>0</v>
      </c>
      <c r="I105">
        <f t="shared" si="35"/>
        <v>0</v>
      </c>
      <c r="J105" s="13">
        <f t="shared" si="36"/>
        <v>85</v>
      </c>
      <c r="K105">
        <f t="shared" si="28"/>
        <v>1</v>
      </c>
      <c r="L105">
        <f t="shared" si="29"/>
        <v>25</v>
      </c>
      <c r="M105" s="13">
        <f t="shared" si="37"/>
        <v>1</v>
      </c>
      <c r="N105">
        <f t="shared" si="37"/>
        <v>24</v>
      </c>
      <c r="O105" s="14">
        <f t="shared" si="25"/>
        <v>84</v>
      </c>
      <c r="P105" s="13">
        <f t="shared" si="30"/>
        <v>1</v>
      </c>
      <c r="Q105">
        <f t="shared" si="38"/>
        <v>24</v>
      </c>
      <c r="R105" s="14">
        <f t="shared" si="39"/>
        <v>84</v>
      </c>
      <c r="S105" s="15"/>
      <c r="W105" s="14"/>
    </row>
    <row r="106" spans="1:23" hidden="1" x14ac:dyDescent="0.25">
      <c r="A106" s="16"/>
      <c r="B106" s="17" t="b">
        <f t="shared" si="32"/>
        <v>0</v>
      </c>
      <c r="C106" s="17" t="b">
        <f t="shared" si="24"/>
        <v>0</v>
      </c>
      <c r="D106" s="17">
        <f t="shared" si="26"/>
        <v>1</v>
      </c>
      <c r="E106" s="17" t="str">
        <f t="shared" si="31"/>
        <v>Section 5 - Conclusion, And FREE Coupon For Next Course</v>
      </c>
      <c r="F106" s="18" t="str">
        <f t="shared" si="27"/>
        <v/>
      </c>
      <c r="G106" s="13" t="str">
        <f t="shared" si="33"/>
        <v/>
      </c>
      <c r="H106">
        <f t="shared" si="34"/>
        <v>0</v>
      </c>
      <c r="I106">
        <f t="shared" si="35"/>
        <v>0</v>
      </c>
      <c r="J106" s="13">
        <f t="shared" si="36"/>
        <v>85</v>
      </c>
      <c r="K106">
        <f t="shared" si="28"/>
        <v>1</v>
      </c>
      <c r="L106">
        <f t="shared" si="29"/>
        <v>25</v>
      </c>
      <c r="M106" s="13">
        <f t="shared" si="37"/>
        <v>1</v>
      </c>
      <c r="N106">
        <f t="shared" si="37"/>
        <v>24</v>
      </c>
      <c r="O106" s="14">
        <f t="shared" si="25"/>
        <v>84</v>
      </c>
      <c r="P106" s="13">
        <f t="shared" si="30"/>
        <v>1</v>
      </c>
      <c r="Q106">
        <f t="shared" si="38"/>
        <v>24</v>
      </c>
      <c r="R106" s="14">
        <f t="shared" si="39"/>
        <v>84</v>
      </c>
      <c r="S106" s="15"/>
      <c r="W106" s="14"/>
    </row>
    <row r="107" spans="1:23" hidden="1" x14ac:dyDescent="0.25">
      <c r="A107" s="16"/>
      <c r="B107" s="17" t="b">
        <f t="shared" si="32"/>
        <v>0</v>
      </c>
      <c r="C107" s="17" t="b">
        <f t="shared" si="24"/>
        <v>0</v>
      </c>
      <c r="D107" s="17">
        <f t="shared" si="26"/>
        <v>1</v>
      </c>
      <c r="E107" s="17" t="str">
        <f t="shared" si="31"/>
        <v>Section 5 - Conclusion, And FREE Coupon For Next Course</v>
      </c>
      <c r="F107" s="18" t="str">
        <f t="shared" si="27"/>
        <v/>
      </c>
      <c r="G107" s="13" t="str">
        <f t="shared" si="33"/>
        <v/>
      </c>
      <c r="H107">
        <f t="shared" si="34"/>
        <v>0</v>
      </c>
      <c r="I107">
        <f t="shared" si="35"/>
        <v>0</v>
      </c>
      <c r="J107" s="13">
        <f t="shared" si="36"/>
        <v>85</v>
      </c>
      <c r="K107">
        <f t="shared" si="28"/>
        <v>1</v>
      </c>
      <c r="L107">
        <f t="shared" si="29"/>
        <v>25</v>
      </c>
      <c r="M107" s="13">
        <f t="shared" si="37"/>
        <v>1</v>
      </c>
      <c r="N107">
        <f t="shared" si="37"/>
        <v>24</v>
      </c>
      <c r="O107" s="14">
        <f t="shared" si="25"/>
        <v>84</v>
      </c>
      <c r="P107" s="13">
        <f t="shared" si="30"/>
        <v>1</v>
      </c>
      <c r="Q107">
        <f t="shared" si="38"/>
        <v>24</v>
      </c>
      <c r="R107" s="14">
        <f t="shared" si="39"/>
        <v>84</v>
      </c>
      <c r="S107" s="15"/>
      <c r="W107" s="14"/>
    </row>
    <row r="108" spans="1:23" hidden="1" x14ac:dyDescent="0.25">
      <c r="A108" s="16"/>
      <c r="B108" s="17" t="b">
        <f t="shared" si="32"/>
        <v>0</v>
      </c>
      <c r="C108" s="17" t="b">
        <f t="shared" si="24"/>
        <v>0</v>
      </c>
      <c r="D108" s="17">
        <f t="shared" si="26"/>
        <v>1</v>
      </c>
      <c r="E108" s="17" t="str">
        <f t="shared" si="31"/>
        <v>Section 5 - Conclusion, And FREE Coupon For Next Course</v>
      </c>
      <c r="F108" s="18" t="str">
        <f t="shared" si="27"/>
        <v/>
      </c>
      <c r="G108" s="13" t="str">
        <f t="shared" si="33"/>
        <v/>
      </c>
      <c r="H108">
        <f t="shared" si="34"/>
        <v>0</v>
      </c>
      <c r="I108">
        <f t="shared" si="35"/>
        <v>0</v>
      </c>
      <c r="J108" s="13">
        <f t="shared" si="36"/>
        <v>85</v>
      </c>
      <c r="K108">
        <f t="shared" si="28"/>
        <v>1</v>
      </c>
      <c r="L108">
        <f t="shared" si="29"/>
        <v>25</v>
      </c>
      <c r="M108" s="13">
        <f t="shared" si="37"/>
        <v>1</v>
      </c>
      <c r="N108">
        <f t="shared" si="37"/>
        <v>24</v>
      </c>
      <c r="O108" s="14">
        <f t="shared" si="25"/>
        <v>84</v>
      </c>
      <c r="P108" s="13">
        <f t="shared" si="30"/>
        <v>1</v>
      </c>
      <c r="Q108">
        <f t="shared" si="38"/>
        <v>24</v>
      </c>
      <c r="R108" s="14">
        <f t="shared" si="39"/>
        <v>84</v>
      </c>
      <c r="S108" s="15"/>
      <c r="W108" s="14"/>
    </row>
    <row r="109" spans="1:23" hidden="1" x14ac:dyDescent="0.25">
      <c r="A109" s="16"/>
      <c r="B109" s="17" t="b">
        <f t="shared" si="32"/>
        <v>0</v>
      </c>
      <c r="C109" s="17" t="b">
        <f t="shared" si="24"/>
        <v>0</v>
      </c>
      <c r="D109" s="17">
        <f t="shared" si="26"/>
        <v>1</v>
      </c>
      <c r="E109" s="17" t="str">
        <f t="shared" si="31"/>
        <v>Section 5 - Conclusion, And FREE Coupon For Next Course</v>
      </c>
      <c r="F109" s="18" t="str">
        <f t="shared" si="27"/>
        <v/>
      </c>
      <c r="G109" s="13" t="str">
        <f t="shared" si="33"/>
        <v/>
      </c>
      <c r="H109">
        <f t="shared" si="34"/>
        <v>0</v>
      </c>
      <c r="I109">
        <f t="shared" si="35"/>
        <v>0</v>
      </c>
      <c r="J109" s="13">
        <f t="shared" si="36"/>
        <v>85</v>
      </c>
      <c r="K109">
        <f t="shared" si="28"/>
        <v>1</v>
      </c>
      <c r="L109">
        <f t="shared" si="29"/>
        <v>25</v>
      </c>
      <c r="M109" s="13">
        <f t="shared" si="37"/>
        <v>1</v>
      </c>
      <c r="N109">
        <f t="shared" si="37"/>
        <v>24</v>
      </c>
      <c r="O109" s="14">
        <f t="shared" si="25"/>
        <v>84</v>
      </c>
      <c r="P109" s="13">
        <f t="shared" si="30"/>
        <v>1</v>
      </c>
      <c r="Q109">
        <f t="shared" si="38"/>
        <v>24</v>
      </c>
      <c r="R109" s="14">
        <f t="shared" si="39"/>
        <v>84</v>
      </c>
      <c r="S109" s="15"/>
      <c r="W109" s="14"/>
    </row>
    <row r="110" spans="1:23" hidden="1" x14ac:dyDescent="0.25">
      <c r="A110" s="16"/>
      <c r="B110" s="17" t="b">
        <f t="shared" si="32"/>
        <v>0</v>
      </c>
      <c r="C110" s="17" t="b">
        <f t="shared" si="24"/>
        <v>0</v>
      </c>
      <c r="D110" s="17">
        <f t="shared" si="26"/>
        <v>1</v>
      </c>
      <c r="E110" s="17" t="str">
        <f t="shared" si="31"/>
        <v>Section 5 - Conclusion, And FREE Coupon For Next Course</v>
      </c>
      <c r="F110" s="18" t="str">
        <f t="shared" si="27"/>
        <v/>
      </c>
      <c r="G110" s="13" t="str">
        <f t="shared" si="33"/>
        <v/>
      </c>
      <c r="H110">
        <f t="shared" si="34"/>
        <v>0</v>
      </c>
      <c r="I110">
        <f t="shared" si="35"/>
        <v>0</v>
      </c>
      <c r="J110" s="13">
        <f t="shared" si="36"/>
        <v>85</v>
      </c>
      <c r="K110">
        <f t="shared" si="28"/>
        <v>1</v>
      </c>
      <c r="L110">
        <f t="shared" si="29"/>
        <v>25</v>
      </c>
      <c r="M110" s="13">
        <f t="shared" si="37"/>
        <v>1</v>
      </c>
      <c r="N110">
        <f t="shared" si="37"/>
        <v>24</v>
      </c>
      <c r="O110" s="14">
        <f t="shared" si="25"/>
        <v>84</v>
      </c>
      <c r="P110" s="13">
        <f t="shared" si="30"/>
        <v>1</v>
      </c>
      <c r="Q110">
        <f t="shared" si="38"/>
        <v>24</v>
      </c>
      <c r="R110" s="14">
        <f t="shared" si="39"/>
        <v>84</v>
      </c>
      <c r="S110" s="15"/>
      <c r="W110" s="14"/>
    </row>
    <row r="111" spans="1:23" hidden="1" x14ac:dyDescent="0.25">
      <c r="A111" s="16"/>
      <c r="B111" s="17" t="b">
        <f t="shared" si="32"/>
        <v>0</v>
      </c>
      <c r="C111" s="17" t="b">
        <f t="shared" si="24"/>
        <v>0</v>
      </c>
      <c r="D111" s="17">
        <f t="shared" si="26"/>
        <v>1</v>
      </c>
      <c r="E111" s="17" t="str">
        <f t="shared" si="31"/>
        <v>Section 5 - Conclusion, And FREE Coupon For Next Course</v>
      </c>
      <c r="F111" s="18" t="str">
        <f t="shared" si="27"/>
        <v/>
      </c>
      <c r="G111" s="13" t="str">
        <f t="shared" si="33"/>
        <v/>
      </c>
      <c r="H111">
        <f t="shared" si="34"/>
        <v>0</v>
      </c>
      <c r="I111">
        <f t="shared" si="35"/>
        <v>0</v>
      </c>
      <c r="J111" s="13">
        <f t="shared" si="36"/>
        <v>85</v>
      </c>
      <c r="K111">
        <f t="shared" si="28"/>
        <v>1</v>
      </c>
      <c r="L111">
        <f t="shared" si="29"/>
        <v>25</v>
      </c>
      <c r="M111" s="13">
        <f t="shared" si="37"/>
        <v>1</v>
      </c>
      <c r="N111">
        <f t="shared" si="37"/>
        <v>24</v>
      </c>
      <c r="O111" s="14">
        <f t="shared" si="25"/>
        <v>84</v>
      </c>
      <c r="P111" s="13">
        <f t="shared" si="30"/>
        <v>1</v>
      </c>
      <c r="Q111">
        <f t="shared" si="38"/>
        <v>24</v>
      </c>
      <c r="R111" s="14">
        <f t="shared" si="39"/>
        <v>84</v>
      </c>
      <c r="S111" s="15"/>
      <c r="W111" s="14"/>
    </row>
    <row r="112" spans="1:23" hidden="1" x14ac:dyDescent="0.25">
      <c r="A112" s="16"/>
      <c r="B112" s="17" t="b">
        <f t="shared" si="32"/>
        <v>0</v>
      </c>
      <c r="C112" s="17" t="b">
        <f t="shared" si="24"/>
        <v>0</v>
      </c>
      <c r="D112" s="17">
        <f t="shared" si="26"/>
        <v>1</v>
      </c>
      <c r="E112" s="17" t="str">
        <f t="shared" si="31"/>
        <v>Section 5 - Conclusion, And FREE Coupon For Next Course</v>
      </c>
      <c r="F112" s="18" t="str">
        <f t="shared" si="27"/>
        <v/>
      </c>
      <c r="G112" s="13" t="str">
        <f t="shared" si="33"/>
        <v/>
      </c>
      <c r="H112">
        <f t="shared" si="34"/>
        <v>0</v>
      </c>
      <c r="I112">
        <f t="shared" si="35"/>
        <v>0</v>
      </c>
      <c r="J112" s="13">
        <f t="shared" si="36"/>
        <v>85</v>
      </c>
      <c r="K112">
        <f t="shared" si="28"/>
        <v>1</v>
      </c>
      <c r="L112">
        <f t="shared" si="29"/>
        <v>25</v>
      </c>
      <c r="M112" s="13">
        <f t="shared" si="37"/>
        <v>1</v>
      </c>
      <c r="N112">
        <f t="shared" si="37"/>
        <v>24</v>
      </c>
      <c r="O112" s="14">
        <f t="shared" si="25"/>
        <v>84</v>
      </c>
      <c r="P112" s="13">
        <f t="shared" si="30"/>
        <v>1</v>
      </c>
      <c r="Q112">
        <f t="shared" si="38"/>
        <v>24</v>
      </c>
      <c r="R112" s="14">
        <f t="shared" si="39"/>
        <v>84</v>
      </c>
      <c r="S112" s="15"/>
      <c r="W112" s="14"/>
    </row>
    <row r="113" spans="1:23" hidden="1" x14ac:dyDescent="0.25">
      <c r="A113" s="16"/>
      <c r="B113" s="17" t="b">
        <f t="shared" si="32"/>
        <v>0</v>
      </c>
      <c r="C113" s="17" t="b">
        <f t="shared" si="24"/>
        <v>0</v>
      </c>
      <c r="D113" s="17">
        <f t="shared" si="26"/>
        <v>1</v>
      </c>
      <c r="E113" s="17" t="str">
        <f t="shared" si="31"/>
        <v>Section 5 - Conclusion, And FREE Coupon For Next Course</v>
      </c>
      <c r="F113" s="18" t="str">
        <f t="shared" si="27"/>
        <v/>
      </c>
      <c r="G113" s="13" t="str">
        <f t="shared" si="33"/>
        <v/>
      </c>
      <c r="H113">
        <f t="shared" si="34"/>
        <v>0</v>
      </c>
      <c r="I113">
        <f t="shared" si="35"/>
        <v>0</v>
      </c>
      <c r="J113" s="13">
        <f t="shared" si="36"/>
        <v>85</v>
      </c>
      <c r="K113">
        <f t="shared" si="28"/>
        <v>1</v>
      </c>
      <c r="L113">
        <f t="shared" si="29"/>
        <v>25</v>
      </c>
      <c r="M113" s="13">
        <f t="shared" si="37"/>
        <v>1</v>
      </c>
      <c r="N113">
        <f t="shared" si="37"/>
        <v>24</v>
      </c>
      <c r="O113" s="14">
        <f t="shared" si="25"/>
        <v>84</v>
      </c>
      <c r="P113" s="13">
        <f t="shared" si="30"/>
        <v>1</v>
      </c>
      <c r="Q113">
        <f t="shared" si="38"/>
        <v>24</v>
      </c>
      <c r="R113" s="14">
        <f t="shared" si="39"/>
        <v>84</v>
      </c>
      <c r="S113" s="15"/>
      <c r="W113" s="14"/>
    </row>
    <row r="114" spans="1:23" hidden="1" x14ac:dyDescent="0.25">
      <c r="A114" s="16"/>
      <c r="B114" s="17" t="b">
        <f t="shared" si="32"/>
        <v>0</v>
      </c>
      <c r="C114" s="17" t="b">
        <f t="shared" si="24"/>
        <v>0</v>
      </c>
      <c r="D114" s="17">
        <f t="shared" si="26"/>
        <v>1</v>
      </c>
      <c r="E114" s="17" t="str">
        <f t="shared" si="31"/>
        <v>Section 5 - Conclusion, And FREE Coupon For Next Course</v>
      </c>
      <c r="F114" s="18" t="str">
        <f t="shared" si="27"/>
        <v/>
      </c>
      <c r="G114" s="13" t="str">
        <f t="shared" si="33"/>
        <v/>
      </c>
      <c r="H114">
        <f t="shared" si="34"/>
        <v>0</v>
      </c>
      <c r="I114">
        <f t="shared" si="35"/>
        <v>0</v>
      </c>
      <c r="J114" s="13">
        <f t="shared" si="36"/>
        <v>85</v>
      </c>
      <c r="K114">
        <f t="shared" si="28"/>
        <v>1</v>
      </c>
      <c r="L114">
        <f t="shared" si="29"/>
        <v>25</v>
      </c>
      <c r="M114" s="13">
        <f t="shared" si="37"/>
        <v>1</v>
      </c>
      <c r="N114">
        <f t="shared" si="37"/>
        <v>24</v>
      </c>
      <c r="O114" s="14">
        <f t="shared" si="25"/>
        <v>84</v>
      </c>
      <c r="P114" s="13">
        <f t="shared" si="30"/>
        <v>1</v>
      </c>
      <c r="Q114">
        <f t="shared" si="38"/>
        <v>24</v>
      </c>
      <c r="R114" s="14">
        <f t="shared" si="39"/>
        <v>84</v>
      </c>
      <c r="S114" s="15"/>
      <c r="W114" s="14"/>
    </row>
    <row r="115" spans="1:23" hidden="1" x14ac:dyDescent="0.25">
      <c r="A115" s="16"/>
      <c r="B115" s="17" t="b">
        <f t="shared" si="32"/>
        <v>0</v>
      </c>
      <c r="C115" s="17" t="b">
        <f t="shared" si="24"/>
        <v>0</v>
      </c>
      <c r="D115" s="17">
        <f t="shared" si="26"/>
        <v>1</v>
      </c>
      <c r="E115" s="17" t="str">
        <f t="shared" si="31"/>
        <v>Section 5 - Conclusion, And FREE Coupon For Next Course</v>
      </c>
      <c r="F115" s="18" t="str">
        <f t="shared" si="27"/>
        <v/>
      </c>
      <c r="G115" s="13" t="str">
        <f t="shared" si="33"/>
        <v/>
      </c>
      <c r="H115">
        <f t="shared" si="34"/>
        <v>0</v>
      </c>
      <c r="I115">
        <f t="shared" si="35"/>
        <v>0</v>
      </c>
      <c r="J115" s="13">
        <f t="shared" si="36"/>
        <v>85</v>
      </c>
      <c r="K115">
        <f t="shared" si="28"/>
        <v>1</v>
      </c>
      <c r="L115">
        <f t="shared" si="29"/>
        <v>25</v>
      </c>
      <c r="M115" s="13">
        <f t="shared" si="37"/>
        <v>1</v>
      </c>
      <c r="N115">
        <f t="shared" si="37"/>
        <v>24</v>
      </c>
      <c r="O115" s="14">
        <f t="shared" si="25"/>
        <v>84</v>
      </c>
      <c r="P115" s="13">
        <f t="shared" si="30"/>
        <v>1</v>
      </c>
      <c r="Q115">
        <f t="shared" si="38"/>
        <v>24</v>
      </c>
      <c r="R115" s="14">
        <f t="shared" si="39"/>
        <v>84</v>
      </c>
      <c r="S115" s="15"/>
      <c r="W115" s="14"/>
    </row>
    <row r="116" spans="1:23" hidden="1" x14ac:dyDescent="0.25">
      <c r="A116" s="16"/>
      <c r="B116" s="17" t="b">
        <f t="shared" si="32"/>
        <v>0</v>
      </c>
      <c r="C116" s="17" t="b">
        <f t="shared" si="24"/>
        <v>0</v>
      </c>
      <c r="D116" s="17">
        <f t="shared" si="26"/>
        <v>1</v>
      </c>
      <c r="E116" s="17" t="str">
        <f t="shared" si="31"/>
        <v>Section 5 - Conclusion, And FREE Coupon For Next Course</v>
      </c>
      <c r="F116" s="18" t="str">
        <f t="shared" si="27"/>
        <v/>
      </c>
      <c r="G116" s="13" t="str">
        <f t="shared" si="33"/>
        <v/>
      </c>
      <c r="H116">
        <f t="shared" si="34"/>
        <v>0</v>
      </c>
      <c r="I116">
        <f t="shared" si="35"/>
        <v>0</v>
      </c>
      <c r="J116" s="13">
        <f t="shared" si="36"/>
        <v>85</v>
      </c>
      <c r="K116">
        <f t="shared" si="28"/>
        <v>1</v>
      </c>
      <c r="L116">
        <f t="shared" si="29"/>
        <v>25</v>
      </c>
      <c r="M116" s="13">
        <f t="shared" si="37"/>
        <v>1</v>
      </c>
      <c r="N116">
        <f t="shared" si="37"/>
        <v>24</v>
      </c>
      <c r="O116" s="14">
        <f t="shared" si="25"/>
        <v>84</v>
      </c>
      <c r="P116" s="13">
        <f t="shared" si="30"/>
        <v>1</v>
      </c>
      <c r="Q116">
        <f t="shared" si="38"/>
        <v>24</v>
      </c>
      <c r="R116" s="14">
        <f t="shared" si="39"/>
        <v>84</v>
      </c>
      <c r="S116" s="15"/>
      <c r="W116" s="14"/>
    </row>
    <row r="117" spans="1:23" hidden="1" x14ac:dyDescent="0.25">
      <c r="A117" s="16"/>
      <c r="B117" s="17" t="b">
        <f t="shared" si="32"/>
        <v>0</v>
      </c>
      <c r="C117" s="17" t="b">
        <f t="shared" si="24"/>
        <v>0</v>
      </c>
      <c r="D117" s="17">
        <f t="shared" si="26"/>
        <v>1</v>
      </c>
      <c r="E117" s="17" t="str">
        <f t="shared" si="31"/>
        <v>Section 5 - Conclusion, And FREE Coupon For Next Course</v>
      </c>
      <c r="F117" s="18" t="str">
        <f t="shared" si="27"/>
        <v/>
      </c>
      <c r="G117" s="13" t="str">
        <f t="shared" si="33"/>
        <v/>
      </c>
      <c r="H117">
        <f t="shared" si="34"/>
        <v>0</v>
      </c>
      <c r="I117">
        <f t="shared" si="35"/>
        <v>0</v>
      </c>
      <c r="J117" s="13">
        <f t="shared" si="36"/>
        <v>85</v>
      </c>
      <c r="K117">
        <f t="shared" si="28"/>
        <v>1</v>
      </c>
      <c r="L117">
        <f t="shared" si="29"/>
        <v>25</v>
      </c>
      <c r="M117" s="13">
        <f t="shared" si="37"/>
        <v>1</v>
      </c>
      <c r="N117">
        <f t="shared" si="37"/>
        <v>24</v>
      </c>
      <c r="O117" s="14">
        <f t="shared" si="25"/>
        <v>84</v>
      </c>
      <c r="P117" s="13">
        <f t="shared" si="30"/>
        <v>1</v>
      </c>
      <c r="Q117">
        <f t="shared" si="38"/>
        <v>24</v>
      </c>
      <c r="R117" s="14">
        <f t="shared" si="39"/>
        <v>84</v>
      </c>
      <c r="S117" s="15"/>
      <c r="W117" s="14"/>
    </row>
    <row r="118" spans="1:23" hidden="1" x14ac:dyDescent="0.25">
      <c r="A118" s="16"/>
      <c r="B118" s="17" t="b">
        <f t="shared" si="32"/>
        <v>0</v>
      </c>
      <c r="C118" s="17" t="b">
        <f t="shared" si="24"/>
        <v>0</v>
      </c>
      <c r="D118" s="17">
        <f t="shared" si="26"/>
        <v>1</v>
      </c>
      <c r="E118" s="17" t="str">
        <f t="shared" si="31"/>
        <v>Section 5 - Conclusion, And FREE Coupon For Next Course</v>
      </c>
      <c r="F118" s="18" t="str">
        <f t="shared" si="27"/>
        <v/>
      </c>
      <c r="G118" s="13" t="str">
        <f t="shared" si="33"/>
        <v/>
      </c>
      <c r="H118">
        <f t="shared" si="34"/>
        <v>0</v>
      </c>
      <c r="I118">
        <f t="shared" si="35"/>
        <v>0</v>
      </c>
      <c r="J118" s="13">
        <f t="shared" si="36"/>
        <v>85</v>
      </c>
      <c r="K118">
        <f t="shared" si="28"/>
        <v>1</v>
      </c>
      <c r="L118">
        <f t="shared" si="29"/>
        <v>25</v>
      </c>
      <c r="M118" s="13">
        <f t="shared" si="37"/>
        <v>1</v>
      </c>
      <c r="N118">
        <f t="shared" si="37"/>
        <v>24</v>
      </c>
      <c r="O118" s="14">
        <f t="shared" si="25"/>
        <v>84</v>
      </c>
      <c r="P118" s="13">
        <f t="shared" si="30"/>
        <v>1</v>
      </c>
      <c r="Q118">
        <f t="shared" si="38"/>
        <v>24</v>
      </c>
      <c r="R118" s="14">
        <f t="shared" si="39"/>
        <v>84</v>
      </c>
      <c r="S118" s="15"/>
      <c r="W118" s="14"/>
    </row>
    <row r="119" spans="1:23" hidden="1" x14ac:dyDescent="0.25">
      <c r="A119" s="16"/>
      <c r="B119" s="17" t="b">
        <f t="shared" si="32"/>
        <v>0</v>
      </c>
      <c r="C119" s="17" t="b">
        <f t="shared" si="24"/>
        <v>0</v>
      </c>
      <c r="D119" s="17">
        <f t="shared" si="26"/>
        <v>1</v>
      </c>
      <c r="E119" s="17" t="str">
        <f t="shared" si="31"/>
        <v>Section 5 - Conclusion, And FREE Coupon For Next Course</v>
      </c>
      <c r="F119" s="18" t="str">
        <f t="shared" si="27"/>
        <v/>
      </c>
      <c r="G119" s="13" t="str">
        <f t="shared" si="33"/>
        <v/>
      </c>
      <c r="H119">
        <f t="shared" si="34"/>
        <v>0</v>
      </c>
      <c r="I119">
        <f t="shared" si="35"/>
        <v>0</v>
      </c>
      <c r="J119" s="13">
        <f t="shared" si="36"/>
        <v>85</v>
      </c>
      <c r="K119">
        <f t="shared" si="28"/>
        <v>1</v>
      </c>
      <c r="L119">
        <f t="shared" si="29"/>
        <v>25</v>
      </c>
      <c r="M119" s="13">
        <f t="shared" si="37"/>
        <v>1</v>
      </c>
      <c r="N119">
        <f t="shared" si="37"/>
        <v>24</v>
      </c>
      <c r="O119" s="14">
        <f t="shared" si="25"/>
        <v>84</v>
      </c>
      <c r="P119" s="13">
        <f t="shared" si="30"/>
        <v>1</v>
      </c>
      <c r="Q119">
        <f t="shared" si="38"/>
        <v>24</v>
      </c>
      <c r="R119" s="14">
        <f t="shared" si="39"/>
        <v>84</v>
      </c>
      <c r="S119" s="15"/>
      <c r="W119" s="14"/>
    </row>
    <row r="120" spans="1:23" hidden="1" x14ac:dyDescent="0.25">
      <c r="A120" s="16"/>
      <c r="B120" s="17" t="b">
        <f t="shared" si="32"/>
        <v>0</v>
      </c>
      <c r="C120" s="17" t="b">
        <f t="shared" si="24"/>
        <v>0</v>
      </c>
      <c r="D120" s="17">
        <f t="shared" si="26"/>
        <v>1</v>
      </c>
      <c r="E120" s="17" t="str">
        <f t="shared" si="31"/>
        <v>Section 5 - Conclusion, And FREE Coupon For Next Course</v>
      </c>
      <c r="F120" s="18" t="str">
        <f t="shared" si="27"/>
        <v/>
      </c>
      <c r="G120" s="13" t="str">
        <f t="shared" si="33"/>
        <v/>
      </c>
      <c r="H120">
        <f t="shared" si="34"/>
        <v>0</v>
      </c>
      <c r="I120">
        <f t="shared" si="35"/>
        <v>0</v>
      </c>
      <c r="J120" s="13">
        <f t="shared" si="36"/>
        <v>85</v>
      </c>
      <c r="K120">
        <f t="shared" si="28"/>
        <v>1</v>
      </c>
      <c r="L120">
        <f t="shared" si="29"/>
        <v>25</v>
      </c>
      <c r="M120" s="13">
        <f t="shared" si="37"/>
        <v>1</v>
      </c>
      <c r="N120">
        <f t="shared" si="37"/>
        <v>24</v>
      </c>
      <c r="O120" s="14">
        <f t="shared" si="25"/>
        <v>84</v>
      </c>
      <c r="P120" s="13">
        <f t="shared" si="30"/>
        <v>1</v>
      </c>
      <c r="Q120">
        <f t="shared" si="38"/>
        <v>24</v>
      </c>
      <c r="R120" s="14">
        <f t="shared" si="39"/>
        <v>84</v>
      </c>
      <c r="S120" s="15"/>
      <c r="W120" s="14"/>
    </row>
    <row r="121" spans="1:23" hidden="1" x14ac:dyDescent="0.25">
      <c r="A121" s="16"/>
      <c r="B121" s="17" t="b">
        <f t="shared" si="32"/>
        <v>0</v>
      </c>
      <c r="C121" s="17" t="b">
        <f t="shared" si="24"/>
        <v>0</v>
      </c>
      <c r="D121" s="17">
        <f t="shared" si="26"/>
        <v>1</v>
      </c>
      <c r="E121" s="17" t="str">
        <f t="shared" si="31"/>
        <v>Section 5 - Conclusion, And FREE Coupon For Next Course</v>
      </c>
      <c r="F121" s="18" t="str">
        <f t="shared" si="27"/>
        <v/>
      </c>
      <c r="G121" s="13" t="str">
        <f t="shared" si="33"/>
        <v/>
      </c>
      <c r="H121">
        <f t="shared" si="34"/>
        <v>0</v>
      </c>
      <c r="I121">
        <f t="shared" si="35"/>
        <v>0</v>
      </c>
      <c r="J121" s="13">
        <f t="shared" si="36"/>
        <v>85</v>
      </c>
      <c r="K121">
        <f t="shared" si="28"/>
        <v>1</v>
      </c>
      <c r="L121">
        <f t="shared" si="29"/>
        <v>25</v>
      </c>
      <c r="M121" s="13">
        <f t="shared" si="37"/>
        <v>1</v>
      </c>
      <c r="N121">
        <f t="shared" si="37"/>
        <v>24</v>
      </c>
      <c r="O121" s="14">
        <f t="shared" si="25"/>
        <v>84</v>
      </c>
      <c r="P121" s="13">
        <f t="shared" si="30"/>
        <v>1</v>
      </c>
      <c r="Q121">
        <f t="shared" si="38"/>
        <v>24</v>
      </c>
      <c r="R121" s="14">
        <f t="shared" si="39"/>
        <v>84</v>
      </c>
      <c r="S121" s="15"/>
      <c r="W121" s="14"/>
    </row>
    <row r="122" spans="1:23" hidden="1" x14ac:dyDescent="0.25">
      <c r="A122" s="16"/>
      <c r="B122" s="17" t="b">
        <f t="shared" si="32"/>
        <v>0</v>
      </c>
      <c r="C122" s="17" t="b">
        <f t="shared" si="24"/>
        <v>0</v>
      </c>
      <c r="D122" s="17">
        <f t="shared" si="26"/>
        <v>1</v>
      </c>
      <c r="E122" s="17" t="str">
        <f t="shared" si="31"/>
        <v>Section 5 - Conclusion, And FREE Coupon For Next Course</v>
      </c>
      <c r="F122" s="18" t="str">
        <f t="shared" si="27"/>
        <v/>
      </c>
      <c r="G122" s="13" t="str">
        <f t="shared" si="33"/>
        <v/>
      </c>
      <c r="H122">
        <f t="shared" si="34"/>
        <v>0</v>
      </c>
      <c r="I122">
        <f t="shared" si="35"/>
        <v>0</v>
      </c>
      <c r="J122" s="13">
        <f t="shared" si="36"/>
        <v>85</v>
      </c>
      <c r="K122">
        <f t="shared" si="28"/>
        <v>1</v>
      </c>
      <c r="L122">
        <f t="shared" si="29"/>
        <v>25</v>
      </c>
      <c r="M122" s="13">
        <f t="shared" si="37"/>
        <v>1</v>
      </c>
      <c r="N122">
        <f t="shared" si="37"/>
        <v>24</v>
      </c>
      <c r="O122" s="14">
        <f t="shared" si="25"/>
        <v>84</v>
      </c>
      <c r="P122" s="13">
        <f t="shared" si="30"/>
        <v>1</v>
      </c>
      <c r="Q122">
        <f t="shared" si="38"/>
        <v>24</v>
      </c>
      <c r="R122" s="14">
        <f t="shared" si="39"/>
        <v>84</v>
      </c>
      <c r="S122" s="15"/>
      <c r="W122" s="14"/>
    </row>
    <row r="123" spans="1:23" hidden="1" x14ac:dyDescent="0.25">
      <c r="A123" s="16"/>
      <c r="B123" s="17" t="b">
        <f t="shared" si="32"/>
        <v>0</v>
      </c>
      <c r="C123" s="17" t="b">
        <f t="shared" si="24"/>
        <v>0</v>
      </c>
      <c r="D123" s="17">
        <f t="shared" si="26"/>
        <v>1</v>
      </c>
      <c r="E123" s="17" t="str">
        <f t="shared" si="31"/>
        <v>Section 5 - Conclusion, And FREE Coupon For Next Course</v>
      </c>
      <c r="F123" s="18" t="str">
        <f t="shared" si="27"/>
        <v/>
      </c>
      <c r="G123" s="13" t="str">
        <f t="shared" si="33"/>
        <v/>
      </c>
      <c r="H123">
        <f t="shared" si="34"/>
        <v>0</v>
      </c>
      <c r="I123">
        <f t="shared" si="35"/>
        <v>0</v>
      </c>
      <c r="J123" s="13">
        <f t="shared" si="36"/>
        <v>85</v>
      </c>
      <c r="K123">
        <f t="shared" si="28"/>
        <v>1</v>
      </c>
      <c r="L123">
        <f t="shared" si="29"/>
        <v>25</v>
      </c>
      <c r="M123" s="13">
        <f t="shared" si="37"/>
        <v>1</v>
      </c>
      <c r="N123">
        <f t="shared" si="37"/>
        <v>24</v>
      </c>
      <c r="O123" s="14">
        <f t="shared" si="25"/>
        <v>84</v>
      </c>
      <c r="P123" s="13">
        <f t="shared" si="30"/>
        <v>1</v>
      </c>
      <c r="Q123">
        <f t="shared" si="38"/>
        <v>24</v>
      </c>
      <c r="R123" s="14">
        <f t="shared" si="39"/>
        <v>84</v>
      </c>
      <c r="S123" s="15"/>
      <c r="W123" s="14"/>
    </row>
    <row r="124" spans="1:23" hidden="1" x14ac:dyDescent="0.25">
      <c r="A124" s="16"/>
      <c r="B124" s="17" t="b">
        <f t="shared" si="32"/>
        <v>0</v>
      </c>
      <c r="C124" s="17" t="b">
        <f t="shared" si="24"/>
        <v>0</v>
      </c>
      <c r="D124" s="17">
        <f t="shared" si="26"/>
        <v>1</v>
      </c>
      <c r="E124" s="17" t="str">
        <f t="shared" si="31"/>
        <v>Section 5 - Conclusion, And FREE Coupon For Next Course</v>
      </c>
      <c r="F124" s="18" t="str">
        <f t="shared" si="27"/>
        <v/>
      </c>
      <c r="G124" s="13" t="str">
        <f t="shared" si="33"/>
        <v/>
      </c>
      <c r="H124">
        <f t="shared" si="34"/>
        <v>0</v>
      </c>
      <c r="I124">
        <f t="shared" si="35"/>
        <v>0</v>
      </c>
      <c r="J124" s="13">
        <f t="shared" si="36"/>
        <v>85</v>
      </c>
      <c r="K124">
        <f t="shared" si="28"/>
        <v>1</v>
      </c>
      <c r="L124">
        <f t="shared" si="29"/>
        <v>25</v>
      </c>
      <c r="M124" s="13">
        <f t="shared" si="37"/>
        <v>1</v>
      </c>
      <c r="N124">
        <f t="shared" si="37"/>
        <v>24</v>
      </c>
      <c r="O124" s="14">
        <f t="shared" si="25"/>
        <v>84</v>
      </c>
      <c r="P124" s="13">
        <f t="shared" si="30"/>
        <v>1</v>
      </c>
      <c r="Q124">
        <f t="shared" si="38"/>
        <v>24</v>
      </c>
      <c r="R124" s="14">
        <f t="shared" si="39"/>
        <v>84</v>
      </c>
      <c r="S124" s="15"/>
      <c r="W124" s="14"/>
    </row>
    <row r="125" spans="1:23" hidden="1" x14ac:dyDescent="0.25">
      <c r="A125" s="16"/>
      <c r="B125" s="17" t="b">
        <f t="shared" si="32"/>
        <v>0</v>
      </c>
      <c r="C125" s="17" t="b">
        <f t="shared" si="24"/>
        <v>0</v>
      </c>
      <c r="D125" s="17">
        <f t="shared" si="26"/>
        <v>1</v>
      </c>
      <c r="E125" s="17" t="str">
        <f t="shared" si="31"/>
        <v>Section 5 - Conclusion, And FREE Coupon For Next Course</v>
      </c>
      <c r="F125" s="18" t="str">
        <f t="shared" si="27"/>
        <v/>
      </c>
      <c r="G125" s="13" t="str">
        <f t="shared" si="33"/>
        <v/>
      </c>
      <c r="H125">
        <f t="shared" si="34"/>
        <v>0</v>
      </c>
      <c r="I125">
        <f t="shared" si="35"/>
        <v>0</v>
      </c>
      <c r="J125" s="13">
        <f t="shared" si="36"/>
        <v>85</v>
      </c>
      <c r="K125">
        <f t="shared" si="28"/>
        <v>1</v>
      </c>
      <c r="L125">
        <f t="shared" si="29"/>
        <v>25</v>
      </c>
      <c r="M125" s="13">
        <f t="shared" si="37"/>
        <v>1</v>
      </c>
      <c r="N125">
        <f t="shared" si="37"/>
        <v>24</v>
      </c>
      <c r="O125" s="14">
        <f t="shared" si="25"/>
        <v>84</v>
      </c>
      <c r="P125" s="13">
        <f t="shared" si="30"/>
        <v>1</v>
      </c>
      <c r="Q125">
        <f t="shared" si="38"/>
        <v>24</v>
      </c>
      <c r="R125" s="14">
        <f t="shared" si="39"/>
        <v>84</v>
      </c>
      <c r="S125" s="15"/>
      <c r="W125" s="14"/>
    </row>
    <row r="126" spans="1:23" hidden="1" x14ac:dyDescent="0.25">
      <c r="A126" s="16"/>
      <c r="B126" s="17" t="b">
        <f t="shared" si="32"/>
        <v>0</v>
      </c>
      <c r="C126" s="17" t="b">
        <f t="shared" si="24"/>
        <v>0</v>
      </c>
      <c r="D126" s="17">
        <f t="shared" si="26"/>
        <v>1</v>
      </c>
      <c r="E126" s="17" t="str">
        <f t="shared" si="31"/>
        <v>Section 5 - Conclusion, And FREE Coupon For Next Course</v>
      </c>
      <c r="F126" s="18" t="str">
        <f t="shared" si="27"/>
        <v/>
      </c>
      <c r="G126" s="13" t="str">
        <f t="shared" si="33"/>
        <v/>
      </c>
      <c r="H126">
        <f t="shared" si="34"/>
        <v>0</v>
      </c>
      <c r="I126">
        <f t="shared" si="35"/>
        <v>0</v>
      </c>
      <c r="J126" s="13">
        <f t="shared" si="36"/>
        <v>85</v>
      </c>
      <c r="K126">
        <f t="shared" si="28"/>
        <v>1</v>
      </c>
      <c r="L126">
        <f t="shared" si="29"/>
        <v>25</v>
      </c>
      <c r="M126" s="13">
        <f t="shared" si="37"/>
        <v>1</v>
      </c>
      <c r="N126">
        <f t="shared" si="37"/>
        <v>24</v>
      </c>
      <c r="O126" s="14">
        <f t="shared" si="25"/>
        <v>84</v>
      </c>
      <c r="P126" s="13">
        <f t="shared" si="30"/>
        <v>1</v>
      </c>
      <c r="Q126">
        <f t="shared" si="38"/>
        <v>24</v>
      </c>
      <c r="R126" s="14">
        <f t="shared" si="39"/>
        <v>84</v>
      </c>
      <c r="S126" s="15"/>
      <c r="W126" s="14"/>
    </row>
    <row r="127" spans="1:23" hidden="1" x14ac:dyDescent="0.25">
      <c r="A127" s="16"/>
      <c r="B127" s="17" t="b">
        <f t="shared" si="32"/>
        <v>0</v>
      </c>
      <c r="C127" s="17" t="b">
        <f t="shared" si="24"/>
        <v>0</v>
      </c>
      <c r="D127" s="17">
        <f t="shared" si="26"/>
        <v>1</v>
      </c>
      <c r="E127" s="17" t="str">
        <f t="shared" si="31"/>
        <v>Section 5 - Conclusion, And FREE Coupon For Next Course</v>
      </c>
      <c r="F127" s="18" t="str">
        <f t="shared" si="27"/>
        <v/>
      </c>
      <c r="G127" s="13" t="str">
        <f t="shared" si="33"/>
        <v/>
      </c>
      <c r="H127">
        <f t="shared" si="34"/>
        <v>0</v>
      </c>
      <c r="I127">
        <f t="shared" si="35"/>
        <v>0</v>
      </c>
      <c r="J127" s="13">
        <f t="shared" si="36"/>
        <v>85</v>
      </c>
      <c r="K127">
        <f t="shared" si="28"/>
        <v>1</v>
      </c>
      <c r="L127">
        <f t="shared" si="29"/>
        <v>25</v>
      </c>
      <c r="M127" s="13">
        <f t="shared" si="37"/>
        <v>1</v>
      </c>
      <c r="N127">
        <f t="shared" si="37"/>
        <v>24</v>
      </c>
      <c r="O127" s="14">
        <f t="shared" si="25"/>
        <v>84</v>
      </c>
      <c r="P127" s="13">
        <f t="shared" si="30"/>
        <v>1</v>
      </c>
      <c r="Q127">
        <f t="shared" si="38"/>
        <v>24</v>
      </c>
      <c r="R127" s="14">
        <f t="shared" si="39"/>
        <v>84</v>
      </c>
      <c r="S127" s="15"/>
      <c r="W127" s="14"/>
    </row>
    <row r="128" spans="1:23" hidden="1" x14ac:dyDescent="0.25">
      <c r="A128" s="16"/>
      <c r="B128" s="17" t="b">
        <f t="shared" si="32"/>
        <v>0</v>
      </c>
      <c r="C128" s="17" t="b">
        <f t="shared" ref="C128:C191" si="40">OR(NOT(ISERROR(FIND("hr",A129))), NOT(ISERROR(FIND("min ",A129))),RIGHT(A129,3)="min")</f>
        <v>0</v>
      </c>
      <c r="D128" s="17">
        <f t="shared" si="26"/>
        <v>1</v>
      </c>
      <c r="E128" s="17" t="str">
        <f t="shared" si="31"/>
        <v>Section 5 - Conclusion, And FREE Coupon For Next Course</v>
      </c>
      <c r="F128" s="18" t="str">
        <f t="shared" si="27"/>
        <v/>
      </c>
      <c r="G128" s="13" t="str">
        <f t="shared" si="33"/>
        <v/>
      </c>
      <c r="H128">
        <f t="shared" si="34"/>
        <v>0</v>
      </c>
      <c r="I128">
        <f t="shared" si="35"/>
        <v>0</v>
      </c>
      <c r="J128" s="13">
        <f t="shared" si="36"/>
        <v>85</v>
      </c>
      <c r="K128">
        <f t="shared" si="28"/>
        <v>1</v>
      </c>
      <c r="L128">
        <f t="shared" si="29"/>
        <v>25</v>
      </c>
      <c r="M128" s="13">
        <f t="shared" si="37"/>
        <v>1</v>
      </c>
      <c r="N128">
        <f t="shared" si="37"/>
        <v>24</v>
      </c>
      <c r="O128" s="14">
        <f t="shared" si="25"/>
        <v>84</v>
      </c>
      <c r="P128" s="13">
        <f t="shared" si="30"/>
        <v>1</v>
      </c>
      <c r="Q128">
        <f t="shared" si="38"/>
        <v>24</v>
      </c>
      <c r="R128" s="14">
        <f t="shared" si="39"/>
        <v>84</v>
      </c>
      <c r="S128" s="15"/>
      <c r="W128" s="14"/>
    </row>
    <row r="129" spans="1:23" hidden="1" x14ac:dyDescent="0.25">
      <c r="A129" s="16"/>
      <c r="B129" s="17" t="b">
        <f t="shared" si="32"/>
        <v>0</v>
      </c>
      <c r="C129" s="17" t="b">
        <f t="shared" si="40"/>
        <v>0</v>
      </c>
      <c r="D129" s="17">
        <f t="shared" si="26"/>
        <v>1</v>
      </c>
      <c r="E129" s="17" t="str">
        <f t="shared" si="31"/>
        <v>Section 5 - Conclusion, And FREE Coupon For Next Course</v>
      </c>
      <c r="F129" s="18" t="str">
        <f t="shared" si="27"/>
        <v/>
      </c>
      <c r="G129" s="13" t="str">
        <f t="shared" si="33"/>
        <v/>
      </c>
      <c r="H129">
        <f t="shared" si="34"/>
        <v>0</v>
      </c>
      <c r="I129">
        <f t="shared" si="35"/>
        <v>0</v>
      </c>
      <c r="J129" s="13">
        <f t="shared" si="36"/>
        <v>85</v>
      </c>
      <c r="K129">
        <f t="shared" si="28"/>
        <v>1</v>
      </c>
      <c r="L129">
        <f t="shared" si="29"/>
        <v>25</v>
      </c>
      <c r="M129" s="13">
        <f t="shared" si="37"/>
        <v>1</v>
      </c>
      <c r="N129">
        <f t="shared" si="37"/>
        <v>24</v>
      </c>
      <c r="O129" s="14">
        <f t="shared" si="25"/>
        <v>84</v>
      </c>
      <c r="P129" s="13">
        <f t="shared" si="30"/>
        <v>1</v>
      </c>
      <c r="Q129">
        <f t="shared" si="38"/>
        <v>24</v>
      </c>
      <c r="R129" s="14">
        <f t="shared" si="39"/>
        <v>84</v>
      </c>
      <c r="S129" s="15"/>
      <c r="W129" s="14"/>
    </row>
    <row r="130" spans="1:23" hidden="1" x14ac:dyDescent="0.25">
      <c r="A130" s="16"/>
      <c r="B130" s="17" t="b">
        <f t="shared" si="32"/>
        <v>0</v>
      </c>
      <c r="C130" s="17" t="b">
        <f t="shared" si="40"/>
        <v>0</v>
      </c>
      <c r="D130" s="17">
        <f t="shared" si="26"/>
        <v>1</v>
      </c>
      <c r="E130" s="17" t="str">
        <f t="shared" si="31"/>
        <v>Section 5 - Conclusion, And FREE Coupon For Next Course</v>
      </c>
      <c r="F130" s="18" t="str">
        <f t="shared" si="27"/>
        <v/>
      </c>
      <c r="G130" s="13" t="str">
        <f t="shared" si="33"/>
        <v/>
      </c>
      <c r="H130">
        <f t="shared" si="34"/>
        <v>0</v>
      </c>
      <c r="I130">
        <f t="shared" si="35"/>
        <v>0</v>
      </c>
      <c r="J130" s="13">
        <f t="shared" si="36"/>
        <v>85</v>
      </c>
      <c r="K130">
        <f t="shared" si="28"/>
        <v>1</v>
      </c>
      <c r="L130">
        <f t="shared" si="29"/>
        <v>25</v>
      </c>
      <c r="M130" s="13">
        <f t="shared" si="37"/>
        <v>1</v>
      </c>
      <c r="N130">
        <f t="shared" si="37"/>
        <v>24</v>
      </c>
      <c r="O130" s="14">
        <f t="shared" si="25"/>
        <v>84</v>
      </c>
      <c r="P130" s="13">
        <f t="shared" si="30"/>
        <v>1</v>
      </c>
      <c r="Q130">
        <f t="shared" si="38"/>
        <v>24</v>
      </c>
      <c r="R130" s="14">
        <f t="shared" si="39"/>
        <v>84</v>
      </c>
      <c r="S130" s="15"/>
      <c r="W130" s="14"/>
    </row>
    <row r="131" spans="1:23" hidden="1" x14ac:dyDescent="0.25">
      <c r="A131" s="16"/>
      <c r="B131" s="17" t="b">
        <f t="shared" si="32"/>
        <v>0</v>
      </c>
      <c r="C131" s="17" t="b">
        <f t="shared" si="40"/>
        <v>0</v>
      </c>
      <c r="D131" s="17">
        <f t="shared" si="26"/>
        <v>1</v>
      </c>
      <c r="E131" s="17" t="str">
        <f t="shared" si="31"/>
        <v>Section 5 - Conclusion, And FREE Coupon For Next Course</v>
      </c>
      <c r="F131" s="18" t="str">
        <f t="shared" si="27"/>
        <v/>
      </c>
      <c r="G131" s="13" t="str">
        <f t="shared" si="33"/>
        <v/>
      </c>
      <c r="H131">
        <f t="shared" si="34"/>
        <v>0</v>
      </c>
      <c r="I131">
        <f t="shared" si="35"/>
        <v>0</v>
      </c>
      <c r="J131" s="13">
        <f t="shared" si="36"/>
        <v>85</v>
      </c>
      <c r="K131">
        <f t="shared" si="28"/>
        <v>1</v>
      </c>
      <c r="L131">
        <f t="shared" si="29"/>
        <v>25</v>
      </c>
      <c r="M131" s="13">
        <f t="shared" si="37"/>
        <v>1</v>
      </c>
      <c r="N131">
        <f t="shared" si="37"/>
        <v>24</v>
      </c>
      <c r="O131" s="14">
        <f t="shared" si="25"/>
        <v>84</v>
      </c>
      <c r="P131" s="13">
        <f t="shared" si="30"/>
        <v>1</v>
      </c>
      <c r="Q131">
        <f t="shared" si="38"/>
        <v>24</v>
      </c>
      <c r="R131" s="14">
        <f t="shared" si="39"/>
        <v>84</v>
      </c>
      <c r="S131" s="15"/>
      <c r="W131" s="14"/>
    </row>
    <row r="132" spans="1:23" hidden="1" x14ac:dyDescent="0.25">
      <c r="A132" s="16"/>
      <c r="B132" s="17" t="b">
        <f t="shared" si="32"/>
        <v>0</v>
      </c>
      <c r="C132" s="17" t="b">
        <f t="shared" si="40"/>
        <v>0</v>
      </c>
      <c r="D132" s="17">
        <f t="shared" si="26"/>
        <v>1</v>
      </c>
      <c r="E132" s="17" t="str">
        <f t="shared" si="31"/>
        <v>Section 5 - Conclusion, And FREE Coupon For Next Course</v>
      </c>
      <c r="F132" s="18" t="str">
        <f t="shared" si="27"/>
        <v/>
      </c>
      <c r="G132" s="13" t="str">
        <f t="shared" si="33"/>
        <v/>
      </c>
      <c r="H132">
        <f t="shared" si="34"/>
        <v>0</v>
      </c>
      <c r="I132">
        <f t="shared" si="35"/>
        <v>0</v>
      </c>
      <c r="J132" s="13">
        <f t="shared" si="36"/>
        <v>85</v>
      </c>
      <c r="K132">
        <f t="shared" si="28"/>
        <v>1</v>
      </c>
      <c r="L132">
        <f t="shared" si="29"/>
        <v>25</v>
      </c>
      <c r="M132" s="13">
        <f t="shared" si="37"/>
        <v>1</v>
      </c>
      <c r="N132">
        <f t="shared" si="37"/>
        <v>24</v>
      </c>
      <c r="O132" s="14">
        <f t="shared" si="25"/>
        <v>84</v>
      </c>
      <c r="P132" s="13">
        <f t="shared" si="30"/>
        <v>1</v>
      </c>
      <c r="Q132">
        <f t="shared" si="38"/>
        <v>24</v>
      </c>
      <c r="R132" s="14">
        <f t="shared" si="39"/>
        <v>84</v>
      </c>
      <c r="S132" s="15"/>
      <c r="W132" s="14"/>
    </row>
    <row r="133" spans="1:23" hidden="1" x14ac:dyDescent="0.25">
      <c r="A133" s="16"/>
      <c r="B133" s="17" t="b">
        <f t="shared" si="32"/>
        <v>0</v>
      </c>
      <c r="C133" s="17" t="b">
        <f t="shared" si="40"/>
        <v>0</v>
      </c>
      <c r="D133" s="17">
        <f t="shared" si="26"/>
        <v>1</v>
      </c>
      <c r="E133" s="17" t="str">
        <f t="shared" si="31"/>
        <v>Section 5 - Conclusion, And FREE Coupon For Next Course</v>
      </c>
      <c r="F133" s="18" t="str">
        <f t="shared" si="27"/>
        <v/>
      </c>
      <c r="G133" s="13" t="str">
        <f t="shared" si="33"/>
        <v/>
      </c>
      <c r="H133">
        <f t="shared" si="34"/>
        <v>0</v>
      </c>
      <c r="I133">
        <f t="shared" si="35"/>
        <v>0</v>
      </c>
      <c r="J133" s="13">
        <f t="shared" si="36"/>
        <v>85</v>
      </c>
      <c r="K133">
        <f t="shared" si="28"/>
        <v>1</v>
      </c>
      <c r="L133">
        <f t="shared" si="29"/>
        <v>25</v>
      </c>
      <c r="M133" s="13">
        <f t="shared" si="37"/>
        <v>1</v>
      </c>
      <c r="N133">
        <f t="shared" si="37"/>
        <v>24</v>
      </c>
      <c r="O133" s="14">
        <f t="shared" si="25"/>
        <v>84</v>
      </c>
      <c r="P133" s="13">
        <f t="shared" si="30"/>
        <v>1</v>
      </c>
      <c r="Q133">
        <f t="shared" si="38"/>
        <v>24</v>
      </c>
      <c r="R133" s="14">
        <f t="shared" si="39"/>
        <v>84</v>
      </c>
      <c r="S133" s="15"/>
      <c r="W133" s="14"/>
    </row>
    <row r="134" spans="1:23" hidden="1" x14ac:dyDescent="0.25">
      <c r="A134" s="16"/>
      <c r="B134" s="17" t="b">
        <f t="shared" si="32"/>
        <v>0</v>
      </c>
      <c r="C134" s="17" t="b">
        <f t="shared" si="40"/>
        <v>0</v>
      </c>
      <c r="D134" s="17">
        <f t="shared" si="26"/>
        <v>1</v>
      </c>
      <c r="E134" s="17" t="str">
        <f t="shared" si="31"/>
        <v>Section 5 - Conclusion, And FREE Coupon For Next Course</v>
      </c>
      <c r="F134" s="18" t="str">
        <f t="shared" si="27"/>
        <v/>
      </c>
      <c r="G134" s="13" t="str">
        <f t="shared" si="33"/>
        <v/>
      </c>
      <c r="H134">
        <f t="shared" si="34"/>
        <v>0</v>
      </c>
      <c r="I134">
        <f t="shared" si="35"/>
        <v>0</v>
      </c>
      <c r="J134" s="13">
        <f t="shared" si="36"/>
        <v>85</v>
      </c>
      <c r="K134">
        <f t="shared" si="28"/>
        <v>1</v>
      </c>
      <c r="L134">
        <f t="shared" si="29"/>
        <v>25</v>
      </c>
      <c r="M134" s="13">
        <f t="shared" si="37"/>
        <v>1</v>
      </c>
      <c r="N134">
        <f t="shared" si="37"/>
        <v>24</v>
      </c>
      <c r="O134" s="14">
        <f t="shared" si="25"/>
        <v>84</v>
      </c>
      <c r="P134" s="13">
        <f t="shared" si="30"/>
        <v>1</v>
      </c>
      <c r="Q134">
        <f t="shared" si="38"/>
        <v>24</v>
      </c>
      <c r="R134" s="14">
        <f t="shared" si="39"/>
        <v>84</v>
      </c>
      <c r="S134" s="15"/>
      <c r="W134" s="14"/>
    </row>
    <row r="135" spans="1:23" hidden="1" x14ac:dyDescent="0.25">
      <c r="A135" s="16"/>
      <c r="B135" s="17" t="b">
        <f t="shared" si="32"/>
        <v>0</v>
      </c>
      <c r="C135" s="17" t="b">
        <f t="shared" si="40"/>
        <v>0</v>
      </c>
      <c r="D135" s="17">
        <f t="shared" si="26"/>
        <v>1</v>
      </c>
      <c r="E135" s="17" t="str">
        <f t="shared" si="31"/>
        <v>Section 5 - Conclusion, And FREE Coupon For Next Course</v>
      </c>
      <c r="F135" s="18" t="str">
        <f t="shared" si="27"/>
        <v/>
      </c>
      <c r="G135" s="13" t="str">
        <f t="shared" si="33"/>
        <v/>
      </c>
      <c r="H135">
        <f t="shared" si="34"/>
        <v>0</v>
      </c>
      <c r="I135">
        <f t="shared" si="35"/>
        <v>0</v>
      </c>
      <c r="J135" s="13">
        <f t="shared" si="36"/>
        <v>85</v>
      </c>
      <c r="K135">
        <f t="shared" si="28"/>
        <v>1</v>
      </c>
      <c r="L135">
        <f t="shared" si="29"/>
        <v>25</v>
      </c>
      <c r="M135" s="13">
        <f t="shared" si="37"/>
        <v>1</v>
      </c>
      <c r="N135">
        <f t="shared" si="37"/>
        <v>24</v>
      </c>
      <c r="O135" s="14">
        <f t="shared" si="25"/>
        <v>84</v>
      </c>
      <c r="P135" s="13">
        <f t="shared" si="30"/>
        <v>1</v>
      </c>
      <c r="Q135">
        <f t="shared" si="38"/>
        <v>24</v>
      </c>
      <c r="R135" s="14">
        <f t="shared" si="39"/>
        <v>84</v>
      </c>
      <c r="S135" s="15"/>
      <c r="W135" s="14"/>
    </row>
    <row r="136" spans="1:23" hidden="1" x14ac:dyDescent="0.25">
      <c r="A136" s="16"/>
      <c r="B136" s="17" t="b">
        <f t="shared" si="32"/>
        <v>0</v>
      </c>
      <c r="C136" s="17" t="b">
        <f t="shared" si="40"/>
        <v>0</v>
      </c>
      <c r="D136" s="17">
        <f t="shared" si="26"/>
        <v>1</v>
      </c>
      <c r="E136" s="17" t="str">
        <f t="shared" si="31"/>
        <v>Section 5 - Conclusion, And FREE Coupon For Next Course</v>
      </c>
      <c r="F136" s="18" t="str">
        <f t="shared" si="27"/>
        <v/>
      </c>
      <c r="G136" s="13" t="str">
        <f t="shared" si="33"/>
        <v/>
      </c>
      <c r="H136">
        <f t="shared" si="34"/>
        <v>0</v>
      </c>
      <c r="I136">
        <f t="shared" si="35"/>
        <v>0</v>
      </c>
      <c r="J136" s="13">
        <f t="shared" si="36"/>
        <v>85</v>
      </c>
      <c r="K136">
        <f t="shared" si="28"/>
        <v>1</v>
      </c>
      <c r="L136">
        <f t="shared" si="29"/>
        <v>25</v>
      </c>
      <c r="M136" s="13">
        <f t="shared" si="37"/>
        <v>1</v>
      </c>
      <c r="N136">
        <f t="shared" si="37"/>
        <v>24</v>
      </c>
      <c r="O136" s="14">
        <f t="shared" si="25"/>
        <v>84</v>
      </c>
      <c r="P136" s="13">
        <f t="shared" si="30"/>
        <v>1</v>
      </c>
      <c r="Q136">
        <f t="shared" si="38"/>
        <v>24</v>
      </c>
      <c r="R136" s="14">
        <f t="shared" si="39"/>
        <v>84</v>
      </c>
      <c r="S136" s="15"/>
      <c r="W136" s="14"/>
    </row>
    <row r="137" spans="1:23" hidden="1" x14ac:dyDescent="0.25">
      <c r="A137" s="16"/>
      <c r="B137" s="17" t="b">
        <f t="shared" si="32"/>
        <v>0</v>
      </c>
      <c r="C137" s="17" t="b">
        <f t="shared" si="40"/>
        <v>0</v>
      </c>
      <c r="D137" s="17">
        <f t="shared" si="26"/>
        <v>1</v>
      </c>
      <c r="E137" s="17" t="str">
        <f t="shared" si="31"/>
        <v>Section 5 - Conclusion, And FREE Coupon For Next Course</v>
      </c>
      <c r="F137" s="18" t="str">
        <f t="shared" si="27"/>
        <v/>
      </c>
      <c r="G137" s="13" t="str">
        <f t="shared" si="33"/>
        <v/>
      </c>
      <c r="H137">
        <f t="shared" si="34"/>
        <v>0</v>
      </c>
      <c r="I137">
        <f t="shared" si="35"/>
        <v>0</v>
      </c>
      <c r="J137" s="13">
        <f t="shared" si="36"/>
        <v>85</v>
      </c>
      <c r="K137">
        <f t="shared" si="28"/>
        <v>1</v>
      </c>
      <c r="L137">
        <f t="shared" si="29"/>
        <v>25</v>
      </c>
      <c r="M137" s="13">
        <f t="shared" si="37"/>
        <v>1</v>
      </c>
      <c r="N137">
        <f t="shared" si="37"/>
        <v>24</v>
      </c>
      <c r="O137" s="14">
        <f t="shared" si="25"/>
        <v>84</v>
      </c>
      <c r="P137" s="13">
        <f t="shared" si="30"/>
        <v>1</v>
      </c>
      <c r="Q137">
        <f t="shared" si="38"/>
        <v>24</v>
      </c>
      <c r="R137" s="14">
        <f t="shared" si="39"/>
        <v>84</v>
      </c>
      <c r="S137" s="15"/>
      <c r="W137" s="14"/>
    </row>
    <row r="138" spans="1:23" hidden="1" x14ac:dyDescent="0.25">
      <c r="A138" s="16"/>
      <c r="B138" s="17" t="b">
        <f t="shared" si="32"/>
        <v>0</v>
      </c>
      <c r="C138" s="17" t="b">
        <f t="shared" si="40"/>
        <v>0</v>
      </c>
      <c r="D138" s="17">
        <f t="shared" si="26"/>
        <v>1</v>
      </c>
      <c r="E138" s="17" t="str">
        <f t="shared" si="31"/>
        <v>Section 5 - Conclusion, And FREE Coupon For Next Course</v>
      </c>
      <c r="F138" s="18" t="str">
        <f t="shared" si="27"/>
        <v/>
      </c>
      <c r="G138" s="13" t="str">
        <f t="shared" si="33"/>
        <v/>
      </c>
      <c r="H138">
        <f t="shared" si="34"/>
        <v>0</v>
      </c>
      <c r="I138">
        <f t="shared" si="35"/>
        <v>0</v>
      </c>
      <c r="J138" s="13">
        <f t="shared" si="36"/>
        <v>85</v>
      </c>
      <c r="K138">
        <f t="shared" si="28"/>
        <v>1</v>
      </c>
      <c r="L138">
        <f t="shared" si="29"/>
        <v>25</v>
      </c>
      <c r="M138" s="13">
        <f t="shared" si="37"/>
        <v>1</v>
      </c>
      <c r="N138">
        <f t="shared" si="37"/>
        <v>24</v>
      </c>
      <c r="O138" s="14">
        <f t="shared" ref="O138:O201" si="41">((M138*60)+N138)</f>
        <v>84</v>
      </c>
      <c r="P138" s="13">
        <f t="shared" si="30"/>
        <v>1</v>
      </c>
      <c r="Q138">
        <f t="shared" si="38"/>
        <v>24</v>
      </c>
      <c r="R138" s="14">
        <f t="shared" si="39"/>
        <v>84</v>
      </c>
      <c r="S138" s="15"/>
      <c r="W138" s="14"/>
    </row>
    <row r="139" spans="1:23" hidden="1" x14ac:dyDescent="0.25">
      <c r="A139" s="16"/>
      <c r="B139" s="17" t="b">
        <f t="shared" si="32"/>
        <v>0</v>
      </c>
      <c r="C139" s="17" t="b">
        <f t="shared" si="40"/>
        <v>0</v>
      </c>
      <c r="D139" s="17">
        <f t="shared" ref="D139:D202" si="42">IF(B139,0,IF(C139,D138+1,D138))</f>
        <v>1</v>
      </c>
      <c r="E139" s="17" t="str">
        <f t="shared" si="31"/>
        <v>Section 5 - Conclusion, And FREE Coupon For Next Course</v>
      </c>
      <c r="F139" s="18" t="str">
        <f t="shared" ref="F139:F202" si="43">IF(C139,A139,"")</f>
        <v/>
      </c>
      <c r="G139" s="13" t="str">
        <f t="shared" si="33"/>
        <v/>
      </c>
      <c r="H139">
        <f t="shared" si="34"/>
        <v>0</v>
      </c>
      <c r="I139">
        <f t="shared" si="35"/>
        <v>0</v>
      </c>
      <c r="J139" s="13">
        <f t="shared" si="36"/>
        <v>85</v>
      </c>
      <c r="K139">
        <f t="shared" ref="K139:K202" si="44">INT(J139/60)</f>
        <v>1</v>
      </c>
      <c r="L139">
        <f t="shared" ref="L139:L202" si="45">INT(J139-(K139*60))</f>
        <v>25</v>
      </c>
      <c r="M139" s="13">
        <f t="shared" si="37"/>
        <v>1</v>
      </c>
      <c r="N139">
        <f t="shared" si="37"/>
        <v>24</v>
      </c>
      <c r="O139" s="14">
        <f t="shared" si="41"/>
        <v>84</v>
      </c>
      <c r="P139" s="13">
        <f t="shared" ref="P139:P202" si="46">INT(R139/60)</f>
        <v>1</v>
      </c>
      <c r="Q139">
        <f t="shared" si="38"/>
        <v>24</v>
      </c>
      <c r="R139" s="14">
        <f t="shared" si="39"/>
        <v>84</v>
      </c>
      <c r="S139" s="15"/>
      <c r="W139" s="14"/>
    </row>
    <row r="140" spans="1:23" hidden="1" x14ac:dyDescent="0.25">
      <c r="A140" s="16"/>
      <c r="B140" s="17" t="b">
        <f t="shared" si="32"/>
        <v>0</v>
      </c>
      <c r="C140" s="17" t="b">
        <f t="shared" si="40"/>
        <v>0</v>
      </c>
      <c r="D140" s="17">
        <f t="shared" si="42"/>
        <v>1</v>
      </c>
      <c r="E140" s="17" t="str">
        <f t="shared" ref="E140:E203" si="47">SUBSTITUTE(IF(B140,A140,E139),":", " -")</f>
        <v>Section 5 - Conclusion, And FREE Coupon For Next Course</v>
      </c>
      <c r="F140" s="18" t="str">
        <f t="shared" si="43"/>
        <v/>
      </c>
      <c r="G140" s="13" t="str">
        <f t="shared" si="33"/>
        <v/>
      </c>
      <c r="H140">
        <f t="shared" si="34"/>
        <v>0</v>
      </c>
      <c r="I140">
        <f t="shared" si="35"/>
        <v>0</v>
      </c>
      <c r="J140" s="13">
        <f t="shared" si="36"/>
        <v>85</v>
      </c>
      <c r="K140">
        <f t="shared" si="44"/>
        <v>1</v>
      </c>
      <c r="L140">
        <f t="shared" si="45"/>
        <v>25</v>
      </c>
      <c r="M140" s="13">
        <f t="shared" si="37"/>
        <v>1</v>
      </c>
      <c r="N140">
        <f t="shared" si="37"/>
        <v>24</v>
      </c>
      <c r="O140" s="14">
        <f t="shared" si="41"/>
        <v>84</v>
      </c>
      <c r="P140" s="13">
        <f t="shared" si="46"/>
        <v>1</v>
      </c>
      <c r="Q140">
        <f t="shared" si="38"/>
        <v>24</v>
      </c>
      <c r="R140" s="14">
        <f t="shared" si="39"/>
        <v>84</v>
      </c>
      <c r="S140" s="15"/>
      <c r="W140" s="14"/>
    </row>
    <row r="141" spans="1:23" hidden="1" x14ac:dyDescent="0.25">
      <c r="A141" s="16"/>
      <c r="B141" s="17" t="b">
        <f t="shared" si="32"/>
        <v>0</v>
      </c>
      <c r="C141" s="17" t="b">
        <f t="shared" si="40"/>
        <v>0</v>
      </c>
      <c r="D141" s="17">
        <f t="shared" si="42"/>
        <v>1</v>
      </c>
      <c r="E141" s="17" t="str">
        <f t="shared" si="47"/>
        <v>Section 5 - Conclusion, And FREE Coupon For Next Course</v>
      </c>
      <c r="F141" s="18" t="str">
        <f t="shared" si="43"/>
        <v/>
      </c>
      <c r="G141" s="13" t="str">
        <f t="shared" si="33"/>
        <v/>
      </c>
      <c r="H141">
        <f t="shared" si="34"/>
        <v>0</v>
      </c>
      <c r="I141">
        <f t="shared" si="35"/>
        <v>0</v>
      </c>
      <c r="J141" s="13">
        <f t="shared" si="36"/>
        <v>85</v>
      </c>
      <c r="K141">
        <f t="shared" si="44"/>
        <v>1</v>
      </c>
      <c r="L141">
        <f t="shared" si="45"/>
        <v>25</v>
      </c>
      <c r="M141" s="13">
        <f t="shared" si="37"/>
        <v>1</v>
      </c>
      <c r="N141">
        <f t="shared" si="37"/>
        <v>24</v>
      </c>
      <c r="O141" s="14">
        <f t="shared" si="41"/>
        <v>84</v>
      </c>
      <c r="P141" s="13">
        <f t="shared" si="46"/>
        <v>1</v>
      </c>
      <c r="Q141">
        <f t="shared" si="38"/>
        <v>24</v>
      </c>
      <c r="R141" s="14">
        <f t="shared" si="39"/>
        <v>84</v>
      </c>
      <c r="S141" s="15"/>
      <c r="W141" s="14"/>
    </row>
    <row r="142" spans="1:23" hidden="1" x14ac:dyDescent="0.25">
      <c r="A142" s="16"/>
      <c r="B142" s="17" t="b">
        <f t="shared" si="32"/>
        <v>0</v>
      </c>
      <c r="C142" s="17" t="b">
        <f t="shared" si="40"/>
        <v>0</v>
      </c>
      <c r="D142" s="17">
        <f t="shared" si="42"/>
        <v>1</v>
      </c>
      <c r="E142" s="17" t="str">
        <f t="shared" si="47"/>
        <v>Section 5 - Conclusion, And FREE Coupon For Next Course</v>
      </c>
      <c r="F142" s="18" t="str">
        <f t="shared" si="43"/>
        <v/>
      </c>
      <c r="G142" s="13" t="str">
        <f t="shared" si="33"/>
        <v/>
      </c>
      <c r="H142">
        <f t="shared" si="34"/>
        <v>0</v>
      </c>
      <c r="I142">
        <f t="shared" si="35"/>
        <v>0</v>
      </c>
      <c r="J142" s="13">
        <f t="shared" si="36"/>
        <v>85</v>
      </c>
      <c r="K142">
        <f t="shared" si="44"/>
        <v>1</v>
      </c>
      <c r="L142">
        <f t="shared" si="45"/>
        <v>25</v>
      </c>
      <c r="M142" s="13">
        <f t="shared" si="37"/>
        <v>1</v>
      </c>
      <c r="N142">
        <f t="shared" si="37"/>
        <v>24</v>
      </c>
      <c r="O142" s="14">
        <f t="shared" si="41"/>
        <v>84</v>
      </c>
      <c r="P142" s="13">
        <f t="shared" si="46"/>
        <v>1</v>
      </c>
      <c r="Q142">
        <f t="shared" si="38"/>
        <v>24</v>
      </c>
      <c r="R142" s="14">
        <f t="shared" si="39"/>
        <v>84</v>
      </c>
      <c r="S142" s="15"/>
      <c r="W142" s="14"/>
    </row>
    <row r="143" spans="1:23" hidden="1" x14ac:dyDescent="0.25">
      <c r="A143" s="16"/>
      <c r="B143" s="17" t="b">
        <f t="shared" si="32"/>
        <v>0</v>
      </c>
      <c r="C143" s="17" t="b">
        <f t="shared" si="40"/>
        <v>0</v>
      </c>
      <c r="D143" s="17">
        <f t="shared" si="42"/>
        <v>1</v>
      </c>
      <c r="E143" s="17" t="str">
        <f t="shared" si="47"/>
        <v>Section 5 - Conclusion, And FREE Coupon For Next Course</v>
      </c>
      <c r="F143" s="18" t="str">
        <f t="shared" si="43"/>
        <v/>
      </c>
      <c r="G143" s="13" t="str">
        <f t="shared" si="33"/>
        <v/>
      </c>
      <c r="H143">
        <f t="shared" si="34"/>
        <v>0</v>
      </c>
      <c r="I143">
        <f t="shared" si="35"/>
        <v>0</v>
      </c>
      <c r="J143" s="13">
        <f t="shared" si="36"/>
        <v>85</v>
      </c>
      <c r="K143">
        <f t="shared" si="44"/>
        <v>1</v>
      </c>
      <c r="L143">
        <f t="shared" si="45"/>
        <v>25</v>
      </c>
      <c r="M143" s="13">
        <f t="shared" si="37"/>
        <v>1</v>
      </c>
      <c r="N143">
        <f t="shared" si="37"/>
        <v>24</v>
      </c>
      <c r="O143" s="14">
        <f t="shared" si="41"/>
        <v>84</v>
      </c>
      <c r="P143" s="13">
        <f t="shared" si="46"/>
        <v>1</v>
      </c>
      <c r="Q143">
        <f t="shared" si="38"/>
        <v>24</v>
      </c>
      <c r="R143" s="14">
        <f t="shared" si="39"/>
        <v>84</v>
      </c>
      <c r="S143" s="15"/>
      <c r="W143" s="14"/>
    </row>
    <row r="144" spans="1:23" hidden="1" x14ac:dyDescent="0.25">
      <c r="A144" s="16"/>
      <c r="B144" s="17" t="b">
        <f t="shared" si="32"/>
        <v>0</v>
      </c>
      <c r="C144" s="17" t="b">
        <f t="shared" si="40"/>
        <v>0</v>
      </c>
      <c r="D144" s="17">
        <f t="shared" si="42"/>
        <v>1</v>
      </c>
      <c r="E144" s="17" t="str">
        <f t="shared" si="47"/>
        <v>Section 5 - Conclusion, And FREE Coupon For Next Course</v>
      </c>
      <c r="F144" s="18" t="str">
        <f t="shared" si="43"/>
        <v/>
      </c>
      <c r="G144" s="13" t="str">
        <f t="shared" si="33"/>
        <v/>
      </c>
      <c r="H144">
        <f t="shared" si="34"/>
        <v>0</v>
      </c>
      <c r="I144">
        <f t="shared" si="35"/>
        <v>0</v>
      </c>
      <c r="J144" s="13">
        <f t="shared" si="36"/>
        <v>85</v>
      </c>
      <c r="K144">
        <f t="shared" si="44"/>
        <v>1</v>
      </c>
      <c r="L144">
        <f t="shared" si="45"/>
        <v>25</v>
      </c>
      <c r="M144" s="13">
        <f t="shared" si="37"/>
        <v>1</v>
      </c>
      <c r="N144">
        <f t="shared" si="37"/>
        <v>24</v>
      </c>
      <c r="O144" s="14">
        <f t="shared" si="41"/>
        <v>84</v>
      </c>
      <c r="P144" s="13">
        <f t="shared" si="46"/>
        <v>1</v>
      </c>
      <c r="Q144">
        <f t="shared" si="38"/>
        <v>24</v>
      </c>
      <c r="R144" s="14">
        <f t="shared" si="39"/>
        <v>84</v>
      </c>
      <c r="S144" s="15"/>
      <c r="W144" s="14"/>
    </row>
    <row r="145" spans="1:23" hidden="1" x14ac:dyDescent="0.25">
      <c r="A145" s="16"/>
      <c r="B145" s="17" t="b">
        <f t="shared" si="32"/>
        <v>0</v>
      </c>
      <c r="C145" s="17" t="b">
        <f t="shared" si="40"/>
        <v>0</v>
      </c>
      <c r="D145" s="17">
        <f t="shared" si="42"/>
        <v>1</v>
      </c>
      <c r="E145" s="17" t="str">
        <f t="shared" si="47"/>
        <v>Section 5 - Conclusion, And FREE Coupon For Next Course</v>
      </c>
      <c r="F145" s="18" t="str">
        <f t="shared" si="43"/>
        <v/>
      </c>
      <c r="G145" s="13" t="str">
        <f t="shared" si="33"/>
        <v/>
      </c>
      <c r="H145">
        <f t="shared" si="34"/>
        <v>0</v>
      </c>
      <c r="I145">
        <f t="shared" si="35"/>
        <v>0</v>
      </c>
      <c r="J145" s="13">
        <f t="shared" si="36"/>
        <v>85</v>
      </c>
      <c r="K145">
        <f t="shared" si="44"/>
        <v>1</v>
      </c>
      <c r="L145">
        <f t="shared" si="45"/>
        <v>25</v>
      </c>
      <c r="M145" s="13">
        <f t="shared" si="37"/>
        <v>1</v>
      </c>
      <c r="N145">
        <f t="shared" si="37"/>
        <v>24</v>
      </c>
      <c r="O145" s="14">
        <f t="shared" si="41"/>
        <v>84</v>
      </c>
      <c r="P145" s="13">
        <f t="shared" si="46"/>
        <v>1</v>
      </c>
      <c r="Q145">
        <f t="shared" si="38"/>
        <v>24</v>
      </c>
      <c r="R145" s="14">
        <f t="shared" si="39"/>
        <v>84</v>
      </c>
      <c r="S145" s="15"/>
      <c r="W145" s="14"/>
    </row>
    <row r="146" spans="1:23" hidden="1" x14ac:dyDescent="0.25">
      <c r="A146" s="16"/>
      <c r="B146" s="17" t="b">
        <f t="shared" ref="B146:B209" si="48">AND(NOT(ISERROR(FIND("Section ",A146))),NOT(ISERROR(FIND("Section ",A146))))</f>
        <v>0</v>
      </c>
      <c r="C146" s="17" t="b">
        <f t="shared" si="40"/>
        <v>0</v>
      </c>
      <c r="D146" s="17">
        <f t="shared" si="42"/>
        <v>1</v>
      </c>
      <c r="E146" s="17" t="str">
        <f t="shared" si="47"/>
        <v>Section 5 - Conclusion, And FREE Coupon For Next Course</v>
      </c>
      <c r="F146" s="18" t="str">
        <f t="shared" si="43"/>
        <v/>
      </c>
      <c r="G146" s="13" t="str">
        <f t="shared" si="33"/>
        <v/>
      </c>
      <c r="H146">
        <f t="shared" si="34"/>
        <v>0</v>
      </c>
      <c r="I146">
        <f t="shared" si="35"/>
        <v>0</v>
      </c>
      <c r="J146" s="13">
        <f t="shared" si="36"/>
        <v>85</v>
      </c>
      <c r="K146">
        <f t="shared" si="44"/>
        <v>1</v>
      </c>
      <c r="L146">
        <f t="shared" si="45"/>
        <v>25</v>
      </c>
      <c r="M146" s="13">
        <f t="shared" si="37"/>
        <v>1</v>
      </c>
      <c r="N146">
        <f t="shared" si="37"/>
        <v>24</v>
      </c>
      <c r="O146" s="14">
        <f t="shared" si="41"/>
        <v>84</v>
      </c>
      <c r="P146" s="13">
        <f t="shared" si="46"/>
        <v>1</v>
      </c>
      <c r="Q146">
        <f t="shared" si="38"/>
        <v>24</v>
      </c>
      <c r="R146" s="14">
        <f t="shared" si="39"/>
        <v>84</v>
      </c>
      <c r="S146" s="15"/>
      <c r="W146" s="14"/>
    </row>
    <row r="147" spans="1:23" hidden="1" x14ac:dyDescent="0.25">
      <c r="A147" s="16"/>
      <c r="B147" s="17" t="b">
        <f t="shared" si="48"/>
        <v>0</v>
      </c>
      <c r="C147" s="17" t="b">
        <f t="shared" si="40"/>
        <v>0</v>
      </c>
      <c r="D147" s="17">
        <f t="shared" si="42"/>
        <v>1</v>
      </c>
      <c r="E147" s="17" t="str">
        <f t="shared" si="47"/>
        <v>Section 5 - Conclusion, And FREE Coupon For Next Course</v>
      </c>
      <c r="F147" s="18" t="str">
        <f t="shared" si="43"/>
        <v/>
      </c>
      <c r="G147" s="13" t="str">
        <f t="shared" si="33"/>
        <v/>
      </c>
      <c r="H147">
        <f t="shared" si="34"/>
        <v>0</v>
      </c>
      <c r="I147">
        <f t="shared" si="35"/>
        <v>0</v>
      </c>
      <c r="J147" s="13">
        <f t="shared" si="36"/>
        <v>85</v>
      </c>
      <c r="K147">
        <f t="shared" si="44"/>
        <v>1</v>
      </c>
      <c r="L147">
        <f t="shared" si="45"/>
        <v>25</v>
      </c>
      <c r="M147" s="13">
        <f t="shared" si="37"/>
        <v>1</v>
      </c>
      <c r="N147">
        <f t="shared" si="37"/>
        <v>24</v>
      </c>
      <c r="O147" s="14">
        <f t="shared" si="41"/>
        <v>84</v>
      </c>
      <c r="P147" s="13">
        <f t="shared" si="46"/>
        <v>1</v>
      </c>
      <c r="Q147">
        <f t="shared" si="38"/>
        <v>24</v>
      </c>
      <c r="R147" s="14">
        <f t="shared" si="39"/>
        <v>84</v>
      </c>
      <c r="S147" s="15"/>
      <c r="W147" s="14"/>
    </row>
    <row r="148" spans="1:23" hidden="1" x14ac:dyDescent="0.25">
      <c r="A148" s="16"/>
      <c r="B148" s="17" t="b">
        <f t="shared" si="48"/>
        <v>0</v>
      </c>
      <c r="C148" s="17" t="b">
        <f t="shared" si="40"/>
        <v>0</v>
      </c>
      <c r="D148" s="17">
        <f t="shared" si="42"/>
        <v>1</v>
      </c>
      <c r="E148" s="17" t="str">
        <f t="shared" si="47"/>
        <v>Section 5 - Conclusion, And FREE Coupon For Next Course</v>
      </c>
      <c r="F148" s="18" t="str">
        <f t="shared" si="43"/>
        <v/>
      </c>
      <c r="G148" s="13" t="str">
        <f t="shared" si="33"/>
        <v/>
      </c>
      <c r="H148">
        <f t="shared" si="34"/>
        <v>0</v>
      </c>
      <c r="I148">
        <f t="shared" si="35"/>
        <v>0</v>
      </c>
      <c r="J148" s="13">
        <f t="shared" si="36"/>
        <v>85</v>
      </c>
      <c r="K148">
        <f t="shared" si="44"/>
        <v>1</v>
      </c>
      <c r="L148">
        <f t="shared" si="45"/>
        <v>25</v>
      </c>
      <c r="M148" s="13">
        <f t="shared" si="37"/>
        <v>1</v>
      </c>
      <c r="N148">
        <f t="shared" si="37"/>
        <v>24</v>
      </c>
      <c r="O148" s="14">
        <f t="shared" si="41"/>
        <v>84</v>
      </c>
      <c r="P148" s="13">
        <f t="shared" si="46"/>
        <v>1</v>
      </c>
      <c r="Q148">
        <f t="shared" si="38"/>
        <v>24</v>
      </c>
      <c r="R148" s="14">
        <f t="shared" si="39"/>
        <v>84</v>
      </c>
      <c r="S148" s="15"/>
      <c r="W148" s="14"/>
    </row>
    <row r="149" spans="1:23" hidden="1" x14ac:dyDescent="0.25">
      <c r="A149" s="16"/>
      <c r="B149" s="17" t="b">
        <f t="shared" si="48"/>
        <v>0</v>
      </c>
      <c r="C149" s="17" t="b">
        <f t="shared" si="40"/>
        <v>0</v>
      </c>
      <c r="D149" s="17">
        <f t="shared" si="42"/>
        <v>1</v>
      </c>
      <c r="E149" s="17" t="str">
        <f t="shared" si="47"/>
        <v>Section 5 - Conclusion, And FREE Coupon For Next Course</v>
      </c>
      <c r="F149" s="18" t="str">
        <f t="shared" si="43"/>
        <v/>
      </c>
      <c r="G149" s="13" t="str">
        <f t="shared" ref="G149:G212" si="49">IF(C149,A150,"")</f>
        <v/>
      </c>
      <c r="H149">
        <f t="shared" ref="H149:H212" si="50">VALUE(IF(NOT(ISERROR(FIND("hr",G149))),LEFT(G149,FIND("hr",G149)-1),0))</f>
        <v>0</v>
      </c>
      <c r="I149">
        <f t="shared" ref="I149:I212" si="51">VALUE(IF(ISERROR(FIND("min",G149)),0,SUBSTITUTE(MID(G149,IF(ISERROR(FIND("hr ",G149)),1,FIND("hr ",G149)+3),LEN(G149)),"min","")))</f>
        <v>0</v>
      </c>
      <c r="J149" s="13">
        <f t="shared" ref="J149:J212" si="52">J148+(H149*60+I149)</f>
        <v>85</v>
      </c>
      <c r="K149">
        <f t="shared" si="44"/>
        <v>1</v>
      </c>
      <c r="L149">
        <f t="shared" si="45"/>
        <v>25</v>
      </c>
      <c r="M149" s="13">
        <f t="shared" ref="M149:N212" si="53">P148</f>
        <v>1</v>
      </c>
      <c r="N149">
        <f t="shared" si="53"/>
        <v>24</v>
      </c>
      <c r="O149" s="14">
        <f t="shared" si="41"/>
        <v>84</v>
      </c>
      <c r="P149" s="13">
        <f t="shared" si="46"/>
        <v>1</v>
      </c>
      <c r="Q149">
        <f t="shared" ref="Q149:Q212" si="54">R149-(P149*60)</f>
        <v>24</v>
      </c>
      <c r="R149" s="14">
        <f t="shared" ref="R149:R212" si="55">((H149*60)+I149)+O149</f>
        <v>84</v>
      </c>
      <c r="S149" s="15"/>
      <c r="W149" s="14"/>
    </row>
    <row r="150" spans="1:23" hidden="1" x14ac:dyDescent="0.25">
      <c r="A150" s="16"/>
      <c r="B150" s="17" t="b">
        <f t="shared" si="48"/>
        <v>0</v>
      </c>
      <c r="C150" s="17" t="b">
        <f t="shared" si="40"/>
        <v>0</v>
      </c>
      <c r="D150" s="17">
        <f t="shared" si="42"/>
        <v>1</v>
      </c>
      <c r="E150" s="17" t="str">
        <f t="shared" si="47"/>
        <v>Section 5 - Conclusion, And FREE Coupon For Next Course</v>
      </c>
      <c r="F150" s="18" t="str">
        <f t="shared" si="43"/>
        <v/>
      </c>
      <c r="G150" s="13" t="str">
        <f t="shared" si="49"/>
        <v/>
      </c>
      <c r="H150">
        <f t="shared" si="50"/>
        <v>0</v>
      </c>
      <c r="I150">
        <f t="shared" si="51"/>
        <v>0</v>
      </c>
      <c r="J150" s="13">
        <f t="shared" si="52"/>
        <v>85</v>
      </c>
      <c r="K150">
        <f t="shared" si="44"/>
        <v>1</v>
      </c>
      <c r="L150">
        <f t="shared" si="45"/>
        <v>25</v>
      </c>
      <c r="M150" s="13">
        <f t="shared" si="53"/>
        <v>1</v>
      </c>
      <c r="N150">
        <f t="shared" si="53"/>
        <v>24</v>
      </c>
      <c r="O150" s="14">
        <f t="shared" si="41"/>
        <v>84</v>
      </c>
      <c r="P150" s="13">
        <f t="shared" si="46"/>
        <v>1</v>
      </c>
      <c r="Q150">
        <f t="shared" si="54"/>
        <v>24</v>
      </c>
      <c r="R150" s="14">
        <f t="shared" si="55"/>
        <v>84</v>
      </c>
      <c r="S150" s="15"/>
      <c r="W150" s="14"/>
    </row>
    <row r="151" spans="1:23" hidden="1" x14ac:dyDescent="0.25">
      <c r="A151" s="16"/>
      <c r="B151" s="17" t="b">
        <f t="shared" si="48"/>
        <v>0</v>
      </c>
      <c r="C151" s="17" t="b">
        <f t="shared" si="40"/>
        <v>0</v>
      </c>
      <c r="D151" s="17">
        <f t="shared" si="42"/>
        <v>1</v>
      </c>
      <c r="E151" s="17" t="str">
        <f t="shared" si="47"/>
        <v>Section 5 - Conclusion, And FREE Coupon For Next Course</v>
      </c>
      <c r="F151" s="18" t="str">
        <f t="shared" si="43"/>
        <v/>
      </c>
      <c r="G151" s="13" t="str">
        <f t="shared" si="49"/>
        <v/>
      </c>
      <c r="H151">
        <f t="shared" si="50"/>
        <v>0</v>
      </c>
      <c r="I151">
        <f t="shared" si="51"/>
        <v>0</v>
      </c>
      <c r="J151" s="13">
        <f t="shared" si="52"/>
        <v>85</v>
      </c>
      <c r="K151">
        <f t="shared" si="44"/>
        <v>1</v>
      </c>
      <c r="L151">
        <f t="shared" si="45"/>
        <v>25</v>
      </c>
      <c r="M151" s="13">
        <f t="shared" si="53"/>
        <v>1</v>
      </c>
      <c r="N151">
        <f t="shared" si="53"/>
        <v>24</v>
      </c>
      <c r="O151" s="14">
        <f t="shared" si="41"/>
        <v>84</v>
      </c>
      <c r="P151" s="13">
        <f t="shared" si="46"/>
        <v>1</v>
      </c>
      <c r="Q151">
        <f t="shared" si="54"/>
        <v>24</v>
      </c>
      <c r="R151" s="14">
        <f t="shared" si="55"/>
        <v>84</v>
      </c>
      <c r="S151" s="15"/>
      <c r="W151" s="14"/>
    </row>
    <row r="152" spans="1:23" hidden="1" x14ac:dyDescent="0.25">
      <c r="A152" s="16"/>
      <c r="B152" s="17" t="b">
        <f t="shared" si="48"/>
        <v>0</v>
      </c>
      <c r="C152" s="17" t="b">
        <f t="shared" si="40"/>
        <v>0</v>
      </c>
      <c r="D152" s="17">
        <f t="shared" si="42"/>
        <v>1</v>
      </c>
      <c r="E152" s="17" t="str">
        <f t="shared" si="47"/>
        <v>Section 5 - Conclusion, And FREE Coupon For Next Course</v>
      </c>
      <c r="F152" s="18" t="str">
        <f t="shared" si="43"/>
        <v/>
      </c>
      <c r="G152" s="13" t="str">
        <f t="shared" si="49"/>
        <v/>
      </c>
      <c r="H152">
        <f t="shared" si="50"/>
        <v>0</v>
      </c>
      <c r="I152">
        <f t="shared" si="51"/>
        <v>0</v>
      </c>
      <c r="J152" s="13">
        <f t="shared" si="52"/>
        <v>85</v>
      </c>
      <c r="K152">
        <f t="shared" si="44"/>
        <v>1</v>
      </c>
      <c r="L152">
        <f t="shared" si="45"/>
        <v>25</v>
      </c>
      <c r="M152" s="13">
        <f t="shared" si="53"/>
        <v>1</v>
      </c>
      <c r="N152">
        <f t="shared" si="53"/>
        <v>24</v>
      </c>
      <c r="O152" s="14">
        <f t="shared" si="41"/>
        <v>84</v>
      </c>
      <c r="P152" s="13">
        <f t="shared" si="46"/>
        <v>1</v>
      </c>
      <c r="Q152">
        <f t="shared" si="54"/>
        <v>24</v>
      </c>
      <c r="R152" s="14">
        <f t="shared" si="55"/>
        <v>84</v>
      </c>
      <c r="S152" s="15"/>
      <c r="W152" s="14"/>
    </row>
    <row r="153" spans="1:23" hidden="1" x14ac:dyDescent="0.25">
      <c r="A153" s="16"/>
      <c r="B153" s="17" t="b">
        <f t="shared" si="48"/>
        <v>0</v>
      </c>
      <c r="C153" s="17" t="b">
        <f t="shared" si="40"/>
        <v>0</v>
      </c>
      <c r="D153" s="17">
        <f t="shared" si="42"/>
        <v>1</v>
      </c>
      <c r="E153" s="17" t="str">
        <f t="shared" si="47"/>
        <v>Section 5 - Conclusion, And FREE Coupon For Next Course</v>
      </c>
      <c r="F153" s="18" t="str">
        <f t="shared" si="43"/>
        <v/>
      </c>
      <c r="G153" s="13" t="str">
        <f t="shared" si="49"/>
        <v/>
      </c>
      <c r="H153">
        <f t="shared" si="50"/>
        <v>0</v>
      </c>
      <c r="I153">
        <f t="shared" si="51"/>
        <v>0</v>
      </c>
      <c r="J153" s="13">
        <f t="shared" si="52"/>
        <v>85</v>
      </c>
      <c r="K153">
        <f t="shared" si="44"/>
        <v>1</v>
      </c>
      <c r="L153">
        <f t="shared" si="45"/>
        <v>25</v>
      </c>
      <c r="M153" s="13">
        <f t="shared" si="53"/>
        <v>1</v>
      </c>
      <c r="N153">
        <f t="shared" si="53"/>
        <v>24</v>
      </c>
      <c r="O153" s="14">
        <f t="shared" si="41"/>
        <v>84</v>
      </c>
      <c r="P153" s="13">
        <f t="shared" si="46"/>
        <v>1</v>
      </c>
      <c r="Q153">
        <f t="shared" si="54"/>
        <v>24</v>
      </c>
      <c r="R153" s="14">
        <f t="shared" si="55"/>
        <v>84</v>
      </c>
      <c r="S153" s="15"/>
      <c r="W153" s="14"/>
    </row>
    <row r="154" spans="1:23" hidden="1" x14ac:dyDescent="0.25">
      <c r="A154" s="16"/>
      <c r="B154" s="17" t="b">
        <f t="shared" si="48"/>
        <v>0</v>
      </c>
      <c r="C154" s="17" t="b">
        <f t="shared" si="40"/>
        <v>0</v>
      </c>
      <c r="D154" s="17">
        <f t="shared" si="42"/>
        <v>1</v>
      </c>
      <c r="E154" s="17" t="str">
        <f t="shared" si="47"/>
        <v>Section 5 - Conclusion, And FREE Coupon For Next Course</v>
      </c>
      <c r="F154" s="18" t="str">
        <f t="shared" si="43"/>
        <v/>
      </c>
      <c r="G154" s="13" t="str">
        <f t="shared" si="49"/>
        <v/>
      </c>
      <c r="H154">
        <f t="shared" si="50"/>
        <v>0</v>
      </c>
      <c r="I154">
        <f t="shared" si="51"/>
        <v>0</v>
      </c>
      <c r="J154" s="13">
        <f t="shared" si="52"/>
        <v>85</v>
      </c>
      <c r="K154">
        <f t="shared" si="44"/>
        <v>1</v>
      </c>
      <c r="L154">
        <f t="shared" si="45"/>
        <v>25</v>
      </c>
      <c r="M154" s="13">
        <f t="shared" si="53"/>
        <v>1</v>
      </c>
      <c r="N154">
        <f t="shared" si="53"/>
        <v>24</v>
      </c>
      <c r="O154" s="14">
        <f t="shared" si="41"/>
        <v>84</v>
      </c>
      <c r="P154" s="13">
        <f t="shared" si="46"/>
        <v>1</v>
      </c>
      <c r="Q154">
        <f t="shared" si="54"/>
        <v>24</v>
      </c>
      <c r="R154" s="14">
        <f t="shared" si="55"/>
        <v>84</v>
      </c>
      <c r="S154" s="15"/>
      <c r="W154" s="14"/>
    </row>
    <row r="155" spans="1:23" hidden="1" x14ac:dyDescent="0.25">
      <c r="A155" s="16"/>
      <c r="B155" s="17" t="b">
        <f t="shared" si="48"/>
        <v>0</v>
      </c>
      <c r="C155" s="17" t="b">
        <f t="shared" si="40"/>
        <v>0</v>
      </c>
      <c r="D155" s="17">
        <f t="shared" si="42"/>
        <v>1</v>
      </c>
      <c r="E155" s="17" t="str">
        <f t="shared" si="47"/>
        <v>Section 5 - Conclusion, And FREE Coupon For Next Course</v>
      </c>
      <c r="F155" s="18" t="str">
        <f t="shared" si="43"/>
        <v/>
      </c>
      <c r="G155" s="13" t="str">
        <f t="shared" si="49"/>
        <v/>
      </c>
      <c r="H155">
        <f t="shared" si="50"/>
        <v>0</v>
      </c>
      <c r="I155">
        <f t="shared" si="51"/>
        <v>0</v>
      </c>
      <c r="J155" s="13">
        <f t="shared" si="52"/>
        <v>85</v>
      </c>
      <c r="K155">
        <f t="shared" si="44"/>
        <v>1</v>
      </c>
      <c r="L155">
        <f t="shared" si="45"/>
        <v>25</v>
      </c>
      <c r="M155" s="13">
        <f t="shared" si="53"/>
        <v>1</v>
      </c>
      <c r="N155">
        <f t="shared" si="53"/>
        <v>24</v>
      </c>
      <c r="O155" s="14">
        <f t="shared" si="41"/>
        <v>84</v>
      </c>
      <c r="P155" s="13">
        <f t="shared" si="46"/>
        <v>1</v>
      </c>
      <c r="Q155">
        <f t="shared" si="54"/>
        <v>24</v>
      </c>
      <c r="R155" s="14">
        <f t="shared" si="55"/>
        <v>84</v>
      </c>
      <c r="S155" s="15"/>
      <c r="W155" s="14"/>
    </row>
    <row r="156" spans="1:23" hidden="1" x14ac:dyDescent="0.25">
      <c r="A156" s="16"/>
      <c r="B156" s="17" t="b">
        <f t="shared" si="48"/>
        <v>0</v>
      </c>
      <c r="C156" s="17" t="b">
        <f t="shared" si="40"/>
        <v>0</v>
      </c>
      <c r="D156" s="17">
        <f t="shared" si="42"/>
        <v>1</v>
      </c>
      <c r="E156" s="17" t="str">
        <f t="shared" si="47"/>
        <v>Section 5 - Conclusion, And FREE Coupon For Next Course</v>
      </c>
      <c r="F156" s="18" t="str">
        <f t="shared" si="43"/>
        <v/>
      </c>
      <c r="G156" s="13" t="str">
        <f t="shared" si="49"/>
        <v/>
      </c>
      <c r="H156">
        <f t="shared" si="50"/>
        <v>0</v>
      </c>
      <c r="I156">
        <f t="shared" si="51"/>
        <v>0</v>
      </c>
      <c r="J156" s="13">
        <f t="shared" si="52"/>
        <v>85</v>
      </c>
      <c r="K156">
        <f t="shared" si="44"/>
        <v>1</v>
      </c>
      <c r="L156">
        <f t="shared" si="45"/>
        <v>25</v>
      </c>
      <c r="M156" s="13">
        <f t="shared" si="53"/>
        <v>1</v>
      </c>
      <c r="N156">
        <f t="shared" si="53"/>
        <v>24</v>
      </c>
      <c r="O156" s="14">
        <f t="shared" si="41"/>
        <v>84</v>
      </c>
      <c r="P156" s="13">
        <f t="shared" si="46"/>
        <v>1</v>
      </c>
      <c r="Q156">
        <f t="shared" si="54"/>
        <v>24</v>
      </c>
      <c r="R156" s="14">
        <f t="shared" si="55"/>
        <v>84</v>
      </c>
      <c r="S156" s="15"/>
      <c r="W156" s="14"/>
    </row>
    <row r="157" spans="1:23" hidden="1" x14ac:dyDescent="0.25">
      <c r="A157" s="16"/>
      <c r="B157" s="17" t="b">
        <f t="shared" si="48"/>
        <v>0</v>
      </c>
      <c r="C157" s="17" t="b">
        <f t="shared" si="40"/>
        <v>0</v>
      </c>
      <c r="D157" s="17">
        <f t="shared" si="42"/>
        <v>1</v>
      </c>
      <c r="E157" s="17" t="str">
        <f t="shared" si="47"/>
        <v>Section 5 - Conclusion, And FREE Coupon For Next Course</v>
      </c>
      <c r="F157" s="18" t="str">
        <f t="shared" si="43"/>
        <v/>
      </c>
      <c r="G157" s="13" t="str">
        <f t="shared" si="49"/>
        <v/>
      </c>
      <c r="H157">
        <f t="shared" si="50"/>
        <v>0</v>
      </c>
      <c r="I157">
        <f t="shared" si="51"/>
        <v>0</v>
      </c>
      <c r="J157" s="13">
        <f t="shared" si="52"/>
        <v>85</v>
      </c>
      <c r="K157">
        <f t="shared" si="44"/>
        <v>1</v>
      </c>
      <c r="L157">
        <f t="shared" si="45"/>
        <v>25</v>
      </c>
      <c r="M157" s="13">
        <f t="shared" si="53"/>
        <v>1</v>
      </c>
      <c r="N157">
        <f t="shared" si="53"/>
        <v>24</v>
      </c>
      <c r="O157" s="14">
        <f t="shared" si="41"/>
        <v>84</v>
      </c>
      <c r="P157" s="13">
        <f t="shared" si="46"/>
        <v>1</v>
      </c>
      <c r="Q157">
        <f t="shared" si="54"/>
        <v>24</v>
      </c>
      <c r="R157" s="14">
        <f t="shared" si="55"/>
        <v>84</v>
      </c>
      <c r="S157" s="15"/>
      <c r="W157" s="14"/>
    </row>
    <row r="158" spans="1:23" hidden="1" x14ac:dyDescent="0.25">
      <c r="A158" s="16"/>
      <c r="B158" s="17" t="b">
        <f t="shared" si="48"/>
        <v>0</v>
      </c>
      <c r="C158" s="17" t="b">
        <f t="shared" si="40"/>
        <v>0</v>
      </c>
      <c r="D158" s="17">
        <f t="shared" si="42"/>
        <v>1</v>
      </c>
      <c r="E158" s="17" t="str">
        <f t="shared" si="47"/>
        <v>Section 5 - Conclusion, And FREE Coupon For Next Course</v>
      </c>
      <c r="F158" s="18" t="str">
        <f t="shared" si="43"/>
        <v/>
      </c>
      <c r="G158" s="13" t="str">
        <f t="shared" si="49"/>
        <v/>
      </c>
      <c r="H158">
        <f t="shared" si="50"/>
        <v>0</v>
      </c>
      <c r="I158">
        <f t="shared" si="51"/>
        <v>0</v>
      </c>
      <c r="J158" s="13">
        <f t="shared" si="52"/>
        <v>85</v>
      </c>
      <c r="K158">
        <f t="shared" si="44"/>
        <v>1</v>
      </c>
      <c r="L158">
        <f t="shared" si="45"/>
        <v>25</v>
      </c>
      <c r="M158" s="13">
        <f t="shared" si="53"/>
        <v>1</v>
      </c>
      <c r="N158">
        <f t="shared" si="53"/>
        <v>24</v>
      </c>
      <c r="O158" s="14">
        <f t="shared" si="41"/>
        <v>84</v>
      </c>
      <c r="P158" s="13">
        <f t="shared" si="46"/>
        <v>1</v>
      </c>
      <c r="Q158">
        <f t="shared" si="54"/>
        <v>24</v>
      </c>
      <c r="R158" s="14">
        <f t="shared" si="55"/>
        <v>84</v>
      </c>
      <c r="S158" s="15"/>
      <c r="W158" s="14"/>
    </row>
    <row r="159" spans="1:23" hidden="1" x14ac:dyDescent="0.25">
      <c r="A159" s="16"/>
      <c r="B159" s="17" t="b">
        <f t="shared" si="48"/>
        <v>0</v>
      </c>
      <c r="C159" s="17" t="b">
        <f t="shared" si="40"/>
        <v>0</v>
      </c>
      <c r="D159" s="17">
        <f t="shared" si="42"/>
        <v>1</v>
      </c>
      <c r="E159" s="17" t="str">
        <f t="shared" si="47"/>
        <v>Section 5 - Conclusion, And FREE Coupon For Next Course</v>
      </c>
      <c r="F159" s="18" t="str">
        <f t="shared" si="43"/>
        <v/>
      </c>
      <c r="G159" s="13" t="str">
        <f t="shared" si="49"/>
        <v/>
      </c>
      <c r="H159">
        <f t="shared" si="50"/>
        <v>0</v>
      </c>
      <c r="I159">
        <f t="shared" si="51"/>
        <v>0</v>
      </c>
      <c r="J159" s="13">
        <f t="shared" si="52"/>
        <v>85</v>
      </c>
      <c r="K159">
        <f t="shared" si="44"/>
        <v>1</v>
      </c>
      <c r="L159">
        <f t="shared" si="45"/>
        <v>25</v>
      </c>
      <c r="M159" s="13">
        <f t="shared" si="53"/>
        <v>1</v>
      </c>
      <c r="N159">
        <f t="shared" si="53"/>
        <v>24</v>
      </c>
      <c r="O159" s="14">
        <f t="shared" si="41"/>
        <v>84</v>
      </c>
      <c r="P159" s="13">
        <f t="shared" si="46"/>
        <v>1</v>
      </c>
      <c r="Q159">
        <f t="shared" si="54"/>
        <v>24</v>
      </c>
      <c r="R159" s="14">
        <f t="shared" si="55"/>
        <v>84</v>
      </c>
      <c r="S159" s="15"/>
      <c r="W159" s="14"/>
    </row>
    <row r="160" spans="1:23" hidden="1" x14ac:dyDescent="0.25">
      <c r="A160" s="16"/>
      <c r="B160" s="17" t="b">
        <f t="shared" si="48"/>
        <v>0</v>
      </c>
      <c r="C160" s="17" t="b">
        <f t="shared" si="40"/>
        <v>0</v>
      </c>
      <c r="D160" s="17">
        <f t="shared" si="42"/>
        <v>1</v>
      </c>
      <c r="E160" s="17" t="str">
        <f t="shared" si="47"/>
        <v>Section 5 - Conclusion, And FREE Coupon For Next Course</v>
      </c>
      <c r="F160" s="18" t="str">
        <f t="shared" si="43"/>
        <v/>
      </c>
      <c r="G160" s="13" t="str">
        <f t="shared" si="49"/>
        <v/>
      </c>
      <c r="H160">
        <f t="shared" si="50"/>
        <v>0</v>
      </c>
      <c r="I160">
        <f t="shared" si="51"/>
        <v>0</v>
      </c>
      <c r="J160" s="13">
        <f t="shared" si="52"/>
        <v>85</v>
      </c>
      <c r="K160">
        <f t="shared" si="44"/>
        <v>1</v>
      </c>
      <c r="L160">
        <f t="shared" si="45"/>
        <v>25</v>
      </c>
      <c r="M160" s="13">
        <f t="shared" si="53"/>
        <v>1</v>
      </c>
      <c r="N160">
        <f t="shared" si="53"/>
        <v>24</v>
      </c>
      <c r="O160" s="14">
        <f t="shared" si="41"/>
        <v>84</v>
      </c>
      <c r="P160" s="13">
        <f t="shared" si="46"/>
        <v>1</v>
      </c>
      <c r="Q160">
        <f t="shared" si="54"/>
        <v>24</v>
      </c>
      <c r="R160" s="14">
        <f t="shared" si="55"/>
        <v>84</v>
      </c>
      <c r="S160" s="15"/>
      <c r="W160" s="14"/>
    </row>
    <row r="161" spans="1:23" hidden="1" x14ac:dyDescent="0.25">
      <c r="A161" s="16"/>
      <c r="B161" s="17" t="b">
        <f t="shared" si="48"/>
        <v>0</v>
      </c>
      <c r="C161" s="17" t="b">
        <f t="shared" si="40"/>
        <v>0</v>
      </c>
      <c r="D161" s="17">
        <f t="shared" si="42"/>
        <v>1</v>
      </c>
      <c r="E161" s="17" t="str">
        <f t="shared" si="47"/>
        <v>Section 5 - Conclusion, And FREE Coupon For Next Course</v>
      </c>
      <c r="F161" s="18" t="str">
        <f t="shared" si="43"/>
        <v/>
      </c>
      <c r="G161" s="13" t="str">
        <f t="shared" si="49"/>
        <v/>
      </c>
      <c r="H161">
        <f t="shared" si="50"/>
        <v>0</v>
      </c>
      <c r="I161">
        <f t="shared" si="51"/>
        <v>0</v>
      </c>
      <c r="J161" s="13">
        <f t="shared" si="52"/>
        <v>85</v>
      </c>
      <c r="K161">
        <f t="shared" si="44"/>
        <v>1</v>
      </c>
      <c r="L161">
        <f t="shared" si="45"/>
        <v>25</v>
      </c>
      <c r="M161" s="13">
        <f t="shared" si="53"/>
        <v>1</v>
      </c>
      <c r="N161">
        <f t="shared" si="53"/>
        <v>24</v>
      </c>
      <c r="O161" s="14">
        <f t="shared" si="41"/>
        <v>84</v>
      </c>
      <c r="P161" s="13">
        <f t="shared" si="46"/>
        <v>1</v>
      </c>
      <c r="Q161">
        <f t="shared" si="54"/>
        <v>24</v>
      </c>
      <c r="R161" s="14">
        <f t="shared" si="55"/>
        <v>84</v>
      </c>
      <c r="S161" s="15"/>
      <c r="W161" s="14"/>
    </row>
    <row r="162" spans="1:23" hidden="1" x14ac:dyDescent="0.25">
      <c r="A162" s="16"/>
      <c r="B162" s="17" t="b">
        <f t="shared" si="48"/>
        <v>0</v>
      </c>
      <c r="C162" s="17" t="b">
        <f t="shared" si="40"/>
        <v>0</v>
      </c>
      <c r="D162" s="17">
        <f t="shared" si="42"/>
        <v>1</v>
      </c>
      <c r="E162" s="17" t="str">
        <f t="shared" si="47"/>
        <v>Section 5 - Conclusion, And FREE Coupon For Next Course</v>
      </c>
      <c r="F162" s="18" t="str">
        <f t="shared" si="43"/>
        <v/>
      </c>
      <c r="G162" s="13" t="str">
        <f t="shared" si="49"/>
        <v/>
      </c>
      <c r="H162">
        <f t="shared" si="50"/>
        <v>0</v>
      </c>
      <c r="I162">
        <f t="shared" si="51"/>
        <v>0</v>
      </c>
      <c r="J162" s="13">
        <f t="shared" si="52"/>
        <v>85</v>
      </c>
      <c r="K162">
        <f t="shared" si="44"/>
        <v>1</v>
      </c>
      <c r="L162">
        <f t="shared" si="45"/>
        <v>25</v>
      </c>
      <c r="M162" s="13">
        <f t="shared" si="53"/>
        <v>1</v>
      </c>
      <c r="N162">
        <f t="shared" si="53"/>
        <v>24</v>
      </c>
      <c r="O162" s="14">
        <f t="shared" si="41"/>
        <v>84</v>
      </c>
      <c r="P162" s="13">
        <f t="shared" si="46"/>
        <v>1</v>
      </c>
      <c r="Q162">
        <f t="shared" si="54"/>
        <v>24</v>
      </c>
      <c r="R162" s="14">
        <f t="shared" si="55"/>
        <v>84</v>
      </c>
      <c r="S162" s="15"/>
      <c r="W162" s="14"/>
    </row>
    <row r="163" spans="1:23" hidden="1" x14ac:dyDescent="0.25">
      <c r="A163" s="16"/>
      <c r="B163" s="17" t="b">
        <f t="shared" si="48"/>
        <v>0</v>
      </c>
      <c r="C163" s="17" t="b">
        <f t="shared" si="40"/>
        <v>0</v>
      </c>
      <c r="D163" s="17">
        <f t="shared" si="42"/>
        <v>1</v>
      </c>
      <c r="E163" s="17" t="str">
        <f t="shared" si="47"/>
        <v>Section 5 - Conclusion, And FREE Coupon For Next Course</v>
      </c>
      <c r="F163" s="18" t="str">
        <f t="shared" si="43"/>
        <v/>
      </c>
      <c r="G163" s="13" t="str">
        <f t="shared" si="49"/>
        <v/>
      </c>
      <c r="H163">
        <f t="shared" si="50"/>
        <v>0</v>
      </c>
      <c r="I163">
        <f t="shared" si="51"/>
        <v>0</v>
      </c>
      <c r="J163" s="13">
        <f t="shared" si="52"/>
        <v>85</v>
      </c>
      <c r="K163">
        <f t="shared" si="44"/>
        <v>1</v>
      </c>
      <c r="L163">
        <f t="shared" si="45"/>
        <v>25</v>
      </c>
      <c r="M163" s="13">
        <f t="shared" si="53"/>
        <v>1</v>
      </c>
      <c r="N163">
        <f t="shared" si="53"/>
        <v>24</v>
      </c>
      <c r="O163" s="14">
        <f t="shared" si="41"/>
        <v>84</v>
      </c>
      <c r="P163" s="13">
        <f t="shared" si="46"/>
        <v>1</v>
      </c>
      <c r="Q163">
        <f t="shared" si="54"/>
        <v>24</v>
      </c>
      <c r="R163" s="14">
        <f t="shared" si="55"/>
        <v>84</v>
      </c>
      <c r="S163" s="15"/>
      <c r="W163" s="14"/>
    </row>
    <row r="164" spans="1:23" hidden="1" x14ac:dyDescent="0.25">
      <c r="A164" s="16"/>
      <c r="B164" s="17" t="b">
        <f t="shared" si="48"/>
        <v>0</v>
      </c>
      <c r="C164" s="17" t="b">
        <f t="shared" si="40"/>
        <v>0</v>
      </c>
      <c r="D164" s="17">
        <f t="shared" si="42"/>
        <v>1</v>
      </c>
      <c r="E164" s="17" t="str">
        <f t="shared" si="47"/>
        <v>Section 5 - Conclusion, And FREE Coupon For Next Course</v>
      </c>
      <c r="F164" s="18" t="str">
        <f t="shared" si="43"/>
        <v/>
      </c>
      <c r="G164" s="13" t="str">
        <f t="shared" si="49"/>
        <v/>
      </c>
      <c r="H164">
        <f t="shared" si="50"/>
        <v>0</v>
      </c>
      <c r="I164">
        <f t="shared" si="51"/>
        <v>0</v>
      </c>
      <c r="J164" s="13">
        <f t="shared" si="52"/>
        <v>85</v>
      </c>
      <c r="K164">
        <f t="shared" si="44"/>
        <v>1</v>
      </c>
      <c r="L164">
        <f t="shared" si="45"/>
        <v>25</v>
      </c>
      <c r="M164" s="13">
        <f t="shared" si="53"/>
        <v>1</v>
      </c>
      <c r="N164">
        <f t="shared" si="53"/>
        <v>24</v>
      </c>
      <c r="O164" s="14">
        <f t="shared" si="41"/>
        <v>84</v>
      </c>
      <c r="P164" s="13">
        <f t="shared" si="46"/>
        <v>1</v>
      </c>
      <c r="Q164">
        <f t="shared" si="54"/>
        <v>24</v>
      </c>
      <c r="R164" s="14">
        <f t="shared" si="55"/>
        <v>84</v>
      </c>
      <c r="S164" s="15"/>
      <c r="W164" s="14"/>
    </row>
    <row r="165" spans="1:23" hidden="1" x14ac:dyDescent="0.25">
      <c r="A165" s="16"/>
      <c r="B165" s="17" t="b">
        <f t="shared" si="48"/>
        <v>0</v>
      </c>
      <c r="C165" s="17" t="b">
        <f t="shared" si="40"/>
        <v>0</v>
      </c>
      <c r="D165" s="17">
        <f t="shared" si="42"/>
        <v>1</v>
      </c>
      <c r="E165" s="17" t="str">
        <f t="shared" si="47"/>
        <v>Section 5 - Conclusion, And FREE Coupon For Next Course</v>
      </c>
      <c r="F165" s="18" t="str">
        <f t="shared" si="43"/>
        <v/>
      </c>
      <c r="G165" s="13" t="str">
        <f t="shared" si="49"/>
        <v/>
      </c>
      <c r="H165">
        <f t="shared" si="50"/>
        <v>0</v>
      </c>
      <c r="I165">
        <f t="shared" si="51"/>
        <v>0</v>
      </c>
      <c r="J165" s="13">
        <f t="shared" si="52"/>
        <v>85</v>
      </c>
      <c r="K165">
        <f t="shared" si="44"/>
        <v>1</v>
      </c>
      <c r="L165">
        <f t="shared" si="45"/>
        <v>25</v>
      </c>
      <c r="M165" s="13">
        <f t="shared" si="53"/>
        <v>1</v>
      </c>
      <c r="N165">
        <f t="shared" si="53"/>
        <v>24</v>
      </c>
      <c r="O165" s="14">
        <f t="shared" si="41"/>
        <v>84</v>
      </c>
      <c r="P165" s="13">
        <f t="shared" si="46"/>
        <v>1</v>
      </c>
      <c r="Q165">
        <f t="shared" si="54"/>
        <v>24</v>
      </c>
      <c r="R165" s="14">
        <f t="shared" si="55"/>
        <v>84</v>
      </c>
      <c r="S165" s="15"/>
      <c r="W165" s="14"/>
    </row>
    <row r="166" spans="1:23" hidden="1" x14ac:dyDescent="0.25">
      <c r="A166" s="16"/>
      <c r="B166" s="17" t="b">
        <f t="shared" si="48"/>
        <v>0</v>
      </c>
      <c r="C166" s="17" t="b">
        <f t="shared" si="40"/>
        <v>0</v>
      </c>
      <c r="D166" s="17">
        <f t="shared" si="42"/>
        <v>1</v>
      </c>
      <c r="E166" s="17" t="str">
        <f t="shared" si="47"/>
        <v>Section 5 - Conclusion, And FREE Coupon For Next Course</v>
      </c>
      <c r="F166" s="18" t="str">
        <f t="shared" si="43"/>
        <v/>
      </c>
      <c r="G166" s="13" t="str">
        <f t="shared" si="49"/>
        <v/>
      </c>
      <c r="H166">
        <f t="shared" si="50"/>
        <v>0</v>
      </c>
      <c r="I166">
        <f t="shared" si="51"/>
        <v>0</v>
      </c>
      <c r="J166" s="13">
        <f t="shared" si="52"/>
        <v>85</v>
      </c>
      <c r="K166">
        <f t="shared" si="44"/>
        <v>1</v>
      </c>
      <c r="L166">
        <f t="shared" si="45"/>
        <v>25</v>
      </c>
      <c r="M166" s="13">
        <f t="shared" si="53"/>
        <v>1</v>
      </c>
      <c r="N166">
        <f t="shared" si="53"/>
        <v>24</v>
      </c>
      <c r="O166" s="14">
        <f t="shared" si="41"/>
        <v>84</v>
      </c>
      <c r="P166" s="13">
        <f t="shared" si="46"/>
        <v>1</v>
      </c>
      <c r="Q166">
        <f t="shared" si="54"/>
        <v>24</v>
      </c>
      <c r="R166" s="14">
        <f t="shared" si="55"/>
        <v>84</v>
      </c>
      <c r="S166" s="15"/>
      <c r="W166" s="14"/>
    </row>
    <row r="167" spans="1:23" hidden="1" x14ac:dyDescent="0.25">
      <c r="A167" s="16"/>
      <c r="B167" s="17" t="b">
        <f t="shared" si="48"/>
        <v>0</v>
      </c>
      <c r="C167" s="17" t="b">
        <f t="shared" si="40"/>
        <v>0</v>
      </c>
      <c r="D167" s="17">
        <f t="shared" si="42"/>
        <v>1</v>
      </c>
      <c r="E167" s="17" t="str">
        <f t="shared" si="47"/>
        <v>Section 5 - Conclusion, And FREE Coupon For Next Course</v>
      </c>
      <c r="F167" s="18" t="str">
        <f t="shared" si="43"/>
        <v/>
      </c>
      <c r="G167" s="13" t="str">
        <f t="shared" si="49"/>
        <v/>
      </c>
      <c r="H167">
        <f t="shared" si="50"/>
        <v>0</v>
      </c>
      <c r="I167">
        <f t="shared" si="51"/>
        <v>0</v>
      </c>
      <c r="J167" s="13">
        <f t="shared" si="52"/>
        <v>85</v>
      </c>
      <c r="K167">
        <f t="shared" si="44"/>
        <v>1</v>
      </c>
      <c r="L167">
        <f t="shared" si="45"/>
        <v>25</v>
      </c>
      <c r="M167" s="13">
        <f t="shared" si="53"/>
        <v>1</v>
      </c>
      <c r="N167">
        <f t="shared" si="53"/>
        <v>24</v>
      </c>
      <c r="O167" s="14">
        <f t="shared" si="41"/>
        <v>84</v>
      </c>
      <c r="P167" s="13">
        <f t="shared" si="46"/>
        <v>1</v>
      </c>
      <c r="Q167">
        <f t="shared" si="54"/>
        <v>24</v>
      </c>
      <c r="R167" s="14">
        <f t="shared" si="55"/>
        <v>84</v>
      </c>
      <c r="S167" s="15"/>
      <c r="W167" s="14"/>
    </row>
    <row r="168" spans="1:23" hidden="1" x14ac:dyDescent="0.25">
      <c r="A168" s="16"/>
      <c r="B168" s="17" t="b">
        <f t="shared" si="48"/>
        <v>0</v>
      </c>
      <c r="C168" s="17" t="b">
        <f t="shared" si="40"/>
        <v>0</v>
      </c>
      <c r="D168" s="17">
        <f t="shared" si="42"/>
        <v>1</v>
      </c>
      <c r="E168" s="17" t="str">
        <f t="shared" si="47"/>
        <v>Section 5 - Conclusion, And FREE Coupon For Next Course</v>
      </c>
      <c r="F168" s="18" t="str">
        <f t="shared" si="43"/>
        <v/>
      </c>
      <c r="G168" s="13" t="str">
        <f t="shared" si="49"/>
        <v/>
      </c>
      <c r="H168">
        <f t="shared" si="50"/>
        <v>0</v>
      </c>
      <c r="I168">
        <f t="shared" si="51"/>
        <v>0</v>
      </c>
      <c r="J168" s="13">
        <f t="shared" si="52"/>
        <v>85</v>
      </c>
      <c r="K168">
        <f t="shared" si="44"/>
        <v>1</v>
      </c>
      <c r="L168">
        <f t="shared" si="45"/>
        <v>25</v>
      </c>
      <c r="M168" s="13">
        <f t="shared" si="53"/>
        <v>1</v>
      </c>
      <c r="N168">
        <f t="shared" si="53"/>
        <v>24</v>
      </c>
      <c r="O168" s="14">
        <f t="shared" si="41"/>
        <v>84</v>
      </c>
      <c r="P168" s="13">
        <f t="shared" si="46"/>
        <v>1</v>
      </c>
      <c r="Q168">
        <f t="shared" si="54"/>
        <v>24</v>
      </c>
      <c r="R168" s="14">
        <f t="shared" si="55"/>
        <v>84</v>
      </c>
      <c r="S168" s="15"/>
      <c r="W168" s="14"/>
    </row>
    <row r="169" spans="1:23" hidden="1" x14ac:dyDescent="0.25">
      <c r="A169" s="16"/>
      <c r="B169" s="17" t="b">
        <f t="shared" si="48"/>
        <v>0</v>
      </c>
      <c r="C169" s="17" t="b">
        <f t="shared" si="40"/>
        <v>0</v>
      </c>
      <c r="D169" s="17">
        <f t="shared" si="42"/>
        <v>1</v>
      </c>
      <c r="E169" s="17" t="str">
        <f t="shared" si="47"/>
        <v>Section 5 - Conclusion, And FREE Coupon For Next Course</v>
      </c>
      <c r="F169" s="18" t="str">
        <f t="shared" si="43"/>
        <v/>
      </c>
      <c r="G169" s="13" t="str">
        <f t="shared" si="49"/>
        <v/>
      </c>
      <c r="H169">
        <f t="shared" si="50"/>
        <v>0</v>
      </c>
      <c r="I169">
        <f t="shared" si="51"/>
        <v>0</v>
      </c>
      <c r="J169" s="13">
        <f t="shared" si="52"/>
        <v>85</v>
      </c>
      <c r="K169">
        <f t="shared" si="44"/>
        <v>1</v>
      </c>
      <c r="L169">
        <f t="shared" si="45"/>
        <v>25</v>
      </c>
      <c r="M169" s="13">
        <f t="shared" si="53"/>
        <v>1</v>
      </c>
      <c r="N169">
        <f t="shared" si="53"/>
        <v>24</v>
      </c>
      <c r="O169" s="14">
        <f t="shared" si="41"/>
        <v>84</v>
      </c>
      <c r="P169" s="13">
        <f t="shared" si="46"/>
        <v>1</v>
      </c>
      <c r="Q169">
        <f t="shared" si="54"/>
        <v>24</v>
      </c>
      <c r="R169" s="14">
        <f t="shared" si="55"/>
        <v>84</v>
      </c>
      <c r="S169" s="15"/>
      <c r="W169" s="14"/>
    </row>
    <row r="170" spans="1:23" hidden="1" x14ac:dyDescent="0.25">
      <c r="A170" s="16"/>
      <c r="B170" s="17" t="b">
        <f t="shared" si="48"/>
        <v>0</v>
      </c>
      <c r="C170" s="17" t="b">
        <f t="shared" si="40"/>
        <v>0</v>
      </c>
      <c r="D170" s="17">
        <f t="shared" si="42"/>
        <v>1</v>
      </c>
      <c r="E170" s="17" t="str">
        <f t="shared" si="47"/>
        <v>Section 5 - Conclusion, And FREE Coupon For Next Course</v>
      </c>
      <c r="F170" s="18" t="str">
        <f t="shared" si="43"/>
        <v/>
      </c>
      <c r="G170" s="13" t="str">
        <f t="shared" si="49"/>
        <v/>
      </c>
      <c r="H170">
        <f t="shared" si="50"/>
        <v>0</v>
      </c>
      <c r="I170">
        <f t="shared" si="51"/>
        <v>0</v>
      </c>
      <c r="J170" s="13">
        <f t="shared" si="52"/>
        <v>85</v>
      </c>
      <c r="K170">
        <f t="shared" si="44"/>
        <v>1</v>
      </c>
      <c r="L170">
        <f t="shared" si="45"/>
        <v>25</v>
      </c>
      <c r="M170" s="13">
        <f t="shared" si="53"/>
        <v>1</v>
      </c>
      <c r="N170">
        <f t="shared" si="53"/>
        <v>24</v>
      </c>
      <c r="O170" s="14">
        <f t="shared" si="41"/>
        <v>84</v>
      </c>
      <c r="P170" s="13">
        <f t="shared" si="46"/>
        <v>1</v>
      </c>
      <c r="Q170">
        <f t="shared" si="54"/>
        <v>24</v>
      </c>
      <c r="R170" s="14">
        <f t="shared" si="55"/>
        <v>84</v>
      </c>
      <c r="S170" s="15"/>
      <c r="W170" s="14"/>
    </row>
    <row r="171" spans="1:23" hidden="1" x14ac:dyDescent="0.25">
      <c r="A171" s="16"/>
      <c r="B171" s="17" t="b">
        <f t="shared" si="48"/>
        <v>0</v>
      </c>
      <c r="C171" s="17" t="b">
        <f t="shared" si="40"/>
        <v>0</v>
      </c>
      <c r="D171" s="17">
        <f t="shared" si="42"/>
        <v>1</v>
      </c>
      <c r="E171" s="17" t="str">
        <f t="shared" si="47"/>
        <v>Section 5 - Conclusion, And FREE Coupon For Next Course</v>
      </c>
      <c r="F171" s="18" t="str">
        <f t="shared" si="43"/>
        <v/>
      </c>
      <c r="G171" s="13" t="str">
        <f t="shared" si="49"/>
        <v/>
      </c>
      <c r="H171">
        <f t="shared" si="50"/>
        <v>0</v>
      </c>
      <c r="I171">
        <f t="shared" si="51"/>
        <v>0</v>
      </c>
      <c r="J171" s="13">
        <f t="shared" si="52"/>
        <v>85</v>
      </c>
      <c r="K171">
        <f t="shared" si="44"/>
        <v>1</v>
      </c>
      <c r="L171">
        <f t="shared" si="45"/>
        <v>25</v>
      </c>
      <c r="M171" s="13">
        <f t="shared" si="53"/>
        <v>1</v>
      </c>
      <c r="N171">
        <f t="shared" si="53"/>
        <v>24</v>
      </c>
      <c r="O171" s="14">
        <f t="shared" si="41"/>
        <v>84</v>
      </c>
      <c r="P171" s="13">
        <f t="shared" si="46"/>
        <v>1</v>
      </c>
      <c r="Q171">
        <f t="shared" si="54"/>
        <v>24</v>
      </c>
      <c r="R171" s="14">
        <f t="shared" si="55"/>
        <v>84</v>
      </c>
      <c r="S171" s="15"/>
      <c r="W171" s="14"/>
    </row>
    <row r="172" spans="1:23" hidden="1" x14ac:dyDescent="0.25">
      <c r="A172" s="16"/>
      <c r="B172" s="17" t="b">
        <f t="shared" si="48"/>
        <v>0</v>
      </c>
      <c r="C172" s="17" t="b">
        <f t="shared" si="40"/>
        <v>0</v>
      </c>
      <c r="D172" s="17">
        <f t="shared" si="42"/>
        <v>1</v>
      </c>
      <c r="E172" s="17" t="str">
        <f t="shared" si="47"/>
        <v>Section 5 - Conclusion, And FREE Coupon For Next Course</v>
      </c>
      <c r="F172" s="18" t="str">
        <f t="shared" si="43"/>
        <v/>
      </c>
      <c r="G172" s="13" t="str">
        <f t="shared" si="49"/>
        <v/>
      </c>
      <c r="H172">
        <f t="shared" si="50"/>
        <v>0</v>
      </c>
      <c r="I172">
        <f t="shared" si="51"/>
        <v>0</v>
      </c>
      <c r="J172" s="13">
        <f t="shared" si="52"/>
        <v>85</v>
      </c>
      <c r="K172">
        <f t="shared" si="44"/>
        <v>1</v>
      </c>
      <c r="L172">
        <f t="shared" si="45"/>
        <v>25</v>
      </c>
      <c r="M172" s="13">
        <f t="shared" si="53"/>
        <v>1</v>
      </c>
      <c r="N172">
        <f t="shared" si="53"/>
        <v>24</v>
      </c>
      <c r="O172" s="14">
        <f t="shared" si="41"/>
        <v>84</v>
      </c>
      <c r="P172" s="13">
        <f t="shared" si="46"/>
        <v>1</v>
      </c>
      <c r="Q172">
        <f t="shared" si="54"/>
        <v>24</v>
      </c>
      <c r="R172" s="14">
        <f t="shared" si="55"/>
        <v>84</v>
      </c>
      <c r="S172" s="15"/>
      <c r="W172" s="14"/>
    </row>
    <row r="173" spans="1:23" hidden="1" x14ac:dyDescent="0.25">
      <c r="A173" s="16"/>
      <c r="B173" s="17" t="b">
        <f t="shared" si="48"/>
        <v>0</v>
      </c>
      <c r="C173" s="17" t="b">
        <f t="shared" si="40"/>
        <v>0</v>
      </c>
      <c r="D173" s="17">
        <f t="shared" si="42"/>
        <v>1</v>
      </c>
      <c r="E173" s="17" t="str">
        <f t="shared" si="47"/>
        <v>Section 5 - Conclusion, And FREE Coupon For Next Course</v>
      </c>
      <c r="F173" s="18" t="str">
        <f t="shared" si="43"/>
        <v/>
      </c>
      <c r="G173" s="13" t="str">
        <f t="shared" si="49"/>
        <v/>
      </c>
      <c r="H173">
        <f t="shared" si="50"/>
        <v>0</v>
      </c>
      <c r="I173">
        <f t="shared" si="51"/>
        <v>0</v>
      </c>
      <c r="J173" s="13">
        <f t="shared" si="52"/>
        <v>85</v>
      </c>
      <c r="K173">
        <f t="shared" si="44"/>
        <v>1</v>
      </c>
      <c r="L173">
        <f t="shared" si="45"/>
        <v>25</v>
      </c>
      <c r="M173" s="13">
        <f t="shared" si="53"/>
        <v>1</v>
      </c>
      <c r="N173">
        <f t="shared" si="53"/>
        <v>24</v>
      </c>
      <c r="O173" s="14">
        <f t="shared" si="41"/>
        <v>84</v>
      </c>
      <c r="P173" s="13">
        <f t="shared" si="46"/>
        <v>1</v>
      </c>
      <c r="Q173">
        <f t="shared" si="54"/>
        <v>24</v>
      </c>
      <c r="R173" s="14">
        <f t="shared" si="55"/>
        <v>84</v>
      </c>
      <c r="S173" s="15"/>
      <c r="W173" s="14"/>
    </row>
    <row r="174" spans="1:23" hidden="1" x14ac:dyDescent="0.25">
      <c r="A174" s="16"/>
      <c r="B174" s="17" t="b">
        <f t="shared" si="48"/>
        <v>0</v>
      </c>
      <c r="C174" s="17" t="b">
        <f t="shared" si="40"/>
        <v>0</v>
      </c>
      <c r="D174" s="17">
        <f t="shared" si="42"/>
        <v>1</v>
      </c>
      <c r="E174" s="17" t="str">
        <f t="shared" si="47"/>
        <v>Section 5 - Conclusion, And FREE Coupon For Next Course</v>
      </c>
      <c r="F174" s="18" t="str">
        <f t="shared" si="43"/>
        <v/>
      </c>
      <c r="G174" s="13" t="str">
        <f t="shared" si="49"/>
        <v/>
      </c>
      <c r="H174">
        <f t="shared" si="50"/>
        <v>0</v>
      </c>
      <c r="I174">
        <f t="shared" si="51"/>
        <v>0</v>
      </c>
      <c r="J174" s="13">
        <f t="shared" si="52"/>
        <v>85</v>
      </c>
      <c r="K174">
        <f t="shared" si="44"/>
        <v>1</v>
      </c>
      <c r="L174">
        <f t="shared" si="45"/>
        <v>25</v>
      </c>
      <c r="M174" s="13">
        <f t="shared" si="53"/>
        <v>1</v>
      </c>
      <c r="N174">
        <f t="shared" si="53"/>
        <v>24</v>
      </c>
      <c r="O174" s="14">
        <f t="shared" si="41"/>
        <v>84</v>
      </c>
      <c r="P174" s="13">
        <f t="shared" si="46"/>
        <v>1</v>
      </c>
      <c r="Q174">
        <f t="shared" si="54"/>
        <v>24</v>
      </c>
      <c r="R174" s="14">
        <f t="shared" si="55"/>
        <v>84</v>
      </c>
      <c r="S174" s="15"/>
      <c r="W174" s="14"/>
    </row>
    <row r="175" spans="1:23" hidden="1" x14ac:dyDescent="0.25">
      <c r="A175" s="16"/>
      <c r="B175" s="17" t="b">
        <f t="shared" si="48"/>
        <v>0</v>
      </c>
      <c r="C175" s="17" t="b">
        <f t="shared" si="40"/>
        <v>0</v>
      </c>
      <c r="D175" s="17">
        <f t="shared" si="42"/>
        <v>1</v>
      </c>
      <c r="E175" s="17" t="str">
        <f t="shared" si="47"/>
        <v>Section 5 - Conclusion, And FREE Coupon For Next Course</v>
      </c>
      <c r="F175" s="18" t="str">
        <f t="shared" si="43"/>
        <v/>
      </c>
      <c r="G175" s="13" t="str">
        <f t="shared" si="49"/>
        <v/>
      </c>
      <c r="H175">
        <f t="shared" si="50"/>
        <v>0</v>
      </c>
      <c r="I175">
        <f t="shared" si="51"/>
        <v>0</v>
      </c>
      <c r="J175" s="13">
        <f t="shared" si="52"/>
        <v>85</v>
      </c>
      <c r="K175">
        <f t="shared" si="44"/>
        <v>1</v>
      </c>
      <c r="L175">
        <f t="shared" si="45"/>
        <v>25</v>
      </c>
      <c r="M175" s="13">
        <f t="shared" si="53"/>
        <v>1</v>
      </c>
      <c r="N175">
        <f t="shared" si="53"/>
        <v>24</v>
      </c>
      <c r="O175" s="14">
        <f t="shared" si="41"/>
        <v>84</v>
      </c>
      <c r="P175" s="13">
        <f t="shared" si="46"/>
        <v>1</v>
      </c>
      <c r="Q175">
        <f t="shared" si="54"/>
        <v>24</v>
      </c>
      <c r="R175" s="14">
        <f t="shared" si="55"/>
        <v>84</v>
      </c>
      <c r="S175" s="15"/>
      <c r="W175" s="14"/>
    </row>
    <row r="176" spans="1:23" hidden="1" x14ac:dyDescent="0.25">
      <c r="A176" s="16"/>
      <c r="B176" s="17" t="b">
        <f t="shared" si="48"/>
        <v>0</v>
      </c>
      <c r="C176" s="17" t="b">
        <f t="shared" si="40"/>
        <v>0</v>
      </c>
      <c r="D176" s="17">
        <f t="shared" si="42"/>
        <v>1</v>
      </c>
      <c r="E176" s="17" t="str">
        <f t="shared" si="47"/>
        <v>Section 5 - Conclusion, And FREE Coupon For Next Course</v>
      </c>
      <c r="F176" s="18" t="str">
        <f t="shared" si="43"/>
        <v/>
      </c>
      <c r="G176" s="13" t="str">
        <f t="shared" si="49"/>
        <v/>
      </c>
      <c r="H176">
        <f t="shared" si="50"/>
        <v>0</v>
      </c>
      <c r="I176">
        <f t="shared" si="51"/>
        <v>0</v>
      </c>
      <c r="J176" s="13">
        <f t="shared" si="52"/>
        <v>85</v>
      </c>
      <c r="K176">
        <f t="shared" si="44"/>
        <v>1</v>
      </c>
      <c r="L176">
        <f t="shared" si="45"/>
        <v>25</v>
      </c>
      <c r="M176" s="13">
        <f t="shared" si="53"/>
        <v>1</v>
      </c>
      <c r="N176">
        <f t="shared" si="53"/>
        <v>24</v>
      </c>
      <c r="O176" s="14">
        <f t="shared" si="41"/>
        <v>84</v>
      </c>
      <c r="P176" s="13">
        <f t="shared" si="46"/>
        <v>1</v>
      </c>
      <c r="Q176">
        <f t="shared" si="54"/>
        <v>24</v>
      </c>
      <c r="R176" s="14">
        <f t="shared" si="55"/>
        <v>84</v>
      </c>
      <c r="S176" s="15"/>
      <c r="W176" s="14"/>
    </row>
    <row r="177" spans="1:23" hidden="1" x14ac:dyDescent="0.25">
      <c r="A177" s="16"/>
      <c r="B177" s="17" t="b">
        <f t="shared" si="48"/>
        <v>0</v>
      </c>
      <c r="C177" s="17" t="b">
        <f t="shared" si="40"/>
        <v>0</v>
      </c>
      <c r="D177" s="17">
        <f t="shared" si="42"/>
        <v>1</v>
      </c>
      <c r="E177" s="17" t="str">
        <f t="shared" si="47"/>
        <v>Section 5 - Conclusion, And FREE Coupon For Next Course</v>
      </c>
      <c r="F177" s="18" t="str">
        <f t="shared" si="43"/>
        <v/>
      </c>
      <c r="G177" s="13" t="str">
        <f t="shared" si="49"/>
        <v/>
      </c>
      <c r="H177">
        <f t="shared" si="50"/>
        <v>0</v>
      </c>
      <c r="I177">
        <f t="shared" si="51"/>
        <v>0</v>
      </c>
      <c r="J177" s="13">
        <f t="shared" si="52"/>
        <v>85</v>
      </c>
      <c r="K177">
        <f t="shared" si="44"/>
        <v>1</v>
      </c>
      <c r="L177">
        <f t="shared" si="45"/>
        <v>25</v>
      </c>
      <c r="M177" s="13">
        <f t="shared" si="53"/>
        <v>1</v>
      </c>
      <c r="N177">
        <f t="shared" si="53"/>
        <v>24</v>
      </c>
      <c r="O177" s="14">
        <f t="shared" si="41"/>
        <v>84</v>
      </c>
      <c r="P177" s="13">
        <f t="shared" si="46"/>
        <v>1</v>
      </c>
      <c r="Q177">
        <f t="shared" si="54"/>
        <v>24</v>
      </c>
      <c r="R177" s="14">
        <f t="shared" si="55"/>
        <v>84</v>
      </c>
      <c r="S177" s="15"/>
      <c r="W177" s="14"/>
    </row>
    <row r="178" spans="1:23" hidden="1" x14ac:dyDescent="0.25">
      <c r="A178" s="16"/>
      <c r="B178" s="17" t="b">
        <f t="shared" si="48"/>
        <v>0</v>
      </c>
      <c r="C178" s="17" t="b">
        <f t="shared" si="40"/>
        <v>0</v>
      </c>
      <c r="D178" s="17">
        <f t="shared" si="42"/>
        <v>1</v>
      </c>
      <c r="E178" s="17" t="str">
        <f t="shared" si="47"/>
        <v>Section 5 - Conclusion, And FREE Coupon For Next Course</v>
      </c>
      <c r="F178" s="18" t="str">
        <f t="shared" si="43"/>
        <v/>
      </c>
      <c r="G178" s="13" t="str">
        <f t="shared" si="49"/>
        <v/>
      </c>
      <c r="H178">
        <f t="shared" si="50"/>
        <v>0</v>
      </c>
      <c r="I178">
        <f t="shared" si="51"/>
        <v>0</v>
      </c>
      <c r="J178" s="13">
        <f t="shared" si="52"/>
        <v>85</v>
      </c>
      <c r="K178">
        <f t="shared" si="44"/>
        <v>1</v>
      </c>
      <c r="L178">
        <f t="shared" si="45"/>
        <v>25</v>
      </c>
      <c r="M178" s="13">
        <f t="shared" si="53"/>
        <v>1</v>
      </c>
      <c r="N178">
        <f t="shared" si="53"/>
        <v>24</v>
      </c>
      <c r="O178" s="14">
        <f t="shared" si="41"/>
        <v>84</v>
      </c>
      <c r="P178" s="13">
        <f t="shared" si="46"/>
        <v>1</v>
      </c>
      <c r="Q178">
        <f t="shared" si="54"/>
        <v>24</v>
      </c>
      <c r="R178" s="14">
        <f t="shared" si="55"/>
        <v>84</v>
      </c>
      <c r="S178" s="15"/>
      <c r="W178" s="14"/>
    </row>
    <row r="179" spans="1:23" hidden="1" x14ac:dyDescent="0.25">
      <c r="A179" s="16"/>
      <c r="B179" s="17" t="b">
        <f t="shared" si="48"/>
        <v>0</v>
      </c>
      <c r="C179" s="17" t="b">
        <f t="shared" si="40"/>
        <v>0</v>
      </c>
      <c r="D179" s="17">
        <f t="shared" si="42"/>
        <v>1</v>
      </c>
      <c r="E179" s="17" t="str">
        <f t="shared" si="47"/>
        <v>Section 5 - Conclusion, And FREE Coupon For Next Course</v>
      </c>
      <c r="F179" s="18" t="str">
        <f t="shared" si="43"/>
        <v/>
      </c>
      <c r="G179" s="13" t="str">
        <f t="shared" si="49"/>
        <v/>
      </c>
      <c r="H179">
        <f t="shared" si="50"/>
        <v>0</v>
      </c>
      <c r="I179">
        <f t="shared" si="51"/>
        <v>0</v>
      </c>
      <c r="J179" s="13">
        <f t="shared" si="52"/>
        <v>85</v>
      </c>
      <c r="K179">
        <f t="shared" si="44"/>
        <v>1</v>
      </c>
      <c r="L179">
        <f t="shared" si="45"/>
        <v>25</v>
      </c>
      <c r="M179" s="13">
        <f t="shared" si="53"/>
        <v>1</v>
      </c>
      <c r="N179">
        <f t="shared" si="53"/>
        <v>24</v>
      </c>
      <c r="O179" s="14">
        <f t="shared" si="41"/>
        <v>84</v>
      </c>
      <c r="P179" s="13">
        <f t="shared" si="46"/>
        <v>1</v>
      </c>
      <c r="Q179">
        <f t="shared" si="54"/>
        <v>24</v>
      </c>
      <c r="R179" s="14">
        <f t="shared" si="55"/>
        <v>84</v>
      </c>
      <c r="S179" s="15"/>
      <c r="W179" s="14"/>
    </row>
    <row r="180" spans="1:23" hidden="1" x14ac:dyDescent="0.25">
      <c r="A180" s="16"/>
      <c r="B180" s="17" t="b">
        <f t="shared" si="48"/>
        <v>0</v>
      </c>
      <c r="C180" s="17" t="b">
        <f t="shared" si="40"/>
        <v>0</v>
      </c>
      <c r="D180" s="17">
        <f t="shared" si="42"/>
        <v>1</v>
      </c>
      <c r="E180" s="17" t="str">
        <f t="shared" si="47"/>
        <v>Section 5 - Conclusion, And FREE Coupon For Next Course</v>
      </c>
      <c r="F180" s="18" t="str">
        <f t="shared" si="43"/>
        <v/>
      </c>
      <c r="G180" s="13" t="str">
        <f t="shared" si="49"/>
        <v/>
      </c>
      <c r="H180">
        <f t="shared" si="50"/>
        <v>0</v>
      </c>
      <c r="I180">
        <f t="shared" si="51"/>
        <v>0</v>
      </c>
      <c r="J180" s="13">
        <f t="shared" si="52"/>
        <v>85</v>
      </c>
      <c r="K180">
        <f t="shared" si="44"/>
        <v>1</v>
      </c>
      <c r="L180">
        <f t="shared" si="45"/>
        <v>25</v>
      </c>
      <c r="M180" s="13">
        <f t="shared" si="53"/>
        <v>1</v>
      </c>
      <c r="N180">
        <f t="shared" si="53"/>
        <v>24</v>
      </c>
      <c r="O180" s="14">
        <f t="shared" si="41"/>
        <v>84</v>
      </c>
      <c r="P180" s="13">
        <f t="shared" si="46"/>
        <v>1</v>
      </c>
      <c r="Q180">
        <f t="shared" si="54"/>
        <v>24</v>
      </c>
      <c r="R180" s="14">
        <f t="shared" si="55"/>
        <v>84</v>
      </c>
      <c r="S180" s="15"/>
      <c r="W180" s="14"/>
    </row>
    <row r="181" spans="1:23" hidden="1" x14ac:dyDescent="0.25">
      <c r="A181" s="16"/>
      <c r="B181" s="17" t="b">
        <f t="shared" si="48"/>
        <v>0</v>
      </c>
      <c r="C181" s="17" t="b">
        <f t="shared" si="40"/>
        <v>0</v>
      </c>
      <c r="D181" s="17">
        <f t="shared" si="42"/>
        <v>1</v>
      </c>
      <c r="E181" s="17" t="str">
        <f t="shared" si="47"/>
        <v>Section 5 - Conclusion, And FREE Coupon For Next Course</v>
      </c>
      <c r="F181" s="18" t="str">
        <f t="shared" si="43"/>
        <v/>
      </c>
      <c r="G181" s="13" t="str">
        <f t="shared" si="49"/>
        <v/>
      </c>
      <c r="H181">
        <f t="shared" si="50"/>
        <v>0</v>
      </c>
      <c r="I181">
        <f t="shared" si="51"/>
        <v>0</v>
      </c>
      <c r="J181" s="13">
        <f t="shared" si="52"/>
        <v>85</v>
      </c>
      <c r="K181">
        <f t="shared" si="44"/>
        <v>1</v>
      </c>
      <c r="L181">
        <f t="shared" si="45"/>
        <v>25</v>
      </c>
      <c r="M181" s="13">
        <f t="shared" si="53"/>
        <v>1</v>
      </c>
      <c r="N181">
        <f t="shared" si="53"/>
        <v>24</v>
      </c>
      <c r="O181" s="14">
        <f t="shared" si="41"/>
        <v>84</v>
      </c>
      <c r="P181" s="13">
        <f t="shared" si="46"/>
        <v>1</v>
      </c>
      <c r="Q181">
        <f t="shared" si="54"/>
        <v>24</v>
      </c>
      <c r="R181" s="14">
        <f t="shared" si="55"/>
        <v>84</v>
      </c>
      <c r="S181" s="15"/>
      <c r="W181" s="14"/>
    </row>
    <row r="182" spans="1:23" hidden="1" x14ac:dyDescent="0.25">
      <c r="A182" s="16"/>
      <c r="B182" s="17" t="b">
        <f t="shared" si="48"/>
        <v>0</v>
      </c>
      <c r="C182" s="17" t="b">
        <f t="shared" si="40"/>
        <v>0</v>
      </c>
      <c r="D182" s="17">
        <f t="shared" si="42"/>
        <v>1</v>
      </c>
      <c r="E182" s="17" t="str">
        <f t="shared" si="47"/>
        <v>Section 5 - Conclusion, And FREE Coupon For Next Course</v>
      </c>
      <c r="F182" s="18" t="str">
        <f t="shared" si="43"/>
        <v/>
      </c>
      <c r="G182" s="13" t="str">
        <f t="shared" si="49"/>
        <v/>
      </c>
      <c r="H182">
        <f t="shared" si="50"/>
        <v>0</v>
      </c>
      <c r="I182">
        <f t="shared" si="51"/>
        <v>0</v>
      </c>
      <c r="J182" s="13">
        <f t="shared" si="52"/>
        <v>85</v>
      </c>
      <c r="K182">
        <f t="shared" si="44"/>
        <v>1</v>
      </c>
      <c r="L182">
        <f t="shared" si="45"/>
        <v>25</v>
      </c>
      <c r="M182" s="13">
        <f t="shared" si="53"/>
        <v>1</v>
      </c>
      <c r="N182">
        <f t="shared" si="53"/>
        <v>24</v>
      </c>
      <c r="O182" s="14">
        <f t="shared" si="41"/>
        <v>84</v>
      </c>
      <c r="P182" s="13">
        <f t="shared" si="46"/>
        <v>1</v>
      </c>
      <c r="Q182">
        <f t="shared" si="54"/>
        <v>24</v>
      </c>
      <c r="R182" s="14">
        <f t="shared" si="55"/>
        <v>84</v>
      </c>
      <c r="S182" s="15"/>
      <c r="W182" s="14"/>
    </row>
    <row r="183" spans="1:23" hidden="1" x14ac:dyDescent="0.25">
      <c r="A183" s="16"/>
      <c r="B183" s="17" t="b">
        <f t="shared" si="48"/>
        <v>0</v>
      </c>
      <c r="C183" s="17" t="b">
        <f t="shared" si="40"/>
        <v>0</v>
      </c>
      <c r="D183" s="17">
        <f t="shared" si="42"/>
        <v>1</v>
      </c>
      <c r="E183" s="17" t="str">
        <f t="shared" si="47"/>
        <v>Section 5 - Conclusion, And FREE Coupon For Next Course</v>
      </c>
      <c r="F183" s="18" t="str">
        <f t="shared" si="43"/>
        <v/>
      </c>
      <c r="G183" s="13" t="str">
        <f t="shared" si="49"/>
        <v/>
      </c>
      <c r="H183">
        <f t="shared" si="50"/>
        <v>0</v>
      </c>
      <c r="I183">
        <f t="shared" si="51"/>
        <v>0</v>
      </c>
      <c r="J183" s="13">
        <f t="shared" si="52"/>
        <v>85</v>
      </c>
      <c r="K183">
        <f t="shared" si="44"/>
        <v>1</v>
      </c>
      <c r="L183">
        <f t="shared" si="45"/>
        <v>25</v>
      </c>
      <c r="M183" s="13">
        <f t="shared" si="53"/>
        <v>1</v>
      </c>
      <c r="N183">
        <f t="shared" si="53"/>
        <v>24</v>
      </c>
      <c r="O183" s="14">
        <f t="shared" si="41"/>
        <v>84</v>
      </c>
      <c r="P183" s="13">
        <f t="shared" si="46"/>
        <v>1</v>
      </c>
      <c r="Q183">
        <f t="shared" si="54"/>
        <v>24</v>
      </c>
      <c r="R183" s="14">
        <f t="shared" si="55"/>
        <v>84</v>
      </c>
      <c r="S183" s="15"/>
      <c r="W183" s="14"/>
    </row>
    <row r="184" spans="1:23" hidden="1" x14ac:dyDescent="0.25">
      <c r="A184" s="16"/>
      <c r="B184" s="17" t="b">
        <f t="shared" si="48"/>
        <v>0</v>
      </c>
      <c r="C184" s="17" t="b">
        <f t="shared" si="40"/>
        <v>0</v>
      </c>
      <c r="D184" s="17">
        <f t="shared" si="42"/>
        <v>1</v>
      </c>
      <c r="E184" s="17" t="str">
        <f t="shared" si="47"/>
        <v>Section 5 - Conclusion, And FREE Coupon For Next Course</v>
      </c>
      <c r="F184" s="18" t="str">
        <f t="shared" si="43"/>
        <v/>
      </c>
      <c r="G184" s="13" t="str">
        <f t="shared" si="49"/>
        <v/>
      </c>
      <c r="H184">
        <f t="shared" si="50"/>
        <v>0</v>
      </c>
      <c r="I184">
        <f t="shared" si="51"/>
        <v>0</v>
      </c>
      <c r="J184" s="13">
        <f t="shared" si="52"/>
        <v>85</v>
      </c>
      <c r="K184">
        <f t="shared" si="44"/>
        <v>1</v>
      </c>
      <c r="L184">
        <f t="shared" si="45"/>
        <v>25</v>
      </c>
      <c r="M184" s="13">
        <f t="shared" si="53"/>
        <v>1</v>
      </c>
      <c r="N184">
        <f t="shared" si="53"/>
        <v>24</v>
      </c>
      <c r="O184" s="14">
        <f t="shared" si="41"/>
        <v>84</v>
      </c>
      <c r="P184" s="13">
        <f t="shared" si="46"/>
        <v>1</v>
      </c>
      <c r="Q184">
        <f t="shared" si="54"/>
        <v>24</v>
      </c>
      <c r="R184" s="14">
        <f t="shared" si="55"/>
        <v>84</v>
      </c>
      <c r="S184" s="15"/>
      <c r="W184" s="14"/>
    </row>
    <row r="185" spans="1:23" hidden="1" x14ac:dyDescent="0.25">
      <c r="A185" s="16"/>
      <c r="B185" s="17" t="b">
        <f t="shared" si="48"/>
        <v>0</v>
      </c>
      <c r="C185" s="17" t="b">
        <f t="shared" si="40"/>
        <v>0</v>
      </c>
      <c r="D185" s="17">
        <f t="shared" si="42"/>
        <v>1</v>
      </c>
      <c r="E185" s="17" t="str">
        <f t="shared" si="47"/>
        <v>Section 5 - Conclusion, And FREE Coupon For Next Course</v>
      </c>
      <c r="F185" s="18" t="str">
        <f t="shared" si="43"/>
        <v/>
      </c>
      <c r="G185" s="13" t="str">
        <f t="shared" si="49"/>
        <v/>
      </c>
      <c r="H185">
        <f t="shared" si="50"/>
        <v>0</v>
      </c>
      <c r="I185">
        <f t="shared" si="51"/>
        <v>0</v>
      </c>
      <c r="J185" s="13">
        <f t="shared" si="52"/>
        <v>85</v>
      </c>
      <c r="K185">
        <f t="shared" si="44"/>
        <v>1</v>
      </c>
      <c r="L185">
        <f t="shared" si="45"/>
        <v>25</v>
      </c>
      <c r="M185" s="13">
        <f t="shared" si="53"/>
        <v>1</v>
      </c>
      <c r="N185">
        <f t="shared" si="53"/>
        <v>24</v>
      </c>
      <c r="O185" s="14">
        <f t="shared" si="41"/>
        <v>84</v>
      </c>
      <c r="P185" s="13">
        <f t="shared" si="46"/>
        <v>1</v>
      </c>
      <c r="Q185">
        <f t="shared" si="54"/>
        <v>24</v>
      </c>
      <c r="R185" s="14">
        <f t="shared" si="55"/>
        <v>84</v>
      </c>
      <c r="S185" s="15"/>
      <c r="W185" s="14"/>
    </row>
    <row r="186" spans="1:23" hidden="1" x14ac:dyDescent="0.25">
      <c r="A186" s="16"/>
      <c r="B186" s="17" t="b">
        <f t="shared" si="48"/>
        <v>0</v>
      </c>
      <c r="C186" s="17" t="b">
        <f t="shared" si="40"/>
        <v>0</v>
      </c>
      <c r="D186" s="17">
        <f t="shared" si="42"/>
        <v>1</v>
      </c>
      <c r="E186" s="17" t="str">
        <f t="shared" si="47"/>
        <v>Section 5 - Conclusion, And FREE Coupon For Next Course</v>
      </c>
      <c r="F186" s="18" t="str">
        <f t="shared" si="43"/>
        <v/>
      </c>
      <c r="G186" s="13" t="str">
        <f t="shared" si="49"/>
        <v/>
      </c>
      <c r="H186">
        <f t="shared" si="50"/>
        <v>0</v>
      </c>
      <c r="I186">
        <f t="shared" si="51"/>
        <v>0</v>
      </c>
      <c r="J186" s="13">
        <f t="shared" si="52"/>
        <v>85</v>
      </c>
      <c r="K186">
        <f t="shared" si="44"/>
        <v>1</v>
      </c>
      <c r="L186">
        <f t="shared" si="45"/>
        <v>25</v>
      </c>
      <c r="M186" s="13">
        <f t="shared" si="53"/>
        <v>1</v>
      </c>
      <c r="N186">
        <f t="shared" si="53"/>
        <v>24</v>
      </c>
      <c r="O186" s="14">
        <f t="shared" si="41"/>
        <v>84</v>
      </c>
      <c r="P186" s="13">
        <f t="shared" si="46"/>
        <v>1</v>
      </c>
      <c r="Q186">
        <f t="shared" si="54"/>
        <v>24</v>
      </c>
      <c r="R186" s="14">
        <f t="shared" si="55"/>
        <v>84</v>
      </c>
      <c r="S186" s="15"/>
      <c r="W186" s="14"/>
    </row>
    <row r="187" spans="1:23" hidden="1" x14ac:dyDescent="0.25">
      <c r="A187" s="16"/>
      <c r="B187" s="17" t="b">
        <f t="shared" si="48"/>
        <v>0</v>
      </c>
      <c r="C187" s="17" t="b">
        <f t="shared" si="40"/>
        <v>0</v>
      </c>
      <c r="D187" s="17">
        <f t="shared" si="42"/>
        <v>1</v>
      </c>
      <c r="E187" s="17" t="str">
        <f t="shared" si="47"/>
        <v>Section 5 - Conclusion, And FREE Coupon For Next Course</v>
      </c>
      <c r="F187" s="18" t="str">
        <f t="shared" si="43"/>
        <v/>
      </c>
      <c r="G187" s="13" t="str">
        <f t="shared" si="49"/>
        <v/>
      </c>
      <c r="H187">
        <f t="shared" si="50"/>
        <v>0</v>
      </c>
      <c r="I187">
        <f t="shared" si="51"/>
        <v>0</v>
      </c>
      <c r="J187" s="13">
        <f t="shared" si="52"/>
        <v>85</v>
      </c>
      <c r="K187">
        <f t="shared" si="44"/>
        <v>1</v>
      </c>
      <c r="L187">
        <f t="shared" si="45"/>
        <v>25</v>
      </c>
      <c r="M187" s="13">
        <f t="shared" si="53"/>
        <v>1</v>
      </c>
      <c r="N187">
        <f t="shared" si="53"/>
        <v>24</v>
      </c>
      <c r="O187" s="14">
        <f t="shared" si="41"/>
        <v>84</v>
      </c>
      <c r="P187" s="13">
        <f t="shared" si="46"/>
        <v>1</v>
      </c>
      <c r="Q187">
        <f t="shared" si="54"/>
        <v>24</v>
      </c>
      <c r="R187" s="14">
        <f t="shared" si="55"/>
        <v>84</v>
      </c>
      <c r="S187" s="15"/>
      <c r="W187" s="14"/>
    </row>
    <row r="188" spans="1:23" hidden="1" x14ac:dyDescent="0.25">
      <c r="A188" s="16"/>
      <c r="B188" s="17" t="b">
        <f t="shared" si="48"/>
        <v>0</v>
      </c>
      <c r="C188" s="17" t="b">
        <f t="shared" si="40"/>
        <v>0</v>
      </c>
      <c r="D188" s="17">
        <f t="shared" si="42"/>
        <v>1</v>
      </c>
      <c r="E188" s="17" t="str">
        <f t="shared" si="47"/>
        <v>Section 5 - Conclusion, And FREE Coupon For Next Course</v>
      </c>
      <c r="F188" s="18" t="str">
        <f t="shared" si="43"/>
        <v/>
      </c>
      <c r="G188" s="13" t="str">
        <f t="shared" si="49"/>
        <v/>
      </c>
      <c r="H188">
        <f t="shared" si="50"/>
        <v>0</v>
      </c>
      <c r="I188">
        <f t="shared" si="51"/>
        <v>0</v>
      </c>
      <c r="J188" s="13">
        <f t="shared" si="52"/>
        <v>85</v>
      </c>
      <c r="K188">
        <f t="shared" si="44"/>
        <v>1</v>
      </c>
      <c r="L188">
        <f t="shared" si="45"/>
        <v>25</v>
      </c>
      <c r="M188" s="13">
        <f t="shared" si="53"/>
        <v>1</v>
      </c>
      <c r="N188">
        <f t="shared" si="53"/>
        <v>24</v>
      </c>
      <c r="O188" s="14">
        <f t="shared" si="41"/>
        <v>84</v>
      </c>
      <c r="P188" s="13">
        <f t="shared" si="46"/>
        <v>1</v>
      </c>
      <c r="Q188">
        <f t="shared" si="54"/>
        <v>24</v>
      </c>
      <c r="R188" s="14">
        <f t="shared" si="55"/>
        <v>84</v>
      </c>
      <c r="S188" s="15"/>
      <c r="W188" s="14"/>
    </row>
    <row r="189" spans="1:23" hidden="1" x14ac:dyDescent="0.25">
      <c r="A189" s="16"/>
      <c r="B189" s="17" t="b">
        <f t="shared" si="48"/>
        <v>0</v>
      </c>
      <c r="C189" s="17" t="b">
        <f t="shared" si="40"/>
        <v>0</v>
      </c>
      <c r="D189" s="17">
        <f t="shared" si="42"/>
        <v>1</v>
      </c>
      <c r="E189" s="17" t="str">
        <f t="shared" si="47"/>
        <v>Section 5 - Conclusion, And FREE Coupon For Next Course</v>
      </c>
      <c r="F189" s="18" t="str">
        <f t="shared" si="43"/>
        <v/>
      </c>
      <c r="G189" s="13" t="str">
        <f t="shared" si="49"/>
        <v/>
      </c>
      <c r="H189">
        <f t="shared" si="50"/>
        <v>0</v>
      </c>
      <c r="I189">
        <f t="shared" si="51"/>
        <v>0</v>
      </c>
      <c r="J189" s="13">
        <f t="shared" si="52"/>
        <v>85</v>
      </c>
      <c r="K189">
        <f t="shared" si="44"/>
        <v>1</v>
      </c>
      <c r="L189">
        <f t="shared" si="45"/>
        <v>25</v>
      </c>
      <c r="M189" s="13">
        <f t="shared" si="53"/>
        <v>1</v>
      </c>
      <c r="N189">
        <f t="shared" si="53"/>
        <v>24</v>
      </c>
      <c r="O189" s="14">
        <f t="shared" si="41"/>
        <v>84</v>
      </c>
      <c r="P189" s="13">
        <f t="shared" si="46"/>
        <v>1</v>
      </c>
      <c r="Q189">
        <f t="shared" si="54"/>
        <v>24</v>
      </c>
      <c r="R189" s="14">
        <f t="shared" si="55"/>
        <v>84</v>
      </c>
      <c r="S189" s="15"/>
      <c r="W189" s="14"/>
    </row>
    <row r="190" spans="1:23" hidden="1" x14ac:dyDescent="0.25">
      <c r="A190" s="16"/>
      <c r="B190" s="17" t="b">
        <f t="shared" si="48"/>
        <v>0</v>
      </c>
      <c r="C190" s="17" t="b">
        <f t="shared" si="40"/>
        <v>0</v>
      </c>
      <c r="D190" s="17">
        <f t="shared" si="42"/>
        <v>1</v>
      </c>
      <c r="E190" s="17" t="str">
        <f t="shared" si="47"/>
        <v>Section 5 - Conclusion, And FREE Coupon For Next Course</v>
      </c>
      <c r="F190" s="18" t="str">
        <f t="shared" si="43"/>
        <v/>
      </c>
      <c r="G190" s="13" t="str">
        <f t="shared" si="49"/>
        <v/>
      </c>
      <c r="H190">
        <f t="shared" si="50"/>
        <v>0</v>
      </c>
      <c r="I190">
        <f t="shared" si="51"/>
        <v>0</v>
      </c>
      <c r="J190" s="13">
        <f t="shared" si="52"/>
        <v>85</v>
      </c>
      <c r="K190">
        <f t="shared" si="44"/>
        <v>1</v>
      </c>
      <c r="L190">
        <f t="shared" si="45"/>
        <v>25</v>
      </c>
      <c r="M190" s="13">
        <f t="shared" si="53"/>
        <v>1</v>
      </c>
      <c r="N190">
        <f t="shared" si="53"/>
        <v>24</v>
      </c>
      <c r="O190" s="14">
        <f t="shared" si="41"/>
        <v>84</v>
      </c>
      <c r="P190" s="13">
        <f t="shared" si="46"/>
        <v>1</v>
      </c>
      <c r="Q190">
        <f t="shared" si="54"/>
        <v>24</v>
      </c>
      <c r="R190" s="14">
        <f t="shared" si="55"/>
        <v>84</v>
      </c>
      <c r="S190" s="15"/>
      <c r="W190" s="14"/>
    </row>
    <row r="191" spans="1:23" hidden="1" x14ac:dyDescent="0.25">
      <c r="A191" s="16"/>
      <c r="B191" s="17" t="b">
        <f t="shared" si="48"/>
        <v>0</v>
      </c>
      <c r="C191" s="17" t="b">
        <f t="shared" si="40"/>
        <v>0</v>
      </c>
      <c r="D191" s="17">
        <f t="shared" si="42"/>
        <v>1</v>
      </c>
      <c r="E191" s="17" t="str">
        <f t="shared" si="47"/>
        <v>Section 5 - Conclusion, And FREE Coupon For Next Course</v>
      </c>
      <c r="F191" s="18" t="str">
        <f t="shared" si="43"/>
        <v/>
      </c>
      <c r="G191" s="13" t="str">
        <f t="shared" si="49"/>
        <v/>
      </c>
      <c r="H191">
        <f t="shared" si="50"/>
        <v>0</v>
      </c>
      <c r="I191">
        <f t="shared" si="51"/>
        <v>0</v>
      </c>
      <c r="J191" s="13">
        <f t="shared" si="52"/>
        <v>85</v>
      </c>
      <c r="K191">
        <f t="shared" si="44"/>
        <v>1</v>
      </c>
      <c r="L191">
        <f t="shared" si="45"/>
        <v>25</v>
      </c>
      <c r="M191" s="13">
        <f t="shared" si="53"/>
        <v>1</v>
      </c>
      <c r="N191">
        <f t="shared" si="53"/>
        <v>24</v>
      </c>
      <c r="O191" s="14">
        <f t="shared" si="41"/>
        <v>84</v>
      </c>
      <c r="P191" s="13">
        <f t="shared" si="46"/>
        <v>1</v>
      </c>
      <c r="Q191">
        <f t="shared" si="54"/>
        <v>24</v>
      </c>
      <c r="R191" s="14">
        <f t="shared" si="55"/>
        <v>84</v>
      </c>
      <c r="S191" s="15"/>
      <c r="W191" s="14"/>
    </row>
    <row r="192" spans="1:23" hidden="1" x14ac:dyDescent="0.25">
      <c r="A192" s="16"/>
      <c r="B192" s="17" t="b">
        <f t="shared" si="48"/>
        <v>0</v>
      </c>
      <c r="C192" s="17" t="b">
        <f t="shared" ref="C192:C255" si="56">OR(NOT(ISERROR(FIND("hr",A193))), NOT(ISERROR(FIND("min ",A193))),RIGHT(A193,3)="min")</f>
        <v>0</v>
      </c>
      <c r="D192" s="17">
        <f t="shared" si="42"/>
        <v>1</v>
      </c>
      <c r="E192" s="17" t="str">
        <f t="shared" si="47"/>
        <v>Section 5 - Conclusion, And FREE Coupon For Next Course</v>
      </c>
      <c r="F192" s="18" t="str">
        <f t="shared" si="43"/>
        <v/>
      </c>
      <c r="G192" s="13" t="str">
        <f t="shared" si="49"/>
        <v/>
      </c>
      <c r="H192">
        <f t="shared" si="50"/>
        <v>0</v>
      </c>
      <c r="I192">
        <f t="shared" si="51"/>
        <v>0</v>
      </c>
      <c r="J192" s="13">
        <f t="shared" si="52"/>
        <v>85</v>
      </c>
      <c r="K192">
        <f t="shared" si="44"/>
        <v>1</v>
      </c>
      <c r="L192">
        <f t="shared" si="45"/>
        <v>25</v>
      </c>
      <c r="M192" s="13">
        <f t="shared" si="53"/>
        <v>1</v>
      </c>
      <c r="N192">
        <f t="shared" si="53"/>
        <v>24</v>
      </c>
      <c r="O192" s="14">
        <f t="shared" si="41"/>
        <v>84</v>
      </c>
      <c r="P192" s="13">
        <f t="shared" si="46"/>
        <v>1</v>
      </c>
      <c r="Q192">
        <f t="shared" si="54"/>
        <v>24</v>
      </c>
      <c r="R192" s="14">
        <f t="shared" si="55"/>
        <v>84</v>
      </c>
      <c r="S192" s="15"/>
      <c r="W192" s="14"/>
    </row>
    <row r="193" spans="1:23" hidden="1" x14ac:dyDescent="0.25">
      <c r="A193" s="16"/>
      <c r="B193" s="17" t="b">
        <f t="shared" si="48"/>
        <v>0</v>
      </c>
      <c r="C193" s="17" t="b">
        <f t="shared" si="56"/>
        <v>0</v>
      </c>
      <c r="D193" s="17">
        <f t="shared" si="42"/>
        <v>1</v>
      </c>
      <c r="E193" s="17" t="str">
        <f t="shared" si="47"/>
        <v>Section 5 - Conclusion, And FREE Coupon For Next Course</v>
      </c>
      <c r="F193" s="18" t="str">
        <f t="shared" si="43"/>
        <v/>
      </c>
      <c r="G193" s="13" t="str">
        <f t="shared" si="49"/>
        <v/>
      </c>
      <c r="H193">
        <f t="shared" si="50"/>
        <v>0</v>
      </c>
      <c r="I193">
        <f t="shared" si="51"/>
        <v>0</v>
      </c>
      <c r="J193" s="13">
        <f t="shared" si="52"/>
        <v>85</v>
      </c>
      <c r="K193">
        <f t="shared" si="44"/>
        <v>1</v>
      </c>
      <c r="L193">
        <f t="shared" si="45"/>
        <v>25</v>
      </c>
      <c r="M193" s="13">
        <f t="shared" si="53"/>
        <v>1</v>
      </c>
      <c r="N193">
        <f t="shared" si="53"/>
        <v>24</v>
      </c>
      <c r="O193" s="14">
        <f t="shared" si="41"/>
        <v>84</v>
      </c>
      <c r="P193" s="13">
        <f t="shared" si="46"/>
        <v>1</v>
      </c>
      <c r="Q193">
        <f t="shared" si="54"/>
        <v>24</v>
      </c>
      <c r="R193" s="14">
        <f t="shared" si="55"/>
        <v>84</v>
      </c>
      <c r="S193" s="15"/>
      <c r="W193" s="14"/>
    </row>
    <row r="194" spans="1:23" hidden="1" x14ac:dyDescent="0.25">
      <c r="A194" s="16"/>
      <c r="B194" s="17" t="b">
        <f t="shared" si="48"/>
        <v>0</v>
      </c>
      <c r="C194" s="17" t="b">
        <f t="shared" si="56"/>
        <v>0</v>
      </c>
      <c r="D194" s="17">
        <f t="shared" si="42"/>
        <v>1</v>
      </c>
      <c r="E194" s="17" t="str">
        <f t="shared" si="47"/>
        <v>Section 5 - Conclusion, And FREE Coupon For Next Course</v>
      </c>
      <c r="F194" s="18" t="str">
        <f t="shared" si="43"/>
        <v/>
      </c>
      <c r="G194" s="13" t="str">
        <f t="shared" si="49"/>
        <v/>
      </c>
      <c r="H194">
        <f t="shared" si="50"/>
        <v>0</v>
      </c>
      <c r="I194">
        <f t="shared" si="51"/>
        <v>0</v>
      </c>
      <c r="J194" s="13">
        <f t="shared" si="52"/>
        <v>85</v>
      </c>
      <c r="K194">
        <f t="shared" si="44"/>
        <v>1</v>
      </c>
      <c r="L194">
        <f t="shared" si="45"/>
        <v>25</v>
      </c>
      <c r="M194" s="13">
        <f t="shared" si="53"/>
        <v>1</v>
      </c>
      <c r="N194">
        <f t="shared" si="53"/>
        <v>24</v>
      </c>
      <c r="O194" s="14">
        <f t="shared" si="41"/>
        <v>84</v>
      </c>
      <c r="P194" s="13">
        <f t="shared" si="46"/>
        <v>1</v>
      </c>
      <c r="Q194">
        <f t="shared" si="54"/>
        <v>24</v>
      </c>
      <c r="R194" s="14">
        <f t="shared" si="55"/>
        <v>84</v>
      </c>
      <c r="S194" s="15"/>
      <c r="W194" s="14"/>
    </row>
    <row r="195" spans="1:23" hidden="1" x14ac:dyDescent="0.25">
      <c r="A195" s="16"/>
      <c r="B195" s="17" t="b">
        <f t="shared" si="48"/>
        <v>0</v>
      </c>
      <c r="C195" s="17" t="b">
        <f t="shared" si="56"/>
        <v>0</v>
      </c>
      <c r="D195" s="17">
        <f t="shared" si="42"/>
        <v>1</v>
      </c>
      <c r="E195" s="17" t="str">
        <f t="shared" si="47"/>
        <v>Section 5 - Conclusion, And FREE Coupon For Next Course</v>
      </c>
      <c r="F195" s="18" t="str">
        <f t="shared" si="43"/>
        <v/>
      </c>
      <c r="G195" s="13" t="str">
        <f t="shared" si="49"/>
        <v/>
      </c>
      <c r="H195">
        <f t="shared" si="50"/>
        <v>0</v>
      </c>
      <c r="I195">
        <f t="shared" si="51"/>
        <v>0</v>
      </c>
      <c r="J195" s="13">
        <f t="shared" si="52"/>
        <v>85</v>
      </c>
      <c r="K195">
        <f t="shared" si="44"/>
        <v>1</v>
      </c>
      <c r="L195">
        <f t="shared" si="45"/>
        <v>25</v>
      </c>
      <c r="M195" s="13">
        <f t="shared" si="53"/>
        <v>1</v>
      </c>
      <c r="N195">
        <f t="shared" si="53"/>
        <v>24</v>
      </c>
      <c r="O195" s="14">
        <f t="shared" si="41"/>
        <v>84</v>
      </c>
      <c r="P195" s="13">
        <f t="shared" si="46"/>
        <v>1</v>
      </c>
      <c r="Q195">
        <f t="shared" si="54"/>
        <v>24</v>
      </c>
      <c r="R195" s="14">
        <f t="shared" si="55"/>
        <v>84</v>
      </c>
      <c r="S195" s="15"/>
      <c r="W195" s="14"/>
    </row>
    <row r="196" spans="1:23" hidden="1" x14ac:dyDescent="0.25">
      <c r="A196" s="16"/>
      <c r="B196" s="17" t="b">
        <f t="shared" si="48"/>
        <v>0</v>
      </c>
      <c r="C196" s="17" t="b">
        <f t="shared" si="56"/>
        <v>0</v>
      </c>
      <c r="D196" s="17">
        <f t="shared" si="42"/>
        <v>1</v>
      </c>
      <c r="E196" s="17" t="str">
        <f t="shared" si="47"/>
        <v>Section 5 - Conclusion, And FREE Coupon For Next Course</v>
      </c>
      <c r="F196" s="18" t="str">
        <f t="shared" si="43"/>
        <v/>
      </c>
      <c r="G196" s="13" t="str">
        <f t="shared" si="49"/>
        <v/>
      </c>
      <c r="H196">
        <f t="shared" si="50"/>
        <v>0</v>
      </c>
      <c r="I196">
        <f t="shared" si="51"/>
        <v>0</v>
      </c>
      <c r="J196" s="13">
        <f t="shared" si="52"/>
        <v>85</v>
      </c>
      <c r="K196">
        <f t="shared" si="44"/>
        <v>1</v>
      </c>
      <c r="L196">
        <f t="shared" si="45"/>
        <v>25</v>
      </c>
      <c r="M196" s="13">
        <f t="shared" si="53"/>
        <v>1</v>
      </c>
      <c r="N196">
        <f t="shared" si="53"/>
        <v>24</v>
      </c>
      <c r="O196" s="14">
        <f t="shared" si="41"/>
        <v>84</v>
      </c>
      <c r="P196" s="13">
        <f t="shared" si="46"/>
        <v>1</v>
      </c>
      <c r="Q196">
        <f t="shared" si="54"/>
        <v>24</v>
      </c>
      <c r="R196" s="14">
        <f t="shared" si="55"/>
        <v>84</v>
      </c>
      <c r="S196" s="15"/>
      <c r="W196" s="14"/>
    </row>
    <row r="197" spans="1:23" hidden="1" x14ac:dyDescent="0.25">
      <c r="A197" s="16"/>
      <c r="B197" s="17" t="b">
        <f t="shared" si="48"/>
        <v>0</v>
      </c>
      <c r="C197" s="17" t="b">
        <f t="shared" si="56"/>
        <v>0</v>
      </c>
      <c r="D197" s="17">
        <f t="shared" si="42"/>
        <v>1</v>
      </c>
      <c r="E197" s="17" t="str">
        <f t="shared" si="47"/>
        <v>Section 5 - Conclusion, And FREE Coupon For Next Course</v>
      </c>
      <c r="F197" s="18" t="str">
        <f t="shared" si="43"/>
        <v/>
      </c>
      <c r="G197" s="13" t="str">
        <f t="shared" si="49"/>
        <v/>
      </c>
      <c r="H197">
        <f t="shared" si="50"/>
        <v>0</v>
      </c>
      <c r="I197">
        <f t="shared" si="51"/>
        <v>0</v>
      </c>
      <c r="J197" s="13">
        <f t="shared" si="52"/>
        <v>85</v>
      </c>
      <c r="K197">
        <f t="shared" si="44"/>
        <v>1</v>
      </c>
      <c r="L197">
        <f t="shared" si="45"/>
        <v>25</v>
      </c>
      <c r="M197" s="13">
        <f t="shared" si="53"/>
        <v>1</v>
      </c>
      <c r="N197">
        <f t="shared" si="53"/>
        <v>24</v>
      </c>
      <c r="O197" s="14">
        <f t="shared" si="41"/>
        <v>84</v>
      </c>
      <c r="P197" s="13">
        <f t="shared" si="46"/>
        <v>1</v>
      </c>
      <c r="Q197">
        <f t="shared" si="54"/>
        <v>24</v>
      </c>
      <c r="R197" s="14">
        <f t="shared" si="55"/>
        <v>84</v>
      </c>
      <c r="S197" s="15"/>
      <c r="W197" s="14"/>
    </row>
    <row r="198" spans="1:23" hidden="1" x14ac:dyDescent="0.25">
      <c r="A198" s="16"/>
      <c r="B198" s="17" t="b">
        <f t="shared" si="48"/>
        <v>0</v>
      </c>
      <c r="C198" s="17" t="b">
        <f t="shared" si="56"/>
        <v>0</v>
      </c>
      <c r="D198" s="17">
        <f t="shared" si="42"/>
        <v>1</v>
      </c>
      <c r="E198" s="17" t="str">
        <f t="shared" si="47"/>
        <v>Section 5 - Conclusion, And FREE Coupon For Next Course</v>
      </c>
      <c r="F198" s="18" t="str">
        <f t="shared" si="43"/>
        <v/>
      </c>
      <c r="G198" s="13" t="str">
        <f t="shared" si="49"/>
        <v/>
      </c>
      <c r="H198">
        <f t="shared" si="50"/>
        <v>0</v>
      </c>
      <c r="I198">
        <f t="shared" si="51"/>
        <v>0</v>
      </c>
      <c r="J198" s="13">
        <f t="shared" si="52"/>
        <v>85</v>
      </c>
      <c r="K198">
        <f t="shared" si="44"/>
        <v>1</v>
      </c>
      <c r="L198">
        <f t="shared" si="45"/>
        <v>25</v>
      </c>
      <c r="M198" s="13">
        <f t="shared" si="53"/>
        <v>1</v>
      </c>
      <c r="N198">
        <f t="shared" si="53"/>
        <v>24</v>
      </c>
      <c r="O198" s="14">
        <f t="shared" si="41"/>
        <v>84</v>
      </c>
      <c r="P198" s="13">
        <f t="shared" si="46"/>
        <v>1</v>
      </c>
      <c r="Q198">
        <f t="shared" si="54"/>
        <v>24</v>
      </c>
      <c r="R198" s="14">
        <f t="shared" si="55"/>
        <v>84</v>
      </c>
      <c r="S198" s="15"/>
      <c r="W198" s="14"/>
    </row>
    <row r="199" spans="1:23" hidden="1" x14ac:dyDescent="0.25">
      <c r="A199" s="16"/>
      <c r="B199" s="17" t="b">
        <f t="shared" si="48"/>
        <v>0</v>
      </c>
      <c r="C199" s="17" t="b">
        <f t="shared" si="56"/>
        <v>0</v>
      </c>
      <c r="D199" s="17">
        <f t="shared" si="42"/>
        <v>1</v>
      </c>
      <c r="E199" s="17" t="str">
        <f t="shared" si="47"/>
        <v>Section 5 - Conclusion, And FREE Coupon For Next Course</v>
      </c>
      <c r="F199" s="18" t="str">
        <f t="shared" si="43"/>
        <v/>
      </c>
      <c r="G199" s="13" t="str">
        <f t="shared" si="49"/>
        <v/>
      </c>
      <c r="H199">
        <f t="shared" si="50"/>
        <v>0</v>
      </c>
      <c r="I199">
        <f t="shared" si="51"/>
        <v>0</v>
      </c>
      <c r="J199" s="13">
        <f t="shared" si="52"/>
        <v>85</v>
      </c>
      <c r="K199">
        <f t="shared" si="44"/>
        <v>1</v>
      </c>
      <c r="L199">
        <f t="shared" si="45"/>
        <v>25</v>
      </c>
      <c r="M199" s="13">
        <f t="shared" si="53"/>
        <v>1</v>
      </c>
      <c r="N199">
        <f t="shared" si="53"/>
        <v>24</v>
      </c>
      <c r="O199" s="14">
        <f t="shared" si="41"/>
        <v>84</v>
      </c>
      <c r="P199" s="13">
        <f t="shared" si="46"/>
        <v>1</v>
      </c>
      <c r="Q199">
        <f t="shared" si="54"/>
        <v>24</v>
      </c>
      <c r="R199" s="14">
        <f t="shared" si="55"/>
        <v>84</v>
      </c>
      <c r="S199" s="15"/>
      <c r="W199" s="14"/>
    </row>
    <row r="200" spans="1:23" hidden="1" x14ac:dyDescent="0.25">
      <c r="A200" s="16"/>
      <c r="B200" s="17" t="b">
        <f t="shared" si="48"/>
        <v>0</v>
      </c>
      <c r="C200" s="17" t="b">
        <f t="shared" si="56"/>
        <v>0</v>
      </c>
      <c r="D200" s="17">
        <f t="shared" si="42"/>
        <v>1</v>
      </c>
      <c r="E200" s="17" t="str">
        <f t="shared" si="47"/>
        <v>Section 5 - Conclusion, And FREE Coupon For Next Course</v>
      </c>
      <c r="F200" s="18" t="str">
        <f t="shared" si="43"/>
        <v/>
      </c>
      <c r="G200" s="13" t="str">
        <f t="shared" si="49"/>
        <v/>
      </c>
      <c r="H200">
        <f t="shared" si="50"/>
        <v>0</v>
      </c>
      <c r="I200">
        <f t="shared" si="51"/>
        <v>0</v>
      </c>
      <c r="J200" s="13">
        <f t="shared" si="52"/>
        <v>85</v>
      </c>
      <c r="K200">
        <f t="shared" si="44"/>
        <v>1</v>
      </c>
      <c r="L200">
        <f t="shared" si="45"/>
        <v>25</v>
      </c>
      <c r="M200" s="13">
        <f t="shared" si="53"/>
        <v>1</v>
      </c>
      <c r="N200">
        <f t="shared" si="53"/>
        <v>24</v>
      </c>
      <c r="O200" s="14">
        <f t="shared" si="41"/>
        <v>84</v>
      </c>
      <c r="P200" s="13">
        <f t="shared" si="46"/>
        <v>1</v>
      </c>
      <c r="Q200">
        <f t="shared" si="54"/>
        <v>24</v>
      </c>
      <c r="R200" s="14">
        <f t="shared" si="55"/>
        <v>84</v>
      </c>
      <c r="S200" s="15"/>
      <c r="W200" s="14"/>
    </row>
    <row r="201" spans="1:23" hidden="1" x14ac:dyDescent="0.25">
      <c r="A201" s="16"/>
      <c r="B201" s="17" t="b">
        <f t="shared" si="48"/>
        <v>0</v>
      </c>
      <c r="C201" s="17" t="b">
        <f t="shared" si="56"/>
        <v>0</v>
      </c>
      <c r="D201" s="17">
        <f t="shared" si="42"/>
        <v>1</v>
      </c>
      <c r="E201" s="17" t="str">
        <f t="shared" si="47"/>
        <v>Section 5 - Conclusion, And FREE Coupon For Next Course</v>
      </c>
      <c r="F201" s="18" t="str">
        <f t="shared" si="43"/>
        <v/>
      </c>
      <c r="G201" s="13" t="str">
        <f t="shared" si="49"/>
        <v/>
      </c>
      <c r="H201">
        <f t="shared" si="50"/>
        <v>0</v>
      </c>
      <c r="I201">
        <f t="shared" si="51"/>
        <v>0</v>
      </c>
      <c r="J201" s="13">
        <f t="shared" si="52"/>
        <v>85</v>
      </c>
      <c r="K201">
        <f t="shared" si="44"/>
        <v>1</v>
      </c>
      <c r="L201">
        <f t="shared" si="45"/>
        <v>25</v>
      </c>
      <c r="M201" s="13">
        <f t="shared" si="53"/>
        <v>1</v>
      </c>
      <c r="N201">
        <f t="shared" si="53"/>
        <v>24</v>
      </c>
      <c r="O201" s="14">
        <f t="shared" si="41"/>
        <v>84</v>
      </c>
      <c r="P201" s="13">
        <f t="shared" si="46"/>
        <v>1</v>
      </c>
      <c r="Q201">
        <f t="shared" si="54"/>
        <v>24</v>
      </c>
      <c r="R201" s="14">
        <f t="shared" si="55"/>
        <v>84</v>
      </c>
      <c r="S201" s="15"/>
      <c r="W201" s="14"/>
    </row>
    <row r="202" spans="1:23" hidden="1" x14ac:dyDescent="0.25">
      <c r="A202" s="16"/>
      <c r="B202" s="17" t="b">
        <f t="shared" si="48"/>
        <v>0</v>
      </c>
      <c r="C202" s="17" t="b">
        <f t="shared" si="56"/>
        <v>0</v>
      </c>
      <c r="D202" s="17">
        <f t="shared" si="42"/>
        <v>1</v>
      </c>
      <c r="E202" s="17" t="str">
        <f t="shared" si="47"/>
        <v>Section 5 - Conclusion, And FREE Coupon For Next Course</v>
      </c>
      <c r="F202" s="18" t="str">
        <f t="shared" si="43"/>
        <v/>
      </c>
      <c r="G202" s="13" t="str">
        <f t="shared" si="49"/>
        <v/>
      </c>
      <c r="H202">
        <f t="shared" si="50"/>
        <v>0</v>
      </c>
      <c r="I202">
        <f t="shared" si="51"/>
        <v>0</v>
      </c>
      <c r="J202" s="13">
        <f t="shared" si="52"/>
        <v>85</v>
      </c>
      <c r="K202">
        <f t="shared" si="44"/>
        <v>1</v>
      </c>
      <c r="L202">
        <f t="shared" si="45"/>
        <v>25</v>
      </c>
      <c r="M202" s="13">
        <f t="shared" si="53"/>
        <v>1</v>
      </c>
      <c r="N202">
        <f t="shared" si="53"/>
        <v>24</v>
      </c>
      <c r="O202" s="14">
        <f t="shared" ref="O202:O265" si="57">((M202*60)+N202)</f>
        <v>84</v>
      </c>
      <c r="P202" s="13">
        <f t="shared" si="46"/>
        <v>1</v>
      </c>
      <c r="Q202">
        <f t="shared" si="54"/>
        <v>24</v>
      </c>
      <c r="R202" s="14">
        <f t="shared" si="55"/>
        <v>84</v>
      </c>
      <c r="S202" s="15"/>
      <c r="W202" s="14"/>
    </row>
    <row r="203" spans="1:23" hidden="1" x14ac:dyDescent="0.25">
      <c r="A203" s="16"/>
      <c r="B203" s="17" t="b">
        <f t="shared" si="48"/>
        <v>0</v>
      </c>
      <c r="C203" s="17" t="b">
        <f t="shared" si="56"/>
        <v>0</v>
      </c>
      <c r="D203" s="17">
        <f t="shared" ref="D203:D266" si="58">IF(B203,0,IF(C203,D202+1,D202))</f>
        <v>1</v>
      </c>
      <c r="E203" s="17" t="str">
        <f t="shared" si="47"/>
        <v>Section 5 - Conclusion, And FREE Coupon For Next Course</v>
      </c>
      <c r="F203" s="18" t="str">
        <f t="shared" ref="F203:F266" si="59">IF(C203,A203,"")</f>
        <v/>
      </c>
      <c r="G203" s="13" t="str">
        <f t="shared" si="49"/>
        <v/>
      </c>
      <c r="H203">
        <f t="shared" si="50"/>
        <v>0</v>
      </c>
      <c r="I203">
        <f t="shared" si="51"/>
        <v>0</v>
      </c>
      <c r="J203" s="13">
        <f t="shared" si="52"/>
        <v>85</v>
      </c>
      <c r="K203">
        <f t="shared" ref="K203:K266" si="60">INT(J203/60)</f>
        <v>1</v>
      </c>
      <c r="L203">
        <f t="shared" ref="L203:L266" si="61">INT(J203-(K203*60))</f>
        <v>25</v>
      </c>
      <c r="M203" s="13">
        <f t="shared" si="53"/>
        <v>1</v>
      </c>
      <c r="N203">
        <f t="shared" si="53"/>
        <v>24</v>
      </c>
      <c r="O203" s="14">
        <f t="shared" si="57"/>
        <v>84</v>
      </c>
      <c r="P203" s="13">
        <f t="shared" ref="P203:P266" si="62">INT(R203/60)</f>
        <v>1</v>
      </c>
      <c r="Q203">
        <f t="shared" si="54"/>
        <v>24</v>
      </c>
      <c r="R203" s="14">
        <f t="shared" si="55"/>
        <v>84</v>
      </c>
      <c r="S203" s="15"/>
      <c r="W203" s="14"/>
    </row>
    <row r="204" spans="1:23" hidden="1" x14ac:dyDescent="0.25">
      <c r="A204" s="16"/>
      <c r="B204" s="17" t="b">
        <f t="shared" si="48"/>
        <v>0</v>
      </c>
      <c r="C204" s="17" t="b">
        <f t="shared" si="56"/>
        <v>0</v>
      </c>
      <c r="D204" s="17">
        <f t="shared" si="58"/>
        <v>1</v>
      </c>
      <c r="E204" s="17" t="str">
        <f t="shared" ref="E204:E267" si="63">SUBSTITUTE(IF(B204,A204,E203),":", " -")</f>
        <v>Section 5 - Conclusion, And FREE Coupon For Next Course</v>
      </c>
      <c r="F204" s="18" t="str">
        <f t="shared" si="59"/>
        <v/>
      </c>
      <c r="G204" s="13" t="str">
        <f t="shared" si="49"/>
        <v/>
      </c>
      <c r="H204">
        <f t="shared" si="50"/>
        <v>0</v>
      </c>
      <c r="I204">
        <f t="shared" si="51"/>
        <v>0</v>
      </c>
      <c r="J204" s="13">
        <f t="shared" si="52"/>
        <v>85</v>
      </c>
      <c r="K204">
        <f t="shared" si="60"/>
        <v>1</v>
      </c>
      <c r="L204">
        <f t="shared" si="61"/>
        <v>25</v>
      </c>
      <c r="M204" s="13">
        <f t="shared" si="53"/>
        <v>1</v>
      </c>
      <c r="N204">
        <f t="shared" si="53"/>
        <v>24</v>
      </c>
      <c r="O204" s="14">
        <f t="shared" si="57"/>
        <v>84</v>
      </c>
      <c r="P204" s="13">
        <f t="shared" si="62"/>
        <v>1</v>
      </c>
      <c r="Q204">
        <f t="shared" si="54"/>
        <v>24</v>
      </c>
      <c r="R204" s="14">
        <f t="shared" si="55"/>
        <v>84</v>
      </c>
      <c r="S204" s="15"/>
      <c r="W204" s="14"/>
    </row>
    <row r="205" spans="1:23" hidden="1" x14ac:dyDescent="0.25">
      <c r="A205" s="16"/>
      <c r="B205" s="17" t="b">
        <f t="shared" si="48"/>
        <v>0</v>
      </c>
      <c r="C205" s="17" t="b">
        <f t="shared" si="56"/>
        <v>0</v>
      </c>
      <c r="D205" s="17">
        <f t="shared" si="58"/>
        <v>1</v>
      </c>
      <c r="E205" s="17" t="str">
        <f t="shared" si="63"/>
        <v>Section 5 - Conclusion, And FREE Coupon For Next Course</v>
      </c>
      <c r="F205" s="18" t="str">
        <f t="shared" si="59"/>
        <v/>
      </c>
      <c r="G205" s="13" t="str">
        <f t="shared" si="49"/>
        <v/>
      </c>
      <c r="H205">
        <f t="shared" si="50"/>
        <v>0</v>
      </c>
      <c r="I205">
        <f t="shared" si="51"/>
        <v>0</v>
      </c>
      <c r="J205" s="13">
        <f t="shared" si="52"/>
        <v>85</v>
      </c>
      <c r="K205">
        <f t="shared" si="60"/>
        <v>1</v>
      </c>
      <c r="L205">
        <f t="shared" si="61"/>
        <v>25</v>
      </c>
      <c r="M205" s="13">
        <f t="shared" si="53"/>
        <v>1</v>
      </c>
      <c r="N205">
        <f t="shared" si="53"/>
        <v>24</v>
      </c>
      <c r="O205" s="14">
        <f t="shared" si="57"/>
        <v>84</v>
      </c>
      <c r="P205" s="13">
        <f t="shared" si="62"/>
        <v>1</v>
      </c>
      <c r="Q205">
        <f t="shared" si="54"/>
        <v>24</v>
      </c>
      <c r="R205" s="14">
        <f t="shared" si="55"/>
        <v>84</v>
      </c>
      <c r="S205" s="15"/>
      <c r="W205" s="14"/>
    </row>
    <row r="206" spans="1:23" hidden="1" x14ac:dyDescent="0.25">
      <c r="A206" s="16"/>
      <c r="B206" s="17" t="b">
        <f t="shared" si="48"/>
        <v>0</v>
      </c>
      <c r="C206" s="17" t="b">
        <f t="shared" si="56"/>
        <v>0</v>
      </c>
      <c r="D206" s="17">
        <f t="shared" si="58"/>
        <v>1</v>
      </c>
      <c r="E206" s="17" t="str">
        <f t="shared" si="63"/>
        <v>Section 5 - Conclusion, And FREE Coupon For Next Course</v>
      </c>
      <c r="F206" s="18" t="str">
        <f t="shared" si="59"/>
        <v/>
      </c>
      <c r="G206" s="13" t="str">
        <f t="shared" si="49"/>
        <v/>
      </c>
      <c r="H206">
        <f t="shared" si="50"/>
        <v>0</v>
      </c>
      <c r="I206">
        <f t="shared" si="51"/>
        <v>0</v>
      </c>
      <c r="J206" s="13">
        <f t="shared" si="52"/>
        <v>85</v>
      </c>
      <c r="K206">
        <f t="shared" si="60"/>
        <v>1</v>
      </c>
      <c r="L206">
        <f t="shared" si="61"/>
        <v>25</v>
      </c>
      <c r="M206" s="13">
        <f t="shared" si="53"/>
        <v>1</v>
      </c>
      <c r="N206">
        <f t="shared" si="53"/>
        <v>24</v>
      </c>
      <c r="O206" s="14">
        <f t="shared" si="57"/>
        <v>84</v>
      </c>
      <c r="P206" s="13">
        <f t="shared" si="62"/>
        <v>1</v>
      </c>
      <c r="Q206">
        <f t="shared" si="54"/>
        <v>24</v>
      </c>
      <c r="R206" s="14">
        <f t="shared" si="55"/>
        <v>84</v>
      </c>
      <c r="S206" s="15"/>
      <c r="W206" s="14"/>
    </row>
    <row r="207" spans="1:23" hidden="1" x14ac:dyDescent="0.25">
      <c r="A207" s="16"/>
      <c r="B207" s="17" t="b">
        <f t="shared" si="48"/>
        <v>0</v>
      </c>
      <c r="C207" s="17" t="b">
        <f t="shared" si="56"/>
        <v>0</v>
      </c>
      <c r="D207" s="17">
        <f t="shared" si="58"/>
        <v>1</v>
      </c>
      <c r="E207" s="17" t="str">
        <f t="shared" si="63"/>
        <v>Section 5 - Conclusion, And FREE Coupon For Next Course</v>
      </c>
      <c r="F207" s="18" t="str">
        <f t="shared" si="59"/>
        <v/>
      </c>
      <c r="G207" s="13" t="str">
        <f t="shared" si="49"/>
        <v/>
      </c>
      <c r="H207">
        <f t="shared" si="50"/>
        <v>0</v>
      </c>
      <c r="I207">
        <f t="shared" si="51"/>
        <v>0</v>
      </c>
      <c r="J207" s="13">
        <f t="shared" si="52"/>
        <v>85</v>
      </c>
      <c r="K207">
        <f t="shared" si="60"/>
        <v>1</v>
      </c>
      <c r="L207">
        <f t="shared" si="61"/>
        <v>25</v>
      </c>
      <c r="M207" s="13">
        <f t="shared" si="53"/>
        <v>1</v>
      </c>
      <c r="N207">
        <f t="shared" si="53"/>
        <v>24</v>
      </c>
      <c r="O207" s="14">
        <f t="shared" si="57"/>
        <v>84</v>
      </c>
      <c r="P207" s="13">
        <f t="shared" si="62"/>
        <v>1</v>
      </c>
      <c r="Q207">
        <f t="shared" si="54"/>
        <v>24</v>
      </c>
      <c r="R207" s="14">
        <f t="shared" si="55"/>
        <v>84</v>
      </c>
      <c r="S207" s="15"/>
      <c r="W207" s="14"/>
    </row>
    <row r="208" spans="1:23" hidden="1" x14ac:dyDescent="0.25">
      <c r="A208" s="16"/>
      <c r="B208" s="17" t="b">
        <f t="shared" si="48"/>
        <v>0</v>
      </c>
      <c r="C208" s="17" t="b">
        <f t="shared" si="56"/>
        <v>0</v>
      </c>
      <c r="D208" s="17">
        <f t="shared" si="58"/>
        <v>1</v>
      </c>
      <c r="E208" s="17" t="str">
        <f t="shared" si="63"/>
        <v>Section 5 - Conclusion, And FREE Coupon For Next Course</v>
      </c>
      <c r="F208" s="18" t="str">
        <f t="shared" si="59"/>
        <v/>
      </c>
      <c r="G208" s="13" t="str">
        <f t="shared" si="49"/>
        <v/>
      </c>
      <c r="H208">
        <f t="shared" si="50"/>
        <v>0</v>
      </c>
      <c r="I208">
        <f t="shared" si="51"/>
        <v>0</v>
      </c>
      <c r="J208" s="13">
        <f t="shared" si="52"/>
        <v>85</v>
      </c>
      <c r="K208">
        <f t="shared" si="60"/>
        <v>1</v>
      </c>
      <c r="L208">
        <f t="shared" si="61"/>
        <v>25</v>
      </c>
      <c r="M208" s="13">
        <f t="shared" si="53"/>
        <v>1</v>
      </c>
      <c r="N208">
        <f t="shared" si="53"/>
        <v>24</v>
      </c>
      <c r="O208" s="14">
        <f t="shared" si="57"/>
        <v>84</v>
      </c>
      <c r="P208" s="13">
        <f t="shared" si="62"/>
        <v>1</v>
      </c>
      <c r="Q208">
        <f t="shared" si="54"/>
        <v>24</v>
      </c>
      <c r="R208" s="14">
        <f t="shared" si="55"/>
        <v>84</v>
      </c>
      <c r="S208" s="15"/>
      <c r="W208" s="14"/>
    </row>
    <row r="209" spans="1:23" hidden="1" x14ac:dyDescent="0.25">
      <c r="A209" s="16"/>
      <c r="B209" s="17" t="b">
        <f t="shared" si="48"/>
        <v>0</v>
      </c>
      <c r="C209" s="17" t="b">
        <f t="shared" si="56"/>
        <v>0</v>
      </c>
      <c r="D209" s="17">
        <f t="shared" si="58"/>
        <v>1</v>
      </c>
      <c r="E209" s="17" t="str">
        <f t="shared" si="63"/>
        <v>Section 5 - Conclusion, And FREE Coupon For Next Course</v>
      </c>
      <c r="F209" s="18" t="str">
        <f t="shared" si="59"/>
        <v/>
      </c>
      <c r="G209" s="13" t="str">
        <f t="shared" si="49"/>
        <v/>
      </c>
      <c r="H209">
        <f t="shared" si="50"/>
        <v>0</v>
      </c>
      <c r="I209">
        <f t="shared" si="51"/>
        <v>0</v>
      </c>
      <c r="J209" s="13">
        <f t="shared" si="52"/>
        <v>85</v>
      </c>
      <c r="K209">
        <f t="shared" si="60"/>
        <v>1</v>
      </c>
      <c r="L209">
        <f t="shared" si="61"/>
        <v>25</v>
      </c>
      <c r="M209" s="13">
        <f t="shared" si="53"/>
        <v>1</v>
      </c>
      <c r="N209">
        <f t="shared" si="53"/>
        <v>24</v>
      </c>
      <c r="O209" s="14">
        <f t="shared" si="57"/>
        <v>84</v>
      </c>
      <c r="P209" s="13">
        <f t="shared" si="62"/>
        <v>1</v>
      </c>
      <c r="Q209">
        <f t="shared" si="54"/>
        <v>24</v>
      </c>
      <c r="R209" s="14">
        <f t="shared" si="55"/>
        <v>84</v>
      </c>
      <c r="S209" s="15"/>
      <c r="W209" s="14"/>
    </row>
    <row r="210" spans="1:23" hidden="1" x14ac:dyDescent="0.25">
      <c r="A210" s="16"/>
      <c r="B210" s="17" t="b">
        <f t="shared" ref="B210:B273" si="64">AND(NOT(ISERROR(FIND("Section ",A210))),NOT(ISERROR(FIND("Section ",A210))))</f>
        <v>0</v>
      </c>
      <c r="C210" s="17" t="b">
        <f t="shared" si="56"/>
        <v>0</v>
      </c>
      <c r="D210" s="17">
        <f t="shared" si="58"/>
        <v>1</v>
      </c>
      <c r="E210" s="17" t="str">
        <f t="shared" si="63"/>
        <v>Section 5 - Conclusion, And FREE Coupon For Next Course</v>
      </c>
      <c r="F210" s="18" t="str">
        <f t="shared" si="59"/>
        <v/>
      </c>
      <c r="G210" s="13" t="str">
        <f t="shared" si="49"/>
        <v/>
      </c>
      <c r="H210">
        <f t="shared" si="50"/>
        <v>0</v>
      </c>
      <c r="I210">
        <f t="shared" si="51"/>
        <v>0</v>
      </c>
      <c r="J210" s="13">
        <f t="shared" si="52"/>
        <v>85</v>
      </c>
      <c r="K210">
        <f t="shared" si="60"/>
        <v>1</v>
      </c>
      <c r="L210">
        <f t="shared" si="61"/>
        <v>25</v>
      </c>
      <c r="M210" s="13">
        <f t="shared" si="53"/>
        <v>1</v>
      </c>
      <c r="N210">
        <f t="shared" si="53"/>
        <v>24</v>
      </c>
      <c r="O210" s="14">
        <f t="shared" si="57"/>
        <v>84</v>
      </c>
      <c r="P210" s="13">
        <f t="shared" si="62"/>
        <v>1</v>
      </c>
      <c r="Q210">
        <f t="shared" si="54"/>
        <v>24</v>
      </c>
      <c r="R210" s="14">
        <f t="shared" si="55"/>
        <v>84</v>
      </c>
      <c r="S210" s="15"/>
      <c r="W210" s="14"/>
    </row>
    <row r="211" spans="1:23" hidden="1" x14ac:dyDescent="0.25">
      <c r="A211" s="16"/>
      <c r="B211" s="17" t="b">
        <f t="shared" si="64"/>
        <v>0</v>
      </c>
      <c r="C211" s="17" t="b">
        <f t="shared" si="56"/>
        <v>0</v>
      </c>
      <c r="D211" s="17">
        <f t="shared" si="58"/>
        <v>1</v>
      </c>
      <c r="E211" s="17" t="str">
        <f t="shared" si="63"/>
        <v>Section 5 - Conclusion, And FREE Coupon For Next Course</v>
      </c>
      <c r="F211" s="18" t="str">
        <f t="shared" si="59"/>
        <v/>
      </c>
      <c r="G211" s="13" t="str">
        <f t="shared" si="49"/>
        <v/>
      </c>
      <c r="H211">
        <f t="shared" si="50"/>
        <v>0</v>
      </c>
      <c r="I211">
        <f t="shared" si="51"/>
        <v>0</v>
      </c>
      <c r="J211" s="13">
        <f t="shared" si="52"/>
        <v>85</v>
      </c>
      <c r="K211">
        <f t="shared" si="60"/>
        <v>1</v>
      </c>
      <c r="L211">
        <f t="shared" si="61"/>
        <v>25</v>
      </c>
      <c r="M211" s="13">
        <f t="shared" si="53"/>
        <v>1</v>
      </c>
      <c r="N211">
        <f t="shared" si="53"/>
        <v>24</v>
      </c>
      <c r="O211" s="14">
        <f t="shared" si="57"/>
        <v>84</v>
      </c>
      <c r="P211" s="13">
        <f t="shared" si="62"/>
        <v>1</v>
      </c>
      <c r="Q211">
        <f t="shared" si="54"/>
        <v>24</v>
      </c>
      <c r="R211" s="14">
        <f t="shared" si="55"/>
        <v>84</v>
      </c>
      <c r="S211" s="15"/>
      <c r="W211" s="14"/>
    </row>
    <row r="212" spans="1:23" hidden="1" x14ac:dyDescent="0.25">
      <c r="A212" s="16"/>
      <c r="B212" s="17" t="b">
        <f t="shared" si="64"/>
        <v>0</v>
      </c>
      <c r="C212" s="17" t="b">
        <f t="shared" si="56"/>
        <v>0</v>
      </c>
      <c r="D212" s="17">
        <f t="shared" si="58"/>
        <v>1</v>
      </c>
      <c r="E212" s="17" t="str">
        <f t="shared" si="63"/>
        <v>Section 5 - Conclusion, And FREE Coupon For Next Course</v>
      </c>
      <c r="F212" s="18" t="str">
        <f t="shared" si="59"/>
        <v/>
      </c>
      <c r="G212" s="13" t="str">
        <f t="shared" si="49"/>
        <v/>
      </c>
      <c r="H212">
        <f t="shared" si="50"/>
        <v>0</v>
      </c>
      <c r="I212">
        <f t="shared" si="51"/>
        <v>0</v>
      </c>
      <c r="J212" s="13">
        <f t="shared" si="52"/>
        <v>85</v>
      </c>
      <c r="K212">
        <f t="shared" si="60"/>
        <v>1</v>
      </c>
      <c r="L212">
        <f t="shared" si="61"/>
        <v>25</v>
      </c>
      <c r="M212" s="13">
        <f t="shared" si="53"/>
        <v>1</v>
      </c>
      <c r="N212">
        <f t="shared" si="53"/>
        <v>24</v>
      </c>
      <c r="O212" s="14">
        <f t="shared" si="57"/>
        <v>84</v>
      </c>
      <c r="P212" s="13">
        <f t="shared" si="62"/>
        <v>1</v>
      </c>
      <c r="Q212">
        <f t="shared" si="54"/>
        <v>24</v>
      </c>
      <c r="R212" s="14">
        <f t="shared" si="55"/>
        <v>84</v>
      </c>
      <c r="S212" s="15"/>
      <c r="W212" s="14"/>
    </row>
    <row r="213" spans="1:23" hidden="1" x14ac:dyDescent="0.25">
      <c r="A213" s="16"/>
      <c r="B213" s="17" t="b">
        <f t="shared" si="64"/>
        <v>0</v>
      </c>
      <c r="C213" s="17" t="b">
        <f t="shared" si="56"/>
        <v>0</v>
      </c>
      <c r="D213" s="17">
        <f t="shared" si="58"/>
        <v>1</v>
      </c>
      <c r="E213" s="17" t="str">
        <f t="shared" si="63"/>
        <v>Section 5 - Conclusion, And FREE Coupon For Next Course</v>
      </c>
      <c r="F213" s="18" t="str">
        <f t="shared" si="59"/>
        <v/>
      </c>
      <c r="G213" s="13" t="str">
        <f t="shared" ref="G213:G276" si="65">IF(C213,A214,"")</f>
        <v/>
      </c>
      <c r="H213">
        <f t="shared" ref="H213:H276" si="66">VALUE(IF(NOT(ISERROR(FIND("hr",G213))),LEFT(G213,FIND("hr",G213)-1),0))</f>
        <v>0</v>
      </c>
      <c r="I213">
        <f t="shared" ref="I213:I276" si="67">VALUE(IF(ISERROR(FIND("min",G213)),0,SUBSTITUTE(MID(G213,IF(ISERROR(FIND("hr ",G213)),1,FIND("hr ",G213)+3),LEN(G213)),"min","")))</f>
        <v>0</v>
      </c>
      <c r="J213" s="13">
        <f t="shared" ref="J213:J276" si="68">J212+(H213*60+I213)</f>
        <v>85</v>
      </c>
      <c r="K213">
        <f t="shared" si="60"/>
        <v>1</v>
      </c>
      <c r="L213">
        <f t="shared" si="61"/>
        <v>25</v>
      </c>
      <c r="M213" s="13">
        <f t="shared" ref="M213:N276" si="69">P212</f>
        <v>1</v>
      </c>
      <c r="N213">
        <f t="shared" si="69"/>
        <v>24</v>
      </c>
      <c r="O213" s="14">
        <f t="shared" si="57"/>
        <v>84</v>
      </c>
      <c r="P213" s="13">
        <f t="shared" si="62"/>
        <v>1</v>
      </c>
      <c r="Q213">
        <f t="shared" ref="Q213:Q276" si="70">R213-(P213*60)</f>
        <v>24</v>
      </c>
      <c r="R213" s="14">
        <f t="shared" ref="R213:R276" si="71">((H213*60)+I213)+O213</f>
        <v>84</v>
      </c>
      <c r="S213" s="15"/>
      <c r="W213" s="14"/>
    </row>
    <row r="214" spans="1:23" hidden="1" x14ac:dyDescent="0.25">
      <c r="A214" s="16"/>
      <c r="B214" s="17" t="b">
        <f t="shared" si="64"/>
        <v>0</v>
      </c>
      <c r="C214" s="17" t="b">
        <f t="shared" si="56"/>
        <v>0</v>
      </c>
      <c r="D214" s="17">
        <f t="shared" si="58"/>
        <v>1</v>
      </c>
      <c r="E214" s="17" t="str">
        <f t="shared" si="63"/>
        <v>Section 5 - Conclusion, And FREE Coupon For Next Course</v>
      </c>
      <c r="F214" s="18" t="str">
        <f t="shared" si="59"/>
        <v/>
      </c>
      <c r="G214" s="13" t="str">
        <f t="shared" si="65"/>
        <v/>
      </c>
      <c r="H214">
        <f t="shared" si="66"/>
        <v>0</v>
      </c>
      <c r="I214">
        <f t="shared" si="67"/>
        <v>0</v>
      </c>
      <c r="J214" s="13">
        <f t="shared" si="68"/>
        <v>85</v>
      </c>
      <c r="K214">
        <f t="shared" si="60"/>
        <v>1</v>
      </c>
      <c r="L214">
        <f t="shared" si="61"/>
        <v>25</v>
      </c>
      <c r="M214" s="13">
        <f t="shared" si="69"/>
        <v>1</v>
      </c>
      <c r="N214">
        <f t="shared" si="69"/>
        <v>24</v>
      </c>
      <c r="O214" s="14">
        <f t="shared" si="57"/>
        <v>84</v>
      </c>
      <c r="P214" s="13">
        <f t="shared" si="62"/>
        <v>1</v>
      </c>
      <c r="Q214">
        <f t="shared" si="70"/>
        <v>24</v>
      </c>
      <c r="R214" s="14">
        <f t="shared" si="71"/>
        <v>84</v>
      </c>
      <c r="S214" s="15"/>
      <c r="W214" s="14"/>
    </row>
    <row r="215" spans="1:23" hidden="1" x14ac:dyDescent="0.25">
      <c r="A215" s="16"/>
      <c r="B215" s="17" t="b">
        <f t="shared" si="64"/>
        <v>0</v>
      </c>
      <c r="C215" s="17" t="b">
        <f t="shared" si="56"/>
        <v>0</v>
      </c>
      <c r="D215" s="17">
        <f t="shared" si="58"/>
        <v>1</v>
      </c>
      <c r="E215" s="17" t="str">
        <f t="shared" si="63"/>
        <v>Section 5 - Conclusion, And FREE Coupon For Next Course</v>
      </c>
      <c r="F215" s="18" t="str">
        <f t="shared" si="59"/>
        <v/>
      </c>
      <c r="G215" s="13" t="str">
        <f t="shared" si="65"/>
        <v/>
      </c>
      <c r="H215">
        <f t="shared" si="66"/>
        <v>0</v>
      </c>
      <c r="I215">
        <f t="shared" si="67"/>
        <v>0</v>
      </c>
      <c r="J215" s="13">
        <f t="shared" si="68"/>
        <v>85</v>
      </c>
      <c r="K215">
        <f t="shared" si="60"/>
        <v>1</v>
      </c>
      <c r="L215">
        <f t="shared" si="61"/>
        <v>25</v>
      </c>
      <c r="M215" s="13">
        <f t="shared" si="69"/>
        <v>1</v>
      </c>
      <c r="N215">
        <f t="shared" si="69"/>
        <v>24</v>
      </c>
      <c r="O215" s="14">
        <f t="shared" si="57"/>
        <v>84</v>
      </c>
      <c r="P215" s="13">
        <f t="shared" si="62"/>
        <v>1</v>
      </c>
      <c r="Q215">
        <f t="shared" si="70"/>
        <v>24</v>
      </c>
      <c r="R215" s="14">
        <f t="shared" si="71"/>
        <v>84</v>
      </c>
      <c r="S215" s="15"/>
      <c r="W215" s="14"/>
    </row>
    <row r="216" spans="1:23" hidden="1" x14ac:dyDescent="0.25">
      <c r="A216" s="16"/>
      <c r="B216" s="17" t="b">
        <f t="shared" si="64"/>
        <v>0</v>
      </c>
      <c r="C216" s="17" t="b">
        <f t="shared" si="56"/>
        <v>0</v>
      </c>
      <c r="D216" s="17">
        <f t="shared" si="58"/>
        <v>1</v>
      </c>
      <c r="E216" s="17" t="str">
        <f t="shared" si="63"/>
        <v>Section 5 - Conclusion, And FREE Coupon For Next Course</v>
      </c>
      <c r="F216" s="18" t="str">
        <f t="shared" si="59"/>
        <v/>
      </c>
      <c r="G216" s="13" t="str">
        <f t="shared" si="65"/>
        <v/>
      </c>
      <c r="H216">
        <f t="shared" si="66"/>
        <v>0</v>
      </c>
      <c r="I216">
        <f t="shared" si="67"/>
        <v>0</v>
      </c>
      <c r="J216" s="13">
        <f t="shared" si="68"/>
        <v>85</v>
      </c>
      <c r="K216">
        <f t="shared" si="60"/>
        <v>1</v>
      </c>
      <c r="L216">
        <f t="shared" si="61"/>
        <v>25</v>
      </c>
      <c r="M216" s="13">
        <f t="shared" si="69"/>
        <v>1</v>
      </c>
      <c r="N216">
        <f t="shared" si="69"/>
        <v>24</v>
      </c>
      <c r="O216" s="14">
        <f t="shared" si="57"/>
        <v>84</v>
      </c>
      <c r="P216" s="13">
        <f t="shared" si="62"/>
        <v>1</v>
      </c>
      <c r="Q216">
        <f t="shared" si="70"/>
        <v>24</v>
      </c>
      <c r="R216" s="14">
        <f t="shared" si="71"/>
        <v>84</v>
      </c>
      <c r="S216" s="15"/>
      <c r="W216" s="14"/>
    </row>
    <row r="217" spans="1:23" hidden="1" x14ac:dyDescent="0.25">
      <c r="A217" s="16"/>
      <c r="B217" s="17" t="b">
        <f t="shared" si="64"/>
        <v>0</v>
      </c>
      <c r="C217" s="17" t="b">
        <f t="shared" si="56"/>
        <v>0</v>
      </c>
      <c r="D217" s="17">
        <f t="shared" si="58"/>
        <v>1</v>
      </c>
      <c r="E217" s="17" t="str">
        <f t="shared" si="63"/>
        <v>Section 5 - Conclusion, And FREE Coupon For Next Course</v>
      </c>
      <c r="F217" s="18" t="str">
        <f t="shared" si="59"/>
        <v/>
      </c>
      <c r="G217" s="13" t="str">
        <f t="shared" si="65"/>
        <v/>
      </c>
      <c r="H217">
        <f t="shared" si="66"/>
        <v>0</v>
      </c>
      <c r="I217">
        <f t="shared" si="67"/>
        <v>0</v>
      </c>
      <c r="J217" s="13">
        <f t="shared" si="68"/>
        <v>85</v>
      </c>
      <c r="K217">
        <f t="shared" si="60"/>
        <v>1</v>
      </c>
      <c r="L217">
        <f t="shared" si="61"/>
        <v>25</v>
      </c>
      <c r="M217" s="13">
        <f t="shared" si="69"/>
        <v>1</v>
      </c>
      <c r="N217">
        <f t="shared" si="69"/>
        <v>24</v>
      </c>
      <c r="O217" s="14">
        <f t="shared" si="57"/>
        <v>84</v>
      </c>
      <c r="P217" s="13">
        <f t="shared" si="62"/>
        <v>1</v>
      </c>
      <c r="Q217">
        <f t="shared" si="70"/>
        <v>24</v>
      </c>
      <c r="R217" s="14">
        <f t="shared" si="71"/>
        <v>84</v>
      </c>
      <c r="S217" s="15"/>
      <c r="W217" s="14"/>
    </row>
    <row r="218" spans="1:23" hidden="1" x14ac:dyDescent="0.25">
      <c r="A218" s="16"/>
      <c r="B218" s="17" t="b">
        <f t="shared" si="64"/>
        <v>0</v>
      </c>
      <c r="C218" s="17" t="b">
        <f t="shared" si="56"/>
        <v>0</v>
      </c>
      <c r="D218" s="17">
        <f t="shared" si="58"/>
        <v>1</v>
      </c>
      <c r="E218" s="17" t="str">
        <f t="shared" si="63"/>
        <v>Section 5 - Conclusion, And FREE Coupon For Next Course</v>
      </c>
      <c r="F218" s="18" t="str">
        <f t="shared" si="59"/>
        <v/>
      </c>
      <c r="G218" s="13" t="str">
        <f t="shared" si="65"/>
        <v/>
      </c>
      <c r="H218">
        <f t="shared" si="66"/>
        <v>0</v>
      </c>
      <c r="I218">
        <f t="shared" si="67"/>
        <v>0</v>
      </c>
      <c r="J218" s="13">
        <f t="shared" si="68"/>
        <v>85</v>
      </c>
      <c r="K218">
        <f t="shared" si="60"/>
        <v>1</v>
      </c>
      <c r="L218">
        <f t="shared" si="61"/>
        <v>25</v>
      </c>
      <c r="M218" s="13">
        <f t="shared" si="69"/>
        <v>1</v>
      </c>
      <c r="N218">
        <f t="shared" si="69"/>
        <v>24</v>
      </c>
      <c r="O218" s="14">
        <f t="shared" si="57"/>
        <v>84</v>
      </c>
      <c r="P218" s="13">
        <f t="shared" si="62"/>
        <v>1</v>
      </c>
      <c r="Q218">
        <f t="shared" si="70"/>
        <v>24</v>
      </c>
      <c r="R218" s="14">
        <f t="shared" si="71"/>
        <v>84</v>
      </c>
      <c r="S218" s="15"/>
      <c r="W218" s="14"/>
    </row>
    <row r="219" spans="1:23" hidden="1" x14ac:dyDescent="0.25">
      <c r="A219" s="16"/>
      <c r="B219" s="17" t="b">
        <f t="shared" si="64"/>
        <v>0</v>
      </c>
      <c r="C219" s="17" t="b">
        <f t="shared" si="56"/>
        <v>0</v>
      </c>
      <c r="D219" s="17">
        <f t="shared" si="58"/>
        <v>1</v>
      </c>
      <c r="E219" s="17" t="str">
        <f t="shared" si="63"/>
        <v>Section 5 - Conclusion, And FREE Coupon For Next Course</v>
      </c>
      <c r="F219" s="18" t="str">
        <f t="shared" si="59"/>
        <v/>
      </c>
      <c r="G219" s="13" t="str">
        <f t="shared" si="65"/>
        <v/>
      </c>
      <c r="H219">
        <f t="shared" si="66"/>
        <v>0</v>
      </c>
      <c r="I219">
        <f t="shared" si="67"/>
        <v>0</v>
      </c>
      <c r="J219" s="13">
        <f t="shared" si="68"/>
        <v>85</v>
      </c>
      <c r="K219">
        <f t="shared" si="60"/>
        <v>1</v>
      </c>
      <c r="L219">
        <f t="shared" si="61"/>
        <v>25</v>
      </c>
      <c r="M219" s="13">
        <f t="shared" si="69"/>
        <v>1</v>
      </c>
      <c r="N219">
        <f t="shared" si="69"/>
        <v>24</v>
      </c>
      <c r="O219" s="14">
        <f t="shared" si="57"/>
        <v>84</v>
      </c>
      <c r="P219" s="13">
        <f t="shared" si="62"/>
        <v>1</v>
      </c>
      <c r="Q219">
        <f t="shared" si="70"/>
        <v>24</v>
      </c>
      <c r="R219" s="14">
        <f t="shared" si="71"/>
        <v>84</v>
      </c>
      <c r="S219" s="15"/>
      <c r="W219" s="14"/>
    </row>
    <row r="220" spans="1:23" hidden="1" x14ac:dyDescent="0.25">
      <c r="A220" s="16"/>
      <c r="B220" s="17" t="b">
        <f t="shared" si="64"/>
        <v>0</v>
      </c>
      <c r="C220" s="17" t="b">
        <f t="shared" si="56"/>
        <v>0</v>
      </c>
      <c r="D220" s="17">
        <f t="shared" si="58"/>
        <v>1</v>
      </c>
      <c r="E220" s="17" t="str">
        <f t="shared" si="63"/>
        <v>Section 5 - Conclusion, And FREE Coupon For Next Course</v>
      </c>
      <c r="F220" s="18" t="str">
        <f t="shared" si="59"/>
        <v/>
      </c>
      <c r="G220" s="13" t="str">
        <f t="shared" si="65"/>
        <v/>
      </c>
      <c r="H220">
        <f t="shared" si="66"/>
        <v>0</v>
      </c>
      <c r="I220">
        <f t="shared" si="67"/>
        <v>0</v>
      </c>
      <c r="J220" s="13">
        <f t="shared" si="68"/>
        <v>85</v>
      </c>
      <c r="K220">
        <f t="shared" si="60"/>
        <v>1</v>
      </c>
      <c r="L220">
        <f t="shared" si="61"/>
        <v>25</v>
      </c>
      <c r="M220" s="13">
        <f t="shared" si="69"/>
        <v>1</v>
      </c>
      <c r="N220">
        <f t="shared" si="69"/>
        <v>24</v>
      </c>
      <c r="O220" s="14">
        <f t="shared" si="57"/>
        <v>84</v>
      </c>
      <c r="P220" s="13">
        <f t="shared" si="62"/>
        <v>1</v>
      </c>
      <c r="Q220">
        <f t="shared" si="70"/>
        <v>24</v>
      </c>
      <c r="R220" s="14">
        <f t="shared" si="71"/>
        <v>84</v>
      </c>
      <c r="S220" s="15"/>
      <c r="W220" s="14"/>
    </row>
    <row r="221" spans="1:23" hidden="1" x14ac:dyDescent="0.25">
      <c r="A221" s="16"/>
      <c r="B221" s="17" t="b">
        <f t="shared" si="64"/>
        <v>0</v>
      </c>
      <c r="C221" s="17" t="b">
        <f t="shared" si="56"/>
        <v>0</v>
      </c>
      <c r="D221" s="17">
        <f t="shared" si="58"/>
        <v>1</v>
      </c>
      <c r="E221" s="17" t="str">
        <f t="shared" si="63"/>
        <v>Section 5 - Conclusion, And FREE Coupon For Next Course</v>
      </c>
      <c r="F221" s="18" t="str">
        <f t="shared" si="59"/>
        <v/>
      </c>
      <c r="G221" s="13" t="str">
        <f t="shared" si="65"/>
        <v/>
      </c>
      <c r="H221">
        <f t="shared" si="66"/>
        <v>0</v>
      </c>
      <c r="I221">
        <f t="shared" si="67"/>
        <v>0</v>
      </c>
      <c r="J221" s="13">
        <f t="shared" si="68"/>
        <v>85</v>
      </c>
      <c r="K221">
        <f t="shared" si="60"/>
        <v>1</v>
      </c>
      <c r="L221">
        <f t="shared" si="61"/>
        <v>25</v>
      </c>
      <c r="M221" s="13">
        <f t="shared" si="69"/>
        <v>1</v>
      </c>
      <c r="N221">
        <f t="shared" si="69"/>
        <v>24</v>
      </c>
      <c r="O221" s="14">
        <f t="shared" si="57"/>
        <v>84</v>
      </c>
      <c r="P221" s="13">
        <f t="shared" si="62"/>
        <v>1</v>
      </c>
      <c r="Q221">
        <f t="shared" si="70"/>
        <v>24</v>
      </c>
      <c r="R221" s="14">
        <f t="shared" si="71"/>
        <v>84</v>
      </c>
      <c r="S221" s="15"/>
      <c r="W221" s="14"/>
    </row>
    <row r="222" spans="1:23" hidden="1" x14ac:dyDescent="0.25">
      <c r="A222" s="16"/>
      <c r="B222" s="17" t="b">
        <f t="shared" si="64"/>
        <v>0</v>
      </c>
      <c r="C222" s="17" t="b">
        <f t="shared" si="56"/>
        <v>0</v>
      </c>
      <c r="D222" s="17">
        <f t="shared" si="58"/>
        <v>1</v>
      </c>
      <c r="E222" s="17" t="str">
        <f t="shared" si="63"/>
        <v>Section 5 - Conclusion, And FREE Coupon For Next Course</v>
      </c>
      <c r="F222" s="18" t="str">
        <f t="shared" si="59"/>
        <v/>
      </c>
      <c r="G222" s="13" t="str">
        <f t="shared" si="65"/>
        <v/>
      </c>
      <c r="H222">
        <f t="shared" si="66"/>
        <v>0</v>
      </c>
      <c r="I222">
        <f t="shared" si="67"/>
        <v>0</v>
      </c>
      <c r="J222" s="13">
        <f t="shared" si="68"/>
        <v>85</v>
      </c>
      <c r="K222">
        <f t="shared" si="60"/>
        <v>1</v>
      </c>
      <c r="L222">
        <f t="shared" si="61"/>
        <v>25</v>
      </c>
      <c r="M222" s="13">
        <f t="shared" si="69"/>
        <v>1</v>
      </c>
      <c r="N222">
        <f t="shared" si="69"/>
        <v>24</v>
      </c>
      <c r="O222" s="14">
        <f t="shared" si="57"/>
        <v>84</v>
      </c>
      <c r="P222" s="13">
        <f t="shared" si="62"/>
        <v>1</v>
      </c>
      <c r="Q222">
        <f t="shared" si="70"/>
        <v>24</v>
      </c>
      <c r="R222" s="14">
        <f t="shared" si="71"/>
        <v>84</v>
      </c>
      <c r="S222" s="15"/>
      <c r="W222" s="14"/>
    </row>
    <row r="223" spans="1:23" hidden="1" x14ac:dyDescent="0.25">
      <c r="A223" s="16"/>
      <c r="B223" s="17" t="b">
        <f t="shared" si="64"/>
        <v>0</v>
      </c>
      <c r="C223" s="17" t="b">
        <f t="shared" si="56"/>
        <v>0</v>
      </c>
      <c r="D223" s="17">
        <f t="shared" si="58"/>
        <v>1</v>
      </c>
      <c r="E223" s="17" t="str">
        <f t="shared" si="63"/>
        <v>Section 5 - Conclusion, And FREE Coupon For Next Course</v>
      </c>
      <c r="F223" s="18" t="str">
        <f t="shared" si="59"/>
        <v/>
      </c>
      <c r="G223" s="13" t="str">
        <f t="shared" si="65"/>
        <v/>
      </c>
      <c r="H223">
        <f t="shared" si="66"/>
        <v>0</v>
      </c>
      <c r="I223">
        <f t="shared" si="67"/>
        <v>0</v>
      </c>
      <c r="J223" s="13">
        <f t="shared" si="68"/>
        <v>85</v>
      </c>
      <c r="K223">
        <f t="shared" si="60"/>
        <v>1</v>
      </c>
      <c r="L223">
        <f t="shared" si="61"/>
        <v>25</v>
      </c>
      <c r="M223" s="13">
        <f t="shared" si="69"/>
        <v>1</v>
      </c>
      <c r="N223">
        <f t="shared" si="69"/>
        <v>24</v>
      </c>
      <c r="O223" s="14">
        <f t="shared" si="57"/>
        <v>84</v>
      </c>
      <c r="P223" s="13">
        <f t="shared" si="62"/>
        <v>1</v>
      </c>
      <c r="Q223">
        <f t="shared" si="70"/>
        <v>24</v>
      </c>
      <c r="R223" s="14">
        <f t="shared" si="71"/>
        <v>84</v>
      </c>
      <c r="S223" s="15"/>
      <c r="W223" s="14"/>
    </row>
    <row r="224" spans="1:23" hidden="1" x14ac:dyDescent="0.25">
      <c r="A224" s="16"/>
      <c r="B224" s="17" t="b">
        <f t="shared" si="64"/>
        <v>0</v>
      </c>
      <c r="C224" s="17" t="b">
        <f t="shared" si="56"/>
        <v>0</v>
      </c>
      <c r="D224" s="17">
        <f t="shared" si="58"/>
        <v>1</v>
      </c>
      <c r="E224" s="17" t="str">
        <f t="shared" si="63"/>
        <v>Section 5 - Conclusion, And FREE Coupon For Next Course</v>
      </c>
      <c r="F224" s="18" t="str">
        <f t="shared" si="59"/>
        <v/>
      </c>
      <c r="G224" s="13" t="str">
        <f t="shared" si="65"/>
        <v/>
      </c>
      <c r="H224">
        <f t="shared" si="66"/>
        <v>0</v>
      </c>
      <c r="I224">
        <f t="shared" si="67"/>
        <v>0</v>
      </c>
      <c r="J224" s="13">
        <f t="shared" si="68"/>
        <v>85</v>
      </c>
      <c r="K224">
        <f t="shared" si="60"/>
        <v>1</v>
      </c>
      <c r="L224">
        <f t="shared" si="61"/>
        <v>25</v>
      </c>
      <c r="M224" s="13">
        <f t="shared" si="69"/>
        <v>1</v>
      </c>
      <c r="N224">
        <f t="shared" si="69"/>
        <v>24</v>
      </c>
      <c r="O224" s="14">
        <f t="shared" si="57"/>
        <v>84</v>
      </c>
      <c r="P224" s="13">
        <f t="shared" si="62"/>
        <v>1</v>
      </c>
      <c r="Q224">
        <f t="shared" si="70"/>
        <v>24</v>
      </c>
      <c r="R224" s="14">
        <f t="shared" si="71"/>
        <v>84</v>
      </c>
      <c r="S224" s="15"/>
      <c r="W224" s="14"/>
    </row>
    <row r="225" spans="1:23" hidden="1" x14ac:dyDescent="0.25">
      <c r="A225" s="16"/>
      <c r="B225" s="17" t="b">
        <f t="shared" si="64"/>
        <v>0</v>
      </c>
      <c r="C225" s="17" t="b">
        <f t="shared" si="56"/>
        <v>0</v>
      </c>
      <c r="D225" s="17">
        <f t="shared" si="58"/>
        <v>1</v>
      </c>
      <c r="E225" s="17" t="str">
        <f t="shared" si="63"/>
        <v>Section 5 - Conclusion, And FREE Coupon For Next Course</v>
      </c>
      <c r="F225" s="18" t="str">
        <f t="shared" si="59"/>
        <v/>
      </c>
      <c r="G225" s="13" t="str">
        <f t="shared" si="65"/>
        <v/>
      </c>
      <c r="H225">
        <f t="shared" si="66"/>
        <v>0</v>
      </c>
      <c r="I225">
        <f t="shared" si="67"/>
        <v>0</v>
      </c>
      <c r="J225" s="13">
        <f t="shared" si="68"/>
        <v>85</v>
      </c>
      <c r="K225">
        <f t="shared" si="60"/>
        <v>1</v>
      </c>
      <c r="L225">
        <f t="shared" si="61"/>
        <v>25</v>
      </c>
      <c r="M225" s="13">
        <f t="shared" si="69"/>
        <v>1</v>
      </c>
      <c r="N225">
        <f t="shared" si="69"/>
        <v>24</v>
      </c>
      <c r="O225" s="14">
        <f t="shared" si="57"/>
        <v>84</v>
      </c>
      <c r="P225" s="13">
        <f t="shared" si="62"/>
        <v>1</v>
      </c>
      <c r="Q225">
        <f t="shared" si="70"/>
        <v>24</v>
      </c>
      <c r="R225" s="14">
        <f t="shared" si="71"/>
        <v>84</v>
      </c>
      <c r="S225" s="15"/>
      <c r="W225" s="14"/>
    </row>
    <row r="226" spans="1:23" hidden="1" x14ac:dyDescent="0.25">
      <c r="A226" s="16"/>
      <c r="B226" s="17" t="b">
        <f t="shared" si="64"/>
        <v>0</v>
      </c>
      <c r="C226" s="17" t="b">
        <f t="shared" si="56"/>
        <v>0</v>
      </c>
      <c r="D226" s="17">
        <f t="shared" si="58"/>
        <v>1</v>
      </c>
      <c r="E226" s="17" t="str">
        <f t="shared" si="63"/>
        <v>Section 5 - Conclusion, And FREE Coupon For Next Course</v>
      </c>
      <c r="F226" s="18" t="str">
        <f t="shared" si="59"/>
        <v/>
      </c>
      <c r="G226" s="13" t="str">
        <f t="shared" si="65"/>
        <v/>
      </c>
      <c r="H226">
        <f t="shared" si="66"/>
        <v>0</v>
      </c>
      <c r="I226">
        <f t="shared" si="67"/>
        <v>0</v>
      </c>
      <c r="J226" s="13">
        <f t="shared" si="68"/>
        <v>85</v>
      </c>
      <c r="K226">
        <f t="shared" si="60"/>
        <v>1</v>
      </c>
      <c r="L226">
        <f t="shared" si="61"/>
        <v>25</v>
      </c>
      <c r="M226" s="13">
        <f t="shared" si="69"/>
        <v>1</v>
      </c>
      <c r="N226">
        <f t="shared" si="69"/>
        <v>24</v>
      </c>
      <c r="O226" s="14">
        <f t="shared" si="57"/>
        <v>84</v>
      </c>
      <c r="P226" s="13">
        <f t="shared" si="62"/>
        <v>1</v>
      </c>
      <c r="Q226">
        <f t="shared" si="70"/>
        <v>24</v>
      </c>
      <c r="R226" s="14">
        <f t="shared" si="71"/>
        <v>84</v>
      </c>
      <c r="S226" s="15"/>
      <c r="W226" s="14"/>
    </row>
    <row r="227" spans="1:23" hidden="1" x14ac:dyDescent="0.25">
      <c r="A227" s="16"/>
      <c r="B227" s="17" t="b">
        <f t="shared" si="64"/>
        <v>0</v>
      </c>
      <c r="C227" s="17" t="b">
        <f t="shared" si="56"/>
        <v>0</v>
      </c>
      <c r="D227" s="17">
        <f t="shared" si="58"/>
        <v>1</v>
      </c>
      <c r="E227" s="17" t="str">
        <f t="shared" si="63"/>
        <v>Section 5 - Conclusion, And FREE Coupon For Next Course</v>
      </c>
      <c r="F227" s="18" t="str">
        <f t="shared" si="59"/>
        <v/>
      </c>
      <c r="G227" s="13" t="str">
        <f t="shared" si="65"/>
        <v/>
      </c>
      <c r="H227">
        <f t="shared" si="66"/>
        <v>0</v>
      </c>
      <c r="I227">
        <f t="shared" si="67"/>
        <v>0</v>
      </c>
      <c r="J227" s="13">
        <f t="shared" si="68"/>
        <v>85</v>
      </c>
      <c r="K227">
        <f t="shared" si="60"/>
        <v>1</v>
      </c>
      <c r="L227">
        <f t="shared" si="61"/>
        <v>25</v>
      </c>
      <c r="M227" s="13">
        <f t="shared" si="69"/>
        <v>1</v>
      </c>
      <c r="N227">
        <f t="shared" si="69"/>
        <v>24</v>
      </c>
      <c r="O227" s="14">
        <f t="shared" si="57"/>
        <v>84</v>
      </c>
      <c r="P227" s="13">
        <f t="shared" si="62"/>
        <v>1</v>
      </c>
      <c r="Q227">
        <f t="shared" si="70"/>
        <v>24</v>
      </c>
      <c r="R227" s="14">
        <f t="shared" si="71"/>
        <v>84</v>
      </c>
      <c r="S227" s="15"/>
      <c r="W227" s="14"/>
    </row>
    <row r="228" spans="1:23" hidden="1" x14ac:dyDescent="0.25">
      <c r="A228" s="16"/>
      <c r="B228" s="17" t="b">
        <f t="shared" si="64"/>
        <v>0</v>
      </c>
      <c r="C228" s="17" t="b">
        <f t="shared" si="56"/>
        <v>0</v>
      </c>
      <c r="D228" s="17">
        <f t="shared" si="58"/>
        <v>1</v>
      </c>
      <c r="E228" s="17" t="str">
        <f t="shared" si="63"/>
        <v>Section 5 - Conclusion, And FREE Coupon For Next Course</v>
      </c>
      <c r="F228" s="18" t="str">
        <f t="shared" si="59"/>
        <v/>
      </c>
      <c r="G228" s="13" t="str">
        <f t="shared" si="65"/>
        <v/>
      </c>
      <c r="H228">
        <f t="shared" si="66"/>
        <v>0</v>
      </c>
      <c r="I228">
        <f t="shared" si="67"/>
        <v>0</v>
      </c>
      <c r="J228" s="13">
        <f t="shared" si="68"/>
        <v>85</v>
      </c>
      <c r="K228">
        <f t="shared" si="60"/>
        <v>1</v>
      </c>
      <c r="L228">
        <f t="shared" si="61"/>
        <v>25</v>
      </c>
      <c r="M228" s="13">
        <f t="shared" si="69"/>
        <v>1</v>
      </c>
      <c r="N228">
        <f t="shared" si="69"/>
        <v>24</v>
      </c>
      <c r="O228" s="14">
        <f t="shared" si="57"/>
        <v>84</v>
      </c>
      <c r="P228" s="13">
        <f t="shared" si="62"/>
        <v>1</v>
      </c>
      <c r="Q228">
        <f t="shared" si="70"/>
        <v>24</v>
      </c>
      <c r="R228" s="14">
        <f t="shared" si="71"/>
        <v>84</v>
      </c>
      <c r="S228" s="15"/>
      <c r="W228" s="14"/>
    </row>
    <row r="229" spans="1:23" hidden="1" x14ac:dyDescent="0.25">
      <c r="A229" s="16"/>
      <c r="B229" s="17" t="b">
        <f t="shared" si="64"/>
        <v>0</v>
      </c>
      <c r="C229" s="17" t="b">
        <f t="shared" si="56"/>
        <v>0</v>
      </c>
      <c r="D229" s="17">
        <f t="shared" si="58"/>
        <v>1</v>
      </c>
      <c r="E229" s="17" t="str">
        <f t="shared" si="63"/>
        <v>Section 5 - Conclusion, And FREE Coupon For Next Course</v>
      </c>
      <c r="F229" s="18" t="str">
        <f t="shared" si="59"/>
        <v/>
      </c>
      <c r="G229" s="13" t="str">
        <f t="shared" si="65"/>
        <v/>
      </c>
      <c r="H229">
        <f t="shared" si="66"/>
        <v>0</v>
      </c>
      <c r="I229">
        <f t="shared" si="67"/>
        <v>0</v>
      </c>
      <c r="J229" s="13">
        <f t="shared" si="68"/>
        <v>85</v>
      </c>
      <c r="K229">
        <f t="shared" si="60"/>
        <v>1</v>
      </c>
      <c r="L229">
        <f t="shared" si="61"/>
        <v>25</v>
      </c>
      <c r="M229" s="13">
        <f t="shared" si="69"/>
        <v>1</v>
      </c>
      <c r="N229">
        <f t="shared" si="69"/>
        <v>24</v>
      </c>
      <c r="O229" s="14">
        <f t="shared" si="57"/>
        <v>84</v>
      </c>
      <c r="P229" s="13">
        <f t="shared" si="62"/>
        <v>1</v>
      </c>
      <c r="Q229">
        <f t="shared" si="70"/>
        <v>24</v>
      </c>
      <c r="R229" s="14">
        <f t="shared" si="71"/>
        <v>84</v>
      </c>
      <c r="S229" s="15"/>
      <c r="W229" s="14"/>
    </row>
    <row r="230" spans="1:23" hidden="1" x14ac:dyDescent="0.25">
      <c r="A230" s="16"/>
      <c r="B230" s="17" t="b">
        <f t="shared" si="64"/>
        <v>0</v>
      </c>
      <c r="C230" s="17" t="b">
        <f t="shared" si="56"/>
        <v>0</v>
      </c>
      <c r="D230" s="17">
        <f t="shared" si="58"/>
        <v>1</v>
      </c>
      <c r="E230" s="17" t="str">
        <f t="shared" si="63"/>
        <v>Section 5 - Conclusion, And FREE Coupon For Next Course</v>
      </c>
      <c r="F230" s="18" t="str">
        <f t="shared" si="59"/>
        <v/>
      </c>
      <c r="G230" s="13" t="str">
        <f t="shared" si="65"/>
        <v/>
      </c>
      <c r="H230">
        <f t="shared" si="66"/>
        <v>0</v>
      </c>
      <c r="I230">
        <f t="shared" si="67"/>
        <v>0</v>
      </c>
      <c r="J230" s="13">
        <f t="shared" si="68"/>
        <v>85</v>
      </c>
      <c r="K230">
        <f t="shared" si="60"/>
        <v>1</v>
      </c>
      <c r="L230">
        <f t="shared" si="61"/>
        <v>25</v>
      </c>
      <c r="M230" s="13">
        <f t="shared" si="69"/>
        <v>1</v>
      </c>
      <c r="N230">
        <f t="shared" si="69"/>
        <v>24</v>
      </c>
      <c r="O230" s="14">
        <f t="shared" si="57"/>
        <v>84</v>
      </c>
      <c r="P230" s="13">
        <f t="shared" si="62"/>
        <v>1</v>
      </c>
      <c r="Q230">
        <f t="shared" si="70"/>
        <v>24</v>
      </c>
      <c r="R230" s="14">
        <f t="shared" si="71"/>
        <v>84</v>
      </c>
      <c r="S230" s="15"/>
      <c r="W230" s="14"/>
    </row>
    <row r="231" spans="1:23" hidden="1" x14ac:dyDescent="0.25">
      <c r="A231" s="16"/>
      <c r="B231" s="17" t="b">
        <f t="shared" si="64"/>
        <v>0</v>
      </c>
      <c r="C231" s="17" t="b">
        <f t="shared" si="56"/>
        <v>0</v>
      </c>
      <c r="D231" s="17">
        <f t="shared" si="58"/>
        <v>1</v>
      </c>
      <c r="E231" s="17" t="str">
        <f t="shared" si="63"/>
        <v>Section 5 - Conclusion, And FREE Coupon For Next Course</v>
      </c>
      <c r="F231" s="18" t="str">
        <f t="shared" si="59"/>
        <v/>
      </c>
      <c r="G231" s="13" t="str">
        <f t="shared" si="65"/>
        <v/>
      </c>
      <c r="H231">
        <f t="shared" si="66"/>
        <v>0</v>
      </c>
      <c r="I231">
        <f t="shared" si="67"/>
        <v>0</v>
      </c>
      <c r="J231" s="13">
        <f t="shared" si="68"/>
        <v>85</v>
      </c>
      <c r="K231">
        <f t="shared" si="60"/>
        <v>1</v>
      </c>
      <c r="L231">
        <f t="shared" si="61"/>
        <v>25</v>
      </c>
      <c r="M231" s="13">
        <f t="shared" si="69"/>
        <v>1</v>
      </c>
      <c r="N231">
        <f t="shared" si="69"/>
        <v>24</v>
      </c>
      <c r="O231" s="14">
        <f t="shared" si="57"/>
        <v>84</v>
      </c>
      <c r="P231" s="13">
        <f t="shared" si="62"/>
        <v>1</v>
      </c>
      <c r="Q231">
        <f t="shared" si="70"/>
        <v>24</v>
      </c>
      <c r="R231" s="14">
        <f t="shared" si="71"/>
        <v>84</v>
      </c>
      <c r="S231" s="15"/>
      <c r="W231" s="14"/>
    </row>
    <row r="232" spans="1:23" hidden="1" x14ac:dyDescent="0.25">
      <c r="A232" s="16"/>
      <c r="B232" s="17" t="b">
        <f t="shared" si="64"/>
        <v>0</v>
      </c>
      <c r="C232" s="17" t="b">
        <f t="shared" si="56"/>
        <v>0</v>
      </c>
      <c r="D232" s="17">
        <f t="shared" si="58"/>
        <v>1</v>
      </c>
      <c r="E232" s="17" t="str">
        <f t="shared" si="63"/>
        <v>Section 5 - Conclusion, And FREE Coupon For Next Course</v>
      </c>
      <c r="F232" s="18" t="str">
        <f t="shared" si="59"/>
        <v/>
      </c>
      <c r="G232" s="13" t="str">
        <f t="shared" si="65"/>
        <v/>
      </c>
      <c r="H232">
        <f t="shared" si="66"/>
        <v>0</v>
      </c>
      <c r="I232">
        <f t="shared" si="67"/>
        <v>0</v>
      </c>
      <c r="J232" s="13">
        <f t="shared" si="68"/>
        <v>85</v>
      </c>
      <c r="K232">
        <f t="shared" si="60"/>
        <v>1</v>
      </c>
      <c r="L232">
        <f t="shared" si="61"/>
        <v>25</v>
      </c>
      <c r="M232" s="13">
        <f t="shared" si="69"/>
        <v>1</v>
      </c>
      <c r="N232">
        <f t="shared" si="69"/>
        <v>24</v>
      </c>
      <c r="O232" s="14">
        <f t="shared" si="57"/>
        <v>84</v>
      </c>
      <c r="P232" s="13">
        <f t="shared" si="62"/>
        <v>1</v>
      </c>
      <c r="Q232">
        <f t="shared" si="70"/>
        <v>24</v>
      </c>
      <c r="R232" s="14">
        <f t="shared" si="71"/>
        <v>84</v>
      </c>
      <c r="S232" s="15"/>
      <c r="W232" s="14"/>
    </row>
    <row r="233" spans="1:23" hidden="1" x14ac:dyDescent="0.25">
      <c r="A233" s="16"/>
      <c r="B233" s="17" t="b">
        <f t="shared" si="64"/>
        <v>0</v>
      </c>
      <c r="C233" s="17" t="b">
        <f t="shared" si="56"/>
        <v>0</v>
      </c>
      <c r="D233" s="17">
        <f t="shared" si="58"/>
        <v>1</v>
      </c>
      <c r="E233" s="17" t="str">
        <f t="shared" si="63"/>
        <v>Section 5 - Conclusion, And FREE Coupon For Next Course</v>
      </c>
      <c r="F233" s="18" t="str">
        <f t="shared" si="59"/>
        <v/>
      </c>
      <c r="G233" s="13" t="str">
        <f t="shared" si="65"/>
        <v/>
      </c>
      <c r="H233">
        <f t="shared" si="66"/>
        <v>0</v>
      </c>
      <c r="I233">
        <f t="shared" si="67"/>
        <v>0</v>
      </c>
      <c r="J233" s="13">
        <f t="shared" si="68"/>
        <v>85</v>
      </c>
      <c r="K233">
        <f t="shared" si="60"/>
        <v>1</v>
      </c>
      <c r="L233">
        <f t="shared" si="61"/>
        <v>25</v>
      </c>
      <c r="M233" s="13">
        <f t="shared" si="69"/>
        <v>1</v>
      </c>
      <c r="N233">
        <f t="shared" si="69"/>
        <v>24</v>
      </c>
      <c r="O233" s="14">
        <f t="shared" si="57"/>
        <v>84</v>
      </c>
      <c r="P233" s="13">
        <f t="shared" si="62"/>
        <v>1</v>
      </c>
      <c r="Q233">
        <f t="shared" si="70"/>
        <v>24</v>
      </c>
      <c r="R233" s="14">
        <f t="shared" si="71"/>
        <v>84</v>
      </c>
      <c r="S233" s="15"/>
      <c r="W233" s="14"/>
    </row>
    <row r="234" spans="1:23" hidden="1" x14ac:dyDescent="0.25">
      <c r="A234" s="16"/>
      <c r="B234" s="17" t="b">
        <f t="shared" si="64"/>
        <v>0</v>
      </c>
      <c r="C234" s="17" t="b">
        <f t="shared" si="56"/>
        <v>0</v>
      </c>
      <c r="D234" s="17">
        <f t="shared" si="58"/>
        <v>1</v>
      </c>
      <c r="E234" s="17" t="str">
        <f t="shared" si="63"/>
        <v>Section 5 - Conclusion, And FREE Coupon For Next Course</v>
      </c>
      <c r="F234" s="18" t="str">
        <f t="shared" si="59"/>
        <v/>
      </c>
      <c r="G234" s="13" t="str">
        <f t="shared" si="65"/>
        <v/>
      </c>
      <c r="H234">
        <f t="shared" si="66"/>
        <v>0</v>
      </c>
      <c r="I234">
        <f t="shared" si="67"/>
        <v>0</v>
      </c>
      <c r="J234" s="13">
        <f t="shared" si="68"/>
        <v>85</v>
      </c>
      <c r="K234">
        <f t="shared" si="60"/>
        <v>1</v>
      </c>
      <c r="L234">
        <f t="shared" si="61"/>
        <v>25</v>
      </c>
      <c r="M234" s="13">
        <f t="shared" si="69"/>
        <v>1</v>
      </c>
      <c r="N234">
        <f t="shared" si="69"/>
        <v>24</v>
      </c>
      <c r="O234" s="14">
        <f t="shared" si="57"/>
        <v>84</v>
      </c>
      <c r="P234" s="13">
        <f t="shared" si="62"/>
        <v>1</v>
      </c>
      <c r="Q234">
        <f t="shared" si="70"/>
        <v>24</v>
      </c>
      <c r="R234" s="14">
        <f t="shared" si="71"/>
        <v>84</v>
      </c>
      <c r="S234" s="15"/>
      <c r="W234" s="14"/>
    </row>
    <row r="235" spans="1:23" hidden="1" x14ac:dyDescent="0.25">
      <c r="A235" s="16"/>
      <c r="B235" s="17" t="b">
        <f t="shared" si="64"/>
        <v>0</v>
      </c>
      <c r="C235" s="17" t="b">
        <f t="shared" si="56"/>
        <v>0</v>
      </c>
      <c r="D235" s="17">
        <f t="shared" si="58"/>
        <v>1</v>
      </c>
      <c r="E235" s="17" t="str">
        <f t="shared" si="63"/>
        <v>Section 5 - Conclusion, And FREE Coupon For Next Course</v>
      </c>
      <c r="F235" s="18" t="str">
        <f t="shared" si="59"/>
        <v/>
      </c>
      <c r="G235" s="13" t="str">
        <f t="shared" si="65"/>
        <v/>
      </c>
      <c r="H235">
        <f t="shared" si="66"/>
        <v>0</v>
      </c>
      <c r="I235">
        <f t="shared" si="67"/>
        <v>0</v>
      </c>
      <c r="J235" s="13">
        <f t="shared" si="68"/>
        <v>85</v>
      </c>
      <c r="K235">
        <f t="shared" si="60"/>
        <v>1</v>
      </c>
      <c r="L235">
        <f t="shared" si="61"/>
        <v>25</v>
      </c>
      <c r="M235" s="13">
        <f t="shared" si="69"/>
        <v>1</v>
      </c>
      <c r="N235">
        <f t="shared" si="69"/>
        <v>24</v>
      </c>
      <c r="O235" s="14">
        <f t="shared" si="57"/>
        <v>84</v>
      </c>
      <c r="P235" s="13">
        <f t="shared" si="62"/>
        <v>1</v>
      </c>
      <c r="Q235">
        <f t="shared" si="70"/>
        <v>24</v>
      </c>
      <c r="R235" s="14">
        <f t="shared" si="71"/>
        <v>84</v>
      </c>
      <c r="S235" s="15"/>
      <c r="W235" s="14"/>
    </row>
    <row r="236" spans="1:23" hidden="1" x14ac:dyDescent="0.25">
      <c r="A236" s="16"/>
      <c r="B236" s="17" t="b">
        <f t="shared" si="64"/>
        <v>0</v>
      </c>
      <c r="C236" s="17" t="b">
        <f t="shared" si="56"/>
        <v>0</v>
      </c>
      <c r="D236" s="17">
        <f t="shared" si="58"/>
        <v>1</v>
      </c>
      <c r="E236" s="17" t="str">
        <f t="shared" si="63"/>
        <v>Section 5 - Conclusion, And FREE Coupon For Next Course</v>
      </c>
      <c r="F236" s="18" t="str">
        <f t="shared" si="59"/>
        <v/>
      </c>
      <c r="G236" s="13" t="str">
        <f t="shared" si="65"/>
        <v/>
      </c>
      <c r="H236">
        <f t="shared" si="66"/>
        <v>0</v>
      </c>
      <c r="I236">
        <f t="shared" si="67"/>
        <v>0</v>
      </c>
      <c r="J236" s="13">
        <f t="shared" si="68"/>
        <v>85</v>
      </c>
      <c r="K236">
        <f t="shared" si="60"/>
        <v>1</v>
      </c>
      <c r="L236">
        <f t="shared" si="61"/>
        <v>25</v>
      </c>
      <c r="M236" s="13">
        <f t="shared" si="69"/>
        <v>1</v>
      </c>
      <c r="N236">
        <f t="shared" si="69"/>
        <v>24</v>
      </c>
      <c r="O236" s="14">
        <f t="shared" si="57"/>
        <v>84</v>
      </c>
      <c r="P236" s="13">
        <f t="shared" si="62"/>
        <v>1</v>
      </c>
      <c r="Q236">
        <f t="shared" si="70"/>
        <v>24</v>
      </c>
      <c r="R236" s="14">
        <f t="shared" si="71"/>
        <v>84</v>
      </c>
      <c r="S236" s="15"/>
      <c r="W236" s="14"/>
    </row>
    <row r="237" spans="1:23" hidden="1" x14ac:dyDescent="0.25">
      <c r="A237" s="16"/>
      <c r="B237" s="17" t="b">
        <f t="shared" si="64"/>
        <v>0</v>
      </c>
      <c r="C237" s="17" t="b">
        <f t="shared" si="56"/>
        <v>0</v>
      </c>
      <c r="D237" s="17">
        <f t="shared" si="58"/>
        <v>1</v>
      </c>
      <c r="E237" s="17" t="str">
        <f t="shared" si="63"/>
        <v>Section 5 - Conclusion, And FREE Coupon For Next Course</v>
      </c>
      <c r="F237" s="18" t="str">
        <f t="shared" si="59"/>
        <v/>
      </c>
      <c r="G237" s="13" t="str">
        <f t="shared" si="65"/>
        <v/>
      </c>
      <c r="H237">
        <f t="shared" si="66"/>
        <v>0</v>
      </c>
      <c r="I237">
        <f t="shared" si="67"/>
        <v>0</v>
      </c>
      <c r="J237" s="13">
        <f t="shared" si="68"/>
        <v>85</v>
      </c>
      <c r="K237">
        <f t="shared" si="60"/>
        <v>1</v>
      </c>
      <c r="L237">
        <f t="shared" si="61"/>
        <v>25</v>
      </c>
      <c r="M237" s="13">
        <f t="shared" si="69"/>
        <v>1</v>
      </c>
      <c r="N237">
        <f t="shared" si="69"/>
        <v>24</v>
      </c>
      <c r="O237" s="14">
        <f t="shared" si="57"/>
        <v>84</v>
      </c>
      <c r="P237" s="13">
        <f t="shared" si="62"/>
        <v>1</v>
      </c>
      <c r="Q237">
        <f t="shared" si="70"/>
        <v>24</v>
      </c>
      <c r="R237" s="14">
        <f t="shared" si="71"/>
        <v>84</v>
      </c>
      <c r="S237" s="15"/>
      <c r="W237" s="14"/>
    </row>
    <row r="238" spans="1:23" hidden="1" x14ac:dyDescent="0.25">
      <c r="A238" s="16"/>
      <c r="B238" s="17" t="b">
        <f t="shared" si="64"/>
        <v>0</v>
      </c>
      <c r="C238" s="17" t="b">
        <f t="shared" si="56"/>
        <v>0</v>
      </c>
      <c r="D238" s="17">
        <f t="shared" si="58"/>
        <v>1</v>
      </c>
      <c r="E238" s="17" t="str">
        <f t="shared" si="63"/>
        <v>Section 5 - Conclusion, And FREE Coupon For Next Course</v>
      </c>
      <c r="F238" s="18" t="str">
        <f t="shared" si="59"/>
        <v/>
      </c>
      <c r="G238" s="13" t="str">
        <f t="shared" si="65"/>
        <v/>
      </c>
      <c r="H238">
        <f t="shared" si="66"/>
        <v>0</v>
      </c>
      <c r="I238">
        <f t="shared" si="67"/>
        <v>0</v>
      </c>
      <c r="J238" s="13">
        <f t="shared" si="68"/>
        <v>85</v>
      </c>
      <c r="K238">
        <f t="shared" si="60"/>
        <v>1</v>
      </c>
      <c r="L238">
        <f t="shared" si="61"/>
        <v>25</v>
      </c>
      <c r="M238" s="13">
        <f t="shared" si="69"/>
        <v>1</v>
      </c>
      <c r="N238">
        <f t="shared" si="69"/>
        <v>24</v>
      </c>
      <c r="O238" s="14">
        <f t="shared" si="57"/>
        <v>84</v>
      </c>
      <c r="P238" s="13">
        <f t="shared" si="62"/>
        <v>1</v>
      </c>
      <c r="Q238">
        <f t="shared" si="70"/>
        <v>24</v>
      </c>
      <c r="R238" s="14">
        <f t="shared" si="71"/>
        <v>84</v>
      </c>
      <c r="S238" s="15"/>
      <c r="W238" s="14"/>
    </row>
    <row r="239" spans="1:23" hidden="1" x14ac:dyDescent="0.25">
      <c r="A239" s="16"/>
      <c r="B239" s="17" t="b">
        <f t="shared" si="64"/>
        <v>0</v>
      </c>
      <c r="C239" s="17" t="b">
        <f t="shared" si="56"/>
        <v>0</v>
      </c>
      <c r="D239" s="17">
        <f t="shared" si="58"/>
        <v>1</v>
      </c>
      <c r="E239" s="17" t="str">
        <f t="shared" si="63"/>
        <v>Section 5 - Conclusion, And FREE Coupon For Next Course</v>
      </c>
      <c r="F239" s="18" t="str">
        <f t="shared" si="59"/>
        <v/>
      </c>
      <c r="G239" s="13" t="str">
        <f t="shared" si="65"/>
        <v/>
      </c>
      <c r="H239">
        <f t="shared" si="66"/>
        <v>0</v>
      </c>
      <c r="I239">
        <f t="shared" si="67"/>
        <v>0</v>
      </c>
      <c r="J239" s="13">
        <f t="shared" si="68"/>
        <v>85</v>
      </c>
      <c r="K239">
        <f t="shared" si="60"/>
        <v>1</v>
      </c>
      <c r="L239">
        <f t="shared" si="61"/>
        <v>25</v>
      </c>
      <c r="M239" s="13">
        <f t="shared" si="69"/>
        <v>1</v>
      </c>
      <c r="N239">
        <f t="shared" si="69"/>
        <v>24</v>
      </c>
      <c r="O239" s="14">
        <f t="shared" si="57"/>
        <v>84</v>
      </c>
      <c r="P239" s="13">
        <f t="shared" si="62"/>
        <v>1</v>
      </c>
      <c r="Q239">
        <f t="shared" si="70"/>
        <v>24</v>
      </c>
      <c r="R239" s="14">
        <f t="shared" si="71"/>
        <v>84</v>
      </c>
      <c r="S239" s="15"/>
      <c r="W239" s="14"/>
    </row>
    <row r="240" spans="1:23" hidden="1" x14ac:dyDescent="0.25">
      <c r="A240" s="16"/>
      <c r="B240" s="17" t="b">
        <f t="shared" si="64"/>
        <v>0</v>
      </c>
      <c r="C240" s="17" t="b">
        <f t="shared" si="56"/>
        <v>0</v>
      </c>
      <c r="D240" s="17">
        <f t="shared" si="58"/>
        <v>1</v>
      </c>
      <c r="E240" s="17" t="str">
        <f t="shared" si="63"/>
        <v>Section 5 - Conclusion, And FREE Coupon For Next Course</v>
      </c>
      <c r="F240" s="18" t="str">
        <f t="shared" si="59"/>
        <v/>
      </c>
      <c r="G240" s="13" t="str">
        <f t="shared" si="65"/>
        <v/>
      </c>
      <c r="H240">
        <f t="shared" si="66"/>
        <v>0</v>
      </c>
      <c r="I240">
        <f t="shared" si="67"/>
        <v>0</v>
      </c>
      <c r="J240" s="13">
        <f t="shared" si="68"/>
        <v>85</v>
      </c>
      <c r="K240">
        <f t="shared" si="60"/>
        <v>1</v>
      </c>
      <c r="L240">
        <f t="shared" si="61"/>
        <v>25</v>
      </c>
      <c r="M240" s="13">
        <f t="shared" si="69"/>
        <v>1</v>
      </c>
      <c r="N240">
        <f t="shared" si="69"/>
        <v>24</v>
      </c>
      <c r="O240" s="14">
        <f t="shared" si="57"/>
        <v>84</v>
      </c>
      <c r="P240" s="13">
        <f t="shared" si="62"/>
        <v>1</v>
      </c>
      <c r="Q240">
        <f t="shared" si="70"/>
        <v>24</v>
      </c>
      <c r="R240" s="14">
        <f t="shared" si="71"/>
        <v>84</v>
      </c>
      <c r="S240" s="15"/>
      <c r="W240" s="14"/>
    </row>
    <row r="241" spans="1:23" hidden="1" x14ac:dyDescent="0.25">
      <c r="A241" s="16"/>
      <c r="B241" s="17" t="b">
        <f t="shared" si="64"/>
        <v>0</v>
      </c>
      <c r="C241" s="17" t="b">
        <f t="shared" si="56"/>
        <v>0</v>
      </c>
      <c r="D241" s="17">
        <f t="shared" si="58"/>
        <v>1</v>
      </c>
      <c r="E241" s="17" t="str">
        <f t="shared" si="63"/>
        <v>Section 5 - Conclusion, And FREE Coupon For Next Course</v>
      </c>
      <c r="F241" s="18" t="str">
        <f t="shared" si="59"/>
        <v/>
      </c>
      <c r="G241" s="13" t="str">
        <f t="shared" si="65"/>
        <v/>
      </c>
      <c r="H241">
        <f t="shared" si="66"/>
        <v>0</v>
      </c>
      <c r="I241">
        <f t="shared" si="67"/>
        <v>0</v>
      </c>
      <c r="J241" s="13">
        <f t="shared" si="68"/>
        <v>85</v>
      </c>
      <c r="K241">
        <f t="shared" si="60"/>
        <v>1</v>
      </c>
      <c r="L241">
        <f t="shared" si="61"/>
        <v>25</v>
      </c>
      <c r="M241" s="13">
        <f t="shared" si="69"/>
        <v>1</v>
      </c>
      <c r="N241">
        <f t="shared" si="69"/>
        <v>24</v>
      </c>
      <c r="O241" s="14">
        <f t="shared" si="57"/>
        <v>84</v>
      </c>
      <c r="P241" s="13">
        <f t="shared" si="62"/>
        <v>1</v>
      </c>
      <c r="Q241">
        <f t="shared" si="70"/>
        <v>24</v>
      </c>
      <c r="R241" s="14">
        <f t="shared" si="71"/>
        <v>84</v>
      </c>
      <c r="S241" s="15"/>
      <c r="W241" s="14"/>
    </row>
    <row r="242" spans="1:23" hidden="1" x14ac:dyDescent="0.25">
      <c r="A242" s="16"/>
      <c r="B242" s="17" t="b">
        <f t="shared" si="64"/>
        <v>0</v>
      </c>
      <c r="C242" s="17" t="b">
        <f t="shared" si="56"/>
        <v>0</v>
      </c>
      <c r="D242" s="17">
        <f t="shared" si="58"/>
        <v>1</v>
      </c>
      <c r="E242" s="17" t="str">
        <f t="shared" si="63"/>
        <v>Section 5 - Conclusion, And FREE Coupon For Next Course</v>
      </c>
      <c r="F242" s="18" t="str">
        <f t="shared" si="59"/>
        <v/>
      </c>
      <c r="G242" s="13" t="str">
        <f t="shared" si="65"/>
        <v/>
      </c>
      <c r="H242">
        <f t="shared" si="66"/>
        <v>0</v>
      </c>
      <c r="I242">
        <f t="shared" si="67"/>
        <v>0</v>
      </c>
      <c r="J242" s="13">
        <f t="shared" si="68"/>
        <v>85</v>
      </c>
      <c r="K242">
        <f t="shared" si="60"/>
        <v>1</v>
      </c>
      <c r="L242">
        <f t="shared" si="61"/>
        <v>25</v>
      </c>
      <c r="M242" s="13">
        <f t="shared" si="69"/>
        <v>1</v>
      </c>
      <c r="N242">
        <f t="shared" si="69"/>
        <v>24</v>
      </c>
      <c r="O242" s="14">
        <f t="shared" si="57"/>
        <v>84</v>
      </c>
      <c r="P242" s="13">
        <f t="shared" si="62"/>
        <v>1</v>
      </c>
      <c r="Q242">
        <f t="shared" si="70"/>
        <v>24</v>
      </c>
      <c r="R242" s="14">
        <f t="shared" si="71"/>
        <v>84</v>
      </c>
      <c r="S242" s="15"/>
      <c r="W242" s="14"/>
    </row>
    <row r="243" spans="1:23" hidden="1" x14ac:dyDescent="0.25">
      <c r="A243" s="16"/>
      <c r="B243" s="17" t="b">
        <f t="shared" si="64"/>
        <v>0</v>
      </c>
      <c r="C243" s="17" t="b">
        <f t="shared" si="56"/>
        <v>0</v>
      </c>
      <c r="D243" s="17">
        <f t="shared" si="58"/>
        <v>1</v>
      </c>
      <c r="E243" s="17" t="str">
        <f t="shared" si="63"/>
        <v>Section 5 - Conclusion, And FREE Coupon For Next Course</v>
      </c>
      <c r="F243" s="18" t="str">
        <f t="shared" si="59"/>
        <v/>
      </c>
      <c r="G243" s="13" t="str">
        <f t="shared" si="65"/>
        <v/>
      </c>
      <c r="H243">
        <f t="shared" si="66"/>
        <v>0</v>
      </c>
      <c r="I243">
        <f t="shared" si="67"/>
        <v>0</v>
      </c>
      <c r="J243" s="13">
        <f t="shared" si="68"/>
        <v>85</v>
      </c>
      <c r="K243">
        <f t="shared" si="60"/>
        <v>1</v>
      </c>
      <c r="L243">
        <f t="shared" si="61"/>
        <v>25</v>
      </c>
      <c r="M243" s="13">
        <f t="shared" si="69"/>
        <v>1</v>
      </c>
      <c r="N243">
        <f t="shared" si="69"/>
        <v>24</v>
      </c>
      <c r="O243" s="14">
        <f t="shared" si="57"/>
        <v>84</v>
      </c>
      <c r="P243" s="13">
        <f t="shared" si="62"/>
        <v>1</v>
      </c>
      <c r="Q243">
        <f t="shared" si="70"/>
        <v>24</v>
      </c>
      <c r="R243" s="14">
        <f t="shared" si="71"/>
        <v>84</v>
      </c>
      <c r="S243" s="15"/>
      <c r="W243" s="14"/>
    </row>
    <row r="244" spans="1:23" hidden="1" x14ac:dyDescent="0.25">
      <c r="A244" s="16"/>
      <c r="B244" s="17" t="b">
        <f t="shared" si="64"/>
        <v>0</v>
      </c>
      <c r="C244" s="17" t="b">
        <f t="shared" si="56"/>
        <v>0</v>
      </c>
      <c r="D244" s="17">
        <f t="shared" si="58"/>
        <v>1</v>
      </c>
      <c r="E244" s="17" t="str">
        <f t="shared" si="63"/>
        <v>Section 5 - Conclusion, And FREE Coupon For Next Course</v>
      </c>
      <c r="F244" s="18" t="str">
        <f t="shared" si="59"/>
        <v/>
      </c>
      <c r="G244" s="13" t="str">
        <f t="shared" si="65"/>
        <v/>
      </c>
      <c r="H244">
        <f t="shared" si="66"/>
        <v>0</v>
      </c>
      <c r="I244">
        <f t="shared" si="67"/>
        <v>0</v>
      </c>
      <c r="J244" s="13">
        <f t="shared" si="68"/>
        <v>85</v>
      </c>
      <c r="K244">
        <f t="shared" si="60"/>
        <v>1</v>
      </c>
      <c r="L244">
        <f t="shared" si="61"/>
        <v>25</v>
      </c>
      <c r="M244" s="13">
        <f t="shared" si="69"/>
        <v>1</v>
      </c>
      <c r="N244">
        <f t="shared" si="69"/>
        <v>24</v>
      </c>
      <c r="O244" s="14">
        <f t="shared" si="57"/>
        <v>84</v>
      </c>
      <c r="P244" s="13">
        <f t="shared" si="62"/>
        <v>1</v>
      </c>
      <c r="Q244">
        <f t="shared" si="70"/>
        <v>24</v>
      </c>
      <c r="R244" s="14">
        <f t="shared" si="71"/>
        <v>84</v>
      </c>
      <c r="S244" s="15"/>
      <c r="W244" s="14"/>
    </row>
    <row r="245" spans="1:23" hidden="1" x14ac:dyDescent="0.25">
      <c r="A245" s="16"/>
      <c r="B245" s="17" t="b">
        <f t="shared" si="64"/>
        <v>0</v>
      </c>
      <c r="C245" s="17" t="b">
        <f t="shared" si="56"/>
        <v>0</v>
      </c>
      <c r="D245" s="17">
        <f t="shared" si="58"/>
        <v>1</v>
      </c>
      <c r="E245" s="17" t="str">
        <f t="shared" si="63"/>
        <v>Section 5 - Conclusion, And FREE Coupon For Next Course</v>
      </c>
      <c r="F245" s="18" t="str">
        <f t="shared" si="59"/>
        <v/>
      </c>
      <c r="G245" s="13" t="str">
        <f t="shared" si="65"/>
        <v/>
      </c>
      <c r="H245">
        <f t="shared" si="66"/>
        <v>0</v>
      </c>
      <c r="I245">
        <f t="shared" si="67"/>
        <v>0</v>
      </c>
      <c r="J245" s="13">
        <f t="shared" si="68"/>
        <v>85</v>
      </c>
      <c r="K245">
        <f t="shared" si="60"/>
        <v>1</v>
      </c>
      <c r="L245">
        <f t="shared" si="61"/>
        <v>25</v>
      </c>
      <c r="M245" s="13">
        <f t="shared" si="69"/>
        <v>1</v>
      </c>
      <c r="N245">
        <f t="shared" si="69"/>
        <v>24</v>
      </c>
      <c r="O245" s="14">
        <f t="shared" si="57"/>
        <v>84</v>
      </c>
      <c r="P245" s="13">
        <f t="shared" si="62"/>
        <v>1</v>
      </c>
      <c r="Q245">
        <f t="shared" si="70"/>
        <v>24</v>
      </c>
      <c r="R245" s="14">
        <f t="shared" si="71"/>
        <v>84</v>
      </c>
      <c r="S245" s="15"/>
      <c r="W245" s="14"/>
    </row>
    <row r="246" spans="1:23" hidden="1" x14ac:dyDescent="0.25">
      <c r="A246" s="16"/>
      <c r="B246" s="17" t="b">
        <f t="shared" si="64"/>
        <v>0</v>
      </c>
      <c r="C246" s="17" t="b">
        <f t="shared" si="56"/>
        <v>0</v>
      </c>
      <c r="D246" s="17">
        <f t="shared" si="58"/>
        <v>1</v>
      </c>
      <c r="E246" s="17" t="str">
        <f t="shared" si="63"/>
        <v>Section 5 - Conclusion, And FREE Coupon For Next Course</v>
      </c>
      <c r="F246" s="18" t="str">
        <f t="shared" si="59"/>
        <v/>
      </c>
      <c r="G246" s="13" t="str">
        <f t="shared" si="65"/>
        <v/>
      </c>
      <c r="H246">
        <f t="shared" si="66"/>
        <v>0</v>
      </c>
      <c r="I246">
        <f t="shared" si="67"/>
        <v>0</v>
      </c>
      <c r="J246" s="13">
        <f t="shared" si="68"/>
        <v>85</v>
      </c>
      <c r="K246">
        <f t="shared" si="60"/>
        <v>1</v>
      </c>
      <c r="L246">
        <f t="shared" si="61"/>
        <v>25</v>
      </c>
      <c r="M246" s="13">
        <f t="shared" si="69"/>
        <v>1</v>
      </c>
      <c r="N246">
        <f t="shared" si="69"/>
        <v>24</v>
      </c>
      <c r="O246" s="14">
        <f t="shared" si="57"/>
        <v>84</v>
      </c>
      <c r="P246" s="13">
        <f t="shared" si="62"/>
        <v>1</v>
      </c>
      <c r="Q246">
        <f t="shared" si="70"/>
        <v>24</v>
      </c>
      <c r="R246" s="14">
        <f t="shared" si="71"/>
        <v>84</v>
      </c>
      <c r="S246" s="15"/>
      <c r="W246" s="14"/>
    </row>
    <row r="247" spans="1:23" hidden="1" x14ac:dyDescent="0.25">
      <c r="A247" s="16"/>
      <c r="B247" s="17" t="b">
        <f t="shared" si="64"/>
        <v>0</v>
      </c>
      <c r="C247" s="17" t="b">
        <f t="shared" si="56"/>
        <v>0</v>
      </c>
      <c r="D247" s="17">
        <f t="shared" si="58"/>
        <v>1</v>
      </c>
      <c r="E247" s="17" t="str">
        <f t="shared" si="63"/>
        <v>Section 5 - Conclusion, And FREE Coupon For Next Course</v>
      </c>
      <c r="F247" s="18" t="str">
        <f t="shared" si="59"/>
        <v/>
      </c>
      <c r="G247" s="13" t="str">
        <f t="shared" si="65"/>
        <v/>
      </c>
      <c r="H247">
        <f t="shared" si="66"/>
        <v>0</v>
      </c>
      <c r="I247">
        <f t="shared" si="67"/>
        <v>0</v>
      </c>
      <c r="J247" s="13">
        <f t="shared" si="68"/>
        <v>85</v>
      </c>
      <c r="K247">
        <f t="shared" si="60"/>
        <v>1</v>
      </c>
      <c r="L247">
        <f t="shared" si="61"/>
        <v>25</v>
      </c>
      <c r="M247" s="13">
        <f t="shared" si="69"/>
        <v>1</v>
      </c>
      <c r="N247">
        <f t="shared" si="69"/>
        <v>24</v>
      </c>
      <c r="O247" s="14">
        <f t="shared" si="57"/>
        <v>84</v>
      </c>
      <c r="P247" s="13">
        <f t="shared" si="62"/>
        <v>1</v>
      </c>
      <c r="Q247">
        <f t="shared" si="70"/>
        <v>24</v>
      </c>
      <c r="R247" s="14">
        <f t="shared" si="71"/>
        <v>84</v>
      </c>
      <c r="S247" s="15"/>
      <c r="W247" s="14"/>
    </row>
    <row r="248" spans="1:23" hidden="1" x14ac:dyDescent="0.25">
      <c r="A248" s="16"/>
      <c r="B248" s="17" t="b">
        <f t="shared" si="64"/>
        <v>0</v>
      </c>
      <c r="C248" s="17" t="b">
        <f t="shared" si="56"/>
        <v>0</v>
      </c>
      <c r="D248" s="17">
        <f t="shared" si="58"/>
        <v>1</v>
      </c>
      <c r="E248" s="17" t="str">
        <f t="shared" si="63"/>
        <v>Section 5 - Conclusion, And FREE Coupon For Next Course</v>
      </c>
      <c r="F248" s="18" t="str">
        <f t="shared" si="59"/>
        <v/>
      </c>
      <c r="G248" s="13" t="str">
        <f t="shared" si="65"/>
        <v/>
      </c>
      <c r="H248">
        <f t="shared" si="66"/>
        <v>0</v>
      </c>
      <c r="I248">
        <f t="shared" si="67"/>
        <v>0</v>
      </c>
      <c r="J248" s="13">
        <f t="shared" si="68"/>
        <v>85</v>
      </c>
      <c r="K248">
        <f t="shared" si="60"/>
        <v>1</v>
      </c>
      <c r="L248">
        <f t="shared" si="61"/>
        <v>25</v>
      </c>
      <c r="M248" s="13">
        <f t="shared" si="69"/>
        <v>1</v>
      </c>
      <c r="N248">
        <f t="shared" si="69"/>
        <v>24</v>
      </c>
      <c r="O248" s="14">
        <f t="shared" si="57"/>
        <v>84</v>
      </c>
      <c r="P248" s="13">
        <f t="shared" si="62"/>
        <v>1</v>
      </c>
      <c r="Q248">
        <f t="shared" si="70"/>
        <v>24</v>
      </c>
      <c r="R248" s="14">
        <f t="shared" si="71"/>
        <v>84</v>
      </c>
      <c r="S248" s="15"/>
      <c r="W248" s="14"/>
    </row>
    <row r="249" spans="1:23" hidden="1" x14ac:dyDescent="0.25">
      <c r="A249" s="16"/>
      <c r="B249" s="17" t="b">
        <f t="shared" si="64"/>
        <v>0</v>
      </c>
      <c r="C249" s="17" t="b">
        <f t="shared" si="56"/>
        <v>0</v>
      </c>
      <c r="D249" s="17">
        <f t="shared" si="58"/>
        <v>1</v>
      </c>
      <c r="E249" s="17" t="str">
        <f t="shared" si="63"/>
        <v>Section 5 - Conclusion, And FREE Coupon For Next Course</v>
      </c>
      <c r="F249" s="18" t="str">
        <f t="shared" si="59"/>
        <v/>
      </c>
      <c r="G249" s="13" t="str">
        <f t="shared" si="65"/>
        <v/>
      </c>
      <c r="H249">
        <f t="shared" si="66"/>
        <v>0</v>
      </c>
      <c r="I249">
        <f t="shared" si="67"/>
        <v>0</v>
      </c>
      <c r="J249" s="13">
        <f t="shared" si="68"/>
        <v>85</v>
      </c>
      <c r="K249">
        <f t="shared" si="60"/>
        <v>1</v>
      </c>
      <c r="L249">
        <f t="shared" si="61"/>
        <v>25</v>
      </c>
      <c r="M249" s="13">
        <f t="shared" si="69"/>
        <v>1</v>
      </c>
      <c r="N249">
        <f t="shared" si="69"/>
        <v>24</v>
      </c>
      <c r="O249" s="14">
        <f t="shared" si="57"/>
        <v>84</v>
      </c>
      <c r="P249" s="13">
        <f t="shared" si="62"/>
        <v>1</v>
      </c>
      <c r="Q249">
        <f t="shared" si="70"/>
        <v>24</v>
      </c>
      <c r="R249" s="14">
        <f t="shared" si="71"/>
        <v>84</v>
      </c>
      <c r="S249" s="15"/>
      <c r="W249" s="14"/>
    </row>
    <row r="250" spans="1:23" hidden="1" x14ac:dyDescent="0.25">
      <c r="A250" s="16"/>
      <c r="B250" s="17" t="b">
        <f t="shared" si="64"/>
        <v>0</v>
      </c>
      <c r="C250" s="17" t="b">
        <f t="shared" si="56"/>
        <v>0</v>
      </c>
      <c r="D250" s="17">
        <f t="shared" si="58"/>
        <v>1</v>
      </c>
      <c r="E250" s="17" t="str">
        <f t="shared" si="63"/>
        <v>Section 5 - Conclusion, And FREE Coupon For Next Course</v>
      </c>
      <c r="F250" s="18" t="str">
        <f t="shared" si="59"/>
        <v/>
      </c>
      <c r="G250" s="13" t="str">
        <f t="shared" si="65"/>
        <v/>
      </c>
      <c r="H250">
        <f t="shared" si="66"/>
        <v>0</v>
      </c>
      <c r="I250">
        <f t="shared" si="67"/>
        <v>0</v>
      </c>
      <c r="J250" s="13">
        <f t="shared" si="68"/>
        <v>85</v>
      </c>
      <c r="K250">
        <f t="shared" si="60"/>
        <v>1</v>
      </c>
      <c r="L250">
        <f t="shared" si="61"/>
        <v>25</v>
      </c>
      <c r="M250" s="13">
        <f t="shared" si="69"/>
        <v>1</v>
      </c>
      <c r="N250">
        <f t="shared" si="69"/>
        <v>24</v>
      </c>
      <c r="O250" s="14">
        <f t="shared" si="57"/>
        <v>84</v>
      </c>
      <c r="P250" s="13">
        <f t="shared" si="62"/>
        <v>1</v>
      </c>
      <c r="Q250">
        <f t="shared" si="70"/>
        <v>24</v>
      </c>
      <c r="R250" s="14">
        <f t="shared" si="71"/>
        <v>84</v>
      </c>
      <c r="S250" s="15"/>
      <c r="W250" s="14"/>
    </row>
    <row r="251" spans="1:23" hidden="1" x14ac:dyDescent="0.25">
      <c r="A251" s="16"/>
      <c r="B251" s="17" t="b">
        <f t="shared" si="64"/>
        <v>0</v>
      </c>
      <c r="C251" s="17" t="b">
        <f t="shared" si="56"/>
        <v>0</v>
      </c>
      <c r="D251" s="17">
        <f t="shared" si="58"/>
        <v>1</v>
      </c>
      <c r="E251" s="17" t="str">
        <f t="shared" si="63"/>
        <v>Section 5 - Conclusion, And FREE Coupon For Next Course</v>
      </c>
      <c r="F251" s="18" t="str">
        <f t="shared" si="59"/>
        <v/>
      </c>
      <c r="G251" s="13" t="str">
        <f t="shared" si="65"/>
        <v/>
      </c>
      <c r="H251">
        <f t="shared" si="66"/>
        <v>0</v>
      </c>
      <c r="I251">
        <f t="shared" si="67"/>
        <v>0</v>
      </c>
      <c r="J251" s="13">
        <f t="shared" si="68"/>
        <v>85</v>
      </c>
      <c r="K251">
        <f t="shared" si="60"/>
        <v>1</v>
      </c>
      <c r="L251">
        <f t="shared" si="61"/>
        <v>25</v>
      </c>
      <c r="M251" s="13">
        <f t="shared" si="69"/>
        <v>1</v>
      </c>
      <c r="N251">
        <f t="shared" si="69"/>
        <v>24</v>
      </c>
      <c r="O251" s="14">
        <f t="shared" si="57"/>
        <v>84</v>
      </c>
      <c r="P251" s="13">
        <f t="shared" si="62"/>
        <v>1</v>
      </c>
      <c r="Q251">
        <f t="shared" si="70"/>
        <v>24</v>
      </c>
      <c r="R251" s="14">
        <f t="shared" si="71"/>
        <v>84</v>
      </c>
      <c r="S251" s="15"/>
      <c r="W251" s="14"/>
    </row>
    <row r="252" spans="1:23" hidden="1" x14ac:dyDescent="0.25">
      <c r="A252" s="16"/>
      <c r="B252" s="17" t="b">
        <f t="shared" si="64"/>
        <v>0</v>
      </c>
      <c r="C252" s="17" t="b">
        <f t="shared" si="56"/>
        <v>0</v>
      </c>
      <c r="D252" s="17">
        <f t="shared" si="58"/>
        <v>1</v>
      </c>
      <c r="E252" s="17" t="str">
        <f t="shared" si="63"/>
        <v>Section 5 - Conclusion, And FREE Coupon For Next Course</v>
      </c>
      <c r="F252" s="18" t="str">
        <f t="shared" si="59"/>
        <v/>
      </c>
      <c r="G252" s="13" t="str">
        <f t="shared" si="65"/>
        <v/>
      </c>
      <c r="H252">
        <f t="shared" si="66"/>
        <v>0</v>
      </c>
      <c r="I252">
        <f t="shared" si="67"/>
        <v>0</v>
      </c>
      <c r="J252" s="13">
        <f t="shared" si="68"/>
        <v>85</v>
      </c>
      <c r="K252">
        <f t="shared" si="60"/>
        <v>1</v>
      </c>
      <c r="L252">
        <f t="shared" si="61"/>
        <v>25</v>
      </c>
      <c r="M252" s="13">
        <f t="shared" si="69"/>
        <v>1</v>
      </c>
      <c r="N252">
        <f t="shared" si="69"/>
        <v>24</v>
      </c>
      <c r="O252" s="14">
        <f t="shared" si="57"/>
        <v>84</v>
      </c>
      <c r="P252" s="13">
        <f t="shared" si="62"/>
        <v>1</v>
      </c>
      <c r="Q252">
        <f t="shared" si="70"/>
        <v>24</v>
      </c>
      <c r="R252" s="14">
        <f t="shared" si="71"/>
        <v>84</v>
      </c>
      <c r="S252" s="15"/>
      <c r="W252" s="14"/>
    </row>
    <row r="253" spans="1:23" hidden="1" x14ac:dyDescent="0.25">
      <c r="A253" s="16"/>
      <c r="B253" s="17" t="b">
        <f t="shared" si="64"/>
        <v>0</v>
      </c>
      <c r="C253" s="17" t="b">
        <f t="shared" si="56"/>
        <v>0</v>
      </c>
      <c r="D253" s="17">
        <f t="shared" si="58"/>
        <v>1</v>
      </c>
      <c r="E253" s="17" t="str">
        <f t="shared" si="63"/>
        <v>Section 5 - Conclusion, And FREE Coupon For Next Course</v>
      </c>
      <c r="F253" s="18" t="str">
        <f t="shared" si="59"/>
        <v/>
      </c>
      <c r="G253" s="13" t="str">
        <f t="shared" si="65"/>
        <v/>
      </c>
      <c r="H253">
        <f t="shared" si="66"/>
        <v>0</v>
      </c>
      <c r="I253">
        <f t="shared" si="67"/>
        <v>0</v>
      </c>
      <c r="J253" s="13">
        <f t="shared" si="68"/>
        <v>85</v>
      </c>
      <c r="K253">
        <f t="shared" si="60"/>
        <v>1</v>
      </c>
      <c r="L253">
        <f t="shared" si="61"/>
        <v>25</v>
      </c>
      <c r="M253" s="13">
        <f t="shared" si="69"/>
        <v>1</v>
      </c>
      <c r="N253">
        <f t="shared" si="69"/>
        <v>24</v>
      </c>
      <c r="O253" s="14">
        <f t="shared" si="57"/>
        <v>84</v>
      </c>
      <c r="P253" s="13">
        <f t="shared" si="62"/>
        <v>1</v>
      </c>
      <c r="Q253">
        <f t="shared" si="70"/>
        <v>24</v>
      </c>
      <c r="R253" s="14">
        <f t="shared" si="71"/>
        <v>84</v>
      </c>
      <c r="S253" s="15"/>
      <c r="W253" s="14"/>
    </row>
    <row r="254" spans="1:23" hidden="1" x14ac:dyDescent="0.25">
      <c r="A254" s="16"/>
      <c r="B254" s="17" t="b">
        <f t="shared" si="64"/>
        <v>0</v>
      </c>
      <c r="C254" s="17" t="b">
        <f t="shared" si="56"/>
        <v>0</v>
      </c>
      <c r="D254" s="17">
        <f t="shared" si="58"/>
        <v>1</v>
      </c>
      <c r="E254" s="17" t="str">
        <f t="shared" si="63"/>
        <v>Section 5 - Conclusion, And FREE Coupon For Next Course</v>
      </c>
      <c r="F254" s="18" t="str">
        <f t="shared" si="59"/>
        <v/>
      </c>
      <c r="G254" s="13" t="str">
        <f t="shared" si="65"/>
        <v/>
      </c>
      <c r="H254">
        <f t="shared" si="66"/>
        <v>0</v>
      </c>
      <c r="I254">
        <f t="shared" si="67"/>
        <v>0</v>
      </c>
      <c r="J254" s="13">
        <f t="shared" si="68"/>
        <v>85</v>
      </c>
      <c r="K254">
        <f t="shared" si="60"/>
        <v>1</v>
      </c>
      <c r="L254">
        <f t="shared" si="61"/>
        <v>25</v>
      </c>
      <c r="M254" s="13">
        <f t="shared" si="69"/>
        <v>1</v>
      </c>
      <c r="N254">
        <f t="shared" si="69"/>
        <v>24</v>
      </c>
      <c r="O254" s="14">
        <f t="shared" si="57"/>
        <v>84</v>
      </c>
      <c r="P254" s="13">
        <f t="shared" si="62"/>
        <v>1</v>
      </c>
      <c r="Q254">
        <f t="shared" si="70"/>
        <v>24</v>
      </c>
      <c r="R254" s="14">
        <f t="shared" si="71"/>
        <v>84</v>
      </c>
      <c r="S254" s="15"/>
      <c r="W254" s="14"/>
    </row>
    <row r="255" spans="1:23" hidden="1" x14ac:dyDescent="0.25">
      <c r="A255" s="16"/>
      <c r="B255" s="17" t="b">
        <f t="shared" si="64"/>
        <v>0</v>
      </c>
      <c r="C255" s="17" t="b">
        <f t="shared" si="56"/>
        <v>0</v>
      </c>
      <c r="D255" s="17">
        <f t="shared" si="58"/>
        <v>1</v>
      </c>
      <c r="E255" s="17" t="str">
        <f t="shared" si="63"/>
        <v>Section 5 - Conclusion, And FREE Coupon For Next Course</v>
      </c>
      <c r="F255" s="18" t="str">
        <f t="shared" si="59"/>
        <v/>
      </c>
      <c r="G255" s="13" t="str">
        <f t="shared" si="65"/>
        <v/>
      </c>
      <c r="H255">
        <f t="shared" si="66"/>
        <v>0</v>
      </c>
      <c r="I255">
        <f t="shared" si="67"/>
        <v>0</v>
      </c>
      <c r="J255" s="13">
        <f t="shared" si="68"/>
        <v>85</v>
      </c>
      <c r="K255">
        <f t="shared" si="60"/>
        <v>1</v>
      </c>
      <c r="L255">
        <f t="shared" si="61"/>
        <v>25</v>
      </c>
      <c r="M255" s="13">
        <f t="shared" si="69"/>
        <v>1</v>
      </c>
      <c r="N255">
        <f t="shared" si="69"/>
        <v>24</v>
      </c>
      <c r="O255" s="14">
        <f t="shared" si="57"/>
        <v>84</v>
      </c>
      <c r="P255" s="13">
        <f t="shared" si="62"/>
        <v>1</v>
      </c>
      <c r="Q255">
        <f t="shared" si="70"/>
        <v>24</v>
      </c>
      <c r="R255" s="14">
        <f t="shared" si="71"/>
        <v>84</v>
      </c>
      <c r="S255" s="15"/>
      <c r="W255" s="14"/>
    </row>
    <row r="256" spans="1:23" hidden="1" x14ac:dyDescent="0.25">
      <c r="A256" s="16"/>
      <c r="B256" s="17" t="b">
        <f t="shared" si="64"/>
        <v>0</v>
      </c>
      <c r="C256" s="17" t="b">
        <f t="shared" ref="C256:C319" si="72">OR(NOT(ISERROR(FIND("hr",A257))), NOT(ISERROR(FIND("min ",A257))),RIGHT(A257,3)="min")</f>
        <v>0</v>
      </c>
      <c r="D256" s="17">
        <f t="shared" si="58"/>
        <v>1</v>
      </c>
      <c r="E256" s="17" t="str">
        <f t="shared" si="63"/>
        <v>Section 5 - Conclusion, And FREE Coupon For Next Course</v>
      </c>
      <c r="F256" s="18" t="str">
        <f t="shared" si="59"/>
        <v/>
      </c>
      <c r="G256" s="13" t="str">
        <f t="shared" si="65"/>
        <v/>
      </c>
      <c r="H256">
        <f t="shared" si="66"/>
        <v>0</v>
      </c>
      <c r="I256">
        <f t="shared" si="67"/>
        <v>0</v>
      </c>
      <c r="J256" s="13">
        <f t="shared" si="68"/>
        <v>85</v>
      </c>
      <c r="K256">
        <f t="shared" si="60"/>
        <v>1</v>
      </c>
      <c r="L256">
        <f t="shared" si="61"/>
        <v>25</v>
      </c>
      <c r="M256" s="13">
        <f t="shared" si="69"/>
        <v>1</v>
      </c>
      <c r="N256">
        <f t="shared" si="69"/>
        <v>24</v>
      </c>
      <c r="O256" s="14">
        <f t="shared" si="57"/>
        <v>84</v>
      </c>
      <c r="P256" s="13">
        <f t="shared" si="62"/>
        <v>1</v>
      </c>
      <c r="Q256">
        <f t="shared" si="70"/>
        <v>24</v>
      </c>
      <c r="R256" s="14">
        <f t="shared" si="71"/>
        <v>84</v>
      </c>
      <c r="S256" s="15"/>
      <c r="W256" s="14"/>
    </row>
    <row r="257" spans="1:23" hidden="1" x14ac:dyDescent="0.25">
      <c r="A257" s="16"/>
      <c r="B257" s="17" t="b">
        <f t="shared" si="64"/>
        <v>0</v>
      </c>
      <c r="C257" s="17" t="b">
        <f t="shared" si="72"/>
        <v>0</v>
      </c>
      <c r="D257" s="17">
        <f t="shared" si="58"/>
        <v>1</v>
      </c>
      <c r="E257" s="17" t="str">
        <f t="shared" si="63"/>
        <v>Section 5 - Conclusion, And FREE Coupon For Next Course</v>
      </c>
      <c r="F257" s="18" t="str">
        <f t="shared" si="59"/>
        <v/>
      </c>
      <c r="G257" s="13" t="str">
        <f t="shared" si="65"/>
        <v/>
      </c>
      <c r="H257">
        <f t="shared" si="66"/>
        <v>0</v>
      </c>
      <c r="I257">
        <f t="shared" si="67"/>
        <v>0</v>
      </c>
      <c r="J257" s="13">
        <f t="shared" si="68"/>
        <v>85</v>
      </c>
      <c r="K257">
        <f t="shared" si="60"/>
        <v>1</v>
      </c>
      <c r="L257">
        <f t="shared" si="61"/>
        <v>25</v>
      </c>
      <c r="M257" s="13">
        <f t="shared" si="69"/>
        <v>1</v>
      </c>
      <c r="N257">
        <f t="shared" si="69"/>
        <v>24</v>
      </c>
      <c r="O257" s="14">
        <f t="shared" si="57"/>
        <v>84</v>
      </c>
      <c r="P257" s="13">
        <f t="shared" si="62"/>
        <v>1</v>
      </c>
      <c r="Q257">
        <f t="shared" si="70"/>
        <v>24</v>
      </c>
      <c r="R257" s="14">
        <f t="shared" si="71"/>
        <v>84</v>
      </c>
      <c r="S257" s="15"/>
      <c r="W257" s="14"/>
    </row>
    <row r="258" spans="1:23" hidden="1" x14ac:dyDescent="0.25">
      <c r="A258" s="16"/>
      <c r="B258" s="17" t="b">
        <f t="shared" si="64"/>
        <v>0</v>
      </c>
      <c r="C258" s="17" t="b">
        <f t="shared" si="72"/>
        <v>0</v>
      </c>
      <c r="D258" s="17">
        <f t="shared" si="58"/>
        <v>1</v>
      </c>
      <c r="E258" s="17" t="str">
        <f t="shared" si="63"/>
        <v>Section 5 - Conclusion, And FREE Coupon For Next Course</v>
      </c>
      <c r="F258" s="18" t="str">
        <f t="shared" si="59"/>
        <v/>
      </c>
      <c r="G258" s="13" t="str">
        <f t="shared" si="65"/>
        <v/>
      </c>
      <c r="H258">
        <f t="shared" si="66"/>
        <v>0</v>
      </c>
      <c r="I258">
        <f t="shared" si="67"/>
        <v>0</v>
      </c>
      <c r="J258" s="13">
        <f t="shared" si="68"/>
        <v>85</v>
      </c>
      <c r="K258">
        <f t="shared" si="60"/>
        <v>1</v>
      </c>
      <c r="L258">
        <f t="shared" si="61"/>
        <v>25</v>
      </c>
      <c r="M258" s="13">
        <f t="shared" si="69"/>
        <v>1</v>
      </c>
      <c r="N258">
        <f t="shared" si="69"/>
        <v>24</v>
      </c>
      <c r="O258" s="14">
        <f t="shared" si="57"/>
        <v>84</v>
      </c>
      <c r="P258" s="13">
        <f t="shared" si="62"/>
        <v>1</v>
      </c>
      <c r="Q258">
        <f t="shared" si="70"/>
        <v>24</v>
      </c>
      <c r="R258" s="14">
        <f t="shared" si="71"/>
        <v>84</v>
      </c>
      <c r="S258" s="15"/>
      <c r="W258" s="14"/>
    </row>
    <row r="259" spans="1:23" hidden="1" x14ac:dyDescent="0.25">
      <c r="A259" s="16"/>
      <c r="B259" s="17" t="b">
        <f t="shared" si="64"/>
        <v>0</v>
      </c>
      <c r="C259" s="17" t="b">
        <f t="shared" si="72"/>
        <v>0</v>
      </c>
      <c r="D259" s="17">
        <f t="shared" si="58"/>
        <v>1</v>
      </c>
      <c r="E259" s="17" t="str">
        <f t="shared" si="63"/>
        <v>Section 5 - Conclusion, And FREE Coupon For Next Course</v>
      </c>
      <c r="F259" s="18" t="str">
        <f t="shared" si="59"/>
        <v/>
      </c>
      <c r="G259" s="13" t="str">
        <f t="shared" si="65"/>
        <v/>
      </c>
      <c r="H259">
        <f t="shared" si="66"/>
        <v>0</v>
      </c>
      <c r="I259">
        <f t="shared" si="67"/>
        <v>0</v>
      </c>
      <c r="J259" s="13">
        <f t="shared" si="68"/>
        <v>85</v>
      </c>
      <c r="K259">
        <f t="shared" si="60"/>
        <v>1</v>
      </c>
      <c r="L259">
        <f t="shared" si="61"/>
        <v>25</v>
      </c>
      <c r="M259" s="13">
        <f t="shared" si="69"/>
        <v>1</v>
      </c>
      <c r="N259">
        <f t="shared" si="69"/>
        <v>24</v>
      </c>
      <c r="O259" s="14">
        <f t="shared" si="57"/>
        <v>84</v>
      </c>
      <c r="P259" s="13">
        <f t="shared" si="62"/>
        <v>1</v>
      </c>
      <c r="Q259">
        <f t="shared" si="70"/>
        <v>24</v>
      </c>
      <c r="R259" s="14">
        <f t="shared" si="71"/>
        <v>84</v>
      </c>
      <c r="S259" s="15"/>
      <c r="W259" s="14"/>
    </row>
    <row r="260" spans="1:23" hidden="1" x14ac:dyDescent="0.25">
      <c r="A260" s="16"/>
      <c r="B260" s="17" t="b">
        <f t="shared" si="64"/>
        <v>0</v>
      </c>
      <c r="C260" s="17" t="b">
        <f t="shared" si="72"/>
        <v>0</v>
      </c>
      <c r="D260" s="17">
        <f t="shared" si="58"/>
        <v>1</v>
      </c>
      <c r="E260" s="17" t="str">
        <f t="shared" si="63"/>
        <v>Section 5 - Conclusion, And FREE Coupon For Next Course</v>
      </c>
      <c r="F260" s="18" t="str">
        <f t="shared" si="59"/>
        <v/>
      </c>
      <c r="G260" s="13" t="str">
        <f t="shared" si="65"/>
        <v/>
      </c>
      <c r="H260">
        <f t="shared" si="66"/>
        <v>0</v>
      </c>
      <c r="I260">
        <f t="shared" si="67"/>
        <v>0</v>
      </c>
      <c r="J260" s="13">
        <f t="shared" si="68"/>
        <v>85</v>
      </c>
      <c r="K260">
        <f t="shared" si="60"/>
        <v>1</v>
      </c>
      <c r="L260">
        <f t="shared" si="61"/>
        <v>25</v>
      </c>
      <c r="M260" s="13">
        <f t="shared" si="69"/>
        <v>1</v>
      </c>
      <c r="N260">
        <f t="shared" si="69"/>
        <v>24</v>
      </c>
      <c r="O260" s="14">
        <f t="shared" si="57"/>
        <v>84</v>
      </c>
      <c r="P260" s="13">
        <f t="shared" si="62"/>
        <v>1</v>
      </c>
      <c r="Q260">
        <f t="shared" si="70"/>
        <v>24</v>
      </c>
      <c r="R260" s="14">
        <f t="shared" si="71"/>
        <v>84</v>
      </c>
      <c r="S260" s="15"/>
      <c r="W260" s="14"/>
    </row>
    <row r="261" spans="1:23" hidden="1" x14ac:dyDescent="0.25">
      <c r="A261" s="16"/>
      <c r="B261" s="17" t="b">
        <f t="shared" si="64"/>
        <v>0</v>
      </c>
      <c r="C261" s="17" t="b">
        <f t="shared" si="72"/>
        <v>0</v>
      </c>
      <c r="D261" s="17">
        <f t="shared" si="58"/>
        <v>1</v>
      </c>
      <c r="E261" s="17" t="str">
        <f t="shared" si="63"/>
        <v>Section 5 - Conclusion, And FREE Coupon For Next Course</v>
      </c>
      <c r="F261" s="18" t="str">
        <f t="shared" si="59"/>
        <v/>
      </c>
      <c r="G261" s="13" t="str">
        <f t="shared" si="65"/>
        <v/>
      </c>
      <c r="H261">
        <f t="shared" si="66"/>
        <v>0</v>
      </c>
      <c r="I261">
        <f t="shared" si="67"/>
        <v>0</v>
      </c>
      <c r="J261" s="13">
        <f t="shared" si="68"/>
        <v>85</v>
      </c>
      <c r="K261">
        <f t="shared" si="60"/>
        <v>1</v>
      </c>
      <c r="L261">
        <f t="shared" si="61"/>
        <v>25</v>
      </c>
      <c r="M261" s="13">
        <f t="shared" si="69"/>
        <v>1</v>
      </c>
      <c r="N261">
        <f t="shared" si="69"/>
        <v>24</v>
      </c>
      <c r="O261" s="14">
        <f t="shared" si="57"/>
        <v>84</v>
      </c>
      <c r="P261" s="13">
        <f t="shared" si="62"/>
        <v>1</v>
      </c>
      <c r="Q261">
        <f t="shared" si="70"/>
        <v>24</v>
      </c>
      <c r="R261" s="14">
        <f t="shared" si="71"/>
        <v>84</v>
      </c>
      <c r="S261" s="15"/>
      <c r="W261" s="14"/>
    </row>
    <row r="262" spans="1:23" hidden="1" x14ac:dyDescent="0.25">
      <c r="A262" s="16"/>
      <c r="B262" s="17" t="b">
        <f t="shared" si="64"/>
        <v>0</v>
      </c>
      <c r="C262" s="17" t="b">
        <f t="shared" si="72"/>
        <v>0</v>
      </c>
      <c r="D262" s="17">
        <f t="shared" si="58"/>
        <v>1</v>
      </c>
      <c r="E262" s="17" t="str">
        <f t="shared" si="63"/>
        <v>Section 5 - Conclusion, And FREE Coupon For Next Course</v>
      </c>
      <c r="F262" s="18" t="str">
        <f t="shared" si="59"/>
        <v/>
      </c>
      <c r="G262" s="13" t="str">
        <f t="shared" si="65"/>
        <v/>
      </c>
      <c r="H262">
        <f t="shared" si="66"/>
        <v>0</v>
      </c>
      <c r="I262">
        <f t="shared" si="67"/>
        <v>0</v>
      </c>
      <c r="J262" s="13">
        <f t="shared" si="68"/>
        <v>85</v>
      </c>
      <c r="K262">
        <f t="shared" si="60"/>
        <v>1</v>
      </c>
      <c r="L262">
        <f t="shared" si="61"/>
        <v>25</v>
      </c>
      <c r="M262" s="13">
        <f t="shared" si="69"/>
        <v>1</v>
      </c>
      <c r="N262">
        <f t="shared" si="69"/>
        <v>24</v>
      </c>
      <c r="O262" s="14">
        <f t="shared" si="57"/>
        <v>84</v>
      </c>
      <c r="P262" s="13">
        <f t="shared" si="62"/>
        <v>1</v>
      </c>
      <c r="Q262">
        <f t="shared" si="70"/>
        <v>24</v>
      </c>
      <c r="R262" s="14">
        <f t="shared" si="71"/>
        <v>84</v>
      </c>
      <c r="S262" s="15"/>
      <c r="W262" s="14"/>
    </row>
    <row r="263" spans="1:23" hidden="1" x14ac:dyDescent="0.25">
      <c r="A263" s="16"/>
      <c r="B263" s="17" t="b">
        <f t="shared" si="64"/>
        <v>0</v>
      </c>
      <c r="C263" s="17" t="b">
        <f t="shared" si="72"/>
        <v>0</v>
      </c>
      <c r="D263" s="17">
        <f t="shared" si="58"/>
        <v>1</v>
      </c>
      <c r="E263" s="17" t="str">
        <f t="shared" si="63"/>
        <v>Section 5 - Conclusion, And FREE Coupon For Next Course</v>
      </c>
      <c r="F263" s="18" t="str">
        <f t="shared" si="59"/>
        <v/>
      </c>
      <c r="G263" s="13" t="str">
        <f t="shared" si="65"/>
        <v/>
      </c>
      <c r="H263">
        <f t="shared" si="66"/>
        <v>0</v>
      </c>
      <c r="I263">
        <f t="shared" si="67"/>
        <v>0</v>
      </c>
      <c r="J263" s="13">
        <f t="shared" si="68"/>
        <v>85</v>
      </c>
      <c r="K263">
        <f t="shared" si="60"/>
        <v>1</v>
      </c>
      <c r="L263">
        <f t="shared" si="61"/>
        <v>25</v>
      </c>
      <c r="M263" s="13">
        <f t="shared" si="69"/>
        <v>1</v>
      </c>
      <c r="N263">
        <f t="shared" si="69"/>
        <v>24</v>
      </c>
      <c r="O263" s="14">
        <f t="shared" si="57"/>
        <v>84</v>
      </c>
      <c r="P263" s="13">
        <f t="shared" si="62"/>
        <v>1</v>
      </c>
      <c r="Q263">
        <f t="shared" si="70"/>
        <v>24</v>
      </c>
      <c r="R263" s="14">
        <f t="shared" si="71"/>
        <v>84</v>
      </c>
      <c r="S263" s="15"/>
      <c r="W263" s="14"/>
    </row>
    <row r="264" spans="1:23" hidden="1" x14ac:dyDescent="0.25">
      <c r="A264" s="16"/>
      <c r="B264" s="17" t="b">
        <f t="shared" si="64"/>
        <v>0</v>
      </c>
      <c r="C264" s="17" t="b">
        <f t="shared" si="72"/>
        <v>0</v>
      </c>
      <c r="D264" s="17">
        <f t="shared" si="58"/>
        <v>1</v>
      </c>
      <c r="E264" s="17" t="str">
        <f t="shared" si="63"/>
        <v>Section 5 - Conclusion, And FREE Coupon For Next Course</v>
      </c>
      <c r="F264" s="18" t="str">
        <f t="shared" si="59"/>
        <v/>
      </c>
      <c r="G264" s="13" t="str">
        <f t="shared" si="65"/>
        <v/>
      </c>
      <c r="H264">
        <f t="shared" si="66"/>
        <v>0</v>
      </c>
      <c r="I264">
        <f t="shared" si="67"/>
        <v>0</v>
      </c>
      <c r="J264" s="13">
        <f t="shared" si="68"/>
        <v>85</v>
      </c>
      <c r="K264">
        <f t="shared" si="60"/>
        <v>1</v>
      </c>
      <c r="L264">
        <f t="shared" si="61"/>
        <v>25</v>
      </c>
      <c r="M264" s="13">
        <f t="shared" si="69"/>
        <v>1</v>
      </c>
      <c r="N264">
        <f t="shared" si="69"/>
        <v>24</v>
      </c>
      <c r="O264" s="14">
        <f t="shared" si="57"/>
        <v>84</v>
      </c>
      <c r="P264" s="13">
        <f t="shared" si="62"/>
        <v>1</v>
      </c>
      <c r="Q264">
        <f t="shared" si="70"/>
        <v>24</v>
      </c>
      <c r="R264" s="14">
        <f t="shared" si="71"/>
        <v>84</v>
      </c>
      <c r="S264" s="15"/>
      <c r="W264" s="14"/>
    </row>
    <row r="265" spans="1:23" hidden="1" x14ac:dyDescent="0.25">
      <c r="A265" s="16"/>
      <c r="B265" s="17" t="b">
        <f t="shared" si="64"/>
        <v>0</v>
      </c>
      <c r="C265" s="17" t="b">
        <f t="shared" si="72"/>
        <v>0</v>
      </c>
      <c r="D265" s="17">
        <f t="shared" si="58"/>
        <v>1</v>
      </c>
      <c r="E265" s="17" t="str">
        <f t="shared" si="63"/>
        <v>Section 5 - Conclusion, And FREE Coupon For Next Course</v>
      </c>
      <c r="F265" s="18" t="str">
        <f t="shared" si="59"/>
        <v/>
      </c>
      <c r="G265" s="13" t="str">
        <f t="shared" si="65"/>
        <v/>
      </c>
      <c r="H265">
        <f t="shared" si="66"/>
        <v>0</v>
      </c>
      <c r="I265">
        <f t="shared" si="67"/>
        <v>0</v>
      </c>
      <c r="J265" s="13">
        <f t="shared" si="68"/>
        <v>85</v>
      </c>
      <c r="K265">
        <f t="shared" si="60"/>
        <v>1</v>
      </c>
      <c r="L265">
        <f t="shared" si="61"/>
        <v>25</v>
      </c>
      <c r="M265" s="13">
        <f t="shared" si="69"/>
        <v>1</v>
      </c>
      <c r="N265">
        <f t="shared" si="69"/>
        <v>24</v>
      </c>
      <c r="O265" s="14">
        <f t="shared" si="57"/>
        <v>84</v>
      </c>
      <c r="P265" s="13">
        <f t="shared" si="62"/>
        <v>1</v>
      </c>
      <c r="Q265">
        <f t="shared" si="70"/>
        <v>24</v>
      </c>
      <c r="R265" s="14">
        <f t="shared" si="71"/>
        <v>84</v>
      </c>
      <c r="S265" s="15"/>
      <c r="W265" s="14"/>
    </row>
    <row r="266" spans="1:23" hidden="1" x14ac:dyDescent="0.25">
      <c r="A266" s="16"/>
      <c r="B266" s="17" t="b">
        <f t="shared" si="64"/>
        <v>0</v>
      </c>
      <c r="C266" s="17" t="b">
        <f t="shared" si="72"/>
        <v>0</v>
      </c>
      <c r="D266" s="17">
        <f t="shared" si="58"/>
        <v>1</v>
      </c>
      <c r="E266" s="17" t="str">
        <f t="shared" si="63"/>
        <v>Section 5 - Conclusion, And FREE Coupon For Next Course</v>
      </c>
      <c r="F266" s="18" t="str">
        <f t="shared" si="59"/>
        <v/>
      </c>
      <c r="G266" s="13" t="str">
        <f t="shared" si="65"/>
        <v/>
      </c>
      <c r="H266">
        <f t="shared" si="66"/>
        <v>0</v>
      </c>
      <c r="I266">
        <f t="shared" si="67"/>
        <v>0</v>
      </c>
      <c r="J266" s="13">
        <f t="shared" si="68"/>
        <v>85</v>
      </c>
      <c r="K266">
        <f t="shared" si="60"/>
        <v>1</v>
      </c>
      <c r="L266">
        <f t="shared" si="61"/>
        <v>25</v>
      </c>
      <c r="M266" s="13">
        <f t="shared" si="69"/>
        <v>1</v>
      </c>
      <c r="N266">
        <f t="shared" si="69"/>
        <v>24</v>
      </c>
      <c r="O266" s="14">
        <f t="shared" ref="O266:O329" si="73">((M266*60)+N266)</f>
        <v>84</v>
      </c>
      <c r="P266" s="13">
        <f t="shared" si="62"/>
        <v>1</v>
      </c>
      <c r="Q266">
        <f t="shared" si="70"/>
        <v>24</v>
      </c>
      <c r="R266" s="14">
        <f t="shared" si="71"/>
        <v>84</v>
      </c>
      <c r="S266" s="15"/>
      <c r="W266" s="14"/>
    </row>
    <row r="267" spans="1:23" hidden="1" x14ac:dyDescent="0.25">
      <c r="A267" s="16"/>
      <c r="B267" s="17" t="b">
        <f t="shared" si="64"/>
        <v>0</v>
      </c>
      <c r="C267" s="17" t="b">
        <f t="shared" si="72"/>
        <v>0</v>
      </c>
      <c r="D267" s="17">
        <f t="shared" ref="D267:D330" si="74">IF(B267,0,IF(C267,D266+1,D266))</f>
        <v>1</v>
      </c>
      <c r="E267" s="17" t="str">
        <f t="shared" si="63"/>
        <v>Section 5 - Conclusion, And FREE Coupon For Next Course</v>
      </c>
      <c r="F267" s="18" t="str">
        <f t="shared" ref="F267:F330" si="75">IF(C267,A267,"")</f>
        <v/>
      </c>
      <c r="G267" s="13" t="str">
        <f t="shared" si="65"/>
        <v/>
      </c>
      <c r="H267">
        <f t="shared" si="66"/>
        <v>0</v>
      </c>
      <c r="I267">
        <f t="shared" si="67"/>
        <v>0</v>
      </c>
      <c r="J267" s="13">
        <f t="shared" si="68"/>
        <v>85</v>
      </c>
      <c r="K267">
        <f t="shared" ref="K267:K330" si="76">INT(J267/60)</f>
        <v>1</v>
      </c>
      <c r="L267">
        <f t="shared" ref="L267:L330" si="77">INT(J267-(K267*60))</f>
        <v>25</v>
      </c>
      <c r="M267" s="13">
        <f t="shared" si="69"/>
        <v>1</v>
      </c>
      <c r="N267">
        <f t="shared" si="69"/>
        <v>24</v>
      </c>
      <c r="O267" s="14">
        <f t="shared" si="73"/>
        <v>84</v>
      </c>
      <c r="P267" s="13">
        <f t="shared" ref="P267:P330" si="78">INT(R267/60)</f>
        <v>1</v>
      </c>
      <c r="Q267">
        <f t="shared" si="70"/>
        <v>24</v>
      </c>
      <c r="R267" s="14">
        <f t="shared" si="71"/>
        <v>84</v>
      </c>
      <c r="S267" s="15"/>
      <c r="W267" s="14"/>
    </row>
    <row r="268" spans="1:23" hidden="1" x14ac:dyDescent="0.25">
      <c r="A268" s="16"/>
      <c r="B268" s="17" t="b">
        <f t="shared" si="64"/>
        <v>0</v>
      </c>
      <c r="C268" s="17" t="b">
        <f t="shared" si="72"/>
        <v>0</v>
      </c>
      <c r="D268" s="17">
        <f t="shared" si="74"/>
        <v>1</v>
      </c>
      <c r="E268" s="17" t="str">
        <f t="shared" ref="E268:E331" si="79">SUBSTITUTE(IF(B268,A268,E267),":", " -")</f>
        <v>Section 5 - Conclusion, And FREE Coupon For Next Course</v>
      </c>
      <c r="F268" s="18" t="str">
        <f t="shared" si="75"/>
        <v/>
      </c>
      <c r="G268" s="13" t="str">
        <f t="shared" si="65"/>
        <v/>
      </c>
      <c r="H268">
        <f t="shared" si="66"/>
        <v>0</v>
      </c>
      <c r="I268">
        <f t="shared" si="67"/>
        <v>0</v>
      </c>
      <c r="J268" s="13">
        <f t="shared" si="68"/>
        <v>85</v>
      </c>
      <c r="K268">
        <f t="shared" si="76"/>
        <v>1</v>
      </c>
      <c r="L268">
        <f t="shared" si="77"/>
        <v>25</v>
      </c>
      <c r="M268" s="13">
        <f t="shared" si="69"/>
        <v>1</v>
      </c>
      <c r="N268">
        <f t="shared" si="69"/>
        <v>24</v>
      </c>
      <c r="O268" s="14">
        <f t="shared" si="73"/>
        <v>84</v>
      </c>
      <c r="P268" s="13">
        <f t="shared" si="78"/>
        <v>1</v>
      </c>
      <c r="Q268">
        <f t="shared" si="70"/>
        <v>24</v>
      </c>
      <c r="R268" s="14">
        <f t="shared" si="71"/>
        <v>84</v>
      </c>
      <c r="S268" s="15"/>
      <c r="W268" s="14"/>
    </row>
    <row r="269" spans="1:23" hidden="1" x14ac:dyDescent="0.25">
      <c r="A269" s="16"/>
      <c r="B269" s="17" t="b">
        <f t="shared" si="64"/>
        <v>0</v>
      </c>
      <c r="C269" s="17" t="b">
        <f t="shared" si="72"/>
        <v>0</v>
      </c>
      <c r="D269" s="17">
        <f t="shared" si="74"/>
        <v>1</v>
      </c>
      <c r="E269" s="17" t="str">
        <f t="shared" si="79"/>
        <v>Section 5 - Conclusion, And FREE Coupon For Next Course</v>
      </c>
      <c r="F269" s="18" t="str">
        <f t="shared" si="75"/>
        <v/>
      </c>
      <c r="G269" s="13" t="str">
        <f t="shared" si="65"/>
        <v/>
      </c>
      <c r="H269">
        <f t="shared" si="66"/>
        <v>0</v>
      </c>
      <c r="I269">
        <f t="shared" si="67"/>
        <v>0</v>
      </c>
      <c r="J269" s="13">
        <f t="shared" si="68"/>
        <v>85</v>
      </c>
      <c r="K269">
        <f t="shared" si="76"/>
        <v>1</v>
      </c>
      <c r="L269">
        <f t="shared" si="77"/>
        <v>25</v>
      </c>
      <c r="M269" s="13">
        <f t="shared" si="69"/>
        <v>1</v>
      </c>
      <c r="N269">
        <f t="shared" si="69"/>
        <v>24</v>
      </c>
      <c r="O269" s="14">
        <f t="shared" si="73"/>
        <v>84</v>
      </c>
      <c r="P269" s="13">
        <f t="shared" si="78"/>
        <v>1</v>
      </c>
      <c r="Q269">
        <f t="shared" si="70"/>
        <v>24</v>
      </c>
      <c r="R269" s="14">
        <f t="shared" si="71"/>
        <v>84</v>
      </c>
      <c r="S269" s="15"/>
      <c r="W269" s="14"/>
    </row>
    <row r="270" spans="1:23" hidden="1" x14ac:dyDescent="0.25">
      <c r="A270" s="16"/>
      <c r="B270" s="17" t="b">
        <f t="shared" si="64"/>
        <v>0</v>
      </c>
      <c r="C270" s="17" t="b">
        <f t="shared" si="72"/>
        <v>0</v>
      </c>
      <c r="D270" s="17">
        <f t="shared" si="74"/>
        <v>1</v>
      </c>
      <c r="E270" s="17" t="str">
        <f t="shared" si="79"/>
        <v>Section 5 - Conclusion, And FREE Coupon For Next Course</v>
      </c>
      <c r="F270" s="18" t="str">
        <f t="shared" si="75"/>
        <v/>
      </c>
      <c r="G270" s="13" t="str">
        <f t="shared" si="65"/>
        <v/>
      </c>
      <c r="H270">
        <f t="shared" si="66"/>
        <v>0</v>
      </c>
      <c r="I270">
        <f t="shared" si="67"/>
        <v>0</v>
      </c>
      <c r="J270" s="13">
        <f t="shared" si="68"/>
        <v>85</v>
      </c>
      <c r="K270">
        <f t="shared" si="76"/>
        <v>1</v>
      </c>
      <c r="L270">
        <f t="shared" si="77"/>
        <v>25</v>
      </c>
      <c r="M270" s="13">
        <f t="shared" si="69"/>
        <v>1</v>
      </c>
      <c r="N270">
        <f t="shared" si="69"/>
        <v>24</v>
      </c>
      <c r="O270" s="14">
        <f t="shared" si="73"/>
        <v>84</v>
      </c>
      <c r="P270" s="13">
        <f t="shared" si="78"/>
        <v>1</v>
      </c>
      <c r="Q270">
        <f t="shared" si="70"/>
        <v>24</v>
      </c>
      <c r="R270" s="14">
        <f t="shared" si="71"/>
        <v>84</v>
      </c>
      <c r="S270" s="15"/>
      <c r="W270" s="14"/>
    </row>
    <row r="271" spans="1:23" hidden="1" x14ac:dyDescent="0.25">
      <c r="A271" s="16"/>
      <c r="B271" s="17" t="b">
        <f t="shared" si="64"/>
        <v>0</v>
      </c>
      <c r="C271" s="17" t="b">
        <f t="shared" si="72"/>
        <v>0</v>
      </c>
      <c r="D271" s="17">
        <f t="shared" si="74"/>
        <v>1</v>
      </c>
      <c r="E271" s="17" t="str">
        <f t="shared" si="79"/>
        <v>Section 5 - Conclusion, And FREE Coupon For Next Course</v>
      </c>
      <c r="F271" s="18" t="str">
        <f t="shared" si="75"/>
        <v/>
      </c>
      <c r="G271" s="13" t="str">
        <f t="shared" si="65"/>
        <v/>
      </c>
      <c r="H271">
        <f t="shared" si="66"/>
        <v>0</v>
      </c>
      <c r="I271">
        <f t="shared" si="67"/>
        <v>0</v>
      </c>
      <c r="J271" s="13">
        <f t="shared" si="68"/>
        <v>85</v>
      </c>
      <c r="K271">
        <f t="shared" si="76"/>
        <v>1</v>
      </c>
      <c r="L271">
        <f t="shared" si="77"/>
        <v>25</v>
      </c>
      <c r="M271" s="13">
        <f t="shared" si="69"/>
        <v>1</v>
      </c>
      <c r="N271">
        <f t="shared" si="69"/>
        <v>24</v>
      </c>
      <c r="O271" s="14">
        <f t="shared" si="73"/>
        <v>84</v>
      </c>
      <c r="P271" s="13">
        <f t="shared" si="78"/>
        <v>1</v>
      </c>
      <c r="Q271">
        <f t="shared" si="70"/>
        <v>24</v>
      </c>
      <c r="R271" s="14">
        <f t="shared" si="71"/>
        <v>84</v>
      </c>
      <c r="S271" s="15"/>
      <c r="W271" s="14"/>
    </row>
    <row r="272" spans="1:23" hidden="1" x14ac:dyDescent="0.25">
      <c r="A272" s="16"/>
      <c r="B272" s="17" t="b">
        <f t="shared" si="64"/>
        <v>0</v>
      </c>
      <c r="C272" s="17" t="b">
        <f t="shared" si="72"/>
        <v>0</v>
      </c>
      <c r="D272" s="17">
        <f t="shared" si="74"/>
        <v>1</v>
      </c>
      <c r="E272" s="17" t="str">
        <f t="shared" si="79"/>
        <v>Section 5 - Conclusion, And FREE Coupon For Next Course</v>
      </c>
      <c r="F272" s="18" t="str">
        <f t="shared" si="75"/>
        <v/>
      </c>
      <c r="G272" s="13" t="str">
        <f t="shared" si="65"/>
        <v/>
      </c>
      <c r="H272">
        <f t="shared" si="66"/>
        <v>0</v>
      </c>
      <c r="I272">
        <f t="shared" si="67"/>
        <v>0</v>
      </c>
      <c r="J272" s="13">
        <f t="shared" si="68"/>
        <v>85</v>
      </c>
      <c r="K272">
        <f t="shared" si="76"/>
        <v>1</v>
      </c>
      <c r="L272">
        <f t="shared" si="77"/>
        <v>25</v>
      </c>
      <c r="M272" s="13">
        <f t="shared" si="69"/>
        <v>1</v>
      </c>
      <c r="N272">
        <f t="shared" si="69"/>
        <v>24</v>
      </c>
      <c r="O272" s="14">
        <f t="shared" si="73"/>
        <v>84</v>
      </c>
      <c r="P272" s="13">
        <f t="shared" si="78"/>
        <v>1</v>
      </c>
      <c r="Q272">
        <f t="shared" si="70"/>
        <v>24</v>
      </c>
      <c r="R272" s="14">
        <f t="shared" si="71"/>
        <v>84</v>
      </c>
      <c r="S272" s="15"/>
      <c r="W272" s="14"/>
    </row>
    <row r="273" spans="1:23" hidden="1" x14ac:dyDescent="0.25">
      <c r="A273" s="16"/>
      <c r="B273" s="17" t="b">
        <f t="shared" si="64"/>
        <v>0</v>
      </c>
      <c r="C273" s="17" t="b">
        <f t="shared" si="72"/>
        <v>0</v>
      </c>
      <c r="D273" s="17">
        <f t="shared" si="74"/>
        <v>1</v>
      </c>
      <c r="E273" s="17" t="str">
        <f t="shared" si="79"/>
        <v>Section 5 - Conclusion, And FREE Coupon For Next Course</v>
      </c>
      <c r="F273" s="18" t="str">
        <f t="shared" si="75"/>
        <v/>
      </c>
      <c r="G273" s="13" t="str">
        <f t="shared" si="65"/>
        <v/>
      </c>
      <c r="H273">
        <f t="shared" si="66"/>
        <v>0</v>
      </c>
      <c r="I273">
        <f t="shared" si="67"/>
        <v>0</v>
      </c>
      <c r="J273" s="13">
        <f t="shared" si="68"/>
        <v>85</v>
      </c>
      <c r="K273">
        <f t="shared" si="76"/>
        <v>1</v>
      </c>
      <c r="L273">
        <f t="shared" si="77"/>
        <v>25</v>
      </c>
      <c r="M273" s="13">
        <f t="shared" si="69"/>
        <v>1</v>
      </c>
      <c r="N273">
        <f t="shared" si="69"/>
        <v>24</v>
      </c>
      <c r="O273" s="14">
        <f t="shared" si="73"/>
        <v>84</v>
      </c>
      <c r="P273" s="13">
        <f t="shared" si="78"/>
        <v>1</v>
      </c>
      <c r="Q273">
        <f t="shared" si="70"/>
        <v>24</v>
      </c>
      <c r="R273" s="14">
        <f t="shared" si="71"/>
        <v>84</v>
      </c>
      <c r="S273" s="15"/>
      <c r="W273" s="14"/>
    </row>
    <row r="274" spans="1:23" hidden="1" x14ac:dyDescent="0.25">
      <c r="A274" s="16"/>
      <c r="B274" s="17" t="b">
        <f t="shared" ref="B274:B337" si="80">AND(NOT(ISERROR(FIND("Section ",A274))),NOT(ISERROR(FIND("Section ",A274))))</f>
        <v>0</v>
      </c>
      <c r="C274" s="17" t="b">
        <f t="shared" si="72"/>
        <v>0</v>
      </c>
      <c r="D274" s="17">
        <f t="shared" si="74"/>
        <v>1</v>
      </c>
      <c r="E274" s="17" t="str">
        <f t="shared" si="79"/>
        <v>Section 5 - Conclusion, And FREE Coupon For Next Course</v>
      </c>
      <c r="F274" s="18" t="str">
        <f t="shared" si="75"/>
        <v/>
      </c>
      <c r="G274" s="13" t="str">
        <f t="shared" si="65"/>
        <v/>
      </c>
      <c r="H274">
        <f t="shared" si="66"/>
        <v>0</v>
      </c>
      <c r="I274">
        <f t="shared" si="67"/>
        <v>0</v>
      </c>
      <c r="J274" s="13">
        <f t="shared" si="68"/>
        <v>85</v>
      </c>
      <c r="K274">
        <f t="shared" si="76"/>
        <v>1</v>
      </c>
      <c r="L274">
        <f t="shared" si="77"/>
        <v>25</v>
      </c>
      <c r="M274" s="13">
        <f t="shared" si="69"/>
        <v>1</v>
      </c>
      <c r="N274">
        <f t="shared" si="69"/>
        <v>24</v>
      </c>
      <c r="O274" s="14">
        <f t="shared" si="73"/>
        <v>84</v>
      </c>
      <c r="P274" s="13">
        <f t="shared" si="78"/>
        <v>1</v>
      </c>
      <c r="Q274">
        <f t="shared" si="70"/>
        <v>24</v>
      </c>
      <c r="R274" s="14">
        <f t="shared" si="71"/>
        <v>84</v>
      </c>
      <c r="S274" s="15"/>
      <c r="W274" s="14"/>
    </row>
    <row r="275" spans="1:23" hidden="1" x14ac:dyDescent="0.25">
      <c r="A275" s="16"/>
      <c r="B275" s="17" t="b">
        <f t="shared" si="80"/>
        <v>0</v>
      </c>
      <c r="C275" s="17" t="b">
        <f t="shared" si="72"/>
        <v>0</v>
      </c>
      <c r="D275" s="17">
        <f t="shared" si="74"/>
        <v>1</v>
      </c>
      <c r="E275" s="17" t="str">
        <f t="shared" si="79"/>
        <v>Section 5 - Conclusion, And FREE Coupon For Next Course</v>
      </c>
      <c r="F275" s="18" t="str">
        <f t="shared" si="75"/>
        <v/>
      </c>
      <c r="G275" s="13" t="str">
        <f t="shared" si="65"/>
        <v/>
      </c>
      <c r="H275">
        <f t="shared" si="66"/>
        <v>0</v>
      </c>
      <c r="I275">
        <f t="shared" si="67"/>
        <v>0</v>
      </c>
      <c r="J275" s="13">
        <f t="shared" si="68"/>
        <v>85</v>
      </c>
      <c r="K275">
        <f t="shared" si="76"/>
        <v>1</v>
      </c>
      <c r="L275">
        <f t="shared" si="77"/>
        <v>25</v>
      </c>
      <c r="M275" s="13">
        <f t="shared" si="69"/>
        <v>1</v>
      </c>
      <c r="N275">
        <f t="shared" si="69"/>
        <v>24</v>
      </c>
      <c r="O275" s="14">
        <f t="shared" si="73"/>
        <v>84</v>
      </c>
      <c r="P275" s="13">
        <f t="shared" si="78"/>
        <v>1</v>
      </c>
      <c r="Q275">
        <f t="shared" si="70"/>
        <v>24</v>
      </c>
      <c r="R275" s="14">
        <f t="shared" si="71"/>
        <v>84</v>
      </c>
      <c r="S275" s="15"/>
      <c r="W275" s="14"/>
    </row>
    <row r="276" spans="1:23" hidden="1" x14ac:dyDescent="0.25">
      <c r="A276" s="16"/>
      <c r="B276" s="17" t="b">
        <f t="shared" si="80"/>
        <v>0</v>
      </c>
      <c r="C276" s="17" t="b">
        <f t="shared" si="72"/>
        <v>0</v>
      </c>
      <c r="D276" s="17">
        <f t="shared" si="74"/>
        <v>1</v>
      </c>
      <c r="E276" s="17" t="str">
        <f t="shared" si="79"/>
        <v>Section 5 - Conclusion, And FREE Coupon For Next Course</v>
      </c>
      <c r="F276" s="18" t="str">
        <f t="shared" si="75"/>
        <v/>
      </c>
      <c r="G276" s="13" t="str">
        <f t="shared" si="65"/>
        <v/>
      </c>
      <c r="H276">
        <f t="shared" si="66"/>
        <v>0</v>
      </c>
      <c r="I276">
        <f t="shared" si="67"/>
        <v>0</v>
      </c>
      <c r="J276" s="13">
        <f t="shared" si="68"/>
        <v>85</v>
      </c>
      <c r="K276">
        <f t="shared" si="76"/>
        <v>1</v>
      </c>
      <c r="L276">
        <f t="shared" si="77"/>
        <v>25</v>
      </c>
      <c r="M276" s="13">
        <f t="shared" si="69"/>
        <v>1</v>
      </c>
      <c r="N276">
        <f t="shared" si="69"/>
        <v>24</v>
      </c>
      <c r="O276" s="14">
        <f t="shared" si="73"/>
        <v>84</v>
      </c>
      <c r="P276" s="13">
        <f t="shared" si="78"/>
        <v>1</v>
      </c>
      <c r="Q276">
        <f t="shared" si="70"/>
        <v>24</v>
      </c>
      <c r="R276" s="14">
        <f t="shared" si="71"/>
        <v>84</v>
      </c>
      <c r="S276" s="15"/>
      <c r="W276" s="14"/>
    </row>
    <row r="277" spans="1:23" hidden="1" x14ac:dyDescent="0.25">
      <c r="A277" s="16"/>
      <c r="B277" s="17" t="b">
        <f t="shared" si="80"/>
        <v>0</v>
      </c>
      <c r="C277" s="17" t="b">
        <f t="shared" si="72"/>
        <v>0</v>
      </c>
      <c r="D277" s="17">
        <f t="shared" si="74"/>
        <v>1</v>
      </c>
      <c r="E277" s="17" t="str">
        <f t="shared" si="79"/>
        <v>Section 5 - Conclusion, And FREE Coupon For Next Course</v>
      </c>
      <c r="F277" s="18" t="str">
        <f t="shared" si="75"/>
        <v/>
      </c>
      <c r="G277" s="13" t="str">
        <f t="shared" ref="G277:G340" si="81">IF(C277,A278,"")</f>
        <v/>
      </c>
      <c r="H277">
        <f t="shared" ref="H277:H340" si="82">VALUE(IF(NOT(ISERROR(FIND("hr",G277))),LEFT(G277,FIND("hr",G277)-1),0))</f>
        <v>0</v>
      </c>
      <c r="I277">
        <f t="shared" ref="I277:I340" si="83">VALUE(IF(ISERROR(FIND("min",G277)),0,SUBSTITUTE(MID(G277,IF(ISERROR(FIND("hr ",G277)),1,FIND("hr ",G277)+3),LEN(G277)),"min","")))</f>
        <v>0</v>
      </c>
      <c r="J277" s="13">
        <f t="shared" ref="J277:J340" si="84">J276+(H277*60+I277)</f>
        <v>85</v>
      </c>
      <c r="K277">
        <f t="shared" si="76"/>
        <v>1</v>
      </c>
      <c r="L277">
        <f t="shared" si="77"/>
        <v>25</v>
      </c>
      <c r="M277" s="13">
        <f t="shared" ref="M277:N340" si="85">P276</f>
        <v>1</v>
      </c>
      <c r="N277">
        <f t="shared" si="85"/>
        <v>24</v>
      </c>
      <c r="O277" s="14">
        <f t="shared" si="73"/>
        <v>84</v>
      </c>
      <c r="P277" s="13">
        <f t="shared" si="78"/>
        <v>1</v>
      </c>
      <c r="Q277">
        <f t="shared" ref="Q277:Q340" si="86">R277-(P277*60)</f>
        <v>24</v>
      </c>
      <c r="R277" s="14">
        <f t="shared" ref="R277:R340" si="87">((H277*60)+I277)+O277</f>
        <v>84</v>
      </c>
      <c r="S277" s="15"/>
      <c r="W277" s="14"/>
    </row>
    <row r="278" spans="1:23" hidden="1" x14ac:dyDescent="0.25">
      <c r="A278" s="16"/>
      <c r="B278" s="17" t="b">
        <f t="shared" si="80"/>
        <v>0</v>
      </c>
      <c r="C278" s="17" t="b">
        <f t="shared" si="72"/>
        <v>0</v>
      </c>
      <c r="D278" s="17">
        <f t="shared" si="74"/>
        <v>1</v>
      </c>
      <c r="E278" s="17" t="str">
        <f t="shared" si="79"/>
        <v>Section 5 - Conclusion, And FREE Coupon For Next Course</v>
      </c>
      <c r="F278" s="18" t="str">
        <f t="shared" si="75"/>
        <v/>
      </c>
      <c r="G278" s="13" t="str">
        <f t="shared" si="81"/>
        <v/>
      </c>
      <c r="H278">
        <f t="shared" si="82"/>
        <v>0</v>
      </c>
      <c r="I278">
        <f t="shared" si="83"/>
        <v>0</v>
      </c>
      <c r="J278" s="13">
        <f t="shared" si="84"/>
        <v>85</v>
      </c>
      <c r="K278">
        <f t="shared" si="76"/>
        <v>1</v>
      </c>
      <c r="L278">
        <f t="shared" si="77"/>
        <v>25</v>
      </c>
      <c r="M278" s="13">
        <f t="shared" si="85"/>
        <v>1</v>
      </c>
      <c r="N278">
        <f t="shared" si="85"/>
        <v>24</v>
      </c>
      <c r="O278" s="14">
        <f t="shared" si="73"/>
        <v>84</v>
      </c>
      <c r="P278" s="13">
        <f t="shared" si="78"/>
        <v>1</v>
      </c>
      <c r="Q278">
        <f t="shared" si="86"/>
        <v>24</v>
      </c>
      <c r="R278" s="14">
        <f t="shared" si="87"/>
        <v>84</v>
      </c>
      <c r="S278" s="15"/>
      <c r="W278" s="14"/>
    </row>
    <row r="279" spans="1:23" hidden="1" x14ac:dyDescent="0.25">
      <c r="A279" s="16"/>
      <c r="B279" s="17" t="b">
        <f t="shared" si="80"/>
        <v>0</v>
      </c>
      <c r="C279" s="17" t="b">
        <f t="shared" si="72"/>
        <v>0</v>
      </c>
      <c r="D279" s="17">
        <f t="shared" si="74"/>
        <v>1</v>
      </c>
      <c r="E279" s="17" t="str">
        <f t="shared" si="79"/>
        <v>Section 5 - Conclusion, And FREE Coupon For Next Course</v>
      </c>
      <c r="F279" s="18" t="str">
        <f t="shared" si="75"/>
        <v/>
      </c>
      <c r="G279" s="13" t="str">
        <f t="shared" si="81"/>
        <v/>
      </c>
      <c r="H279">
        <f t="shared" si="82"/>
        <v>0</v>
      </c>
      <c r="I279">
        <f t="shared" si="83"/>
        <v>0</v>
      </c>
      <c r="J279" s="13">
        <f t="shared" si="84"/>
        <v>85</v>
      </c>
      <c r="K279">
        <f t="shared" si="76"/>
        <v>1</v>
      </c>
      <c r="L279">
        <f t="shared" si="77"/>
        <v>25</v>
      </c>
      <c r="M279" s="13">
        <f t="shared" si="85"/>
        <v>1</v>
      </c>
      <c r="N279">
        <f t="shared" si="85"/>
        <v>24</v>
      </c>
      <c r="O279" s="14">
        <f t="shared" si="73"/>
        <v>84</v>
      </c>
      <c r="P279" s="13">
        <f t="shared" si="78"/>
        <v>1</v>
      </c>
      <c r="Q279">
        <f t="shared" si="86"/>
        <v>24</v>
      </c>
      <c r="R279" s="14">
        <f t="shared" si="87"/>
        <v>84</v>
      </c>
      <c r="S279" s="15"/>
      <c r="W279" s="14"/>
    </row>
    <row r="280" spans="1:23" hidden="1" x14ac:dyDescent="0.25">
      <c r="A280" s="16"/>
      <c r="B280" s="17" t="b">
        <f t="shared" si="80"/>
        <v>0</v>
      </c>
      <c r="C280" s="17" t="b">
        <f t="shared" si="72"/>
        <v>0</v>
      </c>
      <c r="D280" s="17">
        <f t="shared" si="74"/>
        <v>1</v>
      </c>
      <c r="E280" s="17" t="str">
        <f t="shared" si="79"/>
        <v>Section 5 - Conclusion, And FREE Coupon For Next Course</v>
      </c>
      <c r="F280" s="18" t="str">
        <f t="shared" si="75"/>
        <v/>
      </c>
      <c r="G280" s="13" t="str">
        <f t="shared" si="81"/>
        <v/>
      </c>
      <c r="H280">
        <f t="shared" si="82"/>
        <v>0</v>
      </c>
      <c r="I280">
        <f t="shared" si="83"/>
        <v>0</v>
      </c>
      <c r="J280" s="13">
        <f t="shared" si="84"/>
        <v>85</v>
      </c>
      <c r="K280">
        <f t="shared" si="76"/>
        <v>1</v>
      </c>
      <c r="L280">
        <f t="shared" si="77"/>
        <v>25</v>
      </c>
      <c r="M280" s="13">
        <f t="shared" si="85"/>
        <v>1</v>
      </c>
      <c r="N280">
        <f t="shared" si="85"/>
        <v>24</v>
      </c>
      <c r="O280" s="14">
        <f t="shared" si="73"/>
        <v>84</v>
      </c>
      <c r="P280" s="13">
        <f t="shared" si="78"/>
        <v>1</v>
      </c>
      <c r="Q280">
        <f t="shared" si="86"/>
        <v>24</v>
      </c>
      <c r="R280" s="14">
        <f t="shared" si="87"/>
        <v>84</v>
      </c>
      <c r="S280" s="15"/>
      <c r="W280" s="14"/>
    </row>
    <row r="281" spans="1:23" hidden="1" x14ac:dyDescent="0.25">
      <c r="A281" s="16"/>
      <c r="B281" s="17" t="b">
        <f t="shared" si="80"/>
        <v>0</v>
      </c>
      <c r="C281" s="17" t="b">
        <f t="shared" si="72"/>
        <v>0</v>
      </c>
      <c r="D281" s="17">
        <f t="shared" si="74"/>
        <v>1</v>
      </c>
      <c r="E281" s="17" t="str">
        <f t="shared" si="79"/>
        <v>Section 5 - Conclusion, And FREE Coupon For Next Course</v>
      </c>
      <c r="F281" s="18" t="str">
        <f t="shared" si="75"/>
        <v/>
      </c>
      <c r="G281" s="13" t="str">
        <f t="shared" si="81"/>
        <v/>
      </c>
      <c r="H281">
        <f t="shared" si="82"/>
        <v>0</v>
      </c>
      <c r="I281">
        <f t="shared" si="83"/>
        <v>0</v>
      </c>
      <c r="J281" s="13">
        <f t="shared" si="84"/>
        <v>85</v>
      </c>
      <c r="K281">
        <f t="shared" si="76"/>
        <v>1</v>
      </c>
      <c r="L281">
        <f t="shared" si="77"/>
        <v>25</v>
      </c>
      <c r="M281" s="13">
        <f t="shared" si="85"/>
        <v>1</v>
      </c>
      <c r="N281">
        <f t="shared" si="85"/>
        <v>24</v>
      </c>
      <c r="O281" s="14">
        <f t="shared" si="73"/>
        <v>84</v>
      </c>
      <c r="P281" s="13">
        <f t="shared" si="78"/>
        <v>1</v>
      </c>
      <c r="Q281">
        <f t="shared" si="86"/>
        <v>24</v>
      </c>
      <c r="R281" s="14">
        <f t="shared" si="87"/>
        <v>84</v>
      </c>
      <c r="S281" s="15"/>
      <c r="W281" s="14"/>
    </row>
    <row r="282" spans="1:23" hidden="1" x14ac:dyDescent="0.25">
      <c r="A282" s="16"/>
      <c r="B282" s="17" t="b">
        <f t="shared" si="80"/>
        <v>0</v>
      </c>
      <c r="C282" s="17" t="b">
        <f t="shared" si="72"/>
        <v>0</v>
      </c>
      <c r="D282" s="17">
        <f t="shared" si="74"/>
        <v>1</v>
      </c>
      <c r="E282" s="17" t="str">
        <f t="shared" si="79"/>
        <v>Section 5 - Conclusion, And FREE Coupon For Next Course</v>
      </c>
      <c r="F282" s="18" t="str">
        <f t="shared" si="75"/>
        <v/>
      </c>
      <c r="G282" s="13" t="str">
        <f t="shared" si="81"/>
        <v/>
      </c>
      <c r="H282">
        <f t="shared" si="82"/>
        <v>0</v>
      </c>
      <c r="I282">
        <f t="shared" si="83"/>
        <v>0</v>
      </c>
      <c r="J282" s="13">
        <f t="shared" si="84"/>
        <v>85</v>
      </c>
      <c r="K282">
        <f t="shared" si="76"/>
        <v>1</v>
      </c>
      <c r="L282">
        <f t="shared" si="77"/>
        <v>25</v>
      </c>
      <c r="M282" s="13">
        <f t="shared" si="85"/>
        <v>1</v>
      </c>
      <c r="N282">
        <f t="shared" si="85"/>
        <v>24</v>
      </c>
      <c r="O282" s="14">
        <f t="shared" si="73"/>
        <v>84</v>
      </c>
      <c r="P282" s="13">
        <f t="shared" si="78"/>
        <v>1</v>
      </c>
      <c r="Q282">
        <f t="shared" si="86"/>
        <v>24</v>
      </c>
      <c r="R282" s="14">
        <f t="shared" si="87"/>
        <v>84</v>
      </c>
      <c r="S282" s="15"/>
      <c r="W282" s="14"/>
    </row>
    <row r="283" spans="1:23" hidden="1" x14ac:dyDescent="0.25">
      <c r="A283" s="16"/>
      <c r="B283" s="17" t="b">
        <f t="shared" si="80"/>
        <v>0</v>
      </c>
      <c r="C283" s="17" t="b">
        <f t="shared" si="72"/>
        <v>0</v>
      </c>
      <c r="D283" s="17">
        <f t="shared" si="74"/>
        <v>1</v>
      </c>
      <c r="E283" s="17" t="str">
        <f t="shared" si="79"/>
        <v>Section 5 - Conclusion, And FREE Coupon For Next Course</v>
      </c>
      <c r="F283" s="18" t="str">
        <f t="shared" si="75"/>
        <v/>
      </c>
      <c r="G283" s="13" t="str">
        <f t="shared" si="81"/>
        <v/>
      </c>
      <c r="H283">
        <f t="shared" si="82"/>
        <v>0</v>
      </c>
      <c r="I283">
        <f t="shared" si="83"/>
        <v>0</v>
      </c>
      <c r="J283" s="13">
        <f t="shared" si="84"/>
        <v>85</v>
      </c>
      <c r="K283">
        <f t="shared" si="76"/>
        <v>1</v>
      </c>
      <c r="L283">
        <f t="shared" si="77"/>
        <v>25</v>
      </c>
      <c r="M283" s="13">
        <f t="shared" si="85"/>
        <v>1</v>
      </c>
      <c r="N283">
        <f t="shared" si="85"/>
        <v>24</v>
      </c>
      <c r="O283" s="14">
        <f t="shared" si="73"/>
        <v>84</v>
      </c>
      <c r="P283" s="13">
        <f t="shared" si="78"/>
        <v>1</v>
      </c>
      <c r="Q283">
        <f t="shared" si="86"/>
        <v>24</v>
      </c>
      <c r="R283" s="14">
        <f t="shared" si="87"/>
        <v>84</v>
      </c>
      <c r="S283" s="15"/>
      <c r="W283" s="14"/>
    </row>
    <row r="284" spans="1:23" hidden="1" x14ac:dyDescent="0.25">
      <c r="A284" s="16"/>
      <c r="B284" s="17" t="b">
        <f t="shared" si="80"/>
        <v>0</v>
      </c>
      <c r="C284" s="17" t="b">
        <f t="shared" si="72"/>
        <v>0</v>
      </c>
      <c r="D284" s="17">
        <f t="shared" si="74"/>
        <v>1</v>
      </c>
      <c r="E284" s="17" t="str">
        <f t="shared" si="79"/>
        <v>Section 5 - Conclusion, And FREE Coupon For Next Course</v>
      </c>
      <c r="F284" s="18" t="str">
        <f t="shared" si="75"/>
        <v/>
      </c>
      <c r="G284" s="13" t="str">
        <f t="shared" si="81"/>
        <v/>
      </c>
      <c r="H284">
        <f t="shared" si="82"/>
        <v>0</v>
      </c>
      <c r="I284">
        <f t="shared" si="83"/>
        <v>0</v>
      </c>
      <c r="J284" s="13">
        <f t="shared" si="84"/>
        <v>85</v>
      </c>
      <c r="K284">
        <f t="shared" si="76"/>
        <v>1</v>
      </c>
      <c r="L284">
        <f t="shared" si="77"/>
        <v>25</v>
      </c>
      <c r="M284" s="13">
        <f t="shared" si="85"/>
        <v>1</v>
      </c>
      <c r="N284">
        <f t="shared" si="85"/>
        <v>24</v>
      </c>
      <c r="O284" s="14">
        <f t="shared" si="73"/>
        <v>84</v>
      </c>
      <c r="P284" s="13">
        <f t="shared" si="78"/>
        <v>1</v>
      </c>
      <c r="Q284">
        <f t="shared" si="86"/>
        <v>24</v>
      </c>
      <c r="R284" s="14">
        <f t="shared" si="87"/>
        <v>84</v>
      </c>
      <c r="S284" s="15"/>
      <c r="W284" s="14"/>
    </row>
    <row r="285" spans="1:23" hidden="1" x14ac:dyDescent="0.25">
      <c r="A285" s="16"/>
      <c r="B285" s="17" t="b">
        <f t="shared" si="80"/>
        <v>0</v>
      </c>
      <c r="C285" s="17" t="b">
        <f t="shared" si="72"/>
        <v>0</v>
      </c>
      <c r="D285" s="17">
        <f t="shared" si="74"/>
        <v>1</v>
      </c>
      <c r="E285" s="17" t="str">
        <f t="shared" si="79"/>
        <v>Section 5 - Conclusion, And FREE Coupon For Next Course</v>
      </c>
      <c r="F285" s="18" t="str">
        <f t="shared" si="75"/>
        <v/>
      </c>
      <c r="G285" s="13" t="str">
        <f t="shared" si="81"/>
        <v/>
      </c>
      <c r="H285">
        <f t="shared" si="82"/>
        <v>0</v>
      </c>
      <c r="I285">
        <f t="shared" si="83"/>
        <v>0</v>
      </c>
      <c r="J285" s="13">
        <f t="shared" si="84"/>
        <v>85</v>
      </c>
      <c r="K285">
        <f t="shared" si="76"/>
        <v>1</v>
      </c>
      <c r="L285">
        <f t="shared" si="77"/>
        <v>25</v>
      </c>
      <c r="M285" s="13">
        <f t="shared" si="85"/>
        <v>1</v>
      </c>
      <c r="N285">
        <f t="shared" si="85"/>
        <v>24</v>
      </c>
      <c r="O285" s="14">
        <f t="shared" si="73"/>
        <v>84</v>
      </c>
      <c r="P285" s="13">
        <f t="shared" si="78"/>
        <v>1</v>
      </c>
      <c r="Q285">
        <f t="shared" si="86"/>
        <v>24</v>
      </c>
      <c r="R285" s="14">
        <f t="shared" si="87"/>
        <v>84</v>
      </c>
      <c r="S285" s="15"/>
      <c r="W285" s="14"/>
    </row>
    <row r="286" spans="1:23" hidden="1" x14ac:dyDescent="0.25">
      <c r="A286" s="16"/>
      <c r="B286" s="17" t="b">
        <f t="shared" si="80"/>
        <v>0</v>
      </c>
      <c r="C286" s="17" t="b">
        <f t="shared" si="72"/>
        <v>0</v>
      </c>
      <c r="D286" s="17">
        <f t="shared" si="74"/>
        <v>1</v>
      </c>
      <c r="E286" s="17" t="str">
        <f t="shared" si="79"/>
        <v>Section 5 - Conclusion, And FREE Coupon For Next Course</v>
      </c>
      <c r="F286" s="18" t="str">
        <f t="shared" si="75"/>
        <v/>
      </c>
      <c r="G286" s="13" t="str">
        <f t="shared" si="81"/>
        <v/>
      </c>
      <c r="H286">
        <f t="shared" si="82"/>
        <v>0</v>
      </c>
      <c r="I286">
        <f t="shared" si="83"/>
        <v>0</v>
      </c>
      <c r="J286" s="13">
        <f t="shared" si="84"/>
        <v>85</v>
      </c>
      <c r="K286">
        <f t="shared" si="76"/>
        <v>1</v>
      </c>
      <c r="L286">
        <f t="shared" si="77"/>
        <v>25</v>
      </c>
      <c r="M286" s="13">
        <f t="shared" si="85"/>
        <v>1</v>
      </c>
      <c r="N286">
        <f t="shared" si="85"/>
        <v>24</v>
      </c>
      <c r="O286" s="14">
        <f t="shared" si="73"/>
        <v>84</v>
      </c>
      <c r="P286" s="13">
        <f t="shared" si="78"/>
        <v>1</v>
      </c>
      <c r="Q286">
        <f t="shared" si="86"/>
        <v>24</v>
      </c>
      <c r="R286" s="14">
        <f t="shared" si="87"/>
        <v>84</v>
      </c>
      <c r="S286" s="15"/>
      <c r="W286" s="14"/>
    </row>
    <row r="287" spans="1:23" hidden="1" x14ac:dyDescent="0.25">
      <c r="A287" s="16"/>
      <c r="B287" s="17" t="b">
        <f t="shared" si="80"/>
        <v>0</v>
      </c>
      <c r="C287" s="17" t="b">
        <f t="shared" si="72"/>
        <v>0</v>
      </c>
      <c r="D287" s="17">
        <f t="shared" si="74"/>
        <v>1</v>
      </c>
      <c r="E287" s="17" t="str">
        <f t="shared" si="79"/>
        <v>Section 5 - Conclusion, And FREE Coupon For Next Course</v>
      </c>
      <c r="F287" s="18" t="str">
        <f t="shared" si="75"/>
        <v/>
      </c>
      <c r="G287" s="13" t="str">
        <f t="shared" si="81"/>
        <v/>
      </c>
      <c r="H287">
        <f t="shared" si="82"/>
        <v>0</v>
      </c>
      <c r="I287">
        <f t="shared" si="83"/>
        <v>0</v>
      </c>
      <c r="J287" s="13">
        <f t="shared" si="84"/>
        <v>85</v>
      </c>
      <c r="K287">
        <f t="shared" si="76"/>
        <v>1</v>
      </c>
      <c r="L287">
        <f t="shared" si="77"/>
        <v>25</v>
      </c>
      <c r="M287" s="13">
        <f t="shared" si="85"/>
        <v>1</v>
      </c>
      <c r="N287">
        <f t="shared" si="85"/>
        <v>24</v>
      </c>
      <c r="O287" s="14">
        <f t="shared" si="73"/>
        <v>84</v>
      </c>
      <c r="P287" s="13">
        <f t="shared" si="78"/>
        <v>1</v>
      </c>
      <c r="Q287">
        <f t="shared" si="86"/>
        <v>24</v>
      </c>
      <c r="R287" s="14">
        <f t="shared" si="87"/>
        <v>84</v>
      </c>
      <c r="S287" s="15"/>
      <c r="W287" s="14"/>
    </row>
    <row r="288" spans="1:23" hidden="1" x14ac:dyDescent="0.25">
      <c r="A288" s="16"/>
      <c r="B288" s="17" t="b">
        <f t="shared" si="80"/>
        <v>0</v>
      </c>
      <c r="C288" s="17" t="b">
        <f t="shared" si="72"/>
        <v>0</v>
      </c>
      <c r="D288" s="17">
        <f t="shared" si="74"/>
        <v>1</v>
      </c>
      <c r="E288" s="17" t="str">
        <f t="shared" si="79"/>
        <v>Section 5 - Conclusion, And FREE Coupon For Next Course</v>
      </c>
      <c r="F288" s="18" t="str">
        <f t="shared" si="75"/>
        <v/>
      </c>
      <c r="G288" s="13" t="str">
        <f t="shared" si="81"/>
        <v/>
      </c>
      <c r="H288">
        <f t="shared" si="82"/>
        <v>0</v>
      </c>
      <c r="I288">
        <f t="shared" si="83"/>
        <v>0</v>
      </c>
      <c r="J288" s="13">
        <f t="shared" si="84"/>
        <v>85</v>
      </c>
      <c r="K288">
        <f t="shared" si="76"/>
        <v>1</v>
      </c>
      <c r="L288">
        <f t="shared" si="77"/>
        <v>25</v>
      </c>
      <c r="M288" s="13">
        <f t="shared" si="85"/>
        <v>1</v>
      </c>
      <c r="N288">
        <f t="shared" si="85"/>
        <v>24</v>
      </c>
      <c r="O288" s="14">
        <f t="shared" si="73"/>
        <v>84</v>
      </c>
      <c r="P288" s="13">
        <f t="shared" si="78"/>
        <v>1</v>
      </c>
      <c r="Q288">
        <f t="shared" si="86"/>
        <v>24</v>
      </c>
      <c r="R288" s="14">
        <f t="shared" si="87"/>
        <v>84</v>
      </c>
      <c r="S288" s="15"/>
      <c r="W288" s="14"/>
    </row>
    <row r="289" spans="1:23" hidden="1" x14ac:dyDescent="0.25">
      <c r="A289" s="16"/>
      <c r="B289" s="17" t="b">
        <f t="shared" si="80"/>
        <v>0</v>
      </c>
      <c r="C289" s="17" t="b">
        <f t="shared" si="72"/>
        <v>0</v>
      </c>
      <c r="D289" s="17">
        <f t="shared" si="74"/>
        <v>1</v>
      </c>
      <c r="E289" s="17" t="str">
        <f t="shared" si="79"/>
        <v>Section 5 - Conclusion, And FREE Coupon For Next Course</v>
      </c>
      <c r="F289" s="18" t="str">
        <f t="shared" si="75"/>
        <v/>
      </c>
      <c r="G289" s="13" t="str">
        <f t="shared" si="81"/>
        <v/>
      </c>
      <c r="H289">
        <f t="shared" si="82"/>
        <v>0</v>
      </c>
      <c r="I289">
        <f t="shared" si="83"/>
        <v>0</v>
      </c>
      <c r="J289" s="13">
        <f t="shared" si="84"/>
        <v>85</v>
      </c>
      <c r="K289">
        <f t="shared" si="76"/>
        <v>1</v>
      </c>
      <c r="L289">
        <f t="shared" si="77"/>
        <v>25</v>
      </c>
      <c r="M289" s="13">
        <f t="shared" si="85"/>
        <v>1</v>
      </c>
      <c r="N289">
        <f t="shared" si="85"/>
        <v>24</v>
      </c>
      <c r="O289" s="14">
        <f t="shared" si="73"/>
        <v>84</v>
      </c>
      <c r="P289" s="13">
        <f t="shared" si="78"/>
        <v>1</v>
      </c>
      <c r="Q289">
        <f t="shared" si="86"/>
        <v>24</v>
      </c>
      <c r="R289" s="14">
        <f t="shared" si="87"/>
        <v>84</v>
      </c>
      <c r="S289" s="15"/>
      <c r="W289" s="14"/>
    </row>
    <row r="290" spans="1:23" hidden="1" x14ac:dyDescent="0.25">
      <c r="A290" s="16"/>
      <c r="B290" s="17" t="b">
        <f t="shared" si="80"/>
        <v>0</v>
      </c>
      <c r="C290" s="17" t="b">
        <f t="shared" si="72"/>
        <v>0</v>
      </c>
      <c r="D290" s="17">
        <f t="shared" si="74"/>
        <v>1</v>
      </c>
      <c r="E290" s="17" t="str">
        <f t="shared" si="79"/>
        <v>Section 5 - Conclusion, And FREE Coupon For Next Course</v>
      </c>
      <c r="F290" s="18" t="str">
        <f t="shared" si="75"/>
        <v/>
      </c>
      <c r="G290" s="13" t="str">
        <f t="shared" si="81"/>
        <v/>
      </c>
      <c r="H290">
        <f t="shared" si="82"/>
        <v>0</v>
      </c>
      <c r="I290">
        <f t="shared" si="83"/>
        <v>0</v>
      </c>
      <c r="J290" s="13">
        <f t="shared" si="84"/>
        <v>85</v>
      </c>
      <c r="K290">
        <f t="shared" si="76"/>
        <v>1</v>
      </c>
      <c r="L290">
        <f t="shared" si="77"/>
        <v>25</v>
      </c>
      <c r="M290" s="13">
        <f t="shared" si="85"/>
        <v>1</v>
      </c>
      <c r="N290">
        <f t="shared" si="85"/>
        <v>24</v>
      </c>
      <c r="O290" s="14">
        <f t="shared" si="73"/>
        <v>84</v>
      </c>
      <c r="P290" s="13">
        <f t="shared" si="78"/>
        <v>1</v>
      </c>
      <c r="Q290">
        <f t="shared" si="86"/>
        <v>24</v>
      </c>
      <c r="R290" s="14">
        <f t="shared" si="87"/>
        <v>84</v>
      </c>
      <c r="S290" s="15"/>
      <c r="W290" s="14"/>
    </row>
    <row r="291" spans="1:23" hidden="1" x14ac:dyDescent="0.25">
      <c r="A291" s="16"/>
      <c r="B291" s="17" t="b">
        <f t="shared" si="80"/>
        <v>0</v>
      </c>
      <c r="C291" s="17" t="b">
        <f t="shared" si="72"/>
        <v>0</v>
      </c>
      <c r="D291" s="17">
        <f t="shared" si="74"/>
        <v>1</v>
      </c>
      <c r="E291" s="17" t="str">
        <f t="shared" si="79"/>
        <v>Section 5 - Conclusion, And FREE Coupon For Next Course</v>
      </c>
      <c r="F291" s="18" t="str">
        <f t="shared" si="75"/>
        <v/>
      </c>
      <c r="G291" s="13" t="str">
        <f t="shared" si="81"/>
        <v/>
      </c>
      <c r="H291">
        <f t="shared" si="82"/>
        <v>0</v>
      </c>
      <c r="I291">
        <f t="shared" si="83"/>
        <v>0</v>
      </c>
      <c r="J291" s="13">
        <f t="shared" si="84"/>
        <v>85</v>
      </c>
      <c r="K291">
        <f t="shared" si="76"/>
        <v>1</v>
      </c>
      <c r="L291">
        <f t="shared" si="77"/>
        <v>25</v>
      </c>
      <c r="M291" s="13">
        <f t="shared" si="85"/>
        <v>1</v>
      </c>
      <c r="N291">
        <f t="shared" si="85"/>
        <v>24</v>
      </c>
      <c r="O291" s="14">
        <f t="shared" si="73"/>
        <v>84</v>
      </c>
      <c r="P291" s="13">
        <f t="shared" si="78"/>
        <v>1</v>
      </c>
      <c r="Q291">
        <f t="shared" si="86"/>
        <v>24</v>
      </c>
      <c r="R291" s="14">
        <f t="shared" si="87"/>
        <v>84</v>
      </c>
      <c r="S291" s="15"/>
      <c r="W291" s="14"/>
    </row>
    <row r="292" spans="1:23" hidden="1" x14ac:dyDescent="0.25">
      <c r="A292" s="16"/>
      <c r="B292" s="17" t="b">
        <f t="shared" si="80"/>
        <v>0</v>
      </c>
      <c r="C292" s="17" t="b">
        <f t="shared" si="72"/>
        <v>0</v>
      </c>
      <c r="D292" s="17">
        <f t="shared" si="74"/>
        <v>1</v>
      </c>
      <c r="E292" s="17" t="str">
        <f t="shared" si="79"/>
        <v>Section 5 - Conclusion, And FREE Coupon For Next Course</v>
      </c>
      <c r="F292" s="18" t="str">
        <f t="shared" si="75"/>
        <v/>
      </c>
      <c r="G292" s="13" t="str">
        <f t="shared" si="81"/>
        <v/>
      </c>
      <c r="H292">
        <f t="shared" si="82"/>
        <v>0</v>
      </c>
      <c r="I292">
        <f t="shared" si="83"/>
        <v>0</v>
      </c>
      <c r="J292" s="13">
        <f t="shared" si="84"/>
        <v>85</v>
      </c>
      <c r="K292">
        <f t="shared" si="76"/>
        <v>1</v>
      </c>
      <c r="L292">
        <f t="shared" si="77"/>
        <v>25</v>
      </c>
      <c r="M292" s="13">
        <f t="shared" si="85"/>
        <v>1</v>
      </c>
      <c r="N292">
        <f t="shared" si="85"/>
        <v>24</v>
      </c>
      <c r="O292" s="14">
        <f t="shared" si="73"/>
        <v>84</v>
      </c>
      <c r="P292" s="13">
        <f t="shared" si="78"/>
        <v>1</v>
      </c>
      <c r="Q292">
        <f t="shared" si="86"/>
        <v>24</v>
      </c>
      <c r="R292" s="14">
        <f t="shared" si="87"/>
        <v>84</v>
      </c>
      <c r="S292" s="15"/>
      <c r="W292" s="14"/>
    </row>
    <row r="293" spans="1:23" hidden="1" x14ac:dyDescent="0.25">
      <c r="A293" s="16"/>
      <c r="B293" s="17" t="b">
        <f t="shared" si="80"/>
        <v>0</v>
      </c>
      <c r="C293" s="17" t="b">
        <f t="shared" si="72"/>
        <v>0</v>
      </c>
      <c r="D293" s="17">
        <f t="shared" si="74"/>
        <v>1</v>
      </c>
      <c r="E293" s="17" t="str">
        <f t="shared" si="79"/>
        <v>Section 5 - Conclusion, And FREE Coupon For Next Course</v>
      </c>
      <c r="F293" s="18" t="str">
        <f t="shared" si="75"/>
        <v/>
      </c>
      <c r="G293" s="13" t="str">
        <f t="shared" si="81"/>
        <v/>
      </c>
      <c r="H293">
        <f t="shared" si="82"/>
        <v>0</v>
      </c>
      <c r="I293">
        <f t="shared" si="83"/>
        <v>0</v>
      </c>
      <c r="J293" s="13">
        <f t="shared" si="84"/>
        <v>85</v>
      </c>
      <c r="K293">
        <f t="shared" si="76"/>
        <v>1</v>
      </c>
      <c r="L293">
        <f t="shared" si="77"/>
        <v>25</v>
      </c>
      <c r="M293" s="13">
        <f t="shared" si="85"/>
        <v>1</v>
      </c>
      <c r="N293">
        <f t="shared" si="85"/>
        <v>24</v>
      </c>
      <c r="O293" s="14">
        <f t="shared" si="73"/>
        <v>84</v>
      </c>
      <c r="P293" s="13">
        <f t="shared" si="78"/>
        <v>1</v>
      </c>
      <c r="Q293">
        <f t="shared" si="86"/>
        <v>24</v>
      </c>
      <c r="R293" s="14">
        <f t="shared" si="87"/>
        <v>84</v>
      </c>
      <c r="S293" s="15"/>
      <c r="W293" s="14"/>
    </row>
    <row r="294" spans="1:23" hidden="1" x14ac:dyDescent="0.25">
      <c r="A294" s="16"/>
      <c r="B294" s="17" t="b">
        <f t="shared" si="80"/>
        <v>0</v>
      </c>
      <c r="C294" s="17" t="b">
        <f t="shared" si="72"/>
        <v>0</v>
      </c>
      <c r="D294" s="17">
        <f t="shared" si="74"/>
        <v>1</v>
      </c>
      <c r="E294" s="17" t="str">
        <f t="shared" si="79"/>
        <v>Section 5 - Conclusion, And FREE Coupon For Next Course</v>
      </c>
      <c r="F294" s="18" t="str">
        <f t="shared" si="75"/>
        <v/>
      </c>
      <c r="G294" s="13" t="str">
        <f t="shared" si="81"/>
        <v/>
      </c>
      <c r="H294">
        <f t="shared" si="82"/>
        <v>0</v>
      </c>
      <c r="I294">
        <f t="shared" si="83"/>
        <v>0</v>
      </c>
      <c r="J294" s="13">
        <f t="shared" si="84"/>
        <v>85</v>
      </c>
      <c r="K294">
        <f t="shared" si="76"/>
        <v>1</v>
      </c>
      <c r="L294">
        <f t="shared" si="77"/>
        <v>25</v>
      </c>
      <c r="M294" s="13">
        <f t="shared" si="85"/>
        <v>1</v>
      </c>
      <c r="N294">
        <f t="shared" si="85"/>
        <v>24</v>
      </c>
      <c r="O294" s="14">
        <f t="shared" si="73"/>
        <v>84</v>
      </c>
      <c r="P294" s="13">
        <f t="shared" si="78"/>
        <v>1</v>
      </c>
      <c r="Q294">
        <f t="shared" si="86"/>
        <v>24</v>
      </c>
      <c r="R294" s="14">
        <f t="shared" si="87"/>
        <v>84</v>
      </c>
      <c r="S294" s="15"/>
      <c r="W294" s="14"/>
    </row>
    <row r="295" spans="1:23" hidden="1" x14ac:dyDescent="0.25">
      <c r="A295" s="16"/>
      <c r="B295" s="17" t="b">
        <f t="shared" si="80"/>
        <v>0</v>
      </c>
      <c r="C295" s="17" t="b">
        <f t="shared" si="72"/>
        <v>0</v>
      </c>
      <c r="D295" s="17">
        <f t="shared" si="74"/>
        <v>1</v>
      </c>
      <c r="E295" s="17" t="str">
        <f t="shared" si="79"/>
        <v>Section 5 - Conclusion, And FREE Coupon For Next Course</v>
      </c>
      <c r="F295" s="18" t="str">
        <f t="shared" si="75"/>
        <v/>
      </c>
      <c r="G295" s="13" t="str">
        <f t="shared" si="81"/>
        <v/>
      </c>
      <c r="H295">
        <f t="shared" si="82"/>
        <v>0</v>
      </c>
      <c r="I295">
        <f t="shared" si="83"/>
        <v>0</v>
      </c>
      <c r="J295" s="13">
        <f t="shared" si="84"/>
        <v>85</v>
      </c>
      <c r="K295">
        <f t="shared" si="76"/>
        <v>1</v>
      </c>
      <c r="L295">
        <f t="shared" si="77"/>
        <v>25</v>
      </c>
      <c r="M295" s="13">
        <f t="shared" si="85"/>
        <v>1</v>
      </c>
      <c r="N295">
        <f t="shared" si="85"/>
        <v>24</v>
      </c>
      <c r="O295" s="14">
        <f t="shared" si="73"/>
        <v>84</v>
      </c>
      <c r="P295" s="13">
        <f t="shared" si="78"/>
        <v>1</v>
      </c>
      <c r="Q295">
        <f t="shared" si="86"/>
        <v>24</v>
      </c>
      <c r="R295" s="14">
        <f t="shared" si="87"/>
        <v>84</v>
      </c>
      <c r="S295" s="15"/>
      <c r="W295" s="14"/>
    </row>
    <row r="296" spans="1:23" hidden="1" x14ac:dyDescent="0.25">
      <c r="A296" s="16"/>
      <c r="B296" s="17" t="b">
        <f t="shared" si="80"/>
        <v>0</v>
      </c>
      <c r="C296" s="17" t="b">
        <f t="shared" si="72"/>
        <v>0</v>
      </c>
      <c r="D296" s="17">
        <f t="shared" si="74"/>
        <v>1</v>
      </c>
      <c r="E296" s="17" t="str">
        <f t="shared" si="79"/>
        <v>Section 5 - Conclusion, And FREE Coupon For Next Course</v>
      </c>
      <c r="F296" s="18" t="str">
        <f t="shared" si="75"/>
        <v/>
      </c>
      <c r="G296" s="13" t="str">
        <f t="shared" si="81"/>
        <v/>
      </c>
      <c r="H296">
        <f t="shared" si="82"/>
        <v>0</v>
      </c>
      <c r="I296">
        <f t="shared" si="83"/>
        <v>0</v>
      </c>
      <c r="J296" s="13">
        <f t="shared" si="84"/>
        <v>85</v>
      </c>
      <c r="K296">
        <f t="shared" si="76"/>
        <v>1</v>
      </c>
      <c r="L296">
        <f t="shared" si="77"/>
        <v>25</v>
      </c>
      <c r="M296" s="13">
        <f t="shared" si="85"/>
        <v>1</v>
      </c>
      <c r="N296">
        <f t="shared" si="85"/>
        <v>24</v>
      </c>
      <c r="O296" s="14">
        <f t="shared" si="73"/>
        <v>84</v>
      </c>
      <c r="P296" s="13">
        <f t="shared" si="78"/>
        <v>1</v>
      </c>
      <c r="Q296">
        <f t="shared" si="86"/>
        <v>24</v>
      </c>
      <c r="R296" s="14">
        <f t="shared" si="87"/>
        <v>84</v>
      </c>
      <c r="S296" s="15"/>
      <c r="W296" s="14"/>
    </row>
    <row r="297" spans="1:23" hidden="1" x14ac:dyDescent="0.25">
      <c r="A297" s="16"/>
      <c r="B297" s="17" t="b">
        <f t="shared" si="80"/>
        <v>0</v>
      </c>
      <c r="C297" s="17" t="b">
        <f t="shared" si="72"/>
        <v>0</v>
      </c>
      <c r="D297" s="17">
        <f t="shared" si="74"/>
        <v>1</v>
      </c>
      <c r="E297" s="17" t="str">
        <f t="shared" si="79"/>
        <v>Section 5 - Conclusion, And FREE Coupon For Next Course</v>
      </c>
      <c r="F297" s="18" t="str">
        <f t="shared" si="75"/>
        <v/>
      </c>
      <c r="G297" s="13" t="str">
        <f t="shared" si="81"/>
        <v/>
      </c>
      <c r="H297">
        <f t="shared" si="82"/>
        <v>0</v>
      </c>
      <c r="I297">
        <f t="shared" si="83"/>
        <v>0</v>
      </c>
      <c r="J297" s="13">
        <f t="shared" si="84"/>
        <v>85</v>
      </c>
      <c r="K297">
        <f t="shared" si="76"/>
        <v>1</v>
      </c>
      <c r="L297">
        <f t="shared" si="77"/>
        <v>25</v>
      </c>
      <c r="M297" s="13">
        <f t="shared" si="85"/>
        <v>1</v>
      </c>
      <c r="N297">
        <f t="shared" si="85"/>
        <v>24</v>
      </c>
      <c r="O297" s="14">
        <f t="shared" si="73"/>
        <v>84</v>
      </c>
      <c r="P297" s="13">
        <f t="shared" si="78"/>
        <v>1</v>
      </c>
      <c r="Q297">
        <f t="shared" si="86"/>
        <v>24</v>
      </c>
      <c r="R297" s="14">
        <f t="shared" si="87"/>
        <v>84</v>
      </c>
      <c r="S297" s="15"/>
      <c r="W297" s="14"/>
    </row>
    <row r="298" spans="1:23" hidden="1" x14ac:dyDescent="0.25">
      <c r="A298" s="16"/>
      <c r="B298" s="17" t="b">
        <f t="shared" si="80"/>
        <v>0</v>
      </c>
      <c r="C298" s="17" t="b">
        <f t="shared" si="72"/>
        <v>0</v>
      </c>
      <c r="D298" s="17">
        <f t="shared" si="74"/>
        <v>1</v>
      </c>
      <c r="E298" s="17" t="str">
        <f t="shared" si="79"/>
        <v>Section 5 - Conclusion, And FREE Coupon For Next Course</v>
      </c>
      <c r="F298" s="18" t="str">
        <f t="shared" si="75"/>
        <v/>
      </c>
      <c r="G298" s="13" t="str">
        <f t="shared" si="81"/>
        <v/>
      </c>
      <c r="H298">
        <f t="shared" si="82"/>
        <v>0</v>
      </c>
      <c r="I298">
        <f t="shared" si="83"/>
        <v>0</v>
      </c>
      <c r="J298" s="13">
        <f t="shared" si="84"/>
        <v>85</v>
      </c>
      <c r="K298">
        <f t="shared" si="76"/>
        <v>1</v>
      </c>
      <c r="L298">
        <f t="shared" si="77"/>
        <v>25</v>
      </c>
      <c r="M298" s="13">
        <f t="shared" si="85"/>
        <v>1</v>
      </c>
      <c r="N298">
        <f t="shared" si="85"/>
        <v>24</v>
      </c>
      <c r="O298" s="14">
        <f t="shared" si="73"/>
        <v>84</v>
      </c>
      <c r="P298" s="13">
        <f t="shared" si="78"/>
        <v>1</v>
      </c>
      <c r="Q298">
        <f t="shared" si="86"/>
        <v>24</v>
      </c>
      <c r="R298" s="14">
        <f t="shared" si="87"/>
        <v>84</v>
      </c>
      <c r="S298" s="15"/>
      <c r="W298" s="14"/>
    </row>
    <row r="299" spans="1:23" hidden="1" x14ac:dyDescent="0.25">
      <c r="A299" s="16"/>
      <c r="B299" s="17" t="b">
        <f t="shared" si="80"/>
        <v>0</v>
      </c>
      <c r="C299" s="17" t="b">
        <f t="shared" si="72"/>
        <v>0</v>
      </c>
      <c r="D299" s="17">
        <f t="shared" si="74"/>
        <v>1</v>
      </c>
      <c r="E299" s="17" t="str">
        <f t="shared" si="79"/>
        <v>Section 5 - Conclusion, And FREE Coupon For Next Course</v>
      </c>
      <c r="F299" s="18" t="str">
        <f t="shared" si="75"/>
        <v/>
      </c>
      <c r="G299" s="13" t="str">
        <f t="shared" si="81"/>
        <v/>
      </c>
      <c r="H299">
        <f t="shared" si="82"/>
        <v>0</v>
      </c>
      <c r="I299">
        <f t="shared" si="83"/>
        <v>0</v>
      </c>
      <c r="J299" s="13">
        <f t="shared" si="84"/>
        <v>85</v>
      </c>
      <c r="K299">
        <f t="shared" si="76"/>
        <v>1</v>
      </c>
      <c r="L299">
        <f t="shared" si="77"/>
        <v>25</v>
      </c>
      <c r="M299" s="13">
        <f t="shared" si="85"/>
        <v>1</v>
      </c>
      <c r="N299">
        <f t="shared" si="85"/>
        <v>24</v>
      </c>
      <c r="O299" s="14">
        <f t="shared" si="73"/>
        <v>84</v>
      </c>
      <c r="P299" s="13">
        <f t="shared" si="78"/>
        <v>1</v>
      </c>
      <c r="Q299">
        <f t="shared" si="86"/>
        <v>24</v>
      </c>
      <c r="R299" s="14">
        <f t="shared" si="87"/>
        <v>84</v>
      </c>
      <c r="S299" s="15"/>
      <c r="W299" s="14"/>
    </row>
    <row r="300" spans="1:23" hidden="1" x14ac:dyDescent="0.25">
      <c r="A300" s="16"/>
      <c r="B300" s="17" t="b">
        <f t="shared" si="80"/>
        <v>0</v>
      </c>
      <c r="C300" s="17" t="b">
        <f t="shared" si="72"/>
        <v>0</v>
      </c>
      <c r="D300" s="17">
        <f t="shared" si="74"/>
        <v>1</v>
      </c>
      <c r="E300" s="17" t="str">
        <f t="shared" si="79"/>
        <v>Section 5 - Conclusion, And FREE Coupon For Next Course</v>
      </c>
      <c r="F300" s="18" t="str">
        <f t="shared" si="75"/>
        <v/>
      </c>
      <c r="G300" s="13" t="str">
        <f t="shared" si="81"/>
        <v/>
      </c>
      <c r="H300">
        <f t="shared" si="82"/>
        <v>0</v>
      </c>
      <c r="I300">
        <f t="shared" si="83"/>
        <v>0</v>
      </c>
      <c r="J300" s="13">
        <f t="shared" si="84"/>
        <v>85</v>
      </c>
      <c r="K300">
        <f t="shared" si="76"/>
        <v>1</v>
      </c>
      <c r="L300">
        <f t="shared" si="77"/>
        <v>25</v>
      </c>
      <c r="M300" s="13">
        <f t="shared" si="85"/>
        <v>1</v>
      </c>
      <c r="N300">
        <f t="shared" si="85"/>
        <v>24</v>
      </c>
      <c r="O300" s="14">
        <f t="shared" si="73"/>
        <v>84</v>
      </c>
      <c r="P300" s="13">
        <f t="shared" si="78"/>
        <v>1</v>
      </c>
      <c r="Q300">
        <f t="shared" si="86"/>
        <v>24</v>
      </c>
      <c r="R300" s="14">
        <f t="shared" si="87"/>
        <v>84</v>
      </c>
      <c r="S300" s="15"/>
      <c r="W300" s="14"/>
    </row>
    <row r="301" spans="1:23" hidden="1" x14ac:dyDescent="0.25">
      <c r="A301" s="16"/>
      <c r="B301" s="17" t="b">
        <f t="shared" si="80"/>
        <v>0</v>
      </c>
      <c r="C301" s="17" t="b">
        <f t="shared" si="72"/>
        <v>0</v>
      </c>
      <c r="D301" s="17">
        <f t="shared" si="74"/>
        <v>1</v>
      </c>
      <c r="E301" s="17" t="str">
        <f t="shared" si="79"/>
        <v>Section 5 - Conclusion, And FREE Coupon For Next Course</v>
      </c>
      <c r="F301" s="18" t="str">
        <f t="shared" si="75"/>
        <v/>
      </c>
      <c r="G301" s="13" t="str">
        <f t="shared" si="81"/>
        <v/>
      </c>
      <c r="H301">
        <f t="shared" si="82"/>
        <v>0</v>
      </c>
      <c r="I301">
        <f t="shared" si="83"/>
        <v>0</v>
      </c>
      <c r="J301" s="13">
        <f t="shared" si="84"/>
        <v>85</v>
      </c>
      <c r="K301">
        <f t="shared" si="76"/>
        <v>1</v>
      </c>
      <c r="L301">
        <f t="shared" si="77"/>
        <v>25</v>
      </c>
      <c r="M301" s="13">
        <f t="shared" si="85"/>
        <v>1</v>
      </c>
      <c r="N301">
        <f t="shared" si="85"/>
        <v>24</v>
      </c>
      <c r="O301" s="14">
        <f t="shared" si="73"/>
        <v>84</v>
      </c>
      <c r="P301" s="13">
        <f t="shared" si="78"/>
        <v>1</v>
      </c>
      <c r="Q301">
        <f t="shared" si="86"/>
        <v>24</v>
      </c>
      <c r="R301" s="14">
        <f t="shared" si="87"/>
        <v>84</v>
      </c>
      <c r="S301" s="15"/>
      <c r="W301" s="14"/>
    </row>
    <row r="302" spans="1:23" hidden="1" x14ac:dyDescent="0.25">
      <c r="A302" s="16"/>
      <c r="B302" s="17" t="b">
        <f t="shared" si="80"/>
        <v>0</v>
      </c>
      <c r="C302" s="17" t="b">
        <f t="shared" si="72"/>
        <v>0</v>
      </c>
      <c r="D302" s="17">
        <f t="shared" si="74"/>
        <v>1</v>
      </c>
      <c r="E302" s="17" t="str">
        <f t="shared" si="79"/>
        <v>Section 5 - Conclusion, And FREE Coupon For Next Course</v>
      </c>
      <c r="F302" s="18" t="str">
        <f t="shared" si="75"/>
        <v/>
      </c>
      <c r="G302" s="13" t="str">
        <f t="shared" si="81"/>
        <v/>
      </c>
      <c r="H302">
        <f t="shared" si="82"/>
        <v>0</v>
      </c>
      <c r="I302">
        <f t="shared" si="83"/>
        <v>0</v>
      </c>
      <c r="J302" s="13">
        <f t="shared" si="84"/>
        <v>85</v>
      </c>
      <c r="K302">
        <f t="shared" si="76"/>
        <v>1</v>
      </c>
      <c r="L302">
        <f t="shared" si="77"/>
        <v>25</v>
      </c>
      <c r="M302" s="13">
        <f t="shared" si="85"/>
        <v>1</v>
      </c>
      <c r="N302">
        <f t="shared" si="85"/>
        <v>24</v>
      </c>
      <c r="O302" s="14">
        <f t="shared" si="73"/>
        <v>84</v>
      </c>
      <c r="P302" s="13">
        <f t="shared" si="78"/>
        <v>1</v>
      </c>
      <c r="Q302">
        <f t="shared" si="86"/>
        <v>24</v>
      </c>
      <c r="R302" s="14">
        <f t="shared" si="87"/>
        <v>84</v>
      </c>
      <c r="S302" s="15"/>
      <c r="W302" s="14"/>
    </row>
    <row r="303" spans="1:23" hidden="1" x14ac:dyDescent="0.25">
      <c r="A303" s="16"/>
      <c r="B303" s="17" t="b">
        <f t="shared" si="80"/>
        <v>0</v>
      </c>
      <c r="C303" s="17" t="b">
        <f t="shared" si="72"/>
        <v>0</v>
      </c>
      <c r="D303" s="17">
        <f t="shared" si="74"/>
        <v>1</v>
      </c>
      <c r="E303" s="17" t="str">
        <f t="shared" si="79"/>
        <v>Section 5 - Conclusion, And FREE Coupon For Next Course</v>
      </c>
      <c r="F303" s="18" t="str">
        <f t="shared" si="75"/>
        <v/>
      </c>
      <c r="G303" s="13" t="str">
        <f t="shared" si="81"/>
        <v/>
      </c>
      <c r="H303">
        <f t="shared" si="82"/>
        <v>0</v>
      </c>
      <c r="I303">
        <f t="shared" si="83"/>
        <v>0</v>
      </c>
      <c r="J303" s="13">
        <f t="shared" si="84"/>
        <v>85</v>
      </c>
      <c r="K303">
        <f t="shared" si="76"/>
        <v>1</v>
      </c>
      <c r="L303">
        <f t="shared" si="77"/>
        <v>25</v>
      </c>
      <c r="M303" s="13">
        <f t="shared" si="85"/>
        <v>1</v>
      </c>
      <c r="N303">
        <f t="shared" si="85"/>
        <v>24</v>
      </c>
      <c r="O303" s="14">
        <f t="shared" si="73"/>
        <v>84</v>
      </c>
      <c r="P303" s="13">
        <f t="shared" si="78"/>
        <v>1</v>
      </c>
      <c r="Q303">
        <f t="shared" si="86"/>
        <v>24</v>
      </c>
      <c r="R303" s="14">
        <f t="shared" si="87"/>
        <v>84</v>
      </c>
      <c r="S303" s="15"/>
      <c r="W303" s="14"/>
    </row>
    <row r="304" spans="1:23" hidden="1" x14ac:dyDescent="0.25">
      <c r="A304" s="16"/>
      <c r="B304" s="17" t="b">
        <f t="shared" si="80"/>
        <v>0</v>
      </c>
      <c r="C304" s="17" t="b">
        <f t="shared" si="72"/>
        <v>0</v>
      </c>
      <c r="D304" s="17">
        <f t="shared" si="74"/>
        <v>1</v>
      </c>
      <c r="E304" s="17" t="str">
        <f t="shared" si="79"/>
        <v>Section 5 - Conclusion, And FREE Coupon For Next Course</v>
      </c>
      <c r="F304" s="18" t="str">
        <f t="shared" si="75"/>
        <v/>
      </c>
      <c r="G304" s="13" t="str">
        <f t="shared" si="81"/>
        <v/>
      </c>
      <c r="H304">
        <f t="shared" si="82"/>
        <v>0</v>
      </c>
      <c r="I304">
        <f t="shared" si="83"/>
        <v>0</v>
      </c>
      <c r="J304" s="13">
        <f t="shared" si="84"/>
        <v>85</v>
      </c>
      <c r="K304">
        <f t="shared" si="76"/>
        <v>1</v>
      </c>
      <c r="L304">
        <f t="shared" si="77"/>
        <v>25</v>
      </c>
      <c r="M304" s="13">
        <f t="shared" si="85"/>
        <v>1</v>
      </c>
      <c r="N304">
        <f t="shared" si="85"/>
        <v>24</v>
      </c>
      <c r="O304" s="14">
        <f t="shared" si="73"/>
        <v>84</v>
      </c>
      <c r="P304" s="13">
        <f t="shared" si="78"/>
        <v>1</v>
      </c>
      <c r="Q304">
        <f t="shared" si="86"/>
        <v>24</v>
      </c>
      <c r="R304" s="14">
        <f t="shared" si="87"/>
        <v>84</v>
      </c>
      <c r="S304" s="15"/>
      <c r="W304" s="14"/>
    </row>
    <row r="305" spans="1:23" hidden="1" x14ac:dyDescent="0.25">
      <c r="A305" s="16"/>
      <c r="B305" s="17" t="b">
        <f t="shared" si="80"/>
        <v>0</v>
      </c>
      <c r="C305" s="17" t="b">
        <f t="shared" si="72"/>
        <v>0</v>
      </c>
      <c r="D305" s="17">
        <f t="shared" si="74"/>
        <v>1</v>
      </c>
      <c r="E305" s="17" t="str">
        <f t="shared" si="79"/>
        <v>Section 5 - Conclusion, And FREE Coupon For Next Course</v>
      </c>
      <c r="F305" s="18" t="str">
        <f t="shared" si="75"/>
        <v/>
      </c>
      <c r="G305" s="13" t="str">
        <f t="shared" si="81"/>
        <v/>
      </c>
      <c r="H305">
        <f t="shared" si="82"/>
        <v>0</v>
      </c>
      <c r="I305">
        <f t="shared" si="83"/>
        <v>0</v>
      </c>
      <c r="J305" s="13">
        <f t="shared" si="84"/>
        <v>85</v>
      </c>
      <c r="K305">
        <f t="shared" si="76"/>
        <v>1</v>
      </c>
      <c r="L305">
        <f t="shared" si="77"/>
        <v>25</v>
      </c>
      <c r="M305" s="13">
        <f t="shared" si="85"/>
        <v>1</v>
      </c>
      <c r="N305">
        <f t="shared" si="85"/>
        <v>24</v>
      </c>
      <c r="O305" s="14">
        <f t="shared" si="73"/>
        <v>84</v>
      </c>
      <c r="P305" s="13">
        <f t="shared" si="78"/>
        <v>1</v>
      </c>
      <c r="Q305">
        <f t="shared" si="86"/>
        <v>24</v>
      </c>
      <c r="R305" s="14">
        <f t="shared" si="87"/>
        <v>84</v>
      </c>
      <c r="S305" s="15"/>
      <c r="W305" s="14"/>
    </row>
    <row r="306" spans="1:23" hidden="1" x14ac:dyDescent="0.25">
      <c r="A306" s="16"/>
      <c r="B306" s="17" t="b">
        <f t="shared" si="80"/>
        <v>0</v>
      </c>
      <c r="C306" s="17" t="b">
        <f t="shared" si="72"/>
        <v>0</v>
      </c>
      <c r="D306" s="17">
        <f t="shared" si="74"/>
        <v>1</v>
      </c>
      <c r="E306" s="17" t="str">
        <f t="shared" si="79"/>
        <v>Section 5 - Conclusion, And FREE Coupon For Next Course</v>
      </c>
      <c r="F306" s="18" t="str">
        <f t="shared" si="75"/>
        <v/>
      </c>
      <c r="G306" s="13" t="str">
        <f t="shared" si="81"/>
        <v/>
      </c>
      <c r="H306">
        <f t="shared" si="82"/>
        <v>0</v>
      </c>
      <c r="I306">
        <f t="shared" si="83"/>
        <v>0</v>
      </c>
      <c r="J306" s="13">
        <f t="shared" si="84"/>
        <v>85</v>
      </c>
      <c r="K306">
        <f t="shared" si="76"/>
        <v>1</v>
      </c>
      <c r="L306">
        <f t="shared" si="77"/>
        <v>25</v>
      </c>
      <c r="M306" s="13">
        <f t="shared" si="85"/>
        <v>1</v>
      </c>
      <c r="N306">
        <f t="shared" si="85"/>
        <v>24</v>
      </c>
      <c r="O306" s="14">
        <f t="shared" si="73"/>
        <v>84</v>
      </c>
      <c r="P306" s="13">
        <f t="shared" si="78"/>
        <v>1</v>
      </c>
      <c r="Q306">
        <f t="shared" si="86"/>
        <v>24</v>
      </c>
      <c r="R306" s="14">
        <f t="shared" si="87"/>
        <v>84</v>
      </c>
      <c r="S306" s="15"/>
      <c r="W306" s="14"/>
    </row>
    <row r="307" spans="1:23" hidden="1" x14ac:dyDescent="0.25">
      <c r="A307" s="16"/>
      <c r="B307" s="17" t="b">
        <f t="shared" si="80"/>
        <v>0</v>
      </c>
      <c r="C307" s="17" t="b">
        <f t="shared" si="72"/>
        <v>0</v>
      </c>
      <c r="D307" s="17">
        <f t="shared" si="74"/>
        <v>1</v>
      </c>
      <c r="E307" s="17" t="str">
        <f t="shared" si="79"/>
        <v>Section 5 - Conclusion, And FREE Coupon For Next Course</v>
      </c>
      <c r="F307" s="18" t="str">
        <f t="shared" si="75"/>
        <v/>
      </c>
      <c r="G307" s="13" t="str">
        <f t="shared" si="81"/>
        <v/>
      </c>
      <c r="H307">
        <f t="shared" si="82"/>
        <v>0</v>
      </c>
      <c r="I307">
        <f t="shared" si="83"/>
        <v>0</v>
      </c>
      <c r="J307" s="13">
        <f t="shared" si="84"/>
        <v>85</v>
      </c>
      <c r="K307">
        <f t="shared" si="76"/>
        <v>1</v>
      </c>
      <c r="L307">
        <f t="shared" si="77"/>
        <v>25</v>
      </c>
      <c r="M307" s="13">
        <f t="shared" si="85"/>
        <v>1</v>
      </c>
      <c r="N307">
        <f t="shared" si="85"/>
        <v>24</v>
      </c>
      <c r="O307" s="14">
        <f t="shared" si="73"/>
        <v>84</v>
      </c>
      <c r="P307" s="13">
        <f t="shared" si="78"/>
        <v>1</v>
      </c>
      <c r="Q307">
        <f t="shared" si="86"/>
        <v>24</v>
      </c>
      <c r="R307" s="14">
        <f t="shared" si="87"/>
        <v>84</v>
      </c>
      <c r="S307" s="15"/>
      <c r="W307" s="14"/>
    </row>
    <row r="308" spans="1:23" hidden="1" x14ac:dyDescent="0.25">
      <c r="A308" s="16"/>
      <c r="B308" s="17" t="b">
        <f t="shared" si="80"/>
        <v>0</v>
      </c>
      <c r="C308" s="17" t="b">
        <f t="shared" si="72"/>
        <v>0</v>
      </c>
      <c r="D308" s="17">
        <f t="shared" si="74"/>
        <v>1</v>
      </c>
      <c r="E308" s="17" t="str">
        <f t="shared" si="79"/>
        <v>Section 5 - Conclusion, And FREE Coupon For Next Course</v>
      </c>
      <c r="F308" s="18" t="str">
        <f t="shared" si="75"/>
        <v/>
      </c>
      <c r="G308" s="13" t="str">
        <f t="shared" si="81"/>
        <v/>
      </c>
      <c r="H308">
        <f t="shared" si="82"/>
        <v>0</v>
      </c>
      <c r="I308">
        <f t="shared" si="83"/>
        <v>0</v>
      </c>
      <c r="J308" s="13">
        <f t="shared" si="84"/>
        <v>85</v>
      </c>
      <c r="K308">
        <f t="shared" si="76"/>
        <v>1</v>
      </c>
      <c r="L308">
        <f t="shared" si="77"/>
        <v>25</v>
      </c>
      <c r="M308" s="13">
        <f t="shared" si="85"/>
        <v>1</v>
      </c>
      <c r="N308">
        <f t="shared" si="85"/>
        <v>24</v>
      </c>
      <c r="O308" s="14">
        <f t="shared" si="73"/>
        <v>84</v>
      </c>
      <c r="P308" s="13">
        <f t="shared" si="78"/>
        <v>1</v>
      </c>
      <c r="Q308">
        <f t="shared" si="86"/>
        <v>24</v>
      </c>
      <c r="R308" s="14">
        <f t="shared" si="87"/>
        <v>84</v>
      </c>
      <c r="S308" s="15"/>
      <c r="W308" s="14"/>
    </row>
    <row r="309" spans="1:23" hidden="1" x14ac:dyDescent="0.25">
      <c r="A309" s="16"/>
      <c r="B309" s="17" t="b">
        <f t="shared" si="80"/>
        <v>0</v>
      </c>
      <c r="C309" s="17" t="b">
        <f t="shared" si="72"/>
        <v>0</v>
      </c>
      <c r="D309" s="17">
        <f t="shared" si="74"/>
        <v>1</v>
      </c>
      <c r="E309" s="17" t="str">
        <f t="shared" si="79"/>
        <v>Section 5 - Conclusion, And FREE Coupon For Next Course</v>
      </c>
      <c r="F309" s="18" t="str">
        <f t="shared" si="75"/>
        <v/>
      </c>
      <c r="G309" s="13" t="str">
        <f t="shared" si="81"/>
        <v/>
      </c>
      <c r="H309">
        <f t="shared" si="82"/>
        <v>0</v>
      </c>
      <c r="I309">
        <f t="shared" si="83"/>
        <v>0</v>
      </c>
      <c r="J309" s="13">
        <f t="shared" si="84"/>
        <v>85</v>
      </c>
      <c r="K309">
        <f t="shared" si="76"/>
        <v>1</v>
      </c>
      <c r="L309">
        <f t="shared" si="77"/>
        <v>25</v>
      </c>
      <c r="M309" s="13">
        <f t="shared" si="85"/>
        <v>1</v>
      </c>
      <c r="N309">
        <f t="shared" si="85"/>
        <v>24</v>
      </c>
      <c r="O309" s="14">
        <f t="shared" si="73"/>
        <v>84</v>
      </c>
      <c r="P309" s="13">
        <f t="shared" si="78"/>
        <v>1</v>
      </c>
      <c r="Q309">
        <f t="shared" si="86"/>
        <v>24</v>
      </c>
      <c r="R309" s="14">
        <f t="shared" si="87"/>
        <v>84</v>
      </c>
      <c r="S309" s="15"/>
      <c r="W309" s="14"/>
    </row>
    <row r="310" spans="1:23" hidden="1" x14ac:dyDescent="0.25">
      <c r="A310" s="16"/>
      <c r="B310" s="17" t="b">
        <f t="shared" si="80"/>
        <v>0</v>
      </c>
      <c r="C310" s="17" t="b">
        <f t="shared" si="72"/>
        <v>0</v>
      </c>
      <c r="D310" s="17">
        <f t="shared" si="74"/>
        <v>1</v>
      </c>
      <c r="E310" s="17" t="str">
        <f t="shared" si="79"/>
        <v>Section 5 - Conclusion, And FREE Coupon For Next Course</v>
      </c>
      <c r="F310" s="18" t="str">
        <f t="shared" si="75"/>
        <v/>
      </c>
      <c r="G310" s="13" t="str">
        <f t="shared" si="81"/>
        <v/>
      </c>
      <c r="H310">
        <f t="shared" si="82"/>
        <v>0</v>
      </c>
      <c r="I310">
        <f t="shared" si="83"/>
        <v>0</v>
      </c>
      <c r="J310" s="13">
        <f t="shared" si="84"/>
        <v>85</v>
      </c>
      <c r="K310">
        <f t="shared" si="76"/>
        <v>1</v>
      </c>
      <c r="L310">
        <f t="shared" si="77"/>
        <v>25</v>
      </c>
      <c r="M310" s="13">
        <f t="shared" si="85"/>
        <v>1</v>
      </c>
      <c r="N310">
        <f t="shared" si="85"/>
        <v>24</v>
      </c>
      <c r="O310" s="14">
        <f t="shared" si="73"/>
        <v>84</v>
      </c>
      <c r="P310" s="13">
        <f t="shared" si="78"/>
        <v>1</v>
      </c>
      <c r="Q310">
        <f t="shared" si="86"/>
        <v>24</v>
      </c>
      <c r="R310" s="14">
        <f t="shared" si="87"/>
        <v>84</v>
      </c>
      <c r="S310" s="15"/>
      <c r="W310" s="14"/>
    </row>
    <row r="311" spans="1:23" hidden="1" x14ac:dyDescent="0.25">
      <c r="A311" s="16"/>
      <c r="B311" s="17" t="b">
        <f t="shared" si="80"/>
        <v>0</v>
      </c>
      <c r="C311" s="17" t="b">
        <f t="shared" si="72"/>
        <v>0</v>
      </c>
      <c r="D311" s="17">
        <f t="shared" si="74"/>
        <v>1</v>
      </c>
      <c r="E311" s="17" t="str">
        <f t="shared" si="79"/>
        <v>Section 5 - Conclusion, And FREE Coupon For Next Course</v>
      </c>
      <c r="F311" s="18" t="str">
        <f t="shared" si="75"/>
        <v/>
      </c>
      <c r="G311" s="13" t="str">
        <f t="shared" si="81"/>
        <v/>
      </c>
      <c r="H311">
        <f t="shared" si="82"/>
        <v>0</v>
      </c>
      <c r="I311">
        <f t="shared" si="83"/>
        <v>0</v>
      </c>
      <c r="J311" s="13">
        <f t="shared" si="84"/>
        <v>85</v>
      </c>
      <c r="K311">
        <f t="shared" si="76"/>
        <v>1</v>
      </c>
      <c r="L311">
        <f t="shared" si="77"/>
        <v>25</v>
      </c>
      <c r="M311" s="13">
        <f t="shared" si="85"/>
        <v>1</v>
      </c>
      <c r="N311">
        <f t="shared" si="85"/>
        <v>24</v>
      </c>
      <c r="O311" s="14">
        <f t="shared" si="73"/>
        <v>84</v>
      </c>
      <c r="P311" s="13">
        <f t="shared" si="78"/>
        <v>1</v>
      </c>
      <c r="Q311">
        <f t="shared" si="86"/>
        <v>24</v>
      </c>
      <c r="R311" s="14">
        <f t="shared" si="87"/>
        <v>84</v>
      </c>
      <c r="S311" s="15"/>
      <c r="W311" s="14"/>
    </row>
    <row r="312" spans="1:23" hidden="1" x14ac:dyDescent="0.25">
      <c r="A312" s="16"/>
      <c r="B312" s="17" t="b">
        <f t="shared" si="80"/>
        <v>0</v>
      </c>
      <c r="C312" s="17" t="b">
        <f t="shared" si="72"/>
        <v>0</v>
      </c>
      <c r="D312" s="17">
        <f t="shared" si="74"/>
        <v>1</v>
      </c>
      <c r="E312" s="17" t="str">
        <f t="shared" si="79"/>
        <v>Section 5 - Conclusion, And FREE Coupon For Next Course</v>
      </c>
      <c r="F312" s="18" t="str">
        <f t="shared" si="75"/>
        <v/>
      </c>
      <c r="G312" s="13" t="str">
        <f t="shared" si="81"/>
        <v/>
      </c>
      <c r="H312">
        <f t="shared" si="82"/>
        <v>0</v>
      </c>
      <c r="I312">
        <f t="shared" si="83"/>
        <v>0</v>
      </c>
      <c r="J312" s="13">
        <f t="shared" si="84"/>
        <v>85</v>
      </c>
      <c r="K312">
        <f t="shared" si="76"/>
        <v>1</v>
      </c>
      <c r="L312">
        <f t="shared" si="77"/>
        <v>25</v>
      </c>
      <c r="M312" s="13">
        <f t="shared" si="85"/>
        <v>1</v>
      </c>
      <c r="N312">
        <f t="shared" si="85"/>
        <v>24</v>
      </c>
      <c r="O312" s="14">
        <f t="shared" si="73"/>
        <v>84</v>
      </c>
      <c r="P312" s="13">
        <f t="shared" si="78"/>
        <v>1</v>
      </c>
      <c r="Q312">
        <f t="shared" si="86"/>
        <v>24</v>
      </c>
      <c r="R312" s="14">
        <f t="shared" si="87"/>
        <v>84</v>
      </c>
      <c r="S312" s="15"/>
      <c r="W312" s="14"/>
    </row>
    <row r="313" spans="1:23" hidden="1" x14ac:dyDescent="0.25">
      <c r="A313" s="16"/>
      <c r="B313" s="17" t="b">
        <f t="shared" si="80"/>
        <v>0</v>
      </c>
      <c r="C313" s="17" t="b">
        <f t="shared" si="72"/>
        <v>0</v>
      </c>
      <c r="D313" s="17">
        <f t="shared" si="74"/>
        <v>1</v>
      </c>
      <c r="E313" s="17" t="str">
        <f t="shared" si="79"/>
        <v>Section 5 - Conclusion, And FREE Coupon For Next Course</v>
      </c>
      <c r="F313" s="18" t="str">
        <f t="shared" si="75"/>
        <v/>
      </c>
      <c r="G313" s="13" t="str">
        <f t="shared" si="81"/>
        <v/>
      </c>
      <c r="H313">
        <f t="shared" si="82"/>
        <v>0</v>
      </c>
      <c r="I313">
        <f t="shared" si="83"/>
        <v>0</v>
      </c>
      <c r="J313" s="13">
        <f t="shared" si="84"/>
        <v>85</v>
      </c>
      <c r="K313">
        <f t="shared" si="76"/>
        <v>1</v>
      </c>
      <c r="L313">
        <f t="shared" si="77"/>
        <v>25</v>
      </c>
      <c r="M313" s="13">
        <f t="shared" si="85"/>
        <v>1</v>
      </c>
      <c r="N313">
        <f t="shared" si="85"/>
        <v>24</v>
      </c>
      <c r="O313" s="14">
        <f t="shared" si="73"/>
        <v>84</v>
      </c>
      <c r="P313" s="13">
        <f t="shared" si="78"/>
        <v>1</v>
      </c>
      <c r="Q313">
        <f t="shared" si="86"/>
        <v>24</v>
      </c>
      <c r="R313" s="14">
        <f t="shared" si="87"/>
        <v>84</v>
      </c>
      <c r="S313" s="15"/>
      <c r="W313" s="14"/>
    </row>
    <row r="314" spans="1:23" hidden="1" x14ac:dyDescent="0.25">
      <c r="A314" s="16"/>
      <c r="B314" s="17" t="b">
        <f t="shared" si="80"/>
        <v>0</v>
      </c>
      <c r="C314" s="17" t="b">
        <f t="shared" si="72"/>
        <v>0</v>
      </c>
      <c r="D314" s="17">
        <f t="shared" si="74"/>
        <v>1</v>
      </c>
      <c r="E314" s="17" t="str">
        <f t="shared" si="79"/>
        <v>Section 5 - Conclusion, And FREE Coupon For Next Course</v>
      </c>
      <c r="F314" s="18" t="str">
        <f t="shared" si="75"/>
        <v/>
      </c>
      <c r="G314" s="13" t="str">
        <f t="shared" si="81"/>
        <v/>
      </c>
      <c r="H314">
        <f t="shared" si="82"/>
        <v>0</v>
      </c>
      <c r="I314">
        <f t="shared" si="83"/>
        <v>0</v>
      </c>
      <c r="J314" s="13">
        <f t="shared" si="84"/>
        <v>85</v>
      </c>
      <c r="K314">
        <f t="shared" si="76"/>
        <v>1</v>
      </c>
      <c r="L314">
        <f t="shared" si="77"/>
        <v>25</v>
      </c>
      <c r="M314" s="13">
        <f t="shared" si="85"/>
        <v>1</v>
      </c>
      <c r="N314">
        <f t="shared" si="85"/>
        <v>24</v>
      </c>
      <c r="O314" s="14">
        <f t="shared" si="73"/>
        <v>84</v>
      </c>
      <c r="P314" s="13">
        <f t="shared" si="78"/>
        <v>1</v>
      </c>
      <c r="Q314">
        <f t="shared" si="86"/>
        <v>24</v>
      </c>
      <c r="R314" s="14">
        <f t="shared" si="87"/>
        <v>84</v>
      </c>
      <c r="S314" s="15"/>
      <c r="W314" s="14"/>
    </row>
    <row r="315" spans="1:23" hidden="1" x14ac:dyDescent="0.25">
      <c r="A315" s="16"/>
      <c r="B315" s="17" t="b">
        <f t="shared" si="80"/>
        <v>0</v>
      </c>
      <c r="C315" s="17" t="b">
        <f t="shared" si="72"/>
        <v>0</v>
      </c>
      <c r="D315" s="17">
        <f t="shared" si="74"/>
        <v>1</v>
      </c>
      <c r="E315" s="17" t="str">
        <f t="shared" si="79"/>
        <v>Section 5 - Conclusion, And FREE Coupon For Next Course</v>
      </c>
      <c r="F315" s="18" t="str">
        <f t="shared" si="75"/>
        <v/>
      </c>
      <c r="G315" s="13" t="str">
        <f t="shared" si="81"/>
        <v/>
      </c>
      <c r="H315">
        <f t="shared" si="82"/>
        <v>0</v>
      </c>
      <c r="I315">
        <f t="shared" si="83"/>
        <v>0</v>
      </c>
      <c r="J315" s="13">
        <f t="shared" si="84"/>
        <v>85</v>
      </c>
      <c r="K315">
        <f t="shared" si="76"/>
        <v>1</v>
      </c>
      <c r="L315">
        <f t="shared" si="77"/>
        <v>25</v>
      </c>
      <c r="M315" s="13">
        <f t="shared" si="85"/>
        <v>1</v>
      </c>
      <c r="N315">
        <f t="shared" si="85"/>
        <v>24</v>
      </c>
      <c r="O315" s="14">
        <f t="shared" si="73"/>
        <v>84</v>
      </c>
      <c r="P315" s="13">
        <f t="shared" si="78"/>
        <v>1</v>
      </c>
      <c r="Q315">
        <f t="shared" si="86"/>
        <v>24</v>
      </c>
      <c r="R315" s="14">
        <f t="shared" si="87"/>
        <v>84</v>
      </c>
      <c r="S315" s="15"/>
      <c r="W315" s="14"/>
    </row>
    <row r="316" spans="1:23" hidden="1" x14ac:dyDescent="0.25">
      <c r="A316" s="16"/>
      <c r="B316" s="17" t="b">
        <f t="shared" si="80"/>
        <v>0</v>
      </c>
      <c r="C316" s="17" t="b">
        <f t="shared" si="72"/>
        <v>0</v>
      </c>
      <c r="D316" s="17">
        <f t="shared" si="74"/>
        <v>1</v>
      </c>
      <c r="E316" s="17" t="str">
        <f t="shared" si="79"/>
        <v>Section 5 - Conclusion, And FREE Coupon For Next Course</v>
      </c>
      <c r="F316" s="18" t="str">
        <f t="shared" si="75"/>
        <v/>
      </c>
      <c r="G316" s="13" t="str">
        <f t="shared" si="81"/>
        <v/>
      </c>
      <c r="H316">
        <f t="shared" si="82"/>
        <v>0</v>
      </c>
      <c r="I316">
        <f t="shared" si="83"/>
        <v>0</v>
      </c>
      <c r="J316" s="13">
        <f t="shared" si="84"/>
        <v>85</v>
      </c>
      <c r="K316">
        <f t="shared" si="76"/>
        <v>1</v>
      </c>
      <c r="L316">
        <f t="shared" si="77"/>
        <v>25</v>
      </c>
      <c r="M316" s="13">
        <f t="shared" si="85"/>
        <v>1</v>
      </c>
      <c r="N316">
        <f t="shared" si="85"/>
        <v>24</v>
      </c>
      <c r="O316" s="14">
        <f t="shared" si="73"/>
        <v>84</v>
      </c>
      <c r="P316" s="13">
        <f t="shared" si="78"/>
        <v>1</v>
      </c>
      <c r="Q316">
        <f t="shared" si="86"/>
        <v>24</v>
      </c>
      <c r="R316" s="14">
        <f t="shared" si="87"/>
        <v>84</v>
      </c>
      <c r="S316" s="15"/>
      <c r="W316" s="14"/>
    </row>
    <row r="317" spans="1:23" hidden="1" x14ac:dyDescent="0.25">
      <c r="A317" s="16"/>
      <c r="B317" s="17" t="b">
        <f t="shared" si="80"/>
        <v>0</v>
      </c>
      <c r="C317" s="17" t="b">
        <f t="shared" si="72"/>
        <v>0</v>
      </c>
      <c r="D317" s="17">
        <f t="shared" si="74"/>
        <v>1</v>
      </c>
      <c r="E317" s="17" t="str">
        <f t="shared" si="79"/>
        <v>Section 5 - Conclusion, And FREE Coupon For Next Course</v>
      </c>
      <c r="F317" s="18" t="str">
        <f t="shared" si="75"/>
        <v/>
      </c>
      <c r="G317" s="13" t="str">
        <f t="shared" si="81"/>
        <v/>
      </c>
      <c r="H317">
        <f t="shared" si="82"/>
        <v>0</v>
      </c>
      <c r="I317">
        <f t="shared" si="83"/>
        <v>0</v>
      </c>
      <c r="J317" s="13">
        <f t="shared" si="84"/>
        <v>85</v>
      </c>
      <c r="K317">
        <f t="shared" si="76"/>
        <v>1</v>
      </c>
      <c r="L317">
        <f t="shared" si="77"/>
        <v>25</v>
      </c>
      <c r="M317" s="13">
        <f t="shared" si="85"/>
        <v>1</v>
      </c>
      <c r="N317">
        <f t="shared" si="85"/>
        <v>24</v>
      </c>
      <c r="O317" s="14">
        <f t="shared" si="73"/>
        <v>84</v>
      </c>
      <c r="P317" s="13">
        <f t="shared" si="78"/>
        <v>1</v>
      </c>
      <c r="Q317">
        <f t="shared" si="86"/>
        <v>24</v>
      </c>
      <c r="R317" s="14">
        <f t="shared" si="87"/>
        <v>84</v>
      </c>
      <c r="S317" s="15"/>
      <c r="W317" s="14"/>
    </row>
    <row r="318" spans="1:23" hidden="1" x14ac:dyDescent="0.25">
      <c r="A318" s="16"/>
      <c r="B318" s="17" t="b">
        <f t="shared" si="80"/>
        <v>0</v>
      </c>
      <c r="C318" s="17" t="b">
        <f t="shared" si="72"/>
        <v>0</v>
      </c>
      <c r="D318" s="17">
        <f t="shared" si="74"/>
        <v>1</v>
      </c>
      <c r="E318" s="17" t="str">
        <f t="shared" si="79"/>
        <v>Section 5 - Conclusion, And FREE Coupon For Next Course</v>
      </c>
      <c r="F318" s="18" t="str">
        <f t="shared" si="75"/>
        <v/>
      </c>
      <c r="G318" s="13" t="str">
        <f t="shared" si="81"/>
        <v/>
      </c>
      <c r="H318">
        <f t="shared" si="82"/>
        <v>0</v>
      </c>
      <c r="I318">
        <f t="shared" si="83"/>
        <v>0</v>
      </c>
      <c r="J318" s="13">
        <f t="shared" si="84"/>
        <v>85</v>
      </c>
      <c r="K318">
        <f t="shared" si="76"/>
        <v>1</v>
      </c>
      <c r="L318">
        <f t="shared" si="77"/>
        <v>25</v>
      </c>
      <c r="M318" s="13">
        <f t="shared" si="85"/>
        <v>1</v>
      </c>
      <c r="N318">
        <f t="shared" si="85"/>
        <v>24</v>
      </c>
      <c r="O318" s="14">
        <f t="shared" si="73"/>
        <v>84</v>
      </c>
      <c r="P318" s="13">
        <f t="shared" si="78"/>
        <v>1</v>
      </c>
      <c r="Q318">
        <f t="shared" si="86"/>
        <v>24</v>
      </c>
      <c r="R318" s="14">
        <f t="shared" si="87"/>
        <v>84</v>
      </c>
      <c r="S318" s="15"/>
      <c r="W318" s="14"/>
    </row>
    <row r="319" spans="1:23" hidden="1" x14ac:dyDescent="0.25">
      <c r="A319" s="16"/>
      <c r="B319" s="17" t="b">
        <f t="shared" si="80"/>
        <v>0</v>
      </c>
      <c r="C319" s="17" t="b">
        <f t="shared" si="72"/>
        <v>0</v>
      </c>
      <c r="D319" s="17">
        <f t="shared" si="74"/>
        <v>1</v>
      </c>
      <c r="E319" s="17" t="str">
        <f t="shared" si="79"/>
        <v>Section 5 - Conclusion, And FREE Coupon For Next Course</v>
      </c>
      <c r="F319" s="18" t="str">
        <f t="shared" si="75"/>
        <v/>
      </c>
      <c r="G319" s="13" t="str">
        <f t="shared" si="81"/>
        <v/>
      </c>
      <c r="H319">
        <f t="shared" si="82"/>
        <v>0</v>
      </c>
      <c r="I319">
        <f t="shared" si="83"/>
        <v>0</v>
      </c>
      <c r="J319" s="13">
        <f t="shared" si="84"/>
        <v>85</v>
      </c>
      <c r="K319">
        <f t="shared" si="76"/>
        <v>1</v>
      </c>
      <c r="L319">
        <f t="shared" si="77"/>
        <v>25</v>
      </c>
      <c r="M319" s="13">
        <f t="shared" si="85"/>
        <v>1</v>
      </c>
      <c r="N319">
        <f t="shared" si="85"/>
        <v>24</v>
      </c>
      <c r="O319" s="14">
        <f t="shared" si="73"/>
        <v>84</v>
      </c>
      <c r="P319" s="13">
        <f t="shared" si="78"/>
        <v>1</v>
      </c>
      <c r="Q319">
        <f t="shared" si="86"/>
        <v>24</v>
      </c>
      <c r="R319" s="14">
        <f t="shared" si="87"/>
        <v>84</v>
      </c>
      <c r="S319" s="15"/>
      <c r="W319" s="14"/>
    </row>
    <row r="320" spans="1:23" hidden="1" x14ac:dyDescent="0.25">
      <c r="A320" s="16"/>
      <c r="B320" s="17" t="b">
        <f t="shared" si="80"/>
        <v>0</v>
      </c>
      <c r="C320" s="17" t="b">
        <f t="shared" ref="C320:C383" si="88">OR(NOT(ISERROR(FIND("hr",A321))), NOT(ISERROR(FIND("min ",A321))),RIGHT(A321,3)="min")</f>
        <v>0</v>
      </c>
      <c r="D320" s="17">
        <f t="shared" si="74"/>
        <v>1</v>
      </c>
      <c r="E320" s="17" t="str">
        <f t="shared" si="79"/>
        <v>Section 5 - Conclusion, And FREE Coupon For Next Course</v>
      </c>
      <c r="F320" s="18" t="str">
        <f t="shared" si="75"/>
        <v/>
      </c>
      <c r="G320" s="13" t="str">
        <f t="shared" si="81"/>
        <v/>
      </c>
      <c r="H320">
        <f t="shared" si="82"/>
        <v>0</v>
      </c>
      <c r="I320">
        <f t="shared" si="83"/>
        <v>0</v>
      </c>
      <c r="J320" s="13">
        <f t="shared" si="84"/>
        <v>85</v>
      </c>
      <c r="K320">
        <f t="shared" si="76"/>
        <v>1</v>
      </c>
      <c r="L320">
        <f t="shared" si="77"/>
        <v>25</v>
      </c>
      <c r="M320" s="13">
        <f t="shared" si="85"/>
        <v>1</v>
      </c>
      <c r="N320">
        <f t="shared" si="85"/>
        <v>24</v>
      </c>
      <c r="O320" s="14">
        <f t="shared" si="73"/>
        <v>84</v>
      </c>
      <c r="P320" s="13">
        <f t="shared" si="78"/>
        <v>1</v>
      </c>
      <c r="Q320">
        <f t="shared" si="86"/>
        <v>24</v>
      </c>
      <c r="R320" s="14">
        <f t="shared" si="87"/>
        <v>84</v>
      </c>
      <c r="S320" s="15"/>
      <c r="W320" s="14"/>
    </row>
    <row r="321" spans="1:23" hidden="1" x14ac:dyDescent="0.25">
      <c r="A321" s="16"/>
      <c r="B321" s="17" t="b">
        <f t="shared" si="80"/>
        <v>0</v>
      </c>
      <c r="C321" s="17" t="b">
        <f t="shared" si="88"/>
        <v>0</v>
      </c>
      <c r="D321" s="17">
        <f t="shared" si="74"/>
        <v>1</v>
      </c>
      <c r="E321" s="17" t="str">
        <f t="shared" si="79"/>
        <v>Section 5 - Conclusion, And FREE Coupon For Next Course</v>
      </c>
      <c r="F321" s="18" t="str">
        <f t="shared" si="75"/>
        <v/>
      </c>
      <c r="G321" s="13" t="str">
        <f t="shared" si="81"/>
        <v/>
      </c>
      <c r="H321">
        <f t="shared" si="82"/>
        <v>0</v>
      </c>
      <c r="I321">
        <f t="shared" si="83"/>
        <v>0</v>
      </c>
      <c r="J321" s="13">
        <f t="shared" si="84"/>
        <v>85</v>
      </c>
      <c r="K321">
        <f t="shared" si="76"/>
        <v>1</v>
      </c>
      <c r="L321">
        <f t="shared" si="77"/>
        <v>25</v>
      </c>
      <c r="M321" s="13">
        <f t="shared" si="85"/>
        <v>1</v>
      </c>
      <c r="N321">
        <f t="shared" si="85"/>
        <v>24</v>
      </c>
      <c r="O321" s="14">
        <f t="shared" si="73"/>
        <v>84</v>
      </c>
      <c r="P321" s="13">
        <f t="shared" si="78"/>
        <v>1</v>
      </c>
      <c r="Q321">
        <f t="shared" si="86"/>
        <v>24</v>
      </c>
      <c r="R321" s="14">
        <f t="shared" si="87"/>
        <v>84</v>
      </c>
      <c r="S321" s="15"/>
      <c r="W321" s="14"/>
    </row>
    <row r="322" spans="1:23" hidden="1" x14ac:dyDescent="0.25">
      <c r="A322" s="16"/>
      <c r="B322" s="17" t="b">
        <f t="shared" si="80"/>
        <v>0</v>
      </c>
      <c r="C322" s="17" t="b">
        <f t="shared" si="88"/>
        <v>0</v>
      </c>
      <c r="D322" s="17">
        <f t="shared" si="74"/>
        <v>1</v>
      </c>
      <c r="E322" s="17" t="str">
        <f t="shared" si="79"/>
        <v>Section 5 - Conclusion, And FREE Coupon For Next Course</v>
      </c>
      <c r="F322" s="18" t="str">
        <f t="shared" si="75"/>
        <v/>
      </c>
      <c r="G322" s="13" t="str">
        <f t="shared" si="81"/>
        <v/>
      </c>
      <c r="H322">
        <f t="shared" si="82"/>
        <v>0</v>
      </c>
      <c r="I322">
        <f t="shared" si="83"/>
        <v>0</v>
      </c>
      <c r="J322" s="13">
        <f t="shared" si="84"/>
        <v>85</v>
      </c>
      <c r="K322">
        <f t="shared" si="76"/>
        <v>1</v>
      </c>
      <c r="L322">
        <f t="shared" si="77"/>
        <v>25</v>
      </c>
      <c r="M322" s="13">
        <f t="shared" si="85"/>
        <v>1</v>
      </c>
      <c r="N322">
        <f t="shared" si="85"/>
        <v>24</v>
      </c>
      <c r="O322" s="14">
        <f t="shared" si="73"/>
        <v>84</v>
      </c>
      <c r="P322" s="13">
        <f t="shared" si="78"/>
        <v>1</v>
      </c>
      <c r="Q322">
        <f t="shared" si="86"/>
        <v>24</v>
      </c>
      <c r="R322" s="14">
        <f t="shared" si="87"/>
        <v>84</v>
      </c>
      <c r="S322" s="15"/>
      <c r="W322" s="14"/>
    </row>
    <row r="323" spans="1:23" hidden="1" x14ac:dyDescent="0.25">
      <c r="A323" s="16"/>
      <c r="B323" s="17" t="b">
        <f t="shared" si="80"/>
        <v>0</v>
      </c>
      <c r="C323" s="17" t="b">
        <f t="shared" si="88"/>
        <v>0</v>
      </c>
      <c r="D323" s="17">
        <f t="shared" si="74"/>
        <v>1</v>
      </c>
      <c r="E323" s="17" t="str">
        <f t="shared" si="79"/>
        <v>Section 5 - Conclusion, And FREE Coupon For Next Course</v>
      </c>
      <c r="F323" s="18" t="str">
        <f t="shared" si="75"/>
        <v/>
      </c>
      <c r="G323" s="13" t="str">
        <f t="shared" si="81"/>
        <v/>
      </c>
      <c r="H323">
        <f t="shared" si="82"/>
        <v>0</v>
      </c>
      <c r="I323">
        <f t="shared" si="83"/>
        <v>0</v>
      </c>
      <c r="J323" s="13">
        <f t="shared" si="84"/>
        <v>85</v>
      </c>
      <c r="K323">
        <f t="shared" si="76"/>
        <v>1</v>
      </c>
      <c r="L323">
        <f t="shared" si="77"/>
        <v>25</v>
      </c>
      <c r="M323" s="13">
        <f t="shared" si="85"/>
        <v>1</v>
      </c>
      <c r="N323">
        <f t="shared" si="85"/>
        <v>24</v>
      </c>
      <c r="O323" s="14">
        <f t="shared" si="73"/>
        <v>84</v>
      </c>
      <c r="P323" s="13">
        <f t="shared" si="78"/>
        <v>1</v>
      </c>
      <c r="Q323">
        <f t="shared" si="86"/>
        <v>24</v>
      </c>
      <c r="R323" s="14">
        <f t="shared" si="87"/>
        <v>84</v>
      </c>
      <c r="S323" s="15"/>
      <c r="W323" s="14"/>
    </row>
    <row r="324" spans="1:23" hidden="1" x14ac:dyDescent="0.25">
      <c r="A324" s="16"/>
      <c r="B324" s="17" t="b">
        <f t="shared" si="80"/>
        <v>0</v>
      </c>
      <c r="C324" s="17" t="b">
        <f t="shared" si="88"/>
        <v>0</v>
      </c>
      <c r="D324" s="17">
        <f t="shared" si="74"/>
        <v>1</v>
      </c>
      <c r="E324" s="17" t="str">
        <f t="shared" si="79"/>
        <v>Section 5 - Conclusion, And FREE Coupon For Next Course</v>
      </c>
      <c r="F324" s="18" t="str">
        <f t="shared" si="75"/>
        <v/>
      </c>
      <c r="G324" s="13" t="str">
        <f t="shared" si="81"/>
        <v/>
      </c>
      <c r="H324">
        <f t="shared" si="82"/>
        <v>0</v>
      </c>
      <c r="I324">
        <f t="shared" si="83"/>
        <v>0</v>
      </c>
      <c r="J324" s="13">
        <f t="shared" si="84"/>
        <v>85</v>
      </c>
      <c r="K324">
        <f t="shared" si="76"/>
        <v>1</v>
      </c>
      <c r="L324">
        <f t="shared" si="77"/>
        <v>25</v>
      </c>
      <c r="M324" s="13">
        <f t="shared" si="85"/>
        <v>1</v>
      </c>
      <c r="N324">
        <f t="shared" si="85"/>
        <v>24</v>
      </c>
      <c r="O324" s="14">
        <f t="shared" si="73"/>
        <v>84</v>
      </c>
      <c r="P324" s="13">
        <f t="shared" si="78"/>
        <v>1</v>
      </c>
      <c r="Q324">
        <f t="shared" si="86"/>
        <v>24</v>
      </c>
      <c r="R324" s="14">
        <f t="shared" si="87"/>
        <v>84</v>
      </c>
      <c r="S324" s="15"/>
      <c r="W324" s="14"/>
    </row>
    <row r="325" spans="1:23" hidden="1" x14ac:dyDescent="0.25">
      <c r="A325" s="16"/>
      <c r="B325" s="17" t="b">
        <f t="shared" si="80"/>
        <v>0</v>
      </c>
      <c r="C325" s="17" t="b">
        <f t="shared" si="88"/>
        <v>0</v>
      </c>
      <c r="D325" s="17">
        <f t="shared" si="74"/>
        <v>1</v>
      </c>
      <c r="E325" s="17" t="str">
        <f t="shared" si="79"/>
        <v>Section 5 - Conclusion, And FREE Coupon For Next Course</v>
      </c>
      <c r="F325" s="18" t="str">
        <f t="shared" si="75"/>
        <v/>
      </c>
      <c r="G325" s="13" t="str">
        <f t="shared" si="81"/>
        <v/>
      </c>
      <c r="H325">
        <f t="shared" si="82"/>
        <v>0</v>
      </c>
      <c r="I325">
        <f t="shared" si="83"/>
        <v>0</v>
      </c>
      <c r="J325" s="13">
        <f t="shared" si="84"/>
        <v>85</v>
      </c>
      <c r="K325">
        <f t="shared" si="76"/>
        <v>1</v>
      </c>
      <c r="L325">
        <f t="shared" si="77"/>
        <v>25</v>
      </c>
      <c r="M325" s="13">
        <f t="shared" si="85"/>
        <v>1</v>
      </c>
      <c r="N325">
        <f t="shared" si="85"/>
        <v>24</v>
      </c>
      <c r="O325" s="14">
        <f t="shared" si="73"/>
        <v>84</v>
      </c>
      <c r="P325" s="13">
        <f t="shared" si="78"/>
        <v>1</v>
      </c>
      <c r="Q325">
        <f t="shared" si="86"/>
        <v>24</v>
      </c>
      <c r="R325" s="14">
        <f t="shared" si="87"/>
        <v>84</v>
      </c>
      <c r="S325" s="15"/>
      <c r="W325" s="14"/>
    </row>
    <row r="326" spans="1:23" hidden="1" x14ac:dyDescent="0.25">
      <c r="A326" s="16"/>
      <c r="B326" s="17" t="b">
        <f t="shared" si="80"/>
        <v>0</v>
      </c>
      <c r="C326" s="17" t="b">
        <f t="shared" si="88"/>
        <v>0</v>
      </c>
      <c r="D326" s="17">
        <f t="shared" si="74"/>
        <v>1</v>
      </c>
      <c r="E326" s="17" t="str">
        <f t="shared" si="79"/>
        <v>Section 5 - Conclusion, And FREE Coupon For Next Course</v>
      </c>
      <c r="F326" s="18" t="str">
        <f t="shared" si="75"/>
        <v/>
      </c>
      <c r="G326" s="13" t="str">
        <f t="shared" si="81"/>
        <v/>
      </c>
      <c r="H326">
        <f t="shared" si="82"/>
        <v>0</v>
      </c>
      <c r="I326">
        <f t="shared" si="83"/>
        <v>0</v>
      </c>
      <c r="J326" s="13">
        <f t="shared" si="84"/>
        <v>85</v>
      </c>
      <c r="K326">
        <f t="shared" si="76"/>
        <v>1</v>
      </c>
      <c r="L326">
        <f t="shared" si="77"/>
        <v>25</v>
      </c>
      <c r="M326" s="13">
        <f t="shared" si="85"/>
        <v>1</v>
      </c>
      <c r="N326">
        <f t="shared" si="85"/>
        <v>24</v>
      </c>
      <c r="O326" s="14">
        <f t="shared" si="73"/>
        <v>84</v>
      </c>
      <c r="P326" s="13">
        <f t="shared" si="78"/>
        <v>1</v>
      </c>
      <c r="Q326">
        <f t="shared" si="86"/>
        <v>24</v>
      </c>
      <c r="R326" s="14">
        <f t="shared" si="87"/>
        <v>84</v>
      </c>
      <c r="S326" s="15"/>
      <c r="W326" s="14"/>
    </row>
    <row r="327" spans="1:23" hidden="1" x14ac:dyDescent="0.25">
      <c r="A327" s="16"/>
      <c r="B327" s="17" t="b">
        <f t="shared" si="80"/>
        <v>0</v>
      </c>
      <c r="C327" s="17" t="b">
        <f t="shared" si="88"/>
        <v>0</v>
      </c>
      <c r="D327" s="17">
        <f t="shared" si="74"/>
        <v>1</v>
      </c>
      <c r="E327" s="17" t="str">
        <f t="shared" si="79"/>
        <v>Section 5 - Conclusion, And FREE Coupon For Next Course</v>
      </c>
      <c r="F327" s="18" t="str">
        <f t="shared" si="75"/>
        <v/>
      </c>
      <c r="G327" s="13" t="str">
        <f t="shared" si="81"/>
        <v/>
      </c>
      <c r="H327">
        <f t="shared" si="82"/>
        <v>0</v>
      </c>
      <c r="I327">
        <f t="shared" si="83"/>
        <v>0</v>
      </c>
      <c r="J327" s="13">
        <f t="shared" si="84"/>
        <v>85</v>
      </c>
      <c r="K327">
        <f t="shared" si="76"/>
        <v>1</v>
      </c>
      <c r="L327">
        <f t="shared" si="77"/>
        <v>25</v>
      </c>
      <c r="M327" s="13">
        <f t="shared" si="85"/>
        <v>1</v>
      </c>
      <c r="N327">
        <f t="shared" si="85"/>
        <v>24</v>
      </c>
      <c r="O327" s="14">
        <f t="shared" si="73"/>
        <v>84</v>
      </c>
      <c r="P327" s="13">
        <f t="shared" si="78"/>
        <v>1</v>
      </c>
      <c r="Q327">
        <f t="shared" si="86"/>
        <v>24</v>
      </c>
      <c r="R327" s="14">
        <f t="shared" si="87"/>
        <v>84</v>
      </c>
      <c r="S327" s="15"/>
      <c r="W327" s="14"/>
    </row>
    <row r="328" spans="1:23" hidden="1" x14ac:dyDescent="0.25">
      <c r="A328" s="16"/>
      <c r="B328" s="17" t="b">
        <f t="shared" si="80"/>
        <v>0</v>
      </c>
      <c r="C328" s="17" t="b">
        <f t="shared" si="88"/>
        <v>0</v>
      </c>
      <c r="D328" s="17">
        <f t="shared" si="74"/>
        <v>1</v>
      </c>
      <c r="E328" s="17" t="str">
        <f t="shared" si="79"/>
        <v>Section 5 - Conclusion, And FREE Coupon For Next Course</v>
      </c>
      <c r="F328" s="18" t="str">
        <f t="shared" si="75"/>
        <v/>
      </c>
      <c r="G328" s="13" t="str">
        <f t="shared" si="81"/>
        <v/>
      </c>
      <c r="H328">
        <f t="shared" si="82"/>
        <v>0</v>
      </c>
      <c r="I328">
        <f t="shared" si="83"/>
        <v>0</v>
      </c>
      <c r="J328" s="13">
        <f t="shared" si="84"/>
        <v>85</v>
      </c>
      <c r="K328">
        <f t="shared" si="76"/>
        <v>1</v>
      </c>
      <c r="L328">
        <f t="shared" si="77"/>
        <v>25</v>
      </c>
      <c r="M328" s="13">
        <f t="shared" si="85"/>
        <v>1</v>
      </c>
      <c r="N328">
        <f t="shared" si="85"/>
        <v>24</v>
      </c>
      <c r="O328" s="14">
        <f t="shared" si="73"/>
        <v>84</v>
      </c>
      <c r="P328" s="13">
        <f t="shared" si="78"/>
        <v>1</v>
      </c>
      <c r="Q328">
        <f t="shared" si="86"/>
        <v>24</v>
      </c>
      <c r="R328" s="14">
        <f t="shared" si="87"/>
        <v>84</v>
      </c>
      <c r="S328" s="15"/>
      <c r="W328" s="14"/>
    </row>
    <row r="329" spans="1:23" hidden="1" x14ac:dyDescent="0.25">
      <c r="A329" s="16"/>
      <c r="B329" s="17" t="b">
        <f t="shared" si="80"/>
        <v>0</v>
      </c>
      <c r="C329" s="17" t="b">
        <f t="shared" si="88"/>
        <v>0</v>
      </c>
      <c r="D329" s="17">
        <f t="shared" si="74"/>
        <v>1</v>
      </c>
      <c r="E329" s="17" t="str">
        <f t="shared" si="79"/>
        <v>Section 5 - Conclusion, And FREE Coupon For Next Course</v>
      </c>
      <c r="F329" s="18" t="str">
        <f t="shared" si="75"/>
        <v/>
      </c>
      <c r="G329" s="13" t="str">
        <f t="shared" si="81"/>
        <v/>
      </c>
      <c r="H329">
        <f t="shared" si="82"/>
        <v>0</v>
      </c>
      <c r="I329">
        <f t="shared" si="83"/>
        <v>0</v>
      </c>
      <c r="J329" s="13">
        <f t="shared" si="84"/>
        <v>85</v>
      </c>
      <c r="K329">
        <f t="shared" si="76"/>
        <v>1</v>
      </c>
      <c r="L329">
        <f t="shared" si="77"/>
        <v>25</v>
      </c>
      <c r="M329" s="13">
        <f t="shared" si="85"/>
        <v>1</v>
      </c>
      <c r="N329">
        <f t="shared" si="85"/>
        <v>24</v>
      </c>
      <c r="O329" s="14">
        <f t="shared" si="73"/>
        <v>84</v>
      </c>
      <c r="P329" s="13">
        <f t="shared" si="78"/>
        <v>1</v>
      </c>
      <c r="Q329">
        <f t="shared" si="86"/>
        <v>24</v>
      </c>
      <c r="R329" s="14">
        <f t="shared" si="87"/>
        <v>84</v>
      </c>
      <c r="S329" s="15"/>
      <c r="W329" s="14"/>
    </row>
    <row r="330" spans="1:23" hidden="1" x14ac:dyDescent="0.25">
      <c r="A330" s="16"/>
      <c r="B330" s="17" t="b">
        <f t="shared" si="80"/>
        <v>0</v>
      </c>
      <c r="C330" s="17" t="b">
        <f t="shared" si="88"/>
        <v>0</v>
      </c>
      <c r="D330" s="17">
        <f t="shared" si="74"/>
        <v>1</v>
      </c>
      <c r="E330" s="17" t="str">
        <f t="shared" si="79"/>
        <v>Section 5 - Conclusion, And FREE Coupon For Next Course</v>
      </c>
      <c r="F330" s="18" t="str">
        <f t="shared" si="75"/>
        <v/>
      </c>
      <c r="G330" s="13" t="str">
        <f t="shared" si="81"/>
        <v/>
      </c>
      <c r="H330">
        <f t="shared" si="82"/>
        <v>0</v>
      </c>
      <c r="I330">
        <f t="shared" si="83"/>
        <v>0</v>
      </c>
      <c r="J330" s="13">
        <f t="shared" si="84"/>
        <v>85</v>
      </c>
      <c r="K330">
        <f t="shared" si="76"/>
        <v>1</v>
      </c>
      <c r="L330">
        <f t="shared" si="77"/>
        <v>25</v>
      </c>
      <c r="M330" s="13">
        <f t="shared" si="85"/>
        <v>1</v>
      </c>
      <c r="N330">
        <f t="shared" si="85"/>
        <v>24</v>
      </c>
      <c r="O330" s="14">
        <f t="shared" ref="O330:O393" si="89">((M330*60)+N330)</f>
        <v>84</v>
      </c>
      <c r="P330" s="13">
        <f t="shared" si="78"/>
        <v>1</v>
      </c>
      <c r="Q330">
        <f t="shared" si="86"/>
        <v>24</v>
      </c>
      <c r="R330" s="14">
        <f t="shared" si="87"/>
        <v>84</v>
      </c>
      <c r="S330" s="15"/>
      <c r="W330" s="14"/>
    </row>
    <row r="331" spans="1:23" hidden="1" x14ac:dyDescent="0.25">
      <c r="A331" s="16"/>
      <c r="B331" s="17" t="b">
        <f t="shared" si="80"/>
        <v>0</v>
      </c>
      <c r="C331" s="17" t="b">
        <f t="shared" si="88"/>
        <v>0</v>
      </c>
      <c r="D331" s="17">
        <f t="shared" ref="D331:D394" si="90">IF(B331,0,IF(C331,D330+1,D330))</f>
        <v>1</v>
      </c>
      <c r="E331" s="17" t="str">
        <f t="shared" si="79"/>
        <v>Section 5 - Conclusion, And FREE Coupon For Next Course</v>
      </c>
      <c r="F331" s="18" t="str">
        <f t="shared" ref="F331:F394" si="91">IF(C331,A331,"")</f>
        <v/>
      </c>
      <c r="G331" s="13" t="str">
        <f t="shared" si="81"/>
        <v/>
      </c>
      <c r="H331">
        <f t="shared" si="82"/>
        <v>0</v>
      </c>
      <c r="I331">
        <f t="shared" si="83"/>
        <v>0</v>
      </c>
      <c r="J331" s="13">
        <f t="shared" si="84"/>
        <v>85</v>
      </c>
      <c r="K331">
        <f t="shared" ref="K331:K394" si="92">INT(J331/60)</f>
        <v>1</v>
      </c>
      <c r="L331">
        <f t="shared" ref="L331:L394" si="93">INT(J331-(K331*60))</f>
        <v>25</v>
      </c>
      <c r="M331" s="13">
        <f t="shared" si="85"/>
        <v>1</v>
      </c>
      <c r="N331">
        <f t="shared" si="85"/>
        <v>24</v>
      </c>
      <c r="O331" s="14">
        <f t="shared" si="89"/>
        <v>84</v>
      </c>
      <c r="P331" s="13">
        <f t="shared" ref="P331:P394" si="94">INT(R331/60)</f>
        <v>1</v>
      </c>
      <c r="Q331">
        <f t="shared" si="86"/>
        <v>24</v>
      </c>
      <c r="R331" s="14">
        <f t="shared" si="87"/>
        <v>84</v>
      </c>
      <c r="S331" s="15"/>
      <c r="W331" s="14"/>
    </row>
    <row r="332" spans="1:23" hidden="1" x14ac:dyDescent="0.25">
      <c r="A332" s="16"/>
      <c r="B332" s="17" t="b">
        <f t="shared" si="80"/>
        <v>0</v>
      </c>
      <c r="C332" s="17" t="b">
        <f t="shared" si="88"/>
        <v>0</v>
      </c>
      <c r="D332" s="17">
        <f t="shared" si="90"/>
        <v>1</v>
      </c>
      <c r="E332" s="17" t="str">
        <f t="shared" ref="E332:E395" si="95">SUBSTITUTE(IF(B332,A332,E331),":", " -")</f>
        <v>Section 5 - Conclusion, And FREE Coupon For Next Course</v>
      </c>
      <c r="F332" s="18" t="str">
        <f t="shared" si="91"/>
        <v/>
      </c>
      <c r="G332" s="13" t="str">
        <f t="shared" si="81"/>
        <v/>
      </c>
      <c r="H332">
        <f t="shared" si="82"/>
        <v>0</v>
      </c>
      <c r="I332">
        <f t="shared" si="83"/>
        <v>0</v>
      </c>
      <c r="J332" s="13">
        <f t="shared" si="84"/>
        <v>85</v>
      </c>
      <c r="K332">
        <f t="shared" si="92"/>
        <v>1</v>
      </c>
      <c r="L332">
        <f t="shared" si="93"/>
        <v>25</v>
      </c>
      <c r="M332" s="13">
        <f t="shared" si="85"/>
        <v>1</v>
      </c>
      <c r="N332">
        <f t="shared" si="85"/>
        <v>24</v>
      </c>
      <c r="O332" s="14">
        <f t="shared" si="89"/>
        <v>84</v>
      </c>
      <c r="P332" s="13">
        <f t="shared" si="94"/>
        <v>1</v>
      </c>
      <c r="Q332">
        <f t="shared" si="86"/>
        <v>24</v>
      </c>
      <c r="R332" s="14">
        <f t="shared" si="87"/>
        <v>84</v>
      </c>
      <c r="S332" s="15"/>
      <c r="W332" s="14"/>
    </row>
    <row r="333" spans="1:23" hidden="1" x14ac:dyDescent="0.25">
      <c r="A333" s="16"/>
      <c r="B333" s="17" t="b">
        <f t="shared" si="80"/>
        <v>0</v>
      </c>
      <c r="C333" s="17" t="b">
        <f t="shared" si="88"/>
        <v>0</v>
      </c>
      <c r="D333" s="17">
        <f t="shared" si="90"/>
        <v>1</v>
      </c>
      <c r="E333" s="17" t="str">
        <f t="shared" si="95"/>
        <v>Section 5 - Conclusion, And FREE Coupon For Next Course</v>
      </c>
      <c r="F333" s="18" t="str">
        <f t="shared" si="91"/>
        <v/>
      </c>
      <c r="G333" s="13" t="str">
        <f t="shared" si="81"/>
        <v/>
      </c>
      <c r="H333">
        <f t="shared" si="82"/>
        <v>0</v>
      </c>
      <c r="I333">
        <f t="shared" si="83"/>
        <v>0</v>
      </c>
      <c r="J333" s="13">
        <f t="shared" si="84"/>
        <v>85</v>
      </c>
      <c r="K333">
        <f t="shared" si="92"/>
        <v>1</v>
      </c>
      <c r="L333">
        <f t="shared" si="93"/>
        <v>25</v>
      </c>
      <c r="M333" s="13">
        <f t="shared" si="85"/>
        <v>1</v>
      </c>
      <c r="N333">
        <f t="shared" si="85"/>
        <v>24</v>
      </c>
      <c r="O333" s="14">
        <f t="shared" si="89"/>
        <v>84</v>
      </c>
      <c r="P333" s="13">
        <f t="shared" si="94"/>
        <v>1</v>
      </c>
      <c r="Q333">
        <f t="shared" si="86"/>
        <v>24</v>
      </c>
      <c r="R333" s="14">
        <f t="shared" si="87"/>
        <v>84</v>
      </c>
      <c r="S333" s="15"/>
      <c r="W333" s="14"/>
    </row>
    <row r="334" spans="1:23" hidden="1" x14ac:dyDescent="0.25">
      <c r="A334" s="16"/>
      <c r="B334" s="17" t="b">
        <f t="shared" si="80"/>
        <v>0</v>
      </c>
      <c r="C334" s="17" t="b">
        <f t="shared" si="88"/>
        <v>0</v>
      </c>
      <c r="D334" s="17">
        <f t="shared" si="90"/>
        <v>1</v>
      </c>
      <c r="E334" s="17" t="str">
        <f t="shared" si="95"/>
        <v>Section 5 - Conclusion, And FREE Coupon For Next Course</v>
      </c>
      <c r="F334" s="18" t="str">
        <f t="shared" si="91"/>
        <v/>
      </c>
      <c r="G334" s="13" t="str">
        <f t="shared" si="81"/>
        <v/>
      </c>
      <c r="H334">
        <f t="shared" si="82"/>
        <v>0</v>
      </c>
      <c r="I334">
        <f t="shared" si="83"/>
        <v>0</v>
      </c>
      <c r="J334" s="13">
        <f t="shared" si="84"/>
        <v>85</v>
      </c>
      <c r="K334">
        <f t="shared" si="92"/>
        <v>1</v>
      </c>
      <c r="L334">
        <f t="shared" si="93"/>
        <v>25</v>
      </c>
      <c r="M334" s="13">
        <f t="shared" si="85"/>
        <v>1</v>
      </c>
      <c r="N334">
        <f t="shared" si="85"/>
        <v>24</v>
      </c>
      <c r="O334" s="14">
        <f t="shared" si="89"/>
        <v>84</v>
      </c>
      <c r="P334" s="13">
        <f t="shared" si="94"/>
        <v>1</v>
      </c>
      <c r="Q334">
        <f t="shared" si="86"/>
        <v>24</v>
      </c>
      <c r="R334" s="14">
        <f t="shared" si="87"/>
        <v>84</v>
      </c>
      <c r="S334" s="15"/>
      <c r="W334" s="14"/>
    </row>
    <row r="335" spans="1:23" hidden="1" x14ac:dyDescent="0.25">
      <c r="A335" s="16"/>
      <c r="B335" s="17" t="b">
        <f t="shared" si="80"/>
        <v>0</v>
      </c>
      <c r="C335" s="17" t="b">
        <f t="shared" si="88"/>
        <v>0</v>
      </c>
      <c r="D335" s="17">
        <f t="shared" si="90"/>
        <v>1</v>
      </c>
      <c r="E335" s="17" t="str">
        <f t="shared" si="95"/>
        <v>Section 5 - Conclusion, And FREE Coupon For Next Course</v>
      </c>
      <c r="F335" s="18" t="str">
        <f t="shared" si="91"/>
        <v/>
      </c>
      <c r="G335" s="13" t="str">
        <f t="shared" si="81"/>
        <v/>
      </c>
      <c r="H335">
        <f t="shared" si="82"/>
        <v>0</v>
      </c>
      <c r="I335">
        <f t="shared" si="83"/>
        <v>0</v>
      </c>
      <c r="J335" s="13">
        <f t="shared" si="84"/>
        <v>85</v>
      </c>
      <c r="K335">
        <f t="shared" si="92"/>
        <v>1</v>
      </c>
      <c r="L335">
        <f t="shared" si="93"/>
        <v>25</v>
      </c>
      <c r="M335" s="13">
        <f t="shared" si="85"/>
        <v>1</v>
      </c>
      <c r="N335">
        <f t="shared" si="85"/>
        <v>24</v>
      </c>
      <c r="O335" s="14">
        <f t="shared" si="89"/>
        <v>84</v>
      </c>
      <c r="P335" s="13">
        <f t="shared" si="94"/>
        <v>1</v>
      </c>
      <c r="Q335">
        <f t="shared" si="86"/>
        <v>24</v>
      </c>
      <c r="R335" s="14">
        <f t="shared" si="87"/>
        <v>84</v>
      </c>
      <c r="S335" s="15"/>
      <c r="W335" s="14"/>
    </row>
    <row r="336" spans="1:23" hidden="1" x14ac:dyDescent="0.25">
      <c r="A336" s="16"/>
      <c r="B336" s="17" t="b">
        <f t="shared" si="80"/>
        <v>0</v>
      </c>
      <c r="C336" s="17" t="b">
        <f t="shared" si="88"/>
        <v>0</v>
      </c>
      <c r="D336" s="17">
        <f t="shared" si="90"/>
        <v>1</v>
      </c>
      <c r="E336" s="17" t="str">
        <f t="shared" si="95"/>
        <v>Section 5 - Conclusion, And FREE Coupon For Next Course</v>
      </c>
      <c r="F336" s="18" t="str">
        <f t="shared" si="91"/>
        <v/>
      </c>
      <c r="G336" s="13" t="str">
        <f t="shared" si="81"/>
        <v/>
      </c>
      <c r="H336">
        <f t="shared" si="82"/>
        <v>0</v>
      </c>
      <c r="I336">
        <f t="shared" si="83"/>
        <v>0</v>
      </c>
      <c r="J336" s="13">
        <f t="shared" si="84"/>
        <v>85</v>
      </c>
      <c r="K336">
        <f t="shared" si="92"/>
        <v>1</v>
      </c>
      <c r="L336">
        <f t="shared" si="93"/>
        <v>25</v>
      </c>
      <c r="M336" s="13">
        <f t="shared" si="85"/>
        <v>1</v>
      </c>
      <c r="N336">
        <f t="shared" si="85"/>
        <v>24</v>
      </c>
      <c r="O336" s="14">
        <f t="shared" si="89"/>
        <v>84</v>
      </c>
      <c r="P336" s="13">
        <f t="shared" si="94"/>
        <v>1</v>
      </c>
      <c r="Q336">
        <f t="shared" si="86"/>
        <v>24</v>
      </c>
      <c r="R336" s="14">
        <f t="shared" si="87"/>
        <v>84</v>
      </c>
      <c r="S336" s="15"/>
      <c r="W336" s="14"/>
    </row>
    <row r="337" spans="1:23" hidden="1" x14ac:dyDescent="0.25">
      <c r="A337" s="16"/>
      <c r="B337" s="17" t="b">
        <f t="shared" si="80"/>
        <v>0</v>
      </c>
      <c r="C337" s="17" t="b">
        <f t="shared" si="88"/>
        <v>0</v>
      </c>
      <c r="D337" s="17">
        <f t="shared" si="90"/>
        <v>1</v>
      </c>
      <c r="E337" s="17" t="str">
        <f t="shared" si="95"/>
        <v>Section 5 - Conclusion, And FREE Coupon For Next Course</v>
      </c>
      <c r="F337" s="18" t="str">
        <f t="shared" si="91"/>
        <v/>
      </c>
      <c r="G337" s="13" t="str">
        <f t="shared" si="81"/>
        <v/>
      </c>
      <c r="H337">
        <f t="shared" si="82"/>
        <v>0</v>
      </c>
      <c r="I337">
        <f t="shared" si="83"/>
        <v>0</v>
      </c>
      <c r="J337" s="13">
        <f t="shared" si="84"/>
        <v>85</v>
      </c>
      <c r="K337">
        <f t="shared" si="92"/>
        <v>1</v>
      </c>
      <c r="L337">
        <f t="shared" si="93"/>
        <v>25</v>
      </c>
      <c r="M337" s="13">
        <f t="shared" si="85"/>
        <v>1</v>
      </c>
      <c r="N337">
        <f t="shared" si="85"/>
        <v>24</v>
      </c>
      <c r="O337" s="14">
        <f t="shared" si="89"/>
        <v>84</v>
      </c>
      <c r="P337" s="13">
        <f t="shared" si="94"/>
        <v>1</v>
      </c>
      <c r="Q337">
        <f t="shared" si="86"/>
        <v>24</v>
      </c>
      <c r="R337" s="14">
        <f t="shared" si="87"/>
        <v>84</v>
      </c>
      <c r="S337" s="15"/>
      <c r="W337" s="14"/>
    </row>
    <row r="338" spans="1:23" hidden="1" x14ac:dyDescent="0.25">
      <c r="A338" s="16"/>
      <c r="B338" s="17" t="b">
        <f t="shared" ref="B338:B401" si="96">AND(NOT(ISERROR(FIND("Section ",A338))),NOT(ISERROR(FIND("Section ",A338))))</f>
        <v>0</v>
      </c>
      <c r="C338" s="17" t="b">
        <f t="shared" si="88"/>
        <v>0</v>
      </c>
      <c r="D338" s="17">
        <f t="shared" si="90"/>
        <v>1</v>
      </c>
      <c r="E338" s="17" t="str">
        <f t="shared" si="95"/>
        <v>Section 5 - Conclusion, And FREE Coupon For Next Course</v>
      </c>
      <c r="F338" s="18" t="str">
        <f t="shared" si="91"/>
        <v/>
      </c>
      <c r="G338" s="13" t="str">
        <f t="shared" si="81"/>
        <v/>
      </c>
      <c r="H338">
        <f t="shared" si="82"/>
        <v>0</v>
      </c>
      <c r="I338">
        <f t="shared" si="83"/>
        <v>0</v>
      </c>
      <c r="J338" s="13">
        <f t="shared" si="84"/>
        <v>85</v>
      </c>
      <c r="K338">
        <f t="shared" si="92"/>
        <v>1</v>
      </c>
      <c r="L338">
        <f t="shared" si="93"/>
        <v>25</v>
      </c>
      <c r="M338" s="13">
        <f t="shared" si="85"/>
        <v>1</v>
      </c>
      <c r="N338">
        <f t="shared" si="85"/>
        <v>24</v>
      </c>
      <c r="O338" s="14">
        <f t="shared" si="89"/>
        <v>84</v>
      </c>
      <c r="P338" s="13">
        <f t="shared" si="94"/>
        <v>1</v>
      </c>
      <c r="Q338">
        <f t="shared" si="86"/>
        <v>24</v>
      </c>
      <c r="R338" s="14">
        <f t="shared" si="87"/>
        <v>84</v>
      </c>
      <c r="S338" s="15"/>
      <c r="W338" s="14"/>
    </row>
    <row r="339" spans="1:23" hidden="1" x14ac:dyDescent="0.25">
      <c r="A339" s="16"/>
      <c r="B339" s="17" t="b">
        <f t="shared" si="96"/>
        <v>0</v>
      </c>
      <c r="C339" s="17" t="b">
        <f t="shared" si="88"/>
        <v>0</v>
      </c>
      <c r="D339" s="17">
        <f t="shared" si="90"/>
        <v>1</v>
      </c>
      <c r="E339" s="17" t="str">
        <f t="shared" si="95"/>
        <v>Section 5 - Conclusion, And FREE Coupon For Next Course</v>
      </c>
      <c r="F339" s="18" t="str">
        <f t="shared" si="91"/>
        <v/>
      </c>
      <c r="G339" s="13" t="str">
        <f t="shared" si="81"/>
        <v/>
      </c>
      <c r="H339">
        <f t="shared" si="82"/>
        <v>0</v>
      </c>
      <c r="I339">
        <f t="shared" si="83"/>
        <v>0</v>
      </c>
      <c r="J339" s="13">
        <f t="shared" si="84"/>
        <v>85</v>
      </c>
      <c r="K339">
        <f t="shared" si="92"/>
        <v>1</v>
      </c>
      <c r="L339">
        <f t="shared" si="93"/>
        <v>25</v>
      </c>
      <c r="M339" s="13">
        <f t="shared" si="85"/>
        <v>1</v>
      </c>
      <c r="N339">
        <f t="shared" si="85"/>
        <v>24</v>
      </c>
      <c r="O339" s="14">
        <f t="shared" si="89"/>
        <v>84</v>
      </c>
      <c r="P339" s="13">
        <f t="shared" si="94"/>
        <v>1</v>
      </c>
      <c r="Q339">
        <f t="shared" si="86"/>
        <v>24</v>
      </c>
      <c r="R339" s="14">
        <f t="shared" si="87"/>
        <v>84</v>
      </c>
      <c r="S339" s="15"/>
      <c r="W339" s="14"/>
    </row>
    <row r="340" spans="1:23" hidden="1" x14ac:dyDescent="0.25">
      <c r="A340" s="16"/>
      <c r="B340" s="17" t="b">
        <f t="shared" si="96"/>
        <v>0</v>
      </c>
      <c r="C340" s="17" t="b">
        <f t="shared" si="88"/>
        <v>0</v>
      </c>
      <c r="D340" s="17">
        <f t="shared" si="90"/>
        <v>1</v>
      </c>
      <c r="E340" s="17" t="str">
        <f t="shared" si="95"/>
        <v>Section 5 - Conclusion, And FREE Coupon For Next Course</v>
      </c>
      <c r="F340" s="18" t="str">
        <f t="shared" si="91"/>
        <v/>
      </c>
      <c r="G340" s="13" t="str">
        <f t="shared" si="81"/>
        <v/>
      </c>
      <c r="H340">
        <f t="shared" si="82"/>
        <v>0</v>
      </c>
      <c r="I340">
        <f t="shared" si="83"/>
        <v>0</v>
      </c>
      <c r="J340" s="13">
        <f t="shared" si="84"/>
        <v>85</v>
      </c>
      <c r="K340">
        <f t="shared" si="92"/>
        <v>1</v>
      </c>
      <c r="L340">
        <f t="shared" si="93"/>
        <v>25</v>
      </c>
      <c r="M340" s="13">
        <f t="shared" si="85"/>
        <v>1</v>
      </c>
      <c r="N340">
        <f t="shared" si="85"/>
        <v>24</v>
      </c>
      <c r="O340" s="14">
        <f t="shared" si="89"/>
        <v>84</v>
      </c>
      <c r="P340" s="13">
        <f t="shared" si="94"/>
        <v>1</v>
      </c>
      <c r="Q340">
        <f t="shared" si="86"/>
        <v>24</v>
      </c>
      <c r="R340" s="14">
        <f t="shared" si="87"/>
        <v>84</v>
      </c>
      <c r="S340" s="15"/>
      <c r="W340" s="14"/>
    </row>
    <row r="341" spans="1:23" hidden="1" x14ac:dyDescent="0.25">
      <c r="A341" s="16"/>
      <c r="B341" s="17" t="b">
        <f t="shared" si="96"/>
        <v>0</v>
      </c>
      <c r="C341" s="17" t="b">
        <f t="shared" si="88"/>
        <v>0</v>
      </c>
      <c r="D341" s="17">
        <f t="shared" si="90"/>
        <v>1</v>
      </c>
      <c r="E341" s="17" t="str">
        <f t="shared" si="95"/>
        <v>Section 5 - Conclusion, And FREE Coupon For Next Course</v>
      </c>
      <c r="F341" s="18" t="str">
        <f t="shared" si="91"/>
        <v/>
      </c>
      <c r="G341" s="13" t="str">
        <f t="shared" ref="G341:G404" si="97">IF(C341,A342,"")</f>
        <v/>
      </c>
      <c r="H341">
        <f t="shared" ref="H341:H404" si="98">VALUE(IF(NOT(ISERROR(FIND("hr",G341))),LEFT(G341,FIND("hr",G341)-1),0))</f>
        <v>0</v>
      </c>
      <c r="I341">
        <f t="shared" ref="I341:I404" si="99">VALUE(IF(ISERROR(FIND("min",G341)),0,SUBSTITUTE(MID(G341,IF(ISERROR(FIND("hr ",G341)),1,FIND("hr ",G341)+3),LEN(G341)),"min","")))</f>
        <v>0</v>
      </c>
      <c r="J341" s="13">
        <f t="shared" ref="J341:J404" si="100">J340+(H341*60+I341)</f>
        <v>85</v>
      </c>
      <c r="K341">
        <f t="shared" si="92"/>
        <v>1</v>
      </c>
      <c r="L341">
        <f t="shared" si="93"/>
        <v>25</v>
      </c>
      <c r="M341" s="13">
        <f t="shared" ref="M341:N404" si="101">P340</f>
        <v>1</v>
      </c>
      <c r="N341">
        <f t="shared" si="101"/>
        <v>24</v>
      </c>
      <c r="O341" s="14">
        <f t="shared" si="89"/>
        <v>84</v>
      </c>
      <c r="P341" s="13">
        <f t="shared" si="94"/>
        <v>1</v>
      </c>
      <c r="Q341">
        <f t="shared" ref="Q341:Q404" si="102">R341-(P341*60)</f>
        <v>24</v>
      </c>
      <c r="R341" s="14">
        <f t="shared" ref="R341:R404" si="103">((H341*60)+I341)+O341</f>
        <v>84</v>
      </c>
      <c r="S341" s="15"/>
      <c r="W341" s="14"/>
    </row>
    <row r="342" spans="1:23" hidden="1" x14ac:dyDescent="0.25">
      <c r="A342" s="16"/>
      <c r="B342" s="17" t="b">
        <f t="shared" si="96"/>
        <v>0</v>
      </c>
      <c r="C342" s="17" t="b">
        <f t="shared" si="88"/>
        <v>0</v>
      </c>
      <c r="D342" s="17">
        <f t="shared" si="90"/>
        <v>1</v>
      </c>
      <c r="E342" s="17" t="str">
        <f t="shared" si="95"/>
        <v>Section 5 - Conclusion, And FREE Coupon For Next Course</v>
      </c>
      <c r="F342" s="18" t="str">
        <f t="shared" si="91"/>
        <v/>
      </c>
      <c r="G342" s="13" t="str">
        <f t="shared" si="97"/>
        <v/>
      </c>
      <c r="H342">
        <f t="shared" si="98"/>
        <v>0</v>
      </c>
      <c r="I342">
        <f t="shared" si="99"/>
        <v>0</v>
      </c>
      <c r="J342" s="13">
        <f t="shared" si="100"/>
        <v>85</v>
      </c>
      <c r="K342">
        <f t="shared" si="92"/>
        <v>1</v>
      </c>
      <c r="L342">
        <f t="shared" si="93"/>
        <v>25</v>
      </c>
      <c r="M342" s="13">
        <f t="shared" si="101"/>
        <v>1</v>
      </c>
      <c r="N342">
        <f t="shared" si="101"/>
        <v>24</v>
      </c>
      <c r="O342" s="14">
        <f t="shared" si="89"/>
        <v>84</v>
      </c>
      <c r="P342" s="13">
        <f t="shared" si="94"/>
        <v>1</v>
      </c>
      <c r="Q342">
        <f t="shared" si="102"/>
        <v>24</v>
      </c>
      <c r="R342" s="14">
        <f t="shared" si="103"/>
        <v>84</v>
      </c>
      <c r="S342" s="15"/>
      <c r="W342" s="14"/>
    </row>
    <row r="343" spans="1:23" hidden="1" x14ac:dyDescent="0.25">
      <c r="A343" s="16"/>
      <c r="B343" s="17" t="b">
        <f t="shared" si="96"/>
        <v>0</v>
      </c>
      <c r="C343" s="17" t="b">
        <f t="shared" si="88"/>
        <v>0</v>
      </c>
      <c r="D343" s="17">
        <f t="shared" si="90"/>
        <v>1</v>
      </c>
      <c r="E343" s="17" t="str">
        <f t="shared" si="95"/>
        <v>Section 5 - Conclusion, And FREE Coupon For Next Course</v>
      </c>
      <c r="F343" s="18" t="str">
        <f t="shared" si="91"/>
        <v/>
      </c>
      <c r="G343" s="13" t="str">
        <f t="shared" si="97"/>
        <v/>
      </c>
      <c r="H343">
        <f t="shared" si="98"/>
        <v>0</v>
      </c>
      <c r="I343">
        <f t="shared" si="99"/>
        <v>0</v>
      </c>
      <c r="J343" s="13">
        <f t="shared" si="100"/>
        <v>85</v>
      </c>
      <c r="K343">
        <f t="shared" si="92"/>
        <v>1</v>
      </c>
      <c r="L343">
        <f t="shared" si="93"/>
        <v>25</v>
      </c>
      <c r="M343" s="13">
        <f t="shared" si="101"/>
        <v>1</v>
      </c>
      <c r="N343">
        <f t="shared" si="101"/>
        <v>24</v>
      </c>
      <c r="O343" s="14">
        <f t="shared" si="89"/>
        <v>84</v>
      </c>
      <c r="P343" s="13">
        <f t="shared" si="94"/>
        <v>1</v>
      </c>
      <c r="Q343">
        <f t="shared" si="102"/>
        <v>24</v>
      </c>
      <c r="R343" s="14">
        <f t="shared" si="103"/>
        <v>84</v>
      </c>
      <c r="S343" s="15"/>
      <c r="W343" s="14"/>
    </row>
    <row r="344" spans="1:23" hidden="1" x14ac:dyDescent="0.25">
      <c r="A344" s="16"/>
      <c r="B344" s="17" t="b">
        <f t="shared" si="96"/>
        <v>0</v>
      </c>
      <c r="C344" s="17" t="b">
        <f t="shared" si="88"/>
        <v>0</v>
      </c>
      <c r="D344" s="17">
        <f t="shared" si="90"/>
        <v>1</v>
      </c>
      <c r="E344" s="17" t="str">
        <f t="shared" si="95"/>
        <v>Section 5 - Conclusion, And FREE Coupon For Next Course</v>
      </c>
      <c r="F344" s="18" t="str">
        <f t="shared" si="91"/>
        <v/>
      </c>
      <c r="G344" s="13" t="str">
        <f t="shared" si="97"/>
        <v/>
      </c>
      <c r="H344">
        <f t="shared" si="98"/>
        <v>0</v>
      </c>
      <c r="I344">
        <f t="shared" si="99"/>
        <v>0</v>
      </c>
      <c r="J344" s="13">
        <f t="shared" si="100"/>
        <v>85</v>
      </c>
      <c r="K344">
        <f t="shared" si="92"/>
        <v>1</v>
      </c>
      <c r="L344">
        <f t="shared" si="93"/>
        <v>25</v>
      </c>
      <c r="M344" s="13">
        <f t="shared" si="101"/>
        <v>1</v>
      </c>
      <c r="N344">
        <f t="shared" si="101"/>
        <v>24</v>
      </c>
      <c r="O344" s="14">
        <f t="shared" si="89"/>
        <v>84</v>
      </c>
      <c r="P344" s="13">
        <f t="shared" si="94"/>
        <v>1</v>
      </c>
      <c r="Q344">
        <f t="shared" si="102"/>
        <v>24</v>
      </c>
      <c r="R344" s="14">
        <f t="shared" si="103"/>
        <v>84</v>
      </c>
      <c r="S344" s="15"/>
      <c r="W344" s="14"/>
    </row>
    <row r="345" spans="1:23" hidden="1" x14ac:dyDescent="0.25">
      <c r="A345" s="16"/>
      <c r="B345" s="17" t="b">
        <f t="shared" si="96"/>
        <v>0</v>
      </c>
      <c r="C345" s="17" t="b">
        <f t="shared" si="88"/>
        <v>0</v>
      </c>
      <c r="D345" s="17">
        <f t="shared" si="90"/>
        <v>1</v>
      </c>
      <c r="E345" s="17" t="str">
        <f t="shared" si="95"/>
        <v>Section 5 - Conclusion, And FREE Coupon For Next Course</v>
      </c>
      <c r="F345" s="18" t="str">
        <f t="shared" si="91"/>
        <v/>
      </c>
      <c r="G345" s="13" t="str">
        <f t="shared" si="97"/>
        <v/>
      </c>
      <c r="H345">
        <f t="shared" si="98"/>
        <v>0</v>
      </c>
      <c r="I345">
        <f t="shared" si="99"/>
        <v>0</v>
      </c>
      <c r="J345" s="13">
        <f t="shared" si="100"/>
        <v>85</v>
      </c>
      <c r="K345">
        <f t="shared" si="92"/>
        <v>1</v>
      </c>
      <c r="L345">
        <f t="shared" si="93"/>
        <v>25</v>
      </c>
      <c r="M345" s="13">
        <f t="shared" si="101"/>
        <v>1</v>
      </c>
      <c r="N345">
        <f t="shared" si="101"/>
        <v>24</v>
      </c>
      <c r="O345" s="14">
        <f t="shared" si="89"/>
        <v>84</v>
      </c>
      <c r="P345" s="13">
        <f t="shared" si="94"/>
        <v>1</v>
      </c>
      <c r="Q345">
        <f t="shared" si="102"/>
        <v>24</v>
      </c>
      <c r="R345" s="14">
        <f t="shared" si="103"/>
        <v>84</v>
      </c>
      <c r="S345" s="15"/>
      <c r="W345" s="14"/>
    </row>
    <row r="346" spans="1:23" hidden="1" x14ac:dyDescent="0.25">
      <c r="A346" s="16"/>
      <c r="B346" s="17" t="b">
        <f t="shared" si="96"/>
        <v>0</v>
      </c>
      <c r="C346" s="17" t="b">
        <f t="shared" si="88"/>
        <v>0</v>
      </c>
      <c r="D346" s="17">
        <f t="shared" si="90"/>
        <v>1</v>
      </c>
      <c r="E346" s="17" t="str">
        <f t="shared" si="95"/>
        <v>Section 5 - Conclusion, And FREE Coupon For Next Course</v>
      </c>
      <c r="F346" s="18" t="str">
        <f t="shared" si="91"/>
        <v/>
      </c>
      <c r="G346" s="13" t="str">
        <f t="shared" si="97"/>
        <v/>
      </c>
      <c r="H346">
        <f t="shared" si="98"/>
        <v>0</v>
      </c>
      <c r="I346">
        <f t="shared" si="99"/>
        <v>0</v>
      </c>
      <c r="J346" s="13">
        <f t="shared" si="100"/>
        <v>85</v>
      </c>
      <c r="K346">
        <f t="shared" si="92"/>
        <v>1</v>
      </c>
      <c r="L346">
        <f t="shared" si="93"/>
        <v>25</v>
      </c>
      <c r="M346" s="13">
        <f t="shared" si="101"/>
        <v>1</v>
      </c>
      <c r="N346">
        <f t="shared" si="101"/>
        <v>24</v>
      </c>
      <c r="O346" s="14">
        <f t="shared" si="89"/>
        <v>84</v>
      </c>
      <c r="P346" s="13">
        <f t="shared" si="94"/>
        <v>1</v>
      </c>
      <c r="Q346">
        <f t="shared" si="102"/>
        <v>24</v>
      </c>
      <c r="R346" s="14">
        <f t="shared" si="103"/>
        <v>84</v>
      </c>
      <c r="S346" s="15"/>
      <c r="W346" s="14"/>
    </row>
    <row r="347" spans="1:23" hidden="1" x14ac:dyDescent="0.25">
      <c r="A347" s="16"/>
      <c r="B347" s="17" t="b">
        <f t="shared" si="96"/>
        <v>0</v>
      </c>
      <c r="C347" s="17" t="b">
        <f t="shared" si="88"/>
        <v>0</v>
      </c>
      <c r="D347" s="17">
        <f t="shared" si="90"/>
        <v>1</v>
      </c>
      <c r="E347" s="17" t="str">
        <f t="shared" si="95"/>
        <v>Section 5 - Conclusion, And FREE Coupon For Next Course</v>
      </c>
      <c r="F347" s="18" t="str">
        <f t="shared" si="91"/>
        <v/>
      </c>
      <c r="G347" s="13" t="str">
        <f t="shared" si="97"/>
        <v/>
      </c>
      <c r="H347">
        <f t="shared" si="98"/>
        <v>0</v>
      </c>
      <c r="I347">
        <f t="shared" si="99"/>
        <v>0</v>
      </c>
      <c r="J347" s="13">
        <f t="shared" si="100"/>
        <v>85</v>
      </c>
      <c r="K347">
        <f t="shared" si="92"/>
        <v>1</v>
      </c>
      <c r="L347">
        <f t="shared" si="93"/>
        <v>25</v>
      </c>
      <c r="M347" s="13">
        <f t="shared" si="101"/>
        <v>1</v>
      </c>
      <c r="N347">
        <f t="shared" si="101"/>
        <v>24</v>
      </c>
      <c r="O347" s="14">
        <f t="shared" si="89"/>
        <v>84</v>
      </c>
      <c r="P347" s="13">
        <f t="shared" si="94"/>
        <v>1</v>
      </c>
      <c r="Q347">
        <f t="shared" si="102"/>
        <v>24</v>
      </c>
      <c r="R347" s="14">
        <f t="shared" si="103"/>
        <v>84</v>
      </c>
      <c r="S347" s="15"/>
      <c r="W347" s="14"/>
    </row>
    <row r="348" spans="1:23" hidden="1" x14ac:dyDescent="0.25">
      <c r="A348" s="16"/>
      <c r="B348" s="17" t="b">
        <f t="shared" si="96"/>
        <v>0</v>
      </c>
      <c r="C348" s="17" t="b">
        <f t="shared" si="88"/>
        <v>0</v>
      </c>
      <c r="D348" s="17">
        <f t="shared" si="90"/>
        <v>1</v>
      </c>
      <c r="E348" s="17" t="str">
        <f t="shared" si="95"/>
        <v>Section 5 - Conclusion, And FREE Coupon For Next Course</v>
      </c>
      <c r="F348" s="18" t="str">
        <f t="shared" si="91"/>
        <v/>
      </c>
      <c r="G348" s="13" t="str">
        <f t="shared" si="97"/>
        <v/>
      </c>
      <c r="H348">
        <f t="shared" si="98"/>
        <v>0</v>
      </c>
      <c r="I348">
        <f t="shared" si="99"/>
        <v>0</v>
      </c>
      <c r="J348" s="13">
        <f t="shared" si="100"/>
        <v>85</v>
      </c>
      <c r="K348">
        <f t="shared" si="92"/>
        <v>1</v>
      </c>
      <c r="L348">
        <f t="shared" si="93"/>
        <v>25</v>
      </c>
      <c r="M348" s="13">
        <f t="shared" si="101"/>
        <v>1</v>
      </c>
      <c r="N348">
        <f t="shared" si="101"/>
        <v>24</v>
      </c>
      <c r="O348" s="14">
        <f t="shared" si="89"/>
        <v>84</v>
      </c>
      <c r="P348" s="13">
        <f t="shared" si="94"/>
        <v>1</v>
      </c>
      <c r="Q348">
        <f t="shared" si="102"/>
        <v>24</v>
      </c>
      <c r="R348" s="14">
        <f t="shared" si="103"/>
        <v>84</v>
      </c>
      <c r="S348" s="15"/>
      <c r="W348" s="14"/>
    </row>
    <row r="349" spans="1:23" hidden="1" x14ac:dyDescent="0.25">
      <c r="A349" s="16"/>
      <c r="B349" s="17" t="b">
        <f t="shared" si="96"/>
        <v>0</v>
      </c>
      <c r="C349" s="17" t="b">
        <f t="shared" si="88"/>
        <v>0</v>
      </c>
      <c r="D349" s="17">
        <f t="shared" si="90"/>
        <v>1</v>
      </c>
      <c r="E349" s="17" t="str">
        <f t="shared" si="95"/>
        <v>Section 5 - Conclusion, And FREE Coupon For Next Course</v>
      </c>
      <c r="F349" s="18" t="str">
        <f t="shared" si="91"/>
        <v/>
      </c>
      <c r="G349" s="13" t="str">
        <f t="shared" si="97"/>
        <v/>
      </c>
      <c r="H349">
        <f t="shared" si="98"/>
        <v>0</v>
      </c>
      <c r="I349">
        <f t="shared" si="99"/>
        <v>0</v>
      </c>
      <c r="J349" s="13">
        <f t="shared" si="100"/>
        <v>85</v>
      </c>
      <c r="K349">
        <f t="shared" si="92"/>
        <v>1</v>
      </c>
      <c r="L349">
        <f t="shared" si="93"/>
        <v>25</v>
      </c>
      <c r="M349" s="13">
        <f t="shared" si="101"/>
        <v>1</v>
      </c>
      <c r="N349">
        <f t="shared" si="101"/>
        <v>24</v>
      </c>
      <c r="O349" s="14">
        <f t="shared" si="89"/>
        <v>84</v>
      </c>
      <c r="P349" s="13">
        <f t="shared" si="94"/>
        <v>1</v>
      </c>
      <c r="Q349">
        <f t="shared" si="102"/>
        <v>24</v>
      </c>
      <c r="R349" s="14">
        <f t="shared" si="103"/>
        <v>84</v>
      </c>
      <c r="S349" s="15"/>
      <c r="W349" s="14"/>
    </row>
    <row r="350" spans="1:23" hidden="1" x14ac:dyDescent="0.25">
      <c r="A350" s="16"/>
      <c r="B350" s="17" t="b">
        <f t="shared" si="96"/>
        <v>0</v>
      </c>
      <c r="C350" s="17" t="b">
        <f t="shared" si="88"/>
        <v>0</v>
      </c>
      <c r="D350" s="17">
        <f t="shared" si="90"/>
        <v>1</v>
      </c>
      <c r="E350" s="17" t="str">
        <f t="shared" si="95"/>
        <v>Section 5 - Conclusion, And FREE Coupon For Next Course</v>
      </c>
      <c r="F350" s="18" t="str">
        <f t="shared" si="91"/>
        <v/>
      </c>
      <c r="G350" s="13" t="str">
        <f t="shared" si="97"/>
        <v/>
      </c>
      <c r="H350">
        <f t="shared" si="98"/>
        <v>0</v>
      </c>
      <c r="I350">
        <f t="shared" si="99"/>
        <v>0</v>
      </c>
      <c r="J350" s="13">
        <f t="shared" si="100"/>
        <v>85</v>
      </c>
      <c r="K350">
        <f t="shared" si="92"/>
        <v>1</v>
      </c>
      <c r="L350">
        <f t="shared" si="93"/>
        <v>25</v>
      </c>
      <c r="M350" s="13">
        <f t="shared" si="101"/>
        <v>1</v>
      </c>
      <c r="N350">
        <f t="shared" si="101"/>
        <v>24</v>
      </c>
      <c r="O350" s="14">
        <f t="shared" si="89"/>
        <v>84</v>
      </c>
      <c r="P350" s="13">
        <f t="shared" si="94"/>
        <v>1</v>
      </c>
      <c r="Q350">
        <f t="shared" si="102"/>
        <v>24</v>
      </c>
      <c r="R350" s="14">
        <f t="shared" si="103"/>
        <v>84</v>
      </c>
      <c r="S350" s="15"/>
      <c r="W350" s="14"/>
    </row>
    <row r="351" spans="1:23" hidden="1" x14ac:dyDescent="0.25">
      <c r="A351" s="16"/>
      <c r="B351" s="17" t="b">
        <f t="shared" si="96"/>
        <v>0</v>
      </c>
      <c r="C351" s="17" t="b">
        <f t="shared" si="88"/>
        <v>0</v>
      </c>
      <c r="D351" s="17">
        <f t="shared" si="90"/>
        <v>1</v>
      </c>
      <c r="E351" s="17" t="str">
        <f t="shared" si="95"/>
        <v>Section 5 - Conclusion, And FREE Coupon For Next Course</v>
      </c>
      <c r="F351" s="18" t="str">
        <f t="shared" si="91"/>
        <v/>
      </c>
      <c r="G351" s="13" t="str">
        <f t="shared" si="97"/>
        <v/>
      </c>
      <c r="H351">
        <f t="shared" si="98"/>
        <v>0</v>
      </c>
      <c r="I351">
        <f t="shared" si="99"/>
        <v>0</v>
      </c>
      <c r="J351" s="13">
        <f t="shared" si="100"/>
        <v>85</v>
      </c>
      <c r="K351">
        <f t="shared" si="92"/>
        <v>1</v>
      </c>
      <c r="L351">
        <f t="shared" si="93"/>
        <v>25</v>
      </c>
      <c r="M351" s="13">
        <f t="shared" si="101"/>
        <v>1</v>
      </c>
      <c r="N351">
        <f t="shared" si="101"/>
        <v>24</v>
      </c>
      <c r="O351" s="14">
        <f t="shared" si="89"/>
        <v>84</v>
      </c>
      <c r="P351" s="13">
        <f t="shared" si="94"/>
        <v>1</v>
      </c>
      <c r="Q351">
        <f t="shared" si="102"/>
        <v>24</v>
      </c>
      <c r="R351" s="14">
        <f t="shared" si="103"/>
        <v>84</v>
      </c>
      <c r="S351" s="15"/>
      <c r="W351" s="14"/>
    </row>
    <row r="352" spans="1:23" hidden="1" x14ac:dyDescent="0.25">
      <c r="A352" s="16"/>
      <c r="B352" s="17" t="b">
        <f t="shared" si="96"/>
        <v>0</v>
      </c>
      <c r="C352" s="17" t="b">
        <f t="shared" si="88"/>
        <v>0</v>
      </c>
      <c r="D352" s="17">
        <f t="shared" si="90"/>
        <v>1</v>
      </c>
      <c r="E352" s="17" t="str">
        <f t="shared" si="95"/>
        <v>Section 5 - Conclusion, And FREE Coupon For Next Course</v>
      </c>
      <c r="F352" s="18" t="str">
        <f t="shared" si="91"/>
        <v/>
      </c>
      <c r="G352" s="13" t="str">
        <f t="shared" si="97"/>
        <v/>
      </c>
      <c r="H352">
        <f t="shared" si="98"/>
        <v>0</v>
      </c>
      <c r="I352">
        <f t="shared" si="99"/>
        <v>0</v>
      </c>
      <c r="J352" s="13">
        <f t="shared" si="100"/>
        <v>85</v>
      </c>
      <c r="K352">
        <f t="shared" si="92"/>
        <v>1</v>
      </c>
      <c r="L352">
        <f t="shared" si="93"/>
        <v>25</v>
      </c>
      <c r="M352" s="13">
        <f t="shared" si="101"/>
        <v>1</v>
      </c>
      <c r="N352">
        <f t="shared" si="101"/>
        <v>24</v>
      </c>
      <c r="O352" s="14">
        <f t="shared" si="89"/>
        <v>84</v>
      </c>
      <c r="P352" s="13">
        <f t="shared" si="94"/>
        <v>1</v>
      </c>
      <c r="Q352">
        <f t="shared" si="102"/>
        <v>24</v>
      </c>
      <c r="R352" s="14">
        <f t="shared" si="103"/>
        <v>84</v>
      </c>
      <c r="S352" s="15"/>
      <c r="W352" s="14"/>
    </row>
    <row r="353" spans="1:23" hidden="1" x14ac:dyDescent="0.25">
      <c r="A353" s="16"/>
      <c r="B353" s="17" t="b">
        <f t="shared" si="96"/>
        <v>0</v>
      </c>
      <c r="C353" s="17" t="b">
        <f t="shared" si="88"/>
        <v>0</v>
      </c>
      <c r="D353" s="17">
        <f t="shared" si="90"/>
        <v>1</v>
      </c>
      <c r="E353" s="17" t="str">
        <f t="shared" si="95"/>
        <v>Section 5 - Conclusion, And FREE Coupon For Next Course</v>
      </c>
      <c r="F353" s="18" t="str">
        <f t="shared" si="91"/>
        <v/>
      </c>
      <c r="G353" s="13" t="str">
        <f t="shared" si="97"/>
        <v/>
      </c>
      <c r="H353">
        <f t="shared" si="98"/>
        <v>0</v>
      </c>
      <c r="I353">
        <f t="shared" si="99"/>
        <v>0</v>
      </c>
      <c r="J353" s="13">
        <f t="shared" si="100"/>
        <v>85</v>
      </c>
      <c r="K353">
        <f t="shared" si="92"/>
        <v>1</v>
      </c>
      <c r="L353">
        <f t="shared" si="93"/>
        <v>25</v>
      </c>
      <c r="M353" s="13">
        <f t="shared" si="101"/>
        <v>1</v>
      </c>
      <c r="N353">
        <f t="shared" si="101"/>
        <v>24</v>
      </c>
      <c r="O353" s="14">
        <f t="shared" si="89"/>
        <v>84</v>
      </c>
      <c r="P353" s="13">
        <f t="shared" si="94"/>
        <v>1</v>
      </c>
      <c r="Q353">
        <f t="shared" si="102"/>
        <v>24</v>
      </c>
      <c r="R353" s="14">
        <f t="shared" si="103"/>
        <v>84</v>
      </c>
      <c r="S353" s="15"/>
      <c r="W353" s="14"/>
    </row>
    <row r="354" spans="1:23" hidden="1" x14ac:dyDescent="0.25">
      <c r="A354" s="16"/>
      <c r="B354" s="17" t="b">
        <f t="shared" si="96"/>
        <v>0</v>
      </c>
      <c r="C354" s="17" t="b">
        <f t="shared" si="88"/>
        <v>0</v>
      </c>
      <c r="D354" s="17">
        <f t="shared" si="90"/>
        <v>1</v>
      </c>
      <c r="E354" s="17" t="str">
        <f t="shared" si="95"/>
        <v>Section 5 - Conclusion, And FREE Coupon For Next Course</v>
      </c>
      <c r="F354" s="18" t="str">
        <f t="shared" si="91"/>
        <v/>
      </c>
      <c r="G354" s="13" t="str">
        <f t="shared" si="97"/>
        <v/>
      </c>
      <c r="H354">
        <f t="shared" si="98"/>
        <v>0</v>
      </c>
      <c r="I354">
        <f t="shared" si="99"/>
        <v>0</v>
      </c>
      <c r="J354" s="13">
        <f t="shared" si="100"/>
        <v>85</v>
      </c>
      <c r="K354">
        <f t="shared" si="92"/>
        <v>1</v>
      </c>
      <c r="L354">
        <f t="shared" si="93"/>
        <v>25</v>
      </c>
      <c r="M354" s="13">
        <f t="shared" si="101"/>
        <v>1</v>
      </c>
      <c r="N354">
        <f t="shared" si="101"/>
        <v>24</v>
      </c>
      <c r="O354" s="14">
        <f t="shared" si="89"/>
        <v>84</v>
      </c>
      <c r="P354" s="13">
        <f t="shared" si="94"/>
        <v>1</v>
      </c>
      <c r="Q354">
        <f t="shared" si="102"/>
        <v>24</v>
      </c>
      <c r="R354" s="14">
        <f t="shared" si="103"/>
        <v>84</v>
      </c>
      <c r="S354" s="15"/>
      <c r="W354" s="14"/>
    </row>
    <row r="355" spans="1:23" hidden="1" x14ac:dyDescent="0.25">
      <c r="A355" s="16"/>
      <c r="B355" s="17" t="b">
        <f t="shared" si="96"/>
        <v>0</v>
      </c>
      <c r="C355" s="17" t="b">
        <f t="shared" si="88"/>
        <v>0</v>
      </c>
      <c r="D355" s="17">
        <f t="shared" si="90"/>
        <v>1</v>
      </c>
      <c r="E355" s="17" t="str">
        <f t="shared" si="95"/>
        <v>Section 5 - Conclusion, And FREE Coupon For Next Course</v>
      </c>
      <c r="F355" s="18" t="str">
        <f t="shared" si="91"/>
        <v/>
      </c>
      <c r="G355" s="13" t="str">
        <f t="shared" si="97"/>
        <v/>
      </c>
      <c r="H355">
        <f t="shared" si="98"/>
        <v>0</v>
      </c>
      <c r="I355">
        <f t="shared" si="99"/>
        <v>0</v>
      </c>
      <c r="J355" s="13">
        <f t="shared" si="100"/>
        <v>85</v>
      </c>
      <c r="K355">
        <f t="shared" si="92"/>
        <v>1</v>
      </c>
      <c r="L355">
        <f t="shared" si="93"/>
        <v>25</v>
      </c>
      <c r="M355" s="13">
        <f t="shared" si="101"/>
        <v>1</v>
      </c>
      <c r="N355">
        <f t="shared" si="101"/>
        <v>24</v>
      </c>
      <c r="O355" s="14">
        <f t="shared" si="89"/>
        <v>84</v>
      </c>
      <c r="P355" s="13">
        <f t="shared" si="94"/>
        <v>1</v>
      </c>
      <c r="Q355">
        <f t="shared" si="102"/>
        <v>24</v>
      </c>
      <c r="R355" s="14">
        <f t="shared" si="103"/>
        <v>84</v>
      </c>
      <c r="S355" s="15"/>
      <c r="W355" s="14"/>
    </row>
    <row r="356" spans="1:23" hidden="1" x14ac:dyDescent="0.25">
      <c r="A356" s="16"/>
      <c r="B356" s="17" t="b">
        <f t="shared" si="96"/>
        <v>0</v>
      </c>
      <c r="C356" s="17" t="b">
        <f t="shared" si="88"/>
        <v>0</v>
      </c>
      <c r="D356" s="17">
        <f t="shared" si="90"/>
        <v>1</v>
      </c>
      <c r="E356" s="17" t="str">
        <f t="shared" si="95"/>
        <v>Section 5 - Conclusion, And FREE Coupon For Next Course</v>
      </c>
      <c r="F356" s="18" t="str">
        <f t="shared" si="91"/>
        <v/>
      </c>
      <c r="G356" s="13" t="str">
        <f t="shared" si="97"/>
        <v/>
      </c>
      <c r="H356">
        <f t="shared" si="98"/>
        <v>0</v>
      </c>
      <c r="I356">
        <f t="shared" si="99"/>
        <v>0</v>
      </c>
      <c r="J356" s="13">
        <f t="shared" si="100"/>
        <v>85</v>
      </c>
      <c r="K356">
        <f t="shared" si="92"/>
        <v>1</v>
      </c>
      <c r="L356">
        <f t="shared" si="93"/>
        <v>25</v>
      </c>
      <c r="M356" s="13">
        <f t="shared" si="101"/>
        <v>1</v>
      </c>
      <c r="N356">
        <f t="shared" si="101"/>
        <v>24</v>
      </c>
      <c r="O356" s="14">
        <f t="shared" si="89"/>
        <v>84</v>
      </c>
      <c r="P356" s="13">
        <f t="shared" si="94"/>
        <v>1</v>
      </c>
      <c r="Q356">
        <f t="shared" si="102"/>
        <v>24</v>
      </c>
      <c r="R356" s="14">
        <f t="shared" si="103"/>
        <v>84</v>
      </c>
      <c r="S356" s="15"/>
      <c r="W356" s="14"/>
    </row>
    <row r="357" spans="1:23" hidden="1" x14ac:dyDescent="0.25">
      <c r="A357" s="16"/>
      <c r="B357" s="17" t="b">
        <f t="shared" si="96"/>
        <v>0</v>
      </c>
      <c r="C357" s="17" t="b">
        <f t="shared" si="88"/>
        <v>0</v>
      </c>
      <c r="D357" s="17">
        <f t="shared" si="90"/>
        <v>1</v>
      </c>
      <c r="E357" s="17" t="str">
        <f t="shared" si="95"/>
        <v>Section 5 - Conclusion, And FREE Coupon For Next Course</v>
      </c>
      <c r="F357" s="18" t="str">
        <f t="shared" si="91"/>
        <v/>
      </c>
      <c r="G357" s="13" t="str">
        <f t="shared" si="97"/>
        <v/>
      </c>
      <c r="H357">
        <f t="shared" si="98"/>
        <v>0</v>
      </c>
      <c r="I357">
        <f t="shared" si="99"/>
        <v>0</v>
      </c>
      <c r="J357" s="13">
        <f t="shared" si="100"/>
        <v>85</v>
      </c>
      <c r="K357">
        <f t="shared" si="92"/>
        <v>1</v>
      </c>
      <c r="L357">
        <f t="shared" si="93"/>
        <v>25</v>
      </c>
      <c r="M357" s="13">
        <f t="shared" si="101"/>
        <v>1</v>
      </c>
      <c r="N357">
        <f t="shared" si="101"/>
        <v>24</v>
      </c>
      <c r="O357" s="14">
        <f t="shared" si="89"/>
        <v>84</v>
      </c>
      <c r="P357" s="13">
        <f t="shared" si="94"/>
        <v>1</v>
      </c>
      <c r="Q357">
        <f t="shared" si="102"/>
        <v>24</v>
      </c>
      <c r="R357" s="14">
        <f t="shared" si="103"/>
        <v>84</v>
      </c>
      <c r="S357" s="15"/>
      <c r="W357" s="14"/>
    </row>
    <row r="358" spans="1:23" hidden="1" x14ac:dyDescent="0.25">
      <c r="A358" s="16"/>
      <c r="B358" s="17" t="b">
        <f t="shared" si="96"/>
        <v>0</v>
      </c>
      <c r="C358" s="17" t="b">
        <f t="shared" si="88"/>
        <v>0</v>
      </c>
      <c r="D358" s="17">
        <f t="shared" si="90"/>
        <v>1</v>
      </c>
      <c r="E358" s="17" t="str">
        <f t="shared" si="95"/>
        <v>Section 5 - Conclusion, And FREE Coupon For Next Course</v>
      </c>
      <c r="F358" s="18" t="str">
        <f t="shared" si="91"/>
        <v/>
      </c>
      <c r="G358" s="13" t="str">
        <f t="shared" si="97"/>
        <v/>
      </c>
      <c r="H358">
        <f t="shared" si="98"/>
        <v>0</v>
      </c>
      <c r="I358">
        <f t="shared" si="99"/>
        <v>0</v>
      </c>
      <c r="J358" s="13">
        <f t="shared" si="100"/>
        <v>85</v>
      </c>
      <c r="K358">
        <f t="shared" si="92"/>
        <v>1</v>
      </c>
      <c r="L358">
        <f t="shared" si="93"/>
        <v>25</v>
      </c>
      <c r="M358" s="13">
        <f t="shared" si="101"/>
        <v>1</v>
      </c>
      <c r="N358">
        <f t="shared" si="101"/>
        <v>24</v>
      </c>
      <c r="O358" s="14">
        <f t="shared" si="89"/>
        <v>84</v>
      </c>
      <c r="P358" s="13">
        <f t="shared" si="94"/>
        <v>1</v>
      </c>
      <c r="Q358">
        <f t="shared" si="102"/>
        <v>24</v>
      </c>
      <c r="R358" s="14">
        <f t="shared" si="103"/>
        <v>84</v>
      </c>
      <c r="S358" s="15"/>
      <c r="W358" s="14"/>
    </row>
    <row r="359" spans="1:23" hidden="1" x14ac:dyDescent="0.25">
      <c r="A359" s="16"/>
      <c r="B359" s="17" t="b">
        <f t="shared" si="96"/>
        <v>0</v>
      </c>
      <c r="C359" s="17" t="b">
        <f t="shared" si="88"/>
        <v>0</v>
      </c>
      <c r="D359" s="17">
        <f t="shared" si="90"/>
        <v>1</v>
      </c>
      <c r="E359" s="17" t="str">
        <f t="shared" si="95"/>
        <v>Section 5 - Conclusion, And FREE Coupon For Next Course</v>
      </c>
      <c r="F359" s="18" t="str">
        <f t="shared" si="91"/>
        <v/>
      </c>
      <c r="G359" s="13" t="str">
        <f t="shared" si="97"/>
        <v/>
      </c>
      <c r="H359">
        <f t="shared" si="98"/>
        <v>0</v>
      </c>
      <c r="I359">
        <f t="shared" si="99"/>
        <v>0</v>
      </c>
      <c r="J359" s="13">
        <f t="shared" si="100"/>
        <v>85</v>
      </c>
      <c r="K359">
        <f t="shared" si="92"/>
        <v>1</v>
      </c>
      <c r="L359">
        <f t="shared" si="93"/>
        <v>25</v>
      </c>
      <c r="M359" s="13">
        <f t="shared" si="101"/>
        <v>1</v>
      </c>
      <c r="N359">
        <f t="shared" si="101"/>
        <v>24</v>
      </c>
      <c r="O359" s="14">
        <f t="shared" si="89"/>
        <v>84</v>
      </c>
      <c r="P359" s="13">
        <f t="shared" si="94"/>
        <v>1</v>
      </c>
      <c r="Q359">
        <f t="shared" si="102"/>
        <v>24</v>
      </c>
      <c r="R359" s="14">
        <f t="shared" si="103"/>
        <v>84</v>
      </c>
      <c r="S359" s="15"/>
      <c r="W359" s="14"/>
    </row>
    <row r="360" spans="1:23" hidden="1" x14ac:dyDescent="0.25">
      <c r="A360" s="16"/>
      <c r="B360" s="17" t="b">
        <f t="shared" si="96"/>
        <v>0</v>
      </c>
      <c r="C360" s="17" t="b">
        <f t="shared" si="88"/>
        <v>0</v>
      </c>
      <c r="D360" s="17">
        <f t="shared" si="90"/>
        <v>1</v>
      </c>
      <c r="E360" s="17" t="str">
        <f t="shared" si="95"/>
        <v>Section 5 - Conclusion, And FREE Coupon For Next Course</v>
      </c>
      <c r="F360" s="18" t="str">
        <f t="shared" si="91"/>
        <v/>
      </c>
      <c r="G360" s="13" t="str">
        <f t="shared" si="97"/>
        <v/>
      </c>
      <c r="H360">
        <f t="shared" si="98"/>
        <v>0</v>
      </c>
      <c r="I360">
        <f t="shared" si="99"/>
        <v>0</v>
      </c>
      <c r="J360" s="13">
        <f t="shared" si="100"/>
        <v>85</v>
      </c>
      <c r="K360">
        <f t="shared" si="92"/>
        <v>1</v>
      </c>
      <c r="L360">
        <f t="shared" si="93"/>
        <v>25</v>
      </c>
      <c r="M360" s="13">
        <f t="shared" si="101"/>
        <v>1</v>
      </c>
      <c r="N360">
        <f t="shared" si="101"/>
        <v>24</v>
      </c>
      <c r="O360" s="14">
        <f t="shared" si="89"/>
        <v>84</v>
      </c>
      <c r="P360" s="13">
        <f t="shared" si="94"/>
        <v>1</v>
      </c>
      <c r="Q360">
        <f t="shared" si="102"/>
        <v>24</v>
      </c>
      <c r="R360" s="14">
        <f t="shared" si="103"/>
        <v>84</v>
      </c>
      <c r="S360" s="15"/>
      <c r="W360" s="14"/>
    </row>
    <row r="361" spans="1:23" hidden="1" x14ac:dyDescent="0.25">
      <c r="A361" s="16"/>
      <c r="B361" s="17" t="b">
        <f t="shared" si="96"/>
        <v>0</v>
      </c>
      <c r="C361" s="17" t="b">
        <f t="shared" si="88"/>
        <v>0</v>
      </c>
      <c r="D361" s="17">
        <f t="shared" si="90"/>
        <v>1</v>
      </c>
      <c r="E361" s="17" t="str">
        <f t="shared" si="95"/>
        <v>Section 5 - Conclusion, And FREE Coupon For Next Course</v>
      </c>
      <c r="F361" s="18" t="str">
        <f t="shared" si="91"/>
        <v/>
      </c>
      <c r="G361" s="13" t="str">
        <f t="shared" si="97"/>
        <v/>
      </c>
      <c r="H361">
        <f t="shared" si="98"/>
        <v>0</v>
      </c>
      <c r="I361">
        <f t="shared" si="99"/>
        <v>0</v>
      </c>
      <c r="J361" s="13">
        <f t="shared" si="100"/>
        <v>85</v>
      </c>
      <c r="K361">
        <f t="shared" si="92"/>
        <v>1</v>
      </c>
      <c r="L361">
        <f t="shared" si="93"/>
        <v>25</v>
      </c>
      <c r="M361" s="13">
        <f t="shared" si="101"/>
        <v>1</v>
      </c>
      <c r="N361">
        <f t="shared" si="101"/>
        <v>24</v>
      </c>
      <c r="O361" s="14">
        <f t="shared" si="89"/>
        <v>84</v>
      </c>
      <c r="P361" s="13">
        <f t="shared" si="94"/>
        <v>1</v>
      </c>
      <c r="Q361">
        <f t="shared" si="102"/>
        <v>24</v>
      </c>
      <c r="R361" s="14">
        <f t="shared" si="103"/>
        <v>84</v>
      </c>
      <c r="S361" s="15"/>
      <c r="W361" s="14"/>
    </row>
    <row r="362" spans="1:23" hidden="1" x14ac:dyDescent="0.25">
      <c r="A362" s="16"/>
      <c r="B362" s="17" t="b">
        <f t="shared" si="96"/>
        <v>0</v>
      </c>
      <c r="C362" s="17" t="b">
        <f t="shared" si="88"/>
        <v>0</v>
      </c>
      <c r="D362" s="17">
        <f t="shared" si="90"/>
        <v>1</v>
      </c>
      <c r="E362" s="17" t="str">
        <f t="shared" si="95"/>
        <v>Section 5 - Conclusion, And FREE Coupon For Next Course</v>
      </c>
      <c r="F362" s="18" t="str">
        <f t="shared" si="91"/>
        <v/>
      </c>
      <c r="G362" s="13" t="str">
        <f t="shared" si="97"/>
        <v/>
      </c>
      <c r="H362">
        <f t="shared" si="98"/>
        <v>0</v>
      </c>
      <c r="I362">
        <f t="shared" si="99"/>
        <v>0</v>
      </c>
      <c r="J362" s="13">
        <f t="shared" si="100"/>
        <v>85</v>
      </c>
      <c r="K362">
        <f t="shared" si="92"/>
        <v>1</v>
      </c>
      <c r="L362">
        <f t="shared" si="93"/>
        <v>25</v>
      </c>
      <c r="M362" s="13">
        <f t="shared" si="101"/>
        <v>1</v>
      </c>
      <c r="N362">
        <f t="shared" si="101"/>
        <v>24</v>
      </c>
      <c r="O362" s="14">
        <f t="shared" si="89"/>
        <v>84</v>
      </c>
      <c r="P362" s="13">
        <f t="shared" si="94"/>
        <v>1</v>
      </c>
      <c r="Q362">
        <f t="shared" si="102"/>
        <v>24</v>
      </c>
      <c r="R362" s="14">
        <f t="shared" si="103"/>
        <v>84</v>
      </c>
      <c r="S362" s="15"/>
      <c r="W362" s="14"/>
    </row>
    <row r="363" spans="1:23" hidden="1" x14ac:dyDescent="0.25">
      <c r="A363" s="16"/>
      <c r="B363" s="17" t="b">
        <f t="shared" si="96"/>
        <v>0</v>
      </c>
      <c r="C363" s="17" t="b">
        <f t="shared" si="88"/>
        <v>0</v>
      </c>
      <c r="D363" s="17">
        <f t="shared" si="90"/>
        <v>1</v>
      </c>
      <c r="E363" s="17" t="str">
        <f t="shared" si="95"/>
        <v>Section 5 - Conclusion, And FREE Coupon For Next Course</v>
      </c>
      <c r="F363" s="18" t="str">
        <f t="shared" si="91"/>
        <v/>
      </c>
      <c r="G363" s="13" t="str">
        <f t="shared" si="97"/>
        <v/>
      </c>
      <c r="H363">
        <f t="shared" si="98"/>
        <v>0</v>
      </c>
      <c r="I363">
        <f t="shared" si="99"/>
        <v>0</v>
      </c>
      <c r="J363" s="13">
        <f t="shared" si="100"/>
        <v>85</v>
      </c>
      <c r="K363">
        <f t="shared" si="92"/>
        <v>1</v>
      </c>
      <c r="L363">
        <f t="shared" si="93"/>
        <v>25</v>
      </c>
      <c r="M363" s="13">
        <f t="shared" si="101"/>
        <v>1</v>
      </c>
      <c r="N363">
        <f t="shared" si="101"/>
        <v>24</v>
      </c>
      <c r="O363" s="14">
        <f t="shared" si="89"/>
        <v>84</v>
      </c>
      <c r="P363" s="13">
        <f t="shared" si="94"/>
        <v>1</v>
      </c>
      <c r="Q363">
        <f t="shared" si="102"/>
        <v>24</v>
      </c>
      <c r="R363" s="14">
        <f t="shared" si="103"/>
        <v>84</v>
      </c>
      <c r="S363" s="15"/>
      <c r="W363" s="14"/>
    </row>
    <row r="364" spans="1:23" hidden="1" x14ac:dyDescent="0.25">
      <c r="A364" s="16"/>
      <c r="B364" s="17" t="b">
        <f t="shared" si="96"/>
        <v>0</v>
      </c>
      <c r="C364" s="17" t="b">
        <f t="shared" si="88"/>
        <v>0</v>
      </c>
      <c r="D364" s="17">
        <f t="shared" si="90"/>
        <v>1</v>
      </c>
      <c r="E364" s="17" t="str">
        <f t="shared" si="95"/>
        <v>Section 5 - Conclusion, And FREE Coupon For Next Course</v>
      </c>
      <c r="F364" s="18" t="str">
        <f t="shared" si="91"/>
        <v/>
      </c>
      <c r="G364" s="13" t="str">
        <f t="shared" si="97"/>
        <v/>
      </c>
      <c r="H364">
        <f t="shared" si="98"/>
        <v>0</v>
      </c>
      <c r="I364">
        <f t="shared" si="99"/>
        <v>0</v>
      </c>
      <c r="J364" s="13">
        <f t="shared" si="100"/>
        <v>85</v>
      </c>
      <c r="K364">
        <f t="shared" si="92"/>
        <v>1</v>
      </c>
      <c r="L364">
        <f t="shared" si="93"/>
        <v>25</v>
      </c>
      <c r="M364" s="13">
        <f t="shared" si="101"/>
        <v>1</v>
      </c>
      <c r="N364">
        <f t="shared" si="101"/>
        <v>24</v>
      </c>
      <c r="O364" s="14">
        <f t="shared" si="89"/>
        <v>84</v>
      </c>
      <c r="P364" s="13">
        <f t="shared" si="94"/>
        <v>1</v>
      </c>
      <c r="Q364">
        <f t="shared" si="102"/>
        <v>24</v>
      </c>
      <c r="R364" s="14">
        <f t="shared" si="103"/>
        <v>84</v>
      </c>
      <c r="S364" s="15"/>
      <c r="W364" s="14"/>
    </row>
    <row r="365" spans="1:23" hidden="1" x14ac:dyDescent="0.25">
      <c r="A365" s="16"/>
      <c r="B365" s="17" t="b">
        <f t="shared" si="96"/>
        <v>0</v>
      </c>
      <c r="C365" s="17" t="b">
        <f t="shared" si="88"/>
        <v>0</v>
      </c>
      <c r="D365" s="17">
        <f t="shared" si="90"/>
        <v>1</v>
      </c>
      <c r="E365" s="17" t="str">
        <f t="shared" si="95"/>
        <v>Section 5 - Conclusion, And FREE Coupon For Next Course</v>
      </c>
      <c r="F365" s="18" t="str">
        <f t="shared" si="91"/>
        <v/>
      </c>
      <c r="G365" s="13" t="str">
        <f t="shared" si="97"/>
        <v/>
      </c>
      <c r="H365">
        <f t="shared" si="98"/>
        <v>0</v>
      </c>
      <c r="I365">
        <f t="shared" si="99"/>
        <v>0</v>
      </c>
      <c r="J365" s="13">
        <f t="shared" si="100"/>
        <v>85</v>
      </c>
      <c r="K365">
        <f t="shared" si="92"/>
        <v>1</v>
      </c>
      <c r="L365">
        <f t="shared" si="93"/>
        <v>25</v>
      </c>
      <c r="M365" s="13">
        <f t="shared" si="101"/>
        <v>1</v>
      </c>
      <c r="N365">
        <f t="shared" si="101"/>
        <v>24</v>
      </c>
      <c r="O365" s="14">
        <f t="shared" si="89"/>
        <v>84</v>
      </c>
      <c r="P365" s="13">
        <f t="shared" si="94"/>
        <v>1</v>
      </c>
      <c r="Q365">
        <f t="shared" si="102"/>
        <v>24</v>
      </c>
      <c r="R365" s="14">
        <f t="shared" si="103"/>
        <v>84</v>
      </c>
      <c r="S365" s="15"/>
      <c r="W365" s="14"/>
    </row>
    <row r="366" spans="1:23" hidden="1" x14ac:dyDescent="0.25">
      <c r="A366" s="16"/>
      <c r="B366" s="17" t="b">
        <f t="shared" si="96"/>
        <v>0</v>
      </c>
      <c r="C366" s="17" t="b">
        <f t="shared" si="88"/>
        <v>0</v>
      </c>
      <c r="D366" s="17">
        <f t="shared" si="90"/>
        <v>1</v>
      </c>
      <c r="E366" s="17" t="str">
        <f t="shared" si="95"/>
        <v>Section 5 - Conclusion, And FREE Coupon For Next Course</v>
      </c>
      <c r="F366" s="18" t="str">
        <f t="shared" si="91"/>
        <v/>
      </c>
      <c r="G366" s="13" t="str">
        <f t="shared" si="97"/>
        <v/>
      </c>
      <c r="H366">
        <f t="shared" si="98"/>
        <v>0</v>
      </c>
      <c r="I366">
        <f t="shared" si="99"/>
        <v>0</v>
      </c>
      <c r="J366" s="13">
        <f t="shared" si="100"/>
        <v>85</v>
      </c>
      <c r="K366">
        <f t="shared" si="92"/>
        <v>1</v>
      </c>
      <c r="L366">
        <f t="shared" si="93"/>
        <v>25</v>
      </c>
      <c r="M366" s="13">
        <f t="shared" si="101"/>
        <v>1</v>
      </c>
      <c r="N366">
        <f t="shared" si="101"/>
        <v>24</v>
      </c>
      <c r="O366" s="14">
        <f t="shared" si="89"/>
        <v>84</v>
      </c>
      <c r="P366" s="13">
        <f t="shared" si="94"/>
        <v>1</v>
      </c>
      <c r="Q366">
        <f t="shared" si="102"/>
        <v>24</v>
      </c>
      <c r="R366" s="14">
        <f t="shared" si="103"/>
        <v>84</v>
      </c>
      <c r="S366" s="15"/>
      <c r="W366" s="14"/>
    </row>
    <row r="367" spans="1:23" hidden="1" x14ac:dyDescent="0.25">
      <c r="A367" s="16"/>
      <c r="B367" s="17" t="b">
        <f t="shared" si="96"/>
        <v>0</v>
      </c>
      <c r="C367" s="17" t="b">
        <f t="shared" si="88"/>
        <v>0</v>
      </c>
      <c r="D367" s="17">
        <f t="shared" si="90"/>
        <v>1</v>
      </c>
      <c r="E367" s="17" t="str">
        <f t="shared" si="95"/>
        <v>Section 5 - Conclusion, And FREE Coupon For Next Course</v>
      </c>
      <c r="F367" s="18" t="str">
        <f t="shared" si="91"/>
        <v/>
      </c>
      <c r="G367" s="13" t="str">
        <f t="shared" si="97"/>
        <v/>
      </c>
      <c r="H367">
        <f t="shared" si="98"/>
        <v>0</v>
      </c>
      <c r="I367">
        <f t="shared" si="99"/>
        <v>0</v>
      </c>
      <c r="J367" s="13">
        <f t="shared" si="100"/>
        <v>85</v>
      </c>
      <c r="K367">
        <f t="shared" si="92"/>
        <v>1</v>
      </c>
      <c r="L367">
        <f t="shared" si="93"/>
        <v>25</v>
      </c>
      <c r="M367" s="13">
        <f t="shared" si="101"/>
        <v>1</v>
      </c>
      <c r="N367">
        <f t="shared" si="101"/>
        <v>24</v>
      </c>
      <c r="O367" s="14">
        <f t="shared" si="89"/>
        <v>84</v>
      </c>
      <c r="P367" s="13">
        <f t="shared" si="94"/>
        <v>1</v>
      </c>
      <c r="Q367">
        <f t="shared" si="102"/>
        <v>24</v>
      </c>
      <c r="R367" s="14">
        <f t="shared" si="103"/>
        <v>84</v>
      </c>
      <c r="S367" s="15"/>
      <c r="W367" s="14"/>
    </row>
    <row r="368" spans="1:23" hidden="1" x14ac:dyDescent="0.25">
      <c r="A368" s="16"/>
      <c r="B368" s="17" t="b">
        <f t="shared" si="96"/>
        <v>0</v>
      </c>
      <c r="C368" s="17" t="b">
        <f t="shared" si="88"/>
        <v>0</v>
      </c>
      <c r="D368" s="17">
        <f t="shared" si="90"/>
        <v>1</v>
      </c>
      <c r="E368" s="17" t="str">
        <f t="shared" si="95"/>
        <v>Section 5 - Conclusion, And FREE Coupon For Next Course</v>
      </c>
      <c r="F368" s="18" t="str">
        <f t="shared" si="91"/>
        <v/>
      </c>
      <c r="G368" s="13" t="str">
        <f t="shared" si="97"/>
        <v/>
      </c>
      <c r="H368">
        <f t="shared" si="98"/>
        <v>0</v>
      </c>
      <c r="I368">
        <f t="shared" si="99"/>
        <v>0</v>
      </c>
      <c r="J368" s="13">
        <f t="shared" si="100"/>
        <v>85</v>
      </c>
      <c r="K368">
        <f t="shared" si="92"/>
        <v>1</v>
      </c>
      <c r="L368">
        <f t="shared" si="93"/>
        <v>25</v>
      </c>
      <c r="M368" s="13">
        <f t="shared" si="101"/>
        <v>1</v>
      </c>
      <c r="N368">
        <f t="shared" si="101"/>
        <v>24</v>
      </c>
      <c r="O368" s="14">
        <f t="shared" si="89"/>
        <v>84</v>
      </c>
      <c r="P368" s="13">
        <f t="shared" si="94"/>
        <v>1</v>
      </c>
      <c r="Q368">
        <f t="shared" si="102"/>
        <v>24</v>
      </c>
      <c r="R368" s="14">
        <f t="shared" si="103"/>
        <v>84</v>
      </c>
      <c r="S368" s="15"/>
      <c r="W368" s="14"/>
    </row>
    <row r="369" spans="1:23" hidden="1" x14ac:dyDescent="0.25">
      <c r="A369" s="16"/>
      <c r="B369" s="17" t="b">
        <f t="shared" si="96"/>
        <v>0</v>
      </c>
      <c r="C369" s="17" t="b">
        <f t="shared" si="88"/>
        <v>0</v>
      </c>
      <c r="D369" s="17">
        <f t="shared" si="90"/>
        <v>1</v>
      </c>
      <c r="E369" s="17" t="str">
        <f t="shared" si="95"/>
        <v>Section 5 - Conclusion, And FREE Coupon For Next Course</v>
      </c>
      <c r="F369" s="18" t="str">
        <f t="shared" si="91"/>
        <v/>
      </c>
      <c r="G369" s="13" t="str">
        <f t="shared" si="97"/>
        <v/>
      </c>
      <c r="H369">
        <f t="shared" si="98"/>
        <v>0</v>
      </c>
      <c r="I369">
        <f t="shared" si="99"/>
        <v>0</v>
      </c>
      <c r="J369" s="13">
        <f t="shared" si="100"/>
        <v>85</v>
      </c>
      <c r="K369">
        <f t="shared" si="92"/>
        <v>1</v>
      </c>
      <c r="L369">
        <f t="shared" si="93"/>
        <v>25</v>
      </c>
      <c r="M369" s="13">
        <f t="shared" si="101"/>
        <v>1</v>
      </c>
      <c r="N369">
        <f t="shared" si="101"/>
        <v>24</v>
      </c>
      <c r="O369" s="14">
        <f t="shared" si="89"/>
        <v>84</v>
      </c>
      <c r="P369" s="13">
        <f t="shared" si="94"/>
        <v>1</v>
      </c>
      <c r="Q369">
        <f t="shared" si="102"/>
        <v>24</v>
      </c>
      <c r="R369" s="14">
        <f t="shared" si="103"/>
        <v>84</v>
      </c>
      <c r="S369" s="15"/>
      <c r="W369" s="14"/>
    </row>
    <row r="370" spans="1:23" hidden="1" x14ac:dyDescent="0.25">
      <c r="A370" s="16"/>
      <c r="B370" s="17" t="b">
        <f t="shared" si="96"/>
        <v>0</v>
      </c>
      <c r="C370" s="17" t="b">
        <f t="shared" si="88"/>
        <v>0</v>
      </c>
      <c r="D370" s="17">
        <f t="shared" si="90"/>
        <v>1</v>
      </c>
      <c r="E370" s="17" t="str">
        <f t="shared" si="95"/>
        <v>Section 5 - Conclusion, And FREE Coupon For Next Course</v>
      </c>
      <c r="F370" s="18" t="str">
        <f t="shared" si="91"/>
        <v/>
      </c>
      <c r="G370" s="13" t="str">
        <f t="shared" si="97"/>
        <v/>
      </c>
      <c r="H370">
        <f t="shared" si="98"/>
        <v>0</v>
      </c>
      <c r="I370">
        <f t="shared" si="99"/>
        <v>0</v>
      </c>
      <c r="J370" s="13">
        <f t="shared" si="100"/>
        <v>85</v>
      </c>
      <c r="K370">
        <f t="shared" si="92"/>
        <v>1</v>
      </c>
      <c r="L370">
        <f t="shared" si="93"/>
        <v>25</v>
      </c>
      <c r="M370" s="13">
        <f t="shared" si="101"/>
        <v>1</v>
      </c>
      <c r="N370">
        <f t="shared" si="101"/>
        <v>24</v>
      </c>
      <c r="O370" s="14">
        <f t="shared" si="89"/>
        <v>84</v>
      </c>
      <c r="P370" s="13">
        <f t="shared" si="94"/>
        <v>1</v>
      </c>
      <c r="Q370">
        <f t="shared" si="102"/>
        <v>24</v>
      </c>
      <c r="R370" s="14">
        <f t="shared" si="103"/>
        <v>84</v>
      </c>
      <c r="S370" s="15"/>
      <c r="W370" s="14"/>
    </row>
    <row r="371" spans="1:23" hidden="1" x14ac:dyDescent="0.25">
      <c r="A371" s="16"/>
      <c r="B371" s="17" t="b">
        <f t="shared" si="96"/>
        <v>0</v>
      </c>
      <c r="C371" s="17" t="b">
        <f t="shared" si="88"/>
        <v>0</v>
      </c>
      <c r="D371" s="17">
        <f t="shared" si="90"/>
        <v>1</v>
      </c>
      <c r="E371" s="17" t="str">
        <f t="shared" si="95"/>
        <v>Section 5 - Conclusion, And FREE Coupon For Next Course</v>
      </c>
      <c r="F371" s="18" t="str">
        <f t="shared" si="91"/>
        <v/>
      </c>
      <c r="G371" s="13" t="str">
        <f t="shared" si="97"/>
        <v/>
      </c>
      <c r="H371">
        <f t="shared" si="98"/>
        <v>0</v>
      </c>
      <c r="I371">
        <f t="shared" si="99"/>
        <v>0</v>
      </c>
      <c r="J371" s="13">
        <f t="shared" si="100"/>
        <v>85</v>
      </c>
      <c r="K371">
        <f t="shared" si="92"/>
        <v>1</v>
      </c>
      <c r="L371">
        <f t="shared" si="93"/>
        <v>25</v>
      </c>
      <c r="M371" s="13">
        <f t="shared" si="101"/>
        <v>1</v>
      </c>
      <c r="N371">
        <f t="shared" si="101"/>
        <v>24</v>
      </c>
      <c r="O371" s="14">
        <f t="shared" si="89"/>
        <v>84</v>
      </c>
      <c r="P371" s="13">
        <f t="shared" si="94"/>
        <v>1</v>
      </c>
      <c r="Q371">
        <f t="shared" si="102"/>
        <v>24</v>
      </c>
      <c r="R371" s="14">
        <f t="shared" si="103"/>
        <v>84</v>
      </c>
      <c r="S371" s="15"/>
      <c r="W371" s="14"/>
    </row>
    <row r="372" spans="1:23" hidden="1" x14ac:dyDescent="0.25">
      <c r="A372" s="16"/>
      <c r="B372" s="17" t="b">
        <f t="shared" si="96"/>
        <v>0</v>
      </c>
      <c r="C372" s="17" t="b">
        <f t="shared" si="88"/>
        <v>0</v>
      </c>
      <c r="D372" s="17">
        <f t="shared" si="90"/>
        <v>1</v>
      </c>
      <c r="E372" s="17" t="str">
        <f t="shared" si="95"/>
        <v>Section 5 - Conclusion, And FREE Coupon For Next Course</v>
      </c>
      <c r="F372" s="18" t="str">
        <f t="shared" si="91"/>
        <v/>
      </c>
      <c r="G372" s="13" t="str">
        <f t="shared" si="97"/>
        <v/>
      </c>
      <c r="H372">
        <f t="shared" si="98"/>
        <v>0</v>
      </c>
      <c r="I372">
        <f t="shared" si="99"/>
        <v>0</v>
      </c>
      <c r="J372" s="13">
        <f t="shared" si="100"/>
        <v>85</v>
      </c>
      <c r="K372">
        <f t="shared" si="92"/>
        <v>1</v>
      </c>
      <c r="L372">
        <f t="shared" si="93"/>
        <v>25</v>
      </c>
      <c r="M372" s="13">
        <f t="shared" si="101"/>
        <v>1</v>
      </c>
      <c r="N372">
        <f t="shared" si="101"/>
        <v>24</v>
      </c>
      <c r="O372" s="14">
        <f t="shared" si="89"/>
        <v>84</v>
      </c>
      <c r="P372" s="13">
        <f t="shared" si="94"/>
        <v>1</v>
      </c>
      <c r="Q372">
        <f t="shared" si="102"/>
        <v>24</v>
      </c>
      <c r="R372" s="14">
        <f t="shared" si="103"/>
        <v>84</v>
      </c>
      <c r="S372" s="15"/>
      <c r="W372" s="14"/>
    </row>
    <row r="373" spans="1:23" hidden="1" x14ac:dyDescent="0.25">
      <c r="A373" s="16"/>
      <c r="B373" s="17" t="b">
        <f t="shared" si="96"/>
        <v>0</v>
      </c>
      <c r="C373" s="17" t="b">
        <f t="shared" si="88"/>
        <v>0</v>
      </c>
      <c r="D373" s="17">
        <f t="shared" si="90"/>
        <v>1</v>
      </c>
      <c r="E373" s="17" t="str">
        <f t="shared" si="95"/>
        <v>Section 5 - Conclusion, And FREE Coupon For Next Course</v>
      </c>
      <c r="F373" s="18" t="str">
        <f t="shared" si="91"/>
        <v/>
      </c>
      <c r="G373" s="13" t="str">
        <f t="shared" si="97"/>
        <v/>
      </c>
      <c r="H373">
        <f t="shared" si="98"/>
        <v>0</v>
      </c>
      <c r="I373">
        <f t="shared" si="99"/>
        <v>0</v>
      </c>
      <c r="J373" s="13">
        <f t="shared" si="100"/>
        <v>85</v>
      </c>
      <c r="K373">
        <f t="shared" si="92"/>
        <v>1</v>
      </c>
      <c r="L373">
        <f t="shared" si="93"/>
        <v>25</v>
      </c>
      <c r="M373" s="13">
        <f t="shared" si="101"/>
        <v>1</v>
      </c>
      <c r="N373">
        <f t="shared" si="101"/>
        <v>24</v>
      </c>
      <c r="O373" s="14">
        <f t="shared" si="89"/>
        <v>84</v>
      </c>
      <c r="P373" s="13">
        <f t="shared" si="94"/>
        <v>1</v>
      </c>
      <c r="Q373">
        <f t="shared" si="102"/>
        <v>24</v>
      </c>
      <c r="R373" s="14">
        <f t="shared" si="103"/>
        <v>84</v>
      </c>
      <c r="S373" s="15"/>
      <c r="W373" s="14"/>
    </row>
    <row r="374" spans="1:23" hidden="1" x14ac:dyDescent="0.25">
      <c r="A374" s="16"/>
      <c r="B374" s="17" t="b">
        <f t="shared" si="96"/>
        <v>0</v>
      </c>
      <c r="C374" s="17" t="b">
        <f t="shared" si="88"/>
        <v>0</v>
      </c>
      <c r="D374" s="17">
        <f t="shared" si="90"/>
        <v>1</v>
      </c>
      <c r="E374" s="17" t="str">
        <f t="shared" si="95"/>
        <v>Section 5 - Conclusion, And FREE Coupon For Next Course</v>
      </c>
      <c r="F374" s="18" t="str">
        <f t="shared" si="91"/>
        <v/>
      </c>
      <c r="G374" s="13" t="str">
        <f t="shared" si="97"/>
        <v/>
      </c>
      <c r="H374">
        <f t="shared" si="98"/>
        <v>0</v>
      </c>
      <c r="I374">
        <f t="shared" si="99"/>
        <v>0</v>
      </c>
      <c r="J374" s="13">
        <f t="shared" si="100"/>
        <v>85</v>
      </c>
      <c r="K374">
        <f t="shared" si="92"/>
        <v>1</v>
      </c>
      <c r="L374">
        <f t="shared" si="93"/>
        <v>25</v>
      </c>
      <c r="M374" s="13">
        <f t="shared" si="101"/>
        <v>1</v>
      </c>
      <c r="N374">
        <f t="shared" si="101"/>
        <v>24</v>
      </c>
      <c r="O374" s="14">
        <f t="shared" si="89"/>
        <v>84</v>
      </c>
      <c r="P374" s="13">
        <f t="shared" si="94"/>
        <v>1</v>
      </c>
      <c r="Q374">
        <f t="shared" si="102"/>
        <v>24</v>
      </c>
      <c r="R374" s="14">
        <f t="shared" si="103"/>
        <v>84</v>
      </c>
      <c r="S374" s="15"/>
      <c r="W374" s="14"/>
    </row>
    <row r="375" spans="1:23" hidden="1" x14ac:dyDescent="0.25">
      <c r="A375" s="16"/>
      <c r="B375" s="17" t="b">
        <f t="shared" si="96"/>
        <v>0</v>
      </c>
      <c r="C375" s="17" t="b">
        <f t="shared" si="88"/>
        <v>0</v>
      </c>
      <c r="D375" s="17">
        <f t="shared" si="90"/>
        <v>1</v>
      </c>
      <c r="E375" s="17" t="str">
        <f t="shared" si="95"/>
        <v>Section 5 - Conclusion, And FREE Coupon For Next Course</v>
      </c>
      <c r="F375" s="18" t="str">
        <f t="shared" si="91"/>
        <v/>
      </c>
      <c r="G375" s="13" t="str">
        <f t="shared" si="97"/>
        <v/>
      </c>
      <c r="H375">
        <f t="shared" si="98"/>
        <v>0</v>
      </c>
      <c r="I375">
        <f t="shared" si="99"/>
        <v>0</v>
      </c>
      <c r="J375" s="13">
        <f t="shared" si="100"/>
        <v>85</v>
      </c>
      <c r="K375">
        <f t="shared" si="92"/>
        <v>1</v>
      </c>
      <c r="L375">
        <f t="shared" si="93"/>
        <v>25</v>
      </c>
      <c r="M375" s="13">
        <f t="shared" si="101"/>
        <v>1</v>
      </c>
      <c r="N375">
        <f t="shared" si="101"/>
        <v>24</v>
      </c>
      <c r="O375" s="14">
        <f t="shared" si="89"/>
        <v>84</v>
      </c>
      <c r="P375" s="13">
        <f t="shared" si="94"/>
        <v>1</v>
      </c>
      <c r="Q375">
        <f t="shared" si="102"/>
        <v>24</v>
      </c>
      <c r="R375" s="14">
        <f t="shared" si="103"/>
        <v>84</v>
      </c>
      <c r="S375" s="15"/>
      <c r="W375" s="14"/>
    </row>
    <row r="376" spans="1:23" hidden="1" x14ac:dyDescent="0.25">
      <c r="A376" s="16"/>
      <c r="B376" s="17" t="b">
        <f t="shared" si="96"/>
        <v>0</v>
      </c>
      <c r="C376" s="17" t="b">
        <f t="shared" si="88"/>
        <v>0</v>
      </c>
      <c r="D376" s="17">
        <f t="shared" si="90"/>
        <v>1</v>
      </c>
      <c r="E376" s="17" t="str">
        <f t="shared" si="95"/>
        <v>Section 5 - Conclusion, And FREE Coupon For Next Course</v>
      </c>
      <c r="F376" s="18" t="str">
        <f t="shared" si="91"/>
        <v/>
      </c>
      <c r="G376" s="13" t="str">
        <f t="shared" si="97"/>
        <v/>
      </c>
      <c r="H376">
        <f t="shared" si="98"/>
        <v>0</v>
      </c>
      <c r="I376">
        <f t="shared" si="99"/>
        <v>0</v>
      </c>
      <c r="J376" s="13">
        <f t="shared" si="100"/>
        <v>85</v>
      </c>
      <c r="K376">
        <f t="shared" si="92"/>
        <v>1</v>
      </c>
      <c r="L376">
        <f t="shared" si="93"/>
        <v>25</v>
      </c>
      <c r="M376" s="13">
        <f t="shared" si="101"/>
        <v>1</v>
      </c>
      <c r="N376">
        <f t="shared" si="101"/>
        <v>24</v>
      </c>
      <c r="O376" s="14">
        <f t="shared" si="89"/>
        <v>84</v>
      </c>
      <c r="P376" s="13">
        <f t="shared" si="94"/>
        <v>1</v>
      </c>
      <c r="Q376">
        <f t="shared" si="102"/>
        <v>24</v>
      </c>
      <c r="R376" s="14">
        <f t="shared" si="103"/>
        <v>84</v>
      </c>
      <c r="S376" s="15"/>
      <c r="W376" s="14"/>
    </row>
    <row r="377" spans="1:23" hidden="1" x14ac:dyDescent="0.25">
      <c r="A377" s="16"/>
      <c r="B377" s="17" t="b">
        <f t="shared" si="96"/>
        <v>0</v>
      </c>
      <c r="C377" s="17" t="b">
        <f t="shared" si="88"/>
        <v>0</v>
      </c>
      <c r="D377" s="17">
        <f t="shared" si="90"/>
        <v>1</v>
      </c>
      <c r="E377" s="17" t="str">
        <f t="shared" si="95"/>
        <v>Section 5 - Conclusion, And FREE Coupon For Next Course</v>
      </c>
      <c r="F377" s="18" t="str">
        <f t="shared" si="91"/>
        <v/>
      </c>
      <c r="G377" s="13" t="str">
        <f t="shared" si="97"/>
        <v/>
      </c>
      <c r="H377">
        <f t="shared" si="98"/>
        <v>0</v>
      </c>
      <c r="I377">
        <f t="shared" si="99"/>
        <v>0</v>
      </c>
      <c r="J377" s="13">
        <f t="shared" si="100"/>
        <v>85</v>
      </c>
      <c r="K377">
        <f t="shared" si="92"/>
        <v>1</v>
      </c>
      <c r="L377">
        <f t="shared" si="93"/>
        <v>25</v>
      </c>
      <c r="M377" s="13">
        <f t="shared" si="101"/>
        <v>1</v>
      </c>
      <c r="N377">
        <f t="shared" si="101"/>
        <v>24</v>
      </c>
      <c r="O377" s="14">
        <f t="shared" si="89"/>
        <v>84</v>
      </c>
      <c r="P377" s="13">
        <f t="shared" si="94"/>
        <v>1</v>
      </c>
      <c r="Q377">
        <f t="shared" si="102"/>
        <v>24</v>
      </c>
      <c r="R377" s="14">
        <f t="shared" si="103"/>
        <v>84</v>
      </c>
      <c r="S377" s="15"/>
      <c r="W377" s="14"/>
    </row>
    <row r="378" spans="1:23" hidden="1" x14ac:dyDescent="0.25">
      <c r="A378" s="16"/>
      <c r="B378" s="17" t="b">
        <f t="shared" si="96"/>
        <v>0</v>
      </c>
      <c r="C378" s="17" t="b">
        <f t="shared" si="88"/>
        <v>0</v>
      </c>
      <c r="D378" s="17">
        <f t="shared" si="90"/>
        <v>1</v>
      </c>
      <c r="E378" s="17" t="str">
        <f t="shared" si="95"/>
        <v>Section 5 - Conclusion, And FREE Coupon For Next Course</v>
      </c>
      <c r="F378" s="18" t="str">
        <f t="shared" si="91"/>
        <v/>
      </c>
      <c r="G378" s="13" t="str">
        <f t="shared" si="97"/>
        <v/>
      </c>
      <c r="H378">
        <f t="shared" si="98"/>
        <v>0</v>
      </c>
      <c r="I378">
        <f t="shared" si="99"/>
        <v>0</v>
      </c>
      <c r="J378" s="13">
        <f t="shared" si="100"/>
        <v>85</v>
      </c>
      <c r="K378">
        <f t="shared" si="92"/>
        <v>1</v>
      </c>
      <c r="L378">
        <f t="shared" si="93"/>
        <v>25</v>
      </c>
      <c r="M378" s="13">
        <f t="shared" si="101"/>
        <v>1</v>
      </c>
      <c r="N378">
        <f t="shared" si="101"/>
        <v>24</v>
      </c>
      <c r="O378" s="14">
        <f t="shared" si="89"/>
        <v>84</v>
      </c>
      <c r="P378" s="13">
        <f t="shared" si="94"/>
        <v>1</v>
      </c>
      <c r="Q378">
        <f t="shared" si="102"/>
        <v>24</v>
      </c>
      <c r="R378" s="14">
        <f t="shared" si="103"/>
        <v>84</v>
      </c>
      <c r="S378" s="15"/>
      <c r="W378" s="14"/>
    </row>
    <row r="379" spans="1:23" hidden="1" x14ac:dyDescent="0.25">
      <c r="A379" s="16"/>
      <c r="B379" s="17" t="b">
        <f t="shared" si="96"/>
        <v>0</v>
      </c>
      <c r="C379" s="17" t="b">
        <f t="shared" si="88"/>
        <v>0</v>
      </c>
      <c r="D379" s="17">
        <f t="shared" si="90"/>
        <v>1</v>
      </c>
      <c r="E379" s="17" t="str">
        <f t="shared" si="95"/>
        <v>Section 5 - Conclusion, And FREE Coupon For Next Course</v>
      </c>
      <c r="F379" s="18" t="str">
        <f t="shared" si="91"/>
        <v/>
      </c>
      <c r="G379" s="13" t="str">
        <f t="shared" si="97"/>
        <v/>
      </c>
      <c r="H379">
        <f t="shared" si="98"/>
        <v>0</v>
      </c>
      <c r="I379">
        <f t="shared" si="99"/>
        <v>0</v>
      </c>
      <c r="J379" s="13">
        <f t="shared" si="100"/>
        <v>85</v>
      </c>
      <c r="K379">
        <f t="shared" si="92"/>
        <v>1</v>
      </c>
      <c r="L379">
        <f t="shared" si="93"/>
        <v>25</v>
      </c>
      <c r="M379" s="13">
        <f t="shared" si="101"/>
        <v>1</v>
      </c>
      <c r="N379">
        <f t="shared" si="101"/>
        <v>24</v>
      </c>
      <c r="O379" s="14">
        <f t="shared" si="89"/>
        <v>84</v>
      </c>
      <c r="P379" s="13">
        <f t="shared" si="94"/>
        <v>1</v>
      </c>
      <c r="Q379">
        <f t="shared" si="102"/>
        <v>24</v>
      </c>
      <c r="R379" s="14">
        <f t="shared" si="103"/>
        <v>84</v>
      </c>
      <c r="S379" s="15"/>
      <c r="W379" s="14"/>
    </row>
    <row r="380" spans="1:23" hidden="1" x14ac:dyDescent="0.25">
      <c r="A380" s="16"/>
      <c r="B380" s="17" t="b">
        <f t="shared" si="96"/>
        <v>0</v>
      </c>
      <c r="C380" s="17" t="b">
        <f t="shared" si="88"/>
        <v>0</v>
      </c>
      <c r="D380" s="17">
        <f t="shared" si="90"/>
        <v>1</v>
      </c>
      <c r="E380" s="17" t="str">
        <f t="shared" si="95"/>
        <v>Section 5 - Conclusion, And FREE Coupon For Next Course</v>
      </c>
      <c r="F380" s="18" t="str">
        <f t="shared" si="91"/>
        <v/>
      </c>
      <c r="G380" s="13" t="str">
        <f t="shared" si="97"/>
        <v/>
      </c>
      <c r="H380">
        <f t="shared" si="98"/>
        <v>0</v>
      </c>
      <c r="I380">
        <f t="shared" si="99"/>
        <v>0</v>
      </c>
      <c r="J380" s="13">
        <f t="shared" si="100"/>
        <v>85</v>
      </c>
      <c r="K380">
        <f t="shared" si="92"/>
        <v>1</v>
      </c>
      <c r="L380">
        <f t="shared" si="93"/>
        <v>25</v>
      </c>
      <c r="M380" s="13">
        <f t="shared" si="101"/>
        <v>1</v>
      </c>
      <c r="N380">
        <f t="shared" si="101"/>
        <v>24</v>
      </c>
      <c r="O380" s="14">
        <f t="shared" si="89"/>
        <v>84</v>
      </c>
      <c r="P380" s="13">
        <f t="shared" si="94"/>
        <v>1</v>
      </c>
      <c r="Q380">
        <f t="shared" si="102"/>
        <v>24</v>
      </c>
      <c r="R380" s="14">
        <f t="shared" si="103"/>
        <v>84</v>
      </c>
      <c r="S380" s="15"/>
      <c r="W380" s="14"/>
    </row>
    <row r="381" spans="1:23" hidden="1" x14ac:dyDescent="0.25">
      <c r="A381" s="16"/>
      <c r="B381" s="17" t="b">
        <f t="shared" si="96"/>
        <v>0</v>
      </c>
      <c r="C381" s="17" t="b">
        <f t="shared" si="88"/>
        <v>0</v>
      </c>
      <c r="D381" s="17">
        <f t="shared" si="90"/>
        <v>1</v>
      </c>
      <c r="E381" s="17" t="str">
        <f t="shared" si="95"/>
        <v>Section 5 - Conclusion, And FREE Coupon For Next Course</v>
      </c>
      <c r="F381" s="18" t="str">
        <f t="shared" si="91"/>
        <v/>
      </c>
      <c r="G381" s="13" t="str">
        <f t="shared" si="97"/>
        <v/>
      </c>
      <c r="H381">
        <f t="shared" si="98"/>
        <v>0</v>
      </c>
      <c r="I381">
        <f t="shared" si="99"/>
        <v>0</v>
      </c>
      <c r="J381" s="13">
        <f t="shared" si="100"/>
        <v>85</v>
      </c>
      <c r="K381">
        <f t="shared" si="92"/>
        <v>1</v>
      </c>
      <c r="L381">
        <f t="shared" si="93"/>
        <v>25</v>
      </c>
      <c r="M381" s="13">
        <f t="shared" si="101"/>
        <v>1</v>
      </c>
      <c r="N381">
        <f t="shared" si="101"/>
        <v>24</v>
      </c>
      <c r="O381" s="14">
        <f t="shared" si="89"/>
        <v>84</v>
      </c>
      <c r="P381" s="13">
        <f t="shared" si="94"/>
        <v>1</v>
      </c>
      <c r="Q381">
        <f t="shared" si="102"/>
        <v>24</v>
      </c>
      <c r="R381" s="14">
        <f t="shared" si="103"/>
        <v>84</v>
      </c>
      <c r="S381" s="15"/>
      <c r="W381" s="14"/>
    </row>
    <row r="382" spans="1:23" hidden="1" x14ac:dyDescent="0.25">
      <c r="A382" s="16"/>
      <c r="B382" s="17" t="b">
        <f t="shared" si="96"/>
        <v>0</v>
      </c>
      <c r="C382" s="17" t="b">
        <f t="shared" si="88"/>
        <v>0</v>
      </c>
      <c r="D382" s="17">
        <f t="shared" si="90"/>
        <v>1</v>
      </c>
      <c r="E382" s="17" t="str">
        <f t="shared" si="95"/>
        <v>Section 5 - Conclusion, And FREE Coupon For Next Course</v>
      </c>
      <c r="F382" s="18" t="str">
        <f t="shared" si="91"/>
        <v/>
      </c>
      <c r="G382" s="13" t="str">
        <f t="shared" si="97"/>
        <v/>
      </c>
      <c r="H382">
        <f t="shared" si="98"/>
        <v>0</v>
      </c>
      <c r="I382">
        <f t="shared" si="99"/>
        <v>0</v>
      </c>
      <c r="J382" s="13">
        <f t="shared" si="100"/>
        <v>85</v>
      </c>
      <c r="K382">
        <f t="shared" si="92"/>
        <v>1</v>
      </c>
      <c r="L382">
        <f t="shared" si="93"/>
        <v>25</v>
      </c>
      <c r="M382" s="13">
        <f t="shared" si="101"/>
        <v>1</v>
      </c>
      <c r="N382">
        <f t="shared" si="101"/>
        <v>24</v>
      </c>
      <c r="O382" s="14">
        <f t="shared" si="89"/>
        <v>84</v>
      </c>
      <c r="P382" s="13">
        <f t="shared" si="94"/>
        <v>1</v>
      </c>
      <c r="Q382">
        <f t="shared" si="102"/>
        <v>24</v>
      </c>
      <c r="R382" s="14">
        <f t="shared" si="103"/>
        <v>84</v>
      </c>
      <c r="S382" s="15"/>
      <c r="W382" s="14"/>
    </row>
    <row r="383" spans="1:23" hidden="1" x14ac:dyDescent="0.25">
      <c r="A383" s="16"/>
      <c r="B383" s="17" t="b">
        <f t="shared" si="96"/>
        <v>0</v>
      </c>
      <c r="C383" s="17" t="b">
        <f t="shared" si="88"/>
        <v>0</v>
      </c>
      <c r="D383" s="17">
        <f t="shared" si="90"/>
        <v>1</v>
      </c>
      <c r="E383" s="17" t="str">
        <f t="shared" si="95"/>
        <v>Section 5 - Conclusion, And FREE Coupon For Next Course</v>
      </c>
      <c r="F383" s="18" t="str">
        <f t="shared" si="91"/>
        <v/>
      </c>
      <c r="G383" s="13" t="str">
        <f t="shared" si="97"/>
        <v/>
      </c>
      <c r="H383">
        <f t="shared" si="98"/>
        <v>0</v>
      </c>
      <c r="I383">
        <f t="shared" si="99"/>
        <v>0</v>
      </c>
      <c r="J383" s="13">
        <f t="shared" si="100"/>
        <v>85</v>
      </c>
      <c r="K383">
        <f t="shared" si="92"/>
        <v>1</v>
      </c>
      <c r="L383">
        <f t="shared" si="93"/>
        <v>25</v>
      </c>
      <c r="M383" s="13">
        <f t="shared" si="101"/>
        <v>1</v>
      </c>
      <c r="N383">
        <f t="shared" si="101"/>
        <v>24</v>
      </c>
      <c r="O383" s="14">
        <f t="shared" si="89"/>
        <v>84</v>
      </c>
      <c r="P383" s="13">
        <f t="shared" si="94"/>
        <v>1</v>
      </c>
      <c r="Q383">
        <f t="shared" si="102"/>
        <v>24</v>
      </c>
      <c r="R383" s="14">
        <f t="shared" si="103"/>
        <v>84</v>
      </c>
      <c r="S383" s="15"/>
      <c r="W383" s="14"/>
    </row>
    <row r="384" spans="1:23" hidden="1" x14ac:dyDescent="0.25">
      <c r="A384" s="16"/>
      <c r="B384" s="17" t="b">
        <f t="shared" si="96"/>
        <v>0</v>
      </c>
      <c r="C384" s="17" t="b">
        <f t="shared" ref="C384:C447" si="104">OR(NOT(ISERROR(FIND("hr",A385))), NOT(ISERROR(FIND("min ",A385))),RIGHT(A385,3)="min")</f>
        <v>0</v>
      </c>
      <c r="D384" s="17">
        <f t="shared" si="90"/>
        <v>1</v>
      </c>
      <c r="E384" s="17" t="str">
        <f t="shared" si="95"/>
        <v>Section 5 - Conclusion, And FREE Coupon For Next Course</v>
      </c>
      <c r="F384" s="18" t="str">
        <f t="shared" si="91"/>
        <v/>
      </c>
      <c r="G384" s="13" t="str">
        <f t="shared" si="97"/>
        <v/>
      </c>
      <c r="H384">
        <f t="shared" si="98"/>
        <v>0</v>
      </c>
      <c r="I384">
        <f t="shared" si="99"/>
        <v>0</v>
      </c>
      <c r="J384" s="13">
        <f t="shared" si="100"/>
        <v>85</v>
      </c>
      <c r="K384">
        <f t="shared" si="92"/>
        <v>1</v>
      </c>
      <c r="L384">
        <f t="shared" si="93"/>
        <v>25</v>
      </c>
      <c r="M384" s="13">
        <f t="shared" si="101"/>
        <v>1</v>
      </c>
      <c r="N384">
        <f t="shared" si="101"/>
        <v>24</v>
      </c>
      <c r="O384" s="14">
        <f t="shared" si="89"/>
        <v>84</v>
      </c>
      <c r="P384" s="13">
        <f t="shared" si="94"/>
        <v>1</v>
      </c>
      <c r="Q384">
        <f t="shared" si="102"/>
        <v>24</v>
      </c>
      <c r="R384" s="14">
        <f t="shared" si="103"/>
        <v>84</v>
      </c>
      <c r="S384" s="15"/>
      <c r="W384" s="14"/>
    </row>
    <row r="385" spans="1:23" hidden="1" x14ac:dyDescent="0.25">
      <c r="A385" s="16"/>
      <c r="B385" s="17" t="b">
        <f t="shared" si="96"/>
        <v>0</v>
      </c>
      <c r="C385" s="17" t="b">
        <f t="shared" si="104"/>
        <v>0</v>
      </c>
      <c r="D385" s="17">
        <f t="shared" si="90"/>
        <v>1</v>
      </c>
      <c r="E385" s="17" t="str">
        <f t="shared" si="95"/>
        <v>Section 5 - Conclusion, And FREE Coupon For Next Course</v>
      </c>
      <c r="F385" s="18" t="str">
        <f t="shared" si="91"/>
        <v/>
      </c>
      <c r="G385" s="13" t="str">
        <f t="shared" si="97"/>
        <v/>
      </c>
      <c r="H385">
        <f t="shared" si="98"/>
        <v>0</v>
      </c>
      <c r="I385">
        <f t="shared" si="99"/>
        <v>0</v>
      </c>
      <c r="J385" s="13">
        <f t="shared" si="100"/>
        <v>85</v>
      </c>
      <c r="K385">
        <f t="shared" si="92"/>
        <v>1</v>
      </c>
      <c r="L385">
        <f t="shared" si="93"/>
        <v>25</v>
      </c>
      <c r="M385" s="13">
        <f t="shared" si="101"/>
        <v>1</v>
      </c>
      <c r="N385">
        <f t="shared" si="101"/>
        <v>24</v>
      </c>
      <c r="O385" s="14">
        <f t="shared" si="89"/>
        <v>84</v>
      </c>
      <c r="P385" s="13">
        <f t="shared" si="94"/>
        <v>1</v>
      </c>
      <c r="Q385">
        <f t="shared" si="102"/>
        <v>24</v>
      </c>
      <c r="R385" s="14">
        <f t="shared" si="103"/>
        <v>84</v>
      </c>
      <c r="S385" s="15"/>
      <c r="W385" s="14"/>
    </row>
    <row r="386" spans="1:23" hidden="1" x14ac:dyDescent="0.25">
      <c r="A386" s="16"/>
      <c r="B386" s="17" t="b">
        <f t="shared" si="96"/>
        <v>0</v>
      </c>
      <c r="C386" s="17" t="b">
        <f t="shared" si="104"/>
        <v>0</v>
      </c>
      <c r="D386" s="17">
        <f t="shared" si="90"/>
        <v>1</v>
      </c>
      <c r="E386" s="17" t="str">
        <f t="shared" si="95"/>
        <v>Section 5 - Conclusion, And FREE Coupon For Next Course</v>
      </c>
      <c r="F386" s="18" t="str">
        <f t="shared" si="91"/>
        <v/>
      </c>
      <c r="G386" s="13" t="str">
        <f t="shared" si="97"/>
        <v/>
      </c>
      <c r="H386">
        <f t="shared" si="98"/>
        <v>0</v>
      </c>
      <c r="I386">
        <f t="shared" si="99"/>
        <v>0</v>
      </c>
      <c r="J386" s="13">
        <f t="shared" si="100"/>
        <v>85</v>
      </c>
      <c r="K386">
        <f t="shared" si="92"/>
        <v>1</v>
      </c>
      <c r="L386">
        <f t="shared" si="93"/>
        <v>25</v>
      </c>
      <c r="M386" s="13">
        <f t="shared" si="101"/>
        <v>1</v>
      </c>
      <c r="N386">
        <f t="shared" si="101"/>
        <v>24</v>
      </c>
      <c r="O386" s="14">
        <f t="shared" si="89"/>
        <v>84</v>
      </c>
      <c r="P386" s="13">
        <f t="shared" si="94"/>
        <v>1</v>
      </c>
      <c r="Q386">
        <f t="shared" si="102"/>
        <v>24</v>
      </c>
      <c r="R386" s="14">
        <f t="shared" si="103"/>
        <v>84</v>
      </c>
      <c r="S386" s="15"/>
      <c r="W386" s="14"/>
    </row>
    <row r="387" spans="1:23" hidden="1" x14ac:dyDescent="0.25">
      <c r="A387" s="16"/>
      <c r="B387" s="17" t="b">
        <f t="shared" si="96"/>
        <v>0</v>
      </c>
      <c r="C387" s="17" t="b">
        <f t="shared" si="104"/>
        <v>0</v>
      </c>
      <c r="D387" s="17">
        <f t="shared" si="90"/>
        <v>1</v>
      </c>
      <c r="E387" s="17" t="str">
        <f t="shared" si="95"/>
        <v>Section 5 - Conclusion, And FREE Coupon For Next Course</v>
      </c>
      <c r="F387" s="18" t="str">
        <f t="shared" si="91"/>
        <v/>
      </c>
      <c r="G387" s="13" t="str">
        <f t="shared" si="97"/>
        <v/>
      </c>
      <c r="H387">
        <f t="shared" si="98"/>
        <v>0</v>
      </c>
      <c r="I387">
        <f t="shared" si="99"/>
        <v>0</v>
      </c>
      <c r="J387" s="13">
        <f t="shared" si="100"/>
        <v>85</v>
      </c>
      <c r="K387">
        <f t="shared" si="92"/>
        <v>1</v>
      </c>
      <c r="L387">
        <f t="shared" si="93"/>
        <v>25</v>
      </c>
      <c r="M387" s="13">
        <f t="shared" si="101"/>
        <v>1</v>
      </c>
      <c r="N387">
        <f t="shared" si="101"/>
        <v>24</v>
      </c>
      <c r="O387" s="14">
        <f t="shared" si="89"/>
        <v>84</v>
      </c>
      <c r="P387" s="13">
        <f t="shared" si="94"/>
        <v>1</v>
      </c>
      <c r="Q387">
        <f t="shared" si="102"/>
        <v>24</v>
      </c>
      <c r="R387" s="14">
        <f t="shared" si="103"/>
        <v>84</v>
      </c>
      <c r="S387" s="15"/>
      <c r="W387" s="14"/>
    </row>
    <row r="388" spans="1:23" hidden="1" x14ac:dyDescent="0.25">
      <c r="A388" s="16"/>
      <c r="B388" s="17" t="b">
        <f t="shared" si="96"/>
        <v>0</v>
      </c>
      <c r="C388" s="17" t="b">
        <f t="shared" si="104"/>
        <v>0</v>
      </c>
      <c r="D388" s="17">
        <f t="shared" si="90"/>
        <v>1</v>
      </c>
      <c r="E388" s="17" t="str">
        <f t="shared" si="95"/>
        <v>Section 5 - Conclusion, And FREE Coupon For Next Course</v>
      </c>
      <c r="F388" s="18" t="str">
        <f t="shared" si="91"/>
        <v/>
      </c>
      <c r="G388" s="13" t="str">
        <f t="shared" si="97"/>
        <v/>
      </c>
      <c r="H388">
        <f t="shared" si="98"/>
        <v>0</v>
      </c>
      <c r="I388">
        <f t="shared" si="99"/>
        <v>0</v>
      </c>
      <c r="J388" s="13">
        <f t="shared" si="100"/>
        <v>85</v>
      </c>
      <c r="K388">
        <f t="shared" si="92"/>
        <v>1</v>
      </c>
      <c r="L388">
        <f t="shared" si="93"/>
        <v>25</v>
      </c>
      <c r="M388" s="13">
        <f t="shared" si="101"/>
        <v>1</v>
      </c>
      <c r="N388">
        <f t="shared" si="101"/>
        <v>24</v>
      </c>
      <c r="O388" s="14">
        <f t="shared" si="89"/>
        <v>84</v>
      </c>
      <c r="P388" s="13">
        <f t="shared" si="94"/>
        <v>1</v>
      </c>
      <c r="Q388">
        <f t="shared" si="102"/>
        <v>24</v>
      </c>
      <c r="R388" s="14">
        <f t="shared" si="103"/>
        <v>84</v>
      </c>
      <c r="S388" s="15"/>
      <c r="W388" s="14"/>
    </row>
    <row r="389" spans="1:23" hidden="1" x14ac:dyDescent="0.25">
      <c r="A389" s="16"/>
      <c r="B389" s="17" t="b">
        <f t="shared" si="96"/>
        <v>0</v>
      </c>
      <c r="C389" s="17" t="b">
        <f t="shared" si="104"/>
        <v>0</v>
      </c>
      <c r="D389" s="17">
        <f t="shared" si="90"/>
        <v>1</v>
      </c>
      <c r="E389" s="17" t="str">
        <f t="shared" si="95"/>
        <v>Section 5 - Conclusion, And FREE Coupon For Next Course</v>
      </c>
      <c r="F389" s="18" t="str">
        <f t="shared" si="91"/>
        <v/>
      </c>
      <c r="G389" s="13" t="str">
        <f t="shared" si="97"/>
        <v/>
      </c>
      <c r="H389">
        <f t="shared" si="98"/>
        <v>0</v>
      </c>
      <c r="I389">
        <f t="shared" si="99"/>
        <v>0</v>
      </c>
      <c r="J389" s="13">
        <f t="shared" si="100"/>
        <v>85</v>
      </c>
      <c r="K389">
        <f t="shared" si="92"/>
        <v>1</v>
      </c>
      <c r="L389">
        <f t="shared" si="93"/>
        <v>25</v>
      </c>
      <c r="M389" s="13">
        <f t="shared" si="101"/>
        <v>1</v>
      </c>
      <c r="N389">
        <f t="shared" si="101"/>
        <v>24</v>
      </c>
      <c r="O389" s="14">
        <f t="shared" si="89"/>
        <v>84</v>
      </c>
      <c r="P389" s="13">
        <f t="shared" si="94"/>
        <v>1</v>
      </c>
      <c r="Q389">
        <f t="shared" si="102"/>
        <v>24</v>
      </c>
      <c r="R389" s="14">
        <f t="shared" si="103"/>
        <v>84</v>
      </c>
      <c r="S389" s="15"/>
      <c r="W389" s="14"/>
    </row>
    <row r="390" spans="1:23" hidden="1" x14ac:dyDescent="0.25">
      <c r="A390" s="16"/>
      <c r="B390" s="17" t="b">
        <f t="shared" si="96"/>
        <v>0</v>
      </c>
      <c r="C390" s="17" t="b">
        <f t="shared" si="104"/>
        <v>0</v>
      </c>
      <c r="D390" s="17">
        <f t="shared" si="90"/>
        <v>1</v>
      </c>
      <c r="E390" s="17" t="str">
        <f t="shared" si="95"/>
        <v>Section 5 - Conclusion, And FREE Coupon For Next Course</v>
      </c>
      <c r="F390" s="18" t="str">
        <f t="shared" si="91"/>
        <v/>
      </c>
      <c r="G390" s="13" t="str">
        <f t="shared" si="97"/>
        <v/>
      </c>
      <c r="H390">
        <f t="shared" si="98"/>
        <v>0</v>
      </c>
      <c r="I390">
        <f t="shared" si="99"/>
        <v>0</v>
      </c>
      <c r="J390" s="13">
        <f t="shared" si="100"/>
        <v>85</v>
      </c>
      <c r="K390">
        <f t="shared" si="92"/>
        <v>1</v>
      </c>
      <c r="L390">
        <f t="shared" si="93"/>
        <v>25</v>
      </c>
      <c r="M390" s="13">
        <f t="shared" si="101"/>
        <v>1</v>
      </c>
      <c r="N390">
        <f t="shared" si="101"/>
        <v>24</v>
      </c>
      <c r="O390" s="14">
        <f t="shared" si="89"/>
        <v>84</v>
      </c>
      <c r="P390" s="13">
        <f t="shared" si="94"/>
        <v>1</v>
      </c>
      <c r="Q390">
        <f t="shared" si="102"/>
        <v>24</v>
      </c>
      <c r="R390" s="14">
        <f t="shared" si="103"/>
        <v>84</v>
      </c>
      <c r="S390" s="15"/>
      <c r="W390" s="14"/>
    </row>
    <row r="391" spans="1:23" hidden="1" x14ac:dyDescent="0.25">
      <c r="A391" s="16"/>
      <c r="B391" s="17" t="b">
        <f t="shared" si="96"/>
        <v>0</v>
      </c>
      <c r="C391" s="17" t="b">
        <f t="shared" si="104"/>
        <v>0</v>
      </c>
      <c r="D391" s="17">
        <f t="shared" si="90"/>
        <v>1</v>
      </c>
      <c r="E391" s="17" t="str">
        <f t="shared" si="95"/>
        <v>Section 5 - Conclusion, And FREE Coupon For Next Course</v>
      </c>
      <c r="F391" s="18" t="str">
        <f t="shared" si="91"/>
        <v/>
      </c>
      <c r="G391" s="13" t="str">
        <f t="shared" si="97"/>
        <v/>
      </c>
      <c r="H391">
        <f t="shared" si="98"/>
        <v>0</v>
      </c>
      <c r="I391">
        <f t="shared" si="99"/>
        <v>0</v>
      </c>
      <c r="J391" s="13">
        <f t="shared" si="100"/>
        <v>85</v>
      </c>
      <c r="K391">
        <f t="shared" si="92"/>
        <v>1</v>
      </c>
      <c r="L391">
        <f t="shared" si="93"/>
        <v>25</v>
      </c>
      <c r="M391" s="13">
        <f t="shared" si="101"/>
        <v>1</v>
      </c>
      <c r="N391">
        <f t="shared" si="101"/>
        <v>24</v>
      </c>
      <c r="O391" s="14">
        <f t="shared" si="89"/>
        <v>84</v>
      </c>
      <c r="P391" s="13">
        <f t="shared" si="94"/>
        <v>1</v>
      </c>
      <c r="Q391">
        <f t="shared" si="102"/>
        <v>24</v>
      </c>
      <c r="R391" s="14">
        <f t="shared" si="103"/>
        <v>84</v>
      </c>
      <c r="S391" s="15"/>
      <c r="W391" s="14"/>
    </row>
    <row r="392" spans="1:23" hidden="1" x14ac:dyDescent="0.25">
      <c r="A392" s="16"/>
      <c r="B392" s="17" t="b">
        <f t="shared" si="96"/>
        <v>0</v>
      </c>
      <c r="C392" s="17" t="b">
        <f t="shared" si="104"/>
        <v>0</v>
      </c>
      <c r="D392" s="17">
        <f t="shared" si="90"/>
        <v>1</v>
      </c>
      <c r="E392" s="17" t="str">
        <f t="shared" si="95"/>
        <v>Section 5 - Conclusion, And FREE Coupon For Next Course</v>
      </c>
      <c r="F392" s="18" t="str">
        <f t="shared" si="91"/>
        <v/>
      </c>
      <c r="G392" s="13" t="str">
        <f t="shared" si="97"/>
        <v/>
      </c>
      <c r="H392">
        <f t="shared" si="98"/>
        <v>0</v>
      </c>
      <c r="I392">
        <f t="shared" si="99"/>
        <v>0</v>
      </c>
      <c r="J392" s="13">
        <f t="shared" si="100"/>
        <v>85</v>
      </c>
      <c r="K392">
        <f t="shared" si="92"/>
        <v>1</v>
      </c>
      <c r="L392">
        <f t="shared" si="93"/>
        <v>25</v>
      </c>
      <c r="M392" s="13">
        <f t="shared" si="101"/>
        <v>1</v>
      </c>
      <c r="N392">
        <f t="shared" si="101"/>
        <v>24</v>
      </c>
      <c r="O392" s="14">
        <f t="shared" si="89"/>
        <v>84</v>
      </c>
      <c r="P392" s="13">
        <f t="shared" si="94"/>
        <v>1</v>
      </c>
      <c r="Q392">
        <f t="shared" si="102"/>
        <v>24</v>
      </c>
      <c r="R392" s="14">
        <f t="shared" si="103"/>
        <v>84</v>
      </c>
      <c r="S392" s="15"/>
      <c r="W392" s="14"/>
    </row>
    <row r="393" spans="1:23" hidden="1" x14ac:dyDescent="0.25">
      <c r="A393" s="16"/>
      <c r="B393" s="17" t="b">
        <f t="shared" si="96"/>
        <v>0</v>
      </c>
      <c r="C393" s="17" t="b">
        <f t="shared" si="104"/>
        <v>0</v>
      </c>
      <c r="D393" s="17">
        <f t="shared" si="90"/>
        <v>1</v>
      </c>
      <c r="E393" s="17" t="str">
        <f t="shared" si="95"/>
        <v>Section 5 - Conclusion, And FREE Coupon For Next Course</v>
      </c>
      <c r="F393" s="18" t="str">
        <f t="shared" si="91"/>
        <v/>
      </c>
      <c r="G393" s="13" t="str">
        <f t="shared" si="97"/>
        <v/>
      </c>
      <c r="H393">
        <f t="shared" si="98"/>
        <v>0</v>
      </c>
      <c r="I393">
        <f t="shared" si="99"/>
        <v>0</v>
      </c>
      <c r="J393" s="13">
        <f t="shared" si="100"/>
        <v>85</v>
      </c>
      <c r="K393">
        <f t="shared" si="92"/>
        <v>1</v>
      </c>
      <c r="L393">
        <f t="shared" si="93"/>
        <v>25</v>
      </c>
      <c r="M393" s="13">
        <f t="shared" si="101"/>
        <v>1</v>
      </c>
      <c r="N393">
        <f t="shared" si="101"/>
        <v>24</v>
      </c>
      <c r="O393" s="14">
        <f t="shared" si="89"/>
        <v>84</v>
      </c>
      <c r="P393" s="13">
        <f t="shared" si="94"/>
        <v>1</v>
      </c>
      <c r="Q393">
        <f t="shared" si="102"/>
        <v>24</v>
      </c>
      <c r="R393" s="14">
        <f t="shared" si="103"/>
        <v>84</v>
      </c>
      <c r="S393" s="15"/>
      <c r="W393" s="14"/>
    </row>
    <row r="394" spans="1:23" hidden="1" x14ac:dyDescent="0.25">
      <c r="A394" s="16"/>
      <c r="B394" s="17" t="b">
        <f t="shared" si="96"/>
        <v>0</v>
      </c>
      <c r="C394" s="17" t="b">
        <f t="shared" si="104"/>
        <v>0</v>
      </c>
      <c r="D394" s="17">
        <f t="shared" si="90"/>
        <v>1</v>
      </c>
      <c r="E394" s="17" t="str">
        <f t="shared" si="95"/>
        <v>Section 5 - Conclusion, And FREE Coupon For Next Course</v>
      </c>
      <c r="F394" s="18" t="str">
        <f t="shared" si="91"/>
        <v/>
      </c>
      <c r="G394" s="13" t="str">
        <f t="shared" si="97"/>
        <v/>
      </c>
      <c r="H394">
        <f t="shared" si="98"/>
        <v>0</v>
      </c>
      <c r="I394">
        <f t="shared" si="99"/>
        <v>0</v>
      </c>
      <c r="J394" s="13">
        <f t="shared" si="100"/>
        <v>85</v>
      </c>
      <c r="K394">
        <f t="shared" si="92"/>
        <v>1</v>
      </c>
      <c r="L394">
        <f t="shared" si="93"/>
        <v>25</v>
      </c>
      <c r="M394" s="13">
        <f t="shared" si="101"/>
        <v>1</v>
      </c>
      <c r="N394">
        <f t="shared" si="101"/>
        <v>24</v>
      </c>
      <c r="O394" s="14">
        <f t="shared" ref="O394:O457" si="105">((M394*60)+N394)</f>
        <v>84</v>
      </c>
      <c r="P394" s="13">
        <f t="shared" si="94"/>
        <v>1</v>
      </c>
      <c r="Q394">
        <f t="shared" si="102"/>
        <v>24</v>
      </c>
      <c r="R394" s="14">
        <f t="shared" si="103"/>
        <v>84</v>
      </c>
      <c r="S394" s="15"/>
      <c r="W394" s="14"/>
    </row>
    <row r="395" spans="1:23" hidden="1" x14ac:dyDescent="0.25">
      <c r="A395" s="16"/>
      <c r="B395" s="17" t="b">
        <f t="shared" si="96"/>
        <v>0</v>
      </c>
      <c r="C395" s="17" t="b">
        <f t="shared" si="104"/>
        <v>0</v>
      </c>
      <c r="D395" s="17">
        <f t="shared" ref="D395:D458" si="106">IF(B395,0,IF(C395,D394+1,D394))</f>
        <v>1</v>
      </c>
      <c r="E395" s="17" t="str">
        <f t="shared" si="95"/>
        <v>Section 5 - Conclusion, And FREE Coupon For Next Course</v>
      </c>
      <c r="F395" s="18" t="str">
        <f t="shared" ref="F395:F458" si="107">IF(C395,A395,"")</f>
        <v/>
      </c>
      <c r="G395" s="13" t="str">
        <f t="shared" si="97"/>
        <v/>
      </c>
      <c r="H395">
        <f t="shared" si="98"/>
        <v>0</v>
      </c>
      <c r="I395">
        <f t="shared" si="99"/>
        <v>0</v>
      </c>
      <c r="J395" s="13">
        <f t="shared" si="100"/>
        <v>85</v>
      </c>
      <c r="K395">
        <f t="shared" ref="K395:K458" si="108">INT(J395/60)</f>
        <v>1</v>
      </c>
      <c r="L395">
        <f t="shared" ref="L395:L458" si="109">INT(J395-(K395*60))</f>
        <v>25</v>
      </c>
      <c r="M395" s="13">
        <f t="shared" si="101"/>
        <v>1</v>
      </c>
      <c r="N395">
        <f t="shared" si="101"/>
        <v>24</v>
      </c>
      <c r="O395" s="14">
        <f t="shared" si="105"/>
        <v>84</v>
      </c>
      <c r="P395" s="13">
        <f t="shared" ref="P395:P458" si="110">INT(R395/60)</f>
        <v>1</v>
      </c>
      <c r="Q395">
        <f t="shared" si="102"/>
        <v>24</v>
      </c>
      <c r="R395" s="14">
        <f t="shared" si="103"/>
        <v>84</v>
      </c>
      <c r="S395" s="15"/>
      <c r="W395" s="14"/>
    </row>
    <row r="396" spans="1:23" hidden="1" x14ac:dyDescent="0.25">
      <c r="A396" s="16"/>
      <c r="B396" s="17" t="b">
        <f t="shared" si="96"/>
        <v>0</v>
      </c>
      <c r="C396" s="17" t="b">
        <f t="shared" si="104"/>
        <v>0</v>
      </c>
      <c r="D396" s="17">
        <f t="shared" si="106"/>
        <v>1</v>
      </c>
      <c r="E396" s="17" t="str">
        <f t="shared" ref="E396:E459" si="111">SUBSTITUTE(IF(B396,A396,E395),":", " -")</f>
        <v>Section 5 - Conclusion, And FREE Coupon For Next Course</v>
      </c>
      <c r="F396" s="18" t="str">
        <f t="shared" si="107"/>
        <v/>
      </c>
      <c r="G396" s="13" t="str">
        <f t="shared" si="97"/>
        <v/>
      </c>
      <c r="H396">
        <f t="shared" si="98"/>
        <v>0</v>
      </c>
      <c r="I396">
        <f t="shared" si="99"/>
        <v>0</v>
      </c>
      <c r="J396" s="13">
        <f t="shared" si="100"/>
        <v>85</v>
      </c>
      <c r="K396">
        <f t="shared" si="108"/>
        <v>1</v>
      </c>
      <c r="L396">
        <f t="shared" si="109"/>
        <v>25</v>
      </c>
      <c r="M396" s="13">
        <f t="shared" si="101"/>
        <v>1</v>
      </c>
      <c r="N396">
        <f t="shared" si="101"/>
        <v>24</v>
      </c>
      <c r="O396" s="14">
        <f t="shared" si="105"/>
        <v>84</v>
      </c>
      <c r="P396" s="13">
        <f t="shared" si="110"/>
        <v>1</v>
      </c>
      <c r="Q396">
        <f t="shared" si="102"/>
        <v>24</v>
      </c>
      <c r="R396" s="14">
        <f t="shared" si="103"/>
        <v>84</v>
      </c>
      <c r="S396" s="15"/>
      <c r="W396" s="14"/>
    </row>
    <row r="397" spans="1:23" hidden="1" x14ac:dyDescent="0.25">
      <c r="A397" s="16"/>
      <c r="B397" s="17" t="b">
        <f t="shared" si="96"/>
        <v>0</v>
      </c>
      <c r="C397" s="17" t="b">
        <f t="shared" si="104"/>
        <v>0</v>
      </c>
      <c r="D397" s="17">
        <f t="shared" si="106"/>
        <v>1</v>
      </c>
      <c r="E397" s="17" t="str">
        <f t="shared" si="111"/>
        <v>Section 5 - Conclusion, And FREE Coupon For Next Course</v>
      </c>
      <c r="F397" s="18" t="str">
        <f t="shared" si="107"/>
        <v/>
      </c>
      <c r="G397" s="13" t="str">
        <f t="shared" si="97"/>
        <v/>
      </c>
      <c r="H397">
        <f t="shared" si="98"/>
        <v>0</v>
      </c>
      <c r="I397">
        <f t="shared" si="99"/>
        <v>0</v>
      </c>
      <c r="J397" s="13">
        <f t="shared" si="100"/>
        <v>85</v>
      </c>
      <c r="K397">
        <f t="shared" si="108"/>
        <v>1</v>
      </c>
      <c r="L397">
        <f t="shared" si="109"/>
        <v>25</v>
      </c>
      <c r="M397" s="13">
        <f t="shared" si="101"/>
        <v>1</v>
      </c>
      <c r="N397">
        <f t="shared" si="101"/>
        <v>24</v>
      </c>
      <c r="O397" s="14">
        <f t="shared" si="105"/>
        <v>84</v>
      </c>
      <c r="P397" s="13">
        <f t="shared" si="110"/>
        <v>1</v>
      </c>
      <c r="Q397">
        <f t="shared" si="102"/>
        <v>24</v>
      </c>
      <c r="R397" s="14">
        <f t="shared" si="103"/>
        <v>84</v>
      </c>
      <c r="S397" s="15"/>
      <c r="W397" s="14"/>
    </row>
    <row r="398" spans="1:23" hidden="1" x14ac:dyDescent="0.25">
      <c r="A398" s="16"/>
      <c r="B398" s="17" t="b">
        <f t="shared" si="96"/>
        <v>0</v>
      </c>
      <c r="C398" s="17" t="b">
        <f t="shared" si="104"/>
        <v>0</v>
      </c>
      <c r="D398" s="17">
        <f t="shared" si="106"/>
        <v>1</v>
      </c>
      <c r="E398" s="17" t="str">
        <f t="shared" si="111"/>
        <v>Section 5 - Conclusion, And FREE Coupon For Next Course</v>
      </c>
      <c r="F398" s="18" t="str">
        <f t="shared" si="107"/>
        <v/>
      </c>
      <c r="G398" s="13" t="str">
        <f t="shared" si="97"/>
        <v/>
      </c>
      <c r="H398">
        <f t="shared" si="98"/>
        <v>0</v>
      </c>
      <c r="I398">
        <f t="shared" si="99"/>
        <v>0</v>
      </c>
      <c r="J398" s="13">
        <f t="shared" si="100"/>
        <v>85</v>
      </c>
      <c r="K398">
        <f t="shared" si="108"/>
        <v>1</v>
      </c>
      <c r="L398">
        <f t="shared" si="109"/>
        <v>25</v>
      </c>
      <c r="M398" s="13">
        <f t="shared" si="101"/>
        <v>1</v>
      </c>
      <c r="N398">
        <f t="shared" si="101"/>
        <v>24</v>
      </c>
      <c r="O398" s="14">
        <f t="shared" si="105"/>
        <v>84</v>
      </c>
      <c r="P398" s="13">
        <f t="shared" si="110"/>
        <v>1</v>
      </c>
      <c r="Q398">
        <f t="shared" si="102"/>
        <v>24</v>
      </c>
      <c r="R398" s="14">
        <f t="shared" si="103"/>
        <v>84</v>
      </c>
      <c r="S398" s="15"/>
      <c r="W398" s="14"/>
    </row>
    <row r="399" spans="1:23" hidden="1" x14ac:dyDescent="0.25">
      <c r="A399" s="16"/>
      <c r="B399" s="17" t="b">
        <f t="shared" si="96"/>
        <v>0</v>
      </c>
      <c r="C399" s="17" t="b">
        <f t="shared" si="104"/>
        <v>0</v>
      </c>
      <c r="D399" s="17">
        <f t="shared" si="106"/>
        <v>1</v>
      </c>
      <c r="E399" s="17" t="str">
        <f t="shared" si="111"/>
        <v>Section 5 - Conclusion, And FREE Coupon For Next Course</v>
      </c>
      <c r="F399" s="18" t="str">
        <f t="shared" si="107"/>
        <v/>
      </c>
      <c r="G399" s="13" t="str">
        <f t="shared" si="97"/>
        <v/>
      </c>
      <c r="H399">
        <f t="shared" si="98"/>
        <v>0</v>
      </c>
      <c r="I399">
        <f t="shared" si="99"/>
        <v>0</v>
      </c>
      <c r="J399" s="13">
        <f t="shared" si="100"/>
        <v>85</v>
      </c>
      <c r="K399">
        <f t="shared" si="108"/>
        <v>1</v>
      </c>
      <c r="L399">
        <f t="shared" si="109"/>
        <v>25</v>
      </c>
      <c r="M399" s="13">
        <f t="shared" si="101"/>
        <v>1</v>
      </c>
      <c r="N399">
        <f t="shared" si="101"/>
        <v>24</v>
      </c>
      <c r="O399" s="14">
        <f t="shared" si="105"/>
        <v>84</v>
      </c>
      <c r="P399" s="13">
        <f t="shared" si="110"/>
        <v>1</v>
      </c>
      <c r="Q399">
        <f t="shared" si="102"/>
        <v>24</v>
      </c>
      <c r="R399" s="14">
        <f t="shared" si="103"/>
        <v>84</v>
      </c>
      <c r="S399" s="15"/>
      <c r="W399" s="14"/>
    </row>
    <row r="400" spans="1:23" hidden="1" x14ac:dyDescent="0.25">
      <c r="A400" s="16"/>
      <c r="B400" s="17" t="b">
        <f t="shared" si="96"/>
        <v>0</v>
      </c>
      <c r="C400" s="17" t="b">
        <f t="shared" si="104"/>
        <v>0</v>
      </c>
      <c r="D400" s="17">
        <f t="shared" si="106"/>
        <v>1</v>
      </c>
      <c r="E400" s="17" t="str">
        <f t="shared" si="111"/>
        <v>Section 5 - Conclusion, And FREE Coupon For Next Course</v>
      </c>
      <c r="F400" s="18" t="str">
        <f t="shared" si="107"/>
        <v/>
      </c>
      <c r="G400" s="13" t="str">
        <f t="shared" si="97"/>
        <v/>
      </c>
      <c r="H400">
        <f t="shared" si="98"/>
        <v>0</v>
      </c>
      <c r="I400">
        <f t="shared" si="99"/>
        <v>0</v>
      </c>
      <c r="J400" s="13">
        <f t="shared" si="100"/>
        <v>85</v>
      </c>
      <c r="K400">
        <f t="shared" si="108"/>
        <v>1</v>
      </c>
      <c r="L400">
        <f t="shared" si="109"/>
        <v>25</v>
      </c>
      <c r="M400" s="13">
        <f t="shared" si="101"/>
        <v>1</v>
      </c>
      <c r="N400">
        <f t="shared" si="101"/>
        <v>24</v>
      </c>
      <c r="O400" s="14">
        <f t="shared" si="105"/>
        <v>84</v>
      </c>
      <c r="P400" s="13">
        <f t="shared" si="110"/>
        <v>1</v>
      </c>
      <c r="Q400">
        <f t="shared" si="102"/>
        <v>24</v>
      </c>
      <c r="R400" s="14">
        <f t="shared" si="103"/>
        <v>84</v>
      </c>
      <c r="S400" s="15"/>
      <c r="W400" s="14"/>
    </row>
    <row r="401" spans="1:23" hidden="1" x14ac:dyDescent="0.25">
      <c r="A401" s="16"/>
      <c r="B401" s="17" t="b">
        <f t="shared" si="96"/>
        <v>0</v>
      </c>
      <c r="C401" s="17" t="b">
        <f t="shared" si="104"/>
        <v>0</v>
      </c>
      <c r="D401" s="17">
        <f t="shared" si="106"/>
        <v>1</v>
      </c>
      <c r="E401" s="17" t="str">
        <f t="shared" si="111"/>
        <v>Section 5 - Conclusion, And FREE Coupon For Next Course</v>
      </c>
      <c r="F401" s="18" t="str">
        <f t="shared" si="107"/>
        <v/>
      </c>
      <c r="G401" s="13" t="str">
        <f t="shared" si="97"/>
        <v/>
      </c>
      <c r="H401">
        <f t="shared" si="98"/>
        <v>0</v>
      </c>
      <c r="I401">
        <f t="shared" si="99"/>
        <v>0</v>
      </c>
      <c r="J401" s="13">
        <f t="shared" si="100"/>
        <v>85</v>
      </c>
      <c r="K401">
        <f t="shared" si="108"/>
        <v>1</v>
      </c>
      <c r="L401">
        <f t="shared" si="109"/>
        <v>25</v>
      </c>
      <c r="M401" s="13">
        <f t="shared" si="101"/>
        <v>1</v>
      </c>
      <c r="N401">
        <f t="shared" si="101"/>
        <v>24</v>
      </c>
      <c r="O401" s="14">
        <f t="shared" si="105"/>
        <v>84</v>
      </c>
      <c r="P401" s="13">
        <f t="shared" si="110"/>
        <v>1</v>
      </c>
      <c r="Q401">
        <f t="shared" si="102"/>
        <v>24</v>
      </c>
      <c r="R401" s="14">
        <f t="shared" si="103"/>
        <v>84</v>
      </c>
      <c r="S401" s="15"/>
      <c r="W401" s="14"/>
    </row>
    <row r="402" spans="1:23" hidden="1" x14ac:dyDescent="0.25">
      <c r="A402" s="16"/>
      <c r="B402" s="17" t="b">
        <f t="shared" ref="B402:B465" si="112">AND(NOT(ISERROR(FIND("Section ",A402))),NOT(ISERROR(FIND("Section ",A402))))</f>
        <v>0</v>
      </c>
      <c r="C402" s="17" t="b">
        <f t="shared" si="104"/>
        <v>0</v>
      </c>
      <c r="D402" s="17">
        <f t="shared" si="106"/>
        <v>1</v>
      </c>
      <c r="E402" s="17" t="str">
        <f t="shared" si="111"/>
        <v>Section 5 - Conclusion, And FREE Coupon For Next Course</v>
      </c>
      <c r="F402" s="18" t="str">
        <f t="shared" si="107"/>
        <v/>
      </c>
      <c r="G402" s="13" t="str">
        <f t="shared" si="97"/>
        <v/>
      </c>
      <c r="H402">
        <f t="shared" si="98"/>
        <v>0</v>
      </c>
      <c r="I402">
        <f t="shared" si="99"/>
        <v>0</v>
      </c>
      <c r="J402" s="13">
        <f t="shared" si="100"/>
        <v>85</v>
      </c>
      <c r="K402">
        <f t="shared" si="108"/>
        <v>1</v>
      </c>
      <c r="L402">
        <f t="shared" si="109"/>
        <v>25</v>
      </c>
      <c r="M402" s="13">
        <f t="shared" si="101"/>
        <v>1</v>
      </c>
      <c r="N402">
        <f t="shared" si="101"/>
        <v>24</v>
      </c>
      <c r="O402" s="14">
        <f t="shared" si="105"/>
        <v>84</v>
      </c>
      <c r="P402" s="13">
        <f t="shared" si="110"/>
        <v>1</v>
      </c>
      <c r="Q402">
        <f t="shared" si="102"/>
        <v>24</v>
      </c>
      <c r="R402" s="14">
        <f t="shared" si="103"/>
        <v>84</v>
      </c>
      <c r="S402" s="15"/>
      <c r="W402" s="14"/>
    </row>
    <row r="403" spans="1:23" hidden="1" x14ac:dyDescent="0.25">
      <c r="A403" s="16"/>
      <c r="B403" s="17" t="b">
        <f t="shared" si="112"/>
        <v>0</v>
      </c>
      <c r="C403" s="17" t="b">
        <f t="shared" si="104"/>
        <v>0</v>
      </c>
      <c r="D403" s="17">
        <f t="shared" si="106"/>
        <v>1</v>
      </c>
      <c r="E403" s="17" t="str">
        <f t="shared" si="111"/>
        <v>Section 5 - Conclusion, And FREE Coupon For Next Course</v>
      </c>
      <c r="F403" s="18" t="str">
        <f t="shared" si="107"/>
        <v/>
      </c>
      <c r="G403" s="13" t="str">
        <f t="shared" si="97"/>
        <v/>
      </c>
      <c r="H403">
        <f t="shared" si="98"/>
        <v>0</v>
      </c>
      <c r="I403">
        <f t="shared" si="99"/>
        <v>0</v>
      </c>
      <c r="J403" s="13">
        <f t="shared" si="100"/>
        <v>85</v>
      </c>
      <c r="K403">
        <f t="shared" si="108"/>
        <v>1</v>
      </c>
      <c r="L403">
        <f t="shared" si="109"/>
        <v>25</v>
      </c>
      <c r="M403" s="13">
        <f t="shared" si="101"/>
        <v>1</v>
      </c>
      <c r="N403">
        <f t="shared" si="101"/>
        <v>24</v>
      </c>
      <c r="O403" s="14">
        <f t="shared" si="105"/>
        <v>84</v>
      </c>
      <c r="P403" s="13">
        <f t="shared" si="110"/>
        <v>1</v>
      </c>
      <c r="Q403">
        <f t="shared" si="102"/>
        <v>24</v>
      </c>
      <c r="R403" s="14">
        <f t="shared" si="103"/>
        <v>84</v>
      </c>
      <c r="S403" s="15"/>
      <c r="W403" s="14"/>
    </row>
    <row r="404" spans="1:23" hidden="1" x14ac:dyDescent="0.25">
      <c r="A404" s="16"/>
      <c r="B404" s="17" t="b">
        <f t="shared" si="112"/>
        <v>0</v>
      </c>
      <c r="C404" s="17" t="b">
        <f t="shared" si="104"/>
        <v>0</v>
      </c>
      <c r="D404" s="17">
        <f t="shared" si="106"/>
        <v>1</v>
      </c>
      <c r="E404" s="17" t="str">
        <f t="shared" si="111"/>
        <v>Section 5 - Conclusion, And FREE Coupon For Next Course</v>
      </c>
      <c r="F404" s="18" t="str">
        <f t="shared" si="107"/>
        <v/>
      </c>
      <c r="G404" s="13" t="str">
        <f t="shared" si="97"/>
        <v/>
      </c>
      <c r="H404">
        <f t="shared" si="98"/>
        <v>0</v>
      </c>
      <c r="I404">
        <f t="shared" si="99"/>
        <v>0</v>
      </c>
      <c r="J404" s="13">
        <f t="shared" si="100"/>
        <v>85</v>
      </c>
      <c r="K404">
        <f t="shared" si="108"/>
        <v>1</v>
      </c>
      <c r="L404">
        <f t="shared" si="109"/>
        <v>25</v>
      </c>
      <c r="M404" s="13">
        <f t="shared" si="101"/>
        <v>1</v>
      </c>
      <c r="N404">
        <f t="shared" si="101"/>
        <v>24</v>
      </c>
      <c r="O404" s="14">
        <f t="shared" si="105"/>
        <v>84</v>
      </c>
      <c r="P404" s="13">
        <f t="shared" si="110"/>
        <v>1</v>
      </c>
      <c r="Q404">
        <f t="shared" si="102"/>
        <v>24</v>
      </c>
      <c r="R404" s="14">
        <f t="shared" si="103"/>
        <v>84</v>
      </c>
      <c r="S404" s="15"/>
      <c r="W404" s="14"/>
    </row>
    <row r="405" spans="1:23" hidden="1" x14ac:dyDescent="0.25">
      <c r="A405" s="16"/>
      <c r="B405" s="17" t="b">
        <f t="shared" si="112"/>
        <v>0</v>
      </c>
      <c r="C405" s="17" t="b">
        <f t="shared" si="104"/>
        <v>0</v>
      </c>
      <c r="D405" s="17">
        <f t="shared" si="106"/>
        <v>1</v>
      </c>
      <c r="E405" s="17" t="str">
        <f t="shared" si="111"/>
        <v>Section 5 - Conclusion, And FREE Coupon For Next Course</v>
      </c>
      <c r="F405" s="18" t="str">
        <f t="shared" si="107"/>
        <v/>
      </c>
      <c r="G405" s="13" t="str">
        <f t="shared" ref="G405:G468" si="113">IF(C405,A406,"")</f>
        <v/>
      </c>
      <c r="H405">
        <f t="shared" ref="H405:H468" si="114">VALUE(IF(NOT(ISERROR(FIND("hr",G405))),LEFT(G405,FIND("hr",G405)-1),0))</f>
        <v>0</v>
      </c>
      <c r="I405">
        <f t="shared" ref="I405:I468" si="115">VALUE(IF(ISERROR(FIND("min",G405)),0,SUBSTITUTE(MID(G405,IF(ISERROR(FIND("hr ",G405)),1,FIND("hr ",G405)+3),LEN(G405)),"min","")))</f>
        <v>0</v>
      </c>
      <c r="J405" s="13">
        <f t="shared" ref="J405:J468" si="116">J404+(H405*60+I405)</f>
        <v>85</v>
      </c>
      <c r="K405">
        <f t="shared" si="108"/>
        <v>1</v>
      </c>
      <c r="L405">
        <f t="shared" si="109"/>
        <v>25</v>
      </c>
      <c r="M405" s="13">
        <f t="shared" ref="M405:N468" si="117">P404</f>
        <v>1</v>
      </c>
      <c r="N405">
        <f t="shared" si="117"/>
        <v>24</v>
      </c>
      <c r="O405" s="14">
        <f t="shared" si="105"/>
        <v>84</v>
      </c>
      <c r="P405" s="13">
        <f t="shared" si="110"/>
        <v>1</v>
      </c>
      <c r="Q405">
        <f t="shared" ref="Q405:Q468" si="118">R405-(P405*60)</f>
        <v>24</v>
      </c>
      <c r="R405" s="14">
        <f t="shared" ref="R405:R468" si="119">((H405*60)+I405)+O405</f>
        <v>84</v>
      </c>
      <c r="S405" s="15"/>
      <c r="W405" s="14"/>
    </row>
    <row r="406" spans="1:23" hidden="1" x14ac:dyDescent="0.25">
      <c r="A406" s="16"/>
      <c r="B406" s="17" t="b">
        <f t="shared" si="112"/>
        <v>0</v>
      </c>
      <c r="C406" s="17" t="b">
        <f t="shared" si="104"/>
        <v>0</v>
      </c>
      <c r="D406" s="17">
        <f t="shared" si="106"/>
        <v>1</v>
      </c>
      <c r="E406" s="17" t="str">
        <f t="shared" si="111"/>
        <v>Section 5 - Conclusion, And FREE Coupon For Next Course</v>
      </c>
      <c r="F406" s="18" t="str">
        <f t="shared" si="107"/>
        <v/>
      </c>
      <c r="G406" s="13" t="str">
        <f t="shared" si="113"/>
        <v/>
      </c>
      <c r="H406">
        <f t="shared" si="114"/>
        <v>0</v>
      </c>
      <c r="I406">
        <f t="shared" si="115"/>
        <v>0</v>
      </c>
      <c r="J406" s="13">
        <f t="shared" si="116"/>
        <v>85</v>
      </c>
      <c r="K406">
        <f t="shared" si="108"/>
        <v>1</v>
      </c>
      <c r="L406">
        <f t="shared" si="109"/>
        <v>25</v>
      </c>
      <c r="M406" s="13">
        <f t="shared" si="117"/>
        <v>1</v>
      </c>
      <c r="N406">
        <f t="shared" si="117"/>
        <v>24</v>
      </c>
      <c r="O406" s="14">
        <f t="shared" si="105"/>
        <v>84</v>
      </c>
      <c r="P406" s="13">
        <f t="shared" si="110"/>
        <v>1</v>
      </c>
      <c r="Q406">
        <f t="shared" si="118"/>
        <v>24</v>
      </c>
      <c r="R406" s="14">
        <f t="shared" si="119"/>
        <v>84</v>
      </c>
      <c r="S406" s="15"/>
      <c r="W406" s="14"/>
    </row>
    <row r="407" spans="1:23" hidden="1" x14ac:dyDescent="0.25">
      <c r="A407" s="16"/>
      <c r="B407" s="17" t="b">
        <f t="shared" si="112"/>
        <v>0</v>
      </c>
      <c r="C407" s="17" t="b">
        <f t="shared" si="104"/>
        <v>0</v>
      </c>
      <c r="D407" s="17">
        <f t="shared" si="106"/>
        <v>1</v>
      </c>
      <c r="E407" s="17" t="str">
        <f t="shared" si="111"/>
        <v>Section 5 - Conclusion, And FREE Coupon For Next Course</v>
      </c>
      <c r="F407" s="18" t="str">
        <f t="shared" si="107"/>
        <v/>
      </c>
      <c r="G407" s="13" t="str">
        <f t="shared" si="113"/>
        <v/>
      </c>
      <c r="H407">
        <f t="shared" si="114"/>
        <v>0</v>
      </c>
      <c r="I407">
        <f t="shared" si="115"/>
        <v>0</v>
      </c>
      <c r="J407" s="13">
        <f t="shared" si="116"/>
        <v>85</v>
      </c>
      <c r="K407">
        <f t="shared" si="108"/>
        <v>1</v>
      </c>
      <c r="L407">
        <f t="shared" si="109"/>
        <v>25</v>
      </c>
      <c r="M407" s="13">
        <f t="shared" si="117"/>
        <v>1</v>
      </c>
      <c r="N407">
        <f t="shared" si="117"/>
        <v>24</v>
      </c>
      <c r="O407" s="14">
        <f t="shared" si="105"/>
        <v>84</v>
      </c>
      <c r="P407" s="13">
        <f t="shared" si="110"/>
        <v>1</v>
      </c>
      <c r="Q407">
        <f t="shared" si="118"/>
        <v>24</v>
      </c>
      <c r="R407" s="14">
        <f t="shared" si="119"/>
        <v>84</v>
      </c>
      <c r="S407" s="15"/>
      <c r="W407" s="14"/>
    </row>
    <row r="408" spans="1:23" hidden="1" x14ac:dyDescent="0.25">
      <c r="A408" s="16"/>
      <c r="B408" s="17" t="b">
        <f t="shared" si="112"/>
        <v>0</v>
      </c>
      <c r="C408" s="17" t="b">
        <f t="shared" si="104"/>
        <v>0</v>
      </c>
      <c r="D408" s="17">
        <f t="shared" si="106"/>
        <v>1</v>
      </c>
      <c r="E408" s="17" t="str">
        <f t="shared" si="111"/>
        <v>Section 5 - Conclusion, And FREE Coupon For Next Course</v>
      </c>
      <c r="F408" s="18" t="str">
        <f t="shared" si="107"/>
        <v/>
      </c>
      <c r="G408" s="13" t="str">
        <f t="shared" si="113"/>
        <v/>
      </c>
      <c r="H408">
        <f t="shared" si="114"/>
        <v>0</v>
      </c>
      <c r="I408">
        <f t="shared" si="115"/>
        <v>0</v>
      </c>
      <c r="J408" s="13">
        <f t="shared" si="116"/>
        <v>85</v>
      </c>
      <c r="K408">
        <f t="shared" si="108"/>
        <v>1</v>
      </c>
      <c r="L408">
        <f t="shared" si="109"/>
        <v>25</v>
      </c>
      <c r="M408" s="13">
        <f t="shared" si="117"/>
        <v>1</v>
      </c>
      <c r="N408">
        <f t="shared" si="117"/>
        <v>24</v>
      </c>
      <c r="O408" s="14">
        <f t="shared" si="105"/>
        <v>84</v>
      </c>
      <c r="P408" s="13">
        <f t="shared" si="110"/>
        <v>1</v>
      </c>
      <c r="Q408">
        <f t="shared" si="118"/>
        <v>24</v>
      </c>
      <c r="R408" s="14">
        <f t="shared" si="119"/>
        <v>84</v>
      </c>
      <c r="S408" s="15"/>
      <c r="W408" s="14"/>
    </row>
    <row r="409" spans="1:23" hidden="1" x14ac:dyDescent="0.25">
      <c r="A409" s="16"/>
      <c r="B409" s="17" t="b">
        <f t="shared" si="112"/>
        <v>0</v>
      </c>
      <c r="C409" s="17" t="b">
        <f t="shared" si="104"/>
        <v>0</v>
      </c>
      <c r="D409" s="17">
        <f t="shared" si="106"/>
        <v>1</v>
      </c>
      <c r="E409" s="17" t="str">
        <f t="shared" si="111"/>
        <v>Section 5 - Conclusion, And FREE Coupon For Next Course</v>
      </c>
      <c r="F409" s="18" t="str">
        <f t="shared" si="107"/>
        <v/>
      </c>
      <c r="G409" s="13" t="str">
        <f t="shared" si="113"/>
        <v/>
      </c>
      <c r="H409">
        <f t="shared" si="114"/>
        <v>0</v>
      </c>
      <c r="I409">
        <f t="shared" si="115"/>
        <v>0</v>
      </c>
      <c r="J409" s="13">
        <f t="shared" si="116"/>
        <v>85</v>
      </c>
      <c r="K409">
        <f t="shared" si="108"/>
        <v>1</v>
      </c>
      <c r="L409">
        <f t="shared" si="109"/>
        <v>25</v>
      </c>
      <c r="M409" s="13">
        <f t="shared" si="117"/>
        <v>1</v>
      </c>
      <c r="N409">
        <f t="shared" si="117"/>
        <v>24</v>
      </c>
      <c r="O409" s="14">
        <f t="shared" si="105"/>
        <v>84</v>
      </c>
      <c r="P409" s="13">
        <f t="shared" si="110"/>
        <v>1</v>
      </c>
      <c r="Q409">
        <f t="shared" si="118"/>
        <v>24</v>
      </c>
      <c r="R409" s="14">
        <f t="shared" si="119"/>
        <v>84</v>
      </c>
      <c r="S409" s="15"/>
      <c r="W409" s="14"/>
    </row>
    <row r="410" spans="1:23" hidden="1" x14ac:dyDescent="0.25">
      <c r="A410" s="16"/>
      <c r="B410" s="17" t="b">
        <f t="shared" si="112"/>
        <v>0</v>
      </c>
      <c r="C410" s="17" t="b">
        <f t="shared" si="104"/>
        <v>0</v>
      </c>
      <c r="D410" s="17">
        <f t="shared" si="106"/>
        <v>1</v>
      </c>
      <c r="E410" s="17" t="str">
        <f t="shared" si="111"/>
        <v>Section 5 - Conclusion, And FREE Coupon For Next Course</v>
      </c>
      <c r="F410" s="18" t="str">
        <f t="shared" si="107"/>
        <v/>
      </c>
      <c r="G410" s="13" t="str">
        <f t="shared" si="113"/>
        <v/>
      </c>
      <c r="H410">
        <f t="shared" si="114"/>
        <v>0</v>
      </c>
      <c r="I410">
        <f t="shared" si="115"/>
        <v>0</v>
      </c>
      <c r="J410" s="13">
        <f t="shared" si="116"/>
        <v>85</v>
      </c>
      <c r="K410">
        <f t="shared" si="108"/>
        <v>1</v>
      </c>
      <c r="L410">
        <f t="shared" si="109"/>
        <v>25</v>
      </c>
      <c r="M410" s="13">
        <f t="shared" si="117"/>
        <v>1</v>
      </c>
      <c r="N410">
        <f t="shared" si="117"/>
        <v>24</v>
      </c>
      <c r="O410" s="14">
        <f t="shared" si="105"/>
        <v>84</v>
      </c>
      <c r="P410" s="13">
        <f t="shared" si="110"/>
        <v>1</v>
      </c>
      <c r="Q410">
        <f t="shared" si="118"/>
        <v>24</v>
      </c>
      <c r="R410" s="14">
        <f t="shared" si="119"/>
        <v>84</v>
      </c>
      <c r="S410" s="15"/>
      <c r="W410" s="14"/>
    </row>
    <row r="411" spans="1:23" hidden="1" x14ac:dyDescent="0.25">
      <c r="A411" s="16"/>
      <c r="B411" s="17" t="b">
        <f t="shared" si="112"/>
        <v>0</v>
      </c>
      <c r="C411" s="17" t="b">
        <f t="shared" si="104"/>
        <v>0</v>
      </c>
      <c r="D411" s="17">
        <f t="shared" si="106"/>
        <v>1</v>
      </c>
      <c r="E411" s="17" t="str">
        <f t="shared" si="111"/>
        <v>Section 5 - Conclusion, And FREE Coupon For Next Course</v>
      </c>
      <c r="F411" s="18" t="str">
        <f t="shared" si="107"/>
        <v/>
      </c>
      <c r="G411" s="13" t="str">
        <f t="shared" si="113"/>
        <v/>
      </c>
      <c r="H411">
        <f t="shared" si="114"/>
        <v>0</v>
      </c>
      <c r="I411">
        <f t="shared" si="115"/>
        <v>0</v>
      </c>
      <c r="J411" s="13">
        <f t="shared" si="116"/>
        <v>85</v>
      </c>
      <c r="K411">
        <f t="shared" si="108"/>
        <v>1</v>
      </c>
      <c r="L411">
        <f t="shared" si="109"/>
        <v>25</v>
      </c>
      <c r="M411" s="13">
        <f t="shared" si="117"/>
        <v>1</v>
      </c>
      <c r="N411">
        <f t="shared" si="117"/>
        <v>24</v>
      </c>
      <c r="O411" s="14">
        <f t="shared" si="105"/>
        <v>84</v>
      </c>
      <c r="P411" s="13">
        <f t="shared" si="110"/>
        <v>1</v>
      </c>
      <c r="Q411">
        <f t="shared" si="118"/>
        <v>24</v>
      </c>
      <c r="R411" s="14">
        <f t="shared" si="119"/>
        <v>84</v>
      </c>
      <c r="S411" s="15"/>
      <c r="W411" s="14"/>
    </row>
    <row r="412" spans="1:23" hidden="1" x14ac:dyDescent="0.25">
      <c r="A412" s="16"/>
      <c r="B412" s="17" t="b">
        <f t="shared" si="112"/>
        <v>0</v>
      </c>
      <c r="C412" s="17" t="b">
        <f t="shared" si="104"/>
        <v>0</v>
      </c>
      <c r="D412" s="17">
        <f t="shared" si="106"/>
        <v>1</v>
      </c>
      <c r="E412" s="17" t="str">
        <f t="shared" si="111"/>
        <v>Section 5 - Conclusion, And FREE Coupon For Next Course</v>
      </c>
      <c r="F412" s="18" t="str">
        <f t="shared" si="107"/>
        <v/>
      </c>
      <c r="G412" s="13" t="str">
        <f t="shared" si="113"/>
        <v/>
      </c>
      <c r="H412">
        <f t="shared" si="114"/>
        <v>0</v>
      </c>
      <c r="I412">
        <f t="shared" si="115"/>
        <v>0</v>
      </c>
      <c r="J412" s="13">
        <f t="shared" si="116"/>
        <v>85</v>
      </c>
      <c r="K412">
        <f t="shared" si="108"/>
        <v>1</v>
      </c>
      <c r="L412">
        <f t="shared" si="109"/>
        <v>25</v>
      </c>
      <c r="M412" s="13">
        <f t="shared" si="117"/>
        <v>1</v>
      </c>
      <c r="N412">
        <f t="shared" si="117"/>
        <v>24</v>
      </c>
      <c r="O412" s="14">
        <f t="shared" si="105"/>
        <v>84</v>
      </c>
      <c r="P412" s="13">
        <f t="shared" si="110"/>
        <v>1</v>
      </c>
      <c r="Q412">
        <f t="shared" si="118"/>
        <v>24</v>
      </c>
      <c r="R412" s="14">
        <f t="shared" si="119"/>
        <v>84</v>
      </c>
      <c r="S412" s="15"/>
      <c r="W412" s="14"/>
    </row>
    <row r="413" spans="1:23" hidden="1" x14ac:dyDescent="0.25">
      <c r="A413" s="16"/>
      <c r="B413" s="17" t="b">
        <f t="shared" si="112"/>
        <v>0</v>
      </c>
      <c r="C413" s="17" t="b">
        <f t="shared" si="104"/>
        <v>0</v>
      </c>
      <c r="D413" s="17">
        <f t="shared" si="106"/>
        <v>1</v>
      </c>
      <c r="E413" s="17" t="str">
        <f t="shared" si="111"/>
        <v>Section 5 - Conclusion, And FREE Coupon For Next Course</v>
      </c>
      <c r="F413" s="18" t="str">
        <f t="shared" si="107"/>
        <v/>
      </c>
      <c r="G413" s="13" t="str">
        <f t="shared" si="113"/>
        <v/>
      </c>
      <c r="H413">
        <f t="shared" si="114"/>
        <v>0</v>
      </c>
      <c r="I413">
        <f t="shared" si="115"/>
        <v>0</v>
      </c>
      <c r="J413" s="13">
        <f t="shared" si="116"/>
        <v>85</v>
      </c>
      <c r="K413">
        <f t="shared" si="108"/>
        <v>1</v>
      </c>
      <c r="L413">
        <f t="shared" si="109"/>
        <v>25</v>
      </c>
      <c r="M413" s="13">
        <f t="shared" si="117"/>
        <v>1</v>
      </c>
      <c r="N413">
        <f t="shared" si="117"/>
        <v>24</v>
      </c>
      <c r="O413" s="14">
        <f t="shared" si="105"/>
        <v>84</v>
      </c>
      <c r="P413" s="13">
        <f t="shared" si="110"/>
        <v>1</v>
      </c>
      <c r="Q413">
        <f t="shared" si="118"/>
        <v>24</v>
      </c>
      <c r="R413" s="14">
        <f t="shared" si="119"/>
        <v>84</v>
      </c>
      <c r="S413" s="15"/>
      <c r="W413" s="14"/>
    </row>
    <row r="414" spans="1:23" hidden="1" x14ac:dyDescent="0.25">
      <c r="A414" s="16"/>
      <c r="B414" s="17" t="b">
        <f t="shared" si="112"/>
        <v>0</v>
      </c>
      <c r="C414" s="17" t="b">
        <f t="shared" si="104"/>
        <v>0</v>
      </c>
      <c r="D414" s="17">
        <f t="shared" si="106"/>
        <v>1</v>
      </c>
      <c r="E414" s="17" t="str">
        <f t="shared" si="111"/>
        <v>Section 5 - Conclusion, And FREE Coupon For Next Course</v>
      </c>
      <c r="F414" s="18" t="str">
        <f t="shared" si="107"/>
        <v/>
      </c>
      <c r="G414" s="13" t="str">
        <f t="shared" si="113"/>
        <v/>
      </c>
      <c r="H414">
        <f t="shared" si="114"/>
        <v>0</v>
      </c>
      <c r="I414">
        <f t="shared" si="115"/>
        <v>0</v>
      </c>
      <c r="J414" s="13">
        <f t="shared" si="116"/>
        <v>85</v>
      </c>
      <c r="K414">
        <f t="shared" si="108"/>
        <v>1</v>
      </c>
      <c r="L414">
        <f t="shared" si="109"/>
        <v>25</v>
      </c>
      <c r="M414" s="13">
        <f t="shared" si="117"/>
        <v>1</v>
      </c>
      <c r="N414">
        <f t="shared" si="117"/>
        <v>24</v>
      </c>
      <c r="O414" s="14">
        <f t="shared" si="105"/>
        <v>84</v>
      </c>
      <c r="P414" s="13">
        <f t="shared" si="110"/>
        <v>1</v>
      </c>
      <c r="Q414">
        <f t="shared" si="118"/>
        <v>24</v>
      </c>
      <c r="R414" s="14">
        <f t="shared" si="119"/>
        <v>84</v>
      </c>
      <c r="S414" s="15"/>
      <c r="W414" s="14"/>
    </row>
    <row r="415" spans="1:23" hidden="1" x14ac:dyDescent="0.25">
      <c r="A415" s="16"/>
      <c r="B415" s="17" t="b">
        <f t="shared" si="112"/>
        <v>0</v>
      </c>
      <c r="C415" s="17" t="b">
        <f t="shared" si="104"/>
        <v>0</v>
      </c>
      <c r="D415" s="17">
        <f t="shared" si="106"/>
        <v>1</v>
      </c>
      <c r="E415" s="17" t="str">
        <f t="shared" si="111"/>
        <v>Section 5 - Conclusion, And FREE Coupon For Next Course</v>
      </c>
      <c r="F415" s="18" t="str">
        <f t="shared" si="107"/>
        <v/>
      </c>
      <c r="G415" s="13" t="str">
        <f t="shared" si="113"/>
        <v/>
      </c>
      <c r="H415">
        <f t="shared" si="114"/>
        <v>0</v>
      </c>
      <c r="I415">
        <f t="shared" si="115"/>
        <v>0</v>
      </c>
      <c r="J415" s="13">
        <f t="shared" si="116"/>
        <v>85</v>
      </c>
      <c r="K415">
        <f t="shared" si="108"/>
        <v>1</v>
      </c>
      <c r="L415">
        <f t="shared" si="109"/>
        <v>25</v>
      </c>
      <c r="M415" s="13">
        <f t="shared" si="117"/>
        <v>1</v>
      </c>
      <c r="N415">
        <f t="shared" si="117"/>
        <v>24</v>
      </c>
      <c r="O415" s="14">
        <f t="shared" si="105"/>
        <v>84</v>
      </c>
      <c r="P415" s="13">
        <f t="shared" si="110"/>
        <v>1</v>
      </c>
      <c r="Q415">
        <f t="shared" si="118"/>
        <v>24</v>
      </c>
      <c r="R415" s="14">
        <f t="shared" si="119"/>
        <v>84</v>
      </c>
      <c r="S415" s="15"/>
      <c r="W415" s="14"/>
    </row>
    <row r="416" spans="1:23" hidden="1" x14ac:dyDescent="0.25">
      <c r="A416" s="16"/>
      <c r="B416" s="17" t="b">
        <f t="shared" si="112"/>
        <v>0</v>
      </c>
      <c r="C416" s="17" t="b">
        <f t="shared" si="104"/>
        <v>0</v>
      </c>
      <c r="D416" s="17">
        <f t="shared" si="106"/>
        <v>1</v>
      </c>
      <c r="E416" s="17" t="str">
        <f t="shared" si="111"/>
        <v>Section 5 - Conclusion, And FREE Coupon For Next Course</v>
      </c>
      <c r="F416" s="18" t="str">
        <f t="shared" si="107"/>
        <v/>
      </c>
      <c r="G416" s="13" t="str">
        <f t="shared" si="113"/>
        <v/>
      </c>
      <c r="H416">
        <f t="shared" si="114"/>
        <v>0</v>
      </c>
      <c r="I416">
        <f t="shared" si="115"/>
        <v>0</v>
      </c>
      <c r="J416" s="13">
        <f t="shared" si="116"/>
        <v>85</v>
      </c>
      <c r="K416">
        <f t="shared" si="108"/>
        <v>1</v>
      </c>
      <c r="L416">
        <f t="shared" si="109"/>
        <v>25</v>
      </c>
      <c r="M416" s="13">
        <f t="shared" si="117"/>
        <v>1</v>
      </c>
      <c r="N416">
        <f t="shared" si="117"/>
        <v>24</v>
      </c>
      <c r="O416" s="14">
        <f t="shared" si="105"/>
        <v>84</v>
      </c>
      <c r="P416" s="13">
        <f t="shared" si="110"/>
        <v>1</v>
      </c>
      <c r="Q416">
        <f t="shared" si="118"/>
        <v>24</v>
      </c>
      <c r="R416" s="14">
        <f t="shared" si="119"/>
        <v>84</v>
      </c>
      <c r="S416" s="15"/>
      <c r="W416" s="14"/>
    </row>
    <row r="417" spans="1:23" hidden="1" x14ac:dyDescent="0.25">
      <c r="A417" s="16"/>
      <c r="B417" s="17" t="b">
        <f t="shared" si="112"/>
        <v>0</v>
      </c>
      <c r="C417" s="17" t="b">
        <f t="shared" si="104"/>
        <v>0</v>
      </c>
      <c r="D417" s="17">
        <f t="shared" si="106"/>
        <v>1</v>
      </c>
      <c r="E417" s="17" t="str">
        <f t="shared" si="111"/>
        <v>Section 5 - Conclusion, And FREE Coupon For Next Course</v>
      </c>
      <c r="F417" s="18" t="str">
        <f t="shared" si="107"/>
        <v/>
      </c>
      <c r="G417" s="13" t="str">
        <f t="shared" si="113"/>
        <v/>
      </c>
      <c r="H417">
        <f t="shared" si="114"/>
        <v>0</v>
      </c>
      <c r="I417">
        <f t="shared" si="115"/>
        <v>0</v>
      </c>
      <c r="J417" s="13">
        <f t="shared" si="116"/>
        <v>85</v>
      </c>
      <c r="K417">
        <f t="shared" si="108"/>
        <v>1</v>
      </c>
      <c r="L417">
        <f t="shared" si="109"/>
        <v>25</v>
      </c>
      <c r="M417" s="13">
        <f t="shared" si="117"/>
        <v>1</v>
      </c>
      <c r="N417">
        <f t="shared" si="117"/>
        <v>24</v>
      </c>
      <c r="O417" s="14">
        <f t="shared" si="105"/>
        <v>84</v>
      </c>
      <c r="P417" s="13">
        <f t="shared" si="110"/>
        <v>1</v>
      </c>
      <c r="Q417">
        <f t="shared" si="118"/>
        <v>24</v>
      </c>
      <c r="R417" s="14">
        <f t="shared" si="119"/>
        <v>84</v>
      </c>
      <c r="S417" s="15"/>
      <c r="W417" s="14"/>
    </row>
    <row r="418" spans="1:23" hidden="1" x14ac:dyDescent="0.25">
      <c r="A418" s="16"/>
      <c r="B418" s="17" t="b">
        <f t="shared" si="112"/>
        <v>0</v>
      </c>
      <c r="C418" s="17" t="b">
        <f t="shared" si="104"/>
        <v>0</v>
      </c>
      <c r="D418" s="17">
        <f t="shared" si="106"/>
        <v>1</v>
      </c>
      <c r="E418" s="17" t="str">
        <f t="shared" si="111"/>
        <v>Section 5 - Conclusion, And FREE Coupon For Next Course</v>
      </c>
      <c r="F418" s="18" t="str">
        <f t="shared" si="107"/>
        <v/>
      </c>
      <c r="G418" s="13" t="str">
        <f t="shared" si="113"/>
        <v/>
      </c>
      <c r="H418">
        <f t="shared" si="114"/>
        <v>0</v>
      </c>
      <c r="I418">
        <f t="shared" si="115"/>
        <v>0</v>
      </c>
      <c r="J418" s="13">
        <f t="shared" si="116"/>
        <v>85</v>
      </c>
      <c r="K418">
        <f t="shared" si="108"/>
        <v>1</v>
      </c>
      <c r="L418">
        <f t="shared" si="109"/>
        <v>25</v>
      </c>
      <c r="M418" s="13">
        <f t="shared" si="117"/>
        <v>1</v>
      </c>
      <c r="N418">
        <f t="shared" si="117"/>
        <v>24</v>
      </c>
      <c r="O418" s="14">
        <f t="shared" si="105"/>
        <v>84</v>
      </c>
      <c r="P418" s="13">
        <f t="shared" si="110"/>
        <v>1</v>
      </c>
      <c r="Q418">
        <f t="shared" si="118"/>
        <v>24</v>
      </c>
      <c r="R418" s="14">
        <f t="shared" si="119"/>
        <v>84</v>
      </c>
      <c r="S418" s="15"/>
      <c r="W418" s="14"/>
    </row>
    <row r="419" spans="1:23" hidden="1" x14ac:dyDescent="0.25">
      <c r="A419" s="16"/>
      <c r="B419" s="17" t="b">
        <f t="shared" si="112"/>
        <v>0</v>
      </c>
      <c r="C419" s="17" t="b">
        <f t="shared" si="104"/>
        <v>0</v>
      </c>
      <c r="D419" s="17">
        <f t="shared" si="106"/>
        <v>1</v>
      </c>
      <c r="E419" s="17" t="str">
        <f t="shared" si="111"/>
        <v>Section 5 - Conclusion, And FREE Coupon For Next Course</v>
      </c>
      <c r="F419" s="18" t="str">
        <f t="shared" si="107"/>
        <v/>
      </c>
      <c r="G419" s="13" t="str">
        <f t="shared" si="113"/>
        <v/>
      </c>
      <c r="H419">
        <f t="shared" si="114"/>
        <v>0</v>
      </c>
      <c r="I419">
        <f t="shared" si="115"/>
        <v>0</v>
      </c>
      <c r="J419" s="13">
        <f t="shared" si="116"/>
        <v>85</v>
      </c>
      <c r="K419">
        <f t="shared" si="108"/>
        <v>1</v>
      </c>
      <c r="L419">
        <f t="shared" si="109"/>
        <v>25</v>
      </c>
      <c r="M419" s="13">
        <f t="shared" si="117"/>
        <v>1</v>
      </c>
      <c r="N419">
        <f t="shared" si="117"/>
        <v>24</v>
      </c>
      <c r="O419" s="14">
        <f t="shared" si="105"/>
        <v>84</v>
      </c>
      <c r="P419" s="13">
        <f t="shared" si="110"/>
        <v>1</v>
      </c>
      <c r="Q419">
        <f t="shared" si="118"/>
        <v>24</v>
      </c>
      <c r="R419" s="14">
        <f t="shared" si="119"/>
        <v>84</v>
      </c>
      <c r="S419" s="15"/>
      <c r="W419" s="14"/>
    </row>
    <row r="420" spans="1:23" hidden="1" x14ac:dyDescent="0.25">
      <c r="A420" s="16"/>
      <c r="B420" s="17" t="b">
        <f t="shared" si="112"/>
        <v>0</v>
      </c>
      <c r="C420" s="17" t="b">
        <f t="shared" si="104"/>
        <v>0</v>
      </c>
      <c r="D420" s="17">
        <f t="shared" si="106"/>
        <v>1</v>
      </c>
      <c r="E420" s="17" t="str">
        <f t="shared" si="111"/>
        <v>Section 5 - Conclusion, And FREE Coupon For Next Course</v>
      </c>
      <c r="F420" s="18" t="str">
        <f t="shared" si="107"/>
        <v/>
      </c>
      <c r="G420" s="13" t="str">
        <f t="shared" si="113"/>
        <v/>
      </c>
      <c r="H420">
        <f t="shared" si="114"/>
        <v>0</v>
      </c>
      <c r="I420">
        <f t="shared" si="115"/>
        <v>0</v>
      </c>
      <c r="J420" s="13">
        <f t="shared" si="116"/>
        <v>85</v>
      </c>
      <c r="K420">
        <f t="shared" si="108"/>
        <v>1</v>
      </c>
      <c r="L420">
        <f t="shared" si="109"/>
        <v>25</v>
      </c>
      <c r="M420" s="13">
        <f t="shared" si="117"/>
        <v>1</v>
      </c>
      <c r="N420">
        <f t="shared" si="117"/>
        <v>24</v>
      </c>
      <c r="O420" s="14">
        <f t="shared" si="105"/>
        <v>84</v>
      </c>
      <c r="P420" s="13">
        <f t="shared" si="110"/>
        <v>1</v>
      </c>
      <c r="Q420">
        <f t="shared" si="118"/>
        <v>24</v>
      </c>
      <c r="R420" s="14">
        <f t="shared" si="119"/>
        <v>84</v>
      </c>
      <c r="S420" s="15"/>
      <c r="W420" s="14"/>
    </row>
    <row r="421" spans="1:23" hidden="1" x14ac:dyDescent="0.25">
      <c r="A421" s="16"/>
      <c r="B421" s="17" t="b">
        <f t="shared" si="112"/>
        <v>0</v>
      </c>
      <c r="C421" s="17" t="b">
        <f t="shared" si="104"/>
        <v>0</v>
      </c>
      <c r="D421" s="17">
        <f t="shared" si="106"/>
        <v>1</v>
      </c>
      <c r="E421" s="17" t="str">
        <f t="shared" si="111"/>
        <v>Section 5 - Conclusion, And FREE Coupon For Next Course</v>
      </c>
      <c r="F421" s="18" t="str">
        <f t="shared" si="107"/>
        <v/>
      </c>
      <c r="G421" s="13" t="str">
        <f t="shared" si="113"/>
        <v/>
      </c>
      <c r="H421">
        <f t="shared" si="114"/>
        <v>0</v>
      </c>
      <c r="I421">
        <f t="shared" si="115"/>
        <v>0</v>
      </c>
      <c r="J421" s="13">
        <f t="shared" si="116"/>
        <v>85</v>
      </c>
      <c r="K421">
        <f t="shared" si="108"/>
        <v>1</v>
      </c>
      <c r="L421">
        <f t="shared" si="109"/>
        <v>25</v>
      </c>
      <c r="M421" s="13">
        <f t="shared" si="117"/>
        <v>1</v>
      </c>
      <c r="N421">
        <f t="shared" si="117"/>
        <v>24</v>
      </c>
      <c r="O421" s="14">
        <f t="shared" si="105"/>
        <v>84</v>
      </c>
      <c r="P421" s="13">
        <f t="shared" si="110"/>
        <v>1</v>
      </c>
      <c r="Q421">
        <f t="shared" si="118"/>
        <v>24</v>
      </c>
      <c r="R421" s="14">
        <f t="shared" si="119"/>
        <v>84</v>
      </c>
      <c r="S421" s="15"/>
      <c r="W421" s="14"/>
    </row>
    <row r="422" spans="1:23" hidden="1" x14ac:dyDescent="0.25">
      <c r="A422" s="16"/>
      <c r="B422" s="17" t="b">
        <f t="shared" si="112"/>
        <v>0</v>
      </c>
      <c r="C422" s="17" t="b">
        <f t="shared" si="104"/>
        <v>0</v>
      </c>
      <c r="D422" s="17">
        <f t="shared" si="106"/>
        <v>1</v>
      </c>
      <c r="E422" s="17" t="str">
        <f t="shared" si="111"/>
        <v>Section 5 - Conclusion, And FREE Coupon For Next Course</v>
      </c>
      <c r="F422" s="18" t="str">
        <f t="shared" si="107"/>
        <v/>
      </c>
      <c r="G422" s="13" t="str">
        <f t="shared" si="113"/>
        <v/>
      </c>
      <c r="H422">
        <f t="shared" si="114"/>
        <v>0</v>
      </c>
      <c r="I422">
        <f t="shared" si="115"/>
        <v>0</v>
      </c>
      <c r="J422" s="13">
        <f t="shared" si="116"/>
        <v>85</v>
      </c>
      <c r="K422">
        <f t="shared" si="108"/>
        <v>1</v>
      </c>
      <c r="L422">
        <f t="shared" si="109"/>
        <v>25</v>
      </c>
      <c r="M422" s="13">
        <f t="shared" si="117"/>
        <v>1</v>
      </c>
      <c r="N422">
        <f t="shared" si="117"/>
        <v>24</v>
      </c>
      <c r="O422" s="14">
        <f t="shared" si="105"/>
        <v>84</v>
      </c>
      <c r="P422" s="13">
        <f t="shared" si="110"/>
        <v>1</v>
      </c>
      <c r="Q422">
        <f t="shared" si="118"/>
        <v>24</v>
      </c>
      <c r="R422" s="14">
        <f t="shared" si="119"/>
        <v>84</v>
      </c>
      <c r="S422" s="15"/>
      <c r="W422" s="14"/>
    </row>
    <row r="423" spans="1:23" hidden="1" x14ac:dyDescent="0.25">
      <c r="A423" s="16"/>
      <c r="B423" s="17" t="b">
        <f t="shared" si="112"/>
        <v>0</v>
      </c>
      <c r="C423" s="17" t="b">
        <f t="shared" si="104"/>
        <v>0</v>
      </c>
      <c r="D423" s="17">
        <f t="shared" si="106"/>
        <v>1</v>
      </c>
      <c r="E423" s="17" t="str">
        <f t="shared" si="111"/>
        <v>Section 5 - Conclusion, And FREE Coupon For Next Course</v>
      </c>
      <c r="F423" s="18" t="str">
        <f t="shared" si="107"/>
        <v/>
      </c>
      <c r="G423" s="13" t="str">
        <f t="shared" si="113"/>
        <v/>
      </c>
      <c r="H423">
        <f t="shared" si="114"/>
        <v>0</v>
      </c>
      <c r="I423">
        <f t="shared" si="115"/>
        <v>0</v>
      </c>
      <c r="J423" s="13">
        <f t="shared" si="116"/>
        <v>85</v>
      </c>
      <c r="K423">
        <f t="shared" si="108"/>
        <v>1</v>
      </c>
      <c r="L423">
        <f t="shared" si="109"/>
        <v>25</v>
      </c>
      <c r="M423" s="13">
        <f t="shared" si="117"/>
        <v>1</v>
      </c>
      <c r="N423">
        <f t="shared" si="117"/>
        <v>24</v>
      </c>
      <c r="O423" s="14">
        <f t="shared" si="105"/>
        <v>84</v>
      </c>
      <c r="P423" s="13">
        <f t="shared" si="110"/>
        <v>1</v>
      </c>
      <c r="Q423">
        <f t="shared" si="118"/>
        <v>24</v>
      </c>
      <c r="R423" s="14">
        <f t="shared" si="119"/>
        <v>84</v>
      </c>
      <c r="S423" s="15"/>
      <c r="W423" s="14"/>
    </row>
    <row r="424" spans="1:23" hidden="1" x14ac:dyDescent="0.25">
      <c r="A424" s="16"/>
      <c r="B424" s="17" t="b">
        <f t="shared" si="112"/>
        <v>0</v>
      </c>
      <c r="C424" s="17" t="b">
        <f t="shared" si="104"/>
        <v>0</v>
      </c>
      <c r="D424" s="17">
        <f t="shared" si="106"/>
        <v>1</v>
      </c>
      <c r="E424" s="17" t="str">
        <f t="shared" si="111"/>
        <v>Section 5 - Conclusion, And FREE Coupon For Next Course</v>
      </c>
      <c r="F424" s="18" t="str">
        <f t="shared" si="107"/>
        <v/>
      </c>
      <c r="G424" s="13" t="str">
        <f t="shared" si="113"/>
        <v/>
      </c>
      <c r="H424">
        <f t="shared" si="114"/>
        <v>0</v>
      </c>
      <c r="I424">
        <f t="shared" si="115"/>
        <v>0</v>
      </c>
      <c r="J424" s="13">
        <f t="shared" si="116"/>
        <v>85</v>
      </c>
      <c r="K424">
        <f t="shared" si="108"/>
        <v>1</v>
      </c>
      <c r="L424">
        <f t="shared" si="109"/>
        <v>25</v>
      </c>
      <c r="M424" s="13">
        <f t="shared" si="117"/>
        <v>1</v>
      </c>
      <c r="N424">
        <f t="shared" si="117"/>
        <v>24</v>
      </c>
      <c r="O424" s="14">
        <f t="shared" si="105"/>
        <v>84</v>
      </c>
      <c r="P424" s="13">
        <f t="shared" si="110"/>
        <v>1</v>
      </c>
      <c r="Q424">
        <f t="shared" si="118"/>
        <v>24</v>
      </c>
      <c r="R424" s="14">
        <f t="shared" si="119"/>
        <v>84</v>
      </c>
      <c r="S424" s="15"/>
      <c r="W424" s="14"/>
    </row>
    <row r="425" spans="1:23" hidden="1" x14ac:dyDescent="0.25">
      <c r="A425" s="16"/>
      <c r="B425" s="17" t="b">
        <f t="shared" si="112"/>
        <v>0</v>
      </c>
      <c r="C425" s="17" t="b">
        <f t="shared" si="104"/>
        <v>0</v>
      </c>
      <c r="D425" s="17">
        <f t="shared" si="106"/>
        <v>1</v>
      </c>
      <c r="E425" s="17" t="str">
        <f t="shared" si="111"/>
        <v>Section 5 - Conclusion, And FREE Coupon For Next Course</v>
      </c>
      <c r="F425" s="18" t="str">
        <f t="shared" si="107"/>
        <v/>
      </c>
      <c r="G425" s="13" t="str">
        <f t="shared" si="113"/>
        <v/>
      </c>
      <c r="H425">
        <f t="shared" si="114"/>
        <v>0</v>
      </c>
      <c r="I425">
        <f t="shared" si="115"/>
        <v>0</v>
      </c>
      <c r="J425" s="13">
        <f t="shared" si="116"/>
        <v>85</v>
      </c>
      <c r="K425">
        <f t="shared" si="108"/>
        <v>1</v>
      </c>
      <c r="L425">
        <f t="shared" si="109"/>
        <v>25</v>
      </c>
      <c r="M425" s="13">
        <f t="shared" si="117"/>
        <v>1</v>
      </c>
      <c r="N425">
        <f t="shared" si="117"/>
        <v>24</v>
      </c>
      <c r="O425" s="14">
        <f t="shared" si="105"/>
        <v>84</v>
      </c>
      <c r="P425" s="13">
        <f t="shared" si="110"/>
        <v>1</v>
      </c>
      <c r="Q425">
        <f t="shared" si="118"/>
        <v>24</v>
      </c>
      <c r="R425" s="14">
        <f t="shared" si="119"/>
        <v>84</v>
      </c>
      <c r="S425" s="15"/>
      <c r="W425" s="14"/>
    </row>
    <row r="426" spans="1:23" hidden="1" x14ac:dyDescent="0.25">
      <c r="A426" s="16"/>
      <c r="B426" s="17" t="b">
        <f t="shared" si="112"/>
        <v>0</v>
      </c>
      <c r="C426" s="17" t="b">
        <f t="shared" si="104"/>
        <v>0</v>
      </c>
      <c r="D426" s="17">
        <f t="shared" si="106"/>
        <v>1</v>
      </c>
      <c r="E426" s="17" t="str">
        <f t="shared" si="111"/>
        <v>Section 5 - Conclusion, And FREE Coupon For Next Course</v>
      </c>
      <c r="F426" s="18" t="str">
        <f t="shared" si="107"/>
        <v/>
      </c>
      <c r="G426" s="13" t="str">
        <f t="shared" si="113"/>
        <v/>
      </c>
      <c r="H426">
        <f t="shared" si="114"/>
        <v>0</v>
      </c>
      <c r="I426">
        <f t="shared" si="115"/>
        <v>0</v>
      </c>
      <c r="J426" s="13">
        <f t="shared" si="116"/>
        <v>85</v>
      </c>
      <c r="K426">
        <f t="shared" si="108"/>
        <v>1</v>
      </c>
      <c r="L426">
        <f t="shared" si="109"/>
        <v>25</v>
      </c>
      <c r="M426" s="13">
        <f t="shared" si="117"/>
        <v>1</v>
      </c>
      <c r="N426">
        <f t="shared" si="117"/>
        <v>24</v>
      </c>
      <c r="O426" s="14">
        <f t="shared" si="105"/>
        <v>84</v>
      </c>
      <c r="P426" s="13">
        <f t="shared" si="110"/>
        <v>1</v>
      </c>
      <c r="Q426">
        <f t="shared" si="118"/>
        <v>24</v>
      </c>
      <c r="R426" s="14">
        <f t="shared" si="119"/>
        <v>84</v>
      </c>
      <c r="S426" s="15"/>
      <c r="W426" s="14"/>
    </row>
    <row r="427" spans="1:23" hidden="1" x14ac:dyDescent="0.25">
      <c r="A427" s="16"/>
      <c r="B427" s="17" t="b">
        <f t="shared" si="112"/>
        <v>0</v>
      </c>
      <c r="C427" s="17" t="b">
        <f t="shared" si="104"/>
        <v>0</v>
      </c>
      <c r="D427" s="17">
        <f t="shared" si="106"/>
        <v>1</v>
      </c>
      <c r="E427" s="17" t="str">
        <f t="shared" si="111"/>
        <v>Section 5 - Conclusion, And FREE Coupon For Next Course</v>
      </c>
      <c r="F427" s="18" t="str">
        <f t="shared" si="107"/>
        <v/>
      </c>
      <c r="G427" s="13" t="str">
        <f t="shared" si="113"/>
        <v/>
      </c>
      <c r="H427">
        <f t="shared" si="114"/>
        <v>0</v>
      </c>
      <c r="I427">
        <f t="shared" si="115"/>
        <v>0</v>
      </c>
      <c r="J427" s="13">
        <f t="shared" si="116"/>
        <v>85</v>
      </c>
      <c r="K427">
        <f t="shared" si="108"/>
        <v>1</v>
      </c>
      <c r="L427">
        <f t="shared" si="109"/>
        <v>25</v>
      </c>
      <c r="M427" s="13">
        <f t="shared" si="117"/>
        <v>1</v>
      </c>
      <c r="N427">
        <f t="shared" si="117"/>
        <v>24</v>
      </c>
      <c r="O427" s="14">
        <f t="shared" si="105"/>
        <v>84</v>
      </c>
      <c r="P427" s="13">
        <f t="shared" si="110"/>
        <v>1</v>
      </c>
      <c r="Q427">
        <f t="shared" si="118"/>
        <v>24</v>
      </c>
      <c r="R427" s="14">
        <f t="shared" si="119"/>
        <v>84</v>
      </c>
      <c r="S427" s="15"/>
      <c r="W427" s="14"/>
    </row>
    <row r="428" spans="1:23" hidden="1" x14ac:dyDescent="0.25">
      <c r="A428" s="16"/>
      <c r="B428" s="17" t="b">
        <f t="shared" si="112"/>
        <v>0</v>
      </c>
      <c r="C428" s="17" t="b">
        <f t="shared" si="104"/>
        <v>0</v>
      </c>
      <c r="D428" s="17">
        <f t="shared" si="106"/>
        <v>1</v>
      </c>
      <c r="E428" s="17" t="str">
        <f t="shared" si="111"/>
        <v>Section 5 - Conclusion, And FREE Coupon For Next Course</v>
      </c>
      <c r="F428" s="18" t="str">
        <f t="shared" si="107"/>
        <v/>
      </c>
      <c r="G428" s="13" t="str">
        <f t="shared" si="113"/>
        <v/>
      </c>
      <c r="H428">
        <f t="shared" si="114"/>
        <v>0</v>
      </c>
      <c r="I428">
        <f t="shared" si="115"/>
        <v>0</v>
      </c>
      <c r="J428" s="13">
        <f t="shared" si="116"/>
        <v>85</v>
      </c>
      <c r="K428">
        <f t="shared" si="108"/>
        <v>1</v>
      </c>
      <c r="L428">
        <f t="shared" si="109"/>
        <v>25</v>
      </c>
      <c r="M428" s="13">
        <f t="shared" si="117"/>
        <v>1</v>
      </c>
      <c r="N428">
        <f t="shared" si="117"/>
        <v>24</v>
      </c>
      <c r="O428" s="14">
        <f t="shared" si="105"/>
        <v>84</v>
      </c>
      <c r="P428" s="13">
        <f t="shared" si="110"/>
        <v>1</v>
      </c>
      <c r="Q428">
        <f t="shared" si="118"/>
        <v>24</v>
      </c>
      <c r="R428" s="14">
        <f t="shared" si="119"/>
        <v>84</v>
      </c>
      <c r="S428" s="15"/>
      <c r="W428" s="14"/>
    </row>
    <row r="429" spans="1:23" hidden="1" x14ac:dyDescent="0.25">
      <c r="A429" s="16"/>
      <c r="B429" s="17" t="b">
        <f t="shared" si="112"/>
        <v>0</v>
      </c>
      <c r="C429" s="17" t="b">
        <f t="shared" si="104"/>
        <v>0</v>
      </c>
      <c r="D429" s="17">
        <f t="shared" si="106"/>
        <v>1</v>
      </c>
      <c r="E429" s="17" t="str">
        <f t="shared" si="111"/>
        <v>Section 5 - Conclusion, And FREE Coupon For Next Course</v>
      </c>
      <c r="F429" s="18" t="str">
        <f t="shared" si="107"/>
        <v/>
      </c>
      <c r="G429" s="13" t="str">
        <f t="shared" si="113"/>
        <v/>
      </c>
      <c r="H429">
        <f t="shared" si="114"/>
        <v>0</v>
      </c>
      <c r="I429">
        <f t="shared" si="115"/>
        <v>0</v>
      </c>
      <c r="J429" s="13">
        <f t="shared" si="116"/>
        <v>85</v>
      </c>
      <c r="K429">
        <f t="shared" si="108"/>
        <v>1</v>
      </c>
      <c r="L429">
        <f t="shared" si="109"/>
        <v>25</v>
      </c>
      <c r="M429" s="13">
        <f t="shared" si="117"/>
        <v>1</v>
      </c>
      <c r="N429">
        <f t="shared" si="117"/>
        <v>24</v>
      </c>
      <c r="O429" s="14">
        <f t="shared" si="105"/>
        <v>84</v>
      </c>
      <c r="P429" s="13">
        <f t="shared" si="110"/>
        <v>1</v>
      </c>
      <c r="Q429">
        <f t="shared" si="118"/>
        <v>24</v>
      </c>
      <c r="R429" s="14">
        <f t="shared" si="119"/>
        <v>84</v>
      </c>
      <c r="S429" s="15"/>
      <c r="W429" s="14"/>
    </row>
    <row r="430" spans="1:23" hidden="1" x14ac:dyDescent="0.25">
      <c r="A430" s="16"/>
      <c r="B430" s="17" t="b">
        <f t="shared" si="112"/>
        <v>0</v>
      </c>
      <c r="C430" s="17" t="b">
        <f t="shared" si="104"/>
        <v>0</v>
      </c>
      <c r="D430" s="17">
        <f t="shared" si="106"/>
        <v>1</v>
      </c>
      <c r="E430" s="17" t="str">
        <f t="shared" si="111"/>
        <v>Section 5 - Conclusion, And FREE Coupon For Next Course</v>
      </c>
      <c r="F430" s="18" t="str">
        <f t="shared" si="107"/>
        <v/>
      </c>
      <c r="G430" s="13" t="str">
        <f t="shared" si="113"/>
        <v/>
      </c>
      <c r="H430">
        <f t="shared" si="114"/>
        <v>0</v>
      </c>
      <c r="I430">
        <f t="shared" si="115"/>
        <v>0</v>
      </c>
      <c r="J430" s="13">
        <f t="shared" si="116"/>
        <v>85</v>
      </c>
      <c r="K430">
        <f t="shared" si="108"/>
        <v>1</v>
      </c>
      <c r="L430">
        <f t="shared" si="109"/>
        <v>25</v>
      </c>
      <c r="M430" s="13">
        <f t="shared" si="117"/>
        <v>1</v>
      </c>
      <c r="N430">
        <f t="shared" si="117"/>
        <v>24</v>
      </c>
      <c r="O430" s="14">
        <f t="shared" si="105"/>
        <v>84</v>
      </c>
      <c r="P430" s="13">
        <f t="shared" si="110"/>
        <v>1</v>
      </c>
      <c r="Q430">
        <f t="shared" si="118"/>
        <v>24</v>
      </c>
      <c r="R430" s="14">
        <f t="shared" si="119"/>
        <v>84</v>
      </c>
      <c r="S430" s="15"/>
      <c r="W430" s="14"/>
    </row>
    <row r="431" spans="1:23" hidden="1" x14ac:dyDescent="0.25">
      <c r="A431" s="16"/>
      <c r="B431" s="17" t="b">
        <f t="shared" si="112"/>
        <v>0</v>
      </c>
      <c r="C431" s="17" t="b">
        <f t="shared" si="104"/>
        <v>0</v>
      </c>
      <c r="D431" s="17">
        <f t="shared" si="106"/>
        <v>1</v>
      </c>
      <c r="E431" s="17" t="str">
        <f t="shared" si="111"/>
        <v>Section 5 - Conclusion, And FREE Coupon For Next Course</v>
      </c>
      <c r="F431" s="18" t="str">
        <f t="shared" si="107"/>
        <v/>
      </c>
      <c r="G431" s="13" t="str">
        <f t="shared" si="113"/>
        <v/>
      </c>
      <c r="H431">
        <f t="shared" si="114"/>
        <v>0</v>
      </c>
      <c r="I431">
        <f t="shared" si="115"/>
        <v>0</v>
      </c>
      <c r="J431" s="13">
        <f t="shared" si="116"/>
        <v>85</v>
      </c>
      <c r="K431">
        <f t="shared" si="108"/>
        <v>1</v>
      </c>
      <c r="L431">
        <f t="shared" si="109"/>
        <v>25</v>
      </c>
      <c r="M431" s="13">
        <f t="shared" si="117"/>
        <v>1</v>
      </c>
      <c r="N431">
        <f t="shared" si="117"/>
        <v>24</v>
      </c>
      <c r="O431" s="14">
        <f t="shared" si="105"/>
        <v>84</v>
      </c>
      <c r="P431" s="13">
        <f t="shared" si="110"/>
        <v>1</v>
      </c>
      <c r="Q431">
        <f t="shared" si="118"/>
        <v>24</v>
      </c>
      <c r="R431" s="14">
        <f t="shared" si="119"/>
        <v>84</v>
      </c>
      <c r="S431" s="15"/>
      <c r="W431" s="14"/>
    </row>
    <row r="432" spans="1:23" hidden="1" x14ac:dyDescent="0.25">
      <c r="A432" s="16"/>
      <c r="B432" s="17" t="b">
        <f t="shared" si="112"/>
        <v>0</v>
      </c>
      <c r="C432" s="17" t="b">
        <f t="shared" si="104"/>
        <v>0</v>
      </c>
      <c r="D432" s="17">
        <f t="shared" si="106"/>
        <v>1</v>
      </c>
      <c r="E432" s="17" t="str">
        <f t="shared" si="111"/>
        <v>Section 5 - Conclusion, And FREE Coupon For Next Course</v>
      </c>
      <c r="F432" s="18" t="str">
        <f t="shared" si="107"/>
        <v/>
      </c>
      <c r="G432" s="13" t="str">
        <f t="shared" si="113"/>
        <v/>
      </c>
      <c r="H432">
        <f t="shared" si="114"/>
        <v>0</v>
      </c>
      <c r="I432">
        <f t="shared" si="115"/>
        <v>0</v>
      </c>
      <c r="J432" s="13">
        <f t="shared" si="116"/>
        <v>85</v>
      </c>
      <c r="K432">
        <f t="shared" si="108"/>
        <v>1</v>
      </c>
      <c r="L432">
        <f t="shared" si="109"/>
        <v>25</v>
      </c>
      <c r="M432" s="13">
        <f t="shared" si="117"/>
        <v>1</v>
      </c>
      <c r="N432">
        <f t="shared" si="117"/>
        <v>24</v>
      </c>
      <c r="O432" s="14">
        <f t="shared" si="105"/>
        <v>84</v>
      </c>
      <c r="P432" s="13">
        <f t="shared" si="110"/>
        <v>1</v>
      </c>
      <c r="Q432">
        <f t="shared" si="118"/>
        <v>24</v>
      </c>
      <c r="R432" s="14">
        <f t="shared" si="119"/>
        <v>84</v>
      </c>
      <c r="S432" s="15"/>
      <c r="W432" s="14"/>
    </row>
    <row r="433" spans="1:23" hidden="1" x14ac:dyDescent="0.25">
      <c r="A433" s="16"/>
      <c r="B433" s="17" t="b">
        <f t="shared" si="112"/>
        <v>0</v>
      </c>
      <c r="C433" s="17" t="b">
        <f t="shared" si="104"/>
        <v>0</v>
      </c>
      <c r="D433" s="17">
        <f t="shared" si="106"/>
        <v>1</v>
      </c>
      <c r="E433" s="17" t="str">
        <f t="shared" si="111"/>
        <v>Section 5 - Conclusion, And FREE Coupon For Next Course</v>
      </c>
      <c r="F433" s="18" t="str">
        <f t="shared" si="107"/>
        <v/>
      </c>
      <c r="G433" s="13" t="str">
        <f t="shared" si="113"/>
        <v/>
      </c>
      <c r="H433">
        <f t="shared" si="114"/>
        <v>0</v>
      </c>
      <c r="I433">
        <f t="shared" si="115"/>
        <v>0</v>
      </c>
      <c r="J433" s="13">
        <f t="shared" si="116"/>
        <v>85</v>
      </c>
      <c r="K433">
        <f t="shared" si="108"/>
        <v>1</v>
      </c>
      <c r="L433">
        <f t="shared" si="109"/>
        <v>25</v>
      </c>
      <c r="M433" s="13">
        <f t="shared" si="117"/>
        <v>1</v>
      </c>
      <c r="N433">
        <f t="shared" si="117"/>
        <v>24</v>
      </c>
      <c r="O433" s="14">
        <f t="shared" si="105"/>
        <v>84</v>
      </c>
      <c r="P433" s="13">
        <f t="shared" si="110"/>
        <v>1</v>
      </c>
      <c r="Q433">
        <f t="shared" si="118"/>
        <v>24</v>
      </c>
      <c r="R433" s="14">
        <f t="shared" si="119"/>
        <v>84</v>
      </c>
      <c r="S433" s="15"/>
      <c r="W433" s="14"/>
    </row>
    <row r="434" spans="1:23" hidden="1" x14ac:dyDescent="0.25">
      <c r="A434" s="16"/>
      <c r="B434" s="17" t="b">
        <f t="shared" si="112"/>
        <v>0</v>
      </c>
      <c r="C434" s="17" t="b">
        <f t="shared" si="104"/>
        <v>0</v>
      </c>
      <c r="D434" s="17">
        <f t="shared" si="106"/>
        <v>1</v>
      </c>
      <c r="E434" s="17" t="str">
        <f t="shared" si="111"/>
        <v>Section 5 - Conclusion, And FREE Coupon For Next Course</v>
      </c>
      <c r="F434" s="18" t="str">
        <f t="shared" si="107"/>
        <v/>
      </c>
      <c r="G434" s="13" t="str">
        <f t="shared" si="113"/>
        <v/>
      </c>
      <c r="H434">
        <f t="shared" si="114"/>
        <v>0</v>
      </c>
      <c r="I434">
        <f t="shared" si="115"/>
        <v>0</v>
      </c>
      <c r="J434" s="13">
        <f t="shared" si="116"/>
        <v>85</v>
      </c>
      <c r="K434">
        <f t="shared" si="108"/>
        <v>1</v>
      </c>
      <c r="L434">
        <f t="shared" si="109"/>
        <v>25</v>
      </c>
      <c r="M434" s="13">
        <f t="shared" si="117"/>
        <v>1</v>
      </c>
      <c r="N434">
        <f t="shared" si="117"/>
        <v>24</v>
      </c>
      <c r="O434" s="14">
        <f t="shared" si="105"/>
        <v>84</v>
      </c>
      <c r="P434" s="13">
        <f t="shared" si="110"/>
        <v>1</v>
      </c>
      <c r="Q434">
        <f t="shared" si="118"/>
        <v>24</v>
      </c>
      <c r="R434" s="14">
        <f t="shared" si="119"/>
        <v>84</v>
      </c>
      <c r="S434" s="15"/>
      <c r="W434" s="14"/>
    </row>
    <row r="435" spans="1:23" hidden="1" x14ac:dyDescent="0.25">
      <c r="A435" s="16"/>
      <c r="B435" s="17" t="b">
        <f t="shared" si="112"/>
        <v>0</v>
      </c>
      <c r="C435" s="17" t="b">
        <f t="shared" si="104"/>
        <v>0</v>
      </c>
      <c r="D435" s="17">
        <f t="shared" si="106"/>
        <v>1</v>
      </c>
      <c r="E435" s="17" t="str">
        <f t="shared" si="111"/>
        <v>Section 5 - Conclusion, And FREE Coupon For Next Course</v>
      </c>
      <c r="F435" s="18" t="str">
        <f t="shared" si="107"/>
        <v/>
      </c>
      <c r="G435" s="13" t="str">
        <f t="shared" si="113"/>
        <v/>
      </c>
      <c r="H435">
        <f t="shared" si="114"/>
        <v>0</v>
      </c>
      <c r="I435">
        <f t="shared" si="115"/>
        <v>0</v>
      </c>
      <c r="J435" s="13">
        <f t="shared" si="116"/>
        <v>85</v>
      </c>
      <c r="K435">
        <f t="shared" si="108"/>
        <v>1</v>
      </c>
      <c r="L435">
        <f t="shared" si="109"/>
        <v>25</v>
      </c>
      <c r="M435" s="13">
        <f t="shared" si="117"/>
        <v>1</v>
      </c>
      <c r="N435">
        <f t="shared" si="117"/>
        <v>24</v>
      </c>
      <c r="O435" s="14">
        <f t="shared" si="105"/>
        <v>84</v>
      </c>
      <c r="P435" s="13">
        <f t="shared" si="110"/>
        <v>1</v>
      </c>
      <c r="Q435">
        <f t="shared" si="118"/>
        <v>24</v>
      </c>
      <c r="R435" s="14">
        <f t="shared" si="119"/>
        <v>84</v>
      </c>
      <c r="S435" s="15"/>
      <c r="W435" s="14"/>
    </row>
    <row r="436" spans="1:23" hidden="1" x14ac:dyDescent="0.25">
      <c r="A436" s="16"/>
      <c r="B436" s="17" t="b">
        <f t="shared" si="112"/>
        <v>0</v>
      </c>
      <c r="C436" s="17" t="b">
        <f t="shared" si="104"/>
        <v>0</v>
      </c>
      <c r="D436" s="17">
        <f t="shared" si="106"/>
        <v>1</v>
      </c>
      <c r="E436" s="17" t="str">
        <f t="shared" si="111"/>
        <v>Section 5 - Conclusion, And FREE Coupon For Next Course</v>
      </c>
      <c r="F436" s="18" t="str">
        <f t="shared" si="107"/>
        <v/>
      </c>
      <c r="G436" s="13" t="str">
        <f t="shared" si="113"/>
        <v/>
      </c>
      <c r="H436">
        <f t="shared" si="114"/>
        <v>0</v>
      </c>
      <c r="I436">
        <f t="shared" si="115"/>
        <v>0</v>
      </c>
      <c r="J436" s="13">
        <f t="shared" si="116"/>
        <v>85</v>
      </c>
      <c r="K436">
        <f t="shared" si="108"/>
        <v>1</v>
      </c>
      <c r="L436">
        <f t="shared" si="109"/>
        <v>25</v>
      </c>
      <c r="M436" s="13">
        <f t="shared" si="117"/>
        <v>1</v>
      </c>
      <c r="N436">
        <f t="shared" si="117"/>
        <v>24</v>
      </c>
      <c r="O436" s="14">
        <f t="shared" si="105"/>
        <v>84</v>
      </c>
      <c r="P436" s="13">
        <f t="shared" si="110"/>
        <v>1</v>
      </c>
      <c r="Q436">
        <f t="shared" si="118"/>
        <v>24</v>
      </c>
      <c r="R436" s="14">
        <f t="shared" si="119"/>
        <v>84</v>
      </c>
      <c r="S436" s="15"/>
      <c r="W436" s="14"/>
    </row>
    <row r="437" spans="1:23" hidden="1" x14ac:dyDescent="0.25">
      <c r="A437" s="16"/>
      <c r="B437" s="17" t="b">
        <f t="shared" si="112"/>
        <v>0</v>
      </c>
      <c r="C437" s="17" t="b">
        <f t="shared" si="104"/>
        <v>0</v>
      </c>
      <c r="D437" s="17">
        <f t="shared" si="106"/>
        <v>1</v>
      </c>
      <c r="E437" s="17" t="str">
        <f t="shared" si="111"/>
        <v>Section 5 - Conclusion, And FREE Coupon For Next Course</v>
      </c>
      <c r="F437" s="18" t="str">
        <f t="shared" si="107"/>
        <v/>
      </c>
      <c r="G437" s="13" t="str">
        <f t="shared" si="113"/>
        <v/>
      </c>
      <c r="H437">
        <f t="shared" si="114"/>
        <v>0</v>
      </c>
      <c r="I437">
        <f t="shared" si="115"/>
        <v>0</v>
      </c>
      <c r="J437" s="13">
        <f t="shared" si="116"/>
        <v>85</v>
      </c>
      <c r="K437">
        <f t="shared" si="108"/>
        <v>1</v>
      </c>
      <c r="L437">
        <f t="shared" si="109"/>
        <v>25</v>
      </c>
      <c r="M437" s="13">
        <f t="shared" si="117"/>
        <v>1</v>
      </c>
      <c r="N437">
        <f t="shared" si="117"/>
        <v>24</v>
      </c>
      <c r="O437" s="14">
        <f t="shared" si="105"/>
        <v>84</v>
      </c>
      <c r="P437" s="13">
        <f t="shared" si="110"/>
        <v>1</v>
      </c>
      <c r="Q437">
        <f t="shared" si="118"/>
        <v>24</v>
      </c>
      <c r="R437" s="14">
        <f t="shared" si="119"/>
        <v>84</v>
      </c>
      <c r="S437" s="15"/>
      <c r="W437" s="14"/>
    </row>
    <row r="438" spans="1:23" hidden="1" x14ac:dyDescent="0.25">
      <c r="A438" s="16"/>
      <c r="B438" s="17" t="b">
        <f t="shared" si="112"/>
        <v>0</v>
      </c>
      <c r="C438" s="17" t="b">
        <f t="shared" si="104"/>
        <v>0</v>
      </c>
      <c r="D438" s="17">
        <f t="shared" si="106"/>
        <v>1</v>
      </c>
      <c r="E438" s="17" t="str">
        <f t="shared" si="111"/>
        <v>Section 5 - Conclusion, And FREE Coupon For Next Course</v>
      </c>
      <c r="F438" s="18" t="str">
        <f t="shared" si="107"/>
        <v/>
      </c>
      <c r="G438" s="13" t="str">
        <f t="shared" si="113"/>
        <v/>
      </c>
      <c r="H438">
        <f t="shared" si="114"/>
        <v>0</v>
      </c>
      <c r="I438">
        <f t="shared" si="115"/>
        <v>0</v>
      </c>
      <c r="J438" s="13">
        <f t="shared" si="116"/>
        <v>85</v>
      </c>
      <c r="K438">
        <f t="shared" si="108"/>
        <v>1</v>
      </c>
      <c r="L438">
        <f t="shared" si="109"/>
        <v>25</v>
      </c>
      <c r="M438" s="13">
        <f t="shared" si="117"/>
        <v>1</v>
      </c>
      <c r="N438">
        <f t="shared" si="117"/>
        <v>24</v>
      </c>
      <c r="O438" s="14">
        <f t="shared" si="105"/>
        <v>84</v>
      </c>
      <c r="P438" s="13">
        <f t="shared" si="110"/>
        <v>1</v>
      </c>
      <c r="Q438">
        <f t="shared" si="118"/>
        <v>24</v>
      </c>
      <c r="R438" s="14">
        <f t="shared" si="119"/>
        <v>84</v>
      </c>
      <c r="S438" s="15"/>
      <c r="W438" s="14"/>
    </row>
    <row r="439" spans="1:23" hidden="1" x14ac:dyDescent="0.25">
      <c r="A439" s="16"/>
      <c r="B439" s="17" t="b">
        <f t="shared" si="112"/>
        <v>0</v>
      </c>
      <c r="C439" s="17" t="b">
        <f t="shared" si="104"/>
        <v>0</v>
      </c>
      <c r="D439" s="17">
        <f t="shared" si="106"/>
        <v>1</v>
      </c>
      <c r="E439" s="17" t="str">
        <f t="shared" si="111"/>
        <v>Section 5 - Conclusion, And FREE Coupon For Next Course</v>
      </c>
      <c r="F439" s="18" t="str">
        <f t="shared" si="107"/>
        <v/>
      </c>
      <c r="G439" s="13" t="str">
        <f t="shared" si="113"/>
        <v/>
      </c>
      <c r="H439">
        <f t="shared" si="114"/>
        <v>0</v>
      </c>
      <c r="I439">
        <f t="shared" si="115"/>
        <v>0</v>
      </c>
      <c r="J439" s="13">
        <f t="shared" si="116"/>
        <v>85</v>
      </c>
      <c r="K439">
        <f t="shared" si="108"/>
        <v>1</v>
      </c>
      <c r="L439">
        <f t="shared" si="109"/>
        <v>25</v>
      </c>
      <c r="M439" s="13">
        <f t="shared" si="117"/>
        <v>1</v>
      </c>
      <c r="N439">
        <f t="shared" si="117"/>
        <v>24</v>
      </c>
      <c r="O439" s="14">
        <f t="shared" si="105"/>
        <v>84</v>
      </c>
      <c r="P439" s="13">
        <f t="shared" si="110"/>
        <v>1</v>
      </c>
      <c r="Q439">
        <f t="shared" si="118"/>
        <v>24</v>
      </c>
      <c r="R439" s="14">
        <f t="shared" si="119"/>
        <v>84</v>
      </c>
      <c r="S439" s="15"/>
      <c r="W439" s="14"/>
    </row>
    <row r="440" spans="1:23" hidden="1" x14ac:dyDescent="0.25">
      <c r="A440" s="16"/>
      <c r="B440" s="17" t="b">
        <f t="shared" si="112"/>
        <v>0</v>
      </c>
      <c r="C440" s="17" t="b">
        <f t="shared" si="104"/>
        <v>0</v>
      </c>
      <c r="D440" s="17">
        <f t="shared" si="106"/>
        <v>1</v>
      </c>
      <c r="E440" s="17" t="str">
        <f t="shared" si="111"/>
        <v>Section 5 - Conclusion, And FREE Coupon For Next Course</v>
      </c>
      <c r="F440" s="18" t="str">
        <f t="shared" si="107"/>
        <v/>
      </c>
      <c r="G440" s="13" t="str">
        <f t="shared" si="113"/>
        <v/>
      </c>
      <c r="H440">
        <f t="shared" si="114"/>
        <v>0</v>
      </c>
      <c r="I440">
        <f t="shared" si="115"/>
        <v>0</v>
      </c>
      <c r="J440" s="13">
        <f t="shared" si="116"/>
        <v>85</v>
      </c>
      <c r="K440">
        <f t="shared" si="108"/>
        <v>1</v>
      </c>
      <c r="L440">
        <f t="shared" si="109"/>
        <v>25</v>
      </c>
      <c r="M440" s="13">
        <f t="shared" si="117"/>
        <v>1</v>
      </c>
      <c r="N440">
        <f t="shared" si="117"/>
        <v>24</v>
      </c>
      <c r="O440" s="14">
        <f t="shared" si="105"/>
        <v>84</v>
      </c>
      <c r="P440" s="13">
        <f t="shared" si="110"/>
        <v>1</v>
      </c>
      <c r="Q440">
        <f t="shared" si="118"/>
        <v>24</v>
      </c>
      <c r="R440" s="14">
        <f t="shared" si="119"/>
        <v>84</v>
      </c>
      <c r="S440" s="15"/>
      <c r="W440" s="14"/>
    </row>
    <row r="441" spans="1:23" hidden="1" x14ac:dyDescent="0.25">
      <c r="A441" s="16"/>
      <c r="B441" s="17" t="b">
        <f t="shared" si="112"/>
        <v>0</v>
      </c>
      <c r="C441" s="17" t="b">
        <f t="shared" si="104"/>
        <v>0</v>
      </c>
      <c r="D441" s="17">
        <f t="shared" si="106"/>
        <v>1</v>
      </c>
      <c r="E441" s="17" t="str">
        <f t="shared" si="111"/>
        <v>Section 5 - Conclusion, And FREE Coupon For Next Course</v>
      </c>
      <c r="F441" s="18" t="str">
        <f t="shared" si="107"/>
        <v/>
      </c>
      <c r="G441" s="13" t="str">
        <f t="shared" si="113"/>
        <v/>
      </c>
      <c r="H441">
        <f t="shared" si="114"/>
        <v>0</v>
      </c>
      <c r="I441">
        <f t="shared" si="115"/>
        <v>0</v>
      </c>
      <c r="J441" s="13">
        <f t="shared" si="116"/>
        <v>85</v>
      </c>
      <c r="K441">
        <f t="shared" si="108"/>
        <v>1</v>
      </c>
      <c r="L441">
        <f t="shared" si="109"/>
        <v>25</v>
      </c>
      <c r="M441" s="13">
        <f t="shared" si="117"/>
        <v>1</v>
      </c>
      <c r="N441">
        <f t="shared" si="117"/>
        <v>24</v>
      </c>
      <c r="O441" s="14">
        <f t="shared" si="105"/>
        <v>84</v>
      </c>
      <c r="P441" s="13">
        <f t="shared" si="110"/>
        <v>1</v>
      </c>
      <c r="Q441">
        <f t="shared" si="118"/>
        <v>24</v>
      </c>
      <c r="R441" s="14">
        <f t="shared" si="119"/>
        <v>84</v>
      </c>
      <c r="S441" s="15"/>
      <c r="W441" s="14"/>
    </row>
    <row r="442" spans="1:23" hidden="1" x14ac:dyDescent="0.25">
      <c r="A442" s="16"/>
      <c r="B442" s="17" t="b">
        <f t="shared" si="112"/>
        <v>0</v>
      </c>
      <c r="C442" s="17" t="b">
        <f t="shared" si="104"/>
        <v>0</v>
      </c>
      <c r="D442" s="17">
        <f t="shared" si="106"/>
        <v>1</v>
      </c>
      <c r="E442" s="17" t="str">
        <f t="shared" si="111"/>
        <v>Section 5 - Conclusion, And FREE Coupon For Next Course</v>
      </c>
      <c r="F442" s="18" t="str">
        <f t="shared" si="107"/>
        <v/>
      </c>
      <c r="G442" s="13" t="str">
        <f t="shared" si="113"/>
        <v/>
      </c>
      <c r="H442">
        <f t="shared" si="114"/>
        <v>0</v>
      </c>
      <c r="I442">
        <f t="shared" si="115"/>
        <v>0</v>
      </c>
      <c r="J442" s="13">
        <f t="shared" si="116"/>
        <v>85</v>
      </c>
      <c r="K442">
        <f t="shared" si="108"/>
        <v>1</v>
      </c>
      <c r="L442">
        <f t="shared" si="109"/>
        <v>25</v>
      </c>
      <c r="M442" s="13">
        <f t="shared" si="117"/>
        <v>1</v>
      </c>
      <c r="N442">
        <f t="shared" si="117"/>
        <v>24</v>
      </c>
      <c r="O442" s="14">
        <f t="shared" si="105"/>
        <v>84</v>
      </c>
      <c r="P442" s="13">
        <f t="shared" si="110"/>
        <v>1</v>
      </c>
      <c r="Q442">
        <f t="shared" si="118"/>
        <v>24</v>
      </c>
      <c r="R442" s="14">
        <f t="shared" si="119"/>
        <v>84</v>
      </c>
      <c r="S442" s="15"/>
      <c r="W442" s="14"/>
    </row>
    <row r="443" spans="1:23" hidden="1" x14ac:dyDescent="0.25">
      <c r="A443" s="16"/>
      <c r="B443" s="17" t="b">
        <f t="shared" si="112"/>
        <v>0</v>
      </c>
      <c r="C443" s="17" t="b">
        <f t="shared" si="104"/>
        <v>0</v>
      </c>
      <c r="D443" s="17">
        <f t="shared" si="106"/>
        <v>1</v>
      </c>
      <c r="E443" s="17" t="str">
        <f t="shared" si="111"/>
        <v>Section 5 - Conclusion, And FREE Coupon For Next Course</v>
      </c>
      <c r="F443" s="18" t="str">
        <f t="shared" si="107"/>
        <v/>
      </c>
      <c r="G443" s="13" t="str">
        <f t="shared" si="113"/>
        <v/>
      </c>
      <c r="H443">
        <f t="shared" si="114"/>
        <v>0</v>
      </c>
      <c r="I443">
        <f t="shared" si="115"/>
        <v>0</v>
      </c>
      <c r="J443" s="13">
        <f t="shared" si="116"/>
        <v>85</v>
      </c>
      <c r="K443">
        <f t="shared" si="108"/>
        <v>1</v>
      </c>
      <c r="L443">
        <f t="shared" si="109"/>
        <v>25</v>
      </c>
      <c r="M443" s="13">
        <f t="shared" si="117"/>
        <v>1</v>
      </c>
      <c r="N443">
        <f t="shared" si="117"/>
        <v>24</v>
      </c>
      <c r="O443" s="14">
        <f t="shared" si="105"/>
        <v>84</v>
      </c>
      <c r="P443" s="13">
        <f t="shared" si="110"/>
        <v>1</v>
      </c>
      <c r="Q443">
        <f t="shared" si="118"/>
        <v>24</v>
      </c>
      <c r="R443" s="14">
        <f t="shared" si="119"/>
        <v>84</v>
      </c>
      <c r="S443" s="15"/>
      <c r="W443" s="14"/>
    </row>
    <row r="444" spans="1:23" hidden="1" x14ac:dyDescent="0.25">
      <c r="A444" s="16"/>
      <c r="B444" s="17" t="b">
        <f t="shared" si="112"/>
        <v>0</v>
      </c>
      <c r="C444" s="17" t="b">
        <f t="shared" si="104"/>
        <v>0</v>
      </c>
      <c r="D444" s="17">
        <f t="shared" si="106"/>
        <v>1</v>
      </c>
      <c r="E444" s="17" t="str">
        <f t="shared" si="111"/>
        <v>Section 5 - Conclusion, And FREE Coupon For Next Course</v>
      </c>
      <c r="F444" s="18" t="str">
        <f t="shared" si="107"/>
        <v/>
      </c>
      <c r="G444" s="13" t="str">
        <f t="shared" si="113"/>
        <v/>
      </c>
      <c r="H444">
        <f t="shared" si="114"/>
        <v>0</v>
      </c>
      <c r="I444">
        <f t="shared" si="115"/>
        <v>0</v>
      </c>
      <c r="J444" s="13">
        <f t="shared" si="116"/>
        <v>85</v>
      </c>
      <c r="K444">
        <f t="shared" si="108"/>
        <v>1</v>
      </c>
      <c r="L444">
        <f t="shared" si="109"/>
        <v>25</v>
      </c>
      <c r="M444" s="13">
        <f t="shared" si="117"/>
        <v>1</v>
      </c>
      <c r="N444">
        <f t="shared" si="117"/>
        <v>24</v>
      </c>
      <c r="O444" s="14">
        <f t="shared" si="105"/>
        <v>84</v>
      </c>
      <c r="P444" s="13">
        <f t="shared" si="110"/>
        <v>1</v>
      </c>
      <c r="Q444">
        <f t="shared" si="118"/>
        <v>24</v>
      </c>
      <c r="R444" s="14">
        <f t="shared" si="119"/>
        <v>84</v>
      </c>
      <c r="S444" s="15"/>
      <c r="W444" s="14"/>
    </row>
    <row r="445" spans="1:23" hidden="1" x14ac:dyDescent="0.25">
      <c r="A445" s="16"/>
      <c r="B445" s="17" t="b">
        <f t="shared" si="112"/>
        <v>0</v>
      </c>
      <c r="C445" s="17" t="b">
        <f t="shared" si="104"/>
        <v>0</v>
      </c>
      <c r="D445" s="17">
        <f t="shared" si="106"/>
        <v>1</v>
      </c>
      <c r="E445" s="17" t="str">
        <f t="shared" si="111"/>
        <v>Section 5 - Conclusion, And FREE Coupon For Next Course</v>
      </c>
      <c r="F445" s="18" t="str">
        <f t="shared" si="107"/>
        <v/>
      </c>
      <c r="G445" s="13" t="str">
        <f t="shared" si="113"/>
        <v/>
      </c>
      <c r="H445">
        <f t="shared" si="114"/>
        <v>0</v>
      </c>
      <c r="I445">
        <f t="shared" si="115"/>
        <v>0</v>
      </c>
      <c r="J445" s="13">
        <f t="shared" si="116"/>
        <v>85</v>
      </c>
      <c r="K445">
        <f t="shared" si="108"/>
        <v>1</v>
      </c>
      <c r="L445">
        <f t="shared" si="109"/>
        <v>25</v>
      </c>
      <c r="M445" s="13">
        <f t="shared" si="117"/>
        <v>1</v>
      </c>
      <c r="N445">
        <f t="shared" si="117"/>
        <v>24</v>
      </c>
      <c r="O445" s="14">
        <f t="shared" si="105"/>
        <v>84</v>
      </c>
      <c r="P445" s="13">
        <f t="shared" si="110"/>
        <v>1</v>
      </c>
      <c r="Q445">
        <f t="shared" si="118"/>
        <v>24</v>
      </c>
      <c r="R445" s="14">
        <f t="shared" si="119"/>
        <v>84</v>
      </c>
      <c r="S445" s="15"/>
      <c r="W445" s="14"/>
    </row>
    <row r="446" spans="1:23" hidden="1" x14ac:dyDescent="0.25">
      <c r="A446" s="16"/>
      <c r="B446" s="17" t="b">
        <f t="shared" si="112"/>
        <v>0</v>
      </c>
      <c r="C446" s="17" t="b">
        <f t="shared" si="104"/>
        <v>0</v>
      </c>
      <c r="D446" s="17">
        <f t="shared" si="106"/>
        <v>1</v>
      </c>
      <c r="E446" s="17" t="str">
        <f t="shared" si="111"/>
        <v>Section 5 - Conclusion, And FREE Coupon For Next Course</v>
      </c>
      <c r="F446" s="18" t="str">
        <f t="shared" si="107"/>
        <v/>
      </c>
      <c r="G446" s="13" t="str">
        <f t="shared" si="113"/>
        <v/>
      </c>
      <c r="H446">
        <f t="shared" si="114"/>
        <v>0</v>
      </c>
      <c r="I446">
        <f t="shared" si="115"/>
        <v>0</v>
      </c>
      <c r="J446" s="13">
        <f t="shared" si="116"/>
        <v>85</v>
      </c>
      <c r="K446">
        <f t="shared" si="108"/>
        <v>1</v>
      </c>
      <c r="L446">
        <f t="shared" si="109"/>
        <v>25</v>
      </c>
      <c r="M446" s="13">
        <f t="shared" si="117"/>
        <v>1</v>
      </c>
      <c r="N446">
        <f t="shared" si="117"/>
        <v>24</v>
      </c>
      <c r="O446" s="14">
        <f t="shared" si="105"/>
        <v>84</v>
      </c>
      <c r="P446" s="13">
        <f t="shared" si="110"/>
        <v>1</v>
      </c>
      <c r="Q446">
        <f t="shared" si="118"/>
        <v>24</v>
      </c>
      <c r="R446" s="14">
        <f t="shared" si="119"/>
        <v>84</v>
      </c>
      <c r="S446" s="15"/>
      <c r="W446" s="14"/>
    </row>
    <row r="447" spans="1:23" hidden="1" x14ac:dyDescent="0.25">
      <c r="A447" s="16"/>
      <c r="B447" s="17" t="b">
        <f t="shared" si="112"/>
        <v>0</v>
      </c>
      <c r="C447" s="17" t="b">
        <f t="shared" si="104"/>
        <v>0</v>
      </c>
      <c r="D447" s="17">
        <f t="shared" si="106"/>
        <v>1</v>
      </c>
      <c r="E447" s="17" t="str">
        <f t="shared" si="111"/>
        <v>Section 5 - Conclusion, And FREE Coupon For Next Course</v>
      </c>
      <c r="F447" s="18" t="str">
        <f t="shared" si="107"/>
        <v/>
      </c>
      <c r="G447" s="13" t="str">
        <f t="shared" si="113"/>
        <v/>
      </c>
      <c r="H447">
        <f t="shared" si="114"/>
        <v>0</v>
      </c>
      <c r="I447">
        <f t="shared" si="115"/>
        <v>0</v>
      </c>
      <c r="J447" s="13">
        <f t="shared" si="116"/>
        <v>85</v>
      </c>
      <c r="K447">
        <f t="shared" si="108"/>
        <v>1</v>
      </c>
      <c r="L447">
        <f t="shared" si="109"/>
        <v>25</v>
      </c>
      <c r="M447" s="13">
        <f t="shared" si="117"/>
        <v>1</v>
      </c>
      <c r="N447">
        <f t="shared" si="117"/>
        <v>24</v>
      </c>
      <c r="O447" s="14">
        <f t="shared" si="105"/>
        <v>84</v>
      </c>
      <c r="P447" s="13">
        <f t="shared" si="110"/>
        <v>1</v>
      </c>
      <c r="Q447">
        <f t="shared" si="118"/>
        <v>24</v>
      </c>
      <c r="R447" s="14">
        <f t="shared" si="119"/>
        <v>84</v>
      </c>
      <c r="S447" s="15"/>
      <c r="W447" s="14"/>
    </row>
    <row r="448" spans="1:23" hidden="1" x14ac:dyDescent="0.25">
      <c r="A448" s="16"/>
      <c r="B448" s="17" t="b">
        <f t="shared" si="112"/>
        <v>0</v>
      </c>
      <c r="C448" s="17" t="b">
        <f t="shared" ref="C448:C511" si="120">OR(NOT(ISERROR(FIND("hr",A449))), NOT(ISERROR(FIND("min ",A449))),RIGHT(A449,3)="min")</f>
        <v>0</v>
      </c>
      <c r="D448" s="17">
        <f t="shared" si="106"/>
        <v>1</v>
      </c>
      <c r="E448" s="17" t="str">
        <f t="shared" si="111"/>
        <v>Section 5 - Conclusion, And FREE Coupon For Next Course</v>
      </c>
      <c r="F448" s="18" t="str">
        <f t="shared" si="107"/>
        <v/>
      </c>
      <c r="G448" s="13" t="str">
        <f t="shared" si="113"/>
        <v/>
      </c>
      <c r="H448">
        <f t="shared" si="114"/>
        <v>0</v>
      </c>
      <c r="I448">
        <f t="shared" si="115"/>
        <v>0</v>
      </c>
      <c r="J448" s="13">
        <f t="shared" si="116"/>
        <v>85</v>
      </c>
      <c r="K448">
        <f t="shared" si="108"/>
        <v>1</v>
      </c>
      <c r="L448">
        <f t="shared" si="109"/>
        <v>25</v>
      </c>
      <c r="M448" s="13">
        <f t="shared" si="117"/>
        <v>1</v>
      </c>
      <c r="N448">
        <f t="shared" si="117"/>
        <v>24</v>
      </c>
      <c r="O448" s="14">
        <f t="shared" si="105"/>
        <v>84</v>
      </c>
      <c r="P448" s="13">
        <f t="shared" si="110"/>
        <v>1</v>
      </c>
      <c r="Q448">
        <f t="shared" si="118"/>
        <v>24</v>
      </c>
      <c r="R448" s="14">
        <f t="shared" si="119"/>
        <v>84</v>
      </c>
      <c r="S448" s="15"/>
      <c r="W448" s="14"/>
    </row>
    <row r="449" spans="1:23" hidden="1" x14ac:dyDescent="0.25">
      <c r="A449" s="16"/>
      <c r="B449" s="17" t="b">
        <f t="shared" si="112"/>
        <v>0</v>
      </c>
      <c r="C449" s="17" t="b">
        <f t="shared" si="120"/>
        <v>0</v>
      </c>
      <c r="D449" s="17">
        <f t="shared" si="106"/>
        <v>1</v>
      </c>
      <c r="E449" s="17" t="str">
        <f t="shared" si="111"/>
        <v>Section 5 - Conclusion, And FREE Coupon For Next Course</v>
      </c>
      <c r="F449" s="18" t="str">
        <f t="shared" si="107"/>
        <v/>
      </c>
      <c r="G449" s="13" t="str">
        <f t="shared" si="113"/>
        <v/>
      </c>
      <c r="H449">
        <f t="shared" si="114"/>
        <v>0</v>
      </c>
      <c r="I449">
        <f t="shared" si="115"/>
        <v>0</v>
      </c>
      <c r="J449" s="13">
        <f t="shared" si="116"/>
        <v>85</v>
      </c>
      <c r="K449">
        <f t="shared" si="108"/>
        <v>1</v>
      </c>
      <c r="L449">
        <f t="shared" si="109"/>
        <v>25</v>
      </c>
      <c r="M449" s="13">
        <f t="shared" si="117"/>
        <v>1</v>
      </c>
      <c r="N449">
        <f t="shared" si="117"/>
        <v>24</v>
      </c>
      <c r="O449" s="14">
        <f t="shared" si="105"/>
        <v>84</v>
      </c>
      <c r="P449" s="13">
        <f t="shared" si="110"/>
        <v>1</v>
      </c>
      <c r="Q449">
        <f t="shared" si="118"/>
        <v>24</v>
      </c>
      <c r="R449" s="14">
        <f t="shared" si="119"/>
        <v>84</v>
      </c>
      <c r="S449" s="15"/>
      <c r="W449" s="14"/>
    </row>
    <row r="450" spans="1:23" hidden="1" x14ac:dyDescent="0.25">
      <c r="A450" s="16"/>
      <c r="B450" s="17" t="b">
        <f t="shared" si="112"/>
        <v>0</v>
      </c>
      <c r="C450" s="17" t="b">
        <f t="shared" si="120"/>
        <v>0</v>
      </c>
      <c r="D450" s="17">
        <f t="shared" si="106"/>
        <v>1</v>
      </c>
      <c r="E450" s="17" t="str">
        <f t="shared" si="111"/>
        <v>Section 5 - Conclusion, And FREE Coupon For Next Course</v>
      </c>
      <c r="F450" s="18" t="str">
        <f t="shared" si="107"/>
        <v/>
      </c>
      <c r="G450" s="13" t="str">
        <f t="shared" si="113"/>
        <v/>
      </c>
      <c r="H450">
        <f t="shared" si="114"/>
        <v>0</v>
      </c>
      <c r="I450">
        <f t="shared" si="115"/>
        <v>0</v>
      </c>
      <c r="J450" s="13">
        <f t="shared" si="116"/>
        <v>85</v>
      </c>
      <c r="K450">
        <f t="shared" si="108"/>
        <v>1</v>
      </c>
      <c r="L450">
        <f t="shared" si="109"/>
        <v>25</v>
      </c>
      <c r="M450" s="13">
        <f t="shared" si="117"/>
        <v>1</v>
      </c>
      <c r="N450">
        <f t="shared" si="117"/>
        <v>24</v>
      </c>
      <c r="O450" s="14">
        <f t="shared" si="105"/>
        <v>84</v>
      </c>
      <c r="P450" s="13">
        <f t="shared" si="110"/>
        <v>1</v>
      </c>
      <c r="Q450">
        <f t="shared" si="118"/>
        <v>24</v>
      </c>
      <c r="R450" s="14">
        <f t="shared" si="119"/>
        <v>84</v>
      </c>
      <c r="S450" s="15"/>
      <c r="W450" s="14"/>
    </row>
    <row r="451" spans="1:23" hidden="1" x14ac:dyDescent="0.25">
      <c r="A451" s="16"/>
      <c r="B451" s="17" t="b">
        <f t="shared" si="112"/>
        <v>0</v>
      </c>
      <c r="C451" s="17" t="b">
        <f t="shared" si="120"/>
        <v>0</v>
      </c>
      <c r="D451" s="17">
        <f t="shared" si="106"/>
        <v>1</v>
      </c>
      <c r="E451" s="17" t="str">
        <f t="shared" si="111"/>
        <v>Section 5 - Conclusion, And FREE Coupon For Next Course</v>
      </c>
      <c r="F451" s="18" t="str">
        <f t="shared" si="107"/>
        <v/>
      </c>
      <c r="G451" s="13" t="str">
        <f t="shared" si="113"/>
        <v/>
      </c>
      <c r="H451">
        <f t="shared" si="114"/>
        <v>0</v>
      </c>
      <c r="I451">
        <f t="shared" si="115"/>
        <v>0</v>
      </c>
      <c r="J451" s="13">
        <f t="shared" si="116"/>
        <v>85</v>
      </c>
      <c r="K451">
        <f t="shared" si="108"/>
        <v>1</v>
      </c>
      <c r="L451">
        <f t="shared" si="109"/>
        <v>25</v>
      </c>
      <c r="M451" s="13">
        <f t="shared" si="117"/>
        <v>1</v>
      </c>
      <c r="N451">
        <f t="shared" si="117"/>
        <v>24</v>
      </c>
      <c r="O451" s="14">
        <f t="shared" si="105"/>
        <v>84</v>
      </c>
      <c r="P451" s="13">
        <f t="shared" si="110"/>
        <v>1</v>
      </c>
      <c r="Q451">
        <f t="shared" si="118"/>
        <v>24</v>
      </c>
      <c r="R451" s="14">
        <f t="shared" si="119"/>
        <v>84</v>
      </c>
      <c r="S451" s="15"/>
      <c r="W451" s="14"/>
    </row>
    <row r="452" spans="1:23" hidden="1" x14ac:dyDescent="0.25">
      <c r="A452" s="16"/>
      <c r="B452" s="17" t="b">
        <f t="shared" si="112"/>
        <v>0</v>
      </c>
      <c r="C452" s="17" t="b">
        <f t="shared" si="120"/>
        <v>0</v>
      </c>
      <c r="D452" s="17">
        <f t="shared" si="106"/>
        <v>1</v>
      </c>
      <c r="E452" s="17" t="str">
        <f t="shared" si="111"/>
        <v>Section 5 - Conclusion, And FREE Coupon For Next Course</v>
      </c>
      <c r="F452" s="18" t="str">
        <f t="shared" si="107"/>
        <v/>
      </c>
      <c r="G452" s="13" t="str">
        <f t="shared" si="113"/>
        <v/>
      </c>
      <c r="H452">
        <f t="shared" si="114"/>
        <v>0</v>
      </c>
      <c r="I452">
        <f t="shared" si="115"/>
        <v>0</v>
      </c>
      <c r="J452" s="13">
        <f t="shared" si="116"/>
        <v>85</v>
      </c>
      <c r="K452">
        <f t="shared" si="108"/>
        <v>1</v>
      </c>
      <c r="L452">
        <f t="shared" si="109"/>
        <v>25</v>
      </c>
      <c r="M452" s="13">
        <f t="shared" si="117"/>
        <v>1</v>
      </c>
      <c r="N452">
        <f t="shared" si="117"/>
        <v>24</v>
      </c>
      <c r="O452" s="14">
        <f t="shared" si="105"/>
        <v>84</v>
      </c>
      <c r="P452" s="13">
        <f t="shared" si="110"/>
        <v>1</v>
      </c>
      <c r="Q452">
        <f t="shared" si="118"/>
        <v>24</v>
      </c>
      <c r="R452" s="14">
        <f t="shared" si="119"/>
        <v>84</v>
      </c>
      <c r="S452" s="15"/>
      <c r="W452" s="14"/>
    </row>
    <row r="453" spans="1:23" hidden="1" x14ac:dyDescent="0.25">
      <c r="A453" s="16"/>
      <c r="B453" s="17" t="b">
        <f t="shared" si="112"/>
        <v>0</v>
      </c>
      <c r="C453" s="17" t="b">
        <f t="shared" si="120"/>
        <v>0</v>
      </c>
      <c r="D453" s="17">
        <f t="shared" si="106"/>
        <v>1</v>
      </c>
      <c r="E453" s="17" t="str">
        <f t="shared" si="111"/>
        <v>Section 5 - Conclusion, And FREE Coupon For Next Course</v>
      </c>
      <c r="F453" s="18" t="str">
        <f t="shared" si="107"/>
        <v/>
      </c>
      <c r="G453" s="13" t="str">
        <f t="shared" si="113"/>
        <v/>
      </c>
      <c r="H453">
        <f t="shared" si="114"/>
        <v>0</v>
      </c>
      <c r="I453">
        <f t="shared" si="115"/>
        <v>0</v>
      </c>
      <c r="J453" s="13">
        <f t="shared" si="116"/>
        <v>85</v>
      </c>
      <c r="K453">
        <f t="shared" si="108"/>
        <v>1</v>
      </c>
      <c r="L453">
        <f t="shared" si="109"/>
        <v>25</v>
      </c>
      <c r="M453" s="13">
        <f t="shared" si="117"/>
        <v>1</v>
      </c>
      <c r="N453">
        <f t="shared" si="117"/>
        <v>24</v>
      </c>
      <c r="O453" s="14">
        <f t="shared" si="105"/>
        <v>84</v>
      </c>
      <c r="P453" s="13">
        <f t="shared" si="110"/>
        <v>1</v>
      </c>
      <c r="Q453">
        <f t="shared" si="118"/>
        <v>24</v>
      </c>
      <c r="R453" s="14">
        <f t="shared" si="119"/>
        <v>84</v>
      </c>
      <c r="S453" s="15"/>
      <c r="W453" s="14"/>
    </row>
    <row r="454" spans="1:23" hidden="1" x14ac:dyDescent="0.25">
      <c r="A454" s="16"/>
      <c r="B454" s="17" t="b">
        <f t="shared" si="112"/>
        <v>0</v>
      </c>
      <c r="C454" s="17" t="b">
        <f t="shared" si="120"/>
        <v>0</v>
      </c>
      <c r="D454" s="17">
        <f t="shared" si="106"/>
        <v>1</v>
      </c>
      <c r="E454" s="17" t="str">
        <f t="shared" si="111"/>
        <v>Section 5 - Conclusion, And FREE Coupon For Next Course</v>
      </c>
      <c r="F454" s="18" t="str">
        <f t="shared" si="107"/>
        <v/>
      </c>
      <c r="G454" s="13" t="str">
        <f t="shared" si="113"/>
        <v/>
      </c>
      <c r="H454">
        <f t="shared" si="114"/>
        <v>0</v>
      </c>
      <c r="I454">
        <f t="shared" si="115"/>
        <v>0</v>
      </c>
      <c r="J454" s="13">
        <f t="shared" si="116"/>
        <v>85</v>
      </c>
      <c r="K454">
        <f t="shared" si="108"/>
        <v>1</v>
      </c>
      <c r="L454">
        <f t="shared" si="109"/>
        <v>25</v>
      </c>
      <c r="M454" s="13">
        <f t="shared" si="117"/>
        <v>1</v>
      </c>
      <c r="N454">
        <f t="shared" si="117"/>
        <v>24</v>
      </c>
      <c r="O454" s="14">
        <f t="shared" si="105"/>
        <v>84</v>
      </c>
      <c r="P454" s="13">
        <f t="shared" si="110"/>
        <v>1</v>
      </c>
      <c r="Q454">
        <f t="shared" si="118"/>
        <v>24</v>
      </c>
      <c r="R454" s="14">
        <f t="shared" si="119"/>
        <v>84</v>
      </c>
      <c r="S454" s="15"/>
      <c r="W454" s="14"/>
    </row>
    <row r="455" spans="1:23" hidden="1" x14ac:dyDescent="0.25">
      <c r="A455" s="16"/>
      <c r="B455" s="17" t="b">
        <f t="shared" si="112"/>
        <v>0</v>
      </c>
      <c r="C455" s="17" t="b">
        <f t="shared" si="120"/>
        <v>0</v>
      </c>
      <c r="D455" s="17">
        <f t="shared" si="106"/>
        <v>1</v>
      </c>
      <c r="E455" s="17" t="str">
        <f t="shared" si="111"/>
        <v>Section 5 - Conclusion, And FREE Coupon For Next Course</v>
      </c>
      <c r="F455" s="18" t="str">
        <f t="shared" si="107"/>
        <v/>
      </c>
      <c r="G455" s="13" t="str">
        <f t="shared" si="113"/>
        <v/>
      </c>
      <c r="H455">
        <f t="shared" si="114"/>
        <v>0</v>
      </c>
      <c r="I455">
        <f t="shared" si="115"/>
        <v>0</v>
      </c>
      <c r="J455" s="13">
        <f t="shared" si="116"/>
        <v>85</v>
      </c>
      <c r="K455">
        <f t="shared" si="108"/>
        <v>1</v>
      </c>
      <c r="L455">
        <f t="shared" si="109"/>
        <v>25</v>
      </c>
      <c r="M455" s="13">
        <f t="shared" si="117"/>
        <v>1</v>
      </c>
      <c r="N455">
        <f t="shared" si="117"/>
        <v>24</v>
      </c>
      <c r="O455" s="14">
        <f t="shared" si="105"/>
        <v>84</v>
      </c>
      <c r="P455" s="13">
        <f t="shared" si="110"/>
        <v>1</v>
      </c>
      <c r="Q455">
        <f t="shared" si="118"/>
        <v>24</v>
      </c>
      <c r="R455" s="14">
        <f t="shared" si="119"/>
        <v>84</v>
      </c>
      <c r="S455" s="15"/>
      <c r="W455" s="14"/>
    </row>
    <row r="456" spans="1:23" hidden="1" x14ac:dyDescent="0.25">
      <c r="A456" s="16"/>
      <c r="B456" s="17" t="b">
        <f t="shared" si="112"/>
        <v>0</v>
      </c>
      <c r="C456" s="17" t="b">
        <f t="shared" si="120"/>
        <v>0</v>
      </c>
      <c r="D456" s="17">
        <f t="shared" si="106"/>
        <v>1</v>
      </c>
      <c r="E456" s="17" t="str">
        <f t="shared" si="111"/>
        <v>Section 5 - Conclusion, And FREE Coupon For Next Course</v>
      </c>
      <c r="F456" s="18" t="str">
        <f t="shared" si="107"/>
        <v/>
      </c>
      <c r="G456" s="13" t="str">
        <f t="shared" si="113"/>
        <v/>
      </c>
      <c r="H456">
        <f t="shared" si="114"/>
        <v>0</v>
      </c>
      <c r="I456">
        <f t="shared" si="115"/>
        <v>0</v>
      </c>
      <c r="J456" s="13">
        <f t="shared" si="116"/>
        <v>85</v>
      </c>
      <c r="K456">
        <f t="shared" si="108"/>
        <v>1</v>
      </c>
      <c r="L456">
        <f t="shared" si="109"/>
        <v>25</v>
      </c>
      <c r="M456" s="13">
        <f t="shared" si="117"/>
        <v>1</v>
      </c>
      <c r="N456">
        <f t="shared" si="117"/>
        <v>24</v>
      </c>
      <c r="O456" s="14">
        <f t="shared" si="105"/>
        <v>84</v>
      </c>
      <c r="P456" s="13">
        <f t="shared" si="110"/>
        <v>1</v>
      </c>
      <c r="Q456">
        <f t="shared" si="118"/>
        <v>24</v>
      </c>
      <c r="R456" s="14">
        <f t="shared" si="119"/>
        <v>84</v>
      </c>
      <c r="S456" s="15"/>
      <c r="W456" s="14"/>
    </row>
    <row r="457" spans="1:23" hidden="1" x14ac:dyDescent="0.25">
      <c r="A457" s="16"/>
      <c r="B457" s="17" t="b">
        <f t="shared" si="112"/>
        <v>0</v>
      </c>
      <c r="C457" s="17" t="b">
        <f t="shared" si="120"/>
        <v>0</v>
      </c>
      <c r="D457" s="17">
        <f t="shared" si="106"/>
        <v>1</v>
      </c>
      <c r="E457" s="17" t="str">
        <f t="shared" si="111"/>
        <v>Section 5 - Conclusion, And FREE Coupon For Next Course</v>
      </c>
      <c r="F457" s="18" t="str">
        <f t="shared" si="107"/>
        <v/>
      </c>
      <c r="G457" s="13" t="str">
        <f t="shared" si="113"/>
        <v/>
      </c>
      <c r="H457">
        <f t="shared" si="114"/>
        <v>0</v>
      </c>
      <c r="I457">
        <f t="shared" si="115"/>
        <v>0</v>
      </c>
      <c r="J457" s="13">
        <f t="shared" si="116"/>
        <v>85</v>
      </c>
      <c r="K457">
        <f t="shared" si="108"/>
        <v>1</v>
      </c>
      <c r="L457">
        <f t="shared" si="109"/>
        <v>25</v>
      </c>
      <c r="M457" s="13">
        <f t="shared" si="117"/>
        <v>1</v>
      </c>
      <c r="N457">
        <f t="shared" si="117"/>
        <v>24</v>
      </c>
      <c r="O457" s="14">
        <f t="shared" si="105"/>
        <v>84</v>
      </c>
      <c r="P457" s="13">
        <f t="shared" si="110"/>
        <v>1</v>
      </c>
      <c r="Q457">
        <f t="shared" si="118"/>
        <v>24</v>
      </c>
      <c r="R457" s="14">
        <f t="shared" si="119"/>
        <v>84</v>
      </c>
      <c r="S457" s="15"/>
      <c r="W457" s="14"/>
    </row>
    <row r="458" spans="1:23" hidden="1" x14ac:dyDescent="0.25">
      <c r="A458" s="16"/>
      <c r="B458" s="17" t="b">
        <f t="shared" si="112"/>
        <v>0</v>
      </c>
      <c r="C458" s="17" t="b">
        <f t="shared" si="120"/>
        <v>0</v>
      </c>
      <c r="D458" s="17">
        <f t="shared" si="106"/>
        <v>1</v>
      </c>
      <c r="E458" s="17" t="str">
        <f t="shared" si="111"/>
        <v>Section 5 - Conclusion, And FREE Coupon For Next Course</v>
      </c>
      <c r="F458" s="18" t="str">
        <f t="shared" si="107"/>
        <v/>
      </c>
      <c r="G458" s="13" t="str">
        <f t="shared" si="113"/>
        <v/>
      </c>
      <c r="H458">
        <f t="shared" si="114"/>
        <v>0</v>
      </c>
      <c r="I458">
        <f t="shared" si="115"/>
        <v>0</v>
      </c>
      <c r="J458" s="13">
        <f t="shared" si="116"/>
        <v>85</v>
      </c>
      <c r="K458">
        <f t="shared" si="108"/>
        <v>1</v>
      </c>
      <c r="L458">
        <f t="shared" si="109"/>
        <v>25</v>
      </c>
      <c r="M458" s="13">
        <f t="shared" si="117"/>
        <v>1</v>
      </c>
      <c r="N458">
        <f t="shared" si="117"/>
        <v>24</v>
      </c>
      <c r="O458" s="14">
        <f t="shared" ref="O458:O521" si="121">((M458*60)+N458)</f>
        <v>84</v>
      </c>
      <c r="P458" s="13">
        <f t="shared" si="110"/>
        <v>1</v>
      </c>
      <c r="Q458">
        <f t="shared" si="118"/>
        <v>24</v>
      </c>
      <c r="R458" s="14">
        <f t="shared" si="119"/>
        <v>84</v>
      </c>
      <c r="S458" s="15"/>
      <c r="W458" s="14"/>
    </row>
    <row r="459" spans="1:23" hidden="1" x14ac:dyDescent="0.25">
      <c r="A459" s="16"/>
      <c r="B459" s="17" t="b">
        <f t="shared" si="112"/>
        <v>0</v>
      </c>
      <c r="C459" s="17" t="b">
        <f t="shared" si="120"/>
        <v>0</v>
      </c>
      <c r="D459" s="17">
        <f t="shared" ref="D459:D522" si="122">IF(B459,0,IF(C459,D458+1,D458))</f>
        <v>1</v>
      </c>
      <c r="E459" s="17" t="str">
        <f t="shared" si="111"/>
        <v>Section 5 - Conclusion, And FREE Coupon For Next Course</v>
      </c>
      <c r="F459" s="18" t="str">
        <f t="shared" ref="F459:F522" si="123">IF(C459,A459,"")</f>
        <v/>
      </c>
      <c r="G459" s="13" t="str">
        <f t="shared" si="113"/>
        <v/>
      </c>
      <c r="H459">
        <f t="shared" si="114"/>
        <v>0</v>
      </c>
      <c r="I459">
        <f t="shared" si="115"/>
        <v>0</v>
      </c>
      <c r="J459" s="13">
        <f t="shared" si="116"/>
        <v>85</v>
      </c>
      <c r="K459">
        <f t="shared" ref="K459:K522" si="124">INT(J459/60)</f>
        <v>1</v>
      </c>
      <c r="L459">
        <f t="shared" ref="L459:L522" si="125">INT(J459-(K459*60))</f>
        <v>25</v>
      </c>
      <c r="M459" s="13">
        <f t="shared" si="117"/>
        <v>1</v>
      </c>
      <c r="N459">
        <f t="shared" si="117"/>
        <v>24</v>
      </c>
      <c r="O459" s="14">
        <f t="shared" si="121"/>
        <v>84</v>
      </c>
      <c r="P459" s="13">
        <f t="shared" ref="P459:P522" si="126">INT(R459/60)</f>
        <v>1</v>
      </c>
      <c r="Q459">
        <f t="shared" si="118"/>
        <v>24</v>
      </c>
      <c r="R459" s="14">
        <f t="shared" si="119"/>
        <v>84</v>
      </c>
      <c r="S459" s="15"/>
      <c r="W459" s="14"/>
    </row>
    <row r="460" spans="1:23" hidden="1" x14ac:dyDescent="0.25">
      <c r="A460" s="16"/>
      <c r="B460" s="17" t="b">
        <f t="shared" si="112"/>
        <v>0</v>
      </c>
      <c r="C460" s="17" t="b">
        <f t="shared" si="120"/>
        <v>0</v>
      </c>
      <c r="D460" s="17">
        <f t="shared" si="122"/>
        <v>1</v>
      </c>
      <c r="E460" s="17" t="str">
        <f t="shared" ref="E460:E523" si="127">SUBSTITUTE(IF(B460,A460,E459),":", " -")</f>
        <v>Section 5 - Conclusion, And FREE Coupon For Next Course</v>
      </c>
      <c r="F460" s="18" t="str">
        <f t="shared" si="123"/>
        <v/>
      </c>
      <c r="G460" s="13" t="str">
        <f t="shared" si="113"/>
        <v/>
      </c>
      <c r="H460">
        <f t="shared" si="114"/>
        <v>0</v>
      </c>
      <c r="I460">
        <f t="shared" si="115"/>
        <v>0</v>
      </c>
      <c r="J460" s="13">
        <f t="shared" si="116"/>
        <v>85</v>
      </c>
      <c r="K460">
        <f t="shared" si="124"/>
        <v>1</v>
      </c>
      <c r="L460">
        <f t="shared" si="125"/>
        <v>25</v>
      </c>
      <c r="M460" s="13">
        <f t="shared" si="117"/>
        <v>1</v>
      </c>
      <c r="N460">
        <f t="shared" si="117"/>
        <v>24</v>
      </c>
      <c r="O460" s="14">
        <f t="shared" si="121"/>
        <v>84</v>
      </c>
      <c r="P460" s="13">
        <f t="shared" si="126"/>
        <v>1</v>
      </c>
      <c r="Q460">
        <f t="shared" si="118"/>
        <v>24</v>
      </c>
      <c r="R460" s="14">
        <f t="shared" si="119"/>
        <v>84</v>
      </c>
      <c r="S460" s="15"/>
      <c r="W460" s="14"/>
    </row>
    <row r="461" spans="1:23" hidden="1" x14ac:dyDescent="0.25">
      <c r="A461" s="16"/>
      <c r="B461" s="17" t="b">
        <f t="shared" si="112"/>
        <v>0</v>
      </c>
      <c r="C461" s="17" t="b">
        <f t="shared" si="120"/>
        <v>0</v>
      </c>
      <c r="D461" s="17">
        <f t="shared" si="122"/>
        <v>1</v>
      </c>
      <c r="E461" s="17" t="str">
        <f t="shared" si="127"/>
        <v>Section 5 - Conclusion, And FREE Coupon For Next Course</v>
      </c>
      <c r="F461" s="18" t="str">
        <f t="shared" si="123"/>
        <v/>
      </c>
      <c r="G461" s="13" t="str">
        <f t="shared" si="113"/>
        <v/>
      </c>
      <c r="H461">
        <f t="shared" si="114"/>
        <v>0</v>
      </c>
      <c r="I461">
        <f t="shared" si="115"/>
        <v>0</v>
      </c>
      <c r="J461" s="13">
        <f t="shared" si="116"/>
        <v>85</v>
      </c>
      <c r="K461">
        <f t="shared" si="124"/>
        <v>1</v>
      </c>
      <c r="L461">
        <f t="shared" si="125"/>
        <v>25</v>
      </c>
      <c r="M461" s="13">
        <f t="shared" si="117"/>
        <v>1</v>
      </c>
      <c r="N461">
        <f t="shared" si="117"/>
        <v>24</v>
      </c>
      <c r="O461" s="14">
        <f t="shared" si="121"/>
        <v>84</v>
      </c>
      <c r="P461" s="13">
        <f t="shared" si="126"/>
        <v>1</v>
      </c>
      <c r="Q461">
        <f t="shared" si="118"/>
        <v>24</v>
      </c>
      <c r="R461" s="14">
        <f t="shared" si="119"/>
        <v>84</v>
      </c>
      <c r="S461" s="15"/>
      <c r="W461" s="14"/>
    </row>
    <row r="462" spans="1:23" hidden="1" x14ac:dyDescent="0.25">
      <c r="A462" s="16"/>
      <c r="B462" s="17" t="b">
        <f t="shared" si="112"/>
        <v>0</v>
      </c>
      <c r="C462" s="17" t="b">
        <f t="shared" si="120"/>
        <v>0</v>
      </c>
      <c r="D462" s="17">
        <f t="shared" si="122"/>
        <v>1</v>
      </c>
      <c r="E462" s="17" t="str">
        <f t="shared" si="127"/>
        <v>Section 5 - Conclusion, And FREE Coupon For Next Course</v>
      </c>
      <c r="F462" s="18" t="str">
        <f t="shared" si="123"/>
        <v/>
      </c>
      <c r="G462" s="13" t="str">
        <f t="shared" si="113"/>
        <v/>
      </c>
      <c r="H462">
        <f t="shared" si="114"/>
        <v>0</v>
      </c>
      <c r="I462">
        <f t="shared" si="115"/>
        <v>0</v>
      </c>
      <c r="J462" s="13">
        <f t="shared" si="116"/>
        <v>85</v>
      </c>
      <c r="K462">
        <f t="shared" si="124"/>
        <v>1</v>
      </c>
      <c r="L462">
        <f t="shared" si="125"/>
        <v>25</v>
      </c>
      <c r="M462" s="13">
        <f t="shared" si="117"/>
        <v>1</v>
      </c>
      <c r="N462">
        <f t="shared" si="117"/>
        <v>24</v>
      </c>
      <c r="O462" s="14">
        <f t="shared" si="121"/>
        <v>84</v>
      </c>
      <c r="P462" s="13">
        <f t="shared" si="126"/>
        <v>1</v>
      </c>
      <c r="Q462">
        <f t="shared" si="118"/>
        <v>24</v>
      </c>
      <c r="R462" s="14">
        <f t="shared" si="119"/>
        <v>84</v>
      </c>
      <c r="S462" s="15"/>
      <c r="W462" s="14"/>
    </row>
    <row r="463" spans="1:23" hidden="1" x14ac:dyDescent="0.25">
      <c r="A463" s="16"/>
      <c r="B463" s="17" t="b">
        <f t="shared" si="112"/>
        <v>0</v>
      </c>
      <c r="C463" s="17" t="b">
        <f t="shared" si="120"/>
        <v>0</v>
      </c>
      <c r="D463" s="17">
        <f t="shared" si="122"/>
        <v>1</v>
      </c>
      <c r="E463" s="17" t="str">
        <f t="shared" si="127"/>
        <v>Section 5 - Conclusion, And FREE Coupon For Next Course</v>
      </c>
      <c r="F463" s="18" t="str">
        <f t="shared" si="123"/>
        <v/>
      </c>
      <c r="G463" s="13" t="str">
        <f t="shared" si="113"/>
        <v/>
      </c>
      <c r="H463">
        <f t="shared" si="114"/>
        <v>0</v>
      </c>
      <c r="I463">
        <f t="shared" si="115"/>
        <v>0</v>
      </c>
      <c r="J463" s="13">
        <f t="shared" si="116"/>
        <v>85</v>
      </c>
      <c r="K463">
        <f t="shared" si="124"/>
        <v>1</v>
      </c>
      <c r="L463">
        <f t="shared" si="125"/>
        <v>25</v>
      </c>
      <c r="M463" s="13">
        <f t="shared" si="117"/>
        <v>1</v>
      </c>
      <c r="N463">
        <f t="shared" si="117"/>
        <v>24</v>
      </c>
      <c r="O463" s="14">
        <f t="shared" si="121"/>
        <v>84</v>
      </c>
      <c r="P463" s="13">
        <f t="shared" si="126"/>
        <v>1</v>
      </c>
      <c r="Q463">
        <f t="shared" si="118"/>
        <v>24</v>
      </c>
      <c r="R463" s="14">
        <f t="shared" si="119"/>
        <v>84</v>
      </c>
      <c r="S463" s="15"/>
      <c r="W463" s="14"/>
    </row>
    <row r="464" spans="1:23" hidden="1" x14ac:dyDescent="0.25">
      <c r="A464" s="16"/>
      <c r="B464" s="17" t="b">
        <f t="shared" si="112"/>
        <v>0</v>
      </c>
      <c r="C464" s="17" t="b">
        <f t="shared" si="120"/>
        <v>0</v>
      </c>
      <c r="D464" s="17">
        <f t="shared" si="122"/>
        <v>1</v>
      </c>
      <c r="E464" s="17" t="str">
        <f t="shared" si="127"/>
        <v>Section 5 - Conclusion, And FREE Coupon For Next Course</v>
      </c>
      <c r="F464" s="18" t="str">
        <f t="shared" si="123"/>
        <v/>
      </c>
      <c r="G464" s="13" t="str">
        <f t="shared" si="113"/>
        <v/>
      </c>
      <c r="H464">
        <f t="shared" si="114"/>
        <v>0</v>
      </c>
      <c r="I464">
        <f t="shared" si="115"/>
        <v>0</v>
      </c>
      <c r="J464" s="13">
        <f t="shared" si="116"/>
        <v>85</v>
      </c>
      <c r="K464">
        <f t="shared" si="124"/>
        <v>1</v>
      </c>
      <c r="L464">
        <f t="shared" si="125"/>
        <v>25</v>
      </c>
      <c r="M464" s="13">
        <f t="shared" si="117"/>
        <v>1</v>
      </c>
      <c r="N464">
        <f t="shared" si="117"/>
        <v>24</v>
      </c>
      <c r="O464" s="14">
        <f t="shared" si="121"/>
        <v>84</v>
      </c>
      <c r="P464" s="13">
        <f t="shared" si="126"/>
        <v>1</v>
      </c>
      <c r="Q464">
        <f t="shared" si="118"/>
        <v>24</v>
      </c>
      <c r="R464" s="14">
        <f t="shared" si="119"/>
        <v>84</v>
      </c>
      <c r="S464" s="15"/>
      <c r="W464" s="14"/>
    </row>
    <row r="465" spans="1:23" hidden="1" x14ac:dyDescent="0.25">
      <c r="A465" s="16"/>
      <c r="B465" s="17" t="b">
        <f t="shared" si="112"/>
        <v>0</v>
      </c>
      <c r="C465" s="17" t="b">
        <f t="shared" si="120"/>
        <v>0</v>
      </c>
      <c r="D465" s="17">
        <f t="shared" si="122"/>
        <v>1</v>
      </c>
      <c r="E465" s="17" t="str">
        <f t="shared" si="127"/>
        <v>Section 5 - Conclusion, And FREE Coupon For Next Course</v>
      </c>
      <c r="F465" s="18" t="str">
        <f t="shared" si="123"/>
        <v/>
      </c>
      <c r="G465" s="13" t="str">
        <f t="shared" si="113"/>
        <v/>
      </c>
      <c r="H465">
        <f t="shared" si="114"/>
        <v>0</v>
      </c>
      <c r="I465">
        <f t="shared" si="115"/>
        <v>0</v>
      </c>
      <c r="J465" s="13">
        <f t="shared" si="116"/>
        <v>85</v>
      </c>
      <c r="K465">
        <f t="shared" si="124"/>
        <v>1</v>
      </c>
      <c r="L465">
        <f t="shared" si="125"/>
        <v>25</v>
      </c>
      <c r="M465" s="13">
        <f t="shared" si="117"/>
        <v>1</v>
      </c>
      <c r="N465">
        <f t="shared" si="117"/>
        <v>24</v>
      </c>
      <c r="O465" s="14">
        <f t="shared" si="121"/>
        <v>84</v>
      </c>
      <c r="P465" s="13">
        <f t="shared" si="126"/>
        <v>1</v>
      </c>
      <c r="Q465">
        <f t="shared" si="118"/>
        <v>24</v>
      </c>
      <c r="R465" s="14">
        <f t="shared" si="119"/>
        <v>84</v>
      </c>
      <c r="S465" s="15"/>
      <c r="W465" s="14"/>
    </row>
    <row r="466" spans="1:23" hidden="1" x14ac:dyDescent="0.25">
      <c r="A466" s="16"/>
      <c r="B466" s="17" t="b">
        <f t="shared" ref="B466:B529" si="128">AND(NOT(ISERROR(FIND("Section ",A466))),NOT(ISERROR(FIND("Section ",A466))))</f>
        <v>0</v>
      </c>
      <c r="C466" s="17" t="b">
        <f t="shared" si="120"/>
        <v>0</v>
      </c>
      <c r="D466" s="17">
        <f t="shared" si="122"/>
        <v>1</v>
      </c>
      <c r="E466" s="17" t="str">
        <f t="shared" si="127"/>
        <v>Section 5 - Conclusion, And FREE Coupon For Next Course</v>
      </c>
      <c r="F466" s="18" t="str">
        <f t="shared" si="123"/>
        <v/>
      </c>
      <c r="G466" s="13" t="str">
        <f t="shared" si="113"/>
        <v/>
      </c>
      <c r="H466">
        <f t="shared" si="114"/>
        <v>0</v>
      </c>
      <c r="I466">
        <f t="shared" si="115"/>
        <v>0</v>
      </c>
      <c r="J466" s="13">
        <f t="shared" si="116"/>
        <v>85</v>
      </c>
      <c r="K466">
        <f t="shared" si="124"/>
        <v>1</v>
      </c>
      <c r="L466">
        <f t="shared" si="125"/>
        <v>25</v>
      </c>
      <c r="M466" s="13">
        <f t="shared" si="117"/>
        <v>1</v>
      </c>
      <c r="N466">
        <f t="shared" si="117"/>
        <v>24</v>
      </c>
      <c r="O466" s="14">
        <f t="shared" si="121"/>
        <v>84</v>
      </c>
      <c r="P466" s="13">
        <f t="shared" si="126"/>
        <v>1</v>
      </c>
      <c r="Q466">
        <f t="shared" si="118"/>
        <v>24</v>
      </c>
      <c r="R466" s="14">
        <f t="shared" si="119"/>
        <v>84</v>
      </c>
      <c r="S466" s="15"/>
      <c r="W466" s="14"/>
    </row>
    <row r="467" spans="1:23" hidden="1" x14ac:dyDescent="0.25">
      <c r="A467" s="16"/>
      <c r="B467" s="17" t="b">
        <f t="shared" si="128"/>
        <v>0</v>
      </c>
      <c r="C467" s="17" t="b">
        <f t="shared" si="120"/>
        <v>0</v>
      </c>
      <c r="D467" s="17">
        <f t="shared" si="122"/>
        <v>1</v>
      </c>
      <c r="E467" s="17" t="str">
        <f t="shared" si="127"/>
        <v>Section 5 - Conclusion, And FREE Coupon For Next Course</v>
      </c>
      <c r="F467" s="18" t="str">
        <f t="shared" si="123"/>
        <v/>
      </c>
      <c r="G467" s="13" t="str">
        <f t="shared" si="113"/>
        <v/>
      </c>
      <c r="H467">
        <f t="shared" si="114"/>
        <v>0</v>
      </c>
      <c r="I467">
        <f t="shared" si="115"/>
        <v>0</v>
      </c>
      <c r="J467" s="13">
        <f t="shared" si="116"/>
        <v>85</v>
      </c>
      <c r="K467">
        <f t="shared" si="124"/>
        <v>1</v>
      </c>
      <c r="L467">
        <f t="shared" si="125"/>
        <v>25</v>
      </c>
      <c r="M467" s="13">
        <f t="shared" si="117"/>
        <v>1</v>
      </c>
      <c r="N467">
        <f t="shared" si="117"/>
        <v>24</v>
      </c>
      <c r="O467" s="14">
        <f t="shared" si="121"/>
        <v>84</v>
      </c>
      <c r="P467" s="13">
        <f t="shared" si="126"/>
        <v>1</v>
      </c>
      <c r="Q467">
        <f t="shared" si="118"/>
        <v>24</v>
      </c>
      <c r="R467" s="14">
        <f t="shared" si="119"/>
        <v>84</v>
      </c>
      <c r="S467" s="15"/>
      <c r="W467" s="14"/>
    </row>
    <row r="468" spans="1:23" hidden="1" x14ac:dyDescent="0.25">
      <c r="A468" s="16"/>
      <c r="B468" s="17" t="b">
        <f t="shared" si="128"/>
        <v>0</v>
      </c>
      <c r="C468" s="17" t="b">
        <f t="shared" si="120"/>
        <v>0</v>
      </c>
      <c r="D468" s="17">
        <f t="shared" si="122"/>
        <v>1</v>
      </c>
      <c r="E468" s="17" t="str">
        <f t="shared" si="127"/>
        <v>Section 5 - Conclusion, And FREE Coupon For Next Course</v>
      </c>
      <c r="F468" s="18" t="str">
        <f t="shared" si="123"/>
        <v/>
      </c>
      <c r="G468" s="13" t="str">
        <f t="shared" si="113"/>
        <v/>
      </c>
      <c r="H468">
        <f t="shared" si="114"/>
        <v>0</v>
      </c>
      <c r="I468">
        <f t="shared" si="115"/>
        <v>0</v>
      </c>
      <c r="J468" s="13">
        <f t="shared" si="116"/>
        <v>85</v>
      </c>
      <c r="K468">
        <f t="shared" si="124"/>
        <v>1</v>
      </c>
      <c r="L468">
        <f t="shared" si="125"/>
        <v>25</v>
      </c>
      <c r="M468" s="13">
        <f t="shared" si="117"/>
        <v>1</v>
      </c>
      <c r="N468">
        <f t="shared" si="117"/>
        <v>24</v>
      </c>
      <c r="O468" s="14">
        <f t="shared" si="121"/>
        <v>84</v>
      </c>
      <c r="P468" s="13">
        <f t="shared" si="126"/>
        <v>1</v>
      </c>
      <c r="Q468">
        <f t="shared" si="118"/>
        <v>24</v>
      </c>
      <c r="R468" s="14">
        <f t="shared" si="119"/>
        <v>84</v>
      </c>
      <c r="S468" s="15"/>
      <c r="W468" s="14"/>
    </row>
    <row r="469" spans="1:23" hidden="1" x14ac:dyDescent="0.25">
      <c r="A469" s="16"/>
      <c r="B469" s="17" t="b">
        <f t="shared" si="128"/>
        <v>0</v>
      </c>
      <c r="C469" s="17" t="b">
        <f t="shared" si="120"/>
        <v>0</v>
      </c>
      <c r="D469" s="17">
        <f t="shared" si="122"/>
        <v>1</v>
      </c>
      <c r="E469" s="17" t="str">
        <f t="shared" si="127"/>
        <v>Section 5 - Conclusion, And FREE Coupon For Next Course</v>
      </c>
      <c r="F469" s="18" t="str">
        <f t="shared" si="123"/>
        <v/>
      </c>
      <c r="G469" s="13" t="str">
        <f t="shared" ref="G469:G532" si="129">IF(C469,A470,"")</f>
        <v/>
      </c>
      <c r="H469">
        <f t="shared" ref="H469:H532" si="130">VALUE(IF(NOT(ISERROR(FIND("hr",G469))),LEFT(G469,FIND("hr",G469)-1),0))</f>
        <v>0</v>
      </c>
      <c r="I469">
        <f t="shared" ref="I469:I532" si="131">VALUE(IF(ISERROR(FIND("min",G469)),0,SUBSTITUTE(MID(G469,IF(ISERROR(FIND("hr ",G469)),1,FIND("hr ",G469)+3),LEN(G469)),"min","")))</f>
        <v>0</v>
      </c>
      <c r="J469" s="13">
        <f t="shared" ref="J469:J532" si="132">J468+(H469*60+I469)</f>
        <v>85</v>
      </c>
      <c r="K469">
        <f t="shared" si="124"/>
        <v>1</v>
      </c>
      <c r="L469">
        <f t="shared" si="125"/>
        <v>25</v>
      </c>
      <c r="M469" s="13">
        <f t="shared" ref="M469:N532" si="133">P468</f>
        <v>1</v>
      </c>
      <c r="N469">
        <f t="shared" si="133"/>
        <v>24</v>
      </c>
      <c r="O469" s="14">
        <f t="shared" si="121"/>
        <v>84</v>
      </c>
      <c r="P469" s="13">
        <f t="shared" si="126"/>
        <v>1</v>
      </c>
      <c r="Q469">
        <f t="shared" ref="Q469:Q532" si="134">R469-(P469*60)</f>
        <v>24</v>
      </c>
      <c r="R469" s="14">
        <f t="shared" ref="R469:R532" si="135">((H469*60)+I469)+O469</f>
        <v>84</v>
      </c>
      <c r="S469" s="15"/>
      <c r="W469" s="14"/>
    </row>
    <row r="470" spans="1:23" hidden="1" x14ac:dyDescent="0.25">
      <c r="A470" s="16"/>
      <c r="B470" s="17" t="b">
        <f t="shared" si="128"/>
        <v>0</v>
      </c>
      <c r="C470" s="17" t="b">
        <f t="shared" si="120"/>
        <v>0</v>
      </c>
      <c r="D470" s="17">
        <f t="shared" si="122"/>
        <v>1</v>
      </c>
      <c r="E470" s="17" t="str">
        <f t="shared" si="127"/>
        <v>Section 5 - Conclusion, And FREE Coupon For Next Course</v>
      </c>
      <c r="F470" s="18" t="str">
        <f t="shared" si="123"/>
        <v/>
      </c>
      <c r="G470" s="13" t="str">
        <f t="shared" si="129"/>
        <v/>
      </c>
      <c r="H470">
        <f t="shared" si="130"/>
        <v>0</v>
      </c>
      <c r="I470">
        <f t="shared" si="131"/>
        <v>0</v>
      </c>
      <c r="J470" s="13">
        <f t="shared" si="132"/>
        <v>85</v>
      </c>
      <c r="K470">
        <f t="shared" si="124"/>
        <v>1</v>
      </c>
      <c r="L470">
        <f t="shared" si="125"/>
        <v>25</v>
      </c>
      <c r="M470" s="13">
        <f t="shared" si="133"/>
        <v>1</v>
      </c>
      <c r="N470">
        <f t="shared" si="133"/>
        <v>24</v>
      </c>
      <c r="O470" s="14">
        <f t="shared" si="121"/>
        <v>84</v>
      </c>
      <c r="P470" s="13">
        <f t="shared" si="126"/>
        <v>1</v>
      </c>
      <c r="Q470">
        <f t="shared" si="134"/>
        <v>24</v>
      </c>
      <c r="R470" s="14">
        <f t="shared" si="135"/>
        <v>84</v>
      </c>
      <c r="S470" s="15"/>
      <c r="W470" s="14"/>
    </row>
    <row r="471" spans="1:23" hidden="1" x14ac:dyDescent="0.25">
      <c r="A471" s="16"/>
      <c r="B471" s="17" t="b">
        <f t="shared" si="128"/>
        <v>0</v>
      </c>
      <c r="C471" s="17" t="b">
        <f t="shared" si="120"/>
        <v>0</v>
      </c>
      <c r="D471" s="17">
        <f t="shared" si="122"/>
        <v>1</v>
      </c>
      <c r="E471" s="17" t="str">
        <f t="shared" si="127"/>
        <v>Section 5 - Conclusion, And FREE Coupon For Next Course</v>
      </c>
      <c r="F471" s="18" t="str">
        <f t="shared" si="123"/>
        <v/>
      </c>
      <c r="G471" s="13" t="str">
        <f t="shared" si="129"/>
        <v/>
      </c>
      <c r="H471">
        <f t="shared" si="130"/>
        <v>0</v>
      </c>
      <c r="I471">
        <f t="shared" si="131"/>
        <v>0</v>
      </c>
      <c r="J471" s="13">
        <f t="shared" si="132"/>
        <v>85</v>
      </c>
      <c r="K471">
        <f t="shared" si="124"/>
        <v>1</v>
      </c>
      <c r="L471">
        <f t="shared" si="125"/>
        <v>25</v>
      </c>
      <c r="M471" s="13">
        <f t="shared" si="133"/>
        <v>1</v>
      </c>
      <c r="N471">
        <f t="shared" si="133"/>
        <v>24</v>
      </c>
      <c r="O471" s="14">
        <f t="shared" si="121"/>
        <v>84</v>
      </c>
      <c r="P471" s="13">
        <f t="shared" si="126"/>
        <v>1</v>
      </c>
      <c r="Q471">
        <f t="shared" si="134"/>
        <v>24</v>
      </c>
      <c r="R471" s="14">
        <f t="shared" si="135"/>
        <v>84</v>
      </c>
      <c r="S471" s="15"/>
      <c r="W471" s="14"/>
    </row>
    <row r="472" spans="1:23" hidden="1" x14ac:dyDescent="0.25">
      <c r="A472" s="16"/>
      <c r="B472" s="17" t="b">
        <f t="shared" si="128"/>
        <v>0</v>
      </c>
      <c r="C472" s="17" t="b">
        <f t="shared" si="120"/>
        <v>0</v>
      </c>
      <c r="D472" s="17">
        <f t="shared" si="122"/>
        <v>1</v>
      </c>
      <c r="E472" s="17" t="str">
        <f t="shared" si="127"/>
        <v>Section 5 - Conclusion, And FREE Coupon For Next Course</v>
      </c>
      <c r="F472" s="18" t="str">
        <f t="shared" si="123"/>
        <v/>
      </c>
      <c r="G472" s="13" t="str">
        <f t="shared" si="129"/>
        <v/>
      </c>
      <c r="H472">
        <f t="shared" si="130"/>
        <v>0</v>
      </c>
      <c r="I472">
        <f t="shared" si="131"/>
        <v>0</v>
      </c>
      <c r="J472" s="13">
        <f t="shared" si="132"/>
        <v>85</v>
      </c>
      <c r="K472">
        <f t="shared" si="124"/>
        <v>1</v>
      </c>
      <c r="L472">
        <f t="shared" si="125"/>
        <v>25</v>
      </c>
      <c r="M472" s="13">
        <f t="shared" si="133"/>
        <v>1</v>
      </c>
      <c r="N472">
        <f t="shared" si="133"/>
        <v>24</v>
      </c>
      <c r="O472" s="14">
        <f t="shared" si="121"/>
        <v>84</v>
      </c>
      <c r="P472" s="13">
        <f t="shared" si="126"/>
        <v>1</v>
      </c>
      <c r="Q472">
        <f t="shared" si="134"/>
        <v>24</v>
      </c>
      <c r="R472" s="14">
        <f t="shared" si="135"/>
        <v>84</v>
      </c>
      <c r="S472" s="15"/>
      <c r="W472" s="14"/>
    </row>
    <row r="473" spans="1:23" hidden="1" x14ac:dyDescent="0.25">
      <c r="A473" s="16"/>
      <c r="B473" s="17" t="b">
        <f t="shared" si="128"/>
        <v>0</v>
      </c>
      <c r="C473" s="17" t="b">
        <f t="shared" si="120"/>
        <v>0</v>
      </c>
      <c r="D473" s="17">
        <f t="shared" si="122"/>
        <v>1</v>
      </c>
      <c r="E473" s="17" t="str">
        <f t="shared" si="127"/>
        <v>Section 5 - Conclusion, And FREE Coupon For Next Course</v>
      </c>
      <c r="F473" s="18" t="str">
        <f t="shared" si="123"/>
        <v/>
      </c>
      <c r="G473" s="13" t="str">
        <f t="shared" si="129"/>
        <v/>
      </c>
      <c r="H473">
        <f t="shared" si="130"/>
        <v>0</v>
      </c>
      <c r="I473">
        <f t="shared" si="131"/>
        <v>0</v>
      </c>
      <c r="J473" s="13">
        <f t="shared" si="132"/>
        <v>85</v>
      </c>
      <c r="K473">
        <f t="shared" si="124"/>
        <v>1</v>
      </c>
      <c r="L473">
        <f t="shared" si="125"/>
        <v>25</v>
      </c>
      <c r="M473" s="13">
        <f t="shared" si="133"/>
        <v>1</v>
      </c>
      <c r="N473">
        <f t="shared" si="133"/>
        <v>24</v>
      </c>
      <c r="O473" s="14">
        <f t="shared" si="121"/>
        <v>84</v>
      </c>
      <c r="P473" s="13">
        <f t="shared" si="126"/>
        <v>1</v>
      </c>
      <c r="Q473">
        <f t="shared" si="134"/>
        <v>24</v>
      </c>
      <c r="R473" s="14">
        <f t="shared" si="135"/>
        <v>84</v>
      </c>
      <c r="S473" s="15"/>
      <c r="W473" s="14"/>
    </row>
    <row r="474" spans="1:23" hidden="1" x14ac:dyDescent="0.25">
      <c r="A474" s="16"/>
      <c r="B474" s="17" t="b">
        <f t="shared" si="128"/>
        <v>0</v>
      </c>
      <c r="C474" s="17" t="b">
        <f t="shared" si="120"/>
        <v>0</v>
      </c>
      <c r="D474" s="17">
        <f t="shared" si="122"/>
        <v>1</v>
      </c>
      <c r="E474" s="17" t="str">
        <f t="shared" si="127"/>
        <v>Section 5 - Conclusion, And FREE Coupon For Next Course</v>
      </c>
      <c r="F474" s="18" t="str">
        <f t="shared" si="123"/>
        <v/>
      </c>
      <c r="G474" s="13" t="str">
        <f t="shared" si="129"/>
        <v/>
      </c>
      <c r="H474">
        <f t="shared" si="130"/>
        <v>0</v>
      </c>
      <c r="I474">
        <f t="shared" si="131"/>
        <v>0</v>
      </c>
      <c r="J474" s="13">
        <f t="shared" si="132"/>
        <v>85</v>
      </c>
      <c r="K474">
        <f t="shared" si="124"/>
        <v>1</v>
      </c>
      <c r="L474">
        <f t="shared" si="125"/>
        <v>25</v>
      </c>
      <c r="M474" s="13">
        <f t="shared" si="133"/>
        <v>1</v>
      </c>
      <c r="N474">
        <f t="shared" si="133"/>
        <v>24</v>
      </c>
      <c r="O474" s="14">
        <f t="shared" si="121"/>
        <v>84</v>
      </c>
      <c r="P474" s="13">
        <f t="shared" si="126"/>
        <v>1</v>
      </c>
      <c r="Q474">
        <f t="shared" si="134"/>
        <v>24</v>
      </c>
      <c r="R474" s="14">
        <f t="shared" si="135"/>
        <v>84</v>
      </c>
      <c r="S474" s="15"/>
      <c r="W474" s="14"/>
    </row>
    <row r="475" spans="1:23" hidden="1" x14ac:dyDescent="0.25">
      <c r="A475" s="16"/>
      <c r="B475" s="17" t="b">
        <f t="shared" si="128"/>
        <v>0</v>
      </c>
      <c r="C475" s="17" t="b">
        <f t="shared" si="120"/>
        <v>0</v>
      </c>
      <c r="D475" s="17">
        <f t="shared" si="122"/>
        <v>1</v>
      </c>
      <c r="E475" s="17" t="str">
        <f t="shared" si="127"/>
        <v>Section 5 - Conclusion, And FREE Coupon For Next Course</v>
      </c>
      <c r="F475" s="18" t="str">
        <f t="shared" si="123"/>
        <v/>
      </c>
      <c r="G475" s="13" t="str">
        <f t="shared" si="129"/>
        <v/>
      </c>
      <c r="H475">
        <f t="shared" si="130"/>
        <v>0</v>
      </c>
      <c r="I475">
        <f t="shared" si="131"/>
        <v>0</v>
      </c>
      <c r="J475" s="13">
        <f t="shared" si="132"/>
        <v>85</v>
      </c>
      <c r="K475">
        <f t="shared" si="124"/>
        <v>1</v>
      </c>
      <c r="L475">
        <f t="shared" si="125"/>
        <v>25</v>
      </c>
      <c r="M475" s="13">
        <f t="shared" si="133"/>
        <v>1</v>
      </c>
      <c r="N475">
        <f t="shared" si="133"/>
        <v>24</v>
      </c>
      <c r="O475" s="14">
        <f t="shared" si="121"/>
        <v>84</v>
      </c>
      <c r="P475" s="13">
        <f t="shared" si="126"/>
        <v>1</v>
      </c>
      <c r="Q475">
        <f t="shared" si="134"/>
        <v>24</v>
      </c>
      <c r="R475" s="14">
        <f t="shared" si="135"/>
        <v>84</v>
      </c>
      <c r="S475" s="15"/>
      <c r="W475" s="14"/>
    </row>
    <row r="476" spans="1:23" hidden="1" x14ac:dyDescent="0.25">
      <c r="A476" s="16"/>
      <c r="B476" s="17" t="b">
        <f t="shared" si="128"/>
        <v>0</v>
      </c>
      <c r="C476" s="17" t="b">
        <f t="shared" si="120"/>
        <v>0</v>
      </c>
      <c r="D476" s="17">
        <f t="shared" si="122"/>
        <v>1</v>
      </c>
      <c r="E476" s="17" t="str">
        <f t="shared" si="127"/>
        <v>Section 5 - Conclusion, And FREE Coupon For Next Course</v>
      </c>
      <c r="F476" s="18" t="str">
        <f t="shared" si="123"/>
        <v/>
      </c>
      <c r="G476" s="13" t="str">
        <f t="shared" si="129"/>
        <v/>
      </c>
      <c r="H476">
        <f t="shared" si="130"/>
        <v>0</v>
      </c>
      <c r="I476">
        <f t="shared" si="131"/>
        <v>0</v>
      </c>
      <c r="J476" s="13">
        <f t="shared" si="132"/>
        <v>85</v>
      </c>
      <c r="K476">
        <f t="shared" si="124"/>
        <v>1</v>
      </c>
      <c r="L476">
        <f t="shared" si="125"/>
        <v>25</v>
      </c>
      <c r="M476" s="13">
        <f t="shared" si="133"/>
        <v>1</v>
      </c>
      <c r="N476">
        <f t="shared" si="133"/>
        <v>24</v>
      </c>
      <c r="O476" s="14">
        <f t="shared" si="121"/>
        <v>84</v>
      </c>
      <c r="P476" s="13">
        <f t="shared" si="126"/>
        <v>1</v>
      </c>
      <c r="Q476">
        <f t="shared" si="134"/>
        <v>24</v>
      </c>
      <c r="R476" s="14">
        <f t="shared" si="135"/>
        <v>84</v>
      </c>
      <c r="S476" s="15"/>
      <c r="W476" s="14"/>
    </row>
    <row r="477" spans="1:23" hidden="1" x14ac:dyDescent="0.25">
      <c r="A477" s="16"/>
      <c r="B477" s="17" t="b">
        <f t="shared" si="128"/>
        <v>0</v>
      </c>
      <c r="C477" s="17" t="b">
        <f t="shared" si="120"/>
        <v>0</v>
      </c>
      <c r="D477" s="17">
        <f t="shared" si="122"/>
        <v>1</v>
      </c>
      <c r="E477" s="17" t="str">
        <f t="shared" si="127"/>
        <v>Section 5 - Conclusion, And FREE Coupon For Next Course</v>
      </c>
      <c r="F477" s="18" t="str">
        <f t="shared" si="123"/>
        <v/>
      </c>
      <c r="G477" s="13" t="str">
        <f t="shared" si="129"/>
        <v/>
      </c>
      <c r="H477">
        <f t="shared" si="130"/>
        <v>0</v>
      </c>
      <c r="I477">
        <f t="shared" si="131"/>
        <v>0</v>
      </c>
      <c r="J477" s="13">
        <f t="shared" si="132"/>
        <v>85</v>
      </c>
      <c r="K477">
        <f t="shared" si="124"/>
        <v>1</v>
      </c>
      <c r="L477">
        <f t="shared" si="125"/>
        <v>25</v>
      </c>
      <c r="M477" s="13">
        <f t="shared" si="133"/>
        <v>1</v>
      </c>
      <c r="N477">
        <f t="shared" si="133"/>
        <v>24</v>
      </c>
      <c r="O477" s="14">
        <f t="shared" si="121"/>
        <v>84</v>
      </c>
      <c r="P477" s="13">
        <f t="shared" si="126"/>
        <v>1</v>
      </c>
      <c r="Q477">
        <f t="shared" si="134"/>
        <v>24</v>
      </c>
      <c r="R477" s="14">
        <f t="shared" si="135"/>
        <v>84</v>
      </c>
      <c r="S477" s="15"/>
      <c r="W477" s="14"/>
    </row>
    <row r="478" spans="1:23" hidden="1" x14ac:dyDescent="0.25">
      <c r="A478" s="16"/>
      <c r="B478" s="17" t="b">
        <f t="shared" si="128"/>
        <v>0</v>
      </c>
      <c r="C478" s="17" t="b">
        <f t="shared" si="120"/>
        <v>0</v>
      </c>
      <c r="D478" s="17">
        <f t="shared" si="122"/>
        <v>1</v>
      </c>
      <c r="E478" s="17" t="str">
        <f t="shared" si="127"/>
        <v>Section 5 - Conclusion, And FREE Coupon For Next Course</v>
      </c>
      <c r="F478" s="18" t="str">
        <f t="shared" si="123"/>
        <v/>
      </c>
      <c r="G478" s="13" t="str">
        <f t="shared" si="129"/>
        <v/>
      </c>
      <c r="H478">
        <f t="shared" si="130"/>
        <v>0</v>
      </c>
      <c r="I478">
        <f t="shared" si="131"/>
        <v>0</v>
      </c>
      <c r="J478" s="13">
        <f t="shared" si="132"/>
        <v>85</v>
      </c>
      <c r="K478">
        <f t="shared" si="124"/>
        <v>1</v>
      </c>
      <c r="L478">
        <f t="shared" si="125"/>
        <v>25</v>
      </c>
      <c r="M478" s="13">
        <f t="shared" si="133"/>
        <v>1</v>
      </c>
      <c r="N478">
        <f t="shared" si="133"/>
        <v>24</v>
      </c>
      <c r="O478" s="14">
        <f t="shared" si="121"/>
        <v>84</v>
      </c>
      <c r="P478" s="13">
        <f t="shared" si="126"/>
        <v>1</v>
      </c>
      <c r="Q478">
        <f t="shared" si="134"/>
        <v>24</v>
      </c>
      <c r="R478" s="14">
        <f t="shared" si="135"/>
        <v>84</v>
      </c>
      <c r="S478" s="15"/>
      <c r="W478" s="14"/>
    </row>
    <row r="479" spans="1:23" hidden="1" x14ac:dyDescent="0.25">
      <c r="A479" s="16"/>
      <c r="B479" s="17" t="b">
        <f t="shared" si="128"/>
        <v>0</v>
      </c>
      <c r="C479" s="17" t="b">
        <f t="shared" si="120"/>
        <v>0</v>
      </c>
      <c r="D479" s="17">
        <f t="shared" si="122"/>
        <v>1</v>
      </c>
      <c r="E479" s="17" t="str">
        <f t="shared" si="127"/>
        <v>Section 5 - Conclusion, And FREE Coupon For Next Course</v>
      </c>
      <c r="F479" s="18" t="str">
        <f t="shared" si="123"/>
        <v/>
      </c>
      <c r="G479" s="13" t="str">
        <f t="shared" si="129"/>
        <v/>
      </c>
      <c r="H479">
        <f t="shared" si="130"/>
        <v>0</v>
      </c>
      <c r="I479">
        <f t="shared" si="131"/>
        <v>0</v>
      </c>
      <c r="J479" s="13">
        <f t="shared" si="132"/>
        <v>85</v>
      </c>
      <c r="K479">
        <f t="shared" si="124"/>
        <v>1</v>
      </c>
      <c r="L479">
        <f t="shared" si="125"/>
        <v>25</v>
      </c>
      <c r="M479" s="13">
        <f t="shared" si="133"/>
        <v>1</v>
      </c>
      <c r="N479">
        <f t="shared" si="133"/>
        <v>24</v>
      </c>
      <c r="O479" s="14">
        <f t="shared" si="121"/>
        <v>84</v>
      </c>
      <c r="P479" s="13">
        <f t="shared" si="126"/>
        <v>1</v>
      </c>
      <c r="Q479">
        <f t="shared" si="134"/>
        <v>24</v>
      </c>
      <c r="R479" s="14">
        <f t="shared" si="135"/>
        <v>84</v>
      </c>
      <c r="S479" s="15"/>
      <c r="W479" s="14"/>
    </row>
    <row r="480" spans="1:23" hidden="1" x14ac:dyDescent="0.25">
      <c r="A480" s="16"/>
      <c r="B480" s="17" t="b">
        <f t="shared" si="128"/>
        <v>0</v>
      </c>
      <c r="C480" s="17" t="b">
        <f t="shared" si="120"/>
        <v>0</v>
      </c>
      <c r="D480" s="17">
        <f t="shared" si="122"/>
        <v>1</v>
      </c>
      <c r="E480" s="17" t="str">
        <f t="shared" si="127"/>
        <v>Section 5 - Conclusion, And FREE Coupon For Next Course</v>
      </c>
      <c r="F480" s="18" t="str">
        <f t="shared" si="123"/>
        <v/>
      </c>
      <c r="G480" s="13" t="str">
        <f t="shared" si="129"/>
        <v/>
      </c>
      <c r="H480">
        <f t="shared" si="130"/>
        <v>0</v>
      </c>
      <c r="I480">
        <f t="shared" si="131"/>
        <v>0</v>
      </c>
      <c r="J480" s="13">
        <f t="shared" si="132"/>
        <v>85</v>
      </c>
      <c r="K480">
        <f t="shared" si="124"/>
        <v>1</v>
      </c>
      <c r="L480">
        <f t="shared" si="125"/>
        <v>25</v>
      </c>
      <c r="M480" s="13">
        <f t="shared" si="133"/>
        <v>1</v>
      </c>
      <c r="N480">
        <f t="shared" si="133"/>
        <v>24</v>
      </c>
      <c r="O480" s="14">
        <f t="shared" si="121"/>
        <v>84</v>
      </c>
      <c r="P480" s="13">
        <f t="shared" si="126"/>
        <v>1</v>
      </c>
      <c r="Q480">
        <f t="shared" si="134"/>
        <v>24</v>
      </c>
      <c r="R480" s="14">
        <f t="shared" si="135"/>
        <v>84</v>
      </c>
      <c r="S480" s="15"/>
      <c r="W480" s="14"/>
    </row>
    <row r="481" spans="1:23" hidden="1" x14ac:dyDescent="0.25">
      <c r="A481" s="16"/>
      <c r="B481" s="17" t="b">
        <f t="shared" si="128"/>
        <v>0</v>
      </c>
      <c r="C481" s="17" t="b">
        <f t="shared" si="120"/>
        <v>0</v>
      </c>
      <c r="D481" s="17">
        <f t="shared" si="122"/>
        <v>1</v>
      </c>
      <c r="E481" s="17" t="str">
        <f t="shared" si="127"/>
        <v>Section 5 - Conclusion, And FREE Coupon For Next Course</v>
      </c>
      <c r="F481" s="18" t="str">
        <f t="shared" si="123"/>
        <v/>
      </c>
      <c r="G481" s="13" t="str">
        <f t="shared" si="129"/>
        <v/>
      </c>
      <c r="H481">
        <f t="shared" si="130"/>
        <v>0</v>
      </c>
      <c r="I481">
        <f t="shared" si="131"/>
        <v>0</v>
      </c>
      <c r="J481" s="13">
        <f t="shared" si="132"/>
        <v>85</v>
      </c>
      <c r="K481">
        <f t="shared" si="124"/>
        <v>1</v>
      </c>
      <c r="L481">
        <f t="shared" si="125"/>
        <v>25</v>
      </c>
      <c r="M481" s="13">
        <f t="shared" si="133"/>
        <v>1</v>
      </c>
      <c r="N481">
        <f t="shared" si="133"/>
        <v>24</v>
      </c>
      <c r="O481" s="14">
        <f t="shared" si="121"/>
        <v>84</v>
      </c>
      <c r="P481" s="13">
        <f t="shared" si="126"/>
        <v>1</v>
      </c>
      <c r="Q481">
        <f t="shared" si="134"/>
        <v>24</v>
      </c>
      <c r="R481" s="14">
        <f t="shared" si="135"/>
        <v>84</v>
      </c>
      <c r="S481" s="15"/>
      <c r="W481" s="14"/>
    </row>
    <row r="482" spans="1:23" hidden="1" x14ac:dyDescent="0.25">
      <c r="A482" s="16"/>
      <c r="B482" s="17" t="b">
        <f t="shared" si="128"/>
        <v>0</v>
      </c>
      <c r="C482" s="17" t="b">
        <f t="shared" si="120"/>
        <v>0</v>
      </c>
      <c r="D482" s="17">
        <f t="shared" si="122"/>
        <v>1</v>
      </c>
      <c r="E482" s="17" t="str">
        <f t="shared" si="127"/>
        <v>Section 5 - Conclusion, And FREE Coupon For Next Course</v>
      </c>
      <c r="F482" s="18" t="str">
        <f t="shared" si="123"/>
        <v/>
      </c>
      <c r="G482" s="13" t="str">
        <f t="shared" si="129"/>
        <v/>
      </c>
      <c r="H482">
        <f t="shared" si="130"/>
        <v>0</v>
      </c>
      <c r="I482">
        <f t="shared" si="131"/>
        <v>0</v>
      </c>
      <c r="J482" s="13">
        <f t="shared" si="132"/>
        <v>85</v>
      </c>
      <c r="K482">
        <f t="shared" si="124"/>
        <v>1</v>
      </c>
      <c r="L482">
        <f t="shared" si="125"/>
        <v>25</v>
      </c>
      <c r="M482" s="13">
        <f t="shared" si="133"/>
        <v>1</v>
      </c>
      <c r="N482">
        <f t="shared" si="133"/>
        <v>24</v>
      </c>
      <c r="O482" s="14">
        <f t="shared" si="121"/>
        <v>84</v>
      </c>
      <c r="P482" s="13">
        <f t="shared" si="126"/>
        <v>1</v>
      </c>
      <c r="Q482">
        <f t="shared" si="134"/>
        <v>24</v>
      </c>
      <c r="R482" s="14">
        <f t="shared" si="135"/>
        <v>84</v>
      </c>
      <c r="S482" s="15"/>
      <c r="W482" s="14"/>
    </row>
    <row r="483" spans="1:23" hidden="1" x14ac:dyDescent="0.25">
      <c r="A483" s="16"/>
      <c r="B483" s="17" t="b">
        <f t="shared" si="128"/>
        <v>0</v>
      </c>
      <c r="C483" s="17" t="b">
        <f t="shared" si="120"/>
        <v>0</v>
      </c>
      <c r="D483" s="17">
        <f t="shared" si="122"/>
        <v>1</v>
      </c>
      <c r="E483" s="17" t="str">
        <f t="shared" si="127"/>
        <v>Section 5 - Conclusion, And FREE Coupon For Next Course</v>
      </c>
      <c r="F483" s="18" t="str">
        <f t="shared" si="123"/>
        <v/>
      </c>
      <c r="G483" s="13" t="str">
        <f t="shared" si="129"/>
        <v/>
      </c>
      <c r="H483">
        <f t="shared" si="130"/>
        <v>0</v>
      </c>
      <c r="I483">
        <f t="shared" si="131"/>
        <v>0</v>
      </c>
      <c r="J483" s="13">
        <f t="shared" si="132"/>
        <v>85</v>
      </c>
      <c r="K483">
        <f t="shared" si="124"/>
        <v>1</v>
      </c>
      <c r="L483">
        <f t="shared" si="125"/>
        <v>25</v>
      </c>
      <c r="M483" s="13">
        <f t="shared" si="133"/>
        <v>1</v>
      </c>
      <c r="N483">
        <f t="shared" si="133"/>
        <v>24</v>
      </c>
      <c r="O483" s="14">
        <f t="shared" si="121"/>
        <v>84</v>
      </c>
      <c r="P483" s="13">
        <f t="shared" si="126"/>
        <v>1</v>
      </c>
      <c r="Q483">
        <f t="shared" si="134"/>
        <v>24</v>
      </c>
      <c r="R483" s="14">
        <f t="shared" si="135"/>
        <v>84</v>
      </c>
      <c r="S483" s="15"/>
      <c r="W483" s="14"/>
    </row>
    <row r="484" spans="1:23" hidden="1" x14ac:dyDescent="0.25">
      <c r="A484" s="16"/>
      <c r="B484" s="17" t="b">
        <f t="shared" si="128"/>
        <v>0</v>
      </c>
      <c r="C484" s="17" t="b">
        <f t="shared" si="120"/>
        <v>0</v>
      </c>
      <c r="D484" s="17">
        <f t="shared" si="122"/>
        <v>1</v>
      </c>
      <c r="E484" s="17" t="str">
        <f t="shared" si="127"/>
        <v>Section 5 - Conclusion, And FREE Coupon For Next Course</v>
      </c>
      <c r="F484" s="18" t="str">
        <f t="shared" si="123"/>
        <v/>
      </c>
      <c r="G484" s="13" t="str">
        <f t="shared" si="129"/>
        <v/>
      </c>
      <c r="H484">
        <f t="shared" si="130"/>
        <v>0</v>
      </c>
      <c r="I484">
        <f t="shared" si="131"/>
        <v>0</v>
      </c>
      <c r="J484" s="13">
        <f t="shared" si="132"/>
        <v>85</v>
      </c>
      <c r="K484">
        <f t="shared" si="124"/>
        <v>1</v>
      </c>
      <c r="L484">
        <f t="shared" si="125"/>
        <v>25</v>
      </c>
      <c r="M484" s="13">
        <f t="shared" si="133"/>
        <v>1</v>
      </c>
      <c r="N484">
        <f t="shared" si="133"/>
        <v>24</v>
      </c>
      <c r="O484" s="14">
        <f t="shared" si="121"/>
        <v>84</v>
      </c>
      <c r="P484" s="13">
        <f t="shared" si="126"/>
        <v>1</v>
      </c>
      <c r="Q484">
        <f t="shared" si="134"/>
        <v>24</v>
      </c>
      <c r="R484" s="14">
        <f t="shared" si="135"/>
        <v>84</v>
      </c>
      <c r="S484" s="15"/>
      <c r="W484" s="14"/>
    </row>
    <row r="485" spans="1:23" hidden="1" x14ac:dyDescent="0.25">
      <c r="A485" s="16"/>
      <c r="B485" s="17" t="b">
        <f t="shared" si="128"/>
        <v>0</v>
      </c>
      <c r="C485" s="17" t="b">
        <f t="shared" si="120"/>
        <v>0</v>
      </c>
      <c r="D485" s="17">
        <f t="shared" si="122"/>
        <v>1</v>
      </c>
      <c r="E485" s="17" t="str">
        <f t="shared" si="127"/>
        <v>Section 5 - Conclusion, And FREE Coupon For Next Course</v>
      </c>
      <c r="F485" s="18" t="str">
        <f t="shared" si="123"/>
        <v/>
      </c>
      <c r="G485" s="13" t="str">
        <f t="shared" si="129"/>
        <v/>
      </c>
      <c r="H485">
        <f t="shared" si="130"/>
        <v>0</v>
      </c>
      <c r="I485">
        <f t="shared" si="131"/>
        <v>0</v>
      </c>
      <c r="J485" s="13">
        <f t="shared" si="132"/>
        <v>85</v>
      </c>
      <c r="K485">
        <f t="shared" si="124"/>
        <v>1</v>
      </c>
      <c r="L485">
        <f t="shared" si="125"/>
        <v>25</v>
      </c>
      <c r="M485" s="13">
        <f t="shared" si="133"/>
        <v>1</v>
      </c>
      <c r="N485">
        <f t="shared" si="133"/>
        <v>24</v>
      </c>
      <c r="O485" s="14">
        <f t="shared" si="121"/>
        <v>84</v>
      </c>
      <c r="P485" s="13">
        <f t="shared" si="126"/>
        <v>1</v>
      </c>
      <c r="Q485">
        <f t="shared" si="134"/>
        <v>24</v>
      </c>
      <c r="R485" s="14">
        <f t="shared" si="135"/>
        <v>84</v>
      </c>
      <c r="S485" s="15"/>
      <c r="W485" s="14"/>
    </row>
    <row r="486" spans="1:23" hidden="1" x14ac:dyDescent="0.25">
      <c r="A486" s="16"/>
      <c r="B486" s="17" t="b">
        <f t="shared" si="128"/>
        <v>0</v>
      </c>
      <c r="C486" s="17" t="b">
        <f t="shared" si="120"/>
        <v>0</v>
      </c>
      <c r="D486" s="17">
        <f t="shared" si="122"/>
        <v>1</v>
      </c>
      <c r="E486" s="17" t="str">
        <f t="shared" si="127"/>
        <v>Section 5 - Conclusion, And FREE Coupon For Next Course</v>
      </c>
      <c r="F486" s="18" t="str">
        <f t="shared" si="123"/>
        <v/>
      </c>
      <c r="G486" s="13" t="str">
        <f t="shared" si="129"/>
        <v/>
      </c>
      <c r="H486">
        <f t="shared" si="130"/>
        <v>0</v>
      </c>
      <c r="I486">
        <f t="shared" si="131"/>
        <v>0</v>
      </c>
      <c r="J486" s="13">
        <f t="shared" si="132"/>
        <v>85</v>
      </c>
      <c r="K486">
        <f t="shared" si="124"/>
        <v>1</v>
      </c>
      <c r="L486">
        <f t="shared" si="125"/>
        <v>25</v>
      </c>
      <c r="M486" s="13">
        <f t="shared" si="133"/>
        <v>1</v>
      </c>
      <c r="N486">
        <f t="shared" si="133"/>
        <v>24</v>
      </c>
      <c r="O486" s="14">
        <f t="shared" si="121"/>
        <v>84</v>
      </c>
      <c r="P486" s="13">
        <f t="shared" si="126"/>
        <v>1</v>
      </c>
      <c r="Q486">
        <f t="shared" si="134"/>
        <v>24</v>
      </c>
      <c r="R486" s="14">
        <f t="shared" si="135"/>
        <v>84</v>
      </c>
      <c r="S486" s="15"/>
      <c r="W486" s="14"/>
    </row>
    <row r="487" spans="1:23" hidden="1" x14ac:dyDescent="0.25">
      <c r="A487" s="16"/>
      <c r="B487" s="17" t="b">
        <f t="shared" si="128"/>
        <v>0</v>
      </c>
      <c r="C487" s="17" t="b">
        <f t="shared" si="120"/>
        <v>0</v>
      </c>
      <c r="D487" s="17">
        <f t="shared" si="122"/>
        <v>1</v>
      </c>
      <c r="E487" s="17" t="str">
        <f t="shared" si="127"/>
        <v>Section 5 - Conclusion, And FREE Coupon For Next Course</v>
      </c>
      <c r="F487" s="18" t="str">
        <f t="shared" si="123"/>
        <v/>
      </c>
      <c r="G487" s="13" t="str">
        <f t="shared" si="129"/>
        <v/>
      </c>
      <c r="H487">
        <f t="shared" si="130"/>
        <v>0</v>
      </c>
      <c r="I487">
        <f t="shared" si="131"/>
        <v>0</v>
      </c>
      <c r="J487" s="13">
        <f t="shared" si="132"/>
        <v>85</v>
      </c>
      <c r="K487">
        <f t="shared" si="124"/>
        <v>1</v>
      </c>
      <c r="L487">
        <f t="shared" si="125"/>
        <v>25</v>
      </c>
      <c r="M487" s="13">
        <f t="shared" si="133"/>
        <v>1</v>
      </c>
      <c r="N487">
        <f t="shared" si="133"/>
        <v>24</v>
      </c>
      <c r="O487" s="14">
        <f t="shared" si="121"/>
        <v>84</v>
      </c>
      <c r="P487" s="13">
        <f t="shared" si="126"/>
        <v>1</v>
      </c>
      <c r="Q487">
        <f t="shared" si="134"/>
        <v>24</v>
      </c>
      <c r="R487" s="14">
        <f t="shared" si="135"/>
        <v>84</v>
      </c>
      <c r="S487" s="15"/>
      <c r="W487" s="14"/>
    </row>
    <row r="488" spans="1:23" hidden="1" x14ac:dyDescent="0.25">
      <c r="A488" s="16"/>
      <c r="B488" s="17" t="b">
        <f t="shared" si="128"/>
        <v>0</v>
      </c>
      <c r="C488" s="17" t="b">
        <f t="shared" si="120"/>
        <v>0</v>
      </c>
      <c r="D488" s="17">
        <f t="shared" si="122"/>
        <v>1</v>
      </c>
      <c r="E488" s="17" t="str">
        <f t="shared" si="127"/>
        <v>Section 5 - Conclusion, And FREE Coupon For Next Course</v>
      </c>
      <c r="F488" s="18" t="str">
        <f t="shared" si="123"/>
        <v/>
      </c>
      <c r="G488" s="13" t="str">
        <f t="shared" si="129"/>
        <v/>
      </c>
      <c r="H488">
        <f t="shared" si="130"/>
        <v>0</v>
      </c>
      <c r="I488">
        <f t="shared" si="131"/>
        <v>0</v>
      </c>
      <c r="J488" s="13">
        <f t="shared" si="132"/>
        <v>85</v>
      </c>
      <c r="K488">
        <f t="shared" si="124"/>
        <v>1</v>
      </c>
      <c r="L488">
        <f t="shared" si="125"/>
        <v>25</v>
      </c>
      <c r="M488" s="13">
        <f t="shared" si="133"/>
        <v>1</v>
      </c>
      <c r="N488">
        <f t="shared" si="133"/>
        <v>24</v>
      </c>
      <c r="O488" s="14">
        <f t="shared" si="121"/>
        <v>84</v>
      </c>
      <c r="P488" s="13">
        <f t="shared" si="126"/>
        <v>1</v>
      </c>
      <c r="Q488">
        <f t="shared" si="134"/>
        <v>24</v>
      </c>
      <c r="R488" s="14">
        <f t="shared" si="135"/>
        <v>84</v>
      </c>
      <c r="S488" s="15"/>
      <c r="W488" s="14"/>
    </row>
    <row r="489" spans="1:23" hidden="1" x14ac:dyDescent="0.25">
      <c r="A489" s="16"/>
      <c r="B489" s="17" t="b">
        <f t="shared" si="128"/>
        <v>0</v>
      </c>
      <c r="C489" s="17" t="b">
        <f t="shared" si="120"/>
        <v>0</v>
      </c>
      <c r="D489" s="17">
        <f t="shared" si="122"/>
        <v>1</v>
      </c>
      <c r="E489" s="17" t="str">
        <f t="shared" si="127"/>
        <v>Section 5 - Conclusion, And FREE Coupon For Next Course</v>
      </c>
      <c r="F489" s="18" t="str">
        <f t="shared" si="123"/>
        <v/>
      </c>
      <c r="G489" s="13" t="str">
        <f t="shared" si="129"/>
        <v/>
      </c>
      <c r="H489">
        <f t="shared" si="130"/>
        <v>0</v>
      </c>
      <c r="I489">
        <f t="shared" si="131"/>
        <v>0</v>
      </c>
      <c r="J489" s="13">
        <f t="shared" si="132"/>
        <v>85</v>
      </c>
      <c r="K489">
        <f t="shared" si="124"/>
        <v>1</v>
      </c>
      <c r="L489">
        <f t="shared" si="125"/>
        <v>25</v>
      </c>
      <c r="M489" s="13">
        <f t="shared" si="133"/>
        <v>1</v>
      </c>
      <c r="N489">
        <f t="shared" si="133"/>
        <v>24</v>
      </c>
      <c r="O489" s="14">
        <f t="shared" si="121"/>
        <v>84</v>
      </c>
      <c r="P489" s="13">
        <f t="shared" si="126"/>
        <v>1</v>
      </c>
      <c r="Q489">
        <f t="shared" si="134"/>
        <v>24</v>
      </c>
      <c r="R489" s="14">
        <f t="shared" si="135"/>
        <v>84</v>
      </c>
      <c r="S489" s="15"/>
      <c r="W489" s="14"/>
    </row>
    <row r="490" spans="1:23" hidden="1" x14ac:dyDescent="0.25">
      <c r="A490" s="16"/>
      <c r="B490" s="17" t="b">
        <f t="shared" si="128"/>
        <v>0</v>
      </c>
      <c r="C490" s="17" t="b">
        <f t="shared" si="120"/>
        <v>0</v>
      </c>
      <c r="D490" s="17">
        <f t="shared" si="122"/>
        <v>1</v>
      </c>
      <c r="E490" s="17" t="str">
        <f t="shared" si="127"/>
        <v>Section 5 - Conclusion, And FREE Coupon For Next Course</v>
      </c>
      <c r="F490" s="18" t="str">
        <f t="shared" si="123"/>
        <v/>
      </c>
      <c r="G490" s="13" t="str">
        <f t="shared" si="129"/>
        <v/>
      </c>
      <c r="H490">
        <f t="shared" si="130"/>
        <v>0</v>
      </c>
      <c r="I490">
        <f t="shared" si="131"/>
        <v>0</v>
      </c>
      <c r="J490" s="13">
        <f t="shared" si="132"/>
        <v>85</v>
      </c>
      <c r="K490">
        <f t="shared" si="124"/>
        <v>1</v>
      </c>
      <c r="L490">
        <f t="shared" si="125"/>
        <v>25</v>
      </c>
      <c r="M490" s="13">
        <f t="shared" si="133"/>
        <v>1</v>
      </c>
      <c r="N490">
        <f t="shared" si="133"/>
        <v>24</v>
      </c>
      <c r="O490" s="14">
        <f t="shared" si="121"/>
        <v>84</v>
      </c>
      <c r="P490" s="13">
        <f t="shared" si="126"/>
        <v>1</v>
      </c>
      <c r="Q490">
        <f t="shared" si="134"/>
        <v>24</v>
      </c>
      <c r="R490" s="14">
        <f t="shared" si="135"/>
        <v>84</v>
      </c>
      <c r="S490" s="15"/>
      <c r="W490" s="14"/>
    </row>
    <row r="491" spans="1:23" hidden="1" x14ac:dyDescent="0.25">
      <c r="A491" s="16"/>
      <c r="B491" s="17" t="b">
        <f t="shared" si="128"/>
        <v>0</v>
      </c>
      <c r="C491" s="17" t="b">
        <f t="shared" si="120"/>
        <v>0</v>
      </c>
      <c r="D491" s="17">
        <f t="shared" si="122"/>
        <v>1</v>
      </c>
      <c r="E491" s="17" t="str">
        <f t="shared" si="127"/>
        <v>Section 5 - Conclusion, And FREE Coupon For Next Course</v>
      </c>
      <c r="F491" s="18" t="str">
        <f t="shared" si="123"/>
        <v/>
      </c>
      <c r="G491" s="13" t="str">
        <f t="shared" si="129"/>
        <v/>
      </c>
      <c r="H491">
        <f t="shared" si="130"/>
        <v>0</v>
      </c>
      <c r="I491">
        <f t="shared" si="131"/>
        <v>0</v>
      </c>
      <c r="J491" s="13">
        <f t="shared" si="132"/>
        <v>85</v>
      </c>
      <c r="K491">
        <f t="shared" si="124"/>
        <v>1</v>
      </c>
      <c r="L491">
        <f t="shared" si="125"/>
        <v>25</v>
      </c>
      <c r="M491" s="13">
        <f t="shared" si="133"/>
        <v>1</v>
      </c>
      <c r="N491">
        <f t="shared" si="133"/>
        <v>24</v>
      </c>
      <c r="O491" s="14">
        <f t="shared" si="121"/>
        <v>84</v>
      </c>
      <c r="P491" s="13">
        <f t="shared" si="126"/>
        <v>1</v>
      </c>
      <c r="Q491">
        <f t="shared" si="134"/>
        <v>24</v>
      </c>
      <c r="R491" s="14">
        <f t="shared" si="135"/>
        <v>84</v>
      </c>
      <c r="S491" s="15"/>
      <c r="W491" s="14"/>
    </row>
    <row r="492" spans="1:23" hidden="1" x14ac:dyDescent="0.25">
      <c r="A492" s="16"/>
      <c r="B492" s="17" t="b">
        <f t="shared" si="128"/>
        <v>0</v>
      </c>
      <c r="C492" s="17" t="b">
        <f t="shared" si="120"/>
        <v>0</v>
      </c>
      <c r="D492" s="17">
        <f t="shared" si="122"/>
        <v>1</v>
      </c>
      <c r="E492" s="17" t="str">
        <f t="shared" si="127"/>
        <v>Section 5 - Conclusion, And FREE Coupon For Next Course</v>
      </c>
      <c r="F492" s="18" t="str">
        <f t="shared" si="123"/>
        <v/>
      </c>
      <c r="G492" s="13" t="str">
        <f t="shared" si="129"/>
        <v/>
      </c>
      <c r="H492">
        <f t="shared" si="130"/>
        <v>0</v>
      </c>
      <c r="I492">
        <f t="shared" si="131"/>
        <v>0</v>
      </c>
      <c r="J492" s="13">
        <f t="shared" si="132"/>
        <v>85</v>
      </c>
      <c r="K492">
        <f t="shared" si="124"/>
        <v>1</v>
      </c>
      <c r="L492">
        <f t="shared" si="125"/>
        <v>25</v>
      </c>
      <c r="M492" s="13">
        <f t="shared" si="133"/>
        <v>1</v>
      </c>
      <c r="N492">
        <f t="shared" si="133"/>
        <v>24</v>
      </c>
      <c r="O492" s="14">
        <f t="shared" si="121"/>
        <v>84</v>
      </c>
      <c r="P492" s="13">
        <f t="shared" si="126"/>
        <v>1</v>
      </c>
      <c r="Q492">
        <f t="shared" si="134"/>
        <v>24</v>
      </c>
      <c r="R492" s="14">
        <f t="shared" si="135"/>
        <v>84</v>
      </c>
      <c r="S492" s="15"/>
      <c r="W492" s="14"/>
    </row>
    <row r="493" spans="1:23" hidden="1" x14ac:dyDescent="0.25">
      <c r="A493" s="16"/>
      <c r="B493" s="17" t="b">
        <f t="shared" si="128"/>
        <v>0</v>
      </c>
      <c r="C493" s="17" t="b">
        <f t="shared" si="120"/>
        <v>0</v>
      </c>
      <c r="D493" s="17">
        <f t="shared" si="122"/>
        <v>1</v>
      </c>
      <c r="E493" s="17" t="str">
        <f t="shared" si="127"/>
        <v>Section 5 - Conclusion, And FREE Coupon For Next Course</v>
      </c>
      <c r="F493" s="18" t="str">
        <f t="shared" si="123"/>
        <v/>
      </c>
      <c r="G493" s="13" t="str">
        <f t="shared" si="129"/>
        <v/>
      </c>
      <c r="H493">
        <f t="shared" si="130"/>
        <v>0</v>
      </c>
      <c r="I493">
        <f t="shared" si="131"/>
        <v>0</v>
      </c>
      <c r="J493" s="13">
        <f t="shared" si="132"/>
        <v>85</v>
      </c>
      <c r="K493">
        <f t="shared" si="124"/>
        <v>1</v>
      </c>
      <c r="L493">
        <f t="shared" si="125"/>
        <v>25</v>
      </c>
      <c r="M493" s="13">
        <f t="shared" si="133"/>
        <v>1</v>
      </c>
      <c r="N493">
        <f t="shared" si="133"/>
        <v>24</v>
      </c>
      <c r="O493" s="14">
        <f t="shared" si="121"/>
        <v>84</v>
      </c>
      <c r="P493" s="13">
        <f t="shared" si="126"/>
        <v>1</v>
      </c>
      <c r="Q493">
        <f t="shared" si="134"/>
        <v>24</v>
      </c>
      <c r="R493" s="14">
        <f t="shared" si="135"/>
        <v>84</v>
      </c>
      <c r="S493" s="15"/>
      <c r="W493" s="14"/>
    </row>
    <row r="494" spans="1:23" hidden="1" x14ac:dyDescent="0.25">
      <c r="A494" s="16"/>
      <c r="B494" s="17" t="b">
        <f t="shared" si="128"/>
        <v>0</v>
      </c>
      <c r="C494" s="17" t="b">
        <f t="shared" si="120"/>
        <v>0</v>
      </c>
      <c r="D494" s="17">
        <f t="shared" si="122"/>
        <v>1</v>
      </c>
      <c r="E494" s="17" t="str">
        <f t="shared" si="127"/>
        <v>Section 5 - Conclusion, And FREE Coupon For Next Course</v>
      </c>
      <c r="F494" s="18" t="str">
        <f t="shared" si="123"/>
        <v/>
      </c>
      <c r="G494" s="13" t="str">
        <f t="shared" si="129"/>
        <v/>
      </c>
      <c r="H494">
        <f t="shared" si="130"/>
        <v>0</v>
      </c>
      <c r="I494">
        <f t="shared" si="131"/>
        <v>0</v>
      </c>
      <c r="J494" s="13">
        <f t="shared" si="132"/>
        <v>85</v>
      </c>
      <c r="K494">
        <f t="shared" si="124"/>
        <v>1</v>
      </c>
      <c r="L494">
        <f t="shared" si="125"/>
        <v>25</v>
      </c>
      <c r="M494" s="13">
        <f t="shared" si="133"/>
        <v>1</v>
      </c>
      <c r="N494">
        <f t="shared" si="133"/>
        <v>24</v>
      </c>
      <c r="O494" s="14">
        <f t="shared" si="121"/>
        <v>84</v>
      </c>
      <c r="P494" s="13">
        <f t="shared" si="126"/>
        <v>1</v>
      </c>
      <c r="Q494">
        <f t="shared" si="134"/>
        <v>24</v>
      </c>
      <c r="R494" s="14">
        <f t="shared" si="135"/>
        <v>84</v>
      </c>
      <c r="S494" s="15"/>
      <c r="W494" s="14"/>
    </row>
    <row r="495" spans="1:23" hidden="1" x14ac:dyDescent="0.25">
      <c r="A495" s="16"/>
      <c r="B495" s="17" t="b">
        <f t="shared" si="128"/>
        <v>0</v>
      </c>
      <c r="C495" s="17" t="b">
        <f t="shared" si="120"/>
        <v>0</v>
      </c>
      <c r="D495" s="17">
        <f t="shared" si="122"/>
        <v>1</v>
      </c>
      <c r="E495" s="17" t="str">
        <f t="shared" si="127"/>
        <v>Section 5 - Conclusion, And FREE Coupon For Next Course</v>
      </c>
      <c r="F495" s="18" t="str">
        <f t="shared" si="123"/>
        <v/>
      </c>
      <c r="G495" s="13" t="str">
        <f t="shared" si="129"/>
        <v/>
      </c>
      <c r="H495">
        <f t="shared" si="130"/>
        <v>0</v>
      </c>
      <c r="I495">
        <f t="shared" si="131"/>
        <v>0</v>
      </c>
      <c r="J495" s="13">
        <f t="shared" si="132"/>
        <v>85</v>
      </c>
      <c r="K495">
        <f t="shared" si="124"/>
        <v>1</v>
      </c>
      <c r="L495">
        <f t="shared" si="125"/>
        <v>25</v>
      </c>
      <c r="M495" s="13">
        <f t="shared" si="133"/>
        <v>1</v>
      </c>
      <c r="N495">
        <f t="shared" si="133"/>
        <v>24</v>
      </c>
      <c r="O495" s="14">
        <f t="shared" si="121"/>
        <v>84</v>
      </c>
      <c r="P495" s="13">
        <f t="shared" si="126"/>
        <v>1</v>
      </c>
      <c r="Q495">
        <f t="shared" si="134"/>
        <v>24</v>
      </c>
      <c r="R495" s="14">
        <f t="shared" si="135"/>
        <v>84</v>
      </c>
      <c r="S495" s="15"/>
      <c r="W495" s="14"/>
    </row>
    <row r="496" spans="1:23" hidden="1" x14ac:dyDescent="0.25">
      <c r="A496" s="16"/>
      <c r="B496" s="17" t="b">
        <f t="shared" si="128"/>
        <v>0</v>
      </c>
      <c r="C496" s="17" t="b">
        <f t="shared" si="120"/>
        <v>0</v>
      </c>
      <c r="D496" s="17">
        <f t="shared" si="122"/>
        <v>1</v>
      </c>
      <c r="E496" s="17" t="str">
        <f t="shared" si="127"/>
        <v>Section 5 - Conclusion, And FREE Coupon For Next Course</v>
      </c>
      <c r="F496" s="18" t="str">
        <f t="shared" si="123"/>
        <v/>
      </c>
      <c r="G496" s="13" t="str">
        <f t="shared" si="129"/>
        <v/>
      </c>
      <c r="H496">
        <f t="shared" si="130"/>
        <v>0</v>
      </c>
      <c r="I496">
        <f t="shared" si="131"/>
        <v>0</v>
      </c>
      <c r="J496" s="13">
        <f t="shared" si="132"/>
        <v>85</v>
      </c>
      <c r="K496">
        <f t="shared" si="124"/>
        <v>1</v>
      </c>
      <c r="L496">
        <f t="shared" si="125"/>
        <v>25</v>
      </c>
      <c r="M496" s="13">
        <f t="shared" si="133"/>
        <v>1</v>
      </c>
      <c r="N496">
        <f t="shared" si="133"/>
        <v>24</v>
      </c>
      <c r="O496" s="14">
        <f t="shared" si="121"/>
        <v>84</v>
      </c>
      <c r="P496" s="13">
        <f t="shared" si="126"/>
        <v>1</v>
      </c>
      <c r="Q496">
        <f t="shared" si="134"/>
        <v>24</v>
      </c>
      <c r="R496" s="14">
        <f t="shared" si="135"/>
        <v>84</v>
      </c>
      <c r="S496" s="15"/>
      <c r="W496" s="14"/>
    </row>
    <row r="497" spans="1:23" hidden="1" x14ac:dyDescent="0.25">
      <c r="A497" s="16"/>
      <c r="B497" s="17" t="b">
        <f t="shared" si="128"/>
        <v>0</v>
      </c>
      <c r="C497" s="17" t="b">
        <f t="shared" si="120"/>
        <v>0</v>
      </c>
      <c r="D497" s="17">
        <f t="shared" si="122"/>
        <v>1</v>
      </c>
      <c r="E497" s="17" t="str">
        <f t="shared" si="127"/>
        <v>Section 5 - Conclusion, And FREE Coupon For Next Course</v>
      </c>
      <c r="F497" s="18" t="str">
        <f t="shared" si="123"/>
        <v/>
      </c>
      <c r="G497" s="13" t="str">
        <f t="shared" si="129"/>
        <v/>
      </c>
      <c r="H497">
        <f t="shared" si="130"/>
        <v>0</v>
      </c>
      <c r="I497">
        <f t="shared" si="131"/>
        <v>0</v>
      </c>
      <c r="J497" s="13">
        <f t="shared" si="132"/>
        <v>85</v>
      </c>
      <c r="K497">
        <f t="shared" si="124"/>
        <v>1</v>
      </c>
      <c r="L497">
        <f t="shared" si="125"/>
        <v>25</v>
      </c>
      <c r="M497" s="13">
        <f t="shared" si="133"/>
        <v>1</v>
      </c>
      <c r="N497">
        <f t="shared" si="133"/>
        <v>24</v>
      </c>
      <c r="O497" s="14">
        <f t="shared" si="121"/>
        <v>84</v>
      </c>
      <c r="P497" s="13">
        <f t="shared" si="126"/>
        <v>1</v>
      </c>
      <c r="Q497">
        <f t="shared" si="134"/>
        <v>24</v>
      </c>
      <c r="R497" s="14">
        <f t="shared" si="135"/>
        <v>84</v>
      </c>
      <c r="S497" s="15"/>
      <c r="W497" s="14"/>
    </row>
    <row r="498" spans="1:23" hidden="1" x14ac:dyDescent="0.25">
      <c r="A498" s="16"/>
      <c r="B498" s="17" t="b">
        <f t="shared" si="128"/>
        <v>0</v>
      </c>
      <c r="C498" s="17" t="b">
        <f t="shared" si="120"/>
        <v>0</v>
      </c>
      <c r="D498" s="17">
        <f t="shared" si="122"/>
        <v>1</v>
      </c>
      <c r="E498" s="17" t="str">
        <f t="shared" si="127"/>
        <v>Section 5 - Conclusion, And FREE Coupon For Next Course</v>
      </c>
      <c r="F498" s="18" t="str">
        <f t="shared" si="123"/>
        <v/>
      </c>
      <c r="G498" s="13" t="str">
        <f t="shared" si="129"/>
        <v/>
      </c>
      <c r="H498">
        <f t="shared" si="130"/>
        <v>0</v>
      </c>
      <c r="I498">
        <f t="shared" si="131"/>
        <v>0</v>
      </c>
      <c r="J498" s="13">
        <f t="shared" si="132"/>
        <v>85</v>
      </c>
      <c r="K498">
        <f t="shared" si="124"/>
        <v>1</v>
      </c>
      <c r="L498">
        <f t="shared" si="125"/>
        <v>25</v>
      </c>
      <c r="M498" s="13">
        <f t="shared" si="133"/>
        <v>1</v>
      </c>
      <c r="N498">
        <f t="shared" si="133"/>
        <v>24</v>
      </c>
      <c r="O498" s="14">
        <f t="shared" si="121"/>
        <v>84</v>
      </c>
      <c r="P498" s="13">
        <f t="shared" si="126"/>
        <v>1</v>
      </c>
      <c r="Q498">
        <f t="shared" si="134"/>
        <v>24</v>
      </c>
      <c r="R498" s="14">
        <f t="shared" si="135"/>
        <v>84</v>
      </c>
      <c r="S498" s="15"/>
      <c r="W498" s="14"/>
    </row>
    <row r="499" spans="1:23" hidden="1" x14ac:dyDescent="0.25">
      <c r="A499" s="16"/>
      <c r="B499" s="17" t="b">
        <f t="shared" si="128"/>
        <v>0</v>
      </c>
      <c r="C499" s="17" t="b">
        <f t="shared" si="120"/>
        <v>0</v>
      </c>
      <c r="D499" s="17">
        <f t="shared" si="122"/>
        <v>1</v>
      </c>
      <c r="E499" s="17" t="str">
        <f t="shared" si="127"/>
        <v>Section 5 - Conclusion, And FREE Coupon For Next Course</v>
      </c>
      <c r="F499" s="18" t="str">
        <f t="shared" si="123"/>
        <v/>
      </c>
      <c r="G499" s="13" t="str">
        <f t="shared" si="129"/>
        <v/>
      </c>
      <c r="H499">
        <f t="shared" si="130"/>
        <v>0</v>
      </c>
      <c r="I499">
        <f t="shared" si="131"/>
        <v>0</v>
      </c>
      <c r="J499" s="13">
        <f t="shared" si="132"/>
        <v>85</v>
      </c>
      <c r="K499">
        <f t="shared" si="124"/>
        <v>1</v>
      </c>
      <c r="L499">
        <f t="shared" si="125"/>
        <v>25</v>
      </c>
      <c r="M499" s="13">
        <f t="shared" si="133"/>
        <v>1</v>
      </c>
      <c r="N499">
        <f t="shared" si="133"/>
        <v>24</v>
      </c>
      <c r="O499" s="14">
        <f t="shared" si="121"/>
        <v>84</v>
      </c>
      <c r="P499" s="13">
        <f t="shared" si="126"/>
        <v>1</v>
      </c>
      <c r="Q499">
        <f t="shared" si="134"/>
        <v>24</v>
      </c>
      <c r="R499" s="14">
        <f t="shared" si="135"/>
        <v>84</v>
      </c>
      <c r="S499" s="15"/>
      <c r="W499" s="14"/>
    </row>
    <row r="500" spans="1:23" hidden="1" x14ac:dyDescent="0.25">
      <c r="A500" s="16"/>
      <c r="B500" s="17" t="b">
        <f t="shared" si="128"/>
        <v>0</v>
      </c>
      <c r="C500" s="17" t="b">
        <f t="shared" si="120"/>
        <v>0</v>
      </c>
      <c r="D500" s="17">
        <f t="shared" si="122"/>
        <v>1</v>
      </c>
      <c r="E500" s="17" t="str">
        <f t="shared" si="127"/>
        <v>Section 5 - Conclusion, And FREE Coupon For Next Course</v>
      </c>
      <c r="F500" s="18" t="str">
        <f t="shared" si="123"/>
        <v/>
      </c>
      <c r="G500" s="13" t="str">
        <f t="shared" si="129"/>
        <v/>
      </c>
      <c r="H500">
        <f t="shared" si="130"/>
        <v>0</v>
      </c>
      <c r="I500">
        <f t="shared" si="131"/>
        <v>0</v>
      </c>
      <c r="J500" s="13">
        <f t="shared" si="132"/>
        <v>85</v>
      </c>
      <c r="K500">
        <f t="shared" si="124"/>
        <v>1</v>
      </c>
      <c r="L500">
        <f t="shared" si="125"/>
        <v>25</v>
      </c>
      <c r="M500" s="13">
        <f t="shared" si="133"/>
        <v>1</v>
      </c>
      <c r="N500">
        <f t="shared" si="133"/>
        <v>24</v>
      </c>
      <c r="O500" s="14">
        <f t="shared" si="121"/>
        <v>84</v>
      </c>
      <c r="P500" s="13">
        <f t="shared" si="126"/>
        <v>1</v>
      </c>
      <c r="Q500">
        <f t="shared" si="134"/>
        <v>24</v>
      </c>
      <c r="R500" s="14">
        <f t="shared" si="135"/>
        <v>84</v>
      </c>
      <c r="S500" s="15"/>
      <c r="W500" s="14"/>
    </row>
    <row r="501" spans="1:23" hidden="1" x14ac:dyDescent="0.25">
      <c r="A501" s="16"/>
      <c r="B501" s="17" t="b">
        <f t="shared" si="128"/>
        <v>0</v>
      </c>
      <c r="C501" s="17" t="b">
        <f t="shared" si="120"/>
        <v>0</v>
      </c>
      <c r="D501" s="17">
        <f t="shared" si="122"/>
        <v>1</v>
      </c>
      <c r="E501" s="17" t="str">
        <f t="shared" si="127"/>
        <v>Section 5 - Conclusion, And FREE Coupon For Next Course</v>
      </c>
      <c r="F501" s="18" t="str">
        <f t="shared" si="123"/>
        <v/>
      </c>
      <c r="G501" s="13" t="str">
        <f t="shared" si="129"/>
        <v/>
      </c>
      <c r="H501">
        <f t="shared" si="130"/>
        <v>0</v>
      </c>
      <c r="I501">
        <f t="shared" si="131"/>
        <v>0</v>
      </c>
      <c r="J501" s="13">
        <f t="shared" si="132"/>
        <v>85</v>
      </c>
      <c r="K501">
        <f t="shared" si="124"/>
        <v>1</v>
      </c>
      <c r="L501">
        <f t="shared" si="125"/>
        <v>25</v>
      </c>
      <c r="M501" s="13">
        <f t="shared" si="133"/>
        <v>1</v>
      </c>
      <c r="N501">
        <f t="shared" si="133"/>
        <v>24</v>
      </c>
      <c r="O501" s="14">
        <f t="shared" si="121"/>
        <v>84</v>
      </c>
      <c r="P501" s="13">
        <f t="shared" si="126"/>
        <v>1</v>
      </c>
      <c r="Q501">
        <f t="shared" si="134"/>
        <v>24</v>
      </c>
      <c r="R501" s="14">
        <f t="shared" si="135"/>
        <v>84</v>
      </c>
      <c r="S501" s="15"/>
      <c r="W501" s="14"/>
    </row>
    <row r="502" spans="1:23" hidden="1" x14ac:dyDescent="0.25">
      <c r="A502" s="16"/>
      <c r="B502" s="17" t="b">
        <f t="shared" si="128"/>
        <v>0</v>
      </c>
      <c r="C502" s="17" t="b">
        <f t="shared" si="120"/>
        <v>0</v>
      </c>
      <c r="D502" s="17">
        <f t="shared" si="122"/>
        <v>1</v>
      </c>
      <c r="E502" s="17" t="str">
        <f t="shared" si="127"/>
        <v>Section 5 - Conclusion, And FREE Coupon For Next Course</v>
      </c>
      <c r="F502" s="18" t="str">
        <f t="shared" si="123"/>
        <v/>
      </c>
      <c r="G502" s="13" t="str">
        <f t="shared" si="129"/>
        <v/>
      </c>
      <c r="H502">
        <f t="shared" si="130"/>
        <v>0</v>
      </c>
      <c r="I502">
        <f t="shared" si="131"/>
        <v>0</v>
      </c>
      <c r="J502" s="13">
        <f t="shared" si="132"/>
        <v>85</v>
      </c>
      <c r="K502">
        <f t="shared" si="124"/>
        <v>1</v>
      </c>
      <c r="L502">
        <f t="shared" si="125"/>
        <v>25</v>
      </c>
      <c r="M502" s="13">
        <f t="shared" si="133"/>
        <v>1</v>
      </c>
      <c r="N502">
        <f t="shared" si="133"/>
        <v>24</v>
      </c>
      <c r="O502" s="14">
        <f t="shared" si="121"/>
        <v>84</v>
      </c>
      <c r="P502" s="13">
        <f t="shared" si="126"/>
        <v>1</v>
      </c>
      <c r="Q502">
        <f t="shared" si="134"/>
        <v>24</v>
      </c>
      <c r="R502" s="14">
        <f t="shared" si="135"/>
        <v>84</v>
      </c>
      <c r="S502" s="15"/>
      <c r="W502" s="14"/>
    </row>
    <row r="503" spans="1:23" hidden="1" x14ac:dyDescent="0.25">
      <c r="A503" s="16"/>
      <c r="B503" s="17" t="b">
        <f t="shared" si="128"/>
        <v>0</v>
      </c>
      <c r="C503" s="17" t="b">
        <f t="shared" si="120"/>
        <v>0</v>
      </c>
      <c r="D503" s="17">
        <f t="shared" si="122"/>
        <v>1</v>
      </c>
      <c r="E503" s="17" t="str">
        <f t="shared" si="127"/>
        <v>Section 5 - Conclusion, And FREE Coupon For Next Course</v>
      </c>
      <c r="F503" s="18" t="str">
        <f t="shared" si="123"/>
        <v/>
      </c>
      <c r="G503" s="13" t="str">
        <f t="shared" si="129"/>
        <v/>
      </c>
      <c r="H503">
        <f t="shared" si="130"/>
        <v>0</v>
      </c>
      <c r="I503">
        <f t="shared" si="131"/>
        <v>0</v>
      </c>
      <c r="J503" s="13">
        <f t="shared" si="132"/>
        <v>85</v>
      </c>
      <c r="K503">
        <f t="shared" si="124"/>
        <v>1</v>
      </c>
      <c r="L503">
        <f t="shared" si="125"/>
        <v>25</v>
      </c>
      <c r="M503" s="13">
        <f t="shared" si="133"/>
        <v>1</v>
      </c>
      <c r="N503">
        <f t="shared" si="133"/>
        <v>24</v>
      </c>
      <c r="O503" s="14">
        <f t="shared" si="121"/>
        <v>84</v>
      </c>
      <c r="P503" s="13">
        <f t="shared" si="126"/>
        <v>1</v>
      </c>
      <c r="Q503">
        <f t="shared" si="134"/>
        <v>24</v>
      </c>
      <c r="R503" s="14">
        <f t="shared" si="135"/>
        <v>84</v>
      </c>
      <c r="S503" s="15"/>
      <c r="W503" s="14"/>
    </row>
    <row r="504" spans="1:23" hidden="1" x14ac:dyDescent="0.25">
      <c r="A504" s="16"/>
      <c r="B504" s="17" t="b">
        <f t="shared" si="128"/>
        <v>0</v>
      </c>
      <c r="C504" s="17" t="b">
        <f t="shared" si="120"/>
        <v>0</v>
      </c>
      <c r="D504" s="17">
        <f t="shared" si="122"/>
        <v>1</v>
      </c>
      <c r="E504" s="17" t="str">
        <f t="shared" si="127"/>
        <v>Section 5 - Conclusion, And FREE Coupon For Next Course</v>
      </c>
      <c r="F504" s="18" t="str">
        <f t="shared" si="123"/>
        <v/>
      </c>
      <c r="G504" s="13" t="str">
        <f t="shared" si="129"/>
        <v/>
      </c>
      <c r="H504">
        <f t="shared" si="130"/>
        <v>0</v>
      </c>
      <c r="I504">
        <f t="shared" si="131"/>
        <v>0</v>
      </c>
      <c r="J504" s="13">
        <f t="shared" si="132"/>
        <v>85</v>
      </c>
      <c r="K504">
        <f t="shared" si="124"/>
        <v>1</v>
      </c>
      <c r="L504">
        <f t="shared" si="125"/>
        <v>25</v>
      </c>
      <c r="M504" s="13">
        <f t="shared" si="133"/>
        <v>1</v>
      </c>
      <c r="N504">
        <f t="shared" si="133"/>
        <v>24</v>
      </c>
      <c r="O504" s="14">
        <f t="shared" si="121"/>
        <v>84</v>
      </c>
      <c r="P504" s="13">
        <f t="shared" si="126"/>
        <v>1</v>
      </c>
      <c r="Q504">
        <f t="shared" si="134"/>
        <v>24</v>
      </c>
      <c r="R504" s="14">
        <f t="shared" si="135"/>
        <v>84</v>
      </c>
      <c r="S504" s="15"/>
      <c r="W504" s="14"/>
    </row>
    <row r="505" spans="1:23" hidden="1" x14ac:dyDescent="0.25">
      <c r="A505" s="16"/>
      <c r="B505" s="17" t="b">
        <f t="shared" si="128"/>
        <v>0</v>
      </c>
      <c r="C505" s="17" t="b">
        <f t="shared" si="120"/>
        <v>0</v>
      </c>
      <c r="D505" s="17">
        <f t="shared" si="122"/>
        <v>1</v>
      </c>
      <c r="E505" s="17" t="str">
        <f t="shared" si="127"/>
        <v>Section 5 - Conclusion, And FREE Coupon For Next Course</v>
      </c>
      <c r="F505" s="18" t="str">
        <f t="shared" si="123"/>
        <v/>
      </c>
      <c r="G505" s="13" t="str">
        <f t="shared" si="129"/>
        <v/>
      </c>
      <c r="H505">
        <f t="shared" si="130"/>
        <v>0</v>
      </c>
      <c r="I505">
        <f t="shared" si="131"/>
        <v>0</v>
      </c>
      <c r="J505" s="13">
        <f t="shared" si="132"/>
        <v>85</v>
      </c>
      <c r="K505">
        <f t="shared" si="124"/>
        <v>1</v>
      </c>
      <c r="L505">
        <f t="shared" si="125"/>
        <v>25</v>
      </c>
      <c r="M505" s="13">
        <f t="shared" si="133"/>
        <v>1</v>
      </c>
      <c r="N505">
        <f t="shared" si="133"/>
        <v>24</v>
      </c>
      <c r="O505" s="14">
        <f t="shared" si="121"/>
        <v>84</v>
      </c>
      <c r="P505" s="13">
        <f t="shared" si="126"/>
        <v>1</v>
      </c>
      <c r="Q505">
        <f t="shared" si="134"/>
        <v>24</v>
      </c>
      <c r="R505" s="14">
        <f t="shared" si="135"/>
        <v>84</v>
      </c>
      <c r="S505" s="15"/>
      <c r="W505" s="14"/>
    </row>
    <row r="506" spans="1:23" hidden="1" x14ac:dyDescent="0.25">
      <c r="A506" s="16"/>
      <c r="B506" s="17" t="b">
        <f t="shared" si="128"/>
        <v>0</v>
      </c>
      <c r="C506" s="17" t="b">
        <f t="shared" si="120"/>
        <v>0</v>
      </c>
      <c r="D506" s="17">
        <f t="shared" si="122"/>
        <v>1</v>
      </c>
      <c r="E506" s="17" t="str">
        <f t="shared" si="127"/>
        <v>Section 5 - Conclusion, And FREE Coupon For Next Course</v>
      </c>
      <c r="F506" s="18" t="str">
        <f t="shared" si="123"/>
        <v/>
      </c>
      <c r="G506" s="13" t="str">
        <f t="shared" si="129"/>
        <v/>
      </c>
      <c r="H506">
        <f t="shared" si="130"/>
        <v>0</v>
      </c>
      <c r="I506">
        <f t="shared" si="131"/>
        <v>0</v>
      </c>
      <c r="J506" s="13">
        <f t="shared" si="132"/>
        <v>85</v>
      </c>
      <c r="K506">
        <f t="shared" si="124"/>
        <v>1</v>
      </c>
      <c r="L506">
        <f t="shared" si="125"/>
        <v>25</v>
      </c>
      <c r="M506" s="13">
        <f t="shared" si="133"/>
        <v>1</v>
      </c>
      <c r="N506">
        <f t="shared" si="133"/>
        <v>24</v>
      </c>
      <c r="O506" s="14">
        <f t="shared" si="121"/>
        <v>84</v>
      </c>
      <c r="P506" s="13">
        <f t="shared" si="126"/>
        <v>1</v>
      </c>
      <c r="Q506">
        <f t="shared" si="134"/>
        <v>24</v>
      </c>
      <c r="R506" s="14">
        <f t="shared" si="135"/>
        <v>84</v>
      </c>
      <c r="S506" s="15"/>
      <c r="W506" s="14"/>
    </row>
    <row r="507" spans="1:23" hidden="1" x14ac:dyDescent="0.25">
      <c r="A507" s="16"/>
      <c r="B507" s="17" t="b">
        <f t="shared" si="128"/>
        <v>0</v>
      </c>
      <c r="C507" s="17" t="b">
        <f t="shared" si="120"/>
        <v>0</v>
      </c>
      <c r="D507" s="17">
        <f t="shared" si="122"/>
        <v>1</v>
      </c>
      <c r="E507" s="17" t="str">
        <f t="shared" si="127"/>
        <v>Section 5 - Conclusion, And FREE Coupon For Next Course</v>
      </c>
      <c r="F507" s="18" t="str">
        <f t="shared" si="123"/>
        <v/>
      </c>
      <c r="G507" s="13" t="str">
        <f t="shared" si="129"/>
        <v/>
      </c>
      <c r="H507">
        <f t="shared" si="130"/>
        <v>0</v>
      </c>
      <c r="I507">
        <f t="shared" si="131"/>
        <v>0</v>
      </c>
      <c r="J507" s="13">
        <f t="shared" si="132"/>
        <v>85</v>
      </c>
      <c r="K507">
        <f t="shared" si="124"/>
        <v>1</v>
      </c>
      <c r="L507">
        <f t="shared" si="125"/>
        <v>25</v>
      </c>
      <c r="M507" s="13">
        <f t="shared" si="133"/>
        <v>1</v>
      </c>
      <c r="N507">
        <f t="shared" si="133"/>
        <v>24</v>
      </c>
      <c r="O507" s="14">
        <f t="shared" si="121"/>
        <v>84</v>
      </c>
      <c r="P507" s="13">
        <f t="shared" si="126"/>
        <v>1</v>
      </c>
      <c r="Q507">
        <f t="shared" si="134"/>
        <v>24</v>
      </c>
      <c r="R507" s="14">
        <f t="shared" si="135"/>
        <v>84</v>
      </c>
      <c r="S507" s="15"/>
      <c r="W507" s="14"/>
    </row>
    <row r="508" spans="1:23" hidden="1" x14ac:dyDescent="0.25">
      <c r="A508" s="16"/>
      <c r="B508" s="17" t="b">
        <f t="shared" si="128"/>
        <v>0</v>
      </c>
      <c r="C508" s="17" t="b">
        <f t="shared" si="120"/>
        <v>0</v>
      </c>
      <c r="D508" s="17">
        <f t="shared" si="122"/>
        <v>1</v>
      </c>
      <c r="E508" s="17" t="str">
        <f t="shared" si="127"/>
        <v>Section 5 - Conclusion, And FREE Coupon For Next Course</v>
      </c>
      <c r="F508" s="18" t="str">
        <f t="shared" si="123"/>
        <v/>
      </c>
      <c r="G508" s="13" t="str">
        <f t="shared" si="129"/>
        <v/>
      </c>
      <c r="H508">
        <f t="shared" si="130"/>
        <v>0</v>
      </c>
      <c r="I508">
        <f t="shared" si="131"/>
        <v>0</v>
      </c>
      <c r="J508" s="13">
        <f t="shared" si="132"/>
        <v>85</v>
      </c>
      <c r="K508">
        <f t="shared" si="124"/>
        <v>1</v>
      </c>
      <c r="L508">
        <f t="shared" si="125"/>
        <v>25</v>
      </c>
      <c r="M508" s="13">
        <f t="shared" si="133"/>
        <v>1</v>
      </c>
      <c r="N508">
        <f t="shared" si="133"/>
        <v>24</v>
      </c>
      <c r="O508" s="14">
        <f t="shared" si="121"/>
        <v>84</v>
      </c>
      <c r="P508" s="13">
        <f t="shared" si="126"/>
        <v>1</v>
      </c>
      <c r="Q508">
        <f t="shared" si="134"/>
        <v>24</v>
      </c>
      <c r="R508" s="14">
        <f t="shared" si="135"/>
        <v>84</v>
      </c>
      <c r="S508" s="15"/>
      <c r="W508" s="14"/>
    </row>
    <row r="509" spans="1:23" hidden="1" x14ac:dyDescent="0.25">
      <c r="A509" s="16"/>
      <c r="B509" s="17" t="b">
        <f t="shared" si="128"/>
        <v>0</v>
      </c>
      <c r="C509" s="17" t="b">
        <f t="shared" si="120"/>
        <v>0</v>
      </c>
      <c r="D509" s="17">
        <f t="shared" si="122"/>
        <v>1</v>
      </c>
      <c r="E509" s="17" t="str">
        <f t="shared" si="127"/>
        <v>Section 5 - Conclusion, And FREE Coupon For Next Course</v>
      </c>
      <c r="F509" s="18" t="str">
        <f t="shared" si="123"/>
        <v/>
      </c>
      <c r="G509" s="13" t="str">
        <f t="shared" si="129"/>
        <v/>
      </c>
      <c r="H509">
        <f t="shared" si="130"/>
        <v>0</v>
      </c>
      <c r="I509">
        <f t="shared" si="131"/>
        <v>0</v>
      </c>
      <c r="J509" s="13">
        <f t="shared" si="132"/>
        <v>85</v>
      </c>
      <c r="K509">
        <f t="shared" si="124"/>
        <v>1</v>
      </c>
      <c r="L509">
        <f t="shared" si="125"/>
        <v>25</v>
      </c>
      <c r="M509" s="13">
        <f t="shared" si="133"/>
        <v>1</v>
      </c>
      <c r="N509">
        <f t="shared" si="133"/>
        <v>24</v>
      </c>
      <c r="O509" s="14">
        <f t="shared" si="121"/>
        <v>84</v>
      </c>
      <c r="P509" s="13">
        <f t="shared" si="126"/>
        <v>1</v>
      </c>
      <c r="Q509">
        <f t="shared" si="134"/>
        <v>24</v>
      </c>
      <c r="R509" s="14">
        <f t="shared" si="135"/>
        <v>84</v>
      </c>
      <c r="S509" s="15"/>
      <c r="W509" s="14"/>
    </row>
    <row r="510" spans="1:23" hidden="1" x14ac:dyDescent="0.25">
      <c r="A510" s="16"/>
      <c r="B510" s="17" t="b">
        <f t="shared" si="128"/>
        <v>0</v>
      </c>
      <c r="C510" s="17" t="b">
        <f t="shared" si="120"/>
        <v>0</v>
      </c>
      <c r="D510" s="17">
        <f t="shared" si="122"/>
        <v>1</v>
      </c>
      <c r="E510" s="17" t="str">
        <f t="shared" si="127"/>
        <v>Section 5 - Conclusion, And FREE Coupon For Next Course</v>
      </c>
      <c r="F510" s="18" t="str">
        <f t="shared" si="123"/>
        <v/>
      </c>
      <c r="G510" s="13" t="str">
        <f t="shared" si="129"/>
        <v/>
      </c>
      <c r="H510">
        <f t="shared" si="130"/>
        <v>0</v>
      </c>
      <c r="I510">
        <f t="shared" si="131"/>
        <v>0</v>
      </c>
      <c r="J510" s="13">
        <f t="shared" si="132"/>
        <v>85</v>
      </c>
      <c r="K510">
        <f t="shared" si="124"/>
        <v>1</v>
      </c>
      <c r="L510">
        <f t="shared" si="125"/>
        <v>25</v>
      </c>
      <c r="M510" s="13">
        <f t="shared" si="133"/>
        <v>1</v>
      </c>
      <c r="N510">
        <f t="shared" si="133"/>
        <v>24</v>
      </c>
      <c r="O510" s="14">
        <f t="shared" si="121"/>
        <v>84</v>
      </c>
      <c r="P510" s="13">
        <f t="shared" si="126"/>
        <v>1</v>
      </c>
      <c r="Q510">
        <f t="shared" si="134"/>
        <v>24</v>
      </c>
      <c r="R510" s="14">
        <f t="shared" si="135"/>
        <v>84</v>
      </c>
      <c r="S510" s="15"/>
      <c r="W510" s="14"/>
    </row>
    <row r="511" spans="1:23" hidden="1" x14ac:dyDescent="0.25">
      <c r="A511" s="16"/>
      <c r="B511" s="17" t="b">
        <f t="shared" si="128"/>
        <v>0</v>
      </c>
      <c r="C511" s="17" t="b">
        <f t="shared" si="120"/>
        <v>0</v>
      </c>
      <c r="D511" s="17">
        <f t="shared" si="122"/>
        <v>1</v>
      </c>
      <c r="E511" s="17" t="str">
        <f t="shared" si="127"/>
        <v>Section 5 - Conclusion, And FREE Coupon For Next Course</v>
      </c>
      <c r="F511" s="18" t="str">
        <f t="shared" si="123"/>
        <v/>
      </c>
      <c r="G511" s="13" t="str">
        <f t="shared" si="129"/>
        <v/>
      </c>
      <c r="H511">
        <f t="shared" si="130"/>
        <v>0</v>
      </c>
      <c r="I511">
        <f t="shared" si="131"/>
        <v>0</v>
      </c>
      <c r="J511" s="13">
        <f t="shared" si="132"/>
        <v>85</v>
      </c>
      <c r="K511">
        <f t="shared" si="124"/>
        <v>1</v>
      </c>
      <c r="L511">
        <f t="shared" si="125"/>
        <v>25</v>
      </c>
      <c r="M511" s="13">
        <f t="shared" si="133"/>
        <v>1</v>
      </c>
      <c r="N511">
        <f t="shared" si="133"/>
        <v>24</v>
      </c>
      <c r="O511" s="14">
        <f t="shared" si="121"/>
        <v>84</v>
      </c>
      <c r="P511" s="13">
        <f t="shared" si="126"/>
        <v>1</v>
      </c>
      <c r="Q511">
        <f t="shared" si="134"/>
        <v>24</v>
      </c>
      <c r="R511" s="14">
        <f t="shared" si="135"/>
        <v>84</v>
      </c>
      <c r="S511" s="15"/>
      <c r="W511" s="14"/>
    </row>
    <row r="512" spans="1:23" hidden="1" x14ac:dyDescent="0.25">
      <c r="A512" s="16"/>
      <c r="B512" s="17" t="b">
        <f t="shared" si="128"/>
        <v>0</v>
      </c>
      <c r="C512" s="17" t="b">
        <f t="shared" ref="C512:C565" si="136">OR(NOT(ISERROR(FIND("hr",A513))), NOT(ISERROR(FIND("min ",A513))),RIGHT(A513,3)="min")</f>
        <v>0</v>
      </c>
      <c r="D512" s="17">
        <f t="shared" si="122"/>
        <v>1</v>
      </c>
      <c r="E512" s="17" t="str">
        <f t="shared" si="127"/>
        <v>Section 5 - Conclusion, And FREE Coupon For Next Course</v>
      </c>
      <c r="F512" s="18" t="str">
        <f t="shared" si="123"/>
        <v/>
      </c>
      <c r="G512" s="13" t="str">
        <f t="shared" si="129"/>
        <v/>
      </c>
      <c r="H512">
        <f t="shared" si="130"/>
        <v>0</v>
      </c>
      <c r="I512">
        <f t="shared" si="131"/>
        <v>0</v>
      </c>
      <c r="J512" s="13">
        <f t="shared" si="132"/>
        <v>85</v>
      </c>
      <c r="K512">
        <f t="shared" si="124"/>
        <v>1</v>
      </c>
      <c r="L512">
        <f t="shared" si="125"/>
        <v>25</v>
      </c>
      <c r="M512" s="13">
        <f t="shared" si="133"/>
        <v>1</v>
      </c>
      <c r="N512">
        <f t="shared" si="133"/>
        <v>24</v>
      </c>
      <c r="O512" s="14">
        <f t="shared" si="121"/>
        <v>84</v>
      </c>
      <c r="P512" s="13">
        <f t="shared" si="126"/>
        <v>1</v>
      </c>
      <c r="Q512">
        <f t="shared" si="134"/>
        <v>24</v>
      </c>
      <c r="R512" s="14">
        <f t="shared" si="135"/>
        <v>84</v>
      </c>
      <c r="S512" s="15"/>
      <c r="W512" s="14"/>
    </row>
    <row r="513" spans="1:23" hidden="1" x14ac:dyDescent="0.25">
      <c r="A513" s="16"/>
      <c r="B513" s="17" t="b">
        <f t="shared" si="128"/>
        <v>0</v>
      </c>
      <c r="C513" s="17" t="b">
        <f t="shared" si="136"/>
        <v>0</v>
      </c>
      <c r="D513" s="17">
        <f t="shared" si="122"/>
        <v>1</v>
      </c>
      <c r="E513" s="17" t="str">
        <f t="shared" si="127"/>
        <v>Section 5 - Conclusion, And FREE Coupon For Next Course</v>
      </c>
      <c r="F513" s="18" t="str">
        <f t="shared" si="123"/>
        <v/>
      </c>
      <c r="G513" s="13" t="str">
        <f t="shared" si="129"/>
        <v/>
      </c>
      <c r="H513">
        <f t="shared" si="130"/>
        <v>0</v>
      </c>
      <c r="I513">
        <f t="shared" si="131"/>
        <v>0</v>
      </c>
      <c r="J513" s="13">
        <f t="shared" si="132"/>
        <v>85</v>
      </c>
      <c r="K513">
        <f t="shared" si="124"/>
        <v>1</v>
      </c>
      <c r="L513">
        <f t="shared" si="125"/>
        <v>25</v>
      </c>
      <c r="M513" s="13">
        <f t="shared" si="133"/>
        <v>1</v>
      </c>
      <c r="N513">
        <f t="shared" si="133"/>
        <v>24</v>
      </c>
      <c r="O513" s="14">
        <f t="shared" si="121"/>
        <v>84</v>
      </c>
      <c r="P513" s="13">
        <f t="shared" si="126"/>
        <v>1</v>
      </c>
      <c r="Q513">
        <f t="shared" si="134"/>
        <v>24</v>
      </c>
      <c r="R513" s="14">
        <f t="shared" si="135"/>
        <v>84</v>
      </c>
      <c r="S513" s="15"/>
      <c r="W513" s="14"/>
    </row>
    <row r="514" spans="1:23" hidden="1" x14ac:dyDescent="0.25">
      <c r="A514" s="16"/>
      <c r="B514" s="17" t="b">
        <f t="shared" si="128"/>
        <v>0</v>
      </c>
      <c r="C514" s="17" t="b">
        <f t="shared" si="136"/>
        <v>0</v>
      </c>
      <c r="D514" s="17">
        <f t="shared" si="122"/>
        <v>1</v>
      </c>
      <c r="E514" s="17" t="str">
        <f t="shared" si="127"/>
        <v>Section 5 - Conclusion, And FREE Coupon For Next Course</v>
      </c>
      <c r="F514" s="18" t="str">
        <f t="shared" si="123"/>
        <v/>
      </c>
      <c r="G514" s="13" t="str">
        <f t="shared" si="129"/>
        <v/>
      </c>
      <c r="H514">
        <f t="shared" si="130"/>
        <v>0</v>
      </c>
      <c r="I514">
        <f t="shared" si="131"/>
        <v>0</v>
      </c>
      <c r="J514" s="13">
        <f t="shared" si="132"/>
        <v>85</v>
      </c>
      <c r="K514">
        <f t="shared" si="124"/>
        <v>1</v>
      </c>
      <c r="L514">
        <f t="shared" si="125"/>
        <v>25</v>
      </c>
      <c r="M514" s="13">
        <f t="shared" si="133"/>
        <v>1</v>
      </c>
      <c r="N514">
        <f t="shared" si="133"/>
        <v>24</v>
      </c>
      <c r="O514" s="14">
        <f t="shared" si="121"/>
        <v>84</v>
      </c>
      <c r="P514" s="13">
        <f t="shared" si="126"/>
        <v>1</v>
      </c>
      <c r="Q514">
        <f t="shared" si="134"/>
        <v>24</v>
      </c>
      <c r="R514" s="14">
        <f t="shared" si="135"/>
        <v>84</v>
      </c>
      <c r="S514" s="15"/>
      <c r="W514" s="14"/>
    </row>
    <row r="515" spans="1:23" hidden="1" x14ac:dyDescent="0.25">
      <c r="A515" s="16"/>
      <c r="B515" s="17" t="b">
        <f t="shared" si="128"/>
        <v>0</v>
      </c>
      <c r="C515" s="17" t="b">
        <f t="shared" si="136"/>
        <v>0</v>
      </c>
      <c r="D515" s="17">
        <f t="shared" si="122"/>
        <v>1</v>
      </c>
      <c r="E515" s="17" t="str">
        <f t="shared" si="127"/>
        <v>Section 5 - Conclusion, And FREE Coupon For Next Course</v>
      </c>
      <c r="F515" s="18" t="str">
        <f t="shared" si="123"/>
        <v/>
      </c>
      <c r="G515" s="13" t="str">
        <f t="shared" si="129"/>
        <v/>
      </c>
      <c r="H515">
        <f t="shared" si="130"/>
        <v>0</v>
      </c>
      <c r="I515">
        <f t="shared" si="131"/>
        <v>0</v>
      </c>
      <c r="J515" s="13">
        <f t="shared" si="132"/>
        <v>85</v>
      </c>
      <c r="K515">
        <f t="shared" si="124"/>
        <v>1</v>
      </c>
      <c r="L515">
        <f t="shared" si="125"/>
        <v>25</v>
      </c>
      <c r="M515" s="13">
        <f t="shared" si="133"/>
        <v>1</v>
      </c>
      <c r="N515">
        <f t="shared" si="133"/>
        <v>24</v>
      </c>
      <c r="O515" s="14">
        <f t="shared" si="121"/>
        <v>84</v>
      </c>
      <c r="P515" s="13">
        <f t="shared" si="126"/>
        <v>1</v>
      </c>
      <c r="Q515">
        <f t="shared" si="134"/>
        <v>24</v>
      </c>
      <c r="R515" s="14">
        <f t="shared" si="135"/>
        <v>84</v>
      </c>
      <c r="S515" s="15"/>
      <c r="W515" s="14"/>
    </row>
    <row r="516" spans="1:23" hidden="1" x14ac:dyDescent="0.25">
      <c r="A516" s="16"/>
      <c r="B516" s="17" t="b">
        <f t="shared" si="128"/>
        <v>0</v>
      </c>
      <c r="C516" s="17" t="b">
        <f t="shared" si="136"/>
        <v>0</v>
      </c>
      <c r="D516" s="17">
        <f t="shared" si="122"/>
        <v>1</v>
      </c>
      <c r="E516" s="17" t="str">
        <f t="shared" si="127"/>
        <v>Section 5 - Conclusion, And FREE Coupon For Next Course</v>
      </c>
      <c r="F516" s="18" t="str">
        <f t="shared" si="123"/>
        <v/>
      </c>
      <c r="G516" s="13" t="str">
        <f t="shared" si="129"/>
        <v/>
      </c>
      <c r="H516">
        <f t="shared" si="130"/>
        <v>0</v>
      </c>
      <c r="I516">
        <f t="shared" si="131"/>
        <v>0</v>
      </c>
      <c r="J516" s="13">
        <f t="shared" si="132"/>
        <v>85</v>
      </c>
      <c r="K516">
        <f t="shared" si="124"/>
        <v>1</v>
      </c>
      <c r="L516">
        <f t="shared" si="125"/>
        <v>25</v>
      </c>
      <c r="M516" s="13">
        <f t="shared" si="133"/>
        <v>1</v>
      </c>
      <c r="N516">
        <f t="shared" si="133"/>
        <v>24</v>
      </c>
      <c r="O516" s="14">
        <f t="shared" si="121"/>
        <v>84</v>
      </c>
      <c r="P516" s="13">
        <f t="shared" si="126"/>
        <v>1</v>
      </c>
      <c r="Q516">
        <f t="shared" si="134"/>
        <v>24</v>
      </c>
      <c r="R516" s="14">
        <f t="shared" si="135"/>
        <v>84</v>
      </c>
      <c r="S516" s="15"/>
      <c r="W516" s="14"/>
    </row>
    <row r="517" spans="1:23" hidden="1" x14ac:dyDescent="0.25">
      <c r="A517" s="16"/>
      <c r="B517" s="17" t="b">
        <f t="shared" si="128"/>
        <v>0</v>
      </c>
      <c r="C517" s="17" t="b">
        <f t="shared" si="136"/>
        <v>0</v>
      </c>
      <c r="D517" s="17">
        <f t="shared" si="122"/>
        <v>1</v>
      </c>
      <c r="E517" s="17" t="str">
        <f t="shared" si="127"/>
        <v>Section 5 - Conclusion, And FREE Coupon For Next Course</v>
      </c>
      <c r="F517" s="18" t="str">
        <f t="shared" si="123"/>
        <v/>
      </c>
      <c r="G517" s="13" t="str">
        <f t="shared" si="129"/>
        <v/>
      </c>
      <c r="H517">
        <f t="shared" si="130"/>
        <v>0</v>
      </c>
      <c r="I517">
        <f t="shared" si="131"/>
        <v>0</v>
      </c>
      <c r="J517" s="13">
        <f t="shared" si="132"/>
        <v>85</v>
      </c>
      <c r="K517">
        <f t="shared" si="124"/>
        <v>1</v>
      </c>
      <c r="L517">
        <f t="shared" si="125"/>
        <v>25</v>
      </c>
      <c r="M517" s="13">
        <f t="shared" si="133"/>
        <v>1</v>
      </c>
      <c r="N517">
        <f t="shared" si="133"/>
        <v>24</v>
      </c>
      <c r="O517" s="14">
        <f t="shared" si="121"/>
        <v>84</v>
      </c>
      <c r="P517" s="13">
        <f t="shared" si="126"/>
        <v>1</v>
      </c>
      <c r="Q517">
        <f t="shared" si="134"/>
        <v>24</v>
      </c>
      <c r="R517" s="14">
        <f t="shared" si="135"/>
        <v>84</v>
      </c>
      <c r="S517" s="15"/>
      <c r="W517" s="14"/>
    </row>
    <row r="518" spans="1:23" hidden="1" x14ac:dyDescent="0.25">
      <c r="A518" s="16"/>
      <c r="B518" s="17" t="b">
        <f t="shared" si="128"/>
        <v>0</v>
      </c>
      <c r="C518" s="17" t="b">
        <f t="shared" si="136"/>
        <v>0</v>
      </c>
      <c r="D518" s="17">
        <f t="shared" si="122"/>
        <v>1</v>
      </c>
      <c r="E518" s="17" t="str">
        <f t="shared" si="127"/>
        <v>Section 5 - Conclusion, And FREE Coupon For Next Course</v>
      </c>
      <c r="F518" s="18" t="str">
        <f t="shared" si="123"/>
        <v/>
      </c>
      <c r="G518" s="13" t="str">
        <f t="shared" si="129"/>
        <v/>
      </c>
      <c r="H518">
        <f t="shared" si="130"/>
        <v>0</v>
      </c>
      <c r="I518">
        <f t="shared" si="131"/>
        <v>0</v>
      </c>
      <c r="J518" s="13">
        <f t="shared" si="132"/>
        <v>85</v>
      </c>
      <c r="K518">
        <f t="shared" si="124"/>
        <v>1</v>
      </c>
      <c r="L518">
        <f t="shared" si="125"/>
        <v>25</v>
      </c>
      <c r="M518" s="13">
        <f t="shared" si="133"/>
        <v>1</v>
      </c>
      <c r="N518">
        <f t="shared" si="133"/>
        <v>24</v>
      </c>
      <c r="O518" s="14">
        <f t="shared" si="121"/>
        <v>84</v>
      </c>
      <c r="P518" s="13">
        <f t="shared" si="126"/>
        <v>1</v>
      </c>
      <c r="Q518">
        <f t="shared" si="134"/>
        <v>24</v>
      </c>
      <c r="R518" s="14">
        <f t="shared" si="135"/>
        <v>84</v>
      </c>
      <c r="S518" s="15"/>
      <c r="W518" s="14"/>
    </row>
    <row r="519" spans="1:23" hidden="1" x14ac:dyDescent="0.25">
      <c r="A519" s="16"/>
      <c r="B519" s="17" t="b">
        <f t="shared" si="128"/>
        <v>0</v>
      </c>
      <c r="C519" s="17" t="b">
        <f t="shared" si="136"/>
        <v>0</v>
      </c>
      <c r="D519" s="17">
        <f t="shared" si="122"/>
        <v>1</v>
      </c>
      <c r="E519" s="17" t="str">
        <f t="shared" si="127"/>
        <v>Section 5 - Conclusion, And FREE Coupon For Next Course</v>
      </c>
      <c r="F519" s="18" t="str">
        <f t="shared" si="123"/>
        <v/>
      </c>
      <c r="G519" s="13" t="str">
        <f t="shared" si="129"/>
        <v/>
      </c>
      <c r="H519">
        <f t="shared" si="130"/>
        <v>0</v>
      </c>
      <c r="I519">
        <f t="shared" si="131"/>
        <v>0</v>
      </c>
      <c r="J519" s="13">
        <f t="shared" si="132"/>
        <v>85</v>
      </c>
      <c r="K519">
        <f t="shared" si="124"/>
        <v>1</v>
      </c>
      <c r="L519">
        <f t="shared" si="125"/>
        <v>25</v>
      </c>
      <c r="M519" s="13">
        <f t="shared" si="133"/>
        <v>1</v>
      </c>
      <c r="N519">
        <f t="shared" si="133"/>
        <v>24</v>
      </c>
      <c r="O519" s="14">
        <f t="shared" si="121"/>
        <v>84</v>
      </c>
      <c r="P519" s="13">
        <f t="shared" si="126"/>
        <v>1</v>
      </c>
      <c r="Q519">
        <f t="shared" si="134"/>
        <v>24</v>
      </c>
      <c r="R519" s="14">
        <f t="shared" si="135"/>
        <v>84</v>
      </c>
      <c r="S519" s="15"/>
      <c r="W519" s="14"/>
    </row>
    <row r="520" spans="1:23" hidden="1" x14ac:dyDescent="0.25">
      <c r="A520" s="16"/>
      <c r="B520" s="17" t="b">
        <f t="shared" si="128"/>
        <v>0</v>
      </c>
      <c r="C520" s="17" t="b">
        <f t="shared" si="136"/>
        <v>0</v>
      </c>
      <c r="D520" s="17">
        <f t="shared" si="122"/>
        <v>1</v>
      </c>
      <c r="E520" s="17" t="str">
        <f t="shared" si="127"/>
        <v>Section 5 - Conclusion, And FREE Coupon For Next Course</v>
      </c>
      <c r="F520" s="18" t="str">
        <f t="shared" si="123"/>
        <v/>
      </c>
      <c r="G520" s="13" t="str">
        <f t="shared" si="129"/>
        <v/>
      </c>
      <c r="H520">
        <f t="shared" si="130"/>
        <v>0</v>
      </c>
      <c r="I520">
        <f t="shared" si="131"/>
        <v>0</v>
      </c>
      <c r="J520" s="13">
        <f t="shared" si="132"/>
        <v>85</v>
      </c>
      <c r="K520">
        <f t="shared" si="124"/>
        <v>1</v>
      </c>
      <c r="L520">
        <f t="shared" si="125"/>
        <v>25</v>
      </c>
      <c r="M520" s="13">
        <f t="shared" si="133"/>
        <v>1</v>
      </c>
      <c r="N520">
        <f t="shared" si="133"/>
        <v>24</v>
      </c>
      <c r="O520" s="14">
        <f t="shared" si="121"/>
        <v>84</v>
      </c>
      <c r="P520" s="13">
        <f t="shared" si="126"/>
        <v>1</v>
      </c>
      <c r="Q520">
        <f t="shared" si="134"/>
        <v>24</v>
      </c>
      <c r="R520" s="14">
        <f t="shared" si="135"/>
        <v>84</v>
      </c>
      <c r="S520" s="15"/>
      <c r="W520" s="14"/>
    </row>
    <row r="521" spans="1:23" hidden="1" x14ac:dyDescent="0.25">
      <c r="A521" s="16"/>
      <c r="B521" s="17" t="b">
        <f t="shared" si="128"/>
        <v>0</v>
      </c>
      <c r="C521" s="17" t="b">
        <f t="shared" si="136"/>
        <v>0</v>
      </c>
      <c r="D521" s="17">
        <f t="shared" si="122"/>
        <v>1</v>
      </c>
      <c r="E521" s="17" t="str">
        <f t="shared" si="127"/>
        <v>Section 5 - Conclusion, And FREE Coupon For Next Course</v>
      </c>
      <c r="F521" s="18" t="str">
        <f t="shared" si="123"/>
        <v/>
      </c>
      <c r="G521" s="13" t="str">
        <f t="shared" si="129"/>
        <v/>
      </c>
      <c r="H521">
        <f t="shared" si="130"/>
        <v>0</v>
      </c>
      <c r="I521">
        <f t="shared" si="131"/>
        <v>0</v>
      </c>
      <c r="J521" s="13">
        <f t="shared" si="132"/>
        <v>85</v>
      </c>
      <c r="K521">
        <f t="shared" si="124"/>
        <v>1</v>
      </c>
      <c r="L521">
        <f t="shared" si="125"/>
        <v>25</v>
      </c>
      <c r="M521" s="13">
        <f t="shared" si="133"/>
        <v>1</v>
      </c>
      <c r="N521">
        <f t="shared" si="133"/>
        <v>24</v>
      </c>
      <c r="O521" s="14">
        <f t="shared" si="121"/>
        <v>84</v>
      </c>
      <c r="P521" s="13">
        <f t="shared" si="126"/>
        <v>1</v>
      </c>
      <c r="Q521">
        <f t="shared" si="134"/>
        <v>24</v>
      </c>
      <c r="R521" s="14">
        <f t="shared" si="135"/>
        <v>84</v>
      </c>
      <c r="S521" s="15"/>
      <c r="W521" s="14"/>
    </row>
    <row r="522" spans="1:23" hidden="1" x14ac:dyDescent="0.25">
      <c r="A522" s="16"/>
      <c r="B522" s="17" t="b">
        <f t="shared" si="128"/>
        <v>0</v>
      </c>
      <c r="C522" s="17" t="b">
        <f t="shared" si="136"/>
        <v>0</v>
      </c>
      <c r="D522" s="17">
        <f t="shared" si="122"/>
        <v>1</v>
      </c>
      <c r="E522" s="17" t="str">
        <f t="shared" si="127"/>
        <v>Section 5 - Conclusion, And FREE Coupon For Next Course</v>
      </c>
      <c r="F522" s="18" t="str">
        <f t="shared" si="123"/>
        <v/>
      </c>
      <c r="G522" s="13" t="str">
        <f t="shared" si="129"/>
        <v/>
      </c>
      <c r="H522">
        <f t="shared" si="130"/>
        <v>0</v>
      </c>
      <c r="I522">
        <f t="shared" si="131"/>
        <v>0</v>
      </c>
      <c r="J522" s="13">
        <f t="shared" si="132"/>
        <v>85</v>
      </c>
      <c r="K522">
        <f t="shared" si="124"/>
        <v>1</v>
      </c>
      <c r="L522">
        <f t="shared" si="125"/>
        <v>25</v>
      </c>
      <c r="M522" s="13">
        <f t="shared" si="133"/>
        <v>1</v>
      </c>
      <c r="N522">
        <f t="shared" si="133"/>
        <v>24</v>
      </c>
      <c r="O522" s="14">
        <f t="shared" ref="O522:O565" si="137">((M522*60)+N522)</f>
        <v>84</v>
      </c>
      <c r="P522" s="13">
        <f t="shared" si="126"/>
        <v>1</v>
      </c>
      <c r="Q522">
        <f t="shared" si="134"/>
        <v>24</v>
      </c>
      <c r="R522" s="14">
        <f t="shared" si="135"/>
        <v>84</v>
      </c>
      <c r="S522" s="15"/>
      <c r="W522" s="14"/>
    </row>
    <row r="523" spans="1:23" hidden="1" x14ac:dyDescent="0.25">
      <c r="A523" s="16"/>
      <c r="B523" s="17" t="b">
        <f t="shared" si="128"/>
        <v>0</v>
      </c>
      <c r="C523" s="17" t="b">
        <f t="shared" si="136"/>
        <v>0</v>
      </c>
      <c r="D523" s="17">
        <f t="shared" ref="D523:D565" si="138">IF(B523,0,IF(C523,D522+1,D522))</f>
        <v>1</v>
      </c>
      <c r="E523" s="17" t="str">
        <f t="shared" si="127"/>
        <v>Section 5 - Conclusion, And FREE Coupon For Next Course</v>
      </c>
      <c r="F523" s="18" t="str">
        <f t="shared" ref="F523:F565" si="139">IF(C523,A523,"")</f>
        <v/>
      </c>
      <c r="G523" s="13" t="str">
        <f t="shared" si="129"/>
        <v/>
      </c>
      <c r="H523">
        <f t="shared" si="130"/>
        <v>0</v>
      </c>
      <c r="I523">
        <f t="shared" si="131"/>
        <v>0</v>
      </c>
      <c r="J523" s="13">
        <f t="shared" si="132"/>
        <v>85</v>
      </c>
      <c r="K523">
        <f t="shared" ref="K523:K565" si="140">INT(J523/60)</f>
        <v>1</v>
      </c>
      <c r="L523">
        <f t="shared" ref="L523:L565" si="141">INT(J523-(K523*60))</f>
        <v>25</v>
      </c>
      <c r="M523" s="13">
        <f t="shared" si="133"/>
        <v>1</v>
      </c>
      <c r="N523">
        <f t="shared" si="133"/>
        <v>24</v>
      </c>
      <c r="O523" s="14">
        <f t="shared" si="137"/>
        <v>84</v>
      </c>
      <c r="P523" s="13">
        <f t="shared" ref="P523:P565" si="142">INT(R523/60)</f>
        <v>1</v>
      </c>
      <c r="Q523">
        <f t="shared" si="134"/>
        <v>24</v>
      </c>
      <c r="R523" s="14">
        <f t="shared" si="135"/>
        <v>84</v>
      </c>
      <c r="S523" s="15"/>
      <c r="W523" s="14"/>
    </row>
    <row r="524" spans="1:23" hidden="1" x14ac:dyDescent="0.25">
      <c r="A524" s="16"/>
      <c r="B524" s="17" t="b">
        <f t="shared" si="128"/>
        <v>0</v>
      </c>
      <c r="C524" s="17" t="b">
        <f t="shared" si="136"/>
        <v>0</v>
      </c>
      <c r="D524" s="17">
        <f t="shared" si="138"/>
        <v>1</v>
      </c>
      <c r="E524" s="17" t="str">
        <f t="shared" ref="E524:E565" si="143">SUBSTITUTE(IF(B524,A524,E523),":", " -")</f>
        <v>Section 5 - Conclusion, And FREE Coupon For Next Course</v>
      </c>
      <c r="F524" s="18" t="str">
        <f t="shared" si="139"/>
        <v/>
      </c>
      <c r="G524" s="13" t="str">
        <f t="shared" si="129"/>
        <v/>
      </c>
      <c r="H524">
        <f t="shared" si="130"/>
        <v>0</v>
      </c>
      <c r="I524">
        <f t="shared" si="131"/>
        <v>0</v>
      </c>
      <c r="J524" s="13">
        <f t="shared" si="132"/>
        <v>85</v>
      </c>
      <c r="K524">
        <f t="shared" si="140"/>
        <v>1</v>
      </c>
      <c r="L524">
        <f t="shared" si="141"/>
        <v>25</v>
      </c>
      <c r="M524" s="13">
        <f t="shared" si="133"/>
        <v>1</v>
      </c>
      <c r="N524">
        <f t="shared" si="133"/>
        <v>24</v>
      </c>
      <c r="O524" s="14">
        <f t="shared" si="137"/>
        <v>84</v>
      </c>
      <c r="P524" s="13">
        <f t="shared" si="142"/>
        <v>1</v>
      </c>
      <c r="Q524">
        <f t="shared" si="134"/>
        <v>24</v>
      </c>
      <c r="R524" s="14">
        <f t="shared" si="135"/>
        <v>84</v>
      </c>
      <c r="S524" s="15"/>
      <c r="W524" s="14"/>
    </row>
    <row r="525" spans="1:23" hidden="1" x14ac:dyDescent="0.25">
      <c r="A525" s="16"/>
      <c r="B525" s="17" t="b">
        <f t="shared" si="128"/>
        <v>0</v>
      </c>
      <c r="C525" s="17" t="b">
        <f t="shared" si="136"/>
        <v>0</v>
      </c>
      <c r="D525" s="17">
        <f t="shared" si="138"/>
        <v>1</v>
      </c>
      <c r="E525" s="17" t="str">
        <f t="shared" si="143"/>
        <v>Section 5 - Conclusion, And FREE Coupon For Next Course</v>
      </c>
      <c r="F525" s="18" t="str">
        <f t="shared" si="139"/>
        <v/>
      </c>
      <c r="G525" s="13" t="str">
        <f t="shared" si="129"/>
        <v/>
      </c>
      <c r="H525">
        <f t="shared" si="130"/>
        <v>0</v>
      </c>
      <c r="I525">
        <f t="shared" si="131"/>
        <v>0</v>
      </c>
      <c r="J525" s="13">
        <f t="shared" si="132"/>
        <v>85</v>
      </c>
      <c r="K525">
        <f t="shared" si="140"/>
        <v>1</v>
      </c>
      <c r="L525">
        <f t="shared" si="141"/>
        <v>25</v>
      </c>
      <c r="M525" s="13">
        <f t="shared" si="133"/>
        <v>1</v>
      </c>
      <c r="N525">
        <f t="shared" si="133"/>
        <v>24</v>
      </c>
      <c r="O525" s="14">
        <f t="shared" si="137"/>
        <v>84</v>
      </c>
      <c r="P525" s="13">
        <f t="shared" si="142"/>
        <v>1</v>
      </c>
      <c r="Q525">
        <f t="shared" si="134"/>
        <v>24</v>
      </c>
      <c r="R525" s="14">
        <f t="shared" si="135"/>
        <v>84</v>
      </c>
      <c r="S525" s="15"/>
      <c r="W525" s="14"/>
    </row>
    <row r="526" spans="1:23" hidden="1" x14ac:dyDescent="0.25">
      <c r="A526" s="16"/>
      <c r="B526" s="17" t="b">
        <f t="shared" si="128"/>
        <v>0</v>
      </c>
      <c r="C526" s="17" t="b">
        <f t="shared" si="136"/>
        <v>0</v>
      </c>
      <c r="D526" s="17">
        <f t="shared" si="138"/>
        <v>1</v>
      </c>
      <c r="E526" s="17" t="str">
        <f t="shared" si="143"/>
        <v>Section 5 - Conclusion, And FREE Coupon For Next Course</v>
      </c>
      <c r="F526" s="18" t="str">
        <f t="shared" si="139"/>
        <v/>
      </c>
      <c r="G526" s="13" t="str">
        <f t="shared" si="129"/>
        <v/>
      </c>
      <c r="H526">
        <f t="shared" si="130"/>
        <v>0</v>
      </c>
      <c r="I526">
        <f t="shared" si="131"/>
        <v>0</v>
      </c>
      <c r="J526" s="13">
        <f t="shared" si="132"/>
        <v>85</v>
      </c>
      <c r="K526">
        <f t="shared" si="140"/>
        <v>1</v>
      </c>
      <c r="L526">
        <f t="shared" si="141"/>
        <v>25</v>
      </c>
      <c r="M526" s="13">
        <f t="shared" si="133"/>
        <v>1</v>
      </c>
      <c r="N526">
        <f t="shared" si="133"/>
        <v>24</v>
      </c>
      <c r="O526" s="14">
        <f t="shared" si="137"/>
        <v>84</v>
      </c>
      <c r="P526" s="13">
        <f t="shared" si="142"/>
        <v>1</v>
      </c>
      <c r="Q526">
        <f t="shared" si="134"/>
        <v>24</v>
      </c>
      <c r="R526" s="14">
        <f t="shared" si="135"/>
        <v>84</v>
      </c>
      <c r="S526" s="15"/>
      <c r="W526" s="14"/>
    </row>
    <row r="527" spans="1:23" hidden="1" x14ac:dyDescent="0.25">
      <c r="A527" s="16"/>
      <c r="B527" s="17" t="b">
        <f t="shared" si="128"/>
        <v>0</v>
      </c>
      <c r="C527" s="17" t="b">
        <f t="shared" si="136"/>
        <v>0</v>
      </c>
      <c r="D527" s="17">
        <f t="shared" si="138"/>
        <v>1</v>
      </c>
      <c r="E527" s="17" t="str">
        <f t="shared" si="143"/>
        <v>Section 5 - Conclusion, And FREE Coupon For Next Course</v>
      </c>
      <c r="F527" s="18" t="str">
        <f t="shared" si="139"/>
        <v/>
      </c>
      <c r="G527" s="13" t="str">
        <f t="shared" si="129"/>
        <v/>
      </c>
      <c r="H527">
        <f t="shared" si="130"/>
        <v>0</v>
      </c>
      <c r="I527">
        <f t="shared" si="131"/>
        <v>0</v>
      </c>
      <c r="J527" s="13">
        <f t="shared" si="132"/>
        <v>85</v>
      </c>
      <c r="K527">
        <f t="shared" si="140"/>
        <v>1</v>
      </c>
      <c r="L527">
        <f t="shared" si="141"/>
        <v>25</v>
      </c>
      <c r="M527" s="13">
        <f t="shared" si="133"/>
        <v>1</v>
      </c>
      <c r="N527">
        <f t="shared" si="133"/>
        <v>24</v>
      </c>
      <c r="O527" s="14">
        <f t="shared" si="137"/>
        <v>84</v>
      </c>
      <c r="P527" s="13">
        <f t="shared" si="142"/>
        <v>1</v>
      </c>
      <c r="Q527">
        <f t="shared" si="134"/>
        <v>24</v>
      </c>
      <c r="R527" s="14">
        <f t="shared" si="135"/>
        <v>84</v>
      </c>
      <c r="S527" s="15"/>
      <c r="W527" s="14"/>
    </row>
    <row r="528" spans="1:23" hidden="1" x14ac:dyDescent="0.25">
      <c r="A528" s="16"/>
      <c r="B528" s="17" t="b">
        <f t="shared" si="128"/>
        <v>0</v>
      </c>
      <c r="C528" s="17" t="b">
        <f t="shared" si="136"/>
        <v>0</v>
      </c>
      <c r="D528" s="17">
        <f t="shared" si="138"/>
        <v>1</v>
      </c>
      <c r="E528" s="17" t="str">
        <f t="shared" si="143"/>
        <v>Section 5 - Conclusion, And FREE Coupon For Next Course</v>
      </c>
      <c r="F528" s="18" t="str">
        <f t="shared" si="139"/>
        <v/>
      </c>
      <c r="G528" s="13" t="str">
        <f t="shared" si="129"/>
        <v/>
      </c>
      <c r="H528">
        <f t="shared" si="130"/>
        <v>0</v>
      </c>
      <c r="I528">
        <f t="shared" si="131"/>
        <v>0</v>
      </c>
      <c r="J528" s="13">
        <f t="shared" si="132"/>
        <v>85</v>
      </c>
      <c r="K528">
        <f t="shared" si="140"/>
        <v>1</v>
      </c>
      <c r="L528">
        <f t="shared" si="141"/>
        <v>25</v>
      </c>
      <c r="M528" s="13">
        <f t="shared" si="133"/>
        <v>1</v>
      </c>
      <c r="N528">
        <f t="shared" si="133"/>
        <v>24</v>
      </c>
      <c r="O528" s="14">
        <f t="shared" si="137"/>
        <v>84</v>
      </c>
      <c r="P528" s="13">
        <f t="shared" si="142"/>
        <v>1</v>
      </c>
      <c r="Q528">
        <f t="shared" si="134"/>
        <v>24</v>
      </c>
      <c r="R528" s="14">
        <f t="shared" si="135"/>
        <v>84</v>
      </c>
      <c r="S528" s="15"/>
      <c r="W528" s="14"/>
    </row>
    <row r="529" spans="1:23" hidden="1" x14ac:dyDescent="0.25">
      <c r="A529" s="16"/>
      <c r="B529" s="17" t="b">
        <f t="shared" si="128"/>
        <v>0</v>
      </c>
      <c r="C529" s="17" t="b">
        <f t="shared" si="136"/>
        <v>0</v>
      </c>
      <c r="D529" s="17">
        <f t="shared" si="138"/>
        <v>1</v>
      </c>
      <c r="E529" s="17" t="str">
        <f t="shared" si="143"/>
        <v>Section 5 - Conclusion, And FREE Coupon For Next Course</v>
      </c>
      <c r="F529" s="18" t="str">
        <f t="shared" si="139"/>
        <v/>
      </c>
      <c r="G529" s="13" t="str">
        <f t="shared" si="129"/>
        <v/>
      </c>
      <c r="H529">
        <f t="shared" si="130"/>
        <v>0</v>
      </c>
      <c r="I529">
        <f t="shared" si="131"/>
        <v>0</v>
      </c>
      <c r="J529" s="13">
        <f t="shared" si="132"/>
        <v>85</v>
      </c>
      <c r="K529">
        <f t="shared" si="140"/>
        <v>1</v>
      </c>
      <c r="L529">
        <f t="shared" si="141"/>
        <v>25</v>
      </c>
      <c r="M529" s="13">
        <f t="shared" si="133"/>
        <v>1</v>
      </c>
      <c r="N529">
        <f t="shared" si="133"/>
        <v>24</v>
      </c>
      <c r="O529" s="14">
        <f t="shared" si="137"/>
        <v>84</v>
      </c>
      <c r="P529" s="13">
        <f t="shared" si="142"/>
        <v>1</v>
      </c>
      <c r="Q529">
        <f t="shared" si="134"/>
        <v>24</v>
      </c>
      <c r="R529" s="14">
        <f t="shared" si="135"/>
        <v>84</v>
      </c>
      <c r="S529" s="15"/>
      <c r="W529" s="14"/>
    </row>
    <row r="530" spans="1:23" hidden="1" x14ac:dyDescent="0.25">
      <c r="A530" s="16"/>
      <c r="B530" s="17" t="b">
        <f t="shared" ref="B530:B565" si="144">AND(NOT(ISERROR(FIND("Section ",A530))),NOT(ISERROR(FIND("Section ",A530))))</f>
        <v>0</v>
      </c>
      <c r="C530" s="17" t="b">
        <f t="shared" si="136"/>
        <v>0</v>
      </c>
      <c r="D530" s="17">
        <f t="shared" si="138"/>
        <v>1</v>
      </c>
      <c r="E530" s="17" t="str">
        <f t="shared" si="143"/>
        <v>Section 5 - Conclusion, And FREE Coupon For Next Course</v>
      </c>
      <c r="F530" s="18" t="str">
        <f t="shared" si="139"/>
        <v/>
      </c>
      <c r="G530" s="13" t="str">
        <f t="shared" si="129"/>
        <v/>
      </c>
      <c r="H530">
        <f t="shared" si="130"/>
        <v>0</v>
      </c>
      <c r="I530">
        <f t="shared" si="131"/>
        <v>0</v>
      </c>
      <c r="J530" s="13">
        <f t="shared" si="132"/>
        <v>85</v>
      </c>
      <c r="K530">
        <f t="shared" si="140"/>
        <v>1</v>
      </c>
      <c r="L530">
        <f t="shared" si="141"/>
        <v>25</v>
      </c>
      <c r="M530" s="13">
        <f t="shared" si="133"/>
        <v>1</v>
      </c>
      <c r="N530">
        <f t="shared" si="133"/>
        <v>24</v>
      </c>
      <c r="O530" s="14">
        <f t="shared" si="137"/>
        <v>84</v>
      </c>
      <c r="P530" s="13">
        <f t="shared" si="142"/>
        <v>1</v>
      </c>
      <c r="Q530">
        <f t="shared" si="134"/>
        <v>24</v>
      </c>
      <c r="R530" s="14">
        <f t="shared" si="135"/>
        <v>84</v>
      </c>
      <c r="S530" s="15"/>
      <c r="W530" s="14"/>
    </row>
    <row r="531" spans="1:23" hidden="1" x14ac:dyDescent="0.25">
      <c r="A531" s="16"/>
      <c r="B531" s="17" t="b">
        <f t="shared" si="144"/>
        <v>0</v>
      </c>
      <c r="C531" s="17" t="b">
        <f t="shared" si="136"/>
        <v>0</v>
      </c>
      <c r="D531" s="17">
        <f t="shared" si="138"/>
        <v>1</v>
      </c>
      <c r="E531" s="17" t="str">
        <f t="shared" si="143"/>
        <v>Section 5 - Conclusion, And FREE Coupon For Next Course</v>
      </c>
      <c r="F531" s="18" t="str">
        <f t="shared" si="139"/>
        <v/>
      </c>
      <c r="G531" s="13" t="str">
        <f t="shared" si="129"/>
        <v/>
      </c>
      <c r="H531">
        <f t="shared" si="130"/>
        <v>0</v>
      </c>
      <c r="I531">
        <f t="shared" si="131"/>
        <v>0</v>
      </c>
      <c r="J531" s="13">
        <f t="shared" si="132"/>
        <v>85</v>
      </c>
      <c r="K531">
        <f t="shared" si="140"/>
        <v>1</v>
      </c>
      <c r="L531">
        <f t="shared" si="141"/>
        <v>25</v>
      </c>
      <c r="M531" s="13">
        <f t="shared" si="133"/>
        <v>1</v>
      </c>
      <c r="N531">
        <f t="shared" si="133"/>
        <v>24</v>
      </c>
      <c r="O531" s="14">
        <f t="shared" si="137"/>
        <v>84</v>
      </c>
      <c r="P531" s="13">
        <f t="shared" si="142"/>
        <v>1</v>
      </c>
      <c r="Q531">
        <f t="shared" si="134"/>
        <v>24</v>
      </c>
      <c r="R531" s="14">
        <f t="shared" si="135"/>
        <v>84</v>
      </c>
      <c r="S531" s="15"/>
      <c r="W531" s="14"/>
    </row>
    <row r="532" spans="1:23" hidden="1" x14ac:dyDescent="0.25">
      <c r="A532" s="16"/>
      <c r="B532" s="17" t="b">
        <f t="shared" si="144"/>
        <v>0</v>
      </c>
      <c r="C532" s="17" t="b">
        <f t="shared" si="136"/>
        <v>0</v>
      </c>
      <c r="D532" s="17">
        <f t="shared" si="138"/>
        <v>1</v>
      </c>
      <c r="E532" s="17" t="str">
        <f t="shared" si="143"/>
        <v>Section 5 - Conclusion, And FREE Coupon For Next Course</v>
      </c>
      <c r="F532" s="18" t="str">
        <f t="shared" si="139"/>
        <v/>
      </c>
      <c r="G532" s="13" t="str">
        <f t="shared" si="129"/>
        <v/>
      </c>
      <c r="H532">
        <f t="shared" si="130"/>
        <v>0</v>
      </c>
      <c r="I532">
        <f t="shared" si="131"/>
        <v>0</v>
      </c>
      <c r="J532" s="13">
        <f t="shared" si="132"/>
        <v>85</v>
      </c>
      <c r="K532">
        <f t="shared" si="140"/>
        <v>1</v>
      </c>
      <c r="L532">
        <f t="shared" si="141"/>
        <v>25</v>
      </c>
      <c r="M532" s="13">
        <f t="shared" si="133"/>
        <v>1</v>
      </c>
      <c r="N532">
        <f t="shared" si="133"/>
        <v>24</v>
      </c>
      <c r="O532" s="14">
        <f t="shared" si="137"/>
        <v>84</v>
      </c>
      <c r="P532" s="13">
        <f t="shared" si="142"/>
        <v>1</v>
      </c>
      <c r="Q532">
        <f t="shared" si="134"/>
        <v>24</v>
      </c>
      <c r="R532" s="14">
        <f t="shared" si="135"/>
        <v>84</v>
      </c>
      <c r="S532" s="15"/>
      <c r="W532" s="14"/>
    </row>
    <row r="533" spans="1:23" hidden="1" x14ac:dyDescent="0.25">
      <c r="A533" s="16"/>
      <c r="B533" s="17" t="b">
        <f t="shared" si="144"/>
        <v>0</v>
      </c>
      <c r="C533" s="17" t="b">
        <f t="shared" si="136"/>
        <v>0</v>
      </c>
      <c r="D533" s="17">
        <f t="shared" si="138"/>
        <v>1</v>
      </c>
      <c r="E533" s="17" t="str">
        <f t="shared" si="143"/>
        <v>Section 5 - Conclusion, And FREE Coupon For Next Course</v>
      </c>
      <c r="F533" s="18" t="str">
        <f t="shared" si="139"/>
        <v/>
      </c>
      <c r="G533" s="13" t="str">
        <f t="shared" ref="G533:G565" si="145">IF(C533,A534,"")</f>
        <v/>
      </c>
      <c r="H533">
        <f t="shared" ref="H533:H565" si="146">VALUE(IF(NOT(ISERROR(FIND("hr",G533))),LEFT(G533,FIND("hr",G533)-1),0))</f>
        <v>0</v>
      </c>
      <c r="I533">
        <f t="shared" ref="I533:I565" si="147">VALUE(IF(ISERROR(FIND("min",G533)),0,SUBSTITUTE(MID(G533,IF(ISERROR(FIND("hr ",G533)),1,FIND("hr ",G533)+3),LEN(G533)),"min","")))</f>
        <v>0</v>
      </c>
      <c r="J533" s="13">
        <f t="shared" ref="J533:J565" si="148">J532+(H533*60+I533)</f>
        <v>85</v>
      </c>
      <c r="K533">
        <f t="shared" si="140"/>
        <v>1</v>
      </c>
      <c r="L533">
        <f t="shared" si="141"/>
        <v>25</v>
      </c>
      <c r="M533" s="13">
        <f t="shared" ref="M533:N565" si="149">P532</f>
        <v>1</v>
      </c>
      <c r="N533">
        <f t="shared" si="149"/>
        <v>24</v>
      </c>
      <c r="O533" s="14">
        <f t="shared" si="137"/>
        <v>84</v>
      </c>
      <c r="P533" s="13">
        <f t="shared" si="142"/>
        <v>1</v>
      </c>
      <c r="Q533">
        <f t="shared" ref="Q533:Q565" si="150">R533-(P533*60)</f>
        <v>24</v>
      </c>
      <c r="R533" s="14">
        <f t="shared" ref="R533:R565" si="151">((H533*60)+I533)+O533</f>
        <v>84</v>
      </c>
      <c r="S533" s="15"/>
      <c r="W533" s="14"/>
    </row>
    <row r="534" spans="1:23" hidden="1" x14ac:dyDescent="0.25">
      <c r="A534" s="16"/>
      <c r="B534" s="17" t="b">
        <f t="shared" si="144"/>
        <v>0</v>
      </c>
      <c r="C534" s="17" t="b">
        <f t="shared" si="136"/>
        <v>0</v>
      </c>
      <c r="D534" s="17">
        <f t="shared" si="138"/>
        <v>1</v>
      </c>
      <c r="E534" s="17" t="str">
        <f t="shared" si="143"/>
        <v>Section 5 - Conclusion, And FREE Coupon For Next Course</v>
      </c>
      <c r="F534" s="18" t="str">
        <f t="shared" si="139"/>
        <v/>
      </c>
      <c r="G534" s="13" t="str">
        <f t="shared" si="145"/>
        <v/>
      </c>
      <c r="H534">
        <f t="shared" si="146"/>
        <v>0</v>
      </c>
      <c r="I534">
        <f t="shared" si="147"/>
        <v>0</v>
      </c>
      <c r="J534" s="13">
        <f t="shared" si="148"/>
        <v>85</v>
      </c>
      <c r="K534">
        <f t="shared" si="140"/>
        <v>1</v>
      </c>
      <c r="L534">
        <f t="shared" si="141"/>
        <v>25</v>
      </c>
      <c r="M534" s="13">
        <f t="shared" si="149"/>
        <v>1</v>
      </c>
      <c r="N534">
        <f t="shared" si="149"/>
        <v>24</v>
      </c>
      <c r="O534" s="14">
        <f t="shared" si="137"/>
        <v>84</v>
      </c>
      <c r="P534" s="13">
        <f t="shared" si="142"/>
        <v>1</v>
      </c>
      <c r="Q534">
        <f t="shared" si="150"/>
        <v>24</v>
      </c>
      <c r="R534" s="14">
        <f t="shared" si="151"/>
        <v>84</v>
      </c>
      <c r="S534" s="15"/>
      <c r="W534" s="14"/>
    </row>
    <row r="535" spans="1:23" hidden="1" x14ac:dyDescent="0.25">
      <c r="A535" s="16"/>
      <c r="B535" s="17" t="b">
        <f t="shared" si="144"/>
        <v>0</v>
      </c>
      <c r="C535" s="17" t="b">
        <f t="shared" si="136"/>
        <v>0</v>
      </c>
      <c r="D535" s="17">
        <f t="shared" si="138"/>
        <v>1</v>
      </c>
      <c r="E535" s="17" t="str">
        <f t="shared" si="143"/>
        <v>Section 5 - Conclusion, And FREE Coupon For Next Course</v>
      </c>
      <c r="F535" s="18" t="str">
        <f t="shared" si="139"/>
        <v/>
      </c>
      <c r="G535" s="13" t="str">
        <f t="shared" si="145"/>
        <v/>
      </c>
      <c r="H535">
        <f t="shared" si="146"/>
        <v>0</v>
      </c>
      <c r="I535">
        <f t="shared" si="147"/>
        <v>0</v>
      </c>
      <c r="J535" s="13">
        <f t="shared" si="148"/>
        <v>85</v>
      </c>
      <c r="K535">
        <f t="shared" si="140"/>
        <v>1</v>
      </c>
      <c r="L535">
        <f t="shared" si="141"/>
        <v>25</v>
      </c>
      <c r="M535" s="13">
        <f t="shared" si="149"/>
        <v>1</v>
      </c>
      <c r="N535">
        <f t="shared" si="149"/>
        <v>24</v>
      </c>
      <c r="O535" s="14">
        <f t="shared" si="137"/>
        <v>84</v>
      </c>
      <c r="P535" s="13">
        <f t="shared" si="142"/>
        <v>1</v>
      </c>
      <c r="Q535">
        <f t="shared" si="150"/>
        <v>24</v>
      </c>
      <c r="R535" s="14">
        <f t="shared" si="151"/>
        <v>84</v>
      </c>
      <c r="S535" s="15"/>
      <c r="W535" s="14"/>
    </row>
    <row r="536" spans="1:23" hidden="1" x14ac:dyDescent="0.25">
      <c r="A536" s="16"/>
      <c r="B536" s="17" t="b">
        <f t="shared" si="144"/>
        <v>0</v>
      </c>
      <c r="C536" s="17" t="b">
        <f t="shared" si="136"/>
        <v>0</v>
      </c>
      <c r="D536" s="17">
        <f t="shared" si="138"/>
        <v>1</v>
      </c>
      <c r="E536" s="17" t="str">
        <f t="shared" si="143"/>
        <v>Section 5 - Conclusion, And FREE Coupon For Next Course</v>
      </c>
      <c r="F536" s="18" t="str">
        <f t="shared" si="139"/>
        <v/>
      </c>
      <c r="G536" s="13" t="str">
        <f t="shared" si="145"/>
        <v/>
      </c>
      <c r="H536">
        <f t="shared" si="146"/>
        <v>0</v>
      </c>
      <c r="I536">
        <f t="shared" si="147"/>
        <v>0</v>
      </c>
      <c r="J536" s="13">
        <f t="shared" si="148"/>
        <v>85</v>
      </c>
      <c r="K536">
        <f t="shared" si="140"/>
        <v>1</v>
      </c>
      <c r="L536">
        <f t="shared" si="141"/>
        <v>25</v>
      </c>
      <c r="M536" s="13">
        <f t="shared" si="149"/>
        <v>1</v>
      </c>
      <c r="N536">
        <f t="shared" si="149"/>
        <v>24</v>
      </c>
      <c r="O536" s="14">
        <f t="shared" si="137"/>
        <v>84</v>
      </c>
      <c r="P536" s="13">
        <f t="shared" si="142"/>
        <v>1</v>
      </c>
      <c r="Q536">
        <f t="shared" si="150"/>
        <v>24</v>
      </c>
      <c r="R536" s="14">
        <f t="shared" si="151"/>
        <v>84</v>
      </c>
      <c r="S536" s="15"/>
      <c r="W536" s="14"/>
    </row>
    <row r="537" spans="1:23" hidden="1" x14ac:dyDescent="0.25">
      <c r="A537" s="16"/>
      <c r="B537" s="17" t="b">
        <f t="shared" si="144"/>
        <v>0</v>
      </c>
      <c r="C537" s="17" t="b">
        <f t="shared" si="136"/>
        <v>0</v>
      </c>
      <c r="D537" s="17">
        <f t="shared" si="138"/>
        <v>1</v>
      </c>
      <c r="E537" s="17" t="str">
        <f t="shared" si="143"/>
        <v>Section 5 - Conclusion, And FREE Coupon For Next Course</v>
      </c>
      <c r="F537" s="18" t="str">
        <f t="shared" si="139"/>
        <v/>
      </c>
      <c r="G537" s="13" t="str">
        <f t="shared" si="145"/>
        <v/>
      </c>
      <c r="H537">
        <f t="shared" si="146"/>
        <v>0</v>
      </c>
      <c r="I537">
        <f t="shared" si="147"/>
        <v>0</v>
      </c>
      <c r="J537" s="13">
        <f t="shared" si="148"/>
        <v>85</v>
      </c>
      <c r="K537">
        <f t="shared" si="140"/>
        <v>1</v>
      </c>
      <c r="L537">
        <f t="shared" si="141"/>
        <v>25</v>
      </c>
      <c r="M537" s="13">
        <f t="shared" si="149"/>
        <v>1</v>
      </c>
      <c r="N537">
        <f t="shared" si="149"/>
        <v>24</v>
      </c>
      <c r="O537" s="14">
        <f t="shared" si="137"/>
        <v>84</v>
      </c>
      <c r="P537" s="13">
        <f t="shared" si="142"/>
        <v>1</v>
      </c>
      <c r="Q537">
        <f t="shared" si="150"/>
        <v>24</v>
      </c>
      <c r="R537" s="14">
        <f t="shared" si="151"/>
        <v>84</v>
      </c>
      <c r="S537" s="15"/>
      <c r="W537" s="14"/>
    </row>
    <row r="538" spans="1:23" hidden="1" x14ac:dyDescent="0.25">
      <c r="A538" s="16"/>
      <c r="B538" s="17" t="b">
        <f t="shared" si="144"/>
        <v>0</v>
      </c>
      <c r="C538" s="17" t="b">
        <f t="shared" si="136"/>
        <v>0</v>
      </c>
      <c r="D538" s="17">
        <f t="shared" si="138"/>
        <v>1</v>
      </c>
      <c r="E538" s="17" t="str">
        <f t="shared" si="143"/>
        <v>Section 5 - Conclusion, And FREE Coupon For Next Course</v>
      </c>
      <c r="F538" s="18" t="str">
        <f t="shared" si="139"/>
        <v/>
      </c>
      <c r="G538" s="13" t="str">
        <f t="shared" si="145"/>
        <v/>
      </c>
      <c r="H538">
        <f t="shared" si="146"/>
        <v>0</v>
      </c>
      <c r="I538">
        <f t="shared" si="147"/>
        <v>0</v>
      </c>
      <c r="J538" s="13">
        <f t="shared" si="148"/>
        <v>85</v>
      </c>
      <c r="K538">
        <f t="shared" si="140"/>
        <v>1</v>
      </c>
      <c r="L538">
        <f t="shared" si="141"/>
        <v>25</v>
      </c>
      <c r="M538" s="13">
        <f t="shared" si="149"/>
        <v>1</v>
      </c>
      <c r="N538">
        <f t="shared" si="149"/>
        <v>24</v>
      </c>
      <c r="O538" s="14">
        <f t="shared" si="137"/>
        <v>84</v>
      </c>
      <c r="P538" s="13">
        <f t="shared" si="142"/>
        <v>1</v>
      </c>
      <c r="Q538">
        <f t="shared" si="150"/>
        <v>24</v>
      </c>
      <c r="R538" s="14">
        <f t="shared" si="151"/>
        <v>84</v>
      </c>
      <c r="S538" s="15"/>
      <c r="W538" s="14"/>
    </row>
    <row r="539" spans="1:23" hidden="1" x14ac:dyDescent="0.25">
      <c r="A539" s="16"/>
      <c r="B539" s="17" t="b">
        <f t="shared" si="144"/>
        <v>0</v>
      </c>
      <c r="C539" s="17" t="b">
        <f t="shared" si="136"/>
        <v>0</v>
      </c>
      <c r="D539" s="17">
        <f t="shared" si="138"/>
        <v>1</v>
      </c>
      <c r="E539" s="17" t="str">
        <f t="shared" si="143"/>
        <v>Section 5 - Conclusion, And FREE Coupon For Next Course</v>
      </c>
      <c r="F539" s="18" t="str">
        <f t="shared" si="139"/>
        <v/>
      </c>
      <c r="G539" s="13" t="str">
        <f t="shared" si="145"/>
        <v/>
      </c>
      <c r="H539">
        <f t="shared" si="146"/>
        <v>0</v>
      </c>
      <c r="I539">
        <f t="shared" si="147"/>
        <v>0</v>
      </c>
      <c r="J539" s="13">
        <f t="shared" si="148"/>
        <v>85</v>
      </c>
      <c r="K539">
        <f t="shared" si="140"/>
        <v>1</v>
      </c>
      <c r="L539">
        <f t="shared" si="141"/>
        <v>25</v>
      </c>
      <c r="M539" s="13">
        <f t="shared" si="149"/>
        <v>1</v>
      </c>
      <c r="N539">
        <f t="shared" si="149"/>
        <v>24</v>
      </c>
      <c r="O539" s="14">
        <f t="shared" si="137"/>
        <v>84</v>
      </c>
      <c r="P539" s="13">
        <f t="shared" si="142"/>
        <v>1</v>
      </c>
      <c r="Q539">
        <f t="shared" si="150"/>
        <v>24</v>
      </c>
      <c r="R539" s="14">
        <f t="shared" si="151"/>
        <v>84</v>
      </c>
      <c r="S539" s="15"/>
      <c r="W539" s="14"/>
    </row>
    <row r="540" spans="1:23" hidden="1" x14ac:dyDescent="0.25">
      <c r="A540" s="16"/>
      <c r="B540" s="17" t="b">
        <f t="shared" si="144"/>
        <v>0</v>
      </c>
      <c r="C540" s="17" t="b">
        <f t="shared" si="136"/>
        <v>0</v>
      </c>
      <c r="D540" s="17">
        <f t="shared" si="138"/>
        <v>1</v>
      </c>
      <c r="E540" s="17" t="str">
        <f t="shared" si="143"/>
        <v>Section 5 - Conclusion, And FREE Coupon For Next Course</v>
      </c>
      <c r="F540" s="18" t="str">
        <f t="shared" si="139"/>
        <v/>
      </c>
      <c r="G540" s="13" t="str">
        <f t="shared" si="145"/>
        <v/>
      </c>
      <c r="H540">
        <f t="shared" si="146"/>
        <v>0</v>
      </c>
      <c r="I540">
        <f t="shared" si="147"/>
        <v>0</v>
      </c>
      <c r="J540" s="13">
        <f t="shared" si="148"/>
        <v>85</v>
      </c>
      <c r="K540">
        <f t="shared" si="140"/>
        <v>1</v>
      </c>
      <c r="L540">
        <f t="shared" si="141"/>
        <v>25</v>
      </c>
      <c r="M540" s="13">
        <f t="shared" si="149"/>
        <v>1</v>
      </c>
      <c r="N540">
        <f t="shared" si="149"/>
        <v>24</v>
      </c>
      <c r="O540" s="14">
        <f t="shared" si="137"/>
        <v>84</v>
      </c>
      <c r="P540" s="13">
        <f t="shared" si="142"/>
        <v>1</v>
      </c>
      <c r="Q540">
        <f t="shared" si="150"/>
        <v>24</v>
      </c>
      <c r="R540" s="14">
        <f t="shared" si="151"/>
        <v>84</v>
      </c>
      <c r="S540" s="15"/>
      <c r="W540" s="14"/>
    </row>
    <row r="541" spans="1:23" hidden="1" x14ac:dyDescent="0.25">
      <c r="A541" s="16"/>
      <c r="B541" s="17" t="b">
        <f t="shared" si="144"/>
        <v>0</v>
      </c>
      <c r="C541" s="17" t="b">
        <f t="shared" si="136"/>
        <v>0</v>
      </c>
      <c r="D541" s="17">
        <f t="shared" si="138"/>
        <v>1</v>
      </c>
      <c r="E541" s="17" t="str">
        <f t="shared" si="143"/>
        <v>Section 5 - Conclusion, And FREE Coupon For Next Course</v>
      </c>
      <c r="F541" s="18" t="str">
        <f t="shared" si="139"/>
        <v/>
      </c>
      <c r="G541" s="13" t="str">
        <f t="shared" si="145"/>
        <v/>
      </c>
      <c r="H541">
        <f t="shared" si="146"/>
        <v>0</v>
      </c>
      <c r="I541">
        <f t="shared" si="147"/>
        <v>0</v>
      </c>
      <c r="J541" s="13">
        <f t="shared" si="148"/>
        <v>85</v>
      </c>
      <c r="K541">
        <f t="shared" si="140"/>
        <v>1</v>
      </c>
      <c r="L541">
        <f t="shared" si="141"/>
        <v>25</v>
      </c>
      <c r="M541" s="13">
        <f t="shared" si="149"/>
        <v>1</v>
      </c>
      <c r="N541">
        <f t="shared" si="149"/>
        <v>24</v>
      </c>
      <c r="O541" s="14">
        <f t="shared" si="137"/>
        <v>84</v>
      </c>
      <c r="P541" s="13">
        <f t="shared" si="142"/>
        <v>1</v>
      </c>
      <c r="Q541">
        <f t="shared" si="150"/>
        <v>24</v>
      </c>
      <c r="R541" s="14">
        <f t="shared" si="151"/>
        <v>84</v>
      </c>
      <c r="S541" s="15"/>
      <c r="W541" s="14"/>
    </row>
    <row r="542" spans="1:23" hidden="1" x14ac:dyDescent="0.25">
      <c r="A542" s="16"/>
      <c r="B542" s="17" t="b">
        <f t="shared" si="144"/>
        <v>0</v>
      </c>
      <c r="C542" s="17" t="b">
        <f t="shared" si="136"/>
        <v>0</v>
      </c>
      <c r="D542" s="17">
        <f t="shared" si="138"/>
        <v>1</v>
      </c>
      <c r="E542" s="17" t="str">
        <f t="shared" si="143"/>
        <v>Section 5 - Conclusion, And FREE Coupon For Next Course</v>
      </c>
      <c r="F542" s="18" t="str">
        <f t="shared" si="139"/>
        <v/>
      </c>
      <c r="G542" s="13" t="str">
        <f t="shared" si="145"/>
        <v/>
      </c>
      <c r="H542">
        <f t="shared" si="146"/>
        <v>0</v>
      </c>
      <c r="I542">
        <f t="shared" si="147"/>
        <v>0</v>
      </c>
      <c r="J542" s="13">
        <f t="shared" si="148"/>
        <v>85</v>
      </c>
      <c r="K542">
        <f t="shared" si="140"/>
        <v>1</v>
      </c>
      <c r="L542">
        <f t="shared" si="141"/>
        <v>25</v>
      </c>
      <c r="M542" s="13">
        <f t="shared" si="149"/>
        <v>1</v>
      </c>
      <c r="N542">
        <f t="shared" si="149"/>
        <v>24</v>
      </c>
      <c r="O542" s="14">
        <f t="shared" si="137"/>
        <v>84</v>
      </c>
      <c r="P542" s="13">
        <f t="shared" si="142"/>
        <v>1</v>
      </c>
      <c r="Q542">
        <f t="shared" si="150"/>
        <v>24</v>
      </c>
      <c r="R542" s="14">
        <f t="shared" si="151"/>
        <v>84</v>
      </c>
      <c r="S542" s="15"/>
      <c r="W542" s="14"/>
    </row>
    <row r="543" spans="1:23" hidden="1" x14ac:dyDescent="0.25">
      <c r="A543" s="16"/>
      <c r="B543" s="17" t="b">
        <f t="shared" si="144"/>
        <v>0</v>
      </c>
      <c r="C543" s="17" t="b">
        <f t="shared" si="136"/>
        <v>0</v>
      </c>
      <c r="D543" s="17">
        <f t="shared" si="138"/>
        <v>1</v>
      </c>
      <c r="E543" s="17" t="str">
        <f t="shared" si="143"/>
        <v>Section 5 - Conclusion, And FREE Coupon For Next Course</v>
      </c>
      <c r="F543" s="18" t="str">
        <f t="shared" si="139"/>
        <v/>
      </c>
      <c r="G543" s="13" t="str">
        <f t="shared" si="145"/>
        <v/>
      </c>
      <c r="H543">
        <f t="shared" si="146"/>
        <v>0</v>
      </c>
      <c r="I543">
        <f t="shared" si="147"/>
        <v>0</v>
      </c>
      <c r="J543" s="13">
        <f t="shared" si="148"/>
        <v>85</v>
      </c>
      <c r="K543">
        <f t="shared" si="140"/>
        <v>1</v>
      </c>
      <c r="L543">
        <f t="shared" si="141"/>
        <v>25</v>
      </c>
      <c r="M543" s="13">
        <f t="shared" si="149"/>
        <v>1</v>
      </c>
      <c r="N543">
        <f t="shared" si="149"/>
        <v>24</v>
      </c>
      <c r="O543" s="14">
        <f t="shared" si="137"/>
        <v>84</v>
      </c>
      <c r="P543" s="13">
        <f t="shared" si="142"/>
        <v>1</v>
      </c>
      <c r="Q543">
        <f t="shared" si="150"/>
        <v>24</v>
      </c>
      <c r="R543" s="14">
        <f t="shared" si="151"/>
        <v>84</v>
      </c>
      <c r="S543" s="15"/>
      <c r="W543" s="14"/>
    </row>
    <row r="544" spans="1:23" hidden="1" x14ac:dyDescent="0.25">
      <c r="A544" s="16"/>
      <c r="B544" s="17" t="b">
        <f t="shared" si="144"/>
        <v>0</v>
      </c>
      <c r="C544" s="17" t="b">
        <f t="shared" si="136"/>
        <v>0</v>
      </c>
      <c r="D544" s="17">
        <f t="shared" si="138"/>
        <v>1</v>
      </c>
      <c r="E544" s="17" t="str">
        <f t="shared" si="143"/>
        <v>Section 5 - Conclusion, And FREE Coupon For Next Course</v>
      </c>
      <c r="F544" s="18" t="str">
        <f t="shared" si="139"/>
        <v/>
      </c>
      <c r="G544" s="13" t="str">
        <f t="shared" si="145"/>
        <v/>
      </c>
      <c r="H544">
        <f t="shared" si="146"/>
        <v>0</v>
      </c>
      <c r="I544">
        <f t="shared" si="147"/>
        <v>0</v>
      </c>
      <c r="J544" s="13">
        <f t="shared" si="148"/>
        <v>85</v>
      </c>
      <c r="K544">
        <f t="shared" si="140"/>
        <v>1</v>
      </c>
      <c r="L544">
        <f t="shared" si="141"/>
        <v>25</v>
      </c>
      <c r="M544" s="13">
        <f t="shared" si="149"/>
        <v>1</v>
      </c>
      <c r="N544">
        <f t="shared" si="149"/>
        <v>24</v>
      </c>
      <c r="O544" s="14">
        <f t="shared" si="137"/>
        <v>84</v>
      </c>
      <c r="P544" s="13">
        <f t="shared" si="142"/>
        <v>1</v>
      </c>
      <c r="Q544">
        <f t="shared" si="150"/>
        <v>24</v>
      </c>
      <c r="R544" s="14">
        <f t="shared" si="151"/>
        <v>84</v>
      </c>
      <c r="S544" s="15"/>
      <c r="W544" s="14"/>
    </row>
    <row r="545" spans="1:23" hidden="1" x14ac:dyDescent="0.25">
      <c r="A545" s="16"/>
      <c r="B545" s="17" t="b">
        <f t="shared" si="144"/>
        <v>0</v>
      </c>
      <c r="C545" s="17" t="b">
        <f t="shared" si="136"/>
        <v>0</v>
      </c>
      <c r="D545" s="17">
        <f t="shared" si="138"/>
        <v>1</v>
      </c>
      <c r="E545" s="17" t="str">
        <f t="shared" si="143"/>
        <v>Section 5 - Conclusion, And FREE Coupon For Next Course</v>
      </c>
      <c r="F545" s="18" t="str">
        <f t="shared" si="139"/>
        <v/>
      </c>
      <c r="G545" s="13" t="str">
        <f t="shared" si="145"/>
        <v/>
      </c>
      <c r="H545">
        <f t="shared" si="146"/>
        <v>0</v>
      </c>
      <c r="I545">
        <f t="shared" si="147"/>
        <v>0</v>
      </c>
      <c r="J545" s="13">
        <f t="shared" si="148"/>
        <v>85</v>
      </c>
      <c r="K545">
        <f t="shared" si="140"/>
        <v>1</v>
      </c>
      <c r="L545">
        <f t="shared" si="141"/>
        <v>25</v>
      </c>
      <c r="M545" s="13">
        <f t="shared" si="149"/>
        <v>1</v>
      </c>
      <c r="N545">
        <f t="shared" si="149"/>
        <v>24</v>
      </c>
      <c r="O545" s="14">
        <f t="shared" si="137"/>
        <v>84</v>
      </c>
      <c r="P545" s="13">
        <f t="shared" si="142"/>
        <v>1</v>
      </c>
      <c r="Q545">
        <f t="shared" si="150"/>
        <v>24</v>
      </c>
      <c r="R545" s="14">
        <f t="shared" si="151"/>
        <v>84</v>
      </c>
      <c r="S545" s="15"/>
      <c r="W545" s="14"/>
    </row>
    <row r="546" spans="1:23" hidden="1" x14ac:dyDescent="0.25">
      <c r="A546" s="16"/>
      <c r="B546" s="17" t="b">
        <f t="shared" si="144"/>
        <v>0</v>
      </c>
      <c r="C546" s="17" t="b">
        <f t="shared" si="136"/>
        <v>0</v>
      </c>
      <c r="D546" s="17">
        <f t="shared" si="138"/>
        <v>1</v>
      </c>
      <c r="E546" s="17" t="str">
        <f t="shared" si="143"/>
        <v>Section 5 - Conclusion, And FREE Coupon For Next Course</v>
      </c>
      <c r="F546" s="18" t="str">
        <f t="shared" si="139"/>
        <v/>
      </c>
      <c r="G546" s="13" t="str">
        <f t="shared" si="145"/>
        <v/>
      </c>
      <c r="H546">
        <f t="shared" si="146"/>
        <v>0</v>
      </c>
      <c r="I546">
        <f t="shared" si="147"/>
        <v>0</v>
      </c>
      <c r="J546" s="13">
        <f t="shared" si="148"/>
        <v>85</v>
      </c>
      <c r="K546">
        <f t="shared" si="140"/>
        <v>1</v>
      </c>
      <c r="L546">
        <f t="shared" si="141"/>
        <v>25</v>
      </c>
      <c r="M546" s="13">
        <f t="shared" si="149"/>
        <v>1</v>
      </c>
      <c r="N546">
        <f t="shared" si="149"/>
        <v>24</v>
      </c>
      <c r="O546" s="14">
        <f t="shared" si="137"/>
        <v>84</v>
      </c>
      <c r="P546" s="13">
        <f t="shared" si="142"/>
        <v>1</v>
      </c>
      <c r="Q546">
        <f t="shared" si="150"/>
        <v>24</v>
      </c>
      <c r="R546" s="14">
        <f t="shared" si="151"/>
        <v>84</v>
      </c>
      <c r="S546" s="15"/>
      <c r="W546" s="14"/>
    </row>
    <row r="547" spans="1:23" hidden="1" x14ac:dyDescent="0.25">
      <c r="A547" s="16"/>
      <c r="B547" s="17" t="b">
        <f t="shared" si="144"/>
        <v>0</v>
      </c>
      <c r="C547" s="17" t="b">
        <f t="shared" si="136"/>
        <v>0</v>
      </c>
      <c r="D547" s="17">
        <f t="shared" si="138"/>
        <v>1</v>
      </c>
      <c r="E547" s="17" t="str">
        <f t="shared" si="143"/>
        <v>Section 5 - Conclusion, And FREE Coupon For Next Course</v>
      </c>
      <c r="F547" s="18" t="str">
        <f t="shared" si="139"/>
        <v/>
      </c>
      <c r="G547" s="13" t="str">
        <f t="shared" si="145"/>
        <v/>
      </c>
      <c r="H547">
        <f t="shared" si="146"/>
        <v>0</v>
      </c>
      <c r="I547">
        <f t="shared" si="147"/>
        <v>0</v>
      </c>
      <c r="J547" s="13">
        <f t="shared" si="148"/>
        <v>85</v>
      </c>
      <c r="K547">
        <f t="shared" si="140"/>
        <v>1</v>
      </c>
      <c r="L547">
        <f t="shared" si="141"/>
        <v>25</v>
      </c>
      <c r="M547" s="13">
        <f t="shared" si="149"/>
        <v>1</v>
      </c>
      <c r="N547">
        <f t="shared" si="149"/>
        <v>24</v>
      </c>
      <c r="O547" s="14">
        <f t="shared" si="137"/>
        <v>84</v>
      </c>
      <c r="P547" s="13">
        <f t="shared" si="142"/>
        <v>1</v>
      </c>
      <c r="Q547">
        <f t="shared" si="150"/>
        <v>24</v>
      </c>
      <c r="R547" s="14">
        <f t="shared" si="151"/>
        <v>84</v>
      </c>
      <c r="S547" s="15"/>
      <c r="W547" s="14"/>
    </row>
    <row r="548" spans="1:23" hidden="1" x14ac:dyDescent="0.25">
      <c r="A548" s="16"/>
      <c r="B548" s="17" t="b">
        <f t="shared" si="144"/>
        <v>0</v>
      </c>
      <c r="C548" s="17" t="b">
        <f t="shared" si="136"/>
        <v>0</v>
      </c>
      <c r="D548" s="17">
        <f t="shared" si="138"/>
        <v>1</v>
      </c>
      <c r="E548" s="17" t="str">
        <f t="shared" si="143"/>
        <v>Section 5 - Conclusion, And FREE Coupon For Next Course</v>
      </c>
      <c r="F548" s="18" t="str">
        <f t="shared" si="139"/>
        <v/>
      </c>
      <c r="G548" s="13" t="str">
        <f t="shared" si="145"/>
        <v/>
      </c>
      <c r="H548">
        <f t="shared" si="146"/>
        <v>0</v>
      </c>
      <c r="I548">
        <f t="shared" si="147"/>
        <v>0</v>
      </c>
      <c r="J548" s="13">
        <f t="shared" si="148"/>
        <v>85</v>
      </c>
      <c r="K548">
        <f t="shared" si="140"/>
        <v>1</v>
      </c>
      <c r="L548">
        <f t="shared" si="141"/>
        <v>25</v>
      </c>
      <c r="M548" s="13">
        <f t="shared" si="149"/>
        <v>1</v>
      </c>
      <c r="N548">
        <f t="shared" si="149"/>
        <v>24</v>
      </c>
      <c r="O548" s="14">
        <f t="shared" si="137"/>
        <v>84</v>
      </c>
      <c r="P548" s="13">
        <f t="shared" si="142"/>
        <v>1</v>
      </c>
      <c r="Q548">
        <f t="shared" si="150"/>
        <v>24</v>
      </c>
      <c r="R548" s="14">
        <f t="shared" si="151"/>
        <v>84</v>
      </c>
      <c r="S548" s="15"/>
      <c r="W548" s="14"/>
    </row>
    <row r="549" spans="1:23" hidden="1" x14ac:dyDescent="0.25">
      <c r="A549" s="16"/>
      <c r="B549" s="17" t="b">
        <f t="shared" si="144"/>
        <v>0</v>
      </c>
      <c r="C549" s="17" t="b">
        <f t="shared" si="136"/>
        <v>0</v>
      </c>
      <c r="D549" s="17">
        <f t="shared" si="138"/>
        <v>1</v>
      </c>
      <c r="E549" s="17" t="str">
        <f t="shared" si="143"/>
        <v>Section 5 - Conclusion, And FREE Coupon For Next Course</v>
      </c>
      <c r="F549" s="18" t="str">
        <f t="shared" si="139"/>
        <v/>
      </c>
      <c r="G549" s="13" t="str">
        <f t="shared" si="145"/>
        <v/>
      </c>
      <c r="H549">
        <f t="shared" si="146"/>
        <v>0</v>
      </c>
      <c r="I549">
        <f t="shared" si="147"/>
        <v>0</v>
      </c>
      <c r="J549" s="13">
        <f t="shared" si="148"/>
        <v>85</v>
      </c>
      <c r="K549">
        <f t="shared" si="140"/>
        <v>1</v>
      </c>
      <c r="L549">
        <f t="shared" si="141"/>
        <v>25</v>
      </c>
      <c r="M549" s="13">
        <f t="shared" si="149"/>
        <v>1</v>
      </c>
      <c r="N549">
        <f t="shared" si="149"/>
        <v>24</v>
      </c>
      <c r="O549" s="14">
        <f t="shared" si="137"/>
        <v>84</v>
      </c>
      <c r="P549" s="13">
        <f t="shared" si="142"/>
        <v>1</v>
      </c>
      <c r="Q549">
        <f t="shared" si="150"/>
        <v>24</v>
      </c>
      <c r="R549" s="14">
        <f t="shared" si="151"/>
        <v>84</v>
      </c>
      <c r="S549" s="15"/>
      <c r="W549" s="14"/>
    </row>
    <row r="550" spans="1:23" hidden="1" x14ac:dyDescent="0.25">
      <c r="A550" s="16"/>
      <c r="B550" s="17" t="b">
        <f t="shared" si="144"/>
        <v>0</v>
      </c>
      <c r="C550" s="17" t="b">
        <f t="shared" si="136"/>
        <v>0</v>
      </c>
      <c r="D550" s="17">
        <f t="shared" si="138"/>
        <v>1</v>
      </c>
      <c r="E550" s="17" t="str">
        <f t="shared" si="143"/>
        <v>Section 5 - Conclusion, And FREE Coupon For Next Course</v>
      </c>
      <c r="F550" s="18" t="str">
        <f t="shared" si="139"/>
        <v/>
      </c>
      <c r="G550" s="13" t="str">
        <f t="shared" si="145"/>
        <v/>
      </c>
      <c r="H550">
        <f t="shared" si="146"/>
        <v>0</v>
      </c>
      <c r="I550">
        <f t="shared" si="147"/>
        <v>0</v>
      </c>
      <c r="J550" s="13">
        <f t="shared" si="148"/>
        <v>85</v>
      </c>
      <c r="K550">
        <f t="shared" si="140"/>
        <v>1</v>
      </c>
      <c r="L550">
        <f t="shared" si="141"/>
        <v>25</v>
      </c>
      <c r="M550" s="13">
        <f t="shared" si="149"/>
        <v>1</v>
      </c>
      <c r="N550">
        <f t="shared" si="149"/>
        <v>24</v>
      </c>
      <c r="O550" s="14">
        <f t="shared" si="137"/>
        <v>84</v>
      </c>
      <c r="P550" s="13">
        <f t="shared" si="142"/>
        <v>1</v>
      </c>
      <c r="Q550">
        <f t="shared" si="150"/>
        <v>24</v>
      </c>
      <c r="R550" s="14">
        <f t="shared" si="151"/>
        <v>84</v>
      </c>
      <c r="S550" s="15"/>
      <c r="W550" s="14"/>
    </row>
    <row r="551" spans="1:23" hidden="1" x14ac:dyDescent="0.25">
      <c r="A551" s="16"/>
      <c r="B551" s="17" t="b">
        <f t="shared" si="144"/>
        <v>0</v>
      </c>
      <c r="C551" s="17" t="b">
        <f t="shared" si="136"/>
        <v>0</v>
      </c>
      <c r="D551" s="17">
        <f t="shared" si="138"/>
        <v>1</v>
      </c>
      <c r="E551" s="17" t="str">
        <f t="shared" si="143"/>
        <v>Section 5 - Conclusion, And FREE Coupon For Next Course</v>
      </c>
      <c r="F551" s="18" t="str">
        <f t="shared" si="139"/>
        <v/>
      </c>
      <c r="G551" s="13" t="str">
        <f t="shared" si="145"/>
        <v/>
      </c>
      <c r="H551">
        <f t="shared" si="146"/>
        <v>0</v>
      </c>
      <c r="I551">
        <f t="shared" si="147"/>
        <v>0</v>
      </c>
      <c r="J551" s="13">
        <f t="shared" si="148"/>
        <v>85</v>
      </c>
      <c r="K551">
        <f t="shared" si="140"/>
        <v>1</v>
      </c>
      <c r="L551">
        <f t="shared" si="141"/>
        <v>25</v>
      </c>
      <c r="M551" s="13">
        <f t="shared" si="149"/>
        <v>1</v>
      </c>
      <c r="N551">
        <f t="shared" si="149"/>
        <v>24</v>
      </c>
      <c r="O551" s="14">
        <f t="shared" si="137"/>
        <v>84</v>
      </c>
      <c r="P551" s="13">
        <f t="shared" si="142"/>
        <v>1</v>
      </c>
      <c r="Q551">
        <f t="shared" si="150"/>
        <v>24</v>
      </c>
      <c r="R551" s="14">
        <f t="shared" si="151"/>
        <v>84</v>
      </c>
      <c r="S551" s="15"/>
      <c r="W551" s="14"/>
    </row>
    <row r="552" spans="1:23" hidden="1" x14ac:dyDescent="0.25">
      <c r="A552" s="16"/>
      <c r="B552" s="17" t="b">
        <f t="shared" si="144"/>
        <v>0</v>
      </c>
      <c r="C552" s="17" t="b">
        <f t="shared" si="136"/>
        <v>0</v>
      </c>
      <c r="D552" s="17">
        <f t="shared" si="138"/>
        <v>1</v>
      </c>
      <c r="E552" s="17" t="str">
        <f t="shared" si="143"/>
        <v>Section 5 - Conclusion, And FREE Coupon For Next Course</v>
      </c>
      <c r="F552" s="18" t="str">
        <f t="shared" si="139"/>
        <v/>
      </c>
      <c r="G552" s="13" t="str">
        <f t="shared" si="145"/>
        <v/>
      </c>
      <c r="H552">
        <f t="shared" si="146"/>
        <v>0</v>
      </c>
      <c r="I552">
        <f t="shared" si="147"/>
        <v>0</v>
      </c>
      <c r="J552" s="13">
        <f t="shared" si="148"/>
        <v>85</v>
      </c>
      <c r="K552">
        <f t="shared" si="140"/>
        <v>1</v>
      </c>
      <c r="L552">
        <f t="shared" si="141"/>
        <v>25</v>
      </c>
      <c r="M552" s="13">
        <f t="shared" si="149"/>
        <v>1</v>
      </c>
      <c r="N552">
        <f t="shared" si="149"/>
        <v>24</v>
      </c>
      <c r="O552" s="14">
        <f t="shared" si="137"/>
        <v>84</v>
      </c>
      <c r="P552" s="13">
        <f t="shared" si="142"/>
        <v>1</v>
      </c>
      <c r="Q552">
        <f t="shared" si="150"/>
        <v>24</v>
      </c>
      <c r="R552" s="14">
        <f t="shared" si="151"/>
        <v>84</v>
      </c>
      <c r="S552" s="15"/>
      <c r="W552" s="14"/>
    </row>
    <row r="553" spans="1:23" hidden="1" x14ac:dyDescent="0.25">
      <c r="A553" s="16"/>
      <c r="B553" s="17" t="b">
        <f t="shared" si="144"/>
        <v>0</v>
      </c>
      <c r="C553" s="17" t="b">
        <f t="shared" si="136"/>
        <v>0</v>
      </c>
      <c r="D553" s="17">
        <f t="shared" si="138"/>
        <v>1</v>
      </c>
      <c r="E553" s="17" t="str">
        <f t="shared" si="143"/>
        <v>Section 5 - Conclusion, And FREE Coupon For Next Course</v>
      </c>
      <c r="F553" s="18" t="str">
        <f t="shared" si="139"/>
        <v/>
      </c>
      <c r="G553" s="13" t="str">
        <f t="shared" si="145"/>
        <v/>
      </c>
      <c r="H553">
        <f t="shared" si="146"/>
        <v>0</v>
      </c>
      <c r="I553">
        <f t="shared" si="147"/>
        <v>0</v>
      </c>
      <c r="J553" s="13">
        <f t="shared" si="148"/>
        <v>85</v>
      </c>
      <c r="K553">
        <f t="shared" si="140"/>
        <v>1</v>
      </c>
      <c r="L553">
        <f t="shared" si="141"/>
        <v>25</v>
      </c>
      <c r="M553" s="13">
        <f t="shared" si="149"/>
        <v>1</v>
      </c>
      <c r="N553">
        <f t="shared" si="149"/>
        <v>24</v>
      </c>
      <c r="O553" s="14">
        <f t="shared" si="137"/>
        <v>84</v>
      </c>
      <c r="P553" s="13">
        <f t="shared" si="142"/>
        <v>1</v>
      </c>
      <c r="Q553">
        <f t="shared" si="150"/>
        <v>24</v>
      </c>
      <c r="R553" s="14">
        <f t="shared" si="151"/>
        <v>84</v>
      </c>
      <c r="S553" s="15"/>
      <c r="W553" s="14"/>
    </row>
    <row r="554" spans="1:23" hidden="1" x14ac:dyDescent="0.25">
      <c r="A554" s="16"/>
      <c r="B554" s="17" t="b">
        <f t="shared" si="144"/>
        <v>0</v>
      </c>
      <c r="C554" s="17" t="b">
        <f t="shared" si="136"/>
        <v>0</v>
      </c>
      <c r="D554" s="17">
        <f t="shared" si="138"/>
        <v>1</v>
      </c>
      <c r="E554" s="17" t="str">
        <f t="shared" si="143"/>
        <v>Section 5 - Conclusion, And FREE Coupon For Next Course</v>
      </c>
      <c r="F554" s="18" t="str">
        <f t="shared" si="139"/>
        <v/>
      </c>
      <c r="G554" s="13" t="str">
        <f t="shared" si="145"/>
        <v/>
      </c>
      <c r="H554">
        <f t="shared" si="146"/>
        <v>0</v>
      </c>
      <c r="I554">
        <f t="shared" si="147"/>
        <v>0</v>
      </c>
      <c r="J554" s="13">
        <f t="shared" si="148"/>
        <v>85</v>
      </c>
      <c r="K554">
        <f t="shared" si="140"/>
        <v>1</v>
      </c>
      <c r="L554">
        <f t="shared" si="141"/>
        <v>25</v>
      </c>
      <c r="M554" s="13">
        <f t="shared" si="149"/>
        <v>1</v>
      </c>
      <c r="N554">
        <f t="shared" si="149"/>
        <v>24</v>
      </c>
      <c r="O554" s="14">
        <f t="shared" si="137"/>
        <v>84</v>
      </c>
      <c r="P554" s="13">
        <f t="shared" si="142"/>
        <v>1</v>
      </c>
      <c r="Q554">
        <f t="shared" si="150"/>
        <v>24</v>
      </c>
      <c r="R554" s="14">
        <f t="shared" si="151"/>
        <v>84</v>
      </c>
      <c r="S554" s="15"/>
      <c r="W554" s="14"/>
    </row>
    <row r="555" spans="1:23" hidden="1" x14ac:dyDescent="0.25">
      <c r="A555" s="16"/>
      <c r="B555" s="17" t="b">
        <f t="shared" si="144"/>
        <v>0</v>
      </c>
      <c r="C555" s="17" t="b">
        <f t="shared" si="136"/>
        <v>0</v>
      </c>
      <c r="D555" s="17">
        <f t="shared" si="138"/>
        <v>1</v>
      </c>
      <c r="E555" s="17" t="str">
        <f t="shared" si="143"/>
        <v>Section 5 - Conclusion, And FREE Coupon For Next Course</v>
      </c>
      <c r="F555" s="18" t="str">
        <f t="shared" si="139"/>
        <v/>
      </c>
      <c r="G555" s="13" t="str">
        <f t="shared" si="145"/>
        <v/>
      </c>
      <c r="H555">
        <f t="shared" si="146"/>
        <v>0</v>
      </c>
      <c r="I555">
        <f t="shared" si="147"/>
        <v>0</v>
      </c>
      <c r="J555" s="13">
        <f t="shared" si="148"/>
        <v>85</v>
      </c>
      <c r="K555">
        <f t="shared" si="140"/>
        <v>1</v>
      </c>
      <c r="L555">
        <f t="shared" si="141"/>
        <v>25</v>
      </c>
      <c r="M555" s="13">
        <f t="shared" si="149"/>
        <v>1</v>
      </c>
      <c r="N555">
        <f t="shared" si="149"/>
        <v>24</v>
      </c>
      <c r="O555" s="14">
        <f t="shared" si="137"/>
        <v>84</v>
      </c>
      <c r="P555" s="13">
        <f t="shared" si="142"/>
        <v>1</v>
      </c>
      <c r="Q555">
        <f t="shared" si="150"/>
        <v>24</v>
      </c>
      <c r="R555" s="14">
        <f t="shared" si="151"/>
        <v>84</v>
      </c>
      <c r="S555" s="15"/>
      <c r="W555" s="14"/>
    </row>
    <row r="556" spans="1:23" hidden="1" x14ac:dyDescent="0.25">
      <c r="A556" s="16"/>
      <c r="B556" s="17" t="b">
        <f t="shared" si="144"/>
        <v>0</v>
      </c>
      <c r="C556" s="17" t="b">
        <f t="shared" si="136"/>
        <v>0</v>
      </c>
      <c r="D556" s="17">
        <f t="shared" si="138"/>
        <v>1</v>
      </c>
      <c r="E556" s="17" t="str">
        <f t="shared" si="143"/>
        <v>Section 5 - Conclusion, And FREE Coupon For Next Course</v>
      </c>
      <c r="F556" s="18" t="str">
        <f t="shared" si="139"/>
        <v/>
      </c>
      <c r="G556" s="13" t="str">
        <f t="shared" si="145"/>
        <v/>
      </c>
      <c r="H556">
        <f t="shared" si="146"/>
        <v>0</v>
      </c>
      <c r="I556">
        <f t="shared" si="147"/>
        <v>0</v>
      </c>
      <c r="J556" s="13">
        <f t="shared" si="148"/>
        <v>85</v>
      </c>
      <c r="K556">
        <f t="shared" si="140"/>
        <v>1</v>
      </c>
      <c r="L556">
        <f t="shared" si="141"/>
        <v>25</v>
      </c>
      <c r="M556" s="13">
        <f t="shared" si="149"/>
        <v>1</v>
      </c>
      <c r="N556">
        <f t="shared" si="149"/>
        <v>24</v>
      </c>
      <c r="O556" s="14">
        <f t="shared" si="137"/>
        <v>84</v>
      </c>
      <c r="P556" s="13">
        <f t="shared" si="142"/>
        <v>1</v>
      </c>
      <c r="Q556">
        <f t="shared" si="150"/>
        <v>24</v>
      </c>
      <c r="R556" s="14">
        <f t="shared" si="151"/>
        <v>84</v>
      </c>
      <c r="S556" s="15"/>
      <c r="W556" s="14"/>
    </row>
    <row r="557" spans="1:23" hidden="1" x14ac:dyDescent="0.25">
      <c r="A557" s="16"/>
      <c r="B557" s="17" t="b">
        <f t="shared" si="144"/>
        <v>0</v>
      </c>
      <c r="C557" s="17" t="b">
        <f t="shared" si="136"/>
        <v>0</v>
      </c>
      <c r="D557" s="17">
        <f t="shared" si="138"/>
        <v>1</v>
      </c>
      <c r="E557" s="17" t="str">
        <f t="shared" si="143"/>
        <v>Section 5 - Conclusion, And FREE Coupon For Next Course</v>
      </c>
      <c r="F557" s="18" t="str">
        <f t="shared" si="139"/>
        <v/>
      </c>
      <c r="G557" s="13" t="str">
        <f t="shared" si="145"/>
        <v/>
      </c>
      <c r="H557">
        <f t="shared" si="146"/>
        <v>0</v>
      </c>
      <c r="I557">
        <f t="shared" si="147"/>
        <v>0</v>
      </c>
      <c r="J557" s="13">
        <f t="shared" si="148"/>
        <v>85</v>
      </c>
      <c r="K557">
        <f t="shared" si="140"/>
        <v>1</v>
      </c>
      <c r="L557">
        <f t="shared" si="141"/>
        <v>25</v>
      </c>
      <c r="M557" s="13">
        <f t="shared" si="149"/>
        <v>1</v>
      </c>
      <c r="N557">
        <f t="shared" si="149"/>
        <v>24</v>
      </c>
      <c r="O557" s="14">
        <f t="shared" si="137"/>
        <v>84</v>
      </c>
      <c r="P557" s="13">
        <f t="shared" si="142"/>
        <v>1</v>
      </c>
      <c r="Q557">
        <f t="shared" si="150"/>
        <v>24</v>
      </c>
      <c r="R557" s="14">
        <f t="shared" si="151"/>
        <v>84</v>
      </c>
      <c r="S557" s="15"/>
      <c r="W557" s="14"/>
    </row>
    <row r="558" spans="1:23" hidden="1" x14ac:dyDescent="0.25">
      <c r="A558" s="16"/>
      <c r="B558" s="17" t="b">
        <f t="shared" si="144"/>
        <v>0</v>
      </c>
      <c r="C558" s="17" t="b">
        <f t="shared" si="136"/>
        <v>0</v>
      </c>
      <c r="D558" s="17">
        <f t="shared" si="138"/>
        <v>1</v>
      </c>
      <c r="E558" s="17" t="str">
        <f t="shared" si="143"/>
        <v>Section 5 - Conclusion, And FREE Coupon For Next Course</v>
      </c>
      <c r="F558" s="18" t="str">
        <f t="shared" si="139"/>
        <v/>
      </c>
      <c r="G558" s="13" t="str">
        <f t="shared" si="145"/>
        <v/>
      </c>
      <c r="H558">
        <f t="shared" si="146"/>
        <v>0</v>
      </c>
      <c r="I558">
        <f t="shared" si="147"/>
        <v>0</v>
      </c>
      <c r="J558" s="13">
        <f t="shared" si="148"/>
        <v>85</v>
      </c>
      <c r="K558">
        <f t="shared" si="140"/>
        <v>1</v>
      </c>
      <c r="L558">
        <f t="shared" si="141"/>
        <v>25</v>
      </c>
      <c r="M558" s="13">
        <f t="shared" si="149"/>
        <v>1</v>
      </c>
      <c r="N558">
        <f t="shared" si="149"/>
        <v>24</v>
      </c>
      <c r="O558" s="14">
        <f t="shared" si="137"/>
        <v>84</v>
      </c>
      <c r="P558" s="13">
        <f t="shared" si="142"/>
        <v>1</v>
      </c>
      <c r="Q558">
        <f t="shared" si="150"/>
        <v>24</v>
      </c>
      <c r="R558" s="14">
        <f t="shared" si="151"/>
        <v>84</v>
      </c>
      <c r="S558" s="15"/>
      <c r="W558" s="14"/>
    </row>
    <row r="559" spans="1:23" hidden="1" x14ac:dyDescent="0.25">
      <c r="A559" s="16"/>
      <c r="B559" s="17" t="b">
        <f t="shared" si="144"/>
        <v>0</v>
      </c>
      <c r="C559" s="17" t="b">
        <f t="shared" si="136"/>
        <v>0</v>
      </c>
      <c r="D559" s="17">
        <f t="shared" si="138"/>
        <v>1</v>
      </c>
      <c r="E559" s="17" t="str">
        <f t="shared" si="143"/>
        <v>Section 5 - Conclusion, And FREE Coupon For Next Course</v>
      </c>
      <c r="F559" s="18" t="str">
        <f t="shared" si="139"/>
        <v/>
      </c>
      <c r="G559" s="13" t="str">
        <f t="shared" si="145"/>
        <v/>
      </c>
      <c r="H559">
        <f t="shared" si="146"/>
        <v>0</v>
      </c>
      <c r="I559">
        <f t="shared" si="147"/>
        <v>0</v>
      </c>
      <c r="J559" s="13">
        <f t="shared" si="148"/>
        <v>85</v>
      </c>
      <c r="K559">
        <f t="shared" si="140"/>
        <v>1</v>
      </c>
      <c r="L559">
        <f t="shared" si="141"/>
        <v>25</v>
      </c>
      <c r="M559" s="13">
        <f t="shared" si="149"/>
        <v>1</v>
      </c>
      <c r="N559">
        <f t="shared" si="149"/>
        <v>24</v>
      </c>
      <c r="O559" s="14">
        <f t="shared" si="137"/>
        <v>84</v>
      </c>
      <c r="P559" s="13">
        <f t="shared" si="142"/>
        <v>1</v>
      </c>
      <c r="Q559">
        <f t="shared" si="150"/>
        <v>24</v>
      </c>
      <c r="R559" s="14">
        <f t="shared" si="151"/>
        <v>84</v>
      </c>
      <c r="S559" s="15"/>
      <c r="W559" s="14"/>
    </row>
    <row r="560" spans="1:23" hidden="1" x14ac:dyDescent="0.25">
      <c r="A560" s="16"/>
      <c r="B560" s="17" t="b">
        <f t="shared" si="144"/>
        <v>0</v>
      </c>
      <c r="C560" s="17" t="b">
        <f t="shared" si="136"/>
        <v>0</v>
      </c>
      <c r="D560" s="17">
        <f t="shared" si="138"/>
        <v>1</v>
      </c>
      <c r="E560" s="17" t="str">
        <f t="shared" si="143"/>
        <v>Section 5 - Conclusion, And FREE Coupon For Next Course</v>
      </c>
      <c r="F560" s="18" t="str">
        <f t="shared" si="139"/>
        <v/>
      </c>
      <c r="G560" s="13" t="str">
        <f t="shared" si="145"/>
        <v/>
      </c>
      <c r="H560">
        <f t="shared" si="146"/>
        <v>0</v>
      </c>
      <c r="I560">
        <f t="shared" si="147"/>
        <v>0</v>
      </c>
      <c r="J560" s="13">
        <f t="shared" si="148"/>
        <v>85</v>
      </c>
      <c r="K560">
        <f t="shared" si="140"/>
        <v>1</v>
      </c>
      <c r="L560">
        <f t="shared" si="141"/>
        <v>25</v>
      </c>
      <c r="M560" s="13">
        <f t="shared" si="149"/>
        <v>1</v>
      </c>
      <c r="N560">
        <f t="shared" si="149"/>
        <v>24</v>
      </c>
      <c r="O560" s="14">
        <f t="shared" si="137"/>
        <v>84</v>
      </c>
      <c r="P560" s="13">
        <f t="shared" si="142"/>
        <v>1</v>
      </c>
      <c r="Q560">
        <f t="shared" si="150"/>
        <v>24</v>
      </c>
      <c r="R560" s="14">
        <f t="shared" si="151"/>
        <v>84</v>
      </c>
      <c r="S560" s="15"/>
      <c r="W560" s="14"/>
    </row>
    <row r="561" spans="1:23" hidden="1" x14ac:dyDescent="0.25">
      <c r="A561" s="16"/>
      <c r="B561" s="17" t="b">
        <f t="shared" si="144"/>
        <v>0</v>
      </c>
      <c r="C561" s="17" t="b">
        <f t="shared" si="136"/>
        <v>0</v>
      </c>
      <c r="D561" s="17">
        <f t="shared" si="138"/>
        <v>1</v>
      </c>
      <c r="E561" s="17" t="str">
        <f t="shared" si="143"/>
        <v>Section 5 - Conclusion, And FREE Coupon For Next Course</v>
      </c>
      <c r="F561" s="18" t="str">
        <f t="shared" si="139"/>
        <v/>
      </c>
      <c r="G561" s="13" t="str">
        <f t="shared" si="145"/>
        <v/>
      </c>
      <c r="H561">
        <f t="shared" si="146"/>
        <v>0</v>
      </c>
      <c r="I561">
        <f t="shared" si="147"/>
        <v>0</v>
      </c>
      <c r="J561" s="13">
        <f t="shared" si="148"/>
        <v>85</v>
      </c>
      <c r="K561">
        <f t="shared" si="140"/>
        <v>1</v>
      </c>
      <c r="L561">
        <f t="shared" si="141"/>
        <v>25</v>
      </c>
      <c r="M561" s="13">
        <f t="shared" si="149"/>
        <v>1</v>
      </c>
      <c r="N561">
        <f t="shared" si="149"/>
        <v>24</v>
      </c>
      <c r="O561" s="14">
        <f t="shared" si="137"/>
        <v>84</v>
      </c>
      <c r="P561" s="13">
        <f t="shared" si="142"/>
        <v>1</v>
      </c>
      <c r="Q561">
        <f t="shared" si="150"/>
        <v>24</v>
      </c>
      <c r="R561" s="14">
        <f t="shared" si="151"/>
        <v>84</v>
      </c>
      <c r="S561" s="15"/>
      <c r="W561" s="14"/>
    </row>
    <row r="562" spans="1:23" hidden="1" x14ac:dyDescent="0.25">
      <c r="A562" s="16"/>
      <c r="B562" s="17" t="b">
        <f t="shared" si="144"/>
        <v>0</v>
      </c>
      <c r="C562" s="17" t="b">
        <f t="shared" si="136"/>
        <v>0</v>
      </c>
      <c r="D562" s="17">
        <f t="shared" si="138"/>
        <v>1</v>
      </c>
      <c r="E562" s="17" t="str">
        <f t="shared" si="143"/>
        <v>Section 5 - Conclusion, And FREE Coupon For Next Course</v>
      </c>
      <c r="F562" s="18" t="str">
        <f t="shared" si="139"/>
        <v/>
      </c>
      <c r="G562" s="13" t="str">
        <f t="shared" si="145"/>
        <v/>
      </c>
      <c r="H562">
        <f t="shared" si="146"/>
        <v>0</v>
      </c>
      <c r="I562">
        <f t="shared" si="147"/>
        <v>0</v>
      </c>
      <c r="J562" s="13">
        <f t="shared" si="148"/>
        <v>85</v>
      </c>
      <c r="K562">
        <f t="shared" si="140"/>
        <v>1</v>
      </c>
      <c r="L562">
        <f t="shared" si="141"/>
        <v>25</v>
      </c>
      <c r="M562" s="13">
        <f t="shared" si="149"/>
        <v>1</v>
      </c>
      <c r="N562">
        <f t="shared" si="149"/>
        <v>24</v>
      </c>
      <c r="O562" s="14">
        <f t="shared" si="137"/>
        <v>84</v>
      </c>
      <c r="P562" s="13">
        <f t="shared" si="142"/>
        <v>1</v>
      </c>
      <c r="Q562">
        <f t="shared" si="150"/>
        <v>24</v>
      </c>
      <c r="R562" s="14">
        <f t="shared" si="151"/>
        <v>84</v>
      </c>
      <c r="S562" s="15"/>
      <c r="W562" s="14"/>
    </row>
    <row r="563" spans="1:23" hidden="1" x14ac:dyDescent="0.25">
      <c r="A563" s="16"/>
      <c r="B563" s="17" t="b">
        <f t="shared" si="144"/>
        <v>0</v>
      </c>
      <c r="C563" s="17" t="b">
        <f t="shared" si="136"/>
        <v>0</v>
      </c>
      <c r="D563" s="17">
        <f t="shared" si="138"/>
        <v>1</v>
      </c>
      <c r="E563" s="17" t="str">
        <f t="shared" si="143"/>
        <v>Section 5 - Conclusion, And FREE Coupon For Next Course</v>
      </c>
      <c r="F563" s="18" t="str">
        <f t="shared" si="139"/>
        <v/>
      </c>
      <c r="G563" s="13" t="str">
        <f t="shared" si="145"/>
        <v/>
      </c>
      <c r="H563">
        <f t="shared" si="146"/>
        <v>0</v>
      </c>
      <c r="I563">
        <f t="shared" si="147"/>
        <v>0</v>
      </c>
      <c r="J563" s="13">
        <f t="shared" si="148"/>
        <v>85</v>
      </c>
      <c r="K563">
        <f t="shared" si="140"/>
        <v>1</v>
      </c>
      <c r="L563">
        <f t="shared" si="141"/>
        <v>25</v>
      </c>
      <c r="M563" s="13">
        <f t="shared" si="149"/>
        <v>1</v>
      </c>
      <c r="N563">
        <f t="shared" si="149"/>
        <v>24</v>
      </c>
      <c r="O563" s="14">
        <f t="shared" si="137"/>
        <v>84</v>
      </c>
      <c r="P563" s="13">
        <f t="shared" si="142"/>
        <v>1</v>
      </c>
      <c r="Q563">
        <f t="shared" si="150"/>
        <v>24</v>
      </c>
      <c r="R563" s="14">
        <f t="shared" si="151"/>
        <v>84</v>
      </c>
      <c r="S563" s="15"/>
      <c r="W563" s="14"/>
    </row>
    <row r="564" spans="1:23" hidden="1" x14ac:dyDescent="0.25">
      <c r="A564" s="16"/>
      <c r="B564" s="17" t="b">
        <f t="shared" si="144"/>
        <v>0</v>
      </c>
      <c r="C564" s="17" t="b">
        <f t="shared" si="136"/>
        <v>0</v>
      </c>
      <c r="D564" s="17">
        <f t="shared" si="138"/>
        <v>1</v>
      </c>
      <c r="E564" s="17" t="str">
        <f t="shared" si="143"/>
        <v>Section 5 - Conclusion, And FREE Coupon For Next Course</v>
      </c>
      <c r="F564" s="18" t="str">
        <f t="shared" si="139"/>
        <v/>
      </c>
      <c r="G564" s="13" t="str">
        <f t="shared" si="145"/>
        <v/>
      </c>
      <c r="H564">
        <f t="shared" si="146"/>
        <v>0</v>
      </c>
      <c r="I564">
        <f t="shared" si="147"/>
        <v>0</v>
      </c>
      <c r="J564" s="13">
        <f t="shared" si="148"/>
        <v>85</v>
      </c>
      <c r="K564">
        <f t="shared" si="140"/>
        <v>1</v>
      </c>
      <c r="L564">
        <f t="shared" si="141"/>
        <v>25</v>
      </c>
      <c r="M564" s="13">
        <f t="shared" si="149"/>
        <v>1</v>
      </c>
      <c r="N564">
        <f t="shared" si="149"/>
        <v>24</v>
      </c>
      <c r="O564" s="14">
        <f t="shared" si="137"/>
        <v>84</v>
      </c>
      <c r="P564" s="13">
        <f t="shared" si="142"/>
        <v>1</v>
      </c>
      <c r="Q564">
        <f t="shared" si="150"/>
        <v>24</v>
      </c>
      <c r="R564" s="14">
        <f t="shared" si="151"/>
        <v>84</v>
      </c>
      <c r="S564" s="15"/>
      <c r="W564" s="14"/>
    </row>
    <row r="565" spans="1:23" hidden="1" x14ac:dyDescent="0.25">
      <c r="A565" s="16"/>
      <c r="B565" s="17" t="b">
        <f t="shared" si="144"/>
        <v>0</v>
      </c>
      <c r="C565" s="17" t="b">
        <f t="shared" si="136"/>
        <v>0</v>
      </c>
      <c r="D565" s="17">
        <f t="shared" si="138"/>
        <v>1</v>
      </c>
      <c r="E565" s="17" t="str">
        <f t="shared" si="143"/>
        <v>Section 5 - Conclusion, And FREE Coupon For Next Course</v>
      </c>
      <c r="F565" s="18" t="str">
        <f t="shared" si="139"/>
        <v/>
      </c>
      <c r="G565" s="13" t="str">
        <f t="shared" si="145"/>
        <v/>
      </c>
      <c r="H565">
        <f t="shared" si="146"/>
        <v>0</v>
      </c>
      <c r="I565">
        <f t="shared" si="147"/>
        <v>0</v>
      </c>
      <c r="J565" s="13">
        <f t="shared" si="148"/>
        <v>85</v>
      </c>
      <c r="K565">
        <f t="shared" si="140"/>
        <v>1</v>
      </c>
      <c r="L565">
        <f t="shared" si="141"/>
        <v>25</v>
      </c>
      <c r="M565" s="13">
        <f t="shared" si="149"/>
        <v>1</v>
      </c>
      <c r="N565">
        <f t="shared" si="149"/>
        <v>24</v>
      </c>
      <c r="O565" s="14">
        <f t="shared" si="137"/>
        <v>84</v>
      </c>
      <c r="P565" s="13">
        <f t="shared" si="142"/>
        <v>1</v>
      </c>
      <c r="Q565">
        <f t="shared" si="150"/>
        <v>24</v>
      </c>
      <c r="R565" s="14">
        <f t="shared" si="151"/>
        <v>84</v>
      </c>
      <c r="S565" s="15"/>
      <c r="W565" s="14"/>
    </row>
  </sheetData>
  <autoFilter ref="A10:W565" xr:uid="{A5D09338-D63D-4191-9C3A-5A8842BF3C98}">
    <filterColumn colId="5">
      <customFilters>
        <customFilter operator="notEqual" val=" "/>
      </customFilters>
    </filterColumn>
  </autoFilter>
  <mergeCells count="12">
    <mergeCell ref="M7:O7"/>
    <mergeCell ref="P7:R7"/>
    <mergeCell ref="S7:W7"/>
    <mergeCell ref="A1:L1"/>
    <mergeCell ref="A7:A8"/>
    <mergeCell ref="B7:B8"/>
    <mergeCell ref="C7:C8"/>
    <mergeCell ref="D7:D8"/>
    <mergeCell ref="E7:E8"/>
    <mergeCell ref="F7:F8"/>
    <mergeCell ref="G7:I7"/>
    <mergeCell ref="J7:L7"/>
  </mergeCells>
  <conditionalFormatting sqref="A10:F10 I20:J565 Q20:R565 A11:D565 F11:F19 F20:G565 M20:O565">
    <cfRule type="expression" dxfId="12" priority="9">
      <formula>$F10&lt;&gt;""</formula>
    </cfRule>
  </conditionalFormatting>
  <conditionalFormatting sqref="E9 E3:E5 G3:G5">
    <cfRule type="cellIs" dxfId="11" priority="8" operator="equal">
      <formula>"No"</formula>
    </cfRule>
  </conditionalFormatting>
  <conditionalFormatting sqref="A1:G1 I1:L1">
    <cfRule type="cellIs" dxfId="10" priority="7" operator="equal">
      <formula>""</formula>
    </cfRule>
  </conditionalFormatting>
  <conditionalFormatting sqref="H20:H565">
    <cfRule type="expression" dxfId="9" priority="6">
      <formula>$F20&lt;&gt;""</formula>
    </cfRule>
  </conditionalFormatting>
  <conditionalFormatting sqref="H1">
    <cfRule type="cellIs" dxfId="8" priority="5" operator="equal">
      <formula>""</formula>
    </cfRule>
  </conditionalFormatting>
  <conditionalFormatting sqref="G10:G19 I10 I11:J19 Q11:R19 P11:P565 M10:R10 M11:O19">
    <cfRule type="expression" dxfId="7" priority="4">
      <formula>$F10&lt;&gt;""</formula>
    </cfRule>
  </conditionalFormatting>
  <conditionalFormatting sqref="H10:H19">
    <cfRule type="expression" dxfId="6" priority="3">
      <formula>$F10&lt;&gt;""</formula>
    </cfRule>
  </conditionalFormatting>
  <conditionalFormatting sqref="E11:E565">
    <cfRule type="expression" dxfId="5" priority="2">
      <formula>$F11&lt;&gt;""</formula>
    </cfRule>
  </conditionalFormatting>
  <conditionalFormatting sqref="J10:L10 K11:L565">
    <cfRule type="expression" dxfId="4" priority="1">
      <formula>$F10&lt;&gt;""</formula>
    </cfRule>
  </conditionalFormatting>
  <dataValidations count="1">
    <dataValidation type="list" allowBlank="1" showInputMessage="1" sqref="E3:E4 G3:G5" xr:uid="{BADBAE58-2695-484B-B23A-A9B886E032F5}">
      <formula1>"Yes, No, N/A"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DE38-D8B0-4132-81E9-3DD3DAC46586}">
  <sheetPr filterMode="1"/>
  <dimension ref="A1:Z566"/>
  <sheetViews>
    <sheetView workbookViewId="0">
      <pane xSplit="6" ySplit="9" topLeftCell="N43" activePane="bottomRight" state="frozen"/>
      <selection pane="topRight" activeCell="G1" sqref="G1"/>
      <selection pane="bottomLeft" activeCell="A10" sqref="A10"/>
      <selection pane="bottomRight" activeCell="V132" sqref="V132"/>
    </sheetView>
  </sheetViews>
  <sheetFormatPr defaultRowHeight="15" x14ac:dyDescent="0.25"/>
  <cols>
    <col min="1" max="1" width="66.7109375" bestFit="1" customWidth="1"/>
    <col min="2" max="4" width="0" hidden="1" customWidth="1"/>
    <col min="5" max="6" width="48.85546875" bestFit="1" customWidth="1"/>
    <col min="22" max="22" width="11.42578125" style="4" bestFit="1" customWidth="1"/>
    <col min="23" max="23" width="27.5703125" customWidth="1"/>
    <col min="24" max="24" width="37" customWidth="1"/>
    <col min="25" max="25" width="12.7109375" customWidth="1"/>
    <col min="26" max="26" width="14.140625" customWidth="1"/>
  </cols>
  <sheetData>
    <row r="1" spans="1:26" ht="36" x14ac:dyDescent="0.55000000000000004">
      <c r="A1" s="26" t="s">
        <v>227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26" x14ac:dyDescent="0.25">
      <c r="A2" s="1" t="s">
        <v>85</v>
      </c>
      <c r="B2" s="5"/>
      <c r="E2" s="5" t="s">
        <v>301</v>
      </c>
    </row>
    <row r="3" spans="1:26" x14ac:dyDescent="0.25">
      <c r="A3" s="1" t="s">
        <v>88</v>
      </c>
      <c r="E3" t="s">
        <v>87</v>
      </c>
      <c r="F3" s="1" t="s">
        <v>86</v>
      </c>
      <c r="G3" t="s">
        <v>87</v>
      </c>
    </row>
    <row r="4" spans="1:26" x14ac:dyDescent="0.25">
      <c r="A4" s="1" t="s">
        <v>139</v>
      </c>
      <c r="E4" t="s">
        <v>87</v>
      </c>
      <c r="F4" s="1" t="s">
        <v>90</v>
      </c>
      <c r="G4" t="s">
        <v>87</v>
      </c>
    </row>
    <row r="5" spans="1:26" x14ac:dyDescent="0.25">
      <c r="A5" s="1" t="s">
        <v>93</v>
      </c>
      <c r="E5" t="s">
        <v>87</v>
      </c>
      <c r="F5" s="1" t="s">
        <v>91</v>
      </c>
      <c r="G5" t="s">
        <v>87</v>
      </c>
    </row>
    <row r="6" spans="1:26" x14ac:dyDescent="0.25">
      <c r="A6" s="1" t="s">
        <v>140</v>
      </c>
      <c r="E6" t="s">
        <v>226</v>
      </c>
      <c r="F6" s="1" t="s">
        <v>94</v>
      </c>
      <c r="G6" t="s">
        <v>89</v>
      </c>
    </row>
    <row r="7" spans="1:26" ht="15.75" thickBot="1" x14ac:dyDescent="0.3"/>
    <row r="8" spans="1:26" ht="15.75" thickTop="1" x14ac:dyDescent="0.25">
      <c r="A8" s="27" t="s">
        <v>95</v>
      </c>
      <c r="B8" s="29" t="s">
        <v>96</v>
      </c>
      <c r="C8" s="29" t="s">
        <v>97</v>
      </c>
      <c r="D8" s="29" t="s">
        <v>98</v>
      </c>
      <c r="E8" s="29" t="s">
        <v>5</v>
      </c>
      <c r="F8" s="31" t="s">
        <v>99</v>
      </c>
      <c r="G8" s="23" t="s">
        <v>77</v>
      </c>
      <c r="H8" s="24"/>
      <c r="I8" s="24"/>
      <c r="J8" s="23" t="s">
        <v>100</v>
      </c>
      <c r="K8" s="24"/>
      <c r="L8" s="24"/>
      <c r="M8" s="25"/>
      <c r="N8" s="23" t="s">
        <v>101</v>
      </c>
      <c r="O8" s="24"/>
      <c r="P8" s="24"/>
      <c r="Q8" s="25"/>
      <c r="R8" s="23" t="s">
        <v>102</v>
      </c>
      <c r="S8" s="24"/>
      <c r="T8" s="24"/>
      <c r="U8" s="25"/>
      <c r="V8" s="23" t="s">
        <v>103</v>
      </c>
      <c r="W8" s="24"/>
      <c r="X8" s="24"/>
      <c r="Y8" s="24"/>
      <c r="Z8" s="25"/>
    </row>
    <row r="9" spans="1:26" ht="15.75" thickBot="1" x14ac:dyDescent="0.3">
      <c r="A9" s="28"/>
      <c r="B9" s="30"/>
      <c r="C9" s="30"/>
      <c r="D9" s="30"/>
      <c r="E9" s="30"/>
      <c r="F9" s="32"/>
      <c r="G9" s="6" t="s">
        <v>104</v>
      </c>
      <c r="H9" s="7" t="s">
        <v>105</v>
      </c>
      <c r="I9" s="7" t="s">
        <v>75</v>
      </c>
      <c r="J9" s="6" t="s">
        <v>106</v>
      </c>
      <c r="K9" s="7" t="s">
        <v>73</v>
      </c>
      <c r="L9" s="7" t="s">
        <v>105</v>
      </c>
      <c r="M9" s="8" t="s">
        <v>75</v>
      </c>
      <c r="N9" s="9" t="s">
        <v>107</v>
      </c>
      <c r="O9" s="10" t="s">
        <v>105</v>
      </c>
      <c r="P9" s="10" t="s">
        <v>75</v>
      </c>
      <c r="Q9" s="11" t="s">
        <v>106</v>
      </c>
      <c r="R9" s="6" t="s">
        <v>107</v>
      </c>
      <c r="S9" s="7" t="s">
        <v>105</v>
      </c>
      <c r="T9" s="7" t="s">
        <v>75</v>
      </c>
      <c r="U9" s="8" t="s">
        <v>106</v>
      </c>
      <c r="V9" s="12" t="s">
        <v>108</v>
      </c>
      <c r="W9" s="7" t="s">
        <v>109</v>
      </c>
      <c r="X9" s="7" t="s">
        <v>110</v>
      </c>
      <c r="Y9" s="7" t="s">
        <v>111</v>
      </c>
      <c r="Z9" s="8" t="s">
        <v>112</v>
      </c>
    </row>
    <row r="10" spans="1:26" ht="15.75" thickTop="1" x14ac:dyDescent="0.25">
      <c r="E10" t="s">
        <v>113</v>
      </c>
      <c r="G10" s="13"/>
      <c r="I10" s="14"/>
      <c r="J10" s="13"/>
      <c r="M10" s="14"/>
      <c r="N10" s="13"/>
      <c r="Q10" s="14"/>
      <c r="R10" s="13"/>
      <c r="U10" s="14"/>
      <c r="V10" s="15"/>
      <c r="Z10" s="14"/>
    </row>
    <row r="11" spans="1:26" x14ac:dyDescent="0.25">
      <c r="A11" s="16" t="s">
        <v>3</v>
      </c>
      <c r="B11" s="17" t="b">
        <f t="shared" ref="B11:B74" si="0">AND(NOT(ISERROR(FIND(". ",A11))),ISNUMBER(VALUE(LEFT(A11,FIND(". ",A11)-1))))</f>
        <v>1</v>
      </c>
      <c r="C11" s="17" t="b">
        <f>OR(AND(NOT(ISERROR(FIND("m",A12))),ISNUMBER(VALUE(LEFT(A12,FIND("m",A12)-1)))),AND(NOT(ISERROR(FIND("s",A12))),ISNUMBER(VALUE(LEFT(A12,FIND("s",A12)-1)))))</f>
        <v>0</v>
      </c>
      <c r="D11" s="17">
        <f>IF(B11,0,IF(C11,D10+1,D10))</f>
        <v>0</v>
      </c>
      <c r="E11" s="17" t="str">
        <f>IF(B11,A11,E10)</f>
        <v>0. Introduction</v>
      </c>
      <c r="F11" s="18" t="str">
        <f t="shared" ref="F11:F51" si="1">IF(C11,D11&amp;". "&amp;A11,IF(A11="Chapter Quiz",A11,""))</f>
        <v/>
      </c>
      <c r="G11" s="13" t="str">
        <f t="shared" ref="G11:G74" si="2">IF(C11,IF(ISERROR(FIND("s",A12)),LEFT(A12,FIND("m",A12)),LEFT(A12,FIND("s",A12))),"")</f>
        <v/>
      </c>
      <c r="H11">
        <f t="shared" ref="H11:H74" si="3">IF(OR(G11="",ISERROR(FIND("m",G11))),0,VALUE(LEFT(G11,FIND("m",G11)-1)))</f>
        <v>0</v>
      </c>
      <c r="I11" s="14">
        <f>IF(OR(G11="",ISERROR(FIND("s",G11))),0,VALUE(SUBSTITUTE(MID(G11,IF(ISERROR(FIND("m",G11)), 0,FIND("m",G11))+1,LEN(G11)),"s","")))</f>
        <v>0</v>
      </c>
      <c r="J11" s="13">
        <f t="shared" ref="J11:J74" si="4">J10+(H11*60+I11)</f>
        <v>0</v>
      </c>
      <c r="K11">
        <f t="shared" ref="K11:K74" si="5">INT(J11/60/60)</f>
        <v>0</v>
      </c>
      <c r="L11">
        <f t="shared" ref="L11:L74" si="6">INT((J11-(K11*60*60))/60)</f>
        <v>0</v>
      </c>
      <c r="M11" s="14">
        <f t="shared" ref="M11:M74" si="7">J11-(((K11*60)+L11)*60)</f>
        <v>0</v>
      </c>
      <c r="N11" s="13">
        <v>0</v>
      </c>
      <c r="O11">
        <v>0</v>
      </c>
      <c r="P11">
        <v>0</v>
      </c>
      <c r="Q11" s="14">
        <f>(((N11*60)+O11)*60)+P11</f>
        <v>0</v>
      </c>
      <c r="R11" s="13">
        <f>INT(U11/60/60)</f>
        <v>0</v>
      </c>
      <c r="S11">
        <f>INT((U11-(R11*60*60))/60)</f>
        <v>0</v>
      </c>
      <c r="T11">
        <f>U11-(((R11*60)+S11)*60)</f>
        <v>0</v>
      </c>
      <c r="U11" s="14">
        <f>((H11*60)+I11)+Q11</f>
        <v>0</v>
      </c>
      <c r="V11" s="15">
        <v>45107</v>
      </c>
      <c r="Z11" s="14"/>
    </row>
    <row r="12" spans="1:26" hidden="1" x14ac:dyDescent="0.25">
      <c r="A12" s="16"/>
      <c r="B12" s="17" t="b">
        <f t="shared" si="0"/>
        <v>0</v>
      </c>
      <c r="C12" s="17" t="b">
        <f>OR(AND(NOT(ISERROR(FIND("m",A13))),ISNUMBER(VALUE(LEFT(A13,FIND("m",A13)-1)))),AND(NOT(ISERROR(FIND("s",A13))),ISNUMBER(VALUE(LEFT(A13,FIND("s",A13)-1)))))</f>
        <v>0</v>
      </c>
      <c r="D12" s="17">
        <f t="shared" ref="D12:D75" si="8">IF(B12,0,IF(C12,D11+1,D11))</f>
        <v>0</v>
      </c>
      <c r="E12" s="17" t="str">
        <f t="shared" ref="E12:E75" si="9">IF(B12,A12,E11)</f>
        <v>0. Introduction</v>
      </c>
      <c r="F12" s="18" t="str">
        <f t="shared" si="1"/>
        <v/>
      </c>
      <c r="G12" s="13" t="str">
        <f t="shared" si="2"/>
        <v/>
      </c>
      <c r="H12">
        <f t="shared" si="3"/>
        <v>0</v>
      </c>
      <c r="I12" s="14">
        <f t="shared" ref="I12:I75" si="10">IF(OR(G12="",ISERROR(FIND("s",G12))),0,VALUE(SUBSTITUTE(MID(G12,IF(ISERROR(FIND("m",G12)), 0,FIND("m",G12))+1,LEN(G12)),"s","")))</f>
        <v>0</v>
      </c>
      <c r="J12" s="13">
        <f t="shared" si="4"/>
        <v>0</v>
      </c>
      <c r="K12">
        <f t="shared" si="5"/>
        <v>0</v>
      </c>
      <c r="L12">
        <f t="shared" si="6"/>
        <v>0</v>
      </c>
      <c r="M12" s="14">
        <f t="shared" si="7"/>
        <v>0</v>
      </c>
      <c r="N12" s="13">
        <f t="shared" ref="N12:P27" si="11">R11</f>
        <v>0</v>
      </c>
      <c r="O12">
        <f t="shared" si="11"/>
        <v>0</v>
      </c>
      <c r="P12">
        <f t="shared" si="11"/>
        <v>0</v>
      </c>
      <c r="Q12" s="14">
        <f>(((N12*60)+O12)*60)+P12</f>
        <v>0</v>
      </c>
      <c r="R12" s="13">
        <f>INT(U12/60/60)</f>
        <v>0</v>
      </c>
      <c r="S12">
        <f>INT((U12-(R12*60*60))/60)</f>
        <v>0</v>
      </c>
      <c r="T12">
        <f>U12-(((R12*60)+S12)*60)</f>
        <v>0</v>
      </c>
      <c r="U12" s="14">
        <f>((H12*60)+I12)+Q12</f>
        <v>0</v>
      </c>
      <c r="V12" s="15"/>
      <c r="Z12" s="14"/>
    </row>
    <row r="13" spans="1:26" x14ac:dyDescent="0.25">
      <c r="A13" s="16" t="s">
        <v>302</v>
      </c>
      <c r="B13" s="17" t="b">
        <f t="shared" si="0"/>
        <v>0</v>
      </c>
      <c r="C13" s="17" t="b">
        <f>OR(AND(NOT(ISERROR(FIND("m",A14))),ISNUMBER(VALUE(LEFT(A14,FIND("m",A14)-1)))),AND(NOT(ISERROR(FIND("s",A14))),ISNUMBER(VALUE(LEFT(A14,FIND("s",A14)-1)))))</f>
        <v>1</v>
      </c>
      <c r="D13" s="17">
        <f t="shared" si="8"/>
        <v>1</v>
      </c>
      <c r="E13" s="17" t="str">
        <f t="shared" si="9"/>
        <v>0. Introduction</v>
      </c>
      <c r="F13" s="18" t="str">
        <f>SUBSTITUTE(IF(C13,D13&amp;". "&amp;A13,IF(A13="Chapter Quiz",A13,"")),":", " -")</f>
        <v>1. Building blocks of Spring</v>
      </c>
      <c r="G13" s="13" t="str">
        <f t="shared" si="2"/>
        <v>1m 6s</v>
      </c>
      <c r="H13">
        <f t="shared" si="3"/>
        <v>1</v>
      </c>
      <c r="I13" s="14">
        <f t="shared" si="10"/>
        <v>6</v>
      </c>
      <c r="J13" s="13">
        <f t="shared" si="4"/>
        <v>66</v>
      </c>
      <c r="K13">
        <f t="shared" si="5"/>
        <v>0</v>
      </c>
      <c r="L13">
        <f t="shared" si="6"/>
        <v>1</v>
      </c>
      <c r="M13" s="14">
        <f t="shared" si="7"/>
        <v>6</v>
      </c>
      <c r="N13" s="13">
        <f t="shared" si="11"/>
        <v>0</v>
      </c>
      <c r="O13">
        <f t="shared" si="11"/>
        <v>0</v>
      </c>
      <c r="P13">
        <f t="shared" si="11"/>
        <v>0</v>
      </c>
      <c r="Q13" s="14">
        <f>(((N13*60)+O13)*60)+P13</f>
        <v>0</v>
      </c>
      <c r="R13" s="13">
        <f>INT(U13/60/60)</f>
        <v>0</v>
      </c>
      <c r="S13">
        <f>INT((U13-(R13*60*60))/60)</f>
        <v>1</v>
      </c>
      <c r="T13">
        <f>U13-(((R13*60)+S13)*60)</f>
        <v>6</v>
      </c>
      <c r="U13" s="14">
        <f>((H13*60)+I13)+Q13</f>
        <v>66</v>
      </c>
      <c r="V13" s="15" t="str">
        <f>"V:\Tutorials\Programming\Java Spring\Framework in Depth\"&amp;E13&amp;"\"&amp;F13&amp;".mkv"</f>
        <v>V:\Tutorials\Programming\Java Spring\Framework in Depth\0. Introduction\1. Building blocks of Spring.mkv</v>
      </c>
      <c r="Z13" s="14"/>
    </row>
    <row r="14" spans="1:26" hidden="1" x14ac:dyDescent="0.25">
      <c r="A14" s="16" t="s">
        <v>228</v>
      </c>
      <c r="B14" s="17" t="b">
        <f t="shared" si="0"/>
        <v>0</v>
      </c>
      <c r="C14" s="17" t="b">
        <f t="shared" ref="C14:C77" si="12">OR(AND(NOT(ISERROR(FIND("m",A15))),ISNUMBER(VALUE(LEFT(A15,FIND("m",A15)-1)))),AND(NOT(ISERROR(FIND("s",A15))),ISNUMBER(VALUE(LEFT(A15,FIND("s",A15)-1)))))</f>
        <v>0</v>
      </c>
      <c r="D14" s="17">
        <f t="shared" si="8"/>
        <v>1</v>
      </c>
      <c r="E14" s="17" t="str">
        <f t="shared" si="9"/>
        <v>0. Introduction</v>
      </c>
      <c r="F14" s="18" t="str">
        <f t="shared" si="1"/>
        <v/>
      </c>
      <c r="G14" s="13" t="str">
        <f t="shared" si="2"/>
        <v/>
      </c>
      <c r="H14">
        <f t="shared" si="3"/>
        <v>0</v>
      </c>
      <c r="I14" s="14">
        <f t="shared" si="10"/>
        <v>0</v>
      </c>
      <c r="J14" s="13">
        <f t="shared" si="4"/>
        <v>66</v>
      </c>
      <c r="K14">
        <f t="shared" si="5"/>
        <v>0</v>
      </c>
      <c r="L14">
        <f t="shared" si="6"/>
        <v>1</v>
      </c>
      <c r="M14" s="14">
        <f t="shared" si="7"/>
        <v>6</v>
      </c>
      <c r="N14" s="13">
        <f t="shared" si="11"/>
        <v>0</v>
      </c>
      <c r="O14">
        <f t="shared" si="11"/>
        <v>1</v>
      </c>
      <c r="P14">
        <f t="shared" si="11"/>
        <v>6</v>
      </c>
      <c r="Q14" s="14">
        <f t="shared" ref="Q14:Q77" si="13">(((N14*60)+O14)*60)+P14</f>
        <v>66</v>
      </c>
      <c r="R14" s="13">
        <f t="shared" ref="R14:R77" si="14">INT(U14/60/60)</f>
        <v>0</v>
      </c>
      <c r="S14">
        <f t="shared" ref="S14:S77" si="15">INT((U14-(R14*60*60))/60)</f>
        <v>1</v>
      </c>
      <c r="T14">
        <f t="shared" ref="T14:T77" si="16">U14-(((R14*60)+S14)*60)</f>
        <v>6</v>
      </c>
      <c r="U14" s="14">
        <f t="shared" ref="U14:U77" si="17">((H14*60)+I14)+Q14</f>
        <v>66</v>
      </c>
      <c r="V14" s="15"/>
      <c r="Z14" s="14"/>
    </row>
    <row r="15" spans="1:26" hidden="1" x14ac:dyDescent="0.25">
      <c r="A15" s="16" t="s">
        <v>229</v>
      </c>
      <c r="B15" s="17" t="b">
        <f t="shared" si="0"/>
        <v>0</v>
      </c>
      <c r="C15" s="17" t="b">
        <f t="shared" si="12"/>
        <v>0</v>
      </c>
      <c r="D15" s="17">
        <f t="shared" si="8"/>
        <v>1</v>
      </c>
      <c r="E15" s="17" t="str">
        <f t="shared" si="9"/>
        <v>0. Introduction</v>
      </c>
      <c r="F15" s="18" t="str">
        <f t="shared" si="1"/>
        <v/>
      </c>
      <c r="G15" s="13" t="str">
        <f t="shared" si="2"/>
        <v/>
      </c>
      <c r="H15">
        <f t="shared" si="3"/>
        <v>0</v>
      </c>
      <c r="I15" s="14">
        <f t="shared" si="10"/>
        <v>0</v>
      </c>
      <c r="J15" s="13">
        <f t="shared" si="4"/>
        <v>66</v>
      </c>
      <c r="K15">
        <f t="shared" si="5"/>
        <v>0</v>
      </c>
      <c r="L15">
        <f t="shared" si="6"/>
        <v>1</v>
      </c>
      <c r="M15" s="14">
        <f t="shared" si="7"/>
        <v>6</v>
      </c>
      <c r="N15" s="13">
        <f t="shared" si="11"/>
        <v>0</v>
      </c>
      <c r="O15">
        <f t="shared" si="11"/>
        <v>1</v>
      </c>
      <c r="P15">
        <f t="shared" si="11"/>
        <v>6</v>
      </c>
      <c r="Q15" s="14">
        <f t="shared" si="13"/>
        <v>66</v>
      </c>
      <c r="R15" s="13">
        <f t="shared" si="14"/>
        <v>0</v>
      </c>
      <c r="S15">
        <f t="shared" si="15"/>
        <v>1</v>
      </c>
      <c r="T15">
        <f t="shared" si="16"/>
        <v>6</v>
      </c>
      <c r="U15" s="14">
        <f t="shared" si="17"/>
        <v>66</v>
      </c>
      <c r="V15" s="15"/>
      <c r="Z15" s="14"/>
    </row>
    <row r="16" spans="1:26" x14ac:dyDescent="0.25">
      <c r="A16" s="16" t="s">
        <v>230</v>
      </c>
      <c r="B16" s="17" t="b">
        <f t="shared" si="0"/>
        <v>0</v>
      </c>
      <c r="C16" s="17" t="b">
        <f t="shared" si="12"/>
        <v>1</v>
      </c>
      <c r="D16" s="17">
        <f t="shared" si="8"/>
        <v>2</v>
      </c>
      <c r="E16" s="17" t="str">
        <f t="shared" si="9"/>
        <v>0. Introduction</v>
      </c>
      <c r="F16" s="18" t="str">
        <f>SUBSTITUTE(IF(C16,D16&amp;". "&amp;A16,IF(A16="Chapter Quiz",A16,"")),":", " -")</f>
        <v>2. What you should know</v>
      </c>
      <c r="G16" s="13" t="str">
        <f t="shared" si="2"/>
        <v>3m 32s</v>
      </c>
      <c r="H16">
        <f t="shared" si="3"/>
        <v>3</v>
      </c>
      <c r="I16" s="14">
        <f t="shared" si="10"/>
        <v>32</v>
      </c>
      <c r="J16" s="13">
        <f t="shared" si="4"/>
        <v>278</v>
      </c>
      <c r="K16">
        <f t="shared" si="5"/>
        <v>0</v>
      </c>
      <c r="L16">
        <f t="shared" si="6"/>
        <v>4</v>
      </c>
      <c r="M16" s="14">
        <f t="shared" si="7"/>
        <v>38</v>
      </c>
      <c r="N16" s="13">
        <f t="shared" si="11"/>
        <v>0</v>
      </c>
      <c r="O16">
        <f t="shared" si="11"/>
        <v>1</v>
      </c>
      <c r="P16">
        <f t="shared" si="11"/>
        <v>6</v>
      </c>
      <c r="Q16" s="14">
        <f t="shared" si="13"/>
        <v>66</v>
      </c>
      <c r="R16" s="13">
        <f t="shared" si="14"/>
        <v>0</v>
      </c>
      <c r="S16">
        <f t="shared" si="15"/>
        <v>4</v>
      </c>
      <c r="T16">
        <f t="shared" si="16"/>
        <v>38</v>
      </c>
      <c r="U16" s="14">
        <f t="shared" si="17"/>
        <v>278</v>
      </c>
      <c r="V16" s="15" t="str">
        <f>"V:\Tutorials\Programming\Java Spring\Framework in Depth\"&amp;E16&amp;"\"&amp;F16&amp;".mkv"</f>
        <v>V:\Tutorials\Programming\Java Spring\Framework in Depth\0. Introduction\2. What you should know.mkv</v>
      </c>
      <c r="Z16" s="14"/>
    </row>
    <row r="17" spans="1:26" hidden="1" x14ac:dyDescent="0.25">
      <c r="A17" s="16" t="s">
        <v>231</v>
      </c>
      <c r="B17" s="17" t="b">
        <f t="shared" si="0"/>
        <v>0</v>
      </c>
      <c r="C17" s="17" t="b">
        <f t="shared" si="12"/>
        <v>0</v>
      </c>
      <c r="D17" s="17">
        <f t="shared" si="8"/>
        <v>2</v>
      </c>
      <c r="E17" s="17" t="str">
        <f t="shared" si="9"/>
        <v>0. Introduction</v>
      </c>
      <c r="F17" s="18" t="str">
        <f t="shared" si="1"/>
        <v/>
      </c>
      <c r="G17" s="13" t="str">
        <f t="shared" si="2"/>
        <v/>
      </c>
      <c r="H17">
        <f t="shared" si="3"/>
        <v>0</v>
      </c>
      <c r="I17" s="14">
        <f t="shared" si="10"/>
        <v>0</v>
      </c>
      <c r="J17" s="13">
        <f t="shared" si="4"/>
        <v>278</v>
      </c>
      <c r="K17">
        <f t="shared" si="5"/>
        <v>0</v>
      </c>
      <c r="L17">
        <f t="shared" si="6"/>
        <v>4</v>
      </c>
      <c r="M17" s="14">
        <f t="shared" si="7"/>
        <v>38</v>
      </c>
      <c r="N17" s="13">
        <f t="shared" si="11"/>
        <v>0</v>
      </c>
      <c r="O17">
        <f t="shared" si="11"/>
        <v>4</v>
      </c>
      <c r="P17">
        <f t="shared" si="11"/>
        <v>38</v>
      </c>
      <c r="Q17" s="14">
        <f t="shared" si="13"/>
        <v>278</v>
      </c>
      <c r="R17" s="13">
        <f t="shared" si="14"/>
        <v>0</v>
      </c>
      <c r="S17">
        <f t="shared" si="15"/>
        <v>4</v>
      </c>
      <c r="T17">
        <f t="shared" si="16"/>
        <v>38</v>
      </c>
      <c r="U17" s="14">
        <f t="shared" si="17"/>
        <v>278</v>
      </c>
      <c r="V17" s="15"/>
      <c r="Z17" s="14"/>
    </row>
    <row r="18" spans="1:26" hidden="1" x14ac:dyDescent="0.25">
      <c r="A18" s="16" t="s">
        <v>229</v>
      </c>
      <c r="B18" s="17" t="b">
        <f t="shared" si="0"/>
        <v>0</v>
      </c>
      <c r="C18" s="17" t="b">
        <f t="shared" si="12"/>
        <v>0</v>
      </c>
      <c r="D18" s="17">
        <f t="shared" si="8"/>
        <v>2</v>
      </c>
      <c r="E18" s="17" t="str">
        <f t="shared" si="9"/>
        <v>0. Introduction</v>
      </c>
      <c r="F18" s="18" t="str">
        <f t="shared" si="1"/>
        <v/>
      </c>
      <c r="G18" s="13" t="str">
        <f t="shared" si="2"/>
        <v/>
      </c>
      <c r="H18">
        <f t="shared" si="3"/>
        <v>0</v>
      </c>
      <c r="I18" s="14">
        <f t="shared" si="10"/>
        <v>0</v>
      </c>
      <c r="J18" s="13">
        <f t="shared" si="4"/>
        <v>278</v>
      </c>
      <c r="K18">
        <f t="shared" si="5"/>
        <v>0</v>
      </c>
      <c r="L18">
        <f t="shared" si="6"/>
        <v>4</v>
      </c>
      <c r="M18" s="14">
        <f t="shared" si="7"/>
        <v>38</v>
      </c>
      <c r="N18" s="13">
        <f t="shared" si="11"/>
        <v>0</v>
      </c>
      <c r="O18">
        <f t="shared" si="11"/>
        <v>4</v>
      </c>
      <c r="P18">
        <f t="shared" si="11"/>
        <v>38</v>
      </c>
      <c r="Q18" s="14">
        <f t="shared" si="13"/>
        <v>278</v>
      </c>
      <c r="R18" s="13">
        <f t="shared" si="14"/>
        <v>0</v>
      </c>
      <c r="S18">
        <f t="shared" si="15"/>
        <v>4</v>
      </c>
      <c r="T18">
        <f t="shared" si="16"/>
        <v>38</v>
      </c>
      <c r="U18" s="14">
        <f t="shared" si="17"/>
        <v>278</v>
      </c>
      <c r="V18" s="15"/>
      <c r="Z18" s="14"/>
    </row>
    <row r="19" spans="1:26" hidden="1" x14ac:dyDescent="0.25">
      <c r="A19" s="16"/>
      <c r="B19" s="17" t="b">
        <f t="shared" si="0"/>
        <v>0</v>
      </c>
      <c r="C19" s="17" t="b">
        <f t="shared" si="12"/>
        <v>0</v>
      </c>
      <c r="D19" s="17">
        <f t="shared" si="8"/>
        <v>2</v>
      </c>
      <c r="E19" s="17" t="str">
        <f t="shared" si="9"/>
        <v>0. Introduction</v>
      </c>
      <c r="F19" s="18" t="str">
        <f t="shared" si="1"/>
        <v/>
      </c>
      <c r="G19" s="13" t="str">
        <f t="shared" si="2"/>
        <v/>
      </c>
      <c r="H19">
        <f t="shared" si="3"/>
        <v>0</v>
      </c>
      <c r="I19" s="14">
        <f t="shared" si="10"/>
        <v>0</v>
      </c>
      <c r="J19" s="13">
        <f t="shared" si="4"/>
        <v>278</v>
      </c>
      <c r="K19">
        <f t="shared" si="5"/>
        <v>0</v>
      </c>
      <c r="L19">
        <f t="shared" si="6"/>
        <v>4</v>
      </c>
      <c r="M19" s="14">
        <f t="shared" si="7"/>
        <v>38</v>
      </c>
      <c r="N19" s="13">
        <f t="shared" si="11"/>
        <v>0</v>
      </c>
      <c r="O19">
        <f t="shared" si="11"/>
        <v>4</v>
      </c>
      <c r="P19">
        <f t="shared" si="11"/>
        <v>38</v>
      </c>
      <c r="Q19" s="14">
        <f t="shared" si="13"/>
        <v>278</v>
      </c>
      <c r="R19" s="13">
        <f t="shared" si="14"/>
        <v>0</v>
      </c>
      <c r="S19">
        <f t="shared" si="15"/>
        <v>4</v>
      </c>
      <c r="T19">
        <f t="shared" si="16"/>
        <v>38</v>
      </c>
      <c r="U19" s="14">
        <f t="shared" si="17"/>
        <v>278</v>
      </c>
      <c r="V19" s="15"/>
      <c r="Z19" s="14"/>
    </row>
    <row r="20" spans="1:26" hidden="1" x14ac:dyDescent="0.25">
      <c r="A20" s="16" t="s">
        <v>232</v>
      </c>
      <c r="B20" s="17" t="b">
        <f t="shared" si="0"/>
        <v>1</v>
      </c>
      <c r="C20" s="17" t="b">
        <f t="shared" si="12"/>
        <v>0</v>
      </c>
      <c r="D20" s="17">
        <f t="shared" si="8"/>
        <v>0</v>
      </c>
      <c r="E20" s="17" t="str">
        <f t="shared" si="9"/>
        <v>1. Spring Overview</v>
      </c>
      <c r="F20" s="18" t="str">
        <f t="shared" si="1"/>
        <v/>
      </c>
      <c r="G20" s="13" t="str">
        <f t="shared" si="2"/>
        <v/>
      </c>
      <c r="H20">
        <f t="shared" si="3"/>
        <v>0</v>
      </c>
      <c r="I20" s="14">
        <f t="shared" si="10"/>
        <v>0</v>
      </c>
      <c r="J20" s="13">
        <f t="shared" si="4"/>
        <v>278</v>
      </c>
      <c r="K20">
        <f t="shared" si="5"/>
        <v>0</v>
      </c>
      <c r="L20">
        <f t="shared" si="6"/>
        <v>4</v>
      </c>
      <c r="M20" s="14">
        <f t="shared" si="7"/>
        <v>38</v>
      </c>
      <c r="N20" s="13">
        <f t="shared" si="11"/>
        <v>0</v>
      </c>
      <c r="O20">
        <f t="shared" si="11"/>
        <v>4</v>
      </c>
      <c r="P20">
        <f t="shared" si="11"/>
        <v>38</v>
      </c>
      <c r="Q20" s="14">
        <f t="shared" si="13"/>
        <v>278</v>
      </c>
      <c r="R20" s="13">
        <f t="shared" si="14"/>
        <v>0</v>
      </c>
      <c r="S20">
        <f t="shared" si="15"/>
        <v>4</v>
      </c>
      <c r="T20">
        <f t="shared" si="16"/>
        <v>38</v>
      </c>
      <c r="U20" s="14">
        <f t="shared" si="17"/>
        <v>278</v>
      </c>
      <c r="V20" s="15"/>
      <c r="Z20" s="14"/>
    </row>
    <row r="21" spans="1:26" hidden="1" x14ac:dyDescent="0.25">
      <c r="A21" s="16"/>
      <c r="B21" s="17" t="b">
        <f t="shared" si="0"/>
        <v>0</v>
      </c>
      <c r="C21" s="17" t="b">
        <f t="shared" si="12"/>
        <v>0</v>
      </c>
      <c r="D21" s="17">
        <f t="shared" si="8"/>
        <v>0</v>
      </c>
      <c r="E21" s="17" t="str">
        <f t="shared" si="9"/>
        <v>1. Spring Overview</v>
      </c>
      <c r="F21" s="18" t="str">
        <f t="shared" si="1"/>
        <v/>
      </c>
      <c r="G21" s="13" t="str">
        <f t="shared" si="2"/>
        <v/>
      </c>
      <c r="H21">
        <f t="shared" si="3"/>
        <v>0</v>
      </c>
      <c r="I21" s="14">
        <f t="shared" si="10"/>
        <v>0</v>
      </c>
      <c r="J21" s="13">
        <f t="shared" si="4"/>
        <v>278</v>
      </c>
      <c r="K21">
        <f t="shared" si="5"/>
        <v>0</v>
      </c>
      <c r="L21">
        <f t="shared" si="6"/>
        <v>4</v>
      </c>
      <c r="M21" s="14">
        <f t="shared" si="7"/>
        <v>38</v>
      </c>
      <c r="N21" s="13">
        <f t="shared" si="11"/>
        <v>0</v>
      </c>
      <c r="O21">
        <f t="shared" si="11"/>
        <v>4</v>
      </c>
      <c r="P21">
        <f t="shared" si="11"/>
        <v>38</v>
      </c>
      <c r="Q21" s="14">
        <f t="shared" si="13"/>
        <v>278</v>
      </c>
      <c r="R21" s="13">
        <f t="shared" si="14"/>
        <v>0</v>
      </c>
      <c r="S21">
        <f t="shared" si="15"/>
        <v>4</v>
      </c>
      <c r="T21">
        <f t="shared" si="16"/>
        <v>38</v>
      </c>
      <c r="U21" s="14">
        <f t="shared" si="17"/>
        <v>278</v>
      </c>
      <c r="V21" s="15"/>
      <c r="Z21" s="14"/>
    </row>
    <row r="22" spans="1:26" x14ac:dyDescent="0.25">
      <c r="A22" s="16" t="s">
        <v>233</v>
      </c>
      <c r="B22" s="17" t="b">
        <f t="shared" si="0"/>
        <v>0</v>
      </c>
      <c r="C22" s="17" t="b">
        <f t="shared" si="12"/>
        <v>1</v>
      </c>
      <c r="D22" s="17">
        <f t="shared" si="8"/>
        <v>1</v>
      </c>
      <c r="E22" s="17" t="str">
        <f t="shared" si="9"/>
        <v>1. Spring Overview</v>
      </c>
      <c r="F22" s="18" t="str">
        <f>SUBSTITUTE(IF(C22,D22&amp;". "&amp;A22,IF(A22="Chapter Quiz",A22,"")),":", " -")</f>
        <v>1. Introduction to Spring</v>
      </c>
      <c r="G22" s="13" t="str">
        <f t="shared" si="2"/>
        <v>5m 3s</v>
      </c>
      <c r="H22">
        <f t="shared" si="3"/>
        <v>5</v>
      </c>
      <c r="I22" s="14">
        <f t="shared" si="10"/>
        <v>3</v>
      </c>
      <c r="J22" s="13">
        <f t="shared" si="4"/>
        <v>581</v>
      </c>
      <c r="K22">
        <f t="shared" si="5"/>
        <v>0</v>
      </c>
      <c r="L22">
        <f t="shared" si="6"/>
        <v>9</v>
      </c>
      <c r="M22" s="14">
        <f t="shared" si="7"/>
        <v>41</v>
      </c>
      <c r="N22" s="13">
        <f t="shared" si="11"/>
        <v>0</v>
      </c>
      <c r="O22">
        <f t="shared" si="11"/>
        <v>4</v>
      </c>
      <c r="P22">
        <f t="shared" si="11"/>
        <v>38</v>
      </c>
      <c r="Q22" s="14">
        <f t="shared" si="13"/>
        <v>278</v>
      </c>
      <c r="R22" s="13">
        <f t="shared" si="14"/>
        <v>0</v>
      </c>
      <c r="S22">
        <f t="shared" si="15"/>
        <v>9</v>
      </c>
      <c r="T22">
        <f t="shared" si="16"/>
        <v>41</v>
      </c>
      <c r="U22" s="14">
        <f t="shared" si="17"/>
        <v>581</v>
      </c>
      <c r="V22" s="15" t="str">
        <f>"V:\Tutorials\Programming\Java Spring\Framework in Depth\"&amp;E22&amp;"\"&amp;F22&amp;".mkv"</f>
        <v>V:\Tutorials\Programming\Java Spring\Framework in Depth\1. Spring Overview\1. Introduction to Spring.mkv</v>
      </c>
      <c r="Z22" s="14"/>
    </row>
    <row r="23" spans="1:26" hidden="1" x14ac:dyDescent="0.25">
      <c r="A23" s="16" t="s">
        <v>234</v>
      </c>
      <c r="B23" s="17" t="b">
        <f t="shared" si="0"/>
        <v>0</v>
      </c>
      <c r="C23" s="17" t="b">
        <f t="shared" si="12"/>
        <v>0</v>
      </c>
      <c r="D23" s="17">
        <f t="shared" si="8"/>
        <v>1</v>
      </c>
      <c r="E23" s="17" t="str">
        <f t="shared" si="9"/>
        <v>1. Spring Overview</v>
      </c>
      <c r="F23" s="18" t="str">
        <f t="shared" si="1"/>
        <v/>
      </c>
      <c r="G23" s="13" t="str">
        <f t="shared" si="2"/>
        <v/>
      </c>
      <c r="H23">
        <f t="shared" si="3"/>
        <v>0</v>
      </c>
      <c r="I23" s="14">
        <f t="shared" si="10"/>
        <v>0</v>
      </c>
      <c r="J23" s="13">
        <f t="shared" si="4"/>
        <v>581</v>
      </c>
      <c r="K23">
        <f t="shared" si="5"/>
        <v>0</v>
      </c>
      <c r="L23">
        <f t="shared" si="6"/>
        <v>9</v>
      </c>
      <c r="M23" s="14">
        <f t="shared" si="7"/>
        <v>41</v>
      </c>
      <c r="N23" s="13">
        <f t="shared" si="11"/>
        <v>0</v>
      </c>
      <c r="O23">
        <f t="shared" si="11"/>
        <v>9</v>
      </c>
      <c r="P23">
        <f t="shared" si="11"/>
        <v>41</v>
      </c>
      <c r="Q23" s="14">
        <f t="shared" si="13"/>
        <v>581</v>
      </c>
      <c r="R23" s="13">
        <f t="shared" si="14"/>
        <v>0</v>
      </c>
      <c r="S23">
        <f t="shared" si="15"/>
        <v>9</v>
      </c>
      <c r="T23">
        <f t="shared" si="16"/>
        <v>41</v>
      </c>
      <c r="U23" s="14">
        <f t="shared" si="17"/>
        <v>581</v>
      </c>
      <c r="V23" s="15"/>
      <c r="Z23" s="14"/>
    </row>
    <row r="24" spans="1:26" hidden="1" x14ac:dyDescent="0.25">
      <c r="A24" s="16" t="s">
        <v>229</v>
      </c>
      <c r="B24" s="17" t="b">
        <f t="shared" si="0"/>
        <v>0</v>
      </c>
      <c r="C24" s="17" t="b">
        <f t="shared" si="12"/>
        <v>0</v>
      </c>
      <c r="D24" s="17">
        <f t="shared" si="8"/>
        <v>1</v>
      </c>
      <c r="E24" s="17" t="str">
        <f t="shared" si="9"/>
        <v>1. Spring Overview</v>
      </c>
      <c r="F24" s="18" t="str">
        <f t="shared" si="1"/>
        <v/>
      </c>
      <c r="G24" s="13" t="str">
        <f t="shared" si="2"/>
        <v/>
      </c>
      <c r="H24">
        <f t="shared" si="3"/>
        <v>0</v>
      </c>
      <c r="I24" s="14">
        <f t="shared" si="10"/>
        <v>0</v>
      </c>
      <c r="J24" s="13">
        <f t="shared" si="4"/>
        <v>581</v>
      </c>
      <c r="K24">
        <f t="shared" si="5"/>
        <v>0</v>
      </c>
      <c r="L24">
        <f t="shared" si="6"/>
        <v>9</v>
      </c>
      <c r="M24" s="14">
        <f t="shared" si="7"/>
        <v>41</v>
      </c>
      <c r="N24" s="13">
        <f t="shared" si="11"/>
        <v>0</v>
      </c>
      <c r="O24">
        <f t="shared" si="11"/>
        <v>9</v>
      </c>
      <c r="P24">
        <f t="shared" si="11"/>
        <v>41</v>
      </c>
      <c r="Q24" s="14">
        <f t="shared" si="13"/>
        <v>581</v>
      </c>
      <c r="R24" s="13">
        <f t="shared" si="14"/>
        <v>0</v>
      </c>
      <c r="S24">
        <f t="shared" si="15"/>
        <v>9</v>
      </c>
      <c r="T24">
        <f t="shared" si="16"/>
        <v>41</v>
      </c>
      <c r="U24" s="14">
        <f t="shared" si="17"/>
        <v>581</v>
      </c>
      <c r="V24" s="15"/>
      <c r="Z24" s="14"/>
    </row>
    <row r="25" spans="1:26" x14ac:dyDescent="0.25">
      <c r="A25" s="16" t="s">
        <v>235</v>
      </c>
      <c r="B25" s="17" t="b">
        <f t="shared" si="0"/>
        <v>0</v>
      </c>
      <c r="C25" s="17" t="b">
        <f t="shared" si="12"/>
        <v>1</v>
      </c>
      <c r="D25" s="17">
        <f t="shared" si="8"/>
        <v>2</v>
      </c>
      <c r="E25" s="17" t="str">
        <f t="shared" si="9"/>
        <v>1. Spring Overview</v>
      </c>
      <c r="F25" s="18" t="str">
        <f>SUBSTITUTE(IF(C25,D25&amp;". "&amp;A25,IF(A25="Chapter Quiz",A25,"")),":", " -")</f>
        <v>2. The inversion of control (IoC) container</v>
      </c>
      <c r="G25" s="13" t="str">
        <f t="shared" si="2"/>
        <v>5m 26s</v>
      </c>
      <c r="H25">
        <f t="shared" si="3"/>
        <v>5</v>
      </c>
      <c r="I25" s="14">
        <f t="shared" si="10"/>
        <v>26</v>
      </c>
      <c r="J25" s="13">
        <f t="shared" si="4"/>
        <v>907</v>
      </c>
      <c r="K25">
        <f t="shared" si="5"/>
        <v>0</v>
      </c>
      <c r="L25">
        <f t="shared" si="6"/>
        <v>15</v>
      </c>
      <c r="M25" s="14">
        <f t="shared" si="7"/>
        <v>7</v>
      </c>
      <c r="N25" s="13">
        <f t="shared" si="11"/>
        <v>0</v>
      </c>
      <c r="O25">
        <f t="shared" si="11"/>
        <v>9</v>
      </c>
      <c r="P25">
        <f t="shared" si="11"/>
        <v>41</v>
      </c>
      <c r="Q25" s="14">
        <f t="shared" si="13"/>
        <v>581</v>
      </c>
      <c r="R25" s="13">
        <f t="shared" si="14"/>
        <v>0</v>
      </c>
      <c r="S25">
        <f t="shared" si="15"/>
        <v>15</v>
      </c>
      <c r="T25">
        <f t="shared" si="16"/>
        <v>7</v>
      </c>
      <c r="U25" s="14">
        <f t="shared" si="17"/>
        <v>907</v>
      </c>
      <c r="V25" s="15" t="str">
        <f>"V:\Tutorials\Programming\Java Spring\Framework in Depth\"&amp;E25&amp;"\"&amp;F25&amp;".mkv"</f>
        <v>V:\Tutorials\Programming\Java Spring\Framework in Depth\1. Spring Overview\2. The inversion of control (IoC) container.mkv</v>
      </c>
      <c r="Z25" s="14"/>
    </row>
    <row r="26" spans="1:26" hidden="1" x14ac:dyDescent="0.25">
      <c r="A26" s="16" t="s">
        <v>236</v>
      </c>
      <c r="B26" s="17" t="b">
        <f t="shared" si="0"/>
        <v>0</v>
      </c>
      <c r="C26" s="17" t="b">
        <f t="shared" si="12"/>
        <v>0</v>
      </c>
      <c r="D26" s="17">
        <f t="shared" si="8"/>
        <v>2</v>
      </c>
      <c r="E26" s="17" t="str">
        <f t="shared" si="9"/>
        <v>1. Spring Overview</v>
      </c>
      <c r="F26" s="18" t="str">
        <f t="shared" si="1"/>
        <v/>
      </c>
      <c r="G26" s="13" t="str">
        <f t="shared" si="2"/>
        <v/>
      </c>
      <c r="H26">
        <f t="shared" si="3"/>
        <v>0</v>
      </c>
      <c r="I26" s="14">
        <f t="shared" si="10"/>
        <v>0</v>
      </c>
      <c r="J26" s="13">
        <f t="shared" si="4"/>
        <v>907</v>
      </c>
      <c r="K26">
        <f t="shared" si="5"/>
        <v>0</v>
      </c>
      <c r="L26">
        <f t="shared" si="6"/>
        <v>15</v>
      </c>
      <c r="M26" s="14">
        <f t="shared" si="7"/>
        <v>7</v>
      </c>
      <c r="N26" s="13">
        <f t="shared" si="11"/>
        <v>0</v>
      </c>
      <c r="O26">
        <f t="shared" si="11"/>
        <v>15</v>
      </c>
      <c r="P26">
        <f t="shared" si="11"/>
        <v>7</v>
      </c>
      <c r="Q26" s="14">
        <f t="shared" si="13"/>
        <v>907</v>
      </c>
      <c r="R26" s="13">
        <f t="shared" si="14"/>
        <v>0</v>
      </c>
      <c r="S26">
        <f t="shared" si="15"/>
        <v>15</v>
      </c>
      <c r="T26">
        <f t="shared" si="16"/>
        <v>7</v>
      </c>
      <c r="U26" s="14">
        <f t="shared" si="17"/>
        <v>907</v>
      </c>
      <c r="V26" s="15"/>
      <c r="Z26" s="14"/>
    </row>
    <row r="27" spans="1:26" hidden="1" x14ac:dyDescent="0.25">
      <c r="A27" s="16" t="s">
        <v>229</v>
      </c>
      <c r="B27" s="17" t="b">
        <f t="shared" si="0"/>
        <v>0</v>
      </c>
      <c r="C27" s="17" t="b">
        <f t="shared" si="12"/>
        <v>0</v>
      </c>
      <c r="D27" s="17">
        <f t="shared" si="8"/>
        <v>2</v>
      </c>
      <c r="E27" s="17" t="str">
        <f t="shared" si="9"/>
        <v>1. Spring Overview</v>
      </c>
      <c r="F27" s="18" t="str">
        <f t="shared" si="1"/>
        <v/>
      </c>
      <c r="G27" s="13" t="str">
        <f t="shared" si="2"/>
        <v/>
      </c>
      <c r="H27">
        <f t="shared" si="3"/>
        <v>0</v>
      </c>
      <c r="I27" s="14">
        <f t="shared" si="10"/>
        <v>0</v>
      </c>
      <c r="J27" s="13">
        <f t="shared" si="4"/>
        <v>907</v>
      </c>
      <c r="K27">
        <f t="shared" si="5"/>
        <v>0</v>
      </c>
      <c r="L27">
        <f t="shared" si="6"/>
        <v>15</v>
      </c>
      <c r="M27" s="14">
        <f t="shared" si="7"/>
        <v>7</v>
      </c>
      <c r="N27" s="13">
        <f t="shared" si="11"/>
        <v>0</v>
      </c>
      <c r="O27">
        <f t="shared" si="11"/>
        <v>15</v>
      </c>
      <c r="P27">
        <f t="shared" si="11"/>
        <v>7</v>
      </c>
      <c r="Q27" s="14">
        <f t="shared" si="13"/>
        <v>907</v>
      </c>
      <c r="R27" s="13">
        <f t="shared" si="14"/>
        <v>0</v>
      </c>
      <c r="S27">
        <f t="shared" si="15"/>
        <v>15</v>
      </c>
      <c r="T27">
        <f t="shared" si="16"/>
        <v>7</v>
      </c>
      <c r="U27" s="14">
        <f t="shared" si="17"/>
        <v>907</v>
      </c>
      <c r="V27" s="15"/>
      <c r="Z27" s="14"/>
    </row>
    <row r="28" spans="1:26" hidden="1" x14ac:dyDescent="0.25">
      <c r="A28" s="16"/>
      <c r="B28" s="17" t="b">
        <f t="shared" si="0"/>
        <v>0</v>
      </c>
      <c r="C28" s="17" t="b">
        <f t="shared" si="12"/>
        <v>0</v>
      </c>
      <c r="D28" s="17">
        <f t="shared" si="8"/>
        <v>2</v>
      </c>
      <c r="E28" s="17" t="str">
        <f t="shared" si="9"/>
        <v>1. Spring Overview</v>
      </c>
      <c r="F28" s="18" t="str">
        <f t="shared" si="1"/>
        <v/>
      </c>
      <c r="G28" s="13" t="str">
        <f t="shared" si="2"/>
        <v/>
      </c>
      <c r="H28">
        <f t="shared" si="3"/>
        <v>0</v>
      </c>
      <c r="I28" s="14">
        <f t="shared" si="10"/>
        <v>0</v>
      </c>
      <c r="J28" s="13">
        <f t="shared" si="4"/>
        <v>907</v>
      </c>
      <c r="K28">
        <f t="shared" si="5"/>
        <v>0</v>
      </c>
      <c r="L28">
        <f t="shared" si="6"/>
        <v>15</v>
      </c>
      <c r="M28" s="14">
        <f t="shared" si="7"/>
        <v>7</v>
      </c>
      <c r="N28" s="13">
        <f t="shared" ref="N28:P91" si="18">R27</f>
        <v>0</v>
      </c>
      <c r="O28">
        <f t="shared" si="18"/>
        <v>15</v>
      </c>
      <c r="P28">
        <f t="shared" si="18"/>
        <v>7</v>
      </c>
      <c r="Q28" s="14">
        <f t="shared" si="13"/>
        <v>907</v>
      </c>
      <c r="R28" s="13">
        <f t="shared" si="14"/>
        <v>0</v>
      </c>
      <c r="S28">
        <f t="shared" si="15"/>
        <v>15</v>
      </c>
      <c r="T28">
        <f t="shared" si="16"/>
        <v>7</v>
      </c>
      <c r="U28" s="14">
        <f t="shared" si="17"/>
        <v>907</v>
      </c>
      <c r="V28" s="15"/>
      <c r="Z28" s="14"/>
    </row>
    <row r="29" spans="1:26" hidden="1" x14ac:dyDescent="0.25">
      <c r="A29" s="16" t="s">
        <v>237</v>
      </c>
      <c r="B29" s="17" t="b">
        <f t="shared" si="0"/>
        <v>1</v>
      </c>
      <c r="C29" s="17" t="b">
        <f t="shared" si="12"/>
        <v>0</v>
      </c>
      <c r="D29" s="17">
        <f t="shared" si="8"/>
        <v>0</v>
      </c>
      <c r="E29" s="17" t="str">
        <f t="shared" si="9"/>
        <v>2. Configuring the ApplicationContext</v>
      </c>
      <c r="F29" s="18" t="str">
        <f t="shared" si="1"/>
        <v/>
      </c>
      <c r="G29" s="13" t="str">
        <f t="shared" si="2"/>
        <v/>
      </c>
      <c r="H29">
        <f t="shared" si="3"/>
        <v>0</v>
      </c>
      <c r="I29" s="14">
        <f t="shared" si="10"/>
        <v>0</v>
      </c>
      <c r="J29" s="13">
        <f t="shared" si="4"/>
        <v>907</v>
      </c>
      <c r="K29">
        <f t="shared" si="5"/>
        <v>0</v>
      </c>
      <c r="L29">
        <f t="shared" si="6"/>
        <v>15</v>
      </c>
      <c r="M29" s="14">
        <f t="shared" si="7"/>
        <v>7</v>
      </c>
      <c r="N29" s="13">
        <f t="shared" si="18"/>
        <v>0</v>
      </c>
      <c r="O29">
        <f t="shared" si="18"/>
        <v>15</v>
      </c>
      <c r="P29">
        <f t="shared" si="18"/>
        <v>7</v>
      </c>
      <c r="Q29" s="14">
        <f t="shared" si="13"/>
        <v>907</v>
      </c>
      <c r="R29" s="13">
        <f t="shared" si="14"/>
        <v>0</v>
      </c>
      <c r="S29">
        <f t="shared" si="15"/>
        <v>15</v>
      </c>
      <c r="T29">
        <f t="shared" si="16"/>
        <v>7</v>
      </c>
      <c r="U29" s="14">
        <f t="shared" si="17"/>
        <v>907</v>
      </c>
      <c r="V29" s="15"/>
      <c r="Z29" s="14"/>
    </row>
    <row r="30" spans="1:26" hidden="1" x14ac:dyDescent="0.25">
      <c r="A30" s="16"/>
      <c r="B30" s="17" t="b">
        <f t="shared" si="0"/>
        <v>0</v>
      </c>
      <c r="C30" s="17" t="b">
        <f t="shared" si="12"/>
        <v>0</v>
      </c>
      <c r="D30" s="17">
        <f t="shared" si="8"/>
        <v>0</v>
      </c>
      <c r="E30" s="17" t="str">
        <f t="shared" si="9"/>
        <v>2. Configuring the ApplicationContext</v>
      </c>
      <c r="F30" s="18" t="str">
        <f t="shared" si="1"/>
        <v/>
      </c>
      <c r="G30" s="13" t="str">
        <f t="shared" si="2"/>
        <v/>
      </c>
      <c r="H30">
        <f t="shared" si="3"/>
        <v>0</v>
      </c>
      <c r="I30" s="14">
        <f t="shared" si="10"/>
        <v>0</v>
      </c>
      <c r="J30" s="13">
        <f t="shared" si="4"/>
        <v>907</v>
      </c>
      <c r="K30">
        <f t="shared" si="5"/>
        <v>0</v>
      </c>
      <c r="L30">
        <f t="shared" si="6"/>
        <v>15</v>
      </c>
      <c r="M30" s="14">
        <f t="shared" si="7"/>
        <v>7</v>
      </c>
      <c r="N30" s="13">
        <f t="shared" si="18"/>
        <v>0</v>
      </c>
      <c r="O30">
        <f t="shared" si="18"/>
        <v>15</v>
      </c>
      <c r="P30">
        <f t="shared" si="18"/>
        <v>7</v>
      </c>
      <c r="Q30" s="14">
        <f t="shared" si="13"/>
        <v>907</v>
      </c>
      <c r="R30" s="13">
        <f t="shared" si="14"/>
        <v>0</v>
      </c>
      <c r="S30">
        <f t="shared" si="15"/>
        <v>15</v>
      </c>
      <c r="T30">
        <f t="shared" si="16"/>
        <v>7</v>
      </c>
      <c r="U30" s="14">
        <f t="shared" si="17"/>
        <v>907</v>
      </c>
      <c r="V30" s="15"/>
      <c r="Z30" s="14"/>
    </row>
    <row r="31" spans="1:26" x14ac:dyDescent="0.25">
      <c r="A31" s="16" t="s">
        <v>238</v>
      </c>
      <c r="B31" s="17" t="b">
        <f t="shared" si="0"/>
        <v>0</v>
      </c>
      <c r="C31" s="17" t="b">
        <f t="shared" si="12"/>
        <v>1</v>
      </c>
      <c r="D31" s="17">
        <f t="shared" si="8"/>
        <v>1</v>
      </c>
      <c r="E31" s="17" t="str">
        <f t="shared" si="9"/>
        <v>2. Configuring the ApplicationContext</v>
      </c>
      <c r="F31" s="18" t="str">
        <f>SUBSTITUTE(IF(C31,D31&amp;". "&amp;A31,IF(A31="Chapter Quiz",A31,"")),":", " -")</f>
        <v>1. Introduction to the ApplicationContext</v>
      </c>
      <c r="G31" s="13" t="str">
        <f t="shared" si="2"/>
        <v>4m 22s</v>
      </c>
      <c r="H31">
        <f t="shared" si="3"/>
        <v>4</v>
      </c>
      <c r="I31" s="14">
        <f t="shared" si="10"/>
        <v>22</v>
      </c>
      <c r="J31" s="13">
        <f t="shared" si="4"/>
        <v>1169</v>
      </c>
      <c r="K31">
        <f t="shared" si="5"/>
        <v>0</v>
      </c>
      <c r="L31">
        <f t="shared" si="6"/>
        <v>19</v>
      </c>
      <c r="M31" s="14">
        <f t="shared" si="7"/>
        <v>29</v>
      </c>
      <c r="N31" s="13">
        <f t="shared" si="18"/>
        <v>0</v>
      </c>
      <c r="O31">
        <f t="shared" si="18"/>
        <v>15</v>
      </c>
      <c r="P31">
        <v>30</v>
      </c>
      <c r="Q31" s="14">
        <f t="shared" si="13"/>
        <v>930</v>
      </c>
      <c r="R31" s="13">
        <f t="shared" si="14"/>
        <v>0</v>
      </c>
      <c r="S31">
        <f t="shared" si="15"/>
        <v>19</v>
      </c>
      <c r="T31">
        <f t="shared" si="16"/>
        <v>52</v>
      </c>
      <c r="U31" s="14">
        <f t="shared" si="17"/>
        <v>1192</v>
      </c>
      <c r="V31" s="15" t="str">
        <f>"V:\Tutorials\Programming\Java Spring\Framework in Depth\"&amp;E31&amp;"\"&amp;F31&amp;".mkv"</f>
        <v>V:\Tutorials\Programming\Java Spring\Framework in Depth\2. Configuring the ApplicationContext\1. Introduction to the ApplicationContext.mkv</v>
      </c>
      <c r="Z31" s="14"/>
    </row>
    <row r="32" spans="1:26" hidden="1" x14ac:dyDescent="0.25">
      <c r="A32" s="16" t="s">
        <v>239</v>
      </c>
      <c r="B32" s="17" t="b">
        <f t="shared" si="0"/>
        <v>0</v>
      </c>
      <c r="C32" s="17" t="b">
        <f t="shared" si="12"/>
        <v>0</v>
      </c>
      <c r="D32" s="17">
        <f t="shared" si="8"/>
        <v>1</v>
      </c>
      <c r="E32" s="17" t="str">
        <f t="shared" si="9"/>
        <v>2. Configuring the ApplicationContext</v>
      </c>
      <c r="F32" s="18" t="str">
        <f t="shared" si="1"/>
        <v/>
      </c>
      <c r="G32" s="13" t="str">
        <f t="shared" si="2"/>
        <v/>
      </c>
      <c r="H32">
        <f t="shared" si="3"/>
        <v>0</v>
      </c>
      <c r="I32" s="14">
        <f t="shared" si="10"/>
        <v>0</v>
      </c>
      <c r="J32" s="13">
        <f t="shared" si="4"/>
        <v>1169</v>
      </c>
      <c r="K32">
        <f t="shared" si="5"/>
        <v>0</v>
      </c>
      <c r="L32">
        <f t="shared" si="6"/>
        <v>19</v>
      </c>
      <c r="M32" s="14">
        <f t="shared" si="7"/>
        <v>29</v>
      </c>
      <c r="N32" s="13">
        <f t="shared" si="18"/>
        <v>0</v>
      </c>
      <c r="O32">
        <f t="shared" si="18"/>
        <v>19</v>
      </c>
      <c r="P32">
        <f t="shared" si="18"/>
        <v>52</v>
      </c>
      <c r="Q32" s="14">
        <f t="shared" si="13"/>
        <v>1192</v>
      </c>
      <c r="R32" s="13">
        <f t="shared" si="14"/>
        <v>0</v>
      </c>
      <c r="S32">
        <f t="shared" si="15"/>
        <v>19</v>
      </c>
      <c r="T32">
        <f t="shared" si="16"/>
        <v>52</v>
      </c>
      <c r="U32" s="14">
        <f t="shared" si="17"/>
        <v>1192</v>
      </c>
      <c r="V32" s="15"/>
      <c r="Z32" s="14"/>
    </row>
    <row r="33" spans="1:26" hidden="1" x14ac:dyDescent="0.25">
      <c r="A33" s="16" t="s">
        <v>229</v>
      </c>
      <c r="B33" s="17" t="b">
        <f t="shared" si="0"/>
        <v>0</v>
      </c>
      <c r="C33" s="17" t="b">
        <f t="shared" si="12"/>
        <v>0</v>
      </c>
      <c r="D33" s="17">
        <f t="shared" si="8"/>
        <v>1</v>
      </c>
      <c r="E33" s="17" t="str">
        <f t="shared" si="9"/>
        <v>2. Configuring the ApplicationContext</v>
      </c>
      <c r="F33" s="18" t="str">
        <f t="shared" si="1"/>
        <v/>
      </c>
      <c r="G33" s="13" t="str">
        <f t="shared" si="2"/>
        <v/>
      </c>
      <c r="H33">
        <f t="shared" si="3"/>
        <v>0</v>
      </c>
      <c r="I33" s="14">
        <f t="shared" si="10"/>
        <v>0</v>
      </c>
      <c r="J33" s="13">
        <f t="shared" si="4"/>
        <v>1169</v>
      </c>
      <c r="K33">
        <f t="shared" si="5"/>
        <v>0</v>
      </c>
      <c r="L33">
        <f t="shared" si="6"/>
        <v>19</v>
      </c>
      <c r="M33" s="14">
        <f t="shared" si="7"/>
        <v>29</v>
      </c>
      <c r="N33" s="13">
        <f t="shared" si="18"/>
        <v>0</v>
      </c>
      <c r="O33">
        <f t="shared" si="18"/>
        <v>19</v>
      </c>
      <c r="P33">
        <f t="shared" si="18"/>
        <v>52</v>
      </c>
      <c r="Q33" s="14">
        <f t="shared" si="13"/>
        <v>1192</v>
      </c>
      <c r="R33" s="13">
        <f t="shared" si="14"/>
        <v>0</v>
      </c>
      <c r="S33">
        <f t="shared" si="15"/>
        <v>19</v>
      </c>
      <c r="T33">
        <f t="shared" si="16"/>
        <v>52</v>
      </c>
      <c r="U33" s="14">
        <f t="shared" si="17"/>
        <v>1192</v>
      </c>
      <c r="V33" s="15"/>
      <c r="Z33" s="14"/>
    </row>
    <row r="34" spans="1:26" x14ac:dyDescent="0.25">
      <c r="A34" s="16" t="s">
        <v>240</v>
      </c>
      <c r="B34" s="17" t="b">
        <f t="shared" si="0"/>
        <v>0</v>
      </c>
      <c r="C34" s="17" t="b">
        <f t="shared" si="12"/>
        <v>1</v>
      </c>
      <c r="D34" s="17">
        <f t="shared" si="8"/>
        <v>2</v>
      </c>
      <c r="E34" s="17" t="str">
        <f t="shared" si="9"/>
        <v>2. Configuring the ApplicationContext</v>
      </c>
      <c r="F34" s="18" t="str">
        <f>SUBSTITUTE(IF(C34,D34&amp;". "&amp;A34,IF(A34="Chapter Quiz",A34,"")),":", " -")</f>
        <v>2. Configuration of Spring with Java</v>
      </c>
      <c r="G34" s="13" t="str">
        <f t="shared" si="2"/>
        <v>8m 5s</v>
      </c>
      <c r="H34">
        <f t="shared" si="3"/>
        <v>8</v>
      </c>
      <c r="I34" s="14">
        <f t="shared" si="10"/>
        <v>5</v>
      </c>
      <c r="J34" s="13">
        <f t="shared" si="4"/>
        <v>1654</v>
      </c>
      <c r="K34">
        <f t="shared" si="5"/>
        <v>0</v>
      </c>
      <c r="L34">
        <f t="shared" si="6"/>
        <v>27</v>
      </c>
      <c r="M34" s="14">
        <f t="shared" si="7"/>
        <v>34</v>
      </c>
      <c r="N34" s="13">
        <f t="shared" si="18"/>
        <v>0</v>
      </c>
      <c r="O34">
        <f t="shared" si="18"/>
        <v>19</v>
      </c>
      <c r="P34">
        <f t="shared" si="18"/>
        <v>52</v>
      </c>
      <c r="Q34" s="14">
        <f t="shared" si="13"/>
        <v>1192</v>
      </c>
      <c r="R34" s="13">
        <f t="shared" si="14"/>
        <v>0</v>
      </c>
      <c r="S34">
        <f t="shared" si="15"/>
        <v>27</v>
      </c>
      <c r="T34">
        <f t="shared" si="16"/>
        <v>57</v>
      </c>
      <c r="U34" s="14">
        <f t="shared" si="17"/>
        <v>1677</v>
      </c>
      <c r="V34" s="15" t="str">
        <f>"V:\Tutorials\Programming\Java Spring\Framework in Depth\"&amp;E34&amp;"\"&amp;F34&amp;".mkv"</f>
        <v>V:\Tutorials\Programming\Java Spring\Framework in Depth\2. Configuring the ApplicationContext\2. Configuration of Spring with Java.mkv</v>
      </c>
      <c r="Z34" s="14"/>
    </row>
    <row r="35" spans="1:26" hidden="1" x14ac:dyDescent="0.25">
      <c r="A35" s="16" t="s">
        <v>241</v>
      </c>
      <c r="B35" s="17" t="b">
        <f t="shared" si="0"/>
        <v>0</v>
      </c>
      <c r="C35" s="17" t="b">
        <f t="shared" si="12"/>
        <v>0</v>
      </c>
      <c r="D35" s="17">
        <f t="shared" si="8"/>
        <v>2</v>
      </c>
      <c r="E35" s="17" t="str">
        <f t="shared" si="9"/>
        <v>2. Configuring the ApplicationContext</v>
      </c>
      <c r="F35" s="18" t="str">
        <f t="shared" si="1"/>
        <v/>
      </c>
      <c r="G35" s="13" t="str">
        <f t="shared" si="2"/>
        <v/>
      </c>
      <c r="H35">
        <f t="shared" si="3"/>
        <v>0</v>
      </c>
      <c r="I35" s="14">
        <f t="shared" si="10"/>
        <v>0</v>
      </c>
      <c r="J35" s="13">
        <f t="shared" si="4"/>
        <v>1654</v>
      </c>
      <c r="K35">
        <f t="shared" si="5"/>
        <v>0</v>
      </c>
      <c r="L35">
        <f t="shared" si="6"/>
        <v>27</v>
      </c>
      <c r="M35" s="14">
        <f t="shared" si="7"/>
        <v>34</v>
      </c>
      <c r="N35" s="13">
        <f t="shared" si="18"/>
        <v>0</v>
      </c>
      <c r="O35">
        <f t="shared" si="18"/>
        <v>27</v>
      </c>
      <c r="P35">
        <f t="shared" si="18"/>
        <v>57</v>
      </c>
      <c r="Q35" s="14">
        <f t="shared" si="13"/>
        <v>1677</v>
      </c>
      <c r="R35" s="13">
        <f t="shared" si="14"/>
        <v>0</v>
      </c>
      <c r="S35">
        <f t="shared" si="15"/>
        <v>27</v>
      </c>
      <c r="T35">
        <f t="shared" si="16"/>
        <v>57</v>
      </c>
      <c r="U35" s="14">
        <f t="shared" si="17"/>
        <v>1677</v>
      </c>
      <c r="V35" s="15"/>
      <c r="Z35" s="14"/>
    </row>
    <row r="36" spans="1:26" hidden="1" x14ac:dyDescent="0.25">
      <c r="A36" s="16" t="s">
        <v>229</v>
      </c>
      <c r="B36" s="17" t="b">
        <f t="shared" si="0"/>
        <v>0</v>
      </c>
      <c r="C36" s="17" t="b">
        <f t="shared" si="12"/>
        <v>0</v>
      </c>
      <c r="D36" s="17">
        <f t="shared" si="8"/>
        <v>2</v>
      </c>
      <c r="E36" s="17" t="str">
        <f t="shared" si="9"/>
        <v>2. Configuring the ApplicationContext</v>
      </c>
      <c r="F36" s="18" t="str">
        <f t="shared" si="1"/>
        <v/>
      </c>
      <c r="G36" s="13" t="str">
        <f t="shared" si="2"/>
        <v/>
      </c>
      <c r="H36">
        <f t="shared" si="3"/>
        <v>0</v>
      </c>
      <c r="I36" s="14">
        <f t="shared" si="10"/>
        <v>0</v>
      </c>
      <c r="J36" s="13">
        <f t="shared" si="4"/>
        <v>1654</v>
      </c>
      <c r="K36">
        <f t="shared" si="5"/>
        <v>0</v>
      </c>
      <c r="L36">
        <f t="shared" si="6"/>
        <v>27</v>
      </c>
      <c r="M36" s="14">
        <f t="shared" si="7"/>
        <v>34</v>
      </c>
      <c r="N36" s="13">
        <f t="shared" si="18"/>
        <v>0</v>
      </c>
      <c r="O36">
        <f t="shared" si="18"/>
        <v>27</v>
      </c>
      <c r="P36">
        <f t="shared" si="18"/>
        <v>57</v>
      </c>
      <c r="Q36" s="14">
        <f t="shared" si="13"/>
        <v>1677</v>
      </c>
      <c r="R36" s="13">
        <f t="shared" si="14"/>
        <v>0</v>
      </c>
      <c r="S36">
        <f t="shared" si="15"/>
        <v>27</v>
      </c>
      <c r="T36">
        <f t="shared" si="16"/>
        <v>57</v>
      </c>
      <c r="U36" s="14">
        <f t="shared" si="17"/>
        <v>1677</v>
      </c>
      <c r="V36" s="15"/>
      <c r="Z36" s="14"/>
    </row>
    <row r="37" spans="1:26" x14ac:dyDescent="0.25">
      <c r="A37" s="16" t="s">
        <v>242</v>
      </c>
      <c r="B37" s="17" t="b">
        <f t="shared" si="0"/>
        <v>0</v>
      </c>
      <c r="C37" s="17" t="b">
        <f t="shared" si="12"/>
        <v>1</v>
      </c>
      <c r="D37" s="17">
        <f t="shared" si="8"/>
        <v>3</v>
      </c>
      <c r="E37" s="17" t="str">
        <f t="shared" si="9"/>
        <v>2. Configuring the ApplicationContext</v>
      </c>
      <c r="F37" s="18" t="str">
        <f>SUBSTITUTE(IF(C37,D37&amp;". "&amp;A37,IF(A37="Chapter Quiz",A37,"")),":", " -")</f>
        <v>3. Work with the environment</v>
      </c>
      <c r="G37" s="13" t="str">
        <f t="shared" si="2"/>
        <v>5m 57s</v>
      </c>
      <c r="H37">
        <f t="shared" si="3"/>
        <v>5</v>
      </c>
      <c r="I37" s="14">
        <f t="shared" si="10"/>
        <v>57</v>
      </c>
      <c r="J37" s="13">
        <f t="shared" si="4"/>
        <v>2011</v>
      </c>
      <c r="K37">
        <f t="shared" si="5"/>
        <v>0</v>
      </c>
      <c r="L37">
        <f t="shared" si="6"/>
        <v>33</v>
      </c>
      <c r="M37" s="14">
        <f t="shared" si="7"/>
        <v>31</v>
      </c>
      <c r="N37" s="13">
        <f t="shared" si="18"/>
        <v>0</v>
      </c>
      <c r="O37">
        <v>28</v>
      </c>
      <c r="P37">
        <v>8</v>
      </c>
      <c r="Q37" s="14">
        <f t="shared" si="13"/>
        <v>1688</v>
      </c>
      <c r="R37" s="13">
        <f t="shared" si="14"/>
        <v>0</v>
      </c>
      <c r="S37">
        <f t="shared" si="15"/>
        <v>34</v>
      </c>
      <c r="T37">
        <f t="shared" si="16"/>
        <v>5</v>
      </c>
      <c r="U37" s="14">
        <f t="shared" si="17"/>
        <v>2045</v>
      </c>
      <c r="V37" s="15" t="str">
        <f>"V:\Tutorials\Programming\Java Spring\Framework in Depth\"&amp;E37&amp;"\"&amp;F37&amp;".mkv"</f>
        <v>V:\Tutorials\Programming\Java Spring\Framework in Depth\2. Configuring the ApplicationContext\3. Work with the environment.mkv</v>
      </c>
      <c r="Z37" s="14"/>
    </row>
    <row r="38" spans="1:26" hidden="1" x14ac:dyDescent="0.25">
      <c r="A38" s="16" t="s">
        <v>243</v>
      </c>
      <c r="B38" s="17" t="b">
        <f t="shared" si="0"/>
        <v>0</v>
      </c>
      <c r="C38" s="17" t="b">
        <f t="shared" si="12"/>
        <v>0</v>
      </c>
      <c r="D38" s="17">
        <f t="shared" si="8"/>
        <v>3</v>
      </c>
      <c r="E38" s="17" t="str">
        <f t="shared" si="9"/>
        <v>2. Configuring the ApplicationContext</v>
      </c>
      <c r="F38" s="18" t="str">
        <f t="shared" si="1"/>
        <v/>
      </c>
      <c r="G38" s="13" t="str">
        <f t="shared" si="2"/>
        <v/>
      </c>
      <c r="H38">
        <f t="shared" si="3"/>
        <v>0</v>
      </c>
      <c r="I38" s="14">
        <f t="shared" si="10"/>
        <v>0</v>
      </c>
      <c r="J38" s="13">
        <f t="shared" si="4"/>
        <v>2011</v>
      </c>
      <c r="K38">
        <f t="shared" si="5"/>
        <v>0</v>
      </c>
      <c r="L38">
        <f t="shared" si="6"/>
        <v>33</v>
      </c>
      <c r="M38" s="14">
        <f t="shared" si="7"/>
        <v>31</v>
      </c>
      <c r="N38" s="13">
        <f t="shared" si="18"/>
        <v>0</v>
      </c>
      <c r="O38">
        <f t="shared" si="18"/>
        <v>34</v>
      </c>
      <c r="P38">
        <f t="shared" si="18"/>
        <v>5</v>
      </c>
      <c r="Q38" s="14">
        <f t="shared" si="13"/>
        <v>2045</v>
      </c>
      <c r="R38" s="13">
        <f t="shared" si="14"/>
        <v>0</v>
      </c>
      <c r="S38">
        <f t="shared" si="15"/>
        <v>34</v>
      </c>
      <c r="T38">
        <f t="shared" si="16"/>
        <v>5</v>
      </c>
      <c r="U38" s="14">
        <f t="shared" si="17"/>
        <v>2045</v>
      </c>
      <c r="V38" s="15"/>
      <c r="Z38" s="14"/>
    </row>
    <row r="39" spans="1:26" hidden="1" x14ac:dyDescent="0.25">
      <c r="A39" s="16" t="s">
        <v>229</v>
      </c>
      <c r="B39" s="17" t="b">
        <f t="shared" si="0"/>
        <v>0</v>
      </c>
      <c r="C39" s="17" t="b">
        <f t="shared" si="12"/>
        <v>0</v>
      </c>
      <c r="D39" s="17">
        <f t="shared" si="8"/>
        <v>3</v>
      </c>
      <c r="E39" s="17" t="str">
        <f t="shared" si="9"/>
        <v>2. Configuring the ApplicationContext</v>
      </c>
      <c r="F39" s="18" t="str">
        <f t="shared" si="1"/>
        <v/>
      </c>
      <c r="G39" s="13" t="str">
        <f t="shared" si="2"/>
        <v/>
      </c>
      <c r="H39">
        <f t="shared" si="3"/>
        <v>0</v>
      </c>
      <c r="I39" s="14">
        <f t="shared" si="10"/>
        <v>0</v>
      </c>
      <c r="J39" s="13">
        <f t="shared" si="4"/>
        <v>2011</v>
      </c>
      <c r="K39">
        <f t="shared" si="5"/>
        <v>0</v>
      </c>
      <c r="L39">
        <f t="shared" si="6"/>
        <v>33</v>
      </c>
      <c r="M39" s="14">
        <f t="shared" si="7"/>
        <v>31</v>
      </c>
      <c r="N39" s="13">
        <f t="shared" si="18"/>
        <v>0</v>
      </c>
      <c r="O39">
        <f t="shared" si="18"/>
        <v>34</v>
      </c>
      <c r="P39">
        <f t="shared" si="18"/>
        <v>5</v>
      </c>
      <c r="Q39" s="14">
        <f t="shared" si="13"/>
        <v>2045</v>
      </c>
      <c r="R39" s="13">
        <f t="shared" si="14"/>
        <v>0</v>
      </c>
      <c r="S39">
        <f t="shared" si="15"/>
        <v>34</v>
      </c>
      <c r="T39">
        <f t="shared" si="16"/>
        <v>5</v>
      </c>
      <c r="U39" s="14">
        <f t="shared" si="17"/>
        <v>2045</v>
      </c>
      <c r="V39" s="15"/>
      <c r="Z39" s="14"/>
    </row>
    <row r="40" spans="1:26" x14ac:dyDescent="0.25">
      <c r="A40" s="16" t="s">
        <v>244</v>
      </c>
      <c r="B40" s="17" t="b">
        <f t="shared" si="0"/>
        <v>0</v>
      </c>
      <c r="C40" s="17" t="b">
        <f t="shared" si="12"/>
        <v>1</v>
      </c>
      <c r="D40" s="17">
        <f t="shared" si="8"/>
        <v>4</v>
      </c>
      <c r="E40" s="17" t="str">
        <f t="shared" si="9"/>
        <v>2. Configuring the ApplicationContext</v>
      </c>
      <c r="F40" s="18" t="str">
        <f>SUBSTITUTE(IF(C40,D40&amp;". "&amp;A40,IF(A40="Chapter Quiz",A40,"")),":", " -")</f>
        <v>4. Profiles</v>
      </c>
      <c r="G40" s="13" t="str">
        <f t="shared" si="2"/>
        <v>4m 3s</v>
      </c>
      <c r="H40">
        <f t="shared" si="3"/>
        <v>4</v>
      </c>
      <c r="I40" s="14">
        <f t="shared" si="10"/>
        <v>3</v>
      </c>
      <c r="J40" s="13">
        <f t="shared" si="4"/>
        <v>2254</v>
      </c>
      <c r="K40">
        <f t="shared" si="5"/>
        <v>0</v>
      </c>
      <c r="L40">
        <f t="shared" si="6"/>
        <v>37</v>
      </c>
      <c r="M40" s="14">
        <f t="shared" si="7"/>
        <v>34</v>
      </c>
      <c r="N40" s="13">
        <f t="shared" si="18"/>
        <v>0</v>
      </c>
      <c r="O40">
        <f t="shared" si="18"/>
        <v>34</v>
      </c>
      <c r="P40">
        <f t="shared" si="18"/>
        <v>5</v>
      </c>
      <c r="Q40" s="14">
        <f t="shared" si="13"/>
        <v>2045</v>
      </c>
      <c r="R40" s="13">
        <f t="shared" si="14"/>
        <v>0</v>
      </c>
      <c r="S40">
        <f t="shared" si="15"/>
        <v>38</v>
      </c>
      <c r="T40">
        <f t="shared" si="16"/>
        <v>8</v>
      </c>
      <c r="U40" s="14">
        <f t="shared" si="17"/>
        <v>2288</v>
      </c>
      <c r="V40" s="15" t="str">
        <f>"V:\Tutorials\Programming\Java Spring\Framework in Depth\"&amp;E40&amp;"\"&amp;F40&amp;".mkv"</f>
        <v>V:\Tutorials\Programming\Java Spring\Framework in Depth\2. Configuring the ApplicationContext\4. Profiles.mkv</v>
      </c>
      <c r="Z40" s="14"/>
    </row>
    <row r="41" spans="1:26" hidden="1" x14ac:dyDescent="0.25">
      <c r="A41" s="16" t="s">
        <v>245</v>
      </c>
      <c r="B41" s="17" t="b">
        <f t="shared" si="0"/>
        <v>0</v>
      </c>
      <c r="C41" s="17" t="b">
        <f t="shared" si="12"/>
        <v>0</v>
      </c>
      <c r="D41" s="17">
        <f t="shared" si="8"/>
        <v>4</v>
      </c>
      <c r="E41" s="17" t="str">
        <f t="shared" si="9"/>
        <v>2. Configuring the ApplicationContext</v>
      </c>
      <c r="F41" s="18" t="str">
        <f t="shared" si="1"/>
        <v/>
      </c>
      <c r="G41" s="13" t="str">
        <f t="shared" si="2"/>
        <v/>
      </c>
      <c r="H41">
        <f t="shared" si="3"/>
        <v>0</v>
      </c>
      <c r="I41" s="14">
        <f t="shared" si="10"/>
        <v>0</v>
      </c>
      <c r="J41" s="13">
        <f t="shared" si="4"/>
        <v>2254</v>
      </c>
      <c r="K41">
        <f t="shared" si="5"/>
        <v>0</v>
      </c>
      <c r="L41">
        <f t="shared" si="6"/>
        <v>37</v>
      </c>
      <c r="M41" s="14">
        <f t="shared" si="7"/>
        <v>34</v>
      </c>
      <c r="N41" s="13">
        <f t="shared" si="18"/>
        <v>0</v>
      </c>
      <c r="O41">
        <f t="shared" si="18"/>
        <v>38</v>
      </c>
      <c r="P41">
        <f t="shared" si="18"/>
        <v>8</v>
      </c>
      <c r="Q41" s="14">
        <f t="shared" si="13"/>
        <v>2288</v>
      </c>
      <c r="R41" s="13">
        <f t="shared" si="14"/>
        <v>0</v>
      </c>
      <c r="S41">
        <f t="shared" si="15"/>
        <v>38</v>
      </c>
      <c r="T41">
        <f t="shared" si="16"/>
        <v>8</v>
      </c>
      <c r="U41" s="14">
        <f t="shared" si="17"/>
        <v>2288</v>
      </c>
      <c r="V41" s="15"/>
      <c r="Z41" s="14"/>
    </row>
    <row r="42" spans="1:26" hidden="1" x14ac:dyDescent="0.25">
      <c r="A42" s="16" t="s">
        <v>229</v>
      </c>
      <c r="B42" s="17" t="b">
        <f t="shared" si="0"/>
        <v>0</v>
      </c>
      <c r="C42" s="17" t="b">
        <f t="shared" si="12"/>
        <v>0</v>
      </c>
      <c r="D42" s="17">
        <f t="shared" si="8"/>
        <v>4</v>
      </c>
      <c r="E42" s="17" t="str">
        <f t="shared" si="9"/>
        <v>2. Configuring the ApplicationContext</v>
      </c>
      <c r="F42" s="18" t="str">
        <f t="shared" si="1"/>
        <v/>
      </c>
      <c r="G42" s="13" t="str">
        <f t="shared" si="2"/>
        <v/>
      </c>
      <c r="H42">
        <f t="shared" si="3"/>
        <v>0</v>
      </c>
      <c r="I42" s="14">
        <f t="shared" si="10"/>
        <v>0</v>
      </c>
      <c r="J42" s="13">
        <f t="shared" si="4"/>
        <v>2254</v>
      </c>
      <c r="K42">
        <f t="shared" si="5"/>
        <v>0</v>
      </c>
      <c r="L42">
        <f t="shared" si="6"/>
        <v>37</v>
      </c>
      <c r="M42" s="14">
        <f t="shared" si="7"/>
        <v>34</v>
      </c>
      <c r="N42" s="13">
        <f t="shared" si="18"/>
        <v>0</v>
      </c>
      <c r="O42">
        <f t="shared" si="18"/>
        <v>38</v>
      </c>
      <c r="P42">
        <f t="shared" si="18"/>
        <v>8</v>
      </c>
      <c r="Q42" s="14">
        <f t="shared" si="13"/>
        <v>2288</v>
      </c>
      <c r="R42" s="13">
        <f t="shared" si="14"/>
        <v>0</v>
      </c>
      <c r="S42">
        <f t="shared" si="15"/>
        <v>38</v>
      </c>
      <c r="T42">
        <f t="shared" si="16"/>
        <v>8</v>
      </c>
      <c r="U42" s="14">
        <f t="shared" si="17"/>
        <v>2288</v>
      </c>
      <c r="V42" s="15"/>
      <c r="Z42" s="14"/>
    </row>
    <row r="43" spans="1:26" x14ac:dyDescent="0.25">
      <c r="A43" s="16" t="s">
        <v>246</v>
      </c>
      <c r="B43" s="17" t="b">
        <f t="shared" si="0"/>
        <v>0</v>
      </c>
      <c r="C43" s="17" t="b">
        <f t="shared" si="12"/>
        <v>1</v>
      </c>
      <c r="D43" s="17">
        <f t="shared" si="8"/>
        <v>5</v>
      </c>
      <c r="E43" s="17" t="str">
        <f t="shared" si="9"/>
        <v>2. Configuring the ApplicationContext</v>
      </c>
      <c r="F43" s="18" t="str">
        <f>SUBSTITUTE(IF(C43,D43&amp;". "&amp;A43,IF(A43="Chapter Quiz",A43,"")),":", " -")</f>
        <v>5. Spring Expression Language</v>
      </c>
      <c r="G43" s="13" t="str">
        <f t="shared" si="2"/>
        <v>4m 8s</v>
      </c>
      <c r="H43">
        <f t="shared" si="3"/>
        <v>4</v>
      </c>
      <c r="I43" s="14">
        <f t="shared" si="10"/>
        <v>8</v>
      </c>
      <c r="J43" s="13">
        <f t="shared" si="4"/>
        <v>2502</v>
      </c>
      <c r="K43">
        <f t="shared" si="5"/>
        <v>0</v>
      </c>
      <c r="L43">
        <f t="shared" si="6"/>
        <v>41</v>
      </c>
      <c r="M43" s="14">
        <f t="shared" si="7"/>
        <v>42</v>
      </c>
      <c r="N43" s="13">
        <f t="shared" si="18"/>
        <v>0</v>
      </c>
      <c r="O43">
        <f t="shared" si="18"/>
        <v>38</v>
      </c>
      <c r="P43">
        <f t="shared" si="18"/>
        <v>8</v>
      </c>
      <c r="Q43" s="14">
        <f t="shared" si="13"/>
        <v>2288</v>
      </c>
      <c r="R43" s="13">
        <f t="shared" si="14"/>
        <v>0</v>
      </c>
      <c r="S43">
        <f t="shared" si="15"/>
        <v>42</v>
      </c>
      <c r="T43">
        <f t="shared" si="16"/>
        <v>16</v>
      </c>
      <c r="U43" s="14">
        <f t="shared" si="17"/>
        <v>2536</v>
      </c>
      <c r="V43" s="15" t="str">
        <f>"V:\Tutorials\Programming\Java Spring\Framework in Depth\"&amp;E43&amp;"\"&amp;F43&amp;".mkv"</f>
        <v>V:\Tutorials\Programming\Java Spring\Framework in Depth\2. Configuring the ApplicationContext\5. Spring Expression Language.mkv</v>
      </c>
      <c r="Z43" s="14"/>
    </row>
    <row r="44" spans="1:26" hidden="1" x14ac:dyDescent="0.25">
      <c r="A44" s="16" t="s">
        <v>247</v>
      </c>
      <c r="B44" s="17" t="b">
        <f t="shared" si="0"/>
        <v>0</v>
      </c>
      <c r="C44" s="17" t="b">
        <f t="shared" si="12"/>
        <v>0</v>
      </c>
      <c r="D44" s="17">
        <f t="shared" si="8"/>
        <v>5</v>
      </c>
      <c r="E44" s="17" t="str">
        <f t="shared" si="9"/>
        <v>2. Configuring the ApplicationContext</v>
      </c>
      <c r="F44" s="18" t="str">
        <f t="shared" si="1"/>
        <v/>
      </c>
      <c r="G44" s="13" t="str">
        <f t="shared" si="2"/>
        <v/>
      </c>
      <c r="H44">
        <f t="shared" si="3"/>
        <v>0</v>
      </c>
      <c r="I44" s="14">
        <f t="shared" si="10"/>
        <v>0</v>
      </c>
      <c r="J44" s="13">
        <v>0</v>
      </c>
      <c r="K44">
        <f t="shared" si="5"/>
        <v>0</v>
      </c>
      <c r="L44">
        <f t="shared" si="6"/>
        <v>0</v>
      </c>
      <c r="M44" s="14">
        <f t="shared" si="7"/>
        <v>0</v>
      </c>
      <c r="N44" s="13">
        <f t="shared" si="18"/>
        <v>0</v>
      </c>
      <c r="O44">
        <f t="shared" si="18"/>
        <v>42</v>
      </c>
      <c r="P44">
        <f t="shared" si="18"/>
        <v>16</v>
      </c>
      <c r="Q44" s="14">
        <f t="shared" si="13"/>
        <v>2536</v>
      </c>
      <c r="R44" s="13">
        <f t="shared" si="14"/>
        <v>0</v>
      </c>
      <c r="S44">
        <f t="shared" si="15"/>
        <v>42</v>
      </c>
      <c r="T44">
        <f t="shared" si="16"/>
        <v>16</v>
      </c>
      <c r="U44" s="14">
        <f t="shared" si="17"/>
        <v>2536</v>
      </c>
      <c r="V44" s="15"/>
      <c r="Z44" s="14"/>
    </row>
    <row r="45" spans="1:26" hidden="1" x14ac:dyDescent="0.25">
      <c r="A45" s="16" t="s">
        <v>229</v>
      </c>
      <c r="B45" s="17" t="b">
        <f t="shared" si="0"/>
        <v>0</v>
      </c>
      <c r="C45" s="17" t="b">
        <f t="shared" si="12"/>
        <v>0</v>
      </c>
      <c r="D45" s="17">
        <f t="shared" si="8"/>
        <v>5</v>
      </c>
      <c r="E45" s="17" t="str">
        <f t="shared" si="9"/>
        <v>2. Configuring the ApplicationContext</v>
      </c>
      <c r="F45" s="18" t="str">
        <f t="shared" si="1"/>
        <v/>
      </c>
      <c r="G45" s="13" t="str">
        <f t="shared" si="2"/>
        <v/>
      </c>
      <c r="H45">
        <f t="shared" si="3"/>
        <v>0</v>
      </c>
      <c r="I45" s="14">
        <f t="shared" si="10"/>
        <v>0</v>
      </c>
      <c r="J45" s="13">
        <f t="shared" si="4"/>
        <v>0</v>
      </c>
      <c r="K45">
        <f t="shared" si="5"/>
        <v>0</v>
      </c>
      <c r="L45">
        <f t="shared" si="6"/>
        <v>0</v>
      </c>
      <c r="M45" s="14">
        <f t="shared" si="7"/>
        <v>0</v>
      </c>
      <c r="N45" s="13">
        <f t="shared" si="18"/>
        <v>0</v>
      </c>
      <c r="O45">
        <f t="shared" si="18"/>
        <v>42</v>
      </c>
      <c r="P45">
        <f t="shared" si="18"/>
        <v>16</v>
      </c>
      <c r="Q45" s="14">
        <f t="shared" si="13"/>
        <v>2536</v>
      </c>
      <c r="R45" s="13">
        <f t="shared" si="14"/>
        <v>0</v>
      </c>
      <c r="S45">
        <f t="shared" si="15"/>
        <v>42</v>
      </c>
      <c r="T45">
        <f t="shared" si="16"/>
        <v>16</v>
      </c>
      <c r="U45" s="14">
        <f t="shared" si="17"/>
        <v>2536</v>
      </c>
      <c r="V45" s="15"/>
      <c r="Z45" s="14"/>
    </row>
    <row r="46" spans="1:26" x14ac:dyDescent="0.25">
      <c r="A46" s="16" t="s">
        <v>248</v>
      </c>
      <c r="B46" s="17" t="b">
        <f t="shared" si="0"/>
        <v>0</v>
      </c>
      <c r="C46" s="17" t="b">
        <f t="shared" si="12"/>
        <v>1</v>
      </c>
      <c r="D46" s="17">
        <f t="shared" si="8"/>
        <v>6</v>
      </c>
      <c r="E46" s="17" t="str">
        <f t="shared" si="9"/>
        <v>2. Configuring the ApplicationContext</v>
      </c>
      <c r="F46" s="18" t="str">
        <f>SUBSTITUTE(IF(C46,D46&amp;". "&amp;A46,IF(A46="Chapter Quiz",A46,"")),":", " -")</f>
        <v>6. Bean scopes</v>
      </c>
      <c r="G46" s="13" t="str">
        <f t="shared" si="2"/>
        <v>3m 34s</v>
      </c>
      <c r="H46">
        <f t="shared" si="3"/>
        <v>3</v>
      </c>
      <c r="I46" s="14">
        <f t="shared" si="10"/>
        <v>34</v>
      </c>
      <c r="J46" s="13">
        <f t="shared" si="4"/>
        <v>214</v>
      </c>
      <c r="K46">
        <f t="shared" si="5"/>
        <v>0</v>
      </c>
      <c r="L46">
        <f t="shared" si="6"/>
        <v>3</v>
      </c>
      <c r="M46" s="14">
        <f t="shared" si="7"/>
        <v>34</v>
      </c>
      <c r="N46" s="13">
        <f t="shared" si="18"/>
        <v>0</v>
      </c>
      <c r="O46">
        <f t="shared" si="18"/>
        <v>42</v>
      </c>
      <c r="P46">
        <v>35</v>
      </c>
      <c r="Q46" s="14">
        <f t="shared" si="13"/>
        <v>2555</v>
      </c>
      <c r="R46" s="13">
        <f t="shared" si="14"/>
        <v>0</v>
      </c>
      <c r="S46">
        <f t="shared" si="15"/>
        <v>46</v>
      </c>
      <c r="T46">
        <f t="shared" si="16"/>
        <v>9</v>
      </c>
      <c r="U46" s="14">
        <f t="shared" si="17"/>
        <v>2769</v>
      </c>
      <c r="V46" s="15" t="str">
        <f>"V:\Tutorials\Programming\Java Spring\Framework in Depth\"&amp;E46&amp;"\"&amp;F46&amp;".mkv"</f>
        <v>V:\Tutorials\Programming\Java Spring\Framework in Depth\2. Configuring the ApplicationContext\6. Bean scopes.mkv</v>
      </c>
      <c r="Z46" s="14"/>
    </row>
    <row r="47" spans="1:26" hidden="1" x14ac:dyDescent="0.25">
      <c r="A47" s="16" t="s">
        <v>249</v>
      </c>
      <c r="B47" s="17" t="b">
        <f t="shared" si="0"/>
        <v>0</v>
      </c>
      <c r="C47" s="17" t="b">
        <f t="shared" si="12"/>
        <v>0</v>
      </c>
      <c r="D47" s="17">
        <f t="shared" si="8"/>
        <v>6</v>
      </c>
      <c r="E47" s="17" t="str">
        <f t="shared" si="9"/>
        <v>2. Configuring the ApplicationContext</v>
      </c>
      <c r="F47" s="18" t="str">
        <f t="shared" si="1"/>
        <v/>
      </c>
      <c r="G47" s="13" t="str">
        <f t="shared" si="2"/>
        <v/>
      </c>
      <c r="H47">
        <f t="shared" si="3"/>
        <v>0</v>
      </c>
      <c r="I47" s="14">
        <f t="shared" si="10"/>
        <v>0</v>
      </c>
      <c r="J47" s="13">
        <f t="shared" si="4"/>
        <v>214</v>
      </c>
      <c r="K47">
        <f t="shared" si="5"/>
        <v>0</v>
      </c>
      <c r="L47">
        <f t="shared" si="6"/>
        <v>3</v>
      </c>
      <c r="M47" s="14">
        <f t="shared" si="7"/>
        <v>34</v>
      </c>
      <c r="N47" s="13">
        <f t="shared" si="18"/>
        <v>0</v>
      </c>
      <c r="O47">
        <f t="shared" si="18"/>
        <v>46</v>
      </c>
      <c r="P47">
        <f t="shared" si="18"/>
        <v>9</v>
      </c>
      <c r="Q47" s="14">
        <f t="shared" si="13"/>
        <v>2769</v>
      </c>
      <c r="R47" s="13">
        <f t="shared" si="14"/>
        <v>0</v>
      </c>
      <c r="S47">
        <f t="shared" si="15"/>
        <v>46</v>
      </c>
      <c r="T47">
        <f t="shared" si="16"/>
        <v>9</v>
      </c>
      <c r="U47" s="14">
        <f t="shared" si="17"/>
        <v>2769</v>
      </c>
      <c r="V47" s="15"/>
      <c r="Z47" s="14"/>
    </row>
    <row r="48" spans="1:26" hidden="1" x14ac:dyDescent="0.25">
      <c r="A48" s="16" t="s">
        <v>229</v>
      </c>
      <c r="B48" s="17" t="b">
        <f t="shared" si="0"/>
        <v>0</v>
      </c>
      <c r="C48" s="17" t="b">
        <f t="shared" si="12"/>
        <v>0</v>
      </c>
      <c r="D48" s="17">
        <f t="shared" si="8"/>
        <v>6</v>
      </c>
      <c r="E48" s="17" t="str">
        <f t="shared" si="9"/>
        <v>2. Configuring the ApplicationContext</v>
      </c>
      <c r="F48" s="18" t="str">
        <f t="shared" si="1"/>
        <v/>
      </c>
      <c r="G48" s="13" t="str">
        <f t="shared" si="2"/>
        <v/>
      </c>
      <c r="H48">
        <f t="shared" si="3"/>
        <v>0</v>
      </c>
      <c r="I48" s="14">
        <f t="shared" si="10"/>
        <v>0</v>
      </c>
      <c r="J48" s="13">
        <f t="shared" si="4"/>
        <v>214</v>
      </c>
      <c r="K48">
        <f t="shared" si="5"/>
        <v>0</v>
      </c>
      <c r="L48">
        <f t="shared" si="6"/>
        <v>3</v>
      </c>
      <c r="M48" s="14">
        <f t="shared" si="7"/>
        <v>34</v>
      </c>
      <c r="N48" s="13">
        <f t="shared" si="18"/>
        <v>0</v>
      </c>
      <c r="O48">
        <f t="shared" si="18"/>
        <v>46</v>
      </c>
      <c r="P48">
        <f t="shared" si="18"/>
        <v>9</v>
      </c>
      <c r="Q48" s="14">
        <f t="shared" si="13"/>
        <v>2769</v>
      </c>
      <c r="R48" s="13">
        <f t="shared" si="14"/>
        <v>0</v>
      </c>
      <c r="S48">
        <f t="shared" si="15"/>
        <v>46</v>
      </c>
      <c r="T48">
        <f t="shared" si="16"/>
        <v>9</v>
      </c>
      <c r="U48" s="14">
        <f t="shared" si="17"/>
        <v>2769</v>
      </c>
      <c r="V48" s="15"/>
      <c r="Z48" s="14"/>
    </row>
    <row r="49" spans="1:26" x14ac:dyDescent="0.25">
      <c r="A49" s="16" t="s">
        <v>250</v>
      </c>
      <c r="B49" s="17" t="b">
        <f t="shared" si="0"/>
        <v>0</v>
      </c>
      <c r="C49" s="17" t="b">
        <f t="shared" si="12"/>
        <v>1</v>
      </c>
      <c r="D49" s="17">
        <f t="shared" si="8"/>
        <v>7</v>
      </c>
      <c r="E49" s="17" t="str">
        <f t="shared" si="9"/>
        <v>2. Configuring the ApplicationContext</v>
      </c>
      <c r="F49" s="18" t="str">
        <f>SUBSTITUTE(IF(C49,D49&amp;". "&amp;A49,IF(A49="Chapter Quiz",A49,"")),":", " -")</f>
        <v>7. Proxies</v>
      </c>
      <c r="G49" s="13" t="str">
        <f t="shared" si="2"/>
        <v>1m 53s</v>
      </c>
      <c r="H49">
        <f t="shared" si="3"/>
        <v>1</v>
      </c>
      <c r="I49" s="14">
        <f t="shared" si="10"/>
        <v>53</v>
      </c>
      <c r="J49" s="13">
        <f t="shared" si="4"/>
        <v>327</v>
      </c>
      <c r="K49">
        <f t="shared" si="5"/>
        <v>0</v>
      </c>
      <c r="L49">
        <f t="shared" si="6"/>
        <v>5</v>
      </c>
      <c r="M49" s="14">
        <f t="shared" si="7"/>
        <v>27</v>
      </c>
      <c r="N49" s="13">
        <f t="shared" si="18"/>
        <v>0</v>
      </c>
      <c r="O49">
        <f t="shared" si="18"/>
        <v>46</v>
      </c>
      <c r="P49">
        <v>14</v>
      </c>
      <c r="Q49" s="14">
        <f t="shared" si="13"/>
        <v>2774</v>
      </c>
      <c r="R49" s="13">
        <f t="shared" si="14"/>
        <v>0</v>
      </c>
      <c r="S49">
        <f t="shared" si="15"/>
        <v>48</v>
      </c>
      <c r="T49">
        <f t="shared" si="16"/>
        <v>7</v>
      </c>
      <c r="U49" s="14">
        <f t="shared" si="17"/>
        <v>2887</v>
      </c>
      <c r="V49" s="15" t="str">
        <f>"V:\Tutorials\Programming\Java Spring\Framework in Depth\"&amp;E49&amp;"\"&amp;F49&amp;".mkv"</f>
        <v>V:\Tutorials\Programming\Java Spring\Framework in Depth\2. Configuring the ApplicationContext\7. Proxies.mkv</v>
      </c>
      <c r="Z49" s="14"/>
    </row>
    <row r="50" spans="1:26" hidden="1" x14ac:dyDescent="0.25">
      <c r="A50" s="16" t="s">
        <v>251</v>
      </c>
      <c r="B50" s="17" t="b">
        <f t="shared" si="0"/>
        <v>0</v>
      </c>
      <c r="C50" s="17" t="b">
        <f t="shared" si="12"/>
        <v>0</v>
      </c>
      <c r="D50" s="17">
        <f t="shared" si="8"/>
        <v>7</v>
      </c>
      <c r="E50" s="17" t="str">
        <f t="shared" si="9"/>
        <v>2. Configuring the ApplicationContext</v>
      </c>
      <c r="F50" s="18" t="str">
        <f t="shared" si="1"/>
        <v/>
      </c>
      <c r="G50" s="13" t="str">
        <f t="shared" si="2"/>
        <v/>
      </c>
      <c r="H50">
        <f t="shared" si="3"/>
        <v>0</v>
      </c>
      <c r="I50" s="14">
        <f t="shared" si="10"/>
        <v>0</v>
      </c>
      <c r="J50" s="13">
        <f t="shared" si="4"/>
        <v>327</v>
      </c>
      <c r="K50">
        <f t="shared" si="5"/>
        <v>0</v>
      </c>
      <c r="L50">
        <f t="shared" si="6"/>
        <v>5</v>
      </c>
      <c r="M50" s="14">
        <f t="shared" si="7"/>
        <v>27</v>
      </c>
      <c r="N50" s="13">
        <f t="shared" si="18"/>
        <v>0</v>
      </c>
      <c r="O50">
        <f t="shared" si="18"/>
        <v>48</v>
      </c>
      <c r="P50">
        <f t="shared" si="18"/>
        <v>7</v>
      </c>
      <c r="Q50" s="14">
        <f t="shared" si="13"/>
        <v>2887</v>
      </c>
      <c r="R50" s="13">
        <f t="shared" si="14"/>
        <v>0</v>
      </c>
      <c r="S50">
        <f t="shared" si="15"/>
        <v>48</v>
      </c>
      <c r="T50">
        <f t="shared" si="16"/>
        <v>7</v>
      </c>
      <c r="U50" s="14">
        <f t="shared" si="17"/>
        <v>2887</v>
      </c>
      <c r="V50" s="15"/>
      <c r="Z50" s="14"/>
    </row>
    <row r="51" spans="1:26" hidden="1" x14ac:dyDescent="0.25">
      <c r="A51" s="16" t="s">
        <v>229</v>
      </c>
      <c r="B51" s="17" t="b">
        <f t="shared" si="0"/>
        <v>0</v>
      </c>
      <c r="C51" s="17" t="b">
        <f t="shared" si="12"/>
        <v>0</v>
      </c>
      <c r="D51" s="17">
        <f t="shared" si="8"/>
        <v>7</v>
      </c>
      <c r="E51" s="17" t="str">
        <f t="shared" si="9"/>
        <v>2. Configuring the ApplicationContext</v>
      </c>
      <c r="F51" s="18" t="str">
        <f t="shared" si="1"/>
        <v/>
      </c>
      <c r="G51" s="13" t="str">
        <f t="shared" si="2"/>
        <v/>
      </c>
      <c r="H51">
        <f t="shared" si="3"/>
        <v>0</v>
      </c>
      <c r="I51" s="14">
        <f t="shared" si="10"/>
        <v>0</v>
      </c>
      <c r="J51" s="13">
        <f t="shared" si="4"/>
        <v>327</v>
      </c>
      <c r="K51">
        <f t="shared" si="5"/>
        <v>0</v>
      </c>
      <c r="L51">
        <f t="shared" si="6"/>
        <v>5</v>
      </c>
      <c r="M51" s="14">
        <f t="shared" si="7"/>
        <v>27</v>
      </c>
      <c r="N51" s="13">
        <f t="shared" si="18"/>
        <v>0</v>
      </c>
      <c r="O51">
        <f t="shared" si="18"/>
        <v>48</v>
      </c>
      <c r="P51">
        <f t="shared" si="18"/>
        <v>7</v>
      </c>
      <c r="Q51" s="14">
        <f t="shared" si="13"/>
        <v>2887</v>
      </c>
      <c r="R51" s="13">
        <f t="shared" si="14"/>
        <v>0</v>
      </c>
      <c r="S51">
        <f t="shared" si="15"/>
        <v>48</v>
      </c>
      <c r="T51">
        <f t="shared" si="16"/>
        <v>7</v>
      </c>
      <c r="U51" s="14">
        <f t="shared" si="17"/>
        <v>2887</v>
      </c>
      <c r="V51" s="15"/>
      <c r="Z51" s="14"/>
    </row>
    <row r="52" spans="1:26" x14ac:dyDescent="0.25">
      <c r="A52" s="16" t="s">
        <v>21</v>
      </c>
      <c r="B52" s="17" t="b">
        <f t="shared" si="0"/>
        <v>0</v>
      </c>
      <c r="C52" s="17" t="b">
        <f t="shared" si="12"/>
        <v>0</v>
      </c>
      <c r="D52" s="17">
        <f t="shared" si="8"/>
        <v>7</v>
      </c>
      <c r="E52" s="17" t="str">
        <f t="shared" si="9"/>
        <v>2. Configuring the ApplicationContext</v>
      </c>
      <c r="F52" s="18" t="str">
        <f>SUBSTITUTE(IF(C52,D52&amp;". "&amp;A52,IF(A52="Chapter Quiz",A52,"")),":", " -")</f>
        <v>Chapter Quiz</v>
      </c>
      <c r="G52" s="13" t="str">
        <f t="shared" si="2"/>
        <v/>
      </c>
      <c r="H52">
        <f t="shared" si="3"/>
        <v>0</v>
      </c>
      <c r="I52" s="14">
        <f t="shared" si="10"/>
        <v>0</v>
      </c>
      <c r="J52" s="13">
        <f t="shared" si="4"/>
        <v>327</v>
      </c>
      <c r="K52">
        <f t="shared" si="5"/>
        <v>0</v>
      </c>
      <c r="L52">
        <f t="shared" si="6"/>
        <v>5</v>
      </c>
      <c r="M52" s="14">
        <f t="shared" si="7"/>
        <v>27</v>
      </c>
      <c r="N52" s="13">
        <f t="shared" si="18"/>
        <v>0</v>
      </c>
      <c r="O52">
        <v>0</v>
      </c>
      <c r="P52">
        <v>0</v>
      </c>
      <c r="Q52" s="14">
        <f t="shared" si="13"/>
        <v>0</v>
      </c>
      <c r="R52" s="13">
        <f t="shared" si="14"/>
        <v>0</v>
      </c>
      <c r="S52">
        <f t="shared" si="15"/>
        <v>0</v>
      </c>
      <c r="T52">
        <f t="shared" si="16"/>
        <v>0</v>
      </c>
      <c r="U52" s="14">
        <f t="shared" si="17"/>
        <v>0</v>
      </c>
      <c r="V52" s="15" t="str">
        <f>"V:\Tutorials\Programming\Java Spring\Framework in Depth\"&amp;E52&amp;"\"&amp;F52&amp;".mkv"</f>
        <v>V:\Tutorials\Programming\Java Spring\Framework in Depth\2. Configuring the ApplicationContext\Chapter Quiz.mkv</v>
      </c>
      <c r="Z52" s="14"/>
    </row>
    <row r="53" spans="1:26" hidden="1" x14ac:dyDescent="0.25">
      <c r="A53" s="16" t="s">
        <v>252</v>
      </c>
      <c r="B53" s="17" t="b">
        <f t="shared" si="0"/>
        <v>0</v>
      </c>
      <c r="C53" s="17" t="b">
        <f t="shared" si="12"/>
        <v>0</v>
      </c>
      <c r="D53" s="17">
        <f t="shared" si="8"/>
        <v>7</v>
      </c>
      <c r="E53" s="17" t="str">
        <f t="shared" si="9"/>
        <v>2. Configuring the ApplicationContext</v>
      </c>
      <c r="F53" s="18" t="str">
        <f t="shared" ref="F53:F116" si="19">IF(C53,D53&amp;". "&amp;A53,IF(A53="Chapter Quiz",A53,""))</f>
        <v/>
      </c>
      <c r="G53" s="13" t="str">
        <f t="shared" si="2"/>
        <v/>
      </c>
      <c r="H53">
        <f t="shared" si="3"/>
        <v>0</v>
      </c>
      <c r="I53" s="14">
        <f t="shared" si="10"/>
        <v>0</v>
      </c>
      <c r="J53" s="13">
        <f t="shared" si="4"/>
        <v>327</v>
      </c>
      <c r="K53">
        <f t="shared" si="5"/>
        <v>0</v>
      </c>
      <c r="L53">
        <f t="shared" si="6"/>
        <v>5</v>
      </c>
      <c r="M53" s="14">
        <f t="shared" si="7"/>
        <v>27</v>
      </c>
      <c r="N53" s="13">
        <f t="shared" si="18"/>
        <v>0</v>
      </c>
      <c r="O53">
        <f t="shared" si="18"/>
        <v>0</v>
      </c>
      <c r="P53">
        <f t="shared" si="18"/>
        <v>0</v>
      </c>
      <c r="Q53" s="14">
        <f t="shared" si="13"/>
        <v>0</v>
      </c>
      <c r="R53" s="13">
        <f t="shared" si="14"/>
        <v>0</v>
      </c>
      <c r="S53">
        <f t="shared" si="15"/>
        <v>0</v>
      </c>
      <c r="T53">
        <f t="shared" si="16"/>
        <v>0</v>
      </c>
      <c r="U53" s="14">
        <f t="shared" si="17"/>
        <v>0</v>
      </c>
      <c r="V53" s="15"/>
      <c r="Z53" s="14"/>
    </row>
    <row r="54" spans="1:26" hidden="1" x14ac:dyDescent="0.25">
      <c r="A54" s="16"/>
      <c r="B54" s="17" t="b">
        <f t="shared" si="0"/>
        <v>0</v>
      </c>
      <c r="C54" s="17" t="b">
        <f t="shared" si="12"/>
        <v>0</v>
      </c>
      <c r="D54" s="17">
        <f t="shared" si="8"/>
        <v>7</v>
      </c>
      <c r="E54" s="17" t="str">
        <f t="shared" si="9"/>
        <v>2. Configuring the ApplicationContext</v>
      </c>
      <c r="F54" s="18" t="str">
        <f t="shared" si="19"/>
        <v/>
      </c>
      <c r="G54" s="13" t="str">
        <f t="shared" si="2"/>
        <v/>
      </c>
      <c r="H54">
        <f t="shared" si="3"/>
        <v>0</v>
      </c>
      <c r="I54" s="14">
        <f t="shared" si="10"/>
        <v>0</v>
      </c>
      <c r="J54" s="13">
        <f t="shared" si="4"/>
        <v>327</v>
      </c>
      <c r="K54">
        <f t="shared" si="5"/>
        <v>0</v>
      </c>
      <c r="L54">
        <f t="shared" si="6"/>
        <v>5</v>
      </c>
      <c r="M54" s="14">
        <f t="shared" si="7"/>
        <v>27</v>
      </c>
      <c r="N54" s="13">
        <f t="shared" si="18"/>
        <v>0</v>
      </c>
      <c r="O54">
        <f t="shared" si="18"/>
        <v>0</v>
      </c>
      <c r="P54">
        <f t="shared" si="18"/>
        <v>0</v>
      </c>
      <c r="Q54" s="14">
        <f t="shared" si="13"/>
        <v>0</v>
      </c>
      <c r="R54" s="13">
        <f t="shared" si="14"/>
        <v>0</v>
      </c>
      <c r="S54">
        <f t="shared" si="15"/>
        <v>0</v>
      </c>
      <c r="T54">
        <f t="shared" si="16"/>
        <v>0</v>
      </c>
      <c r="U54" s="14">
        <f t="shared" si="17"/>
        <v>0</v>
      </c>
      <c r="V54" s="15"/>
      <c r="Z54" s="14"/>
    </row>
    <row r="55" spans="1:26" hidden="1" x14ac:dyDescent="0.25">
      <c r="A55" s="16" t="s">
        <v>253</v>
      </c>
      <c r="B55" s="17" t="b">
        <f t="shared" si="0"/>
        <v>1</v>
      </c>
      <c r="C55" s="17" t="b">
        <f t="shared" si="12"/>
        <v>0</v>
      </c>
      <c r="D55" s="17">
        <f t="shared" si="8"/>
        <v>0</v>
      </c>
      <c r="E55" s="17" t="str">
        <f t="shared" si="9"/>
        <v>3. Component Scanning</v>
      </c>
      <c r="F55" s="18" t="str">
        <f t="shared" si="19"/>
        <v/>
      </c>
      <c r="G55" s="13" t="str">
        <f t="shared" si="2"/>
        <v/>
      </c>
      <c r="H55">
        <f t="shared" si="3"/>
        <v>0</v>
      </c>
      <c r="I55" s="14">
        <f t="shared" si="10"/>
        <v>0</v>
      </c>
      <c r="J55" s="13">
        <f t="shared" si="4"/>
        <v>327</v>
      </c>
      <c r="K55">
        <f t="shared" si="5"/>
        <v>0</v>
      </c>
      <c r="L55">
        <f t="shared" si="6"/>
        <v>5</v>
      </c>
      <c r="M55" s="14">
        <f t="shared" si="7"/>
        <v>27</v>
      </c>
      <c r="N55" s="13">
        <f t="shared" si="18"/>
        <v>0</v>
      </c>
      <c r="O55">
        <f t="shared" si="18"/>
        <v>0</v>
      </c>
      <c r="P55">
        <f t="shared" si="18"/>
        <v>0</v>
      </c>
      <c r="Q55" s="14">
        <f t="shared" si="13"/>
        <v>0</v>
      </c>
      <c r="R55" s="13">
        <f t="shared" si="14"/>
        <v>0</v>
      </c>
      <c r="S55">
        <f t="shared" si="15"/>
        <v>0</v>
      </c>
      <c r="T55">
        <f t="shared" si="16"/>
        <v>0</v>
      </c>
      <c r="U55" s="14">
        <f t="shared" si="17"/>
        <v>0</v>
      </c>
      <c r="V55" s="15"/>
      <c r="Z55" s="14"/>
    </row>
    <row r="56" spans="1:26" hidden="1" x14ac:dyDescent="0.25">
      <c r="A56" s="16"/>
      <c r="B56" s="17" t="b">
        <f t="shared" si="0"/>
        <v>0</v>
      </c>
      <c r="C56" s="17" t="b">
        <f t="shared" si="12"/>
        <v>0</v>
      </c>
      <c r="D56" s="17">
        <f t="shared" si="8"/>
        <v>0</v>
      </c>
      <c r="E56" s="17" t="str">
        <f t="shared" si="9"/>
        <v>3. Component Scanning</v>
      </c>
      <c r="F56" s="18" t="str">
        <f t="shared" si="19"/>
        <v/>
      </c>
      <c r="G56" s="13" t="str">
        <f t="shared" si="2"/>
        <v/>
      </c>
      <c r="H56">
        <f t="shared" si="3"/>
        <v>0</v>
      </c>
      <c r="I56" s="14">
        <f t="shared" si="10"/>
        <v>0</v>
      </c>
      <c r="J56" s="13">
        <f t="shared" si="4"/>
        <v>327</v>
      </c>
      <c r="K56">
        <f t="shared" si="5"/>
        <v>0</v>
      </c>
      <c r="L56">
        <f t="shared" si="6"/>
        <v>5</v>
      </c>
      <c r="M56" s="14">
        <f t="shared" si="7"/>
        <v>27</v>
      </c>
      <c r="N56" s="13">
        <f t="shared" si="18"/>
        <v>0</v>
      </c>
      <c r="O56">
        <f t="shared" si="18"/>
        <v>0</v>
      </c>
      <c r="P56">
        <f t="shared" si="18"/>
        <v>0</v>
      </c>
      <c r="Q56" s="14">
        <f t="shared" si="13"/>
        <v>0</v>
      </c>
      <c r="R56" s="13">
        <f t="shared" si="14"/>
        <v>0</v>
      </c>
      <c r="S56">
        <f t="shared" si="15"/>
        <v>0</v>
      </c>
      <c r="T56">
        <f t="shared" si="16"/>
        <v>0</v>
      </c>
      <c r="U56" s="14">
        <f t="shared" si="17"/>
        <v>0</v>
      </c>
      <c r="V56" s="15"/>
      <c r="Z56" s="14"/>
    </row>
    <row r="57" spans="1:26" x14ac:dyDescent="0.25">
      <c r="A57" s="16" t="s">
        <v>254</v>
      </c>
      <c r="B57" s="17" t="b">
        <f t="shared" si="0"/>
        <v>0</v>
      </c>
      <c r="C57" s="17" t="b">
        <f t="shared" si="12"/>
        <v>1</v>
      </c>
      <c r="D57" s="17">
        <f t="shared" si="8"/>
        <v>1</v>
      </c>
      <c r="E57" s="17" t="str">
        <f t="shared" si="9"/>
        <v>3. Component Scanning</v>
      </c>
      <c r="F57" s="18" t="str">
        <f>SUBSTITUTE(IF(C57,D57&amp;". "&amp;A57,IF(A57="Chapter Quiz",A57,"")),":", " -")</f>
        <v>1. The component scan</v>
      </c>
      <c r="G57" s="13" t="str">
        <f t="shared" si="2"/>
        <v>2m 58s</v>
      </c>
      <c r="H57">
        <f t="shared" si="3"/>
        <v>2</v>
      </c>
      <c r="I57" s="14">
        <f t="shared" si="10"/>
        <v>58</v>
      </c>
      <c r="J57" s="13">
        <f t="shared" si="4"/>
        <v>505</v>
      </c>
      <c r="K57">
        <f t="shared" si="5"/>
        <v>0</v>
      </c>
      <c r="L57">
        <f t="shared" si="6"/>
        <v>8</v>
      </c>
      <c r="M57" s="14">
        <f t="shared" si="7"/>
        <v>25</v>
      </c>
      <c r="N57" s="13">
        <f t="shared" si="18"/>
        <v>0</v>
      </c>
      <c r="O57">
        <f t="shared" si="18"/>
        <v>0</v>
      </c>
      <c r="P57">
        <f t="shared" si="18"/>
        <v>0</v>
      </c>
      <c r="Q57" s="14">
        <f t="shared" si="13"/>
        <v>0</v>
      </c>
      <c r="R57" s="13">
        <f t="shared" si="14"/>
        <v>0</v>
      </c>
      <c r="S57">
        <f t="shared" si="15"/>
        <v>2</v>
      </c>
      <c r="T57">
        <f t="shared" si="16"/>
        <v>58</v>
      </c>
      <c r="U57" s="14">
        <f t="shared" si="17"/>
        <v>178</v>
      </c>
      <c r="V57" s="15" t="str">
        <f>"V:\Tutorials\Programming\Java Spring\Framework in Depth\"&amp;E57&amp;"\"&amp;F57&amp;".mkv"</f>
        <v>V:\Tutorials\Programming\Java Spring\Framework in Depth\3. Component Scanning\1. The component scan.mkv</v>
      </c>
      <c r="Z57" s="14"/>
    </row>
    <row r="58" spans="1:26" hidden="1" x14ac:dyDescent="0.25">
      <c r="A58" s="16" t="s">
        <v>255</v>
      </c>
      <c r="B58" s="17" t="b">
        <f t="shared" si="0"/>
        <v>0</v>
      </c>
      <c r="C58" s="17" t="b">
        <f t="shared" si="12"/>
        <v>0</v>
      </c>
      <c r="D58" s="17">
        <f t="shared" si="8"/>
        <v>1</v>
      </c>
      <c r="E58" s="17" t="str">
        <f t="shared" si="9"/>
        <v>3. Component Scanning</v>
      </c>
      <c r="F58" s="18" t="str">
        <f t="shared" si="19"/>
        <v/>
      </c>
      <c r="G58" s="13" t="str">
        <f t="shared" si="2"/>
        <v/>
      </c>
      <c r="H58">
        <f t="shared" si="3"/>
        <v>0</v>
      </c>
      <c r="I58" s="14">
        <f t="shared" si="10"/>
        <v>0</v>
      </c>
      <c r="J58" s="13">
        <f t="shared" si="4"/>
        <v>505</v>
      </c>
      <c r="K58">
        <f t="shared" si="5"/>
        <v>0</v>
      </c>
      <c r="L58">
        <f t="shared" si="6"/>
        <v>8</v>
      </c>
      <c r="M58" s="14">
        <f t="shared" si="7"/>
        <v>25</v>
      </c>
      <c r="N58" s="13">
        <f t="shared" si="18"/>
        <v>0</v>
      </c>
      <c r="O58">
        <f t="shared" si="18"/>
        <v>2</v>
      </c>
      <c r="P58">
        <f t="shared" si="18"/>
        <v>58</v>
      </c>
      <c r="Q58" s="14">
        <f t="shared" si="13"/>
        <v>178</v>
      </c>
      <c r="R58" s="13">
        <f t="shared" si="14"/>
        <v>0</v>
      </c>
      <c r="S58">
        <f t="shared" si="15"/>
        <v>2</v>
      </c>
      <c r="T58">
        <f t="shared" si="16"/>
        <v>58</v>
      </c>
      <c r="U58" s="14">
        <f t="shared" si="17"/>
        <v>178</v>
      </c>
      <c r="V58" s="15"/>
      <c r="Z58" s="14"/>
    </row>
    <row r="59" spans="1:26" hidden="1" x14ac:dyDescent="0.25">
      <c r="A59" s="16" t="s">
        <v>229</v>
      </c>
      <c r="B59" s="17" t="b">
        <f t="shared" si="0"/>
        <v>0</v>
      </c>
      <c r="C59" s="17" t="b">
        <f t="shared" si="12"/>
        <v>0</v>
      </c>
      <c r="D59" s="17">
        <f t="shared" si="8"/>
        <v>1</v>
      </c>
      <c r="E59" s="17" t="str">
        <f t="shared" si="9"/>
        <v>3. Component Scanning</v>
      </c>
      <c r="F59" s="18" t="str">
        <f t="shared" si="19"/>
        <v/>
      </c>
      <c r="G59" s="13" t="str">
        <f t="shared" si="2"/>
        <v/>
      </c>
      <c r="H59">
        <f t="shared" si="3"/>
        <v>0</v>
      </c>
      <c r="I59" s="14">
        <f t="shared" si="10"/>
        <v>0</v>
      </c>
      <c r="J59" s="13">
        <f t="shared" si="4"/>
        <v>505</v>
      </c>
      <c r="K59">
        <f t="shared" si="5"/>
        <v>0</v>
      </c>
      <c r="L59">
        <f t="shared" si="6"/>
        <v>8</v>
      </c>
      <c r="M59" s="14">
        <f t="shared" si="7"/>
        <v>25</v>
      </c>
      <c r="N59" s="13">
        <f t="shared" si="18"/>
        <v>0</v>
      </c>
      <c r="O59">
        <f t="shared" si="18"/>
        <v>2</v>
      </c>
      <c r="P59">
        <f t="shared" si="18"/>
        <v>58</v>
      </c>
      <c r="Q59" s="14">
        <f t="shared" si="13"/>
        <v>178</v>
      </c>
      <c r="R59" s="13">
        <f t="shared" si="14"/>
        <v>0</v>
      </c>
      <c r="S59">
        <f t="shared" si="15"/>
        <v>2</v>
      </c>
      <c r="T59">
        <f t="shared" si="16"/>
        <v>58</v>
      </c>
      <c r="U59" s="14">
        <f t="shared" si="17"/>
        <v>178</v>
      </c>
      <c r="V59" s="15"/>
      <c r="Z59" s="14"/>
    </row>
    <row r="60" spans="1:26" x14ac:dyDescent="0.25">
      <c r="A60" s="16" t="s">
        <v>256</v>
      </c>
      <c r="B60" s="17" t="b">
        <f t="shared" si="0"/>
        <v>0</v>
      </c>
      <c r="C60" s="17" t="b">
        <f t="shared" si="12"/>
        <v>1</v>
      </c>
      <c r="D60" s="17">
        <f t="shared" si="8"/>
        <v>2</v>
      </c>
      <c r="E60" s="17" t="str">
        <f t="shared" si="9"/>
        <v>3. Component Scanning</v>
      </c>
      <c r="F60" s="18" t="str">
        <f>SUBSTITUTE(IF(C60,D60&amp;". "&amp;A60,IF(A60="Chapter Quiz",A60,"")),":", " -")</f>
        <v>2. Implementing component scanning</v>
      </c>
      <c r="G60" s="13" t="str">
        <f t="shared" si="2"/>
        <v>5m 22s</v>
      </c>
      <c r="H60">
        <f t="shared" si="3"/>
        <v>5</v>
      </c>
      <c r="I60" s="14">
        <f t="shared" si="10"/>
        <v>22</v>
      </c>
      <c r="J60" s="13">
        <f t="shared" si="4"/>
        <v>827</v>
      </c>
      <c r="K60">
        <f t="shared" si="5"/>
        <v>0</v>
      </c>
      <c r="L60">
        <f t="shared" si="6"/>
        <v>13</v>
      </c>
      <c r="M60" s="14">
        <f t="shared" si="7"/>
        <v>47</v>
      </c>
      <c r="N60" s="13">
        <f t="shared" si="18"/>
        <v>0</v>
      </c>
      <c r="O60">
        <v>3</v>
      </c>
      <c r="P60">
        <v>33</v>
      </c>
      <c r="Q60" s="14">
        <f t="shared" si="13"/>
        <v>213</v>
      </c>
      <c r="R60" s="13">
        <f t="shared" si="14"/>
        <v>0</v>
      </c>
      <c r="S60">
        <f t="shared" si="15"/>
        <v>8</v>
      </c>
      <c r="T60">
        <f t="shared" si="16"/>
        <v>55</v>
      </c>
      <c r="U60" s="14">
        <f t="shared" si="17"/>
        <v>535</v>
      </c>
      <c r="V60" s="15" t="str">
        <f>"V:\Tutorials\Programming\Java Spring\Framework in Depth\"&amp;E60&amp;"\"&amp;F60&amp;".mkv"</f>
        <v>V:\Tutorials\Programming\Java Spring\Framework in Depth\3. Component Scanning\2. Implementing component scanning.mkv</v>
      </c>
      <c r="Z60" s="14"/>
    </row>
    <row r="61" spans="1:26" hidden="1" x14ac:dyDescent="0.25">
      <c r="A61" s="16" t="s">
        <v>257</v>
      </c>
      <c r="B61" s="17" t="b">
        <f t="shared" si="0"/>
        <v>0</v>
      </c>
      <c r="C61" s="17" t="b">
        <f t="shared" si="12"/>
        <v>0</v>
      </c>
      <c r="D61" s="17">
        <f t="shared" si="8"/>
        <v>2</v>
      </c>
      <c r="E61" s="17" t="str">
        <f t="shared" si="9"/>
        <v>3. Component Scanning</v>
      </c>
      <c r="F61" s="18" t="str">
        <f t="shared" si="19"/>
        <v/>
      </c>
      <c r="G61" s="13" t="str">
        <f t="shared" si="2"/>
        <v/>
      </c>
      <c r="H61">
        <f t="shared" si="3"/>
        <v>0</v>
      </c>
      <c r="I61" s="14">
        <f t="shared" si="10"/>
        <v>0</v>
      </c>
      <c r="J61" s="13">
        <f t="shared" si="4"/>
        <v>827</v>
      </c>
      <c r="K61">
        <f t="shared" si="5"/>
        <v>0</v>
      </c>
      <c r="L61">
        <f t="shared" si="6"/>
        <v>13</v>
      </c>
      <c r="M61" s="14">
        <f t="shared" si="7"/>
        <v>47</v>
      </c>
      <c r="N61" s="13">
        <f t="shared" si="18"/>
        <v>0</v>
      </c>
      <c r="O61">
        <f t="shared" si="18"/>
        <v>8</v>
      </c>
      <c r="P61">
        <f t="shared" si="18"/>
        <v>55</v>
      </c>
      <c r="Q61" s="14">
        <f t="shared" si="13"/>
        <v>535</v>
      </c>
      <c r="R61" s="13">
        <f t="shared" si="14"/>
        <v>0</v>
      </c>
      <c r="S61">
        <f t="shared" si="15"/>
        <v>8</v>
      </c>
      <c r="T61">
        <f t="shared" si="16"/>
        <v>55</v>
      </c>
      <c r="U61" s="14">
        <f t="shared" si="17"/>
        <v>535</v>
      </c>
      <c r="V61" s="15"/>
      <c r="Z61" s="14"/>
    </row>
    <row r="62" spans="1:26" hidden="1" x14ac:dyDescent="0.25">
      <c r="A62" s="16" t="s">
        <v>229</v>
      </c>
      <c r="B62" s="17" t="b">
        <f t="shared" si="0"/>
        <v>0</v>
      </c>
      <c r="C62" s="17" t="b">
        <f t="shared" si="12"/>
        <v>0</v>
      </c>
      <c r="D62" s="17">
        <f t="shared" si="8"/>
        <v>2</v>
      </c>
      <c r="E62" s="17" t="str">
        <f t="shared" si="9"/>
        <v>3. Component Scanning</v>
      </c>
      <c r="F62" s="18" t="str">
        <f t="shared" si="19"/>
        <v/>
      </c>
      <c r="G62" s="13" t="str">
        <f t="shared" si="2"/>
        <v/>
      </c>
      <c r="H62">
        <f t="shared" si="3"/>
        <v>0</v>
      </c>
      <c r="I62" s="14">
        <f t="shared" si="10"/>
        <v>0</v>
      </c>
      <c r="J62" s="13">
        <f t="shared" si="4"/>
        <v>827</v>
      </c>
      <c r="K62">
        <f t="shared" si="5"/>
        <v>0</v>
      </c>
      <c r="L62">
        <f t="shared" si="6"/>
        <v>13</v>
      </c>
      <c r="M62" s="14">
        <f t="shared" si="7"/>
        <v>47</v>
      </c>
      <c r="N62" s="13">
        <f t="shared" si="18"/>
        <v>0</v>
      </c>
      <c r="O62">
        <f t="shared" si="18"/>
        <v>8</v>
      </c>
      <c r="P62">
        <f t="shared" si="18"/>
        <v>55</v>
      </c>
      <c r="Q62" s="14">
        <f t="shared" si="13"/>
        <v>535</v>
      </c>
      <c r="R62" s="13">
        <f t="shared" si="14"/>
        <v>0</v>
      </c>
      <c r="S62">
        <f t="shared" si="15"/>
        <v>8</v>
      </c>
      <c r="T62">
        <f t="shared" si="16"/>
        <v>55</v>
      </c>
      <c r="U62" s="14">
        <f t="shared" si="17"/>
        <v>535</v>
      </c>
      <c r="V62" s="15"/>
      <c r="Z62" s="14"/>
    </row>
    <row r="63" spans="1:26" x14ac:dyDescent="0.25">
      <c r="A63" s="16" t="s">
        <v>258</v>
      </c>
      <c r="B63" s="17" t="b">
        <f t="shared" si="0"/>
        <v>0</v>
      </c>
      <c r="C63" s="17" t="b">
        <f t="shared" si="12"/>
        <v>1</v>
      </c>
      <c r="D63" s="17">
        <f t="shared" si="8"/>
        <v>3</v>
      </c>
      <c r="E63" s="17" t="str">
        <f t="shared" si="9"/>
        <v>3. Component Scanning</v>
      </c>
      <c r="F63" s="18" t="str">
        <f>SUBSTITUTE(IF(C63,D63&amp;". "&amp;A63,IF(A63="Chapter Quiz",A63,"")),":", " -")</f>
        <v>3. Lifecycle methods</v>
      </c>
      <c r="G63" s="13" t="str">
        <f t="shared" si="2"/>
        <v>3m 58s</v>
      </c>
      <c r="H63">
        <f t="shared" si="3"/>
        <v>3</v>
      </c>
      <c r="I63" s="14">
        <f t="shared" si="10"/>
        <v>58</v>
      </c>
      <c r="J63" s="13">
        <f t="shared" si="4"/>
        <v>1065</v>
      </c>
      <c r="K63">
        <f t="shared" si="5"/>
        <v>0</v>
      </c>
      <c r="L63">
        <f t="shared" si="6"/>
        <v>17</v>
      </c>
      <c r="M63" s="14">
        <f t="shared" si="7"/>
        <v>45</v>
      </c>
      <c r="N63" s="13">
        <f t="shared" si="18"/>
        <v>0</v>
      </c>
      <c r="O63">
        <f t="shared" si="18"/>
        <v>8</v>
      </c>
      <c r="P63">
        <f t="shared" si="18"/>
        <v>55</v>
      </c>
      <c r="Q63" s="14">
        <f t="shared" si="13"/>
        <v>535</v>
      </c>
      <c r="R63" s="13">
        <f t="shared" si="14"/>
        <v>0</v>
      </c>
      <c r="S63">
        <f t="shared" si="15"/>
        <v>12</v>
      </c>
      <c r="T63">
        <f t="shared" si="16"/>
        <v>53</v>
      </c>
      <c r="U63" s="14">
        <f t="shared" si="17"/>
        <v>773</v>
      </c>
      <c r="V63" s="15" t="str">
        <f>"V:\Tutorials\Programming\Java Spring\Framework in Depth\"&amp;E63&amp;"\"&amp;F63&amp;".mkv"</f>
        <v>V:\Tutorials\Programming\Java Spring\Framework in Depth\3. Component Scanning\3. Lifecycle methods.mkv</v>
      </c>
      <c r="Z63" s="14"/>
    </row>
    <row r="64" spans="1:26" hidden="1" x14ac:dyDescent="0.25">
      <c r="A64" s="16" t="s">
        <v>259</v>
      </c>
      <c r="B64" s="17" t="b">
        <f t="shared" si="0"/>
        <v>0</v>
      </c>
      <c r="C64" s="17" t="b">
        <f t="shared" si="12"/>
        <v>0</v>
      </c>
      <c r="D64" s="17">
        <f t="shared" si="8"/>
        <v>3</v>
      </c>
      <c r="E64" s="17" t="str">
        <f t="shared" si="9"/>
        <v>3. Component Scanning</v>
      </c>
      <c r="F64" s="18" t="str">
        <f t="shared" si="19"/>
        <v/>
      </c>
      <c r="G64" s="13" t="str">
        <f t="shared" si="2"/>
        <v/>
      </c>
      <c r="H64">
        <f t="shared" si="3"/>
        <v>0</v>
      </c>
      <c r="I64" s="14">
        <f t="shared" si="10"/>
        <v>0</v>
      </c>
      <c r="J64" s="13">
        <f t="shared" si="4"/>
        <v>1065</v>
      </c>
      <c r="K64">
        <f t="shared" si="5"/>
        <v>0</v>
      </c>
      <c r="L64">
        <f t="shared" si="6"/>
        <v>17</v>
      </c>
      <c r="M64" s="14">
        <f t="shared" si="7"/>
        <v>45</v>
      </c>
      <c r="N64" s="13">
        <f t="shared" si="18"/>
        <v>0</v>
      </c>
      <c r="O64">
        <f t="shared" si="18"/>
        <v>12</v>
      </c>
      <c r="P64">
        <f t="shared" si="18"/>
        <v>53</v>
      </c>
      <c r="Q64" s="14">
        <f t="shared" si="13"/>
        <v>773</v>
      </c>
      <c r="R64" s="13">
        <f t="shared" si="14"/>
        <v>0</v>
      </c>
      <c r="S64">
        <f t="shared" si="15"/>
        <v>12</v>
      </c>
      <c r="T64">
        <f t="shared" si="16"/>
        <v>53</v>
      </c>
      <c r="U64" s="14">
        <f t="shared" si="17"/>
        <v>773</v>
      </c>
      <c r="V64" s="15"/>
      <c r="Z64" s="14"/>
    </row>
    <row r="65" spans="1:26" hidden="1" x14ac:dyDescent="0.25">
      <c r="A65" s="16" t="s">
        <v>229</v>
      </c>
      <c r="B65" s="17" t="b">
        <f t="shared" si="0"/>
        <v>0</v>
      </c>
      <c r="C65" s="17" t="b">
        <f t="shared" si="12"/>
        <v>0</v>
      </c>
      <c r="D65" s="17">
        <f t="shared" si="8"/>
        <v>3</v>
      </c>
      <c r="E65" s="17" t="str">
        <f t="shared" si="9"/>
        <v>3. Component Scanning</v>
      </c>
      <c r="F65" s="18" t="str">
        <f t="shared" si="19"/>
        <v/>
      </c>
      <c r="G65" s="13" t="str">
        <f t="shared" si="2"/>
        <v/>
      </c>
      <c r="H65">
        <f t="shared" si="3"/>
        <v>0</v>
      </c>
      <c r="I65" s="14">
        <f t="shared" si="10"/>
        <v>0</v>
      </c>
      <c r="J65" s="13">
        <f t="shared" si="4"/>
        <v>1065</v>
      </c>
      <c r="K65">
        <f t="shared" si="5"/>
        <v>0</v>
      </c>
      <c r="L65">
        <f t="shared" si="6"/>
        <v>17</v>
      </c>
      <c r="M65" s="14">
        <f t="shared" si="7"/>
        <v>45</v>
      </c>
      <c r="N65" s="13">
        <f t="shared" si="18"/>
        <v>0</v>
      </c>
      <c r="O65">
        <f t="shared" si="18"/>
        <v>12</v>
      </c>
      <c r="P65">
        <f t="shared" si="18"/>
        <v>53</v>
      </c>
      <c r="Q65" s="14">
        <f t="shared" si="13"/>
        <v>773</v>
      </c>
      <c r="R65" s="13">
        <f t="shared" si="14"/>
        <v>0</v>
      </c>
      <c r="S65">
        <f t="shared" si="15"/>
        <v>12</v>
      </c>
      <c r="T65">
        <f t="shared" si="16"/>
        <v>53</v>
      </c>
      <c r="U65" s="14">
        <f t="shared" si="17"/>
        <v>773</v>
      </c>
      <c r="V65" s="15"/>
      <c r="Z65" s="14"/>
    </row>
    <row r="66" spans="1:26" x14ac:dyDescent="0.25">
      <c r="A66" s="16" t="s">
        <v>21</v>
      </c>
      <c r="B66" s="17" t="b">
        <f t="shared" si="0"/>
        <v>0</v>
      </c>
      <c r="C66" s="17" t="b">
        <f t="shared" si="12"/>
        <v>0</v>
      </c>
      <c r="D66" s="17">
        <f t="shared" si="8"/>
        <v>3</v>
      </c>
      <c r="E66" s="17" t="str">
        <f t="shared" si="9"/>
        <v>3. Component Scanning</v>
      </c>
      <c r="F66" s="18" t="str">
        <f>SUBSTITUTE(IF(C66,D66&amp;". "&amp;A66,IF(A66="Chapter Quiz",A66,"")),":", " -")</f>
        <v>Chapter Quiz</v>
      </c>
      <c r="G66" s="13" t="str">
        <f t="shared" si="2"/>
        <v/>
      </c>
      <c r="H66">
        <f t="shared" si="3"/>
        <v>0</v>
      </c>
      <c r="I66" s="14">
        <f t="shared" si="10"/>
        <v>0</v>
      </c>
      <c r="J66" s="13">
        <f t="shared" si="4"/>
        <v>1065</v>
      </c>
      <c r="K66">
        <f t="shared" si="5"/>
        <v>0</v>
      </c>
      <c r="L66">
        <f t="shared" si="6"/>
        <v>17</v>
      </c>
      <c r="M66" s="14">
        <f t="shared" si="7"/>
        <v>45</v>
      </c>
      <c r="N66" s="13">
        <f t="shared" si="18"/>
        <v>0</v>
      </c>
      <c r="O66">
        <f t="shared" si="18"/>
        <v>12</v>
      </c>
      <c r="P66">
        <f t="shared" si="18"/>
        <v>53</v>
      </c>
      <c r="Q66" s="14">
        <f t="shared" si="13"/>
        <v>773</v>
      </c>
      <c r="R66" s="13">
        <f t="shared" si="14"/>
        <v>0</v>
      </c>
      <c r="S66">
        <f t="shared" si="15"/>
        <v>12</v>
      </c>
      <c r="T66">
        <f t="shared" si="16"/>
        <v>53</v>
      </c>
      <c r="U66" s="14">
        <f t="shared" si="17"/>
        <v>773</v>
      </c>
      <c r="V66" s="15" t="str">
        <f>"V:\Tutorials\Programming\Java Spring\Framework in Depth\"&amp;E66&amp;"\"&amp;F66&amp;".mkv"</f>
        <v>V:\Tutorials\Programming\Java Spring\Framework in Depth\3. Component Scanning\Chapter Quiz.mkv</v>
      </c>
      <c r="Z66" s="14"/>
    </row>
    <row r="67" spans="1:26" hidden="1" x14ac:dyDescent="0.25">
      <c r="A67" s="16" t="s">
        <v>260</v>
      </c>
      <c r="B67" s="17" t="b">
        <f t="shared" si="0"/>
        <v>0</v>
      </c>
      <c r="C67" s="17" t="b">
        <f t="shared" si="12"/>
        <v>0</v>
      </c>
      <c r="D67" s="17">
        <f t="shared" si="8"/>
        <v>3</v>
      </c>
      <c r="E67" s="17" t="str">
        <f t="shared" si="9"/>
        <v>3. Component Scanning</v>
      </c>
      <c r="F67" s="18" t="str">
        <f t="shared" si="19"/>
        <v/>
      </c>
      <c r="G67" s="13" t="str">
        <f t="shared" si="2"/>
        <v/>
      </c>
      <c r="H67">
        <f t="shared" si="3"/>
        <v>0</v>
      </c>
      <c r="I67" s="14">
        <f t="shared" si="10"/>
        <v>0</v>
      </c>
      <c r="J67" s="13">
        <f t="shared" si="4"/>
        <v>1065</v>
      </c>
      <c r="K67">
        <f t="shared" si="5"/>
        <v>0</v>
      </c>
      <c r="L67">
        <f t="shared" si="6"/>
        <v>17</v>
      </c>
      <c r="M67" s="14">
        <f t="shared" si="7"/>
        <v>45</v>
      </c>
      <c r="N67" s="13">
        <f t="shared" si="18"/>
        <v>0</v>
      </c>
      <c r="O67">
        <f t="shared" si="18"/>
        <v>12</v>
      </c>
      <c r="P67">
        <f t="shared" si="18"/>
        <v>53</v>
      </c>
      <c r="Q67" s="14">
        <f t="shared" si="13"/>
        <v>773</v>
      </c>
      <c r="R67" s="13">
        <f t="shared" si="14"/>
        <v>0</v>
      </c>
      <c r="S67">
        <f t="shared" si="15"/>
        <v>12</v>
      </c>
      <c r="T67">
        <f t="shared" si="16"/>
        <v>53</v>
      </c>
      <c r="U67" s="14">
        <f t="shared" si="17"/>
        <v>773</v>
      </c>
      <c r="V67" s="15"/>
      <c r="Z67" s="14"/>
    </row>
    <row r="68" spans="1:26" hidden="1" x14ac:dyDescent="0.25">
      <c r="A68" s="16"/>
      <c r="B68" s="17" t="b">
        <f t="shared" si="0"/>
        <v>0</v>
      </c>
      <c r="C68" s="17" t="b">
        <f t="shared" si="12"/>
        <v>0</v>
      </c>
      <c r="D68" s="17">
        <f t="shared" si="8"/>
        <v>3</v>
      </c>
      <c r="E68" s="17" t="str">
        <f t="shared" si="9"/>
        <v>3. Component Scanning</v>
      </c>
      <c r="F68" s="18" t="str">
        <f t="shared" si="19"/>
        <v/>
      </c>
      <c r="G68" s="13" t="str">
        <f t="shared" si="2"/>
        <v/>
      </c>
      <c r="H68">
        <f t="shared" si="3"/>
        <v>0</v>
      </c>
      <c r="I68" s="14">
        <f t="shared" si="10"/>
        <v>0</v>
      </c>
      <c r="J68" s="13">
        <f t="shared" si="4"/>
        <v>1065</v>
      </c>
      <c r="K68">
        <f t="shared" si="5"/>
        <v>0</v>
      </c>
      <c r="L68">
        <f t="shared" si="6"/>
        <v>17</v>
      </c>
      <c r="M68" s="14">
        <f t="shared" si="7"/>
        <v>45</v>
      </c>
      <c r="N68" s="13">
        <f t="shared" si="18"/>
        <v>0</v>
      </c>
      <c r="O68">
        <f t="shared" si="18"/>
        <v>12</v>
      </c>
      <c r="P68">
        <f t="shared" si="18"/>
        <v>53</v>
      </c>
      <c r="Q68" s="14">
        <f t="shared" si="13"/>
        <v>773</v>
      </c>
      <c r="R68" s="13">
        <f t="shared" si="14"/>
        <v>0</v>
      </c>
      <c r="S68">
        <f t="shared" si="15"/>
        <v>12</v>
      </c>
      <c r="T68">
        <f t="shared" si="16"/>
        <v>53</v>
      </c>
      <c r="U68" s="14">
        <f t="shared" si="17"/>
        <v>773</v>
      </c>
      <c r="V68" s="15"/>
      <c r="Z68" s="14"/>
    </row>
    <row r="69" spans="1:26" hidden="1" x14ac:dyDescent="0.25">
      <c r="A69" s="16" t="s">
        <v>261</v>
      </c>
      <c r="B69" s="17" t="b">
        <f t="shared" si="0"/>
        <v>1</v>
      </c>
      <c r="C69" s="17" t="b">
        <f t="shared" si="12"/>
        <v>0</v>
      </c>
      <c r="D69" s="17">
        <f t="shared" si="8"/>
        <v>0</v>
      </c>
      <c r="E69" s="17" t="str">
        <f t="shared" si="9"/>
        <v>4. The Bean Lifecycle</v>
      </c>
      <c r="F69" s="18" t="str">
        <f t="shared" si="19"/>
        <v/>
      </c>
      <c r="G69" s="13" t="str">
        <f t="shared" si="2"/>
        <v/>
      </c>
      <c r="H69">
        <f t="shared" si="3"/>
        <v>0</v>
      </c>
      <c r="I69" s="14">
        <f t="shared" si="10"/>
        <v>0</v>
      </c>
      <c r="J69" s="13">
        <f t="shared" si="4"/>
        <v>1065</v>
      </c>
      <c r="K69">
        <f t="shared" si="5"/>
        <v>0</v>
      </c>
      <c r="L69">
        <f t="shared" si="6"/>
        <v>17</v>
      </c>
      <c r="M69" s="14">
        <f t="shared" si="7"/>
        <v>45</v>
      </c>
      <c r="N69" s="13">
        <f t="shared" si="18"/>
        <v>0</v>
      </c>
      <c r="O69">
        <f t="shared" si="18"/>
        <v>12</v>
      </c>
      <c r="P69">
        <f t="shared" si="18"/>
        <v>53</v>
      </c>
      <c r="Q69" s="14">
        <f t="shared" si="13"/>
        <v>773</v>
      </c>
      <c r="R69" s="13">
        <f t="shared" si="14"/>
        <v>0</v>
      </c>
      <c r="S69">
        <f t="shared" si="15"/>
        <v>12</v>
      </c>
      <c r="T69">
        <f t="shared" si="16"/>
        <v>53</v>
      </c>
      <c r="U69" s="14">
        <f t="shared" si="17"/>
        <v>773</v>
      </c>
      <c r="V69" s="15"/>
      <c r="Z69" s="14"/>
    </row>
    <row r="70" spans="1:26" hidden="1" x14ac:dyDescent="0.25">
      <c r="A70" s="16"/>
      <c r="B70" s="17" t="b">
        <f t="shared" si="0"/>
        <v>0</v>
      </c>
      <c r="C70" s="17" t="b">
        <f t="shared" si="12"/>
        <v>0</v>
      </c>
      <c r="D70" s="17">
        <f t="shared" si="8"/>
        <v>0</v>
      </c>
      <c r="E70" s="17" t="str">
        <f t="shared" si="9"/>
        <v>4. The Bean Lifecycle</v>
      </c>
      <c r="F70" s="18" t="str">
        <f t="shared" si="19"/>
        <v/>
      </c>
      <c r="G70" s="13" t="str">
        <f t="shared" si="2"/>
        <v/>
      </c>
      <c r="H70">
        <f t="shared" si="3"/>
        <v>0</v>
      </c>
      <c r="I70" s="14">
        <f t="shared" si="10"/>
        <v>0</v>
      </c>
      <c r="J70" s="13">
        <f t="shared" si="4"/>
        <v>1065</v>
      </c>
      <c r="K70">
        <f t="shared" si="5"/>
        <v>0</v>
      </c>
      <c r="L70">
        <f t="shared" si="6"/>
        <v>17</v>
      </c>
      <c r="M70" s="14">
        <f t="shared" si="7"/>
        <v>45</v>
      </c>
      <c r="N70" s="13">
        <f t="shared" si="18"/>
        <v>0</v>
      </c>
      <c r="O70">
        <f t="shared" si="18"/>
        <v>12</v>
      </c>
      <c r="P70">
        <f t="shared" si="18"/>
        <v>53</v>
      </c>
      <c r="Q70" s="14">
        <f t="shared" si="13"/>
        <v>773</v>
      </c>
      <c r="R70" s="13">
        <f t="shared" si="14"/>
        <v>0</v>
      </c>
      <c r="S70">
        <f t="shared" si="15"/>
        <v>12</v>
      </c>
      <c r="T70">
        <f t="shared" si="16"/>
        <v>53</v>
      </c>
      <c r="U70" s="14">
        <f t="shared" si="17"/>
        <v>773</v>
      </c>
      <c r="V70" s="15"/>
      <c r="Z70" s="14"/>
    </row>
    <row r="71" spans="1:26" x14ac:dyDescent="0.25">
      <c r="A71" s="16" t="s">
        <v>262</v>
      </c>
      <c r="B71" s="17" t="b">
        <f t="shared" si="0"/>
        <v>0</v>
      </c>
      <c r="C71" s="17" t="b">
        <f t="shared" si="12"/>
        <v>1</v>
      </c>
      <c r="D71" s="17">
        <f t="shared" si="8"/>
        <v>1</v>
      </c>
      <c r="E71" s="17" t="str">
        <f t="shared" si="9"/>
        <v>4. The Bean Lifecycle</v>
      </c>
      <c r="F71" s="18" t="str">
        <f>SUBSTITUTE(IF(C71,D71&amp;". "&amp;A71,IF(A71="Chapter Quiz",A71,"")),":", " -")</f>
        <v>1. Why the lifecycle is so important</v>
      </c>
      <c r="G71" s="13" t="str">
        <f t="shared" si="2"/>
        <v>3m 38s</v>
      </c>
      <c r="H71">
        <f t="shared" si="3"/>
        <v>3</v>
      </c>
      <c r="I71" s="14">
        <f t="shared" si="10"/>
        <v>38</v>
      </c>
      <c r="J71" s="13">
        <f t="shared" si="4"/>
        <v>1283</v>
      </c>
      <c r="K71">
        <f t="shared" si="5"/>
        <v>0</v>
      </c>
      <c r="L71">
        <f t="shared" si="6"/>
        <v>21</v>
      </c>
      <c r="M71" s="14">
        <f t="shared" si="7"/>
        <v>23</v>
      </c>
      <c r="N71" s="13">
        <f t="shared" si="18"/>
        <v>0</v>
      </c>
      <c r="O71">
        <v>0</v>
      </c>
      <c r="P71">
        <v>0</v>
      </c>
      <c r="Q71" s="14">
        <f t="shared" si="13"/>
        <v>0</v>
      </c>
      <c r="R71" s="13">
        <f t="shared" si="14"/>
        <v>0</v>
      </c>
      <c r="S71">
        <f t="shared" si="15"/>
        <v>3</v>
      </c>
      <c r="T71">
        <f t="shared" si="16"/>
        <v>38</v>
      </c>
      <c r="U71" s="14">
        <f t="shared" si="17"/>
        <v>218</v>
      </c>
      <c r="V71" s="15" t="str">
        <f>"V:\Tutorials\Programming\Java Spring\Framework in Depth\"&amp;E71&amp;"\"&amp;F71&amp;".mkv"</f>
        <v>V:\Tutorials\Programming\Java Spring\Framework in Depth\4. The Bean Lifecycle\1. Why the lifecycle is so important.mkv</v>
      </c>
      <c r="Z71" s="14"/>
    </row>
    <row r="72" spans="1:26" hidden="1" x14ac:dyDescent="0.25">
      <c r="A72" s="16" t="s">
        <v>263</v>
      </c>
      <c r="B72" s="17" t="b">
        <f t="shared" si="0"/>
        <v>0</v>
      </c>
      <c r="C72" s="17" t="b">
        <f t="shared" si="12"/>
        <v>0</v>
      </c>
      <c r="D72" s="17">
        <f t="shared" si="8"/>
        <v>1</v>
      </c>
      <c r="E72" s="17" t="str">
        <f t="shared" si="9"/>
        <v>4. The Bean Lifecycle</v>
      </c>
      <c r="F72" s="18" t="str">
        <f t="shared" si="19"/>
        <v/>
      </c>
      <c r="G72" s="13" t="str">
        <f t="shared" si="2"/>
        <v/>
      </c>
      <c r="H72">
        <f t="shared" si="3"/>
        <v>0</v>
      </c>
      <c r="I72" s="14">
        <f t="shared" si="10"/>
        <v>0</v>
      </c>
      <c r="J72" s="13">
        <f t="shared" si="4"/>
        <v>1283</v>
      </c>
      <c r="K72">
        <f t="shared" si="5"/>
        <v>0</v>
      </c>
      <c r="L72">
        <f t="shared" si="6"/>
        <v>21</v>
      </c>
      <c r="M72" s="14">
        <f t="shared" si="7"/>
        <v>23</v>
      </c>
      <c r="N72" s="13">
        <f t="shared" si="18"/>
        <v>0</v>
      </c>
      <c r="O72">
        <f t="shared" si="18"/>
        <v>3</v>
      </c>
      <c r="P72">
        <f t="shared" si="18"/>
        <v>38</v>
      </c>
      <c r="Q72" s="14">
        <f t="shared" si="13"/>
        <v>218</v>
      </c>
      <c r="R72" s="13">
        <f t="shared" si="14"/>
        <v>0</v>
      </c>
      <c r="S72">
        <f t="shared" si="15"/>
        <v>3</v>
      </c>
      <c r="T72">
        <f t="shared" si="16"/>
        <v>38</v>
      </c>
      <c r="U72" s="14">
        <f t="shared" si="17"/>
        <v>218</v>
      </c>
      <c r="V72" s="15"/>
      <c r="Z72" s="14"/>
    </row>
    <row r="73" spans="1:26" hidden="1" x14ac:dyDescent="0.25">
      <c r="A73" s="16" t="s">
        <v>229</v>
      </c>
      <c r="B73" s="17" t="b">
        <f t="shared" si="0"/>
        <v>0</v>
      </c>
      <c r="C73" s="17" t="b">
        <f t="shared" si="12"/>
        <v>0</v>
      </c>
      <c r="D73" s="17">
        <f t="shared" si="8"/>
        <v>1</v>
      </c>
      <c r="E73" s="17" t="str">
        <f t="shared" si="9"/>
        <v>4. The Bean Lifecycle</v>
      </c>
      <c r="F73" s="18" t="str">
        <f t="shared" si="19"/>
        <v/>
      </c>
      <c r="G73" s="13" t="str">
        <f t="shared" si="2"/>
        <v/>
      </c>
      <c r="H73">
        <f t="shared" si="3"/>
        <v>0</v>
      </c>
      <c r="I73" s="14">
        <f t="shared" si="10"/>
        <v>0</v>
      </c>
      <c r="J73" s="13">
        <f t="shared" si="4"/>
        <v>1283</v>
      </c>
      <c r="K73">
        <f t="shared" si="5"/>
        <v>0</v>
      </c>
      <c r="L73">
        <f t="shared" si="6"/>
        <v>21</v>
      </c>
      <c r="M73" s="14">
        <f t="shared" si="7"/>
        <v>23</v>
      </c>
      <c r="N73" s="13">
        <f t="shared" si="18"/>
        <v>0</v>
      </c>
      <c r="O73">
        <f t="shared" si="18"/>
        <v>3</v>
      </c>
      <c r="P73">
        <f t="shared" si="18"/>
        <v>38</v>
      </c>
      <c r="Q73" s="14">
        <f t="shared" si="13"/>
        <v>218</v>
      </c>
      <c r="R73" s="13">
        <f t="shared" si="14"/>
        <v>0</v>
      </c>
      <c r="S73">
        <f t="shared" si="15"/>
        <v>3</v>
      </c>
      <c r="T73">
        <f t="shared" si="16"/>
        <v>38</v>
      </c>
      <c r="U73" s="14">
        <f t="shared" si="17"/>
        <v>218</v>
      </c>
      <c r="V73" s="15"/>
      <c r="Z73" s="14"/>
    </row>
    <row r="74" spans="1:26" x14ac:dyDescent="0.25">
      <c r="A74" s="16" t="s">
        <v>264</v>
      </c>
      <c r="B74" s="17" t="b">
        <f t="shared" si="0"/>
        <v>0</v>
      </c>
      <c r="C74" s="17" t="b">
        <f t="shared" si="12"/>
        <v>1</v>
      </c>
      <c r="D74" s="17">
        <f t="shared" si="8"/>
        <v>2</v>
      </c>
      <c r="E74" s="17" t="str">
        <f t="shared" si="9"/>
        <v>4. The Bean Lifecycle</v>
      </c>
      <c r="F74" s="18" t="str">
        <f>SUBSTITUTE(IF(C74,D74&amp;". "&amp;A74,IF(A74="Chapter Quiz",A74,"")),":", " -")</f>
        <v>2. The overall picture</v>
      </c>
      <c r="G74" s="13" t="str">
        <f t="shared" si="2"/>
        <v>2m 25s</v>
      </c>
      <c r="H74">
        <f t="shared" si="3"/>
        <v>2</v>
      </c>
      <c r="I74" s="14">
        <f t="shared" si="10"/>
        <v>25</v>
      </c>
      <c r="J74" s="13">
        <f t="shared" si="4"/>
        <v>1428</v>
      </c>
      <c r="K74">
        <f t="shared" si="5"/>
        <v>0</v>
      </c>
      <c r="L74">
        <f t="shared" si="6"/>
        <v>23</v>
      </c>
      <c r="M74" s="14">
        <f t="shared" si="7"/>
        <v>48</v>
      </c>
      <c r="N74" s="13">
        <f t="shared" si="18"/>
        <v>0</v>
      </c>
      <c r="O74">
        <f t="shared" si="18"/>
        <v>3</v>
      </c>
      <c r="P74">
        <v>47</v>
      </c>
      <c r="Q74" s="14">
        <f t="shared" si="13"/>
        <v>227</v>
      </c>
      <c r="R74" s="13">
        <f t="shared" si="14"/>
        <v>0</v>
      </c>
      <c r="S74">
        <f t="shared" si="15"/>
        <v>6</v>
      </c>
      <c r="T74">
        <f t="shared" si="16"/>
        <v>12</v>
      </c>
      <c r="U74" s="14">
        <f t="shared" si="17"/>
        <v>372</v>
      </c>
      <c r="V74" s="15" t="str">
        <f>"V:\Tutorials\Programming\Java Spring\Framework in Depth\"&amp;E74&amp;"\"&amp;F74&amp;".mkv"</f>
        <v>V:\Tutorials\Programming\Java Spring\Framework in Depth\4. The Bean Lifecycle\2. The overall picture.mkv</v>
      </c>
      <c r="Z74" s="14"/>
    </row>
    <row r="75" spans="1:26" hidden="1" x14ac:dyDescent="0.25">
      <c r="A75" s="16" t="s">
        <v>265</v>
      </c>
      <c r="B75" s="17" t="b">
        <f t="shared" ref="B75:B138" si="20">AND(NOT(ISERROR(FIND(". ",A75))),ISNUMBER(VALUE(LEFT(A75,FIND(". ",A75)-1))))</f>
        <v>0</v>
      </c>
      <c r="C75" s="17" t="b">
        <f t="shared" si="12"/>
        <v>0</v>
      </c>
      <c r="D75" s="17">
        <f t="shared" si="8"/>
        <v>2</v>
      </c>
      <c r="E75" s="17" t="str">
        <f t="shared" si="9"/>
        <v>4. The Bean Lifecycle</v>
      </c>
      <c r="F75" s="18" t="str">
        <f t="shared" si="19"/>
        <v/>
      </c>
      <c r="G75" s="13" t="str">
        <f t="shared" ref="G75:G138" si="21">IF(C75,IF(ISERROR(FIND("s",A76)),LEFT(A76,FIND("m",A76)),LEFT(A76,FIND("s",A76))),"")</f>
        <v/>
      </c>
      <c r="H75">
        <f t="shared" ref="H75:H138" si="22">IF(OR(G75="",ISERROR(FIND("m",G75))),0,VALUE(LEFT(G75,FIND("m",G75)-1)))</f>
        <v>0</v>
      </c>
      <c r="I75" s="14">
        <f t="shared" si="10"/>
        <v>0</v>
      </c>
      <c r="J75" s="13">
        <f t="shared" ref="J75:J138" si="23">J74+(H75*60+I75)</f>
        <v>1428</v>
      </c>
      <c r="K75">
        <f t="shared" ref="K75:K138" si="24">INT(J75/60/60)</f>
        <v>0</v>
      </c>
      <c r="L75">
        <f t="shared" ref="L75:L138" si="25">INT((J75-(K75*60*60))/60)</f>
        <v>23</v>
      </c>
      <c r="M75" s="14">
        <f t="shared" ref="M75:M138" si="26">J75-(((K75*60)+L75)*60)</f>
        <v>48</v>
      </c>
      <c r="N75" s="13">
        <f t="shared" si="18"/>
        <v>0</v>
      </c>
      <c r="O75">
        <f t="shared" si="18"/>
        <v>6</v>
      </c>
      <c r="P75">
        <f t="shared" si="18"/>
        <v>12</v>
      </c>
      <c r="Q75" s="14">
        <f t="shared" si="13"/>
        <v>372</v>
      </c>
      <c r="R75" s="13">
        <f t="shared" si="14"/>
        <v>0</v>
      </c>
      <c r="S75">
        <f t="shared" si="15"/>
        <v>6</v>
      </c>
      <c r="T75">
        <f t="shared" si="16"/>
        <v>12</v>
      </c>
      <c r="U75" s="14">
        <f t="shared" si="17"/>
        <v>372</v>
      </c>
      <c r="V75" s="15"/>
      <c r="Z75" s="14"/>
    </row>
    <row r="76" spans="1:26" hidden="1" x14ac:dyDescent="0.25">
      <c r="A76" s="16" t="s">
        <v>229</v>
      </c>
      <c r="B76" s="17" t="b">
        <f t="shared" si="20"/>
        <v>0</v>
      </c>
      <c r="C76" s="17" t="b">
        <f t="shared" si="12"/>
        <v>0</v>
      </c>
      <c r="D76" s="17">
        <f t="shared" ref="D76:D139" si="27">IF(B76,0,IF(C76,D75+1,D75))</f>
        <v>2</v>
      </c>
      <c r="E76" s="17" t="str">
        <f t="shared" ref="E76:E139" si="28">IF(B76,A76,E75)</f>
        <v>4. The Bean Lifecycle</v>
      </c>
      <c r="F76" s="18" t="str">
        <f t="shared" si="19"/>
        <v/>
      </c>
      <c r="G76" s="13" t="str">
        <f t="shared" si="21"/>
        <v/>
      </c>
      <c r="H76">
        <f t="shared" si="22"/>
        <v>0</v>
      </c>
      <c r="I76" s="14">
        <f t="shared" ref="I76:I139" si="29">IF(OR(G76="",ISERROR(FIND("s",G76))),0,VALUE(SUBSTITUTE(MID(G76,IF(ISERROR(FIND("m",G76)), 0,FIND("m",G76))+1,LEN(G76)),"s","")))</f>
        <v>0</v>
      </c>
      <c r="J76" s="13">
        <f t="shared" si="23"/>
        <v>1428</v>
      </c>
      <c r="K76">
        <f t="shared" si="24"/>
        <v>0</v>
      </c>
      <c r="L76">
        <f t="shared" si="25"/>
        <v>23</v>
      </c>
      <c r="M76" s="14">
        <f t="shared" si="26"/>
        <v>48</v>
      </c>
      <c r="N76" s="13">
        <f t="shared" si="18"/>
        <v>0</v>
      </c>
      <c r="O76">
        <f t="shared" si="18"/>
        <v>6</v>
      </c>
      <c r="P76">
        <f t="shared" si="18"/>
        <v>12</v>
      </c>
      <c r="Q76" s="14">
        <f t="shared" si="13"/>
        <v>372</v>
      </c>
      <c r="R76" s="13">
        <f t="shared" si="14"/>
        <v>0</v>
      </c>
      <c r="S76">
        <f t="shared" si="15"/>
        <v>6</v>
      </c>
      <c r="T76">
        <f t="shared" si="16"/>
        <v>12</v>
      </c>
      <c r="U76" s="14">
        <f t="shared" si="17"/>
        <v>372</v>
      </c>
      <c r="V76" s="15"/>
      <c r="Z76" s="14"/>
    </row>
    <row r="77" spans="1:26" x14ac:dyDescent="0.25">
      <c r="A77" s="16" t="s">
        <v>266</v>
      </c>
      <c r="B77" s="17" t="b">
        <f t="shared" si="20"/>
        <v>0</v>
      </c>
      <c r="C77" s="17" t="b">
        <f t="shared" si="12"/>
        <v>1</v>
      </c>
      <c r="D77" s="17">
        <f t="shared" si="27"/>
        <v>3</v>
      </c>
      <c r="E77" s="17" t="str">
        <f t="shared" si="28"/>
        <v>4. The Bean Lifecycle</v>
      </c>
      <c r="F77" s="18" t="str">
        <f>SUBSTITUTE(IF(C77,D77&amp;". "&amp;A77,IF(A77="Chapter Quiz",A77,"")),":", " -")</f>
        <v>3. The init phase - Loading bean definitions</v>
      </c>
      <c r="G77" s="13" t="str">
        <f t="shared" si="21"/>
        <v>2m 54s</v>
      </c>
      <c r="H77">
        <f t="shared" si="22"/>
        <v>2</v>
      </c>
      <c r="I77" s="14">
        <f t="shared" si="29"/>
        <v>54</v>
      </c>
      <c r="J77" s="13">
        <f t="shared" si="23"/>
        <v>1602</v>
      </c>
      <c r="K77">
        <f t="shared" si="24"/>
        <v>0</v>
      </c>
      <c r="L77">
        <f t="shared" si="25"/>
        <v>26</v>
      </c>
      <c r="M77" s="14">
        <f t="shared" si="26"/>
        <v>42</v>
      </c>
      <c r="N77" s="13">
        <f t="shared" si="18"/>
        <v>0</v>
      </c>
      <c r="O77">
        <f t="shared" si="18"/>
        <v>6</v>
      </c>
      <c r="P77">
        <v>16</v>
      </c>
      <c r="Q77" s="14">
        <f t="shared" si="13"/>
        <v>376</v>
      </c>
      <c r="R77" s="13">
        <f t="shared" si="14"/>
        <v>0</v>
      </c>
      <c r="S77">
        <f t="shared" si="15"/>
        <v>9</v>
      </c>
      <c r="T77">
        <f t="shared" si="16"/>
        <v>10</v>
      </c>
      <c r="U77" s="14">
        <f t="shared" si="17"/>
        <v>550</v>
      </c>
      <c r="V77" s="15" t="str">
        <f>"V:\Tutorials\Programming\Java Spring\Framework in Depth\"&amp;E77&amp;"\"&amp;F77&amp;".mkv"</f>
        <v>V:\Tutorials\Programming\Java Spring\Framework in Depth\4. The Bean Lifecycle\3. The init phase - Loading bean definitions.mkv</v>
      </c>
      <c r="Z77" s="14"/>
    </row>
    <row r="78" spans="1:26" hidden="1" x14ac:dyDescent="0.25">
      <c r="A78" s="16" t="s">
        <v>267</v>
      </c>
      <c r="B78" s="17" t="b">
        <f t="shared" si="20"/>
        <v>0</v>
      </c>
      <c r="C78" s="17" t="b">
        <f t="shared" ref="C78:C141" si="30">OR(AND(NOT(ISERROR(FIND("m",A79))),ISNUMBER(VALUE(LEFT(A79,FIND("m",A79)-1)))),AND(NOT(ISERROR(FIND("s",A79))),ISNUMBER(VALUE(LEFT(A79,FIND("s",A79)-1)))))</f>
        <v>0</v>
      </c>
      <c r="D78" s="17">
        <f t="shared" si="27"/>
        <v>3</v>
      </c>
      <c r="E78" s="17" t="str">
        <f t="shared" si="28"/>
        <v>4. The Bean Lifecycle</v>
      </c>
      <c r="F78" s="18" t="str">
        <f t="shared" si="19"/>
        <v/>
      </c>
      <c r="G78" s="13" t="str">
        <f t="shared" si="21"/>
        <v/>
      </c>
      <c r="H78">
        <f t="shared" si="22"/>
        <v>0</v>
      </c>
      <c r="I78" s="14">
        <f t="shared" si="29"/>
        <v>0</v>
      </c>
      <c r="J78" s="13">
        <f t="shared" si="23"/>
        <v>1602</v>
      </c>
      <c r="K78">
        <f t="shared" si="24"/>
        <v>0</v>
      </c>
      <c r="L78">
        <f t="shared" si="25"/>
        <v>26</v>
      </c>
      <c r="M78" s="14">
        <f t="shared" si="26"/>
        <v>42</v>
      </c>
      <c r="N78" s="13">
        <f t="shared" si="18"/>
        <v>0</v>
      </c>
      <c r="O78">
        <f t="shared" si="18"/>
        <v>9</v>
      </c>
      <c r="P78">
        <f t="shared" si="18"/>
        <v>10</v>
      </c>
      <c r="Q78" s="14">
        <f t="shared" ref="Q78:Q141" si="31">(((N78*60)+O78)*60)+P78</f>
        <v>550</v>
      </c>
      <c r="R78" s="13">
        <f t="shared" ref="R78:R141" si="32">INT(U78/60/60)</f>
        <v>0</v>
      </c>
      <c r="S78">
        <f t="shared" ref="S78:S141" si="33">INT((U78-(R78*60*60))/60)</f>
        <v>9</v>
      </c>
      <c r="T78">
        <f t="shared" ref="T78:T141" si="34">U78-(((R78*60)+S78)*60)</f>
        <v>10</v>
      </c>
      <c r="U78" s="14">
        <f t="shared" ref="U78:U141" si="35">((H78*60)+I78)+Q78</f>
        <v>550</v>
      </c>
      <c r="V78" s="15"/>
      <c r="Z78" s="14"/>
    </row>
    <row r="79" spans="1:26" hidden="1" x14ac:dyDescent="0.25">
      <c r="A79" s="16" t="s">
        <v>229</v>
      </c>
      <c r="B79" s="17" t="b">
        <f t="shared" si="20"/>
        <v>0</v>
      </c>
      <c r="C79" s="17" t="b">
        <f t="shared" si="30"/>
        <v>0</v>
      </c>
      <c r="D79" s="17">
        <f t="shared" si="27"/>
        <v>3</v>
      </c>
      <c r="E79" s="17" t="str">
        <f t="shared" si="28"/>
        <v>4. The Bean Lifecycle</v>
      </c>
      <c r="F79" s="18" t="str">
        <f t="shared" si="19"/>
        <v/>
      </c>
      <c r="G79" s="13" t="str">
        <f t="shared" si="21"/>
        <v/>
      </c>
      <c r="H79">
        <f t="shared" si="22"/>
        <v>0</v>
      </c>
      <c r="I79" s="14">
        <f t="shared" si="29"/>
        <v>0</v>
      </c>
      <c r="J79" s="13">
        <f t="shared" si="23"/>
        <v>1602</v>
      </c>
      <c r="K79">
        <f t="shared" si="24"/>
        <v>0</v>
      </c>
      <c r="L79">
        <f t="shared" si="25"/>
        <v>26</v>
      </c>
      <c r="M79" s="14">
        <f t="shared" si="26"/>
        <v>42</v>
      </c>
      <c r="N79" s="13">
        <f t="shared" si="18"/>
        <v>0</v>
      </c>
      <c r="O79">
        <f t="shared" si="18"/>
        <v>9</v>
      </c>
      <c r="P79">
        <f t="shared" si="18"/>
        <v>10</v>
      </c>
      <c r="Q79" s="14">
        <f t="shared" si="31"/>
        <v>550</v>
      </c>
      <c r="R79" s="13">
        <f t="shared" si="32"/>
        <v>0</v>
      </c>
      <c r="S79">
        <f t="shared" si="33"/>
        <v>9</v>
      </c>
      <c r="T79">
        <f t="shared" si="34"/>
        <v>10</v>
      </c>
      <c r="U79" s="14">
        <f t="shared" si="35"/>
        <v>550</v>
      </c>
      <c r="V79" s="15"/>
      <c r="Z79" s="14"/>
    </row>
    <row r="80" spans="1:26" x14ac:dyDescent="0.25">
      <c r="A80" s="16" t="s">
        <v>268</v>
      </c>
      <c r="B80" s="17" t="b">
        <f t="shared" si="20"/>
        <v>0</v>
      </c>
      <c r="C80" s="17" t="b">
        <f t="shared" si="30"/>
        <v>1</v>
      </c>
      <c r="D80" s="17">
        <f t="shared" si="27"/>
        <v>4</v>
      </c>
      <c r="E80" s="17" t="str">
        <f t="shared" si="28"/>
        <v>4. The Bean Lifecycle</v>
      </c>
      <c r="F80" s="18" t="str">
        <f>SUBSTITUTE(IF(C80,D80&amp;". "&amp;A80,IF(A80="Chapter Quiz",A80,"")),":", " -")</f>
        <v>4. Init - Bean factory post-processing</v>
      </c>
      <c r="G80" s="13" t="str">
        <f t="shared" si="21"/>
        <v>3m 55s</v>
      </c>
      <c r="H80">
        <f t="shared" si="22"/>
        <v>3</v>
      </c>
      <c r="I80" s="14">
        <f t="shared" si="29"/>
        <v>55</v>
      </c>
      <c r="J80" s="13">
        <f t="shared" si="23"/>
        <v>1837</v>
      </c>
      <c r="K80">
        <f t="shared" si="24"/>
        <v>0</v>
      </c>
      <c r="L80">
        <f t="shared" si="25"/>
        <v>30</v>
      </c>
      <c r="M80" s="14">
        <f t="shared" si="26"/>
        <v>37</v>
      </c>
      <c r="N80" s="13">
        <f t="shared" si="18"/>
        <v>0</v>
      </c>
      <c r="O80">
        <f t="shared" si="18"/>
        <v>9</v>
      </c>
      <c r="P80">
        <f t="shared" si="18"/>
        <v>10</v>
      </c>
      <c r="Q80" s="14">
        <f t="shared" si="31"/>
        <v>550</v>
      </c>
      <c r="R80" s="13">
        <f t="shared" si="32"/>
        <v>0</v>
      </c>
      <c r="S80">
        <f t="shared" si="33"/>
        <v>13</v>
      </c>
      <c r="T80">
        <f t="shared" si="34"/>
        <v>5</v>
      </c>
      <c r="U80" s="14">
        <f t="shared" si="35"/>
        <v>785</v>
      </c>
      <c r="V80" s="15" t="str">
        <f>"V:\Tutorials\Programming\Java Spring\Framework in Depth\"&amp;E80&amp;"\"&amp;F80&amp;".mkv"</f>
        <v>V:\Tutorials\Programming\Java Spring\Framework in Depth\4. The Bean Lifecycle\4. Init - Bean factory post-processing.mkv</v>
      </c>
      <c r="Z80" s="14"/>
    </row>
    <row r="81" spans="1:26" hidden="1" x14ac:dyDescent="0.25">
      <c r="A81" s="16" t="s">
        <v>269</v>
      </c>
      <c r="B81" s="17" t="b">
        <f t="shared" si="20"/>
        <v>0</v>
      </c>
      <c r="C81" s="17" t="b">
        <f t="shared" si="30"/>
        <v>0</v>
      </c>
      <c r="D81" s="17">
        <f t="shared" si="27"/>
        <v>4</v>
      </c>
      <c r="E81" s="17" t="str">
        <f t="shared" si="28"/>
        <v>4. The Bean Lifecycle</v>
      </c>
      <c r="F81" s="18" t="str">
        <f t="shared" si="19"/>
        <v/>
      </c>
      <c r="G81" s="13" t="str">
        <f t="shared" si="21"/>
        <v/>
      </c>
      <c r="H81">
        <f t="shared" si="22"/>
        <v>0</v>
      </c>
      <c r="I81" s="14">
        <f t="shared" si="29"/>
        <v>0</v>
      </c>
      <c r="J81" s="13">
        <f t="shared" si="23"/>
        <v>1837</v>
      </c>
      <c r="K81">
        <f t="shared" si="24"/>
        <v>0</v>
      </c>
      <c r="L81">
        <f t="shared" si="25"/>
        <v>30</v>
      </c>
      <c r="M81" s="14">
        <f t="shared" si="26"/>
        <v>37</v>
      </c>
      <c r="N81" s="13">
        <f t="shared" si="18"/>
        <v>0</v>
      </c>
      <c r="O81">
        <f t="shared" si="18"/>
        <v>13</v>
      </c>
      <c r="P81">
        <f t="shared" si="18"/>
        <v>5</v>
      </c>
      <c r="Q81" s="14">
        <f t="shared" si="31"/>
        <v>785</v>
      </c>
      <c r="R81" s="13">
        <f t="shared" si="32"/>
        <v>0</v>
      </c>
      <c r="S81">
        <f t="shared" si="33"/>
        <v>13</v>
      </c>
      <c r="T81">
        <f t="shared" si="34"/>
        <v>5</v>
      </c>
      <c r="U81" s="14">
        <f t="shared" si="35"/>
        <v>785</v>
      </c>
      <c r="V81" s="15"/>
      <c r="Z81" s="14"/>
    </row>
    <row r="82" spans="1:26" hidden="1" x14ac:dyDescent="0.25">
      <c r="A82" s="16" t="s">
        <v>229</v>
      </c>
      <c r="B82" s="17" t="b">
        <f t="shared" si="20"/>
        <v>0</v>
      </c>
      <c r="C82" s="17" t="b">
        <f t="shared" si="30"/>
        <v>0</v>
      </c>
      <c r="D82" s="17">
        <f t="shared" si="27"/>
        <v>4</v>
      </c>
      <c r="E82" s="17" t="str">
        <f t="shared" si="28"/>
        <v>4. The Bean Lifecycle</v>
      </c>
      <c r="F82" s="18" t="str">
        <f t="shared" si="19"/>
        <v/>
      </c>
      <c r="G82" s="13" t="str">
        <f t="shared" si="21"/>
        <v/>
      </c>
      <c r="H82">
        <f t="shared" si="22"/>
        <v>0</v>
      </c>
      <c r="I82" s="14">
        <f t="shared" si="29"/>
        <v>0</v>
      </c>
      <c r="J82" s="13">
        <f t="shared" si="23"/>
        <v>1837</v>
      </c>
      <c r="K82">
        <f t="shared" si="24"/>
        <v>0</v>
      </c>
      <c r="L82">
        <f t="shared" si="25"/>
        <v>30</v>
      </c>
      <c r="M82" s="14">
        <f t="shared" si="26"/>
        <v>37</v>
      </c>
      <c r="N82" s="13">
        <f t="shared" si="18"/>
        <v>0</v>
      </c>
      <c r="O82">
        <f t="shared" si="18"/>
        <v>13</v>
      </c>
      <c r="P82">
        <f t="shared" si="18"/>
        <v>5</v>
      </c>
      <c r="Q82" s="14">
        <f t="shared" si="31"/>
        <v>785</v>
      </c>
      <c r="R82" s="13">
        <f t="shared" si="32"/>
        <v>0</v>
      </c>
      <c r="S82">
        <f t="shared" si="33"/>
        <v>13</v>
      </c>
      <c r="T82">
        <f t="shared" si="34"/>
        <v>5</v>
      </c>
      <c r="U82" s="14">
        <f t="shared" si="35"/>
        <v>785</v>
      </c>
      <c r="V82" s="15"/>
      <c r="Z82" s="14"/>
    </row>
    <row r="83" spans="1:26" x14ac:dyDescent="0.25">
      <c r="A83" s="16" t="s">
        <v>270</v>
      </c>
      <c r="B83" s="17" t="b">
        <f t="shared" si="20"/>
        <v>0</v>
      </c>
      <c r="C83" s="17" t="b">
        <f t="shared" si="30"/>
        <v>1</v>
      </c>
      <c r="D83" s="17">
        <f t="shared" si="27"/>
        <v>5</v>
      </c>
      <c r="E83" s="17" t="str">
        <f t="shared" si="28"/>
        <v>4. The Bean Lifecycle</v>
      </c>
      <c r="F83" s="18" t="str">
        <f>SUBSTITUTE(IF(C83,D83&amp;". "&amp;A83,IF(A83="Chapter Quiz",A83,"")),":", " -")</f>
        <v>5. Init - Bean instantiation</v>
      </c>
      <c r="G83" s="13" t="str">
        <f t="shared" si="21"/>
        <v>3m</v>
      </c>
      <c r="H83">
        <f t="shared" si="22"/>
        <v>3</v>
      </c>
      <c r="I83" s="14">
        <f t="shared" si="29"/>
        <v>0</v>
      </c>
      <c r="J83" s="13">
        <f t="shared" si="23"/>
        <v>2017</v>
      </c>
      <c r="K83">
        <f t="shared" si="24"/>
        <v>0</v>
      </c>
      <c r="L83">
        <f t="shared" si="25"/>
        <v>33</v>
      </c>
      <c r="M83" s="14">
        <f t="shared" si="26"/>
        <v>37</v>
      </c>
      <c r="N83" s="13">
        <f t="shared" si="18"/>
        <v>0</v>
      </c>
      <c r="O83">
        <f t="shared" si="18"/>
        <v>13</v>
      </c>
      <c r="P83">
        <f t="shared" si="18"/>
        <v>5</v>
      </c>
      <c r="Q83" s="14">
        <f t="shared" si="31"/>
        <v>785</v>
      </c>
      <c r="R83" s="13">
        <f t="shared" si="32"/>
        <v>0</v>
      </c>
      <c r="S83">
        <f t="shared" si="33"/>
        <v>16</v>
      </c>
      <c r="T83">
        <f t="shared" si="34"/>
        <v>5</v>
      </c>
      <c r="U83" s="14">
        <f t="shared" si="35"/>
        <v>965</v>
      </c>
      <c r="V83" s="15" t="str">
        <f>"V:\Tutorials\Programming\Java Spring\Framework in Depth\"&amp;E83&amp;"\"&amp;F83&amp;".mkv"</f>
        <v>V:\Tutorials\Programming\Java Spring\Framework in Depth\4. The Bean Lifecycle\5. Init - Bean instantiation.mkv</v>
      </c>
      <c r="Z83" s="14"/>
    </row>
    <row r="84" spans="1:26" hidden="1" x14ac:dyDescent="0.25">
      <c r="A84" s="16" t="s">
        <v>271</v>
      </c>
      <c r="B84" s="17" t="b">
        <f t="shared" si="20"/>
        <v>0</v>
      </c>
      <c r="C84" s="17" t="b">
        <f t="shared" si="30"/>
        <v>0</v>
      </c>
      <c r="D84" s="17">
        <f t="shared" si="27"/>
        <v>5</v>
      </c>
      <c r="E84" s="17" t="str">
        <f t="shared" si="28"/>
        <v>4. The Bean Lifecycle</v>
      </c>
      <c r="F84" s="18" t="str">
        <f t="shared" si="19"/>
        <v/>
      </c>
      <c r="G84" s="13" t="str">
        <f t="shared" si="21"/>
        <v/>
      </c>
      <c r="H84">
        <f t="shared" si="22"/>
        <v>0</v>
      </c>
      <c r="I84" s="14">
        <f t="shared" si="29"/>
        <v>0</v>
      </c>
      <c r="J84" s="13">
        <f t="shared" si="23"/>
        <v>2017</v>
      </c>
      <c r="K84">
        <f t="shared" si="24"/>
        <v>0</v>
      </c>
      <c r="L84">
        <f t="shared" si="25"/>
        <v>33</v>
      </c>
      <c r="M84" s="14">
        <f t="shared" si="26"/>
        <v>37</v>
      </c>
      <c r="N84" s="13">
        <f t="shared" si="18"/>
        <v>0</v>
      </c>
      <c r="O84">
        <f t="shared" si="18"/>
        <v>16</v>
      </c>
      <c r="P84">
        <f t="shared" si="18"/>
        <v>5</v>
      </c>
      <c r="Q84" s="14">
        <f t="shared" si="31"/>
        <v>965</v>
      </c>
      <c r="R84" s="13">
        <f t="shared" si="32"/>
        <v>0</v>
      </c>
      <c r="S84">
        <f t="shared" si="33"/>
        <v>16</v>
      </c>
      <c r="T84">
        <f t="shared" si="34"/>
        <v>5</v>
      </c>
      <c r="U84" s="14">
        <f t="shared" si="35"/>
        <v>965</v>
      </c>
      <c r="V84" s="15"/>
      <c r="Z84" s="14"/>
    </row>
    <row r="85" spans="1:26" hidden="1" x14ac:dyDescent="0.25">
      <c r="A85" s="16" t="s">
        <v>229</v>
      </c>
      <c r="B85" s="17" t="b">
        <f t="shared" si="20"/>
        <v>0</v>
      </c>
      <c r="C85" s="17" t="b">
        <f t="shared" si="30"/>
        <v>0</v>
      </c>
      <c r="D85" s="17">
        <f t="shared" si="27"/>
        <v>5</v>
      </c>
      <c r="E85" s="17" t="str">
        <f t="shared" si="28"/>
        <v>4. The Bean Lifecycle</v>
      </c>
      <c r="F85" s="18" t="str">
        <f t="shared" si="19"/>
        <v/>
      </c>
      <c r="G85" s="13" t="str">
        <f t="shared" si="21"/>
        <v/>
      </c>
      <c r="H85">
        <f t="shared" si="22"/>
        <v>0</v>
      </c>
      <c r="I85" s="14">
        <f t="shared" si="29"/>
        <v>0</v>
      </c>
      <c r="J85" s="13">
        <f t="shared" si="23"/>
        <v>2017</v>
      </c>
      <c r="K85">
        <f t="shared" si="24"/>
        <v>0</v>
      </c>
      <c r="L85">
        <f t="shared" si="25"/>
        <v>33</v>
      </c>
      <c r="M85" s="14">
        <f t="shared" si="26"/>
        <v>37</v>
      </c>
      <c r="N85" s="13">
        <f t="shared" si="18"/>
        <v>0</v>
      </c>
      <c r="O85">
        <f t="shared" si="18"/>
        <v>16</v>
      </c>
      <c r="P85">
        <f t="shared" si="18"/>
        <v>5</v>
      </c>
      <c r="Q85" s="14">
        <f t="shared" si="31"/>
        <v>965</v>
      </c>
      <c r="R85" s="13">
        <f t="shared" si="32"/>
        <v>0</v>
      </c>
      <c r="S85">
        <f t="shared" si="33"/>
        <v>16</v>
      </c>
      <c r="T85">
        <f t="shared" si="34"/>
        <v>5</v>
      </c>
      <c r="U85" s="14">
        <f t="shared" si="35"/>
        <v>965</v>
      </c>
      <c r="V85" s="15"/>
      <c r="Z85" s="14"/>
    </row>
    <row r="86" spans="1:26" x14ac:dyDescent="0.25">
      <c r="A86" s="16" t="s">
        <v>272</v>
      </c>
      <c r="B86" s="17" t="b">
        <f t="shared" si="20"/>
        <v>0</v>
      </c>
      <c r="C86" s="17" t="b">
        <f t="shared" si="30"/>
        <v>1</v>
      </c>
      <c r="D86" s="17">
        <f t="shared" si="27"/>
        <v>6</v>
      </c>
      <c r="E86" s="17" t="str">
        <f t="shared" si="28"/>
        <v>4. The Bean Lifecycle</v>
      </c>
      <c r="F86" s="18" t="str">
        <f>SUBSTITUTE(IF(C86,D86&amp;". "&amp;A86,IF(A86="Chapter Quiz",A86,"")),":", " -")</f>
        <v>6. Init - Setters</v>
      </c>
      <c r="G86" s="13" t="str">
        <f t="shared" si="21"/>
        <v>1m 54s</v>
      </c>
      <c r="H86">
        <f t="shared" si="22"/>
        <v>1</v>
      </c>
      <c r="I86" s="14">
        <f t="shared" si="29"/>
        <v>54</v>
      </c>
      <c r="J86" s="13">
        <f t="shared" si="23"/>
        <v>2131</v>
      </c>
      <c r="K86">
        <f t="shared" si="24"/>
        <v>0</v>
      </c>
      <c r="L86">
        <f t="shared" si="25"/>
        <v>35</v>
      </c>
      <c r="M86" s="14">
        <f t="shared" si="26"/>
        <v>31</v>
      </c>
      <c r="N86" s="13">
        <f t="shared" si="18"/>
        <v>0</v>
      </c>
      <c r="O86">
        <f t="shared" si="18"/>
        <v>16</v>
      </c>
      <c r="P86">
        <f t="shared" si="18"/>
        <v>5</v>
      </c>
      <c r="Q86" s="14">
        <f t="shared" si="31"/>
        <v>965</v>
      </c>
      <c r="R86" s="13">
        <f t="shared" si="32"/>
        <v>0</v>
      </c>
      <c r="S86">
        <f t="shared" si="33"/>
        <v>17</v>
      </c>
      <c r="T86">
        <f t="shared" si="34"/>
        <v>59</v>
      </c>
      <c r="U86" s="14">
        <f t="shared" si="35"/>
        <v>1079</v>
      </c>
      <c r="V86" s="15" t="str">
        <f>"V:\Tutorials\Programming\Java Spring\Framework in Depth\"&amp;E86&amp;"\"&amp;F86&amp;".mkv"</f>
        <v>V:\Tutorials\Programming\Java Spring\Framework in Depth\4. The Bean Lifecycle\6. Init - Setters.mkv</v>
      </c>
      <c r="Z86" s="14"/>
    </row>
    <row r="87" spans="1:26" hidden="1" x14ac:dyDescent="0.25">
      <c r="A87" s="16" t="s">
        <v>273</v>
      </c>
      <c r="B87" s="17" t="b">
        <f t="shared" si="20"/>
        <v>0</v>
      </c>
      <c r="C87" s="17" t="b">
        <f t="shared" si="30"/>
        <v>0</v>
      </c>
      <c r="D87" s="17">
        <f t="shared" si="27"/>
        <v>6</v>
      </c>
      <c r="E87" s="17" t="str">
        <f t="shared" si="28"/>
        <v>4. The Bean Lifecycle</v>
      </c>
      <c r="F87" s="18" t="str">
        <f t="shared" si="19"/>
        <v/>
      </c>
      <c r="G87" s="13" t="str">
        <f t="shared" si="21"/>
        <v/>
      </c>
      <c r="H87">
        <f t="shared" si="22"/>
        <v>0</v>
      </c>
      <c r="I87" s="14">
        <f t="shared" si="29"/>
        <v>0</v>
      </c>
      <c r="J87" s="13">
        <f t="shared" si="23"/>
        <v>2131</v>
      </c>
      <c r="K87">
        <f t="shared" si="24"/>
        <v>0</v>
      </c>
      <c r="L87">
        <f t="shared" si="25"/>
        <v>35</v>
      </c>
      <c r="M87" s="14">
        <f t="shared" si="26"/>
        <v>31</v>
      </c>
      <c r="N87" s="13">
        <f t="shared" si="18"/>
        <v>0</v>
      </c>
      <c r="O87">
        <f t="shared" si="18"/>
        <v>17</v>
      </c>
      <c r="P87">
        <f t="shared" si="18"/>
        <v>59</v>
      </c>
      <c r="Q87" s="14">
        <f t="shared" si="31"/>
        <v>1079</v>
      </c>
      <c r="R87" s="13">
        <f t="shared" si="32"/>
        <v>0</v>
      </c>
      <c r="S87">
        <f t="shared" si="33"/>
        <v>17</v>
      </c>
      <c r="T87">
        <f t="shared" si="34"/>
        <v>59</v>
      </c>
      <c r="U87" s="14">
        <f t="shared" si="35"/>
        <v>1079</v>
      </c>
      <c r="V87" s="15"/>
      <c r="Z87" s="14"/>
    </row>
    <row r="88" spans="1:26" hidden="1" x14ac:dyDescent="0.25">
      <c r="A88" s="16" t="s">
        <v>229</v>
      </c>
      <c r="B88" s="17" t="b">
        <f t="shared" si="20"/>
        <v>0</v>
      </c>
      <c r="C88" s="17" t="b">
        <f t="shared" si="30"/>
        <v>0</v>
      </c>
      <c r="D88" s="17">
        <f t="shared" si="27"/>
        <v>6</v>
      </c>
      <c r="E88" s="17" t="str">
        <f t="shared" si="28"/>
        <v>4. The Bean Lifecycle</v>
      </c>
      <c r="F88" s="18" t="str">
        <f t="shared" si="19"/>
        <v/>
      </c>
      <c r="G88" s="13" t="str">
        <f t="shared" si="21"/>
        <v/>
      </c>
      <c r="H88">
        <f t="shared" si="22"/>
        <v>0</v>
      </c>
      <c r="I88" s="14">
        <f t="shared" si="29"/>
        <v>0</v>
      </c>
      <c r="J88" s="13">
        <f t="shared" si="23"/>
        <v>2131</v>
      </c>
      <c r="K88">
        <f t="shared" si="24"/>
        <v>0</v>
      </c>
      <c r="L88">
        <f t="shared" si="25"/>
        <v>35</v>
      </c>
      <c r="M88" s="14">
        <f t="shared" si="26"/>
        <v>31</v>
      </c>
      <c r="N88" s="13">
        <f t="shared" si="18"/>
        <v>0</v>
      </c>
      <c r="O88">
        <f t="shared" si="18"/>
        <v>17</v>
      </c>
      <c r="P88">
        <f t="shared" si="18"/>
        <v>59</v>
      </c>
      <c r="Q88" s="14">
        <f t="shared" si="31"/>
        <v>1079</v>
      </c>
      <c r="R88" s="13">
        <f t="shared" si="32"/>
        <v>0</v>
      </c>
      <c r="S88">
        <f t="shared" si="33"/>
        <v>17</v>
      </c>
      <c r="T88">
        <f t="shared" si="34"/>
        <v>59</v>
      </c>
      <c r="U88" s="14">
        <f t="shared" si="35"/>
        <v>1079</v>
      </c>
      <c r="V88" s="15"/>
      <c r="Z88" s="14"/>
    </row>
    <row r="89" spans="1:26" x14ac:dyDescent="0.25">
      <c r="A89" s="16" t="s">
        <v>274</v>
      </c>
      <c r="B89" s="17" t="b">
        <f t="shared" si="20"/>
        <v>0</v>
      </c>
      <c r="C89" s="17" t="b">
        <f t="shared" si="30"/>
        <v>1</v>
      </c>
      <c r="D89" s="17">
        <f t="shared" si="27"/>
        <v>7</v>
      </c>
      <c r="E89" s="17" t="str">
        <f t="shared" si="28"/>
        <v>4. The Bean Lifecycle</v>
      </c>
      <c r="F89" s="18" t="str">
        <f>SUBSTITUTE(IF(C89,D89&amp;". "&amp;A89,IF(A89="Chapter Quiz",A89,"")),":", " -")</f>
        <v>7. Init - Bean post-processing</v>
      </c>
      <c r="G89" s="13" t="str">
        <f t="shared" si="21"/>
        <v>3m 25s</v>
      </c>
      <c r="H89">
        <f t="shared" si="22"/>
        <v>3</v>
      </c>
      <c r="I89" s="14">
        <f t="shared" si="29"/>
        <v>25</v>
      </c>
      <c r="J89" s="13">
        <f t="shared" si="23"/>
        <v>2336</v>
      </c>
      <c r="K89">
        <f t="shared" si="24"/>
        <v>0</v>
      </c>
      <c r="L89">
        <f t="shared" si="25"/>
        <v>38</v>
      </c>
      <c r="M89" s="14">
        <f t="shared" si="26"/>
        <v>56</v>
      </c>
      <c r="N89" s="13">
        <f t="shared" si="18"/>
        <v>0</v>
      </c>
      <c r="O89">
        <v>18</v>
      </c>
      <c r="P89">
        <v>17</v>
      </c>
      <c r="Q89" s="14">
        <f t="shared" si="31"/>
        <v>1097</v>
      </c>
      <c r="R89" s="13">
        <f t="shared" si="32"/>
        <v>0</v>
      </c>
      <c r="S89">
        <f t="shared" si="33"/>
        <v>21</v>
      </c>
      <c r="T89">
        <f t="shared" si="34"/>
        <v>42</v>
      </c>
      <c r="U89" s="14">
        <f t="shared" si="35"/>
        <v>1302</v>
      </c>
      <c r="V89" s="15" t="str">
        <f>"V:\Tutorials\Programming\Java Spring\Framework in Depth\"&amp;E89&amp;"\"&amp;F89&amp;".mkv"</f>
        <v>V:\Tutorials\Programming\Java Spring\Framework in Depth\4. The Bean Lifecycle\7. Init - Bean post-processing.mkv</v>
      </c>
      <c r="Z89" s="14"/>
    </row>
    <row r="90" spans="1:26" hidden="1" x14ac:dyDescent="0.25">
      <c r="A90" s="16" t="s">
        <v>275</v>
      </c>
      <c r="B90" s="17" t="b">
        <f t="shared" si="20"/>
        <v>0</v>
      </c>
      <c r="C90" s="17" t="b">
        <f t="shared" si="30"/>
        <v>0</v>
      </c>
      <c r="D90" s="17">
        <f t="shared" si="27"/>
        <v>7</v>
      </c>
      <c r="E90" s="17" t="str">
        <f t="shared" si="28"/>
        <v>4. The Bean Lifecycle</v>
      </c>
      <c r="F90" s="18" t="str">
        <f t="shared" si="19"/>
        <v/>
      </c>
      <c r="G90" s="13" t="str">
        <f t="shared" si="21"/>
        <v/>
      </c>
      <c r="H90">
        <f t="shared" si="22"/>
        <v>0</v>
      </c>
      <c r="I90" s="14">
        <f t="shared" si="29"/>
        <v>0</v>
      </c>
      <c r="J90" s="13">
        <f t="shared" si="23"/>
        <v>2336</v>
      </c>
      <c r="K90">
        <f t="shared" si="24"/>
        <v>0</v>
      </c>
      <c r="L90">
        <f t="shared" si="25"/>
        <v>38</v>
      </c>
      <c r="M90" s="14">
        <f t="shared" si="26"/>
        <v>56</v>
      </c>
      <c r="N90" s="13">
        <f t="shared" si="18"/>
        <v>0</v>
      </c>
      <c r="O90">
        <f t="shared" si="18"/>
        <v>21</v>
      </c>
      <c r="P90">
        <f t="shared" si="18"/>
        <v>42</v>
      </c>
      <c r="Q90" s="14">
        <f t="shared" si="31"/>
        <v>1302</v>
      </c>
      <c r="R90" s="13">
        <f t="shared" si="32"/>
        <v>0</v>
      </c>
      <c r="S90">
        <f t="shared" si="33"/>
        <v>21</v>
      </c>
      <c r="T90">
        <f t="shared" si="34"/>
        <v>42</v>
      </c>
      <c r="U90" s="14">
        <f t="shared" si="35"/>
        <v>1302</v>
      </c>
      <c r="V90" s="15"/>
      <c r="Z90" s="14"/>
    </row>
    <row r="91" spans="1:26" hidden="1" x14ac:dyDescent="0.25">
      <c r="A91" s="16" t="s">
        <v>229</v>
      </c>
      <c r="B91" s="17" t="b">
        <f t="shared" si="20"/>
        <v>0</v>
      </c>
      <c r="C91" s="17" t="b">
        <f t="shared" si="30"/>
        <v>0</v>
      </c>
      <c r="D91" s="17">
        <f t="shared" si="27"/>
        <v>7</v>
      </c>
      <c r="E91" s="17" t="str">
        <f t="shared" si="28"/>
        <v>4. The Bean Lifecycle</v>
      </c>
      <c r="F91" s="18" t="str">
        <f t="shared" si="19"/>
        <v/>
      </c>
      <c r="G91" s="13" t="str">
        <f t="shared" si="21"/>
        <v/>
      </c>
      <c r="H91">
        <f t="shared" si="22"/>
        <v>0</v>
      </c>
      <c r="I91" s="14">
        <f t="shared" si="29"/>
        <v>0</v>
      </c>
      <c r="J91" s="13">
        <f t="shared" si="23"/>
        <v>2336</v>
      </c>
      <c r="K91">
        <f t="shared" si="24"/>
        <v>0</v>
      </c>
      <c r="L91">
        <f t="shared" si="25"/>
        <v>38</v>
      </c>
      <c r="M91" s="14">
        <f t="shared" si="26"/>
        <v>56</v>
      </c>
      <c r="N91" s="13">
        <f t="shared" si="18"/>
        <v>0</v>
      </c>
      <c r="O91">
        <f t="shared" si="18"/>
        <v>21</v>
      </c>
      <c r="P91">
        <f t="shared" si="18"/>
        <v>42</v>
      </c>
      <c r="Q91" s="14">
        <f t="shared" si="31"/>
        <v>1302</v>
      </c>
      <c r="R91" s="13">
        <f t="shared" si="32"/>
        <v>0</v>
      </c>
      <c r="S91">
        <f t="shared" si="33"/>
        <v>21</v>
      </c>
      <c r="T91">
        <f t="shared" si="34"/>
        <v>42</v>
      </c>
      <c r="U91" s="14">
        <f t="shared" si="35"/>
        <v>1302</v>
      </c>
      <c r="V91" s="15"/>
      <c r="Z91" s="14"/>
    </row>
    <row r="92" spans="1:26" x14ac:dyDescent="0.25">
      <c r="A92" s="16" t="s">
        <v>276</v>
      </c>
      <c r="B92" s="17" t="b">
        <f t="shared" si="20"/>
        <v>0</v>
      </c>
      <c r="C92" s="17" t="b">
        <f t="shared" si="30"/>
        <v>1</v>
      </c>
      <c r="D92" s="17">
        <f t="shared" si="27"/>
        <v>8</v>
      </c>
      <c r="E92" s="17" t="str">
        <f t="shared" si="28"/>
        <v>4. The Bean Lifecycle</v>
      </c>
      <c r="F92" s="18" t="str">
        <f>SUBSTITUTE(IF(C92,D92&amp;". "&amp;A92,IF(A92="Chapter Quiz",A92,"")),":", " -")</f>
        <v>8. Init - Differences based on configuration</v>
      </c>
      <c r="G92" s="13" t="str">
        <f t="shared" si="21"/>
        <v>2m 49s</v>
      </c>
      <c r="H92">
        <f t="shared" si="22"/>
        <v>2</v>
      </c>
      <c r="I92" s="14">
        <f t="shared" si="29"/>
        <v>49</v>
      </c>
      <c r="J92" s="13">
        <f t="shared" si="23"/>
        <v>2505</v>
      </c>
      <c r="K92">
        <f t="shared" si="24"/>
        <v>0</v>
      </c>
      <c r="L92">
        <f t="shared" si="25"/>
        <v>41</v>
      </c>
      <c r="M92" s="14">
        <f t="shared" si="26"/>
        <v>45</v>
      </c>
      <c r="N92" s="13">
        <f t="shared" ref="N92:P155" si="36">R91</f>
        <v>0</v>
      </c>
      <c r="O92">
        <f t="shared" si="36"/>
        <v>21</v>
      </c>
      <c r="P92">
        <v>44</v>
      </c>
      <c r="Q92" s="14">
        <f t="shared" si="31"/>
        <v>1304</v>
      </c>
      <c r="R92" s="13">
        <f t="shared" si="32"/>
        <v>0</v>
      </c>
      <c r="S92">
        <f t="shared" si="33"/>
        <v>24</v>
      </c>
      <c r="T92">
        <f t="shared" si="34"/>
        <v>33</v>
      </c>
      <c r="U92" s="14">
        <f t="shared" si="35"/>
        <v>1473</v>
      </c>
      <c r="V92" s="15" t="str">
        <f>"V:\Tutorials\Programming\Java Spring\Framework in Depth\"&amp;E92&amp;"\"&amp;F92&amp;".mkv"</f>
        <v>V:\Tutorials\Programming\Java Spring\Framework in Depth\4. The Bean Lifecycle\8. Init - Differences based on configuration.mkv</v>
      </c>
      <c r="Z92" s="14"/>
    </row>
    <row r="93" spans="1:26" hidden="1" x14ac:dyDescent="0.25">
      <c r="A93" s="16" t="s">
        <v>277</v>
      </c>
      <c r="B93" s="17" t="b">
        <f t="shared" si="20"/>
        <v>0</v>
      </c>
      <c r="C93" s="17" t="b">
        <f t="shared" si="30"/>
        <v>0</v>
      </c>
      <c r="D93" s="17">
        <f t="shared" si="27"/>
        <v>8</v>
      </c>
      <c r="E93" s="17" t="str">
        <f t="shared" si="28"/>
        <v>4. The Bean Lifecycle</v>
      </c>
      <c r="F93" s="18" t="str">
        <f t="shared" si="19"/>
        <v/>
      </c>
      <c r="G93" s="13" t="str">
        <f t="shared" si="21"/>
        <v/>
      </c>
      <c r="H93">
        <f t="shared" si="22"/>
        <v>0</v>
      </c>
      <c r="I93" s="14">
        <f t="shared" si="29"/>
        <v>0</v>
      </c>
      <c r="J93" s="13">
        <f t="shared" si="23"/>
        <v>2505</v>
      </c>
      <c r="K93">
        <f t="shared" si="24"/>
        <v>0</v>
      </c>
      <c r="L93">
        <f t="shared" si="25"/>
        <v>41</v>
      </c>
      <c r="M93" s="14">
        <f t="shared" si="26"/>
        <v>45</v>
      </c>
      <c r="N93" s="13">
        <f t="shared" si="36"/>
        <v>0</v>
      </c>
      <c r="O93">
        <f t="shared" si="36"/>
        <v>24</v>
      </c>
      <c r="P93">
        <f t="shared" si="36"/>
        <v>33</v>
      </c>
      <c r="Q93" s="14">
        <f t="shared" si="31"/>
        <v>1473</v>
      </c>
      <c r="R93" s="13">
        <f t="shared" si="32"/>
        <v>0</v>
      </c>
      <c r="S93">
        <f t="shared" si="33"/>
        <v>24</v>
      </c>
      <c r="T93">
        <f t="shared" si="34"/>
        <v>33</v>
      </c>
      <c r="U93" s="14">
        <f t="shared" si="35"/>
        <v>1473</v>
      </c>
      <c r="V93" s="15"/>
      <c r="Z93" s="14"/>
    </row>
    <row r="94" spans="1:26" hidden="1" x14ac:dyDescent="0.25">
      <c r="A94" s="16" t="s">
        <v>229</v>
      </c>
      <c r="B94" s="17" t="b">
        <f t="shared" si="20"/>
        <v>0</v>
      </c>
      <c r="C94" s="17" t="b">
        <f t="shared" si="30"/>
        <v>0</v>
      </c>
      <c r="D94" s="17">
        <f t="shared" si="27"/>
        <v>8</v>
      </c>
      <c r="E94" s="17" t="str">
        <f t="shared" si="28"/>
        <v>4. The Bean Lifecycle</v>
      </c>
      <c r="F94" s="18" t="str">
        <f t="shared" si="19"/>
        <v/>
      </c>
      <c r="G94" s="13" t="str">
        <f t="shared" si="21"/>
        <v/>
      </c>
      <c r="H94">
        <f t="shared" si="22"/>
        <v>0</v>
      </c>
      <c r="I94" s="14">
        <f t="shared" si="29"/>
        <v>0</v>
      </c>
      <c r="J94" s="13">
        <f t="shared" si="23"/>
        <v>2505</v>
      </c>
      <c r="K94">
        <f t="shared" si="24"/>
        <v>0</v>
      </c>
      <c r="L94">
        <f t="shared" si="25"/>
        <v>41</v>
      </c>
      <c r="M94" s="14">
        <f t="shared" si="26"/>
        <v>45</v>
      </c>
      <c r="N94" s="13">
        <f t="shared" si="36"/>
        <v>0</v>
      </c>
      <c r="O94">
        <f t="shared" si="36"/>
        <v>24</v>
      </c>
      <c r="P94">
        <f t="shared" si="36"/>
        <v>33</v>
      </c>
      <c r="Q94" s="14">
        <f t="shared" si="31"/>
        <v>1473</v>
      </c>
      <c r="R94" s="13">
        <f t="shared" si="32"/>
        <v>0</v>
      </c>
      <c r="S94">
        <f t="shared" si="33"/>
        <v>24</v>
      </c>
      <c r="T94">
        <f t="shared" si="34"/>
        <v>33</v>
      </c>
      <c r="U94" s="14">
        <f t="shared" si="35"/>
        <v>1473</v>
      </c>
      <c r="V94" s="15"/>
      <c r="Z94" s="14"/>
    </row>
    <row r="95" spans="1:26" x14ac:dyDescent="0.25">
      <c r="A95" s="16" t="s">
        <v>278</v>
      </c>
      <c r="B95" s="17" t="b">
        <f t="shared" si="20"/>
        <v>0</v>
      </c>
      <c r="C95" s="17" t="b">
        <f t="shared" si="30"/>
        <v>1</v>
      </c>
      <c r="D95" s="17">
        <f t="shared" si="27"/>
        <v>9</v>
      </c>
      <c r="E95" s="17" t="str">
        <f t="shared" si="28"/>
        <v>4. The Bean Lifecycle</v>
      </c>
      <c r="F95" s="18" t="str">
        <f>SUBSTITUTE(IF(C95,D95&amp;". "&amp;A95,IF(A95="Chapter Quiz",A95,"")),":", " -")</f>
        <v>9. The use phase</v>
      </c>
      <c r="G95" s="13" t="str">
        <f t="shared" si="21"/>
        <v>1m 56s</v>
      </c>
      <c r="H95">
        <f t="shared" si="22"/>
        <v>1</v>
      </c>
      <c r="I95" s="14">
        <f t="shared" si="29"/>
        <v>56</v>
      </c>
      <c r="J95" s="13">
        <f t="shared" si="23"/>
        <v>2621</v>
      </c>
      <c r="K95">
        <f t="shared" si="24"/>
        <v>0</v>
      </c>
      <c r="L95">
        <f t="shared" si="25"/>
        <v>43</v>
      </c>
      <c r="M95" s="14">
        <f t="shared" si="26"/>
        <v>41</v>
      </c>
      <c r="N95" s="13">
        <f t="shared" si="36"/>
        <v>0</v>
      </c>
      <c r="O95">
        <f t="shared" si="36"/>
        <v>24</v>
      </c>
      <c r="P95">
        <v>38</v>
      </c>
      <c r="Q95" s="14">
        <f t="shared" si="31"/>
        <v>1478</v>
      </c>
      <c r="R95" s="13">
        <f t="shared" si="32"/>
        <v>0</v>
      </c>
      <c r="S95">
        <f t="shared" si="33"/>
        <v>26</v>
      </c>
      <c r="T95">
        <f t="shared" si="34"/>
        <v>34</v>
      </c>
      <c r="U95" s="14">
        <f t="shared" si="35"/>
        <v>1594</v>
      </c>
      <c r="V95" s="15" t="str">
        <f>"V:\Tutorials\Programming\Java Spring\Framework in Depth\"&amp;E95&amp;"\"&amp;F95&amp;".mkv"</f>
        <v>V:\Tutorials\Programming\Java Spring\Framework in Depth\4. The Bean Lifecycle\9. The use phase.mkv</v>
      </c>
      <c r="Z95" s="14"/>
    </row>
    <row r="96" spans="1:26" hidden="1" x14ac:dyDescent="0.25">
      <c r="A96" s="16" t="s">
        <v>279</v>
      </c>
      <c r="B96" s="17" t="b">
        <f t="shared" si="20"/>
        <v>0</v>
      </c>
      <c r="C96" s="17" t="b">
        <f t="shared" si="30"/>
        <v>0</v>
      </c>
      <c r="D96" s="17">
        <f t="shared" si="27"/>
        <v>9</v>
      </c>
      <c r="E96" s="17" t="str">
        <f t="shared" si="28"/>
        <v>4. The Bean Lifecycle</v>
      </c>
      <c r="F96" s="18" t="str">
        <f t="shared" si="19"/>
        <v/>
      </c>
      <c r="G96" s="13" t="str">
        <f t="shared" si="21"/>
        <v/>
      </c>
      <c r="H96">
        <f t="shared" si="22"/>
        <v>0</v>
      </c>
      <c r="I96" s="14">
        <f t="shared" si="29"/>
        <v>0</v>
      </c>
      <c r="J96" s="13">
        <f t="shared" si="23"/>
        <v>2621</v>
      </c>
      <c r="K96">
        <f t="shared" si="24"/>
        <v>0</v>
      </c>
      <c r="L96">
        <f t="shared" si="25"/>
        <v>43</v>
      </c>
      <c r="M96" s="14">
        <f t="shared" si="26"/>
        <v>41</v>
      </c>
      <c r="N96" s="13">
        <f t="shared" si="36"/>
        <v>0</v>
      </c>
      <c r="O96">
        <f t="shared" si="36"/>
        <v>26</v>
      </c>
      <c r="P96">
        <f t="shared" si="36"/>
        <v>34</v>
      </c>
      <c r="Q96" s="14">
        <f t="shared" si="31"/>
        <v>1594</v>
      </c>
      <c r="R96" s="13">
        <f t="shared" si="32"/>
        <v>0</v>
      </c>
      <c r="S96">
        <f t="shared" si="33"/>
        <v>26</v>
      </c>
      <c r="T96">
        <f t="shared" si="34"/>
        <v>34</v>
      </c>
      <c r="U96" s="14">
        <f t="shared" si="35"/>
        <v>1594</v>
      </c>
      <c r="V96" s="15"/>
      <c r="Z96" s="14"/>
    </row>
    <row r="97" spans="1:26" hidden="1" x14ac:dyDescent="0.25">
      <c r="A97" s="16" t="s">
        <v>229</v>
      </c>
      <c r="B97" s="17" t="b">
        <f t="shared" si="20"/>
        <v>0</v>
      </c>
      <c r="C97" s="17" t="b">
        <f t="shared" si="30"/>
        <v>0</v>
      </c>
      <c r="D97" s="17">
        <f t="shared" si="27"/>
        <v>9</v>
      </c>
      <c r="E97" s="17" t="str">
        <f t="shared" si="28"/>
        <v>4. The Bean Lifecycle</v>
      </c>
      <c r="F97" s="18" t="str">
        <f t="shared" si="19"/>
        <v/>
      </c>
      <c r="G97" s="13" t="str">
        <f t="shared" si="21"/>
        <v/>
      </c>
      <c r="H97">
        <f t="shared" si="22"/>
        <v>0</v>
      </c>
      <c r="I97" s="14">
        <f t="shared" si="29"/>
        <v>0</v>
      </c>
      <c r="J97" s="13">
        <f t="shared" si="23"/>
        <v>2621</v>
      </c>
      <c r="K97">
        <f t="shared" si="24"/>
        <v>0</v>
      </c>
      <c r="L97">
        <f t="shared" si="25"/>
        <v>43</v>
      </c>
      <c r="M97" s="14">
        <f t="shared" si="26"/>
        <v>41</v>
      </c>
      <c r="N97" s="13">
        <f t="shared" si="36"/>
        <v>0</v>
      </c>
      <c r="O97">
        <f t="shared" si="36"/>
        <v>26</v>
      </c>
      <c r="P97">
        <f t="shared" si="36"/>
        <v>34</v>
      </c>
      <c r="Q97" s="14">
        <f t="shared" si="31"/>
        <v>1594</v>
      </c>
      <c r="R97" s="13">
        <f t="shared" si="32"/>
        <v>0</v>
      </c>
      <c r="S97">
        <f t="shared" si="33"/>
        <v>26</v>
      </c>
      <c r="T97">
        <f t="shared" si="34"/>
        <v>34</v>
      </c>
      <c r="U97" s="14">
        <f t="shared" si="35"/>
        <v>1594</v>
      </c>
      <c r="V97" s="15"/>
      <c r="Z97" s="14"/>
    </row>
    <row r="98" spans="1:26" x14ac:dyDescent="0.25">
      <c r="A98" s="16" t="s">
        <v>280</v>
      </c>
      <c r="B98" s="17" t="b">
        <f t="shared" si="20"/>
        <v>0</v>
      </c>
      <c r="C98" s="17" t="b">
        <f t="shared" si="30"/>
        <v>1</v>
      </c>
      <c r="D98" s="17">
        <f t="shared" si="27"/>
        <v>10</v>
      </c>
      <c r="E98" s="17" t="str">
        <f t="shared" si="28"/>
        <v>4. The Bean Lifecycle</v>
      </c>
      <c r="F98" s="18" t="str">
        <f>SUBSTITUTE(IF(C98,D98&amp;". "&amp;A98,IF(A98="Chapter Quiz",A98,"")),":", " -")</f>
        <v>10. The destruction phase</v>
      </c>
      <c r="G98" s="13" t="str">
        <f t="shared" si="21"/>
        <v>2m 6s</v>
      </c>
      <c r="H98">
        <f t="shared" si="22"/>
        <v>2</v>
      </c>
      <c r="I98" s="14">
        <f t="shared" si="29"/>
        <v>6</v>
      </c>
      <c r="J98" s="13">
        <f t="shared" si="23"/>
        <v>2747</v>
      </c>
      <c r="K98">
        <f t="shared" si="24"/>
        <v>0</v>
      </c>
      <c r="L98">
        <f t="shared" si="25"/>
        <v>45</v>
      </c>
      <c r="M98" s="14">
        <f t="shared" si="26"/>
        <v>47</v>
      </c>
      <c r="N98" s="13">
        <f t="shared" si="36"/>
        <v>0</v>
      </c>
      <c r="O98">
        <f t="shared" si="36"/>
        <v>26</v>
      </c>
      <c r="P98">
        <v>39</v>
      </c>
      <c r="Q98" s="14">
        <f t="shared" si="31"/>
        <v>1599</v>
      </c>
      <c r="R98" s="13">
        <f t="shared" si="32"/>
        <v>0</v>
      </c>
      <c r="S98">
        <f t="shared" si="33"/>
        <v>28</v>
      </c>
      <c r="T98">
        <f t="shared" si="34"/>
        <v>45</v>
      </c>
      <c r="U98" s="14">
        <f t="shared" si="35"/>
        <v>1725</v>
      </c>
      <c r="V98" s="15" t="str">
        <f>"V:\Tutorials\Programming\Java Spring\Framework in Depth\"&amp;E98&amp;"\"&amp;F98&amp;".mkv"</f>
        <v>V:\Tutorials\Programming\Java Spring\Framework in Depth\4. The Bean Lifecycle\10. The destruction phase.mkv</v>
      </c>
      <c r="Z98" s="14"/>
    </row>
    <row r="99" spans="1:26" hidden="1" x14ac:dyDescent="0.25">
      <c r="A99" s="16" t="s">
        <v>281</v>
      </c>
      <c r="B99" s="17" t="b">
        <f t="shared" si="20"/>
        <v>0</v>
      </c>
      <c r="C99" s="17" t="b">
        <f t="shared" si="30"/>
        <v>0</v>
      </c>
      <c r="D99" s="17">
        <f t="shared" si="27"/>
        <v>10</v>
      </c>
      <c r="E99" s="17" t="str">
        <f t="shared" si="28"/>
        <v>4. The Bean Lifecycle</v>
      </c>
      <c r="F99" s="18" t="str">
        <f t="shared" si="19"/>
        <v/>
      </c>
      <c r="G99" s="13" t="str">
        <f t="shared" si="21"/>
        <v/>
      </c>
      <c r="H99">
        <f t="shared" si="22"/>
        <v>0</v>
      </c>
      <c r="I99" s="14">
        <f t="shared" si="29"/>
        <v>0</v>
      </c>
      <c r="J99" s="13">
        <f t="shared" si="23"/>
        <v>2747</v>
      </c>
      <c r="K99">
        <f t="shared" si="24"/>
        <v>0</v>
      </c>
      <c r="L99">
        <f t="shared" si="25"/>
        <v>45</v>
      </c>
      <c r="M99" s="14">
        <f t="shared" si="26"/>
        <v>47</v>
      </c>
      <c r="N99" s="13">
        <f t="shared" si="36"/>
        <v>0</v>
      </c>
      <c r="O99">
        <f t="shared" si="36"/>
        <v>28</v>
      </c>
      <c r="P99">
        <f t="shared" si="36"/>
        <v>45</v>
      </c>
      <c r="Q99" s="14">
        <f t="shared" si="31"/>
        <v>1725</v>
      </c>
      <c r="R99" s="13">
        <f t="shared" si="32"/>
        <v>0</v>
      </c>
      <c r="S99">
        <f t="shared" si="33"/>
        <v>28</v>
      </c>
      <c r="T99">
        <f t="shared" si="34"/>
        <v>45</v>
      </c>
      <c r="U99" s="14">
        <f t="shared" si="35"/>
        <v>1725</v>
      </c>
      <c r="V99" s="15"/>
      <c r="Z99" s="14"/>
    </row>
    <row r="100" spans="1:26" hidden="1" x14ac:dyDescent="0.25">
      <c r="A100" s="16" t="s">
        <v>229</v>
      </c>
      <c r="B100" s="17" t="b">
        <f t="shared" si="20"/>
        <v>0</v>
      </c>
      <c r="C100" s="17" t="b">
        <f t="shared" si="30"/>
        <v>0</v>
      </c>
      <c r="D100" s="17">
        <f t="shared" si="27"/>
        <v>10</v>
      </c>
      <c r="E100" s="17" t="str">
        <f t="shared" si="28"/>
        <v>4. The Bean Lifecycle</v>
      </c>
      <c r="F100" s="18" t="str">
        <f t="shared" si="19"/>
        <v/>
      </c>
      <c r="G100" s="13" t="str">
        <f t="shared" si="21"/>
        <v/>
      </c>
      <c r="H100">
        <f t="shared" si="22"/>
        <v>0</v>
      </c>
      <c r="I100" s="14">
        <f t="shared" si="29"/>
        <v>0</v>
      </c>
      <c r="J100" s="13">
        <f t="shared" si="23"/>
        <v>2747</v>
      </c>
      <c r="K100">
        <f t="shared" si="24"/>
        <v>0</v>
      </c>
      <c r="L100">
        <f t="shared" si="25"/>
        <v>45</v>
      </c>
      <c r="M100" s="14">
        <f t="shared" si="26"/>
        <v>47</v>
      </c>
      <c r="N100" s="13">
        <f t="shared" si="36"/>
        <v>0</v>
      </c>
      <c r="O100">
        <f t="shared" si="36"/>
        <v>28</v>
      </c>
      <c r="P100">
        <f t="shared" si="36"/>
        <v>45</v>
      </c>
      <c r="Q100" s="14">
        <f t="shared" si="31"/>
        <v>1725</v>
      </c>
      <c r="R100" s="13">
        <f t="shared" si="32"/>
        <v>0</v>
      </c>
      <c r="S100">
        <f t="shared" si="33"/>
        <v>28</v>
      </c>
      <c r="T100">
        <f t="shared" si="34"/>
        <v>45</v>
      </c>
      <c r="U100" s="14">
        <f t="shared" si="35"/>
        <v>1725</v>
      </c>
      <c r="V100" s="15"/>
      <c r="Z100" s="14"/>
    </row>
    <row r="101" spans="1:26" x14ac:dyDescent="0.25">
      <c r="A101" s="16" t="s">
        <v>21</v>
      </c>
      <c r="B101" s="17" t="b">
        <f t="shared" si="20"/>
        <v>0</v>
      </c>
      <c r="C101" s="17" t="b">
        <f t="shared" si="30"/>
        <v>0</v>
      </c>
      <c r="D101" s="17">
        <f t="shared" si="27"/>
        <v>10</v>
      </c>
      <c r="E101" s="17" t="str">
        <f t="shared" si="28"/>
        <v>4. The Bean Lifecycle</v>
      </c>
      <c r="F101" s="18" t="str">
        <f>SUBSTITUTE(IF(C101,D101&amp;". "&amp;A101,IF(A101="Chapter Quiz",A101,"")),":", " -")</f>
        <v>Chapter Quiz</v>
      </c>
      <c r="G101" s="13" t="str">
        <f t="shared" si="21"/>
        <v/>
      </c>
      <c r="H101">
        <f t="shared" si="22"/>
        <v>0</v>
      </c>
      <c r="I101" s="14">
        <f t="shared" si="29"/>
        <v>0</v>
      </c>
      <c r="J101" s="13">
        <f t="shared" si="23"/>
        <v>2747</v>
      </c>
      <c r="K101">
        <f t="shared" si="24"/>
        <v>0</v>
      </c>
      <c r="L101">
        <f t="shared" si="25"/>
        <v>45</v>
      </c>
      <c r="M101" s="14">
        <f t="shared" si="26"/>
        <v>47</v>
      </c>
      <c r="N101" s="13">
        <f t="shared" si="36"/>
        <v>0</v>
      </c>
      <c r="O101">
        <f t="shared" si="36"/>
        <v>28</v>
      </c>
      <c r="P101">
        <f t="shared" si="36"/>
        <v>45</v>
      </c>
      <c r="Q101" s="14">
        <f t="shared" si="31"/>
        <v>1725</v>
      </c>
      <c r="R101" s="13">
        <f t="shared" si="32"/>
        <v>0</v>
      </c>
      <c r="S101">
        <f t="shared" si="33"/>
        <v>28</v>
      </c>
      <c r="T101">
        <f t="shared" si="34"/>
        <v>45</v>
      </c>
      <c r="U101" s="14">
        <f t="shared" si="35"/>
        <v>1725</v>
      </c>
      <c r="V101" s="15" t="str">
        <f>"V:\Tutorials\Programming\Java Spring\Framework in Depth\"&amp;E101&amp;"\"&amp;F101&amp;".mkv"</f>
        <v>V:\Tutorials\Programming\Java Spring\Framework in Depth\4. The Bean Lifecycle\Chapter Quiz.mkv</v>
      </c>
      <c r="Z101" s="14"/>
    </row>
    <row r="102" spans="1:26" hidden="1" x14ac:dyDescent="0.25">
      <c r="A102" s="16" t="s">
        <v>33</v>
      </c>
      <c r="B102" s="17" t="b">
        <f t="shared" si="20"/>
        <v>0</v>
      </c>
      <c r="C102" s="17" t="b">
        <f t="shared" si="30"/>
        <v>0</v>
      </c>
      <c r="D102" s="17">
        <f t="shared" si="27"/>
        <v>10</v>
      </c>
      <c r="E102" s="17" t="str">
        <f t="shared" si="28"/>
        <v>4. The Bean Lifecycle</v>
      </c>
      <c r="F102" s="18" t="str">
        <f t="shared" si="19"/>
        <v/>
      </c>
      <c r="G102" s="13" t="str">
        <f t="shared" si="21"/>
        <v/>
      </c>
      <c r="H102">
        <f t="shared" si="22"/>
        <v>0</v>
      </c>
      <c r="I102" s="14">
        <f t="shared" si="29"/>
        <v>0</v>
      </c>
      <c r="J102" s="13">
        <f t="shared" si="23"/>
        <v>2747</v>
      </c>
      <c r="K102">
        <f t="shared" si="24"/>
        <v>0</v>
      </c>
      <c r="L102">
        <f t="shared" si="25"/>
        <v>45</v>
      </c>
      <c r="M102" s="14">
        <f t="shared" si="26"/>
        <v>47</v>
      </c>
      <c r="N102" s="13">
        <f t="shared" si="36"/>
        <v>0</v>
      </c>
      <c r="O102">
        <f t="shared" si="36"/>
        <v>28</v>
      </c>
      <c r="P102">
        <f t="shared" si="36"/>
        <v>45</v>
      </c>
      <c r="Q102" s="14">
        <f t="shared" si="31"/>
        <v>1725</v>
      </c>
      <c r="R102" s="13">
        <f t="shared" si="32"/>
        <v>0</v>
      </c>
      <c r="S102">
        <f t="shared" si="33"/>
        <v>28</v>
      </c>
      <c r="T102">
        <f t="shared" si="34"/>
        <v>45</v>
      </c>
      <c r="U102" s="14">
        <f t="shared" si="35"/>
        <v>1725</v>
      </c>
      <c r="V102" s="15"/>
      <c r="Z102" s="14"/>
    </row>
    <row r="103" spans="1:26" hidden="1" x14ac:dyDescent="0.25">
      <c r="A103" s="16"/>
      <c r="B103" s="17" t="b">
        <f t="shared" si="20"/>
        <v>0</v>
      </c>
      <c r="C103" s="17" t="b">
        <f t="shared" si="30"/>
        <v>0</v>
      </c>
      <c r="D103" s="17">
        <f t="shared" si="27"/>
        <v>10</v>
      </c>
      <c r="E103" s="17" t="str">
        <f t="shared" si="28"/>
        <v>4. The Bean Lifecycle</v>
      </c>
      <c r="F103" s="18" t="str">
        <f t="shared" si="19"/>
        <v/>
      </c>
      <c r="G103" s="13" t="str">
        <f t="shared" si="21"/>
        <v/>
      </c>
      <c r="H103">
        <f t="shared" si="22"/>
        <v>0</v>
      </c>
      <c r="I103" s="14">
        <f t="shared" si="29"/>
        <v>0</v>
      </c>
      <c r="J103" s="13">
        <f t="shared" si="23"/>
        <v>2747</v>
      </c>
      <c r="K103">
        <f t="shared" si="24"/>
        <v>0</v>
      </c>
      <c r="L103">
        <f t="shared" si="25"/>
        <v>45</v>
      </c>
      <c r="M103" s="14">
        <f t="shared" si="26"/>
        <v>47</v>
      </c>
      <c r="N103" s="13">
        <f t="shared" si="36"/>
        <v>0</v>
      </c>
      <c r="O103">
        <f t="shared" si="36"/>
        <v>28</v>
      </c>
      <c r="P103">
        <f t="shared" si="36"/>
        <v>45</v>
      </c>
      <c r="Q103" s="14">
        <f t="shared" si="31"/>
        <v>1725</v>
      </c>
      <c r="R103" s="13">
        <f t="shared" si="32"/>
        <v>0</v>
      </c>
      <c r="S103">
        <f t="shared" si="33"/>
        <v>28</v>
      </c>
      <c r="T103">
        <f t="shared" si="34"/>
        <v>45</v>
      </c>
      <c r="U103" s="14">
        <f t="shared" si="35"/>
        <v>1725</v>
      </c>
      <c r="V103" s="15"/>
      <c r="Z103" s="14"/>
    </row>
    <row r="104" spans="1:26" hidden="1" x14ac:dyDescent="0.25">
      <c r="A104" s="16" t="s">
        <v>282</v>
      </c>
      <c r="B104" s="17" t="b">
        <f t="shared" si="20"/>
        <v>1</v>
      </c>
      <c r="C104" s="17" t="b">
        <f t="shared" si="30"/>
        <v>0</v>
      </c>
      <c r="D104" s="17">
        <f t="shared" si="27"/>
        <v>0</v>
      </c>
      <c r="E104" s="17" t="str">
        <f t="shared" si="28"/>
        <v>5. Aspect-Oriented Programming</v>
      </c>
      <c r="F104" s="18" t="str">
        <f t="shared" si="19"/>
        <v/>
      </c>
      <c r="G104" s="13" t="str">
        <f t="shared" si="21"/>
        <v/>
      </c>
      <c r="H104">
        <f t="shared" si="22"/>
        <v>0</v>
      </c>
      <c r="I104" s="14">
        <f t="shared" si="29"/>
        <v>0</v>
      </c>
      <c r="J104" s="13">
        <f t="shared" si="23"/>
        <v>2747</v>
      </c>
      <c r="K104">
        <f t="shared" si="24"/>
        <v>0</v>
      </c>
      <c r="L104">
        <f t="shared" si="25"/>
        <v>45</v>
      </c>
      <c r="M104" s="14">
        <f t="shared" si="26"/>
        <v>47</v>
      </c>
      <c r="N104" s="13">
        <f t="shared" si="36"/>
        <v>0</v>
      </c>
      <c r="O104">
        <f t="shared" si="36"/>
        <v>28</v>
      </c>
      <c r="P104">
        <f t="shared" si="36"/>
        <v>45</v>
      </c>
      <c r="Q104" s="14">
        <f t="shared" si="31"/>
        <v>1725</v>
      </c>
      <c r="R104" s="13">
        <f t="shared" si="32"/>
        <v>0</v>
      </c>
      <c r="S104">
        <f t="shared" si="33"/>
        <v>28</v>
      </c>
      <c r="T104">
        <f t="shared" si="34"/>
        <v>45</v>
      </c>
      <c r="U104" s="14">
        <f t="shared" si="35"/>
        <v>1725</v>
      </c>
      <c r="V104" s="15"/>
      <c r="Z104" s="14"/>
    </row>
    <row r="105" spans="1:26" hidden="1" x14ac:dyDescent="0.25">
      <c r="A105" s="16"/>
      <c r="B105" s="17" t="b">
        <f t="shared" si="20"/>
        <v>0</v>
      </c>
      <c r="C105" s="17" t="b">
        <f t="shared" si="30"/>
        <v>0</v>
      </c>
      <c r="D105" s="17">
        <f t="shared" si="27"/>
        <v>0</v>
      </c>
      <c r="E105" s="17" t="str">
        <f t="shared" si="28"/>
        <v>5. Aspect-Oriented Programming</v>
      </c>
      <c r="F105" s="18" t="str">
        <f t="shared" si="19"/>
        <v/>
      </c>
      <c r="G105" s="13" t="str">
        <f t="shared" si="21"/>
        <v/>
      </c>
      <c r="H105">
        <f t="shared" si="22"/>
        <v>0</v>
      </c>
      <c r="I105" s="14">
        <f t="shared" si="29"/>
        <v>0</v>
      </c>
      <c r="J105" s="13">
        <f t="shared" si="23"/>
        <v>2747</v>
      </c>
      <c r="K105">
        <f t="shared" si="24"/>
        <v>0</v>
      </c>
      <c r="L105">
        <f t="shared" si="25"/>
        <v>45</v>
      </c>
      <c r="M105" s="14">
        <f t="shared" si="26"/>
        <v>47</v>
      </c>
      <c r="N105" s="13">
        <f t="shared" si="36"/>
        <v>0</v>
      </c>
      <c r="O105">
        <f t="shared" si="36"/>
        <v>28</v>
      </c>
      <c r="P105">
        <f t="shared" si="36"/>
        <v>45</v>
      </c>
      <c r="Q105" s="14">
        <f t="shared" si="31"/>
        <v>1725</v>
      </c>
      <c r="R105" s="13">
        <f t="shared" si="32"/>
        <v>0</v>
      </c>
      <c r="S105">
        <f t="shared" si="33"/>
        <v>28</v>
      </c>
      <c r="T105">
        <f t="shared" si="34"/>
        <v>45</v>
      </c>
      <c r="U105" s="14">
        <f t="shared" si="35"/>
        <v>1725</v>
      </c>
      <c r="V105" s="15"/>
      <c r="Z105" s="14"/>
    </row>
    <row r="106" spans="1:26" x14ac:dyDescent="0.25">
      <c r="A106" s="16" t="s">
        <v>283</v>
      </c>
      <c r="B106" s="17" t="b">
        <f t="shared" si="20"/>
        <v>0</v>
      </c>
      <c r="C106" s="17" t="b">
        <f t="shared" si="30"/>
        <v>1</v>
      </c>
      <c r="D106" s="17">
        <f t="shared" si="27"/>
        <v>1</v>
      </c>
      <c r="E106" s="17" t="str">
        <f t="shared" si="28"/>
        <v>5. Aspect-Oriented Programming</v>
      </c>
      <c r="F106" s="18" t="str">
        <f>SUBSTITUTE(IF(C106,D106&amp;". "&amp;A106,IF(A106="Chapter Quiz",A106,"")),":", " -")</f>
        <v>1. Aspecting in Spring</v>
      </c>
      <c r="G106" s="13" t="str">
        <f t="shared" si="21"/>
        <v>4m 51s</v>
      </c>
      <c r="H106">
        <f t="shared" si="22"/>
        <v>4</v>
      </c>
      <c r="I106" s="14">
        <f t="shared" si="29"/>
        <v>51</v>
      </c>
      <c r="J106" s="13">
        <f t="shared" si="23"/>
        <v>3038</v>
      </c>
      <c r="K106">
        <f t="shared" si="24"/>
        <v>0</v>
      </c>
      <c r="L106">
        <f t="shared" si="25"/>
        <v>50</v>
      </c>
      <c r="M106" s="14">
        <f t="shared" si="26"/>
        <v>38</v>
      </c>
      <c r="N106" s="13">
        <f t="shared" si="36"/>
        <v>0</v>
      </c>
      <c r="O106">
        <v>0</v>
      </c>
      <c r="P106">
        <v>0</v>
      </c>
      <c r="Q106" s="14">
        <f t="shared" si="31"/>
        <v>0</v>
      </c>
      <c r="R106" s="13">
        <f t="shared" si="32"/>
        <v>0</v>
      </c>
      <c r="S106">
        <f t="shared" si="33"/>
        <v>4</v>
      </c>
      <c r="T106">
        <f t="shared" si="34"/>
        <v>51</v>
      </c>
      <c r="U106" s="14">
        <f t="shared" si="35"/>
        <v>291</v>
      </c>
      <c r="V106" s="15" t="str">
        <f>"V:\Tutorials\Programming\Java Spring\Framework in Depth\"&amp;E106&amp;"\"&amp;F106&amp;".mkv"</f>
        <v>V:\Tutorials\Programming\Java Spring\Framework in Depth\5. Aspect-Oriented Programming\1. Aspecting in Spring.mkv</v>
      </c>
      <c r="Z106" s="14"/>
    </row>
    <row r="107" spans="1:26" hidden="1" x14ac:dyDescent="0.25">
      <c r="A107" s="16" t="s">
        <v>284</v>
      </c>
      <c r="B107" s="17" t="b">
        <f t="shared" si="20"/>
        <v>0</v>
      </c>
      <c r="C107" s="17" t="b">
        <f t="shared" si="30"/>
        <v>0</v>
      </c>
      <c r="D107" s="17">
        <f t="shared" si="27"/>
        <v>1</v>
      </c>
      <c r="E107" s="17" t="str">
        <f t="shared" si="28"/>
        <v>5. Aspect-Oriented Programming</v>
      </c>
      <c r="F107" s="18" t="str">
        <f t="shared" si="19"/>
        <v/>
      </c>
      <c r="G107" s="13" t="str">
        <f t="shared" si="21"/>
        <v/>
      </c>
      <c r="H107">
        <f t="shared" si="22"/>
        <v>0</v>
      </c>
      <c r="I107" s="14">
        <f t="shared" si="29"/>
        <v>0</v>
      </c>
      <c r="J107" s="13">
        <f t="shared" si="23"/>
        <v>3038</v>
      </c>
      <c r="K107">
        <f t="shared" si="24"/>
        <v>0</v>
      </c>
      <c r="L107">
        <f t="shared" si="25"/>
        <v>50</v>
      </c>
      <c r="M107" s="14">
        <f t="shared" si="26"/>
        <v>38</v>
      </c>
      <c r="N107" s="13">
        <f t="shared" si="36"/>
        <v>0</v>
      </c>
      <c r="O107">
        <f t="shared" si="36"/>
        <v>4</v>
      </c>
      <c r="P107">
        <f t="shared" si="36"/>
        <v>51</v>
      </c>
      <c r="Q107" s="14">
        <f t="shared" si="31"/>
        <v>291</v>
      </c>
      <c r="R107" s="13">
        <f t="shared" si="32"/>
        <v>0</v>
      </c>
      <c r="S107">
        <f t="shared" si="33"/>
        <v>4</v>
      </c>
      <c r="T107">
        <f t="shared" si="34"/>
        <v>51</v>
      </c>
      <c r="U107" s="14">
        <f t="shared" si="35"/>
        <v>291</v>
      </c>
      <c r="V107" s="15"/>
      <c r="Z107" s="14"/>
    </row>
    <row r="108" spans="1:26" hidden="1" x14ac:dyDescent="0.25">
      <c r="A108" s="16" t="s">
        <v>229</v>
      </c>
      <c r="B108" s="17" t="b">
        <f t="shared" si="20"/>
        <v>0</v>
      </c>
      <c r="C108" s="17" t="b">
        <f t="shared" si="30"/>
        <v>0</v>
      </c>
      <c r="D108" s="17">
        <f t="shared" si="27"/>
        <v>1</v>
      </c>
      <c r="E108" s="17" t="str">
        <f t="shared" si="28"/>
        <v>5. Aspect-Oriented Programming</v>
      </c>
      <c r="F108" s="18" t="str">
        <f t="shared" si="19"/>
        <v/>
      </c>
      <c r="G108" s="13" t="str">
        <f t="shared" si="21"/>
        <v/>
      </c>
      <c r="H108">
        <f t="shared" si="22"/>
        <v>0</v>
      </c>
      <c r="I108" s="14">
        <f t="shared" si="29"/>
        <v>0</v>
      </c>
      <c r="J108" s="13">
        <f t="shared" si="23"/>
        <v>3038</v>
      </c>
      <c r="K108">
        <f t="shared" si="24"/>
        <v>0</v>
      </c>
      <c r="L108">
        <f t="shared" si="25"/>
        <v>50</v>
      </c>
      <c r="M108" s="14">
        <f t="shared" si="26"/>
        <v>38</v>
      </c>
      <c r="N108" s="13">
        <f t="shared" si="36"/>
        <v>0</v>
      </c>
      <c r="O108">
        <f t="shared" si="36"/>
        <v>4</v>
      </c>
      <c r="P108">
        <f t="shared" si="36"/>
        <v>51</v>
      </c>
      <c r="Q108" s="14">
        <f t="shared" si="31"/>
        <v>291</v>
      </c>
      <c r="R108" s="13">
        <f t="shared" si="32"/>
        <v>0</v>
      </c>
      <c r="S108">
        <f t="shared" si="33"/>
        <v>4</v>
      </c>
      <c r="T108">
        <f t="shared" si="34"/>
        <v>51</v>
      </c>
      <c r="U108" s="14">
        <f t="shared" si="35"/>
        <v>291</v>
      </c>
      <c r="V108" s="15"/>
      <c r="Z108" s="14"/>
    </row>
    <row r="109" spans="1:26" x14ac:dyDescent="0.25">
      <c r="A109" s="16" t="s">
        <v>285</v>
      </c>
      <c r="B109" s="17" t="b">
        <f t="shared" si="20"/>
        <v>0</v>
      </c>
      <c r="C109" s="17" t="b">
        <f t="shared" si="30"/>
        <v>1</v>
      </c>
      <c r="D109" s="17">
        <f t="shared" si="27"/>
        <v>2</v>
      </c>
      <c r="E109" s="17" t="str">
        <f t="shared" si="28"/>
        <v>5. Aspect-Oriented Programming</v>
      </c>
      <c r="F109" s="18" t="str">
        <f>SUBSTITUTE(IF(C109,D109&amp;". "&amp;A109,IF(A109="Chapter Quiz",A109,"")),":", " -")</f>
        <v>2. Define aspect-oriented programming (AOP) pointcuts</v>
      </c>
      <c r="G109" s="13" t="str">
        <f t="shared" si="21"/>
        <v>6m 6s</v>
      </c>
      <c r="H109">
        <f t="shared" si="22"/>
        <v>6</v>
      </c>
      <c r="I109" s="14">
        <f t="shared" si="29"/>
        <v>6</v>
      </c>
      <c r="J109" s="13">
        <f t="shared" si="23"/>
        <v>3404</v>
      </c>
      <c r="K109">
        <f t="shared" si="24"/>
        <v>0</v>
      </c>
      <c r="L109">
        <f t="shared" si="25"/>
        <v>56</v>
      </c>
      <c r="M109" s="14">
        <f t="shared" si="26"/>
        <v>44</v>
      </c>
      <c r="N109" s="13">
        <f t="shared" si="36"/>
        <v>0</v>
      </c>
      <c r="O109">
        <f t="shared" si="36"/>
        <v>4</v>
      </c>
      <c r="P109">
        <f t="shared" si="36"/>
        <v>51</v>
      </c>
      <c r="Q109" s="14">
        <f t="shared" si="31"/>
        <v>291</v>
      </c>
      <c r="R109" s="13">
        <f t="shared" si="32"/>
        <v>0</v>
      </c>
      <c r="S109">
        <f t="shared" si="33"/>
        <v>10</v>
      </c>
      <c r="T109">
        <f t="shared" si="34"/>
        <v>57</v>
      </c>
      <c r="U109" s="14">
        <f t="shared" si="35"/>
        <v>657</v>
      </c>
      <c r="V109" s="15" t="str">
        <f>"V:\Tutorials\Programming\Java Spring\Framework in Depth\"&amp;E109&amp;"\"&amp;F109&amp;".mkv"</f>
        <v>V:\Tutorials\Programming\Java Spring\Framework in Depth\5. Aspect-Oriented Programming\2. Define aspect-oriented programming (AOP) pointcuts.mkv</v>
      </c>
      <c r="Z109" s="14"/>
    </row>
    <row r="110" spans="1:26" hidden="1" x14ac:dyDescent="0.25">
      <c r="A110" s="16" t="s">
        <v>286</v>
      </c>
      <c r="B110" s="17" t="b">
        <f t="shared" si="20"/>
        <v>0</v>
      </c>
      <c r="C110" s="17" t="b">
        <f t="shared" si="30"/>
        <v>0</v>
      </c>
      <c r="D110" s="17">
        <f t="shared" si="27"/>
        <v>2</v>
      </c>
      <c r="E110" s="17" t="str">
        <f t="shared" si="28"/>
        <v>5. Aspect-Oriented Programming</v>
      </c>
      <c r="F110" s="18" t="str">
        <f t="shared" si="19"/>
        <v/>
      </c>
      <c r="G110" s="13" t="str">
        <f t="shared" si="21"/>
        <v/>
      </c>
      <c r="H110">
        <f t="shared" si="22"/>
        <v>0</v>
      </c>
      <c r="I110" s="14">
        <f t="shared" si="29"/>
        <v>0</v>
      </c>
      <c r="J110" s="13">
        <f t="shared" si="23"/>
        <v>3404</v>
      </c>
      <c r="K110">
        <f t="shared" si="24"/>
        <v>0</v>
      </c>
      <c r="L110">
        <f t="shared" si="25"/>
        <v>56</v>
      </c>
      <c r="M110" s="14">
        <f t="shared" si="26"/>
        <v>44</v>
      </c>
      <c r="N110" s="13">
        <f t="shared" si="36"/>
        <v>0</v>
      </c>
      <c r="O110">
        <f t="shared" si="36"/>
        <v>10</v>
      </c>
      <c r="P110">
        <f t="shared" si="36"/>
        <v>57</v>
      </c>
      <c r="Q110" s="14">
        <f t="shared" si="31"/>
        <v>657</v>
      </c>
      <c r="R110" s="13">
        <f t="shared" si="32"/>
        <v>0</v>
      </c>
      <c r="S110">
        <f t="shared" si="33"/>
        <v>10</v>
      </c>
      <c r="T110">
        <f t="shared" si="34"/>
        <v>57</v>
      </c>
      <c r="U110" s="14">
        <f t="shared" si="35"/>
        <v>657</v>
      </c>
      <c r="V110" s="15"/>
      <c r="Z110" s="14"/>
    </row>
    <row r="111" spans="1:26" hidden="1" x14ac:dyDescent="0.25">
      <c r="A111" s="16" t="s">
        <v>229</v>
      </c>
      <c r="B111" s="17" t="b">
        <f t="shared" si="20"/>
        <v>0</v>
      </c>
      <c r="C111" s="17" t="b">
        <f t="shared" si="30"/>
        <v>0</v>
      </c>
      <c r="D111" s="17">
        <f t="shared" si="27"/>
        <v>2</v>
      </c>
      <c r="E111" s="17" t="str">
        <f t="shared" si="28"/>
        <v>5. Aspect-Oriented Programming</v>
      </c>
      <c r="F111" s="18" t="str">
        <f t="shared" si="19"/>
        <v/>
      </c>
      <c r="G111" s="13" t="str">
        <f t="shared" si="21"/>
        <v/>
      </c>
      <c r="H111">
        <f t="shared" si="22"/>
        <v>0</v>
      </c>
      <c r="I111" s="14">
        <f t="shared" si="29"/>
        <v>0</v>
      </c>
      <c r="J111" s="13">
        <f t="shared" si="23"/>
        <v>3404</v>
      </c>
      <c r="K111">
        <f t="shared" si="24"/>
        <v>0</v>
      </c>
      <c r="L111">
        <f t="shared" si="25"/>
        <v>56</v>
      </c>
      <c r="M111" s="14">
        <f t="shared" si="26"/>
        <v>44</v>
      </c>
      <c r="N111" s="13">
        <f t="shared" si="36"/>
        <v>0</v>
      </c>
      <c r="O111">
        <f t="shared" si="36"/>
        <v>10</v>
      </c>
      <c r="P111">
        <f t="shared" si="36"/>
        <v>57</v>
      </c>
      <c r="Q111" s="14">
        <f t="shared" si="31"/>
        <v>657</v>
      </c>
      <c r="R111" s="13">
        <f t="shared" si="32"/>
        <v>0</v>
      </c>
      <c r="S111">
        <f t="shared" si="33"/>
        <v>10</v>
      </c>
      <c r="T111">
        <f t="shared" si="34"/>
        <v>57</v>
      </c>
      <c r="U111" s="14">
        <f t="shared" si="35"/>
        <v>657</v>
      </c>
      <c r="V111" s="15"/>
      <c r="Z111" s="14"/>
    </row>
    <row r="112" spans="1:26" x14ac:dyDescent="0.25">
      <c r="A112" s="16" t="s">
        <v>287</v>
      </c>
      <c r="B112" s="17" t="b">
        <f t="shared" si="20"/>
        <v>0</v>
      </c>
      <c r="C112" s="17" t="b">
        <f t="shared" si="30"/>
        <v>1</v>
      </c>
      <c r="D112" s="17">
        <f t="shared" si="27"/>
        <v>3</v>
      </c>
      <c r="E112" s="17" t="str">
        <f t="shared" si="28"/>
        <v>5. Aspect-Oriented Programming</v>
      </c>
      <c r="F112" s="18" t="str">
        <f>SUBSTITUTE(IF(C112,D112&amp;". "&amp;A112,IF(A112="Chapter Quiz",A112,"")),":", " -")</f>
        <v>3. Implement AOP advice - Before</v>
      </c>
      <c r="G112" s="13" t="str">
        <f t="shared" si="21"/>
        <v>5m 9s</v>
      </c>
      <c r="H112">
        <f t="shared" si="22"/>
        <v>5</v>
      </c>
      <c r="I112" s="14">
        <f t="shared" si="29"/>
        <v>9</v>
      </c>
      <c r="J112" s="13">
        <f t="shared" si="23"/>
        <v>3713</v>
      </c>
      <c r="K112">
        <f t="shared" si="24"/>
        <v>1</v>
      </c>
      <c r="L112">
        <f t="shared" si="25"/>
        <v>1</v>
      </c>
      <c r="M112" s="14">
        <f t="shared" si="26"/>
        <v>53</v>
      </c>
      <c r="N112" s="13">
        <f t="shared" si="36"/>
        <v>0</v>
      </c>
      <c r="O112">
        <v>11</v>
      </c>
      <c r="P112">
        <v>8</v>
      </c>
      <c r="Q112" s="14">
        <f t="shared" si="31"/>
        <v>668</v>
      </c>
      <c r="R112" s="13">
        <f t="shared" si="32"/>
        <v>0</v>
      </c>
      <c r="S112">
        <f t="shared" si="33"/>
        <v>16</v>
      </c>
      <c r="T112">
        <f t="shared" si="34"/>
        <v>17</v>
      </c>
      <c r="U112" s="14">
        <f t="shared" si="35"/>
        <v>977</v>
      </c>
      <c r="V112" s="15" t="str">
        <f>"V:\Tutorials\Programming\Java Spring\Framework in Depth\"&amp;E112&amp;"\"&amp;F112&amp;".mkv"</f>
        <v>V:\Tutorials\Programming\Java Spring\Framework in Depth\5. Aspect-Oriented Programming\3. Implement AOP advice - Before.mkv</v>
      </c>
      <c r="Z112" s="14"/>
    </row>
    <row r="113" spans="1:26" hidden="1" x14ac:dyDescent="0.25">
      <c r="A113" s="16" t="s">
        <v>288</v>
      </c>
      <c r="B113" s="17" t="b">
        <f t="shared" si="20"/>
        <v>0</v>
      </c>
      <c r="C113" s="17" t="b">
        <f t="shared" si="30"/>
        <v>0</v>
      </c>
      <c r="D113" s="17">
        <f t="shared" si="27"/>
        <v>3</v>
      </c>
      <c r="E113" s="17" t="str">
        <f t="shared" si="28"/>
        <v>5. Aspect-Oriented Programming</v>
      </c>
      <c r="F113" s="18" t="str">
        <f t="shared" si="19"/>
        <v/>
      </c>
      <c r="G113" s="13" t="str">
        <f t="shared" si="21"/>
        <v/>
      </c>
      <c r="H113">
        <f t="shared" si="22"/>
        <v>0</v>
      </c>
      <c r="I113" s="14">
        <f t="shared" si="29"/>
        <v>0</v>
      </c>
      <c r="J113" s="13">
        <f t="shared" si="23"/>
        <v>3713</v>
      </c>
      <c r="K113">
        <f t="shared" si="24"/>
        <v>1</v>
      </c>
      <c r="L113">
        <f t="shared" si="25"/>
        <v>1</v>
      </c>
      <c r="M113" s="14">
        <f t="shared" si="26"/>
        <v>53</v>
      </c>
      <c r="N113" s="13">
        <f t="shared" si="36"/>
        <v>0</v>
      </c>
      <c r="O113">
        <f t="shared" si="36"/>
        <v>16</v>
      </c>
      <c r="P113">
        <f t="shared" si="36"/>
        <v>17</v>
      </c>
      <c r="Q113" s="14">
        <f t="shared" si="31"/>
        <v>977</v>
      </c>
      <c r="R113" s="13">
        <f t="shared" si="32"/>
        <v>0</v>
      </c>
      <c r="S113">
        <f t="shared" si="33"/>
        <v>16</v>
      </c>
      <c r="T113">
        <f t="shared" si="34"/>
        <v>17</v>
      </c>
      <c r="U113" s="14">
        <f t="shared" si="35"/>
        <v>977</v>
      </c>
      <c r="V113" s="15"/>
      <c r="Z113" s="14"/>
    </row>
    <row r="114" spans="1:26" hidden="1" x14ac:dyDescent="0.25">
      <c r="A114" s="16" t="s">
        <v>229</v>
      </c>
      <c r="B114" s="17" t="b">
        <f t="shared" si="20"/>
        <v>0</v>
      </c>
      <c r="C114" s="17" t="b">
        <f t="shared" si="30"/>
        <v>0</v>
      </c>
      <c r="D114" s="17">
        <f t="shared" si="27"/>
        <v>3</v>
      </c>
      <c r="E114" s="17" t="str">
        <f t="shared" si="28"/>
        <v>5. Aspect-Oriented Programming</v>
      </c>
      <c r="F114" s="18" t="str">
        <f t="shared" si="19"/>
        <v/>
      </c>
      <c r="G114" s="13" t="str">
        <f t="shared" si="21"/>
        <v/>
      </c>
      <c r="H114">
        <f t="shared" si="22"/>
        <v>0</v>
      </c>
      <c r="I114" s="14">
        <f t="shared" si="29"/>
        <v>0</v>
      </c>
      <c r="J114" s="13">
        <f t="shared" si="23"/>
        <v>3713</v>
      </c>
      <c r="K114">
        <f t="shared" si="24"/>
        <v>1</v>
      </c>
      <c r="L114">
        <f t="shared" si="25"/>
        <v>1</v>
      </c>
      <c r="M114" s="14">
        <f t="shared" si="26"/>
        <v>53</v>
      </c>
      <c r="N114" s="13">
        <f t="shared" si="36"/>
        <v>0</v>
      </c>
      <c r="O114">
        <f t="shared" si="36"/>
        <v>16</v>
      </c>
      <c r="P114">
        <f t="shared" si="36"/>
        <v>17</v>
      </c>
      <c r="Q114" s="14">
        <f t="shared" si="31"/>
        <v>977</v>
      </c>
      <c r="R114" s="13">
        <f t="shared" si="32"/>
        <v>0</v>
      </c>
      <c r="S114">
        <f t="shared" si="33"/>
        <v>16</v>
      </c>
      <c r="T114">
        <f t="shared" si="34"/>
        <v>17</v>
      </c>
      <c r="U114" s="14">
        <f t="shared" si="35"/>
        <v>977</v>
      </c>
      <c r="V114" s="15"/>
      <c r="Z114" s="14"/>
    </row>
    <row r="115" spans="1:26" x14ac:dyDescent="0.25">
      <c r="A115" s="16" t="s">
        <v>289</v>
      </c>
      <c r="B115" s="17" t="b">
        <f t="shared" si="20"/>
        <v>0</v>
      </c>
      <c r="C115" s="17" t="b">
        <f t="shared" si="30"/>
        <v>1</v>
      </c>
      <c r="D115" s="17">
        <f t="shared" si="27"/>
        <v>4</v>
      </c>
      <c r="E115" s="17" t="str">
        <f t="shared" si="28"/>
        <v>5. Aspect-Oriented Programming</v>
      </c>
      <c r="F115" s="18" t="str">
        <f>SUBSTITUTE(IF(C115,D115&amp;". "&amp;A115,IF(A115="Chapter Quiz",A115,"")),":", " -")</f>
        <v>4. Implement AOP advice - After</v>
      </c>
      <c r="G115" s="13" t="str">
        <f t="shared" si="21"/>
        <v>2m 40s</v>
      </c>
      <c r="H115">
        <f t="shared" si="22"/>
        <v>2</v>
      </c>
      <c r="I115" s="14">
        <f t="shared" si="29"/>
        <v>40</v>
      </c>
      <c r="J115" s="13">
        <f t="shared" si="23"/>
        <v>3873</v>
      </c>
      <c r="K115">
        <f t="shared" si="24"/>
        <v>1</v>
      </c>
      <c r="L115">
        <f t="shared" si="25"/>
        <v>4</v>
      </c>
      <c r="M115" s="14">
        <f t="shared" si="26"/>
        <v>33</v>
      </c>
      <c r="N115" s="13">
        <f t="shared" si="36"/>
        <v>0</v>
      </c>
      <c r="O115">
        <f t="shared" si="36"/>
        <v>16</v>
      </c>
      <c r="P115">
        <f t="shared" si="36"/>
        <v>17</v>
      </c>
      <c r="Q115" s="14">
        <f t="shared" si="31"/>
        <v>977</v>
      </c>
      <c r="R115" s="13">
        <f t="shared" si="32"/>
        <v>0</v>
      </c>
      <c r="S115">
        <f t="shared" si="33"/>
        <v>18</v>
      </c>
      <c r="T115">
        <f t="shared" si="34"/>
        <v>57</v>
      </c>
      <c r="U115" s="14">
        <f t="shared" si="35"/>
        <v>1137</v>
      </c>
      <c r="V115" s="15" t="str">
        <f>"V:\Tutorials\Programming\Java Spring\Framework in Depth\"&amp;E115&amp;"\"&amp;F115&amp;".mkv"</f>
        <v>V:\Tutorials\Programming\Java Spring\Framework in Depth\5. Aspect-Oriented Programming\4. Implement AOP advice - After.mkv</v>
      </c>
      <c r="Z115" s="14"/>
    </row>
    <row r="116" spans="1:26" hidden="1" x14ac:dyDescent="0.25">
      <c r="A116" s="16" t="s">
        <v>290</v>
      </c>
      <c r="B116" s="17" t="b">
        <f t="shared" si="20"/>
        <v>0</v>
      </c>
      <c r="C116" s="17" t="b">
        <f t="shared" si="30"/>
        <v>0</v>
      </c>
      <c r="D116" s="17">
        <f t="shared" si="27"/>
        <v>4</v>
      </c>
      <c r="E116" s="17" t="str">
        <f t="shared" si="28"/>
        <v>5. Aspect-Oriented Programming</v>
      </c>
      <c r="F116" s="18" t="str">
        <f t="shared" si="19"/>
        <v/>
      </c>
      <c r="G116" s="13" t="str">
        <f t="shared" si="21"/>
        <v/>
      </c>
      <c r="H116">
        <f t="shared" si="22"/>
        <v>0</v>
      </c>
      <c r="I116" s="14">
        <f t="shared" si="29"/>
        <v>0</v>
      </c>
      <c r="J116" s="13">
        <f t="shared" si="23"/>
        <v>3873</v>
      </c>
      <c r="K116">
        <f t="shared" si="24"/>
        <v>1</v>
      </c>
      <c r="L116">
        <f t="shared" si="25"/>
        <v>4</v>
      </c>
      <c r="M116" s="14">
        <f t="shared" si="26"/>
        <v>33</v>
      </c>
      <c r="N116" s="13">
        <f t="shared" si="36"/>
        <v>0</v>
      </c>
      <c r="O116">
        <f t="shared" si="36"/>
        <v>18</v>
      </c>
      <c r="P116">
        <f t="shared" si="36"/>
        <v>57</v>
      </c>
      <c r="Q116" s="14">
        <f t="shared" si="31"/>
        <v>1137</v>
      </c>
      <c r="R116" s="13">
        <f t="shared" si="32"/>
        <v>0</v>
      </c>
      <c r="S116">
        <f t="shared" si="33"/>
        <v>18</v>
      </c>
      <c r="T116">
        <f t="shared" si="34"/>
        <v>57</v>
      </c>
      <c r="U116" s="14">
        <f t="shared" si="35"/>
        <v>1137</v>
      </c>
      <c r="V116" s="15"/>
      <c r="Z116" s="14"/>
    </row>
    <row r="117" spans="1:26" hidden="1" x14ac:dyDescent="0.25">
      <c r="A117" s="16" t="s">
        <v>229</v>
      </c>
      <c r="B117" s="17" t="b">
        <f t="shared" si="20"/>
        <v>0</v>
      </c>
      <c r="C117" s="17" t="b">
        <f t="shared" si="30"/>
        <v>0</v>
      </c>
      <c r="D117" s="17">
        <f t="shared" si="27"/>
        <v>4</v>
      </c>
      <c r="E117" s="17" t="str">
        <f t="shared" si="28"/>
        <v>5. Aspect-Oriented Programming</v>
      </c>
      <c r="F117" s="18" t="str">
        <f t="shared" ref="F117:F180" si="37">IF(C117,D117&amp;". "&amp;A117,IF(A117="Chapter Quiz",A117,""))</f>
        <v/>
      </c>
      <c r="G117" s="13" t="str">
        <f t="shared" si="21"/>
        <v/>
      </c>
      <c r="H117">
        <f t="shared" si="22"/>
        <v>0</v>
      </c>
      <c r="I117" s="14">
        <f t="shared" si="29"/>
        <v>0</v>
      </c>
      <c r="J117" s="13">
        <f t="shared" si="23"/>
        <v>3873</v>
      </c>
      <c r="K117">
        <f t="shared" si="24"/>
        <v>1</v>
      </c>
      <c r="L117">
        <f t="shared" si="25"/>
        <v>4</v>
      </c>
      <c r="M117" s="14">
        <f t="shared" si="26"/>
        <v>33</v>
      </c>
      <c r="N117" s="13">
        <f t="shared" si="36"/>
        <v>0</v>
      </c>
      <c r="O117">
        <f t="shared" si="36"/>
        <v>18</v>
      </c>
      <c r="P117">
        <f t="shared" si="36"/>
        <v>57</v>
      </c>
      <c r="Q117" s="14">
        <f t="shared" si="31"/>
        <v>1137</v>
      </c>
      <c r="R117" s="13">
        <f t="shared" si="32"/>
        <v>0</v>
      </c>
      <c r="S117">
        <f t="shared" si="33"/>
        <v>18</v>
      </c>
      <c r="T117">
        <f t="shared" si="34"/>
        <v>57</v>
      </c>
      <c r="U117" s="14">
        <f t="shared" si="35"/>
        <v>1137</v>
      </c>
      <c r="V117" s="15"/>
      <c r="Z117" s="14"/>
    </row>
    <row r="118" spans="1:26" x14ac:dyDescent="0.25">
      <c r="A118" s="16" t="s">
        <v>291</v>
      </c>
      <c r="B118" s="17" t="b">
        <f t="shared" si="20"/>
        <v>0</v>
      </c>
      <c r="C118" s="17" t="b">
        <f t="shared" si="30"/>
        <v>1</v>
      </c>
      <c r="D118" s="17">
        <f t="shared" si="27"/>
        <v>5</v>
      </c>
      <c r="E118" s="17" t="str">
        <f t="shared" si="28"/>
        <v>5. Aspect-Oriented Programming</v>
      </c>
      <c r="F118" s="18" t="str">
        <f>SUBSTITUTE(IF(C118,D118&amp;". "&amp;A118,IF(A118="Chapter Quiz",A118,"")),":", " -")</f>
        <v>5. Implement AOP advice - Around</v>
      </c>
      <c r="G118" s="13" t="str">
        <f t="shared" si="21"/>
        <v>4m 40s</v>
      </c>
      <c r="H118">
        <f t="shared" si="22"/>
        <v>4</v>
      </c>
      <c r="I118" s="14">
        <f t="shared" si="29"/>
        <v>40</v>
      </c>
      <c r="J118" s="13">
        <f t="shared" si="23"/>
        <v>4153</v>
      </c>
      <c r="K118">
        <f t="shared" si="24"/>
        <v>1</v>
      </c>
      <c r="L118">
        <f t="shared" si="25"/>
        <v>9</v>
      </c>
      <c r="M118" s="14">
        <f t="shared" si="26"/>
        <v>13</v>
      </c>
      <c r="N118" s="13">
        <f t="shared" si="36"/>
        <v>0</v>
      </c>
      <c r="O118">
        <f t="shared" si="36"/>
        <v>18</v>
      </c>
      <c r="P118">
        <f t="shared" si="36"/>
        <v>57</v>
      </c>
      <c r="Q118" s="14">
        <f t="shared" si="31"/>
        <v>1137</v>
      </c>
      <c r="R118" s="13">
        <f t="shared" si="32"/>
        <v>0</v>
      </c>
      <c r="S118">
        <f t="shared" si="33"/>
        <v>23</v>
      </c>
      <c r="T118">
        <f t="shared" si="34"/>
        <v>37</v>
      </c>
      <c r="U118" s="14">
        <f t="shared" si="35"/>
        <v>1417</v>
      </c>
      <c r="V118" s="15" t="str">
        <f>"V:\Tutorials\Programming\Java Spring\Framework in Depth\"&amp;E118&amp;"\"&amp;F118&amp;".mkv"</f>
        <v>V:\Tutorials\Programming\Java Spring\Framework in Depth\5. Aspect-Oriented Programming\5. Implement AOP advice - Around.mkv</v>
      </c>
      <c r="Z118" s="14"/>
    </row>
    <row r="119" spans="1:26" hidden="1" x14ac:dyDescent="0.25">
      <c r="A119" s="16" t="s">
        <v>292</v>
      </c>
      <c r="B119" s="17" t="b">
        <f t="shared" si="20"/>
        <v>0</v>
      </c>
      <c r="C119" s="17" t="b">
        <f t="shared" si="30"/>
        <v>0</v>
      </c>
      <c r="D119" s="17">
        <f t="shared" si="27"/>
        <v>5</v>
      </c>
      <c r="E119" s="17" t="str">
        <f t="shared" si="28"/>
        <v>5. Aspect-Oriented Programming</v>
      </c>
      <c r="F119" s="18" t="str">
        <f t="shared" si="37"/>
        <v/>
      </c>
      <c r="G119" s="13" t="str">
        <f t="shared" si="21"/>
        <v/>
      </c>
      <c r="H119">
        <f t="shared" si="22"/>
        <v>0</v>
      </c>
      <c r="I119" s="14">
        <f t="shared" si="29"/>
        <v>0</v>
      </c>
      <c r="J119" s="13">
        <f t="shared" si="23"/>
        <v>4153</v>
      </c>
      <c r="K119">
        <f t="shared" si="24"/>
        <v>1</v>
      </c>
      <c r="L119">
        <f t="shared" si="25"/>
        <v>9</v>
      </c>
      <c r="M119" s="14">
        <f t="shared" si="26"/>
        <v>13</v>
      </c>
      <c r="N119" s="13">
        <f t="shared" si="36"/>
        <v>0</v>
      </c>
      <c r="O119">
        <f t="shared" si="36"/>
        <v>23</v>
      </c>
      <c r="P119">
        <f t="shared" si="36"/>
        <v>37</v>
      </c>
      <c r="Q119" s="14">
        <f t="shared" si="31"/>
        <v>1417</v>
      </c>
      <c r="R119" s="13">
        <f t="shared" si="32"/>
        <v>0</v>
      </c>
      <c r="S119">
        <f t="shared" si="33"/>
        <v>23</v>
      </c>
      <c r="T119">
        <f t="shared" si="34"/>
        <v>37</v>
      </c>
      <c r="U119" s="14">
        <f t="shared" si="35"/>
        <v>1417</v>
      </c>
      <c r="V119" s="15"/>
      <c r="Z119" s="14"/>
    </row>
    <row r="120" spans="1:26" hidden="1" x14ac:dyDescent="0.25">
      <c r="A120" s="16" t="s">
        <v>229</v>
      </c>
      <c r="B120" s="17" t="b">
        <f t="shared" si="20"/>
        <v>0</v>
      </c>
      <c r="C120" s="17" t="b">
        <f t="shared" si="30"/>
        <v>0</v>
      </c>
      <c r="D120" s="17">
        <f t="shared" si="27"/>
        <v>5</v>
      </c>
      <c r="E120" s="17" t="str">
        <f t="shared" si="28"/>
        <v>5. Aspect-Oriented Programming</v>
      </c>
      <c r="F120" s="18" t="str">
        <f t="shared" si="37"/>
        <v/>
      </c>
      <c r="G120" s="13" t="str">
        <f t="shared" si="21"/>
        <v/>
      </c>
      <c r="H120">
        <f t="shared" si="22"/>
        <v>0</v>
      </c>
      <c r="I120" s="14">
        <f t="shared" si="29"/>
        <v>0</v>
      </c>
      <c r="J120" s="13">
        <f t="shared" si="23"/>
        <v>4153</v>
      </c>
      <c r="K120">
        <f t="shared" si="24"/>
        <v>1</v>
      </c>
      <c r="L120">
        <f t="shared" si="25"/>
        <v>9</v>
      </c>
      <c r="M120" s="14">
        <f t="shared" si="26"/>
        <v>13</v>
      </c>
      <c r="N120" s="13">
        <f t="shared" si="36"/>
        <v>0</v>
      </c>
      <c r="O120">
        <f t="shared" si="36"/>
        <v>23</v>
      </c>
      <c r="P120">
        <f t="shared" si="36"/>
        <v>37</v>
      </c>
      <c r="Q120" s="14">
        <f t="shared" si="31"/>
        <v>1417</v>
      </c>
      <c r="R120" s="13">
        <f t="shared" si="32"/>
        <v>0</v>
      </c>
      <c r="S120">
        <f t="shared" si="33"/>
        <v>23</v>
      </c>
      <c r="T120">
        <f t="shared" si="34"/>
        <v>37</v>
      </c>
      <c r="U120" s="14">
        <f t="shared" si="35"/>
        <v>1417</v>
      </c>
      <c r="V120" s="15"/>
      <c r="Z120" s="14"/>
    </row>
    <row r="121" spans="1:26" x14ac:dyDescent="0.25">
      <c r="A121" s="16" t="s">
        <v>293</v>
      </c>
      <c r="B121" s="17" t="b">
        <f t="shared" si="20"/>
        <v>0</v>
      </c>
      <c r="C121" s="17" t="b">
        <f t="shared" si="30"/>
        <v>1</v>
      </c>
      <c r="D121" s="17">
        <f t="shared" si="27"/>
        <v>6</v>
      </c>
      <c r="E121" s="17" t="str">
        <f t="shared" si="28"/>
        <v>5. Aspect-Oriented Programming</v>
      </c>
      <c r="F121" s="18" t="str">
        <f>SUBSTITUTE(IF(C121,D121&amp;". "&amp;A121,IF(A121="Chapter Quiz",A121,"")),":", " -")</f>
        <v>6. Challenge - Building your own aspect</v>
      </c>
      <c r="G121" s="13" t="str">
        <f t="shared" si="21"/>
        <v>53s</v>
      </c>
      <c r="H121">
        <f t="shared" si="22"/>
        <v>0</v>
      </c>
      <c r="I121" s="14">
        <f t="shared" si="29"/>
        <v>53</v>
      </c>
      <c r="J121" s="13">
        <f t="shared" si="23"/>
        <v>4206</v>
      </c>
      <c r="K121">
        <f t="shared" si="24"/>
        <v>1</v>
      </c>
      <c r="L121">
        <f t="shared" si="25"/>
        <v>10</v>
      </c>
      <c r="M121" s="14">
        <f t="shared" si="26"/>
        <v>6</v>
      </c>
      <c r="N121" s="13">
        <f t="shared" si="36"/>
        <v>0</v>
      </c>
      <c r="O121">
        <f t="shared" si="36"/>
        <v>23</v>
      </c>
      <c r="P121">
        <f t="shared" si="36"/>
        <v>37</v>
      </c>
      <c r="Q121" s="14">
        <f t="shared" si="31"/>
        <v>1417</v>
      </c>
      <c r="R121" s="13">
        <f t="shared" si="32"/>
        <v>0</v>
      </c>
      <c r="S121">
        <f t="shared" si="33"/>
        <v>24</v>
      </c>
      <c r="T121">
        <f t="shared" si="34"/>
        <v>30</v>
      </c>
      <c r="U121" s="14">
        <f t="shared" si="35"/>
        <v>1470</v>
      </c>
      <c r="V121" s="15" t="str">
        <f>"V:\Tutorials\Programming\Java Spring\Framework in Depth\"&amp;E121&amp;"\"&amp;F121&amp;".mkv"</f>
        <v>V:\Tutorials\Programming\Java Spring\Framework in Depth\5. Aspect-Oriented Programming\6. Challenge - Building your own aspect.mkv</v>
      </c>
      <c r="Z121" s="14"/>
    </row>
    <row r="122" spans="1:26" hidden="1" x14ac:dyDescent="0.25">
      <c r="A122" s="16" t="s">
        <v>294</v>
      </c>
      <c r="B122" s="17" t="b">
        <f t="shared" si="20"/>
        <v>0</v>
      </c>
      <c r="C122" s="17" t="b">
        <f t="shared" si="30"/>
        <v>0</v>
      </c>
      <c r="D122" s="17">
        <f t="shared" si="27"/>
        <v>6</v>
      </c>
      <c r="E122" s="17" t="str">
        <f t="shared" si="28"/>
        <v>5. Aspect-Oriented Programming</v>
      </c>
      <c r="F122" s="18" t="str">
        <f t="shared" si="37"/>
        <v/>
      </c>
      <c r="G122" s="13" t="str">
        <f t="shared" si="21"/>
        <v/>
      </c>
      <c r="H122">
        <f t="shared" si="22"/>
        <v>0</v>
      </c>
      <c r="I122" s="14">
        <f t="shared" si="29"/>
        <v>0</v>
      </c>
      <c r="J122" s="13">
        <f t="shared" si="23"/>
        <v>4206</v>
      </c>
      <c r="K122">
        <f t="shared" si="24"/>
        <v>1</v>
      </c>
      <c r="L122">
        <f t="shared" si="25"/>
        <v>10</v>
      </c>
      <c r="M122" s="14">
        <f t="shared" si="26"/>
        <v>6</v>
      </c>
      <c r="N122" s="13">
        <f t="shared" si="36"/>
        <v>0</v>
      </c>
      <c r="O122">
        <f t="shared" si="36"/>
        <v>24</v>
      </c>
      <c r="P122">
        <f t="shared" si="36"/>
        <v>30</v>
      </c>
      <c r="Q122" s="14">
        <f t="shared" si="31"/>
        <v>1470</v>
      </c>
      <c r="R122" s="13">
        <f t="shared" si="32"/>
        <v>0</v>
      </c>
      <c r="S122">
        <f t="shared" si="33"/>
        <v>24</v>
      </c>
      <c r="T122">
        <f t="shared" si="34"/>
        <v>30</v>
      </c>
      <c r="U122" s="14">
        <f t="shared" si="35"/>
        <v>1470</v>
      </c>
      <c r="V122" s="15"/>
      <c r="Z122" s="14"/>
    </row>
    <row r="123" spans="1:26" hidden="1" x14ac:dyDescent="0.25">
      <c r="A123" s="16" t="s">
        <v>229</v>
      </c>
      <c r="B123" s="17" t="b">
        <f t="shared" si="20"/>
        <v>0</v>
      </c>
      <c r="C123" s="17" t="b">
        <f t="shared" si="30"/>
        <v>0</v>
      </c>
      <c r="D123" s="17">
        <f t="shared" si="27"/>
        <v>6</v>
      </c>
      <c r="E123" s="17" t="str">
        <f t="shared" si="28"/>
        <v>5. Aspect-Oriented Programming</v>
      </c>
      <c r="F123" s="18" t="str">
        <f t="shared" si="37"/>
        <v/>
      </c>
      <c r="G123" s="13" t="str">
        <f t="shared" si="21"/>
        <v/>
      </c>
      <c r="H123">
        <f t="shared" si="22"/>
        <v>0</v>
      </c>
      <c r="I123" s="14">
        <f t="shared" si="29"/>
        <v>0</v>
      </c>
      <c r="J123" s="13">
        <f t="shared" si="23"/>
        <v>4206</v>
      </c>
      <c r="K123">
        <f t="shared" si="24"/>
        <v>1</v>
      </c>
      <c r="L123">
        <f t="shared" si="25"/>
        <v>10</v>
      </c>
      <c r="M123" s="14">
        <f t="shared" si="26"/>
        <v>6</v>
      </c>
      <c r="N123" s="13">
        <f t="shared" si="36"/>
        <v>0</v>
      </c>
      <c r="O123">
        <f t="shared" si="36"/>
        <v>24</v>
      </c>
      <c r="P123">
        <f t="shared" si="36"/>
        <v>30</v>
      </c>
      <c r="Q123" s="14">
        <f t="shared" si="31"/>
        <v>1470</v>
      </c>
      <c r="R123" s="13">
        <f t="shared" si="32"/>
        <v>0</v>
      </c>
      <c r="S123">
        <f t="shared" si="33"/>
        <v>24</v>
      </c>
      <c r="T123">
        <f t="shared" si="34"/>
        <v>30</v>
      </c>
      <c r="U123" s="14">
        <f t="shared" si="35"/>
        <v>1470</v>
      </c>
      <c r="V123" s="15"/>
      <c r="Z123" s="14"/>
    </row>
    <row r="124" spans="1:26" x14ac:dyDescent="0.25">
      <c r="A124" s="16" t="s">
        <v>295</v>
      </c>
      <c r="B124" s="17" t="b">
        <f t="shared" si="20"/>
        <v>0</v>
      </c>
      <c r="C124" s="17" t="b">
        <f t="shared" si="30"/>
        <v>1</v>
      </c>
      <c r="D124" s="17">
        <f t="shared" si="27"/>
        <v>7</v>
      </c>
      <c r="E124" s="17" t="str">
        <f t="shared" si="28"/>
        <v>5. Aspect-Oriented Programming</v>
      </c>
      <c r="F124" s="18" t="str">
        <f>SUBSTITUTE(IF(C124,D124&amp;". "&amp;A124,IF(A124="Chapter Quiz",A124,"")),":", " -")</f>
        <v>7. Solution - Building your own aspect</v>
      </c>
      <c r="G124" s="13" t="str">
        <f t="shared" si="21"/>
        <v>2m 41s</v>
      </c>
      <c r="H124">
        <f t="shared" si="22"/>
        <v>2</v>
      </c>
      <c r="I124" s="14">
        <f t="shared" si="29"/>
        <v>41</v>
      </c>
      <c r="J124" s="13">
        <f t="shared" si="23"/>
        <v>4367</v>
      </c>
      <c r="K124">
        <f t="shared" si="24"/>
        <v>1</v>
      </c>
      <c r="L124">
        <f t="shared" si="25"/>
        <v>12</v>
      </c>
      <c r="M124" s="14">
        <f t="shared" si="26"/>
        <v>47</v>
      </c>
      <c r="N124" s="13">
        <f t="shared" si="36"/>
        <v>0</v>
      </c>
      <c r="O124">
        <f t="shared" si="36"/>
        <v>24</v>
      </c>
      <c r="P124">
        <f t="shared" si="36"/>
        <v>30</v>
      </c>
      <c r="Q124" s="14">
        <f t="shared" si="31"/>
        <v>1470</v>
      </c>
      <c r="R124" s="13">
        <f t="shared" si="32"/>
        <v>0</v>
      </c>
      <c r="S124">
        <f t="shared" si="33"/>
        <v>27</v>
      </c>
      <c r="T124">
        <f t="shared" si="34"/>
        <v>11</v>
      </c>
      <c r="U124" s="14">
        <f t="shared" si="35"/>
        <v>1631</v>
      </c>
      <c r="V124" s="15" t="str">
        <f>"V:\Tutorials\Programming\Java Spring\Framework in Depth\"&amp;E124&amp;"\"&amp;F124&amp;".mkv"</f>
        <v>V:\Tutorials\Programming\Java Spring\Framework in Depth\5. Aspect-Oriented Programming\7. Solution - Building your own aspect.mkv</v>
      </c>
      <c r="Z124" s="14"/>
    </row>
    <row r="125" spans="1:26" hidden="1" x14ac:dyDescent="0.25">
      <c r="A125" s="16" t="s">
        <v>296</v>
      </c>
      <c r="B125" s="17" t="b">
        <f t="shared" si="20"/>
        <v>0</v>
      </c>
      <c r="C125" s="17" t="b">
        <f t="shared" si="30"/>
        <v>0</v>
      </c>
      <c r="D125" s="17">
        <f t="shared" si="27"/>
        <v>7</v>
      </c>
      <c r="E125" s="17" t="str">
        <f t="shared" si="28"/>
        <v>5. Aspect-Oriented Programming</v>
      </c>
      <c r="F125" s="18" t="str">
        <f t="shared" si="37"/>
        <v/>
      </c>
      <c r="G125" s="13" t="str">
        <f t="shared" si="21"/>
        <v/>
      </c>
      <c r="H125">
        <f t="shared" si="22"/>
        <v>0</v>
      </c>
      <c r="I125" s="14">
        <f t="shared" si="29"/>
        <v>0</v>
      </c>
      <c r="J125" s="13">
        <f t="shared" si="23"/>
        <v>4367</v>
      </c>
      <c r="K125">
        <f t="shared" si="24"/>
        <v>1</v>
      </c>
      <c r="L125">
        <f t="shared" si="25"/>
        <v>12</v>
      </c>
      <c r="M125" s="14">
        <f t="shared" si="26"/>
        <v>47</v>
      </c>
      <c r="N125" s="13">
        <f t="shared" si="36"/>
        <v>0</v>
      </c>
      <c r="O125">
        <f t="shared" si="36"/>
        <v>27</v>
      </c>
      <c r="P125">
        <f t="shared" si="36"/>
        <v>11</v>
      </c>
      <c r="Q125" s="14">
        <f t="shared" si="31"/>
        <v>1631</v>
      </c>
      <c r="R125" s="13">
        <f t="shared" si="32"/>
        <v>0</v>
      </c>
      <c r="S125">
        <f t="shared" si="33"/>
        <v>27</v>
      </c>
      <c r="T125">
        <f t="shared" si="34"/>
        <v>11</v>
      </c>
      <c r="U125" s="14">
        <f t="shared" si="35"/>
        <v>1631</v>
      </c>
      <c r="V125" s="15"/>
      <c r="Z125" s="14"/>
    </row>
    <row r="126" spans="1:26" hidden="1" x14ac:dyDescent="0.25">
      <c r="A126" s="16" t="s">
        <v>229</v>
      </c>
      <c r="B126" s="17" t="b">
        <f t="shared" si="20"/>
        <v>0</v>
      </c>
      <c r="C126" s="17" t="b">
        <f t="shared" si="30"/>
        <v>0</v>
      </c>
      <c r="D126" s="17">
        <f t="shared" si="27"/>
        <v>7</v>
      </c>
      <c r="E126" s="17" t="str">
        <f t="shared" si="28"/>
        <v>5. Aspect-Oriented Programming</v>
      </c>
      <c r="F126" s="18" t="str">
        <f t="shared" si="37"/>
        <v/>
      </c>
      <c r="G126" s="13" t="str">
        <f t="shared" si="21"/>
        <v/>
      </c>
      <c r="H126">
        <f t="shared" si="22"/>
        <v>0</v>
      </c>
      <c r="I126" s="14">
        <f t="shared" si="29"/>
        <v>0</v>
      </c>
      <c r="J126" s="13">
        <f t="shared" si="23"/>
        <v>4367</v>
      </c>
      <c r="K126">
        <f t="shared" si="24"/>
        <v>1</v>
      </c>
      <c r="L126">
        <f t="shared" si="25"/>
        <v>12</v>
      </c>
      <c r="M126" s="14">
        <f t="shared" si="26"/>
        <v>47</v>
      </c>
      <c r="N126" s="13">
        <f t="shared" si="36"/>
        <v>0</v>
      </c>
      <c r="O126">
        <f t="shared" si="36"/>
        <v>27</v>
      </c>
      <c r="P126">
        <f t="shared" si="36"/>
        <v>11</v>
      </c>
      <c r="Q126" s="14">
        <f t="shared" si="31"/>
        <v>1631</v>
      </c>
      <c r="R126" s="13">
        <f t="shared" si="32"/>
        <v>0</v>
      </c>
      <c r="S126">
        <f t="shared" si="33"/>
        <v>27</v>
      </c>
      <c r="T126">
        <f t="shared" si="34"/>
        <v>11</v>
      </c>
      <c r="U126" s="14">
        <f t="shared" si="35"/>
        <v>1631</v>
      </c>
      <c r="V126" s="15"/>
      <c r="Z126" s="14"/>
    </row>
    <row r="127" spans="1:26" x14ac:dyDescent="0.25">
      <c r="A127" s="16" t="s">
        <v>21</v>
      </c>
      <c r="B127" s="17" t="b">
        <f t="shared" si="20"/>
        <v>0</v>
      </c>
      <c r="C127" s="17" t="b">
        <f t="shared" si="30"/>
        <v>0</v>
      </c>
      <c r="D127" s="17">
        <f t="shared" si="27"/>
        <v>7</v>
      </c>
      <c r="E127" s="17" t="str">
        <f t="shared" si="28"/>
        <v>5. Aspect-Oriented Programming</v>
      </c>
      <c r="F127" s="18" t="str">
        <f>SUBSTITUTE(IF(C127,D127&amp;". "&amp;A127,IF(A127="Chapter Quiz",A127,"")),":", " -")</f>
        <v>Chapter Quiz</v>
      </c>
      <c r="G127" s="13" t="str">
        <f t="shared" si="21"/>
        <v/>
      </c>
      <c r="H127">
        <f t="shared" si="22"/>
        <v>0</v>
      </c>
      <c r="I127" s="14">
        <f t="shared" si="29"/>
        <v>0</v>
      </c>
      <c r="J127" s="13">
        <f t="shared" si="23"/>
        <v>4367</v>
      </c>
      <c r="K127">
        <f t="shared" si="24"/>
        <v>1</v>
      </c>
      <c r="L127">
        <f t="shared" si="25"/>
        <v>12</v>
      </c>
      <c r="M127" s="14">
        <f t="shared" si="26"/>
        <v>47</v>
      </c>
      <c r="N127" s="13">
        <f t="shared" si="36"/>
        <v>0</v>
      </c>
      <c r="O127">
        <f t="shared" si="36"/>
        <v>27</v>
      </c>
      <c r="P127">
        <f t="shared" si="36"/>
        <v>11</v>
      </c>
      <c r="Q127" s="14">
        <f t="shared" si="31"/>
        <v>1631</v>
      </c>
      <c r="R127" s="13">
        <f t="shared" si="32"/>
        <v>0</v>
      </c>
      <c r="S127">
        <f t="shared" si="33"/>
        <v>27</v>
      </c>
      <c r="T127">
        <f t="shared" si="34"/>
        <v>11</v>
      </c>
      <c r="U127" s="14">
        <f t="shared" si="35"/>
        <v>1631</v>
      </c>
      <c r="V127" s="15" t="str">
        <f>"V:\Tutorials\Programming\Java Spring\Framework in Depth\"&amp;E127&amp;"\"&amp;F127&amp;".mkv"</f>
        <v>V:\Tutorials\Programming\Java Spring\Framework in Depth\5. Aspect-Oriented Programming\Chapter Quiz.mkv</v>
      </c>
      <c r="Z127" s="14"/>
    </row>
    <row r="128" spans="1:26" hidden="1" x14ac:dyDescent="0.25">
      <c r="A128" s="16" t="s">
        <v>297</v>
      </c>
      <c r="B128" s="17" t="b">
        <f t="shared" si="20"/>
        <v>0</v>
      </c>
      <c r="C128" s="17" t="b">
        <f t="shared" si="30"/>
        <v>0</v>
      </c>
      <c r="D128" s="17">
        <f t="shared" si="27"/>
        <v>7</v>
      </c>
      <c r="E128" s="17" t="str">
        <f t="shared" si="28"/>
        <v>5. Aspect-Oriented Programming</v>
      </c>
      <c r="F128" s="18" t="str">
        <f t="shared" si="37"/>
        <v/>
      </c>
      <c r="G128" s="13" t="str">
        <f t="shared" si="21"/>
        <v/>
      </c>
      <c r="H128">
        <f t="shared" si="22"/>
        <v>0</v>
      </c>
      <c r="I128" s="14">
        <f t="shared" si="29"/>
        <v>0</v>
      </c>
      <c r="J128" s="13">
        <f t="shared" si="23"/>
        <v>4367</v>
      </c>
      <c r="K128">
        <f t="shared" si="24"/>
        <v>1</v>
      </c>
      <c r="L128">
        <f t="shared" si="25"/>
        <v>12</v>
      </c>
      <c r="M128" s="14">
        <f t="shared" si="26"/>
        <v>47</v>
      </c>
      <c r="N128" s="13">
        <f t="shared" si="36"/>
        <v>0</v>
      </c>
      <c r="O128">
        <f t="shared" si="36"/>
        <v>27</v>
      </c>
      <c r="P128">
        <f t="shared" si="36"/>
        <v>11</v>
      </c>
      <c r="Q128" s="14">
        <f t="shared" si="31"/>
        <v>1631</v>
      </c>
      <c r="R128" s="13">
        <f t="shared" si="32"/>
        <v>0</v>
      </c>
      <c r="S128">
        <f t="shared" si="33"/>
        <v>27</v>
      </c>
      <c r="T128">
        <f t="shared" si="34"/>
        <v>11</v>
      </c>
      <c r="U128" s="14">
        <f t="shared" si="35"/>
        <v>1631</v>
      </c>
      <c r="V128" s="15"/>
      <c r="Z128" s="14"/>
    </row>
    <row r="129" spans="1:26" hidden="1" x14ac:dyDescent="0.25">
      <c r="A129" s="16"/>
      <c r="B129" s="17" t="b">
        <f t="shared" si="20"/>
        <v>0</v>
      </c>
      <c r="C129" s="17" t="b">
        <f t="shared" si="30"/>
        <v>0</v>
      </c>
      <c r="D129" s="17">
        <f t="shared" si="27"/>
        <v>7</v>
      </c>
      <c r="E129" s="17" t="str">
        <f t="shared" si="28"/>
        <v>5. Aspect-Oriented Programming</v>
      </c>
      <c r="F129" s="18" t="str">
        <f t="shared" si="37"/>
        <v/>
      </c>
      <c r="G129" s="13" t="str">
        <f t="shared" si="21"/>
        <v/>
      </c>
      <c r="H129">
        <f t="shared" si="22"/>
        <v>0</v>
      </c>
      <c r="I129" s="14">
        <f t="shared" si="29"/>
        <v>0</v>
      </c>
      <c r="J129" s="13">
        <f t="shared" si="23"/>
        <v>4367</v>
      </c>
      <c r="K129">
        <f t="shared" si="24"/>
        <v>1</v>
      </c>
      <c r="L129">
        <f t="shared" si="25"/>
        <v>12</v>
      </c>
      <c r="M129" s="14">
        <f t="shared" si="26"/>
        <v>47</v>
      </c>
      <c r="N129" s="13">
        <f t="shared" si="36"/>
        <v>0</v>
      </c>
      <c r="O129">
        <f t="shared" si="36"/>
        <v>27</v>
      </c>
      <c r="P129">
        <f t="shared" si="36"/>
        <v>11</v>
      </c>
      <c r="Q129" s="14">
        <f t="shared" si="31"/>
        <v>1631</v>
      </c>
      <c r="R129" s="13">
        <f t="shared" si="32"/>
        <v>0</v>
      </c>
      <c r="S129">
        <f t="shared" si="33"/>
        <v>27</v>
      </c>
      <c r="T129">
        <f t="shared" si="34"/>
        <v>11</v>
      </c>
      <c r="U129" s="14">
        <f t="shared" si="35"/>
        <v>1631</v>
      </c>
      <c r="V129" s="15"/>
      <c r="Z129" s="14"/>
    </row>
    <row r="130" spans="1:26" hidden="1" x14ac:dyDescent="0.25">
      <c r="A130" s="16" t="s">
        <v>300</v>
      </c>
      <c r="B130" s="17" t="b">
        <f t="shared" si="20"/>
        <v>1</v>
      </c>
      <c r="C130" s="17" t="b">
        <f t="shared" si="30"/>
        <v>0</v>
      </c>
      <c r="D130" s="17">
        <f t="shared" si="27"/>
        <v>0</v>
      </c>
      <c r="E130" s="17" t="str">
        <f t="shared" si="28"/>
        <v>6. Conclusion</v>
      </c>
      <c r="F130" s="18" t="str">
        <f t="shared" si="37"/>
        <v/>
      </c>
      <c r="G130" s="13" t="str">
        <f t="shared" si="21"/>
        <v/>
      </c>
      <c r="H130">
        <f t="shared" si="22"/>
        <v>0</v>
      </c>
      <c r="I130" s="14">
        <f t="shared" si="29"/>
        <v>0</v>
      </c>
      <c r="J130" s="13">
        <f t="shared" si="23"/>
        <v>4367</v>
      </c>
      <c r="K130">
        <f t="shared" si="24"/>
        <v>1</v>
      </c>
      <c r="L130">
        <f t="shared" si="25"/>
        <v>12</v>
      </c>
      <c r="M130" s="14">
        <f t="shared" si="26"/>
        <v>47</v>
      </c>
      <c r="N130" s="13">
        <f t="shared" si="36"/>
        <v>0</v>
      </c>
      <c r="O130">
        <f t="shared" si="36"/>
        <v>27</v>
      </c>
      <c r="P130">
        <f t="shared" si="36"/>
        <v>11</v>
      </c>
      <c r="Q130" s="14">
        <f t="shared" si="31"/>
        <v>1631</v>
      </c>
      <c r="R130" s="13">
        <f t="shared" si="32"/>
        <v>0</v>
      </c>
      <c r="S130">
        <f t="shared" si="33"/>
        <v>27</v>
      </c>
      <c r="T130">
        <f t="shared" si="34"/>
        <v>11</v>
      </c>
      <c r="U130" s="14">
        <f t="shared" si="35"/>
        <v>1631</v>
      </c>
      <c r="V130" s="15"/>
      <c r="Z130" s="14"/>
    </row>
    <row r="131" spans="1:26" hidden="1" x14ac:dyDescent="0.25">
      <c r="A131" s="16"/>
      <c r="B131" s="17" t="b">
        <f t="shared" si="20"/>
        <v>0</v>
      </c>
      <c r="C131" s="17" t="b">
        <f t="shared" si="30"/>
        <v>0</v>
      </c>
      <c r="D131" s="17">
        <f t="shared" si="27"/>
        <v>0</v>
      </c>
      <c r="E131" s="17" t="str">
        <f t="shared" si="28"/>
        <v>6. Conclusion</v>
      </c>
      <c r="F131" s="18" t="str">
        <f t="shared" si="37"/>
        <v/>
      </c>
      <c r="G131" s="13" t="str">
        <f t="shared" si="21"/>
        <v/>
      </c>
      <c r="H131">
        <f t="shared" si="22"/>
        <v>0</v>
      </c>
      <c r="I131" s="14">
        <f t="shared" si="29"/>
        <v>0</v>
      </c>
      <c r="J131" s="13">
        <f t="shared" si="23"/>
        <v>4367</v>
      </c>
      <c r="K131">
        <f t="shared" si="24"/>
        <v>1</v>
      </c>
      <c r="L131">
        <f t="shared" si="25"/>
        <v>12</v>
      </c>
      <c r="M131" s="14">
        <f t="shared" si="26"/>
        <v>47</v>
      </c>
      <c r="N131" s="13">
        <f t="shared" si="36"/>
        <v>0</v>
      </c>
      <c r="O131">
        <f t="shared" si="36"/>
        <v>27</v>
      </c>
      <c r="P131">
        <f t="shared" si="36"/>
        <v>11</v>
      </c>
      <c r="Q131" s="14">
        <f t="shared" si="31"/>
        <v>1631</v>
      </c>
      <c r="R131" s="13">
        <f t="shared" si="32"/>
        <v>0</v>
      </c>
      <c r="S131">
        <f t="shared" si="33"/>
        <v>27</v>
      </c>
      <c r="T131">
        <f t="shared" si="34"/>
        <v>11</v>
      </c>
      <c r="U131" s="14">
        <f t="shared" si="35"/>
        <v>1631</v>
      </c>
      <c r="V131" s="15"/>
      <c r="Z131" s="14"/>
    </row>
    <row r="132" spans="1:26" x14ac:dyDescent="0.25">
      <c r="A132" s="16" t="s">
        <v>298</v>
      </c>
      <c r="B132" s="17" t="b">
        <f t="shared" si="20"/>
        <v>0</v>
      </c>
      <c r="C132" s="17" t="b">
        <f t="shared" si="30"/>
        <v>1</v>
      </c>
      <c r="D132" s="17">
        <f t="shared" si="27"/>
        <v>1</v>
      </c>
      <c r="E132" s="17" t="str">
        <f t="shared" si="28"/>
        <v>6. Conclusion</v>
      </c>
      <c r="F132" s="18" t="str">
        <f>SUBSTITUTE(IF(C132,D132&amp;". "&amp;A132,IF(A132="Chapter Quiz",A132,"")),":", " -")</f>
        <v>1. Next steps</v>
      </c>
      <c r="G132" s="13" t="str">
        <f t="shared" si="21"/>
        <v>2m 42s</v>
      </c>
      <c r="H132">
        <f t="shared" si="22"/>
        <v>2</v>
      </c>
      <c r="I132" s="14">
        <f t="shared" si="29"/>
        <v>42</v>
      </c>
      <c r="J132" s="13">
        <f t="shared" si="23"/>
        <v>4529</v>
      </c>
      <c r="K132">
        <f t="shared" si="24"/>
        <v>1</v>
      </c>
      <c r="L132">
        <f t="shared" si="25"/>
        <v>15</v>
      </c>
      <c r="M132" s="14">
        <f t="shared" si="26"/>
        <v>29</v>
      </c>
      <c r="N132" s="13">
        <f t="shared" si="36"/>
        <v>0</v>
      </c>
      <c r="O132">
        <v>0</v>
      </c>
      <c r="P132">
        <f t="shared" si="36"/>
        <v>11</v>
      </c>
      <c r="Q132" s="14">
        <f t="shared" si="31"/>
        <v>11</v>
      </c>
      <c r="R132" s="13">
        <f t="shared" si="32"/>
        <v>0</v>
      </c>
      <c r="S132">
        <f t="shared" si="33"/>
        <v>2</v>
      </c>
      <c r="T132">
        <f t="shared" si="34"/>
        <v>53</v>
      </c>
      <c r="U132" s="14">
        <f t="shared" si="35"/>
        <v>173</v>
      </c>
      <c r="V132" s="15" t="str">
        <f>"V:\Tutorials\Programming\Java Spring\Framework in Depth\"&amp;E132&amp;"\"&amp;F132&amp;".mkv"</f>
        <v>V:\Tutorials\Programming\Java Spring\Framework in Depth\6. Conclusion\1. Next steps.mkv</v>
      </c>
      <c r="Z132" s="14"/>
    </row>
    <row r="133" spans="1:26" hidden="1" x14ac:dyDescent="0.25">
      <c r="A133" s="16" t="s">
        <v>299</v>
      </c>
      <c r="B133" s="17" t="b">
        <f t="shared" si="20"/>
        <v>0</v>
      </c>
      <c r="C133" s="17" t="b">
        <f t="shared" si="30"/>
        <v>0</v>
      </c>
      <c r="D133" s="17">
        <f t="shared" si="27"/>
        <v>1</v>
      </c>
      <c r="E133" s="17" t="str">
        <f t="shared" si="28"/>
        <v>6. Conclusion</v>
      </c>
      <c r="F133" s="18" t="str">
        <f t="shared" si="37"/>
        <v/>
      </c>
      <c r="G133" s="13" t="str">
        <f t="shared" si="21"/>
        <v/>
      </c>
      <c r="H133">
        <f t="shared" si="22"/>
        <v>0</v>
      </c>
      <c r="I133" s="14">
        <f t="shared" si="29"/>
        <v>0</v>
      </c>
      <c r="J133" s="13">
        <f t="shared" si="23"/>
        <v>4529</v>
      </c>
      <c r="K133">
        <f t="shared" si="24"/>
        <v>1</v>
      </c>
      <c r="L133">
        <f t="shared" si="25"/>
        <v>15</v>
      </c>
      <c r="M133" s="14">
        <f t="shared" si="26"/>
        <v>29</v>
      </c>
      <c r="N133" s="13">
        <f t="shared" si="36"/>
        <v>0</v>
      </c>
      <c r="O133">
        <f t="shared" si="36"/>
        <v>2</v>
      </c>
      <c r="P133">
        <f t="shared" si="36"/>
        <v>53</v>
      </c>
      <c r="Q133" s="14">
        <f t="shared" si="31"/>
        <v>173</v>
      </c>
      <c r="R133" s="13">
        <f t="shared" si="32"/>
        <v>0</v>
      </c>
      <c r="S133">
        <f t="shared" si="33"/>
        <v>2</v>
      </c>
      <c r="T133">
        <f t="shared" si="34"/>
        <v>53</v>
      </c>
      <c r="U133" s="14">
        <f t="shared" si="35"/>
        <v>173</v>
      </c>
      <c r="V133" s="15"/>
      <c r="Z133" s="14"/>
    </row>
    <row r="134" spans="1:26" hidden="1" x14ac:dyDescent="0.25">
      <c r="A134" s="16"/>
      <c r="B134" s="17" t="b">
        <f t="shared" si="20"/>
        <v>0</v>
      </c>
      <c r="C134" s="17" t="b">
        <f t="shared" si="30"/>
        <v>0</v>
      </c>
      <c r="D134" s="17">
        <f t="shared" si="27"/>
        <v>1</v>
      </c>
      <c r="E134" s="17" t="str">
        <f t="shared" si="28"/>
        <v>6. Conclusion</v>
      </c>
      <c r="F134" s="18" t="str">
        <f t="shared" si="37"/>
        <v/>
      </c>
      <c r="G134" s="13" t="str">
        <f t="shared" si="21"/>
        <v/>
      </c>
      <c r="H134">
        <f t="shared" si="22"/>
        <v>0</v>
      </c>
      <c r="I134" s="14">
        <f t="shared" si="29"/>
        <v>0</v>
      </c>
      <c r="J134" s="13">
        <f t="shared" si="23"/>
        <v>4529</v>
      </c>
      <c r="K134">
        <f t="shared" si="24"/>
        <v>1</v>
      </c>
      <c r="L134">
        <f t="shared" si="25"/>
        <v>15</v>
      </c>
      <c r="M134" s="14">
        <f t="shared" si="26"/>
        <v>29</v>
      </c>
      <c r="N134" s="13">
        <f t="shared" si="36"/>
        <v>0</v>
      </c>
      <c r="O134">
        <f t="shared" si="36"/>
        <v>2</v>
      </c>
      <c r="P134">
        <f t="shared" si="36"/>
        <v>53</v>
      </c>
      <c r="Q134" s="14">
        <f t="shared" si="31"/>
        <v>173</v>
      </c>
      <c r="R134" s="13">
        <f t="shared" si="32"/>
        <v>0</v>
      </c>
      <c r="S134">
        <f t="shared" si="33"/>
        <v>2</v>
      </c>
      <c r="T134">
        <f t="shared" si="34"/>
        <v>53</v>
      </c>
      <c r="U134" s="14">
        <f t="shared" si="35"/>
        <v>173</v>
      </c>
      <c r="V134" s="15"/>
      <c r="Z134" s="14"/>
    </row>
    <row r="135" spans="1:26" hidden="1" x14ac:dyDescent="0.25">
      <c r="A135" s="16"/>
      <c r="B135" s="17" t="b">
        <f t="shared" si="20"/>
        <v>0</v>
      </c>
      <c r="C135" s="17" t="b">
        <f t="shared" si="30"/>
        <v>0</v>
      </c>
      <c r="D135" s="17">
        <f t="shared" si="27"/>
        <v>1</v>
      </c>
      <c r="E135" s="17" t="str">
        <f t="shared" si="28"/>
        <v>6. Conclusion</v>
      </c>
      <c r="F135" s="18" t="str">
        <f t="shared" si="37"/>
        <v/>
      </c>
      <c r="G135" s="13" t="str">
        <f t="shared" si="21"/>
        <v/>
      </c>
      <c r="H135">
        <f t="shared" si="22"/>
        <v>0</v>
      </c>
      <c r="I135" s="14">
        <f t="shared" si="29"/>
        <v>0</v>
      </c>
      <c r="J135" s="13">
        <f t="shared" si="23"/>
        <v>4529</v>
      </c>
      <c r="K135">
        <f t="shared" si="24"/>
        <v>1</v>
      </c>
      <c r="L135">
        <f t="shared" si="25"/>
        <v>15</v>
      </c>
      <c r="M135" s="14">
        <f t="shared" si="26"/>
        <v>29</v>
      </c>
      <c r="N135" s="13">
        <f t="shared" si="36"/>
        <v>0</v>
      </c>
      <c r="O135">
        <f t="shared" si="36"/>
        <v>2</v>
      </c>
      <c r="P135">
        <f t="shared" si="36"/>
        <v>53</v>
      </c>
      <c r="Q135" s="14">
        <f t="shared" si="31"/>
        <v>173</v>
      </c>
      <c r="R135" s="13">
        <f t="shared" si="32"/>
        <v>0</v>
      </c>
      <c r="S135">
        <f t="shared" si="33"/>
        <v>2</v>
      </c>
      <c r="T135">
        <f t="shared" si="34"/>
        <v>53</v>
      </c>
      <c r="U135" s="14">
        <f t="shared" si="35"/>
        <v>173</v>
      </c>
      <c r="V135" s="15"/>
      <c r="Z135" s="14"/>
    </row>
    <row r="136" spans="1:26" hidden="1" x14ac:dyDescent="0.25">
      <c r="A136" s="16"/>
      <c r="B136" s="17" t="b">
        <f t="shared" si="20"/>
        <v>0</v>
      </c>
      <c r="C136" s="17" t="b">
        <f t="shared" si="30"/>
        <v>0</v>
      </c>
      <c r="D136" s="17">
        <f t="shared" si="27"/>
        <v>1</v>
      </c>
      <c r="E136" s="17" t="str">
        <f t="shared" si="28"/>
        <v>6. Conclusion</v>
      </c>
      <c r="F136" s="18" t="str">
        <f t="shared" si="37"/>
        <v/>
      </c>
      <c r="G136" s="13" t="str">
        <f t="shared" si="21"/>
        <v/>
      </c>
      <c r="H136">
        <f t="shared" si="22"/>
        <v>0</v>
      </c>
      <c r="I136" s="14">
        <f t="shared" si="29"/>
        <v>0</v>
      </c>
      <c r="J136" s="13">
        <f t="shared" si="23"/>
        <v>4529</v>
      </c>
      <c r="K136">
        <f t="shared" si="24"/>
        <v>1</v>
      </c>
      <c r="L136">
        <f t="shared" si="25"/>
        <v>15</v>
      </c>
      <c r="M136" s="14">
        <f t="shared" si="26"/>
        <v>29</v>
      </c>
      <c r="N136" s="13">
        <f t="shared" si="36"/>
        <v>0</v>
      </c>
      <c r="O136">
        <f t="shared" si="36"/>
        <v>2</v>
      </c>
      <c r="P136">
        <f t="shared" si="36"/>
        <v>53</v>
      </c>
      <c r="Q136" s="14">
        <f t="shared" si="31"/>
        <v>173</v>
      </c>
      <c r="R136" s="13">
        <f t="shared" si="32"/>
        <v>0</v>
      </c>
      <c r="S136">
        <f t="shared" si="33"/>
        <v>2</v>
      </c>
      <c r="T136">
        <f t="shared" si="34"/>
        <v>53</v>
      </c>
      <c r="U136" s="14">
        <f t="shared" si="35"/>
        <v>173</v>
      </c>
      <c r="V136" s="15"/>
      <c r="Z136" s="14"/>
    </row>
    <row r="137" spans="1:26" hidden="1" x14ac:dyDescent="0.25">
      <c r="A137" s="16"/>
      <c r="B137" s="17" t="b">
        <f t="shared" si="20"/>
        <v>0</v>
      </c>
      <c r="C137" s="17" t="b">
        <f t="shared" si="30"/>
        <v>0</v>
      </c>
      <c r="D137" s="17">
        <f t="shared" si="27"/>
        <v>1</v>
      </c>
      <c r="E137" s="17" t="str">
        <f t="shared" si="28"/>
        <v>6. Conclusion</v>
      </c>
      <c r="F137" s="18" t="str">
        <f t="shared" si="37"/>
        <v/>
      </c>
      <c r="G137" s="13" t="str">
        <f t="shared" si="21"/>
        <v/>
      </c>
      <c r="H137">
        <f t="shared" si="22"/>
        <v>0</v>
      </c>
      <c r="I137" s="14">
        <f t="shared" si="29"/>
        <v>0</v>
      </c>
      <c r="J137" s="13">
        <f t="shared" si="23"/>
        <v>4529</v>
      </c>
      <c r="K137">
        <f t="shared" si="24"/>
        <v>1</v>
      </c>
      <c r="L137">
        <f t="shared" si="25"/>
        <v>15</v>
      </c>
      <c r="M137" s="14">
        <f t="shared" si="26"/>
        <v>29</v>
      </c>
      <c r="N137" s="13">
        <f t="shared" si="36"/>
        <v>0</v>
      </c>
      <c r="O137">
        <f t="shared" si="36"/>
        <v>2</v>
      </c>
      <c r="P137">
        <f t="shared" si="36"/>
        <v>53</v>
      </c>
      <c r="Q137" s="14">
        <f t="shared" si="31"/>
        <v>173</v>
      </c>
      <c r="R137" s="13">
        <f t="shared" si="32"/>
        <v>0</v>
      </c>
      <c r="S137">
        <f t="shared" si="33"/>
        <v>2</v>
      </c>
      <c r="T137">
        <f t="shared" si="34"/>
        <v>53</v>
      </c>
      <c r="U137" s="14">
        <f t="shared" si="35"/>
        <v>173</v>
      </c>
      <c r="V137" s="15"/>
      <c r="Z137" s="14"/>
    </row>
    <row r="138" spans="1:26" hidden="1" x14ac:dyDescent="0.25">
      <c r="A138" s="16"/>
      <c r="B138" s="17" t="b">
        <f t="shared" si="20"/>
        <v>0</v>
      </c>
      <c r="C138" s="17" t="b">
        <f t="shared" si="30"/>
        <v>0</v>
      </c>
      <c r="D138" s="17">
        <f t="shared" si="27"/>
        <v>1</v>
      </c>
      <c r="E138" s="17" t="str">
        <f t="shared" si="28"/>
        <v>6. Conclusion</v>
      </c>
      <c r="F138" s="18" t="str">
        <f t="shared" si="37"/>
        <v/>
      </c>
      <c r="G138" s="13" t="str">
        <f t="shared" si="21"/>
        <v/>
      </c>
      <c r="H138">
        <f t="shared" si="22"/>
        <v>0</v>
      </c>
      <c r="I138" s="14">
        <f t="shared" si="29"/>
        <v>0</v>
      </c>
      <c r="J138" s="13">
        <f t="shared" si="23"/>
        <v>4529</v>
      </c>
      <c r="K138">
        <f t="shared" si="24"/>
        <v>1</v>
      </c>
      <c r="L138">
        <f t="shared" si="25"/>
        <v>15</v>
      </c>
      <c r="M138" s="14">
        <f t="shared" si="26"/>
        <v>29</v>
      </c>
      <c r="N138" s="13">
        <f t="shared" si="36"/>
        <v>0</v>
      </c>
      <c r="O138">
        <f t="shared" si="36"/>
        <v>2</v>
      </c>
      <c r="P138">
        <f t="shared" si="36"/>
        <v>53</v>
      </c>
      <c r="Q138" s="14">
        <f t="shared" si="31"/>
        <v>173</v>
      </c>
      <c r="R138" s="13">
        <f t="shared" si="32"/>
        <v>0</v>
      </c>
      <c r="S138">
        <f t="shared" si="33"/>
        <v>2</v>
      </c>
      <c r="T138">
        <f t="shared" si="34"/>
        <v>53</v>
      </c>
      <c r="U138" s="14">
        <f t="shared" si="35"/>
        <v>173</v>
      </c>
      <c r="V138" s="15"/>
      <c r="Z138" s="14"/>
    </row>
    <row r="139" spans="1:26" hidden="1" x14ac:dyDescent="0.25">
      <c r="A139" s="16"/>
      <c r="B139" s="17" t="b">
        <f t="shared" ref="B139:B202" si="38">AND(NOT(ISERROR(FIND(". ",A139))),ISNUMBER(VALUE(LEFT(A139,FIND(". ",A139)-1))))</f>
        <v>0</v>
      </c>
      <c r="C139" s="17" t="b">
        <f t="shared" si="30"/>
        <v>0</v>
      </c>
      <c r="D139" s="17">
        <f t="shared" si="27"/>
        <v>1</v>
      </c>
      <c r="E139" s="17" t="str">
        <f t="shared" si="28"/>
        <v>6. Conclusion</v>
      </c>
      <c r="F139" s="18" t="str">
        <f t="shared" si="37"/>
        <v/>
      </c>
      <c r="G139" s="13" t="str">
        <f t="shared" ref="G139:G202" si="39">IF(C139,IF(ISERROR(FIND("s",A140)),LEFT(A140,FIND("m",A140)),LEFT(A140,FIND("s",A140))),"")</f>
        <v/>
      </c>
      <c r="H139">
        <f t="shared" ref="H139:H202" si="40">IF(OR(G139="",ISERROR(FIND("m",G139))),0,VALUE(LEFT(G139,FIND("m",G139)-1)))</f>
        <v>0</v>
      </c>
      <c r="I139" s="14">
        <f t="shared" si="29"/>
        <v>0</v>
      </c>
      <c r="J139" s="13">
        <f t="shared" ref="J139:J202" si="41">J138+(H139*60+I139)</f>
        <v>4529</v>
      </c>
      <c r="K139">
        <f t="shared" ref="K139:K202" si="42">INT(J139/60/60)</f>
        <v>1</v>
      </c>
      <c r="L139">
        <f t="shared" ref="L139:L202" si="43">INT((J139-(K139*60*60))/60)</f>
        <v>15</v>
      </c>
      <c r="M139" s="14">
        <f t="shared" ref="M139:M202" si="44">J139-(((K139*60)+L139)*60)</f>
        <v>29</v>
      </c>
      <c r="N139" s="13">
        <f t="shared" si="36"/>
        <v>0</v>
      </c>
      <c r="O139">
        <f t="shared" si="36"/>
        <v>2</v>
      </c>
      <c r="P139">
        <f t="shared" si="36"/>
        <v>53</v>
      </c>
      <c r="Q139" s="14">
        <f t="shared" si="31"/>
        <v>173</v>
      </c>
      <c r="R139" s="13">
        <f t="shared" si="32"/>
        <v>0</v>
      </c>
      <c r="S139">
        <f t="shared" si="33"/>
        <v>2</v>
      </c>
      <c r="T139">
        <f t="shared" si="34"/>
        <v>53</v>
      </c>
      <c r="U139" s="14">
        <f t="shared" si="35"/>
        <v>173</v>
      </c>
      <c r="V139" s="15"/>
      <c r="Z139" s="14"/>
    </row>
    <row r="140" spans="1:26" hidden="1" x14ac:dyDescent="0.25">
      <c r="A140" s="16"/>
      <c r="B140" s="17" t="b">
        <f t="shared" si="38"/>
        <v>0</v>
      </c>
      <c r="C140" s="17" t="b">
        <f t="shared" si="30"/>
        <v>0</v>
      </c>
      <c r="D140" s="17">
        <f t="shared" ref="D140:D203" si="45">IF(B140,0,IF(C140,D139+1,D139))</f>
        <v>1</v>
      </c>
      <c r="E140" s="17" t="str">
        <f t="shared" ref="E140:E203" si="46">IF(B140,A140,E139)</f>
        <v>6. Conclusion</v>
      </c>
      <c r="F140" s="18" t="str">
        <f t="shared" si="37"/>
        <v/>
      </c>
      <c r="G140" s="13" t="str">
        <f t="shared" si="39"/>
        <v/>
      </c>
      <c r="H140">
        <f t="shared" si="40"/>
        <v>0</v>
      </c>
      <c r="I140" s="14">
        <f t="shared" ref="I140:I203" si="47">IF(OR(G140="",ISERROR(FIND("s",G140))),0,VALUE(SUBSTITUTE(MID(G140,IF(ISERROR(FIND("m",G140)), 0,FIND("m",G140))+1,LEN(G140)),"s","")))</f>
        <v>0</v>
      </c>
      <c r="J140" s="13">
        <f t="shared" si="41"/>
        <v>4529</v>
      </c>
      <c r="K140">
        <f t="shared" si="42"/>
        <v>1</v>
      </c>
      <c r="L140">
        <f t="shared" si="43"/>
        <v>15</v>
      </c>
      <c r="M140" s="14">
        <f t="shared" si="44"/>
        <v>29</v>
      </c>
      <c r="N140" s="13">
        <f t="shared" si="36"/>
        <v>0</v>
      </c>
      <c r="O140">
        <f t="shared" si="36"/>
        <v>2</v>
      </c>
      <c r="P140">
        <f t="shared" si="36"/>
        <v>53</v>
      </c>
      <c r="Q140" s="14">
        <f t="shared" si="31"/>
        <v>173</v>
      </c>
      <c r="R140" s="13">
        <f t="shared" si="32"/>
        <v>0</v>
      </c>
      <c r="S140">
        <f t="shared" si="33"/>
        <v>2</v>
      </c>
      <c r="T140">
        <f t="shared" si="34"/>
        <v>53</v>
      </c>
      <c r="U140" s="14">
        <f t="shared" si="35"/>
        <v>173</v>
      </c>
      <c r="V140" s="15"/>
      <c r="Z140" s="14"/>
    </row>
    <row r="141" spans="1:26" hidden="1" x14ac:dyDescent="0.25">
      <c r="A141" s="16"/>
      <c r="B141" s="17" t="b">
        <f t="shared" si="38"/>
        <v>0</v>
      </c>
      <c r="C141" s="17" t="b">
        <f t="shared" si="30"/>
        <v>0</v>
      </c>
      <c r="D141" s="17">
        <f t="shared" si="45"/>
        <v>1</v>
      </c>
      <c r="E141" s="17" t="str">
        <f t="shared" si="46"/>
        <v>6. Conclusion</v>
      </c>
      <c r="F141" s="18" t="str">
        <f t="shared" si="37"/>
        <v/>
      </c>
      <c r="G141" s="13" t="str">
        <f t="shared" si="39"/>
        <v/>
      </c>
      <c r="H141">
        <f t="shared" si="40"/>
        <v>0</v>
      </c>
      <c r="I141" s="14">
        <f t="shared" si="47"/>
        <v>0</v>
      </c>
      <c r="J141" s="13">
        <f t="shared" si="41"/>
        <v>4529</v>
      </c>
      <c r="K141">
        <f t="shared" si="42"/>
        <v>1</v>
      </c>
      <c r="L141">
        <f t="shared" si="43"/>
        <v>15</v>
      </c>
      <c r="M141" s="14">
        <f t="shared" si="44"/>
        <v>29</v>
      </c>
      <c r="N141" s="13">
        <f t="shared" si="36"/>
        <v>0</v>
      </c>
      <c r="O141">
        <f t="shared" si="36"/>
        <v>2</v>
      </c>
      <c r="P141">
        <f t="shared" si="36"/>
        <v>53</v>
      </c>
      <c r="Q141" s="14">
        <f t="shared" si="31"/>
        <v>173</v>
      </c>
      <c r="R141" s="13">
        <f t="shared" si="32"/>
        <v>0</v>
      </c>
      <c r="S141">
        <f t="shared" si="33"/>
        <v>2</v>
      </c>
      <c r="T141">
        <f t="shared" si="34"/>
        <v>53</v>
      </c>
      <c r="U141" s="14">
        <f t="shared" si="35"/>
        <v>173</v>
      </c>
      <c r="V141" s="15"/>
      <c r="Z141" s="14"/>
    </row>
    <row r="142" spans="1:26" hidden="1" x14ac:dyDescent="0.25">
      <c r="A142" s="16"/>
      <c r="B142" s="17" t="b">
        <f t="shared" si="38"/>
        <v>0</v>
      </c>
      <c r="C142" s="17" t="b">
        <f t="shared" ref="C142:C205" si="48">OR(AND(NOT(ISERROR(FIND("m",A143))),ISNUMBER(VALUE(LEFT(A143,FIND("m",A143)-1)))),AND(NOT(ISERROR(FIND("s",A143))),ISNUMBER(VALUE(LEFT(A143,FIND("s",A143)-1)))))</f>
        <v>0</v>
      </c>
      <c r="D142" s="17">
        <f t="shared" si="45"/>
        <v>1</v>
      </c>
      <c r="E142" s="17" t="str">
        <f t="shared" si="46"/>
        <v>6. Conclusion</v>
      </c>
      <c r="F142" s="18" t="str">
        <f t="shared" si="37"/>
        <v/>
      </c>
      <c r="G142" s="13" t="str">
        <f t="shared" si="39"/>
        <v/>
      </c>
      <c r="H142">
        <f t="shared" si="40"/>
        <v>0</v>
      </c>
      <c r="I142" s="14">
        <f t="shared" si="47"/>
        <v>0</v>
      </c>
      <c r="J142" s="13">
        <f t="shared" si="41"/>
        <v>4529</v>
      </c>
      <c r="K142">
        <f t="shared" si="42"/>
        <v>1</v>
      </c>
      <c r="L142">
        <f t="shared" si="43"/>
        <v>15</v>
      </c>
      <c r="M142" s="14">
        <f t="shared" si="44"/>
        <v>29</v>
      </c>
      <c r="N142" s="13">
        <f t="shared" si="36"/>
        <v>0</v>
      </c>
      <c r="O142">
        <f t="shared" si="36"/>
        <v>2</v>
      </c>
      <c r="P142">
        <f t="shared" si="36"/>
        <v>53</v>
      </c>
      <c r="Q142" s="14">
        <f t="shared" ref="Q142:Q205" si="49">(((N142*60)+O142)*60)+P142</f>
        <v>173</v>
      </c>
      <c r="R142" s="13">
        <f t="shared" ref="R142:R205" si="50">INT(U142/60/60)</f>
        <v>0</v>
      </c>
      <c r="S142">
        <f t="shared" ref="S142:S205" si="51">INT((U142-(R142*60*60))/60)</f>
        <v>2</v>
      </c>
      <c r="T142">
        <f t="shared" ref="T142:T205" si="52">U142-(((R142*60)+S142)*60)</f>
        <v>53</v>
      </c>
      <c r="U142" s="14">
        <f t="shared" ref="U142:U205" si="53">((H142*60)+I142)+Q142</f>
        <v>173</v>
      </c>
      <c r="V142" s="15"/>
      <c r="Z142" s="14"/>
    </row>
    <row r="143" spans="1:26" hidden="1" x14ac:dyDescent="0.25">
      <c r="A143" s="16"/>
      <c r="B143" s="17" t="b">
        <f t="shared" si="38"/>
        <v>0</v>
      </c>
      <c r="C143" s="17" t="b">
        <f t="shared" si="48"/>
        <v>0</v>
      </c>
      <c r="D143" s="17">
        <f t="shared" si="45"/>
        <v>1</v>
      </c>
      <c r="E143" s="17" t="str">
        <f t="shared" si="46"/>
        <v>6. Conclusion</v>
      </c>
      <c r="F143" s="18" t="str">
        <f t="shared" si="37"/>
        <v/>
      </c>
      <c r="G143" s="13" t="str">
        <f t="shared" si="39"/>
        <v/>
      </c>
      <c r="H143">
        <f t="shared" si="40"/>
        <v>0</v>
      </c>
      <c r="I143" s="14">
        <f t="shared" si="47"/>
        <v>0</v>
      </c>
      <c r="J143" s="13">
        <f t="shared" si="41"/>
        <v>4529</v>
      </c>
      <c r="K143">
        <f t="shared" si="42"/>
        <v>1</v>
      </c>
      <c r="L143">
        <f t="shared" si="43"/>
        <v>15</v>
      </c>
      <c r="M143" s="14">
        <f t="shared" si="44"/>
        <v>29</v>
      </c>
      <c r="N143" s="13">
        <f t="shared" si="36"/>
        <v>0</v>
      </c>
      <c r="O143">
        <f t="shared" si="36"/>
        <v>2</v>
      </c>
      <c r="P143">
        <f t="shared" si="36"/>
        <v>53</v>
      </c>
      <c r="Q143" s="14">
        <f t="shared" si="49"/>
        <v>173</v>
      </c>
      <c r="R143" s="13">
        <f t="shared" si="50"/>
        <v>0</v>
      </c>
      <c r="S143">
        <f t="shared" si="51"/>
        <v>2</v>
      </c>
      <c r="T143">
        <f t="shared" si="52"/>
        <v>53</v>
      </c>
      <c r="U143" s="14">
        <f t="shared" si="53"/>
        <v>173</v>
      </c>
      <c r="V143" s="15"/>
      <c r="Z143" s="14"/>
    </row>
    <row r="144" spans="1:26" hidden="1" x14ac:dyDescent="0.25">
      <c r="A144" s="16"/>
      <c r="B144" s="17" t="b">
        <f t="shared" si="38"/>
        <v>0</v>
      </c>
      <c r="C144" s="17" t="b">
        <f t="shared" si="48"/>
        <v>0</v>
      </c>
      <c r="D144" s="17">
        <f t="shared" si="45"/>
        <v>1</v>
      </c>
      <c r="E144" s="17" t="str">
        <f t="shared" si="46"/>
        <v>6. Conclusion</v>
      </c>
      <c r="F144" s="18" t="str">
        <f t="shared" si="37"/>
        <v/>
      </c>
      <c r="G144" s="13" t="str">
        <f t="shared" si="39"/>
        <v/>
      </c>
      <c r="H144">
        <f t="shared" si="40"/>
        <v>0</v>
      </c>
      <c r="I144" s="14">
        <f t="shared" si="47"/>
        <v>0</v>
      </c>
      <c r="J144" s="13">
        <f t="shared" si="41"/>
        <v>4529</v>
      </c>
      <c r="K144">
        <f t="shared" si="42"/>
        <v>1</v>
      </c>
      <c r="L144">
        <f t="shared" si="43"/>
        <v>15</v>
      </c>
      <c r="M144" s="14">
        <f t="shared" si="44"/>
        <v>29</v>
      </c>
      <c r="N144" s="13">
        <f t="shared" si="36"/>
        <v>0</v>
      </c>
      <c r="O144">
        <f t="shared" si="36"/>
        <v>2</v>
      </c>
      <c r="P144">
        <f t="shared" si="36"/>
        <v>53</v>
      </c>
      <c r="Q144" s="14">
        <f t="shared" si="49"/>
        <v>173</v>
      </c>
      <c r="R144" s="13">
        <f t="shared" si="50"/>
        <v>0</v>
      </c>
      <c r="S144">
        <f t="shared" si="51"/>
        <v>2</v>
      </c>
      <c r="T144">
        <f t="shared" si="52"/>
        <v>53</v>
      </c>
      <c r="U144" s="14">
        <f t="shared" si="53"/>
        <v>173</v>
      </c>
      <c r="V144" s="15"/>
      <c r="Z144" s="14"/>
    </row>
    <row r="145" spans="1:26" hidden="1" x14ac:dyDescent="0.25">
      <c r="A145" s="16"/>
      <c r="B145" s="17" t="b">
        <f t="shared" si="38"/>
        <v>0</v>
      </c>
      <c r="C145" s="17" t="b">
        <f t="shared" si="48"/>
        <v>0</v>
      </c>
      <c r="D145" s="17">
        <f t="shared" si="45"/>
        <v>1</v>
      </c>
      <c r="E145" s="17" t="str">
        <f t="shared" si="46"/>
        <v>6. Conclusion</v>
      </c>
      <c r="F145" s="18" t="str">
        <f t="shared" si="37"/>
        <v/>
      </c>
      <c r="G145" s="13" t="str">
        <f t="shared" si="39"/>
        <v/>
      </c>
      <c r="H145">
        <f t="shared" si="40"/>
        <v>0</v>
      </c>
      <c r="I145" s="14">
        <f t="shared" si="47"/>
        <v>0</v>
      </c>
      <c r="J145" s="13">
        <f t="shared" si="41"/>
        <v>4529</v>
      </c>
      <c r="K145">
        <f t="shared" si="42"/>
        <v>1</v>
      </c>
      <c r="L145">
        <f t="shared" si="43"/>
        <v>15</v>
      </c>
      <c r="M145" s="14">
        <f t="shared" si="44"/>
        <v>29</v>
      </c>
      <c r="N145" s="13">
        <f t="shared" si="36"/>
        <v>0</v>
      </c>
      <c r="O145">
        <f t="shared" si="36"/>
        <v>2</v>
      </c>
      <c r="P145">
        <f t="shared" si="36"/>
        <v>53</v>
      </c>
      <c r="Q145" s="14">
        <f t="shared" si="49"/>
        <v>173</v>
      </c>
      <c r="R145" s="13">
        <f t="shared" si="50"/>
        <v>0</v>
      </c>
      <c r="S145">
        <f t="shared" si="51"/>
        <v>2</v>
      </c>
      <c r="T145">
        <f t="shared" si="52"/>
        <v>53</v>
      </c>
      <c r="U145" s="14">
        <f t="shared" si="53"/>
        <v>173</v>
      </c>
      <c r="V145" s="15"/>
      <c r="Z145" s="14"/>
    </row>
    <row r="146" spans="1:26" hidden="1" x14ac:dyDescent="0.25">
      <c r="A146" s="16"/>
      <c r="B146" s="17" t="b">
        <f t="shared" si="38"/>
        <v>0</v>
      </c>
      <c r="C146" s="17" t="b">
        <f t="shared" si="48"/>
        <v>0</v>
      </c>
      <c r="D146" s="17">
        <f t="shared" si="45"/>
        <v>1</v>
      </c>
      <c r="E146" s="17" t="str">
        <f t="shared" si="46"/>
        <v>6. Conclusion</v>
      </c>
      <c r="F146" s="18" t="str">
        <f t="shared" si="37"/>
        <v/>
      </c>
      <c r="G146" s="13" t="str">
        <f t="shared" si="39"/>
        <v/>
      </c>
      <c r="H146">
        <f t="shared" si="40"/>
        <v>0</v>
      </c>
      <c r="I146" s="14">
        <f t="shared" si="47"/>
        <v>0</v>
      </c>
      <c r="J146" s="13">
        <f t="shared" si="41"/>
        <v>4529</v>
      </c>
      <c r="K146">
        <f t="shared" si="42"/>
        <v>1</v>
      </c>
      <c r="L146">
        <f t="shared" si="43"/>
        <v>15</v>
      </c>
      <c r="M146" s="14">
        <f t="shared" si="44"/>
        <v>29</v>
      </c>
      <c r="N146" s="13">
        <f t="shared" si="36"/>
        <v>0</v>
      </c>
      <c r="O146">
        <f t="shared" si="36"/>
        <v>2</v>
      </c>
      <c r="P146">
        <f t="shared" si="36"/>
        <v>53</v>
      </c>
      <c r="Q146" s="14">
        <f t="shared" si="49"/>
        <v>173</v>
      </c>
      <c r="R146" s="13">
        <f t="shared" si="50"/>
        <v>0</v>
      </c>
      <c r="S146">
        <f t="shared" si="51"/>
        <v>2</v>
      </c>
      <c r="T146">
        <f t="shared" si="52"/>
        <v>53</v>
      </c>
      <c r="U146" s="14">
        <f t="shared" si="53"/>
        <v>173</v>
      </c>
      <c r="V146" s="15"/>
      <c r="Z146" s="14"/>
    </row>
    <row r="147" spans="1:26" hidden="1" x14ac:dyDescent="0.25">
      <c r="A147" s="16"/>
      <c r="B147" s="17" t="b">
        <f t="shared" si="38"/>
        <v>0</v>
      </c>
      <c r="C147" s="17" t="b">
        <f t="shared" si="48"/>
        <v>0</v>
      </c>
      <c r="D147" s="17">
        <f t="shared" si="45"/>
        <v>1</v>
      </c>
      <c r="E147" s="17" t="str">
        <f t="shared" si="46"/>
        <v>6. Conclusion</v>
      </c>
      <c r="F147" s="18" t="str">
        <f t="shared" si="37"/>
        <v/>
      </c>
      <c r="G147" s="13" t="str">
        <f t="shared" si="39"/>
        <v/>
      </c>
      <c r="H147">
        <f t="shared" si="40"/>
        <v>0</v>
      </c>
      <c r="I147" s="14">
        <f t="shared" si="47"/>
        <v>0</v>
      </c>
      <c r="J147" s="13">
        <f t="shared" si="41"/>
        <v>4529</v>
      </c>
      <c r="K147">
        <f t="shared" si="42"/>
        <v>1</v>
      </c>
      <c r="L147">
        <f t="shared" si="43"/>
        <v>15</v>
      </c>
      <c r="M147" s="14">
        <f t="shared" si="44"/>
        <v>29</v>
      </c>
      <c r="N147" s="13">
        <f t="shared" si="36"/>
        <v>0</v>
      </c>
      <c r="O147">
        <f t="shared" si="36"/>
        <v>2</v>
      </c>
      <c r="P147">
        <f t="shared" si="36"/>
        <v>53</v>
      </c>
      <c r="Q147" s="14">
        <f t="shared" si="49"/>
        <v>173</v>
      </c>
      <c r="R147" s="13">
        <f t="shared" si="50"/>
        <v>0</v>
      </c>
      <c r="S147">
        <f t="shared" si="51"/>
        <v>2</v>
      </c>
      <c r="T147">
        <f t="shared" si="52"/>
        <v>53</v>
      </c>
      <c r="U147" s="14">
        <f t="shared" si="53"/>
        <v>173</v>
      </c>
      <c r="V147" s="15"/>
      <c r="Z147" s="14"/>
    </row>
    <row r="148" spans="1:26" hidden="1" x14ac:dyDescent="0.25">
      <c r="A148" s="16"/>
      <c r="B148" s="17" t="b">
        <f t="shared" si="38"/>
        <v>0</v>
      </c>
      <c r="C148" s="17" t="b">
        <f t="shared" si="48"/>
        <v>0</v>
      </c>
      <c r="D148" s="17">
        <f t="shared" si="45"/>
        <v>1</v>
      </c>
      <c r="E148" s="17" t="str">
        <f t="shared" si="46"/>
        <v>6. Conclusion</v>
      </c>
      <c r="F148" s="18" t="str">
        <f t="shared" si="37"/>
        <v/>
      </c>
      <c r="G148" s="13" t="str">
        <f t="shared" si="39"/>
        <v/>
      </c>
      <c r="H148">
        <f t="shared" si="40"/>
        <v>0</v>
      </c>
      <c r="I148" s="14">
        <f t="shared" si="47"/>
        <v>0</v>
      </c>
      <c r="J148" s="13">
        <f t="shared" si="41"/>
        <v>4529</v>
      </c>
      <c r="K148">
        <f t="shared" si="42"/>
        <v>1</v>
      </c>
      <c r="L148">
        <f t="shared" si="43"/>
        <v>15</v>
      </c>
      <c r="M148" s="14">
        <f t="shared" si="44"/>
        <v>29</v>
      </c>
      <c r="N148" s="13">
        <f t="shared" si="36"/>
        <v>0</v>
      </c>
      <c r="O148">
        <f t="shared" si="36"/>
        <v>2</v>
      </c>
      <c r="P148">
        <f t="shared" si="36"/>
        <v>53</v>
      </c>
      <c r="Q148" s="14">
        <f t="shared" si="49"/>
        <v>173</v>
      </c>
      <c r="R148" s="13">
        <f t="shared" si="50"/>
        <v>0</v>
      </c>
      <c r="S148">
        <f t="shared" si="51"/>
        <v>2</v>
      </c>
      <c r="T148">
        <f t="shared" si="52"/>
        <v>53</v>
      </c>
      <c r="U148" s="14">
        <f t="shared" si="53"/>
        <v>173</v>
      </c>
      <c r="V148" s="15"/>
      <c r="Z148" s="14"/>
    </row>
    <row r="149" spans="1:26" hidden="1" x14ac:dyDescent="0.25">
      <c r="A149" s="16"/>
      <c r="B149" s="17" t="b">
        <f t="shared" si="38"/>
        <v>0</v>
      </c>
      <c r="C149" s="17" t="b">
        <f t="shared" si="48"/>
        <v>0</v>
      </c>
      <c r="D149" s="17">
        <f t="shared" si="45"/>
        <v>1</v>
      </c>
      <c r="E149" s="17" t="str">
        <f t="shared" si="46"/>
        <v>6. Conclusion</v>
      </c>
      <c r="F149" s="18" t="str">
        <f t="shared" si="37"/>
        <v/>
      </c>
      <c r="G149" s="13" t="str">
        <f t="shared" si="39"/>
        <v/>
      </c>
      <c r="H149">
        <f t="shared" si="40"/>
        <v>0</v>
      </c>
      <c r="I149" s="14">
        <f t="shared" si="47"/>
        <v>0</v>
      </c>
      <c r="J149" s="13">
        <f t="shared" si="41"/>
        <v>4529</v>
      </c>
      <c r="K149">
        <f t="shared" si="42"/>
        <v>1</v>
      </c>
      <c r="L149">
        <f t="shared" si="43"/>
        <v>15</v>
      </c>
      <c r="M149" s="14">
        <f t="shared" si="44"/>
        <v>29</v>
      </c>
      <c r="N149" s="13">
        <f t="shared" si="36"/>
        <v>0</v>
      </c>
      <c r="O149">
        <f t="shared" si="36"/>
        <v>2</v>
      </c>
      <c r="P149">
        <f t="shared" si="36"/>
        <v>53</v>
      </c>
      <c r="Q149" s="14">
        <f t="shared" si="49"/>
        <v>173</v>
      </c>
      <c r="R149" s="13">
        <f t="shared" si="50"/>
        <v>0</v>
      </c>
      <c r="S149">
        <f t="shared" si="51"/>
        <v>2</v>
      </c>
      <c r="T149">
        <f t="shared" si="52"/>
        <v>53</v>
      </c>
      <c r="U149" s="14">
        <f t="shared" si="53"/>
        <v>173</v>
      </c>
      <c r="V149" s="15"/>
      <c r="Z149" s="14"/>
    </row>
    <row r="150" spans="1:26" hidden="1" x14ac:dyDescent="0.25">
      <c r="A150" s="16"/>
      <c r="B150" s="17" t="b">
        <f t="shared" si="38"/>
        <v>0</v>
      </c>
      <c r="C150" s="17" t="b">
        <f t="shared" si="48"/>
        <v>0</v>
      </c>
      <c r="D150" s="17">
        <f t="shared" si="45"/>
        <v>1</v>
      </c>
      <c r="E150" s="17" t="str">
        <f t="shared" si="46"/>
        <v>6. Conclusion</v>
      </c>
      <c r="F150" s="18" t="str">
        <f t="shared" si="37"/>
        <v/>
      </c>
      <c r="G150" s="13" t="str">
        <f t="shared" si="39"/>
        <v/>
      </c>
      <c r="H150">
        <f t="shared" si="40"/>
        <v>0</v>
      </c>
      <c r="I150" s="14">
        <f t="shared" si="47"/>
        <v>0</v>
      </c>
      <c r="J150" s="13">
        <f t="shared" si="41"/>
        <v>4529</v>
      </c>
      <c r="K150">
        <f t="shared" si="42"/>
        <v>1</v>
      </c>
      <c r="L150">
        <f t="shared" si="43"/>
        <v>15</v>
      </c>
      <c r="M150" s="14">
        <f t="shared" si="44"/>
        <v>29</v>
      </c>
      <c r="N150" s="13">
        <f t="shared" si="36"/>
        <v>0</v>
      </c>
      <c r="O150">
        <f t="shared" si="36"/>
        <v>2</v>
      </c>
      <c r="P150">
        <f t="shared" si="36"/>
        <v>53</v>
      </c>
      <c r="Q150" s="14">
        <f t="shared" si="49"/>
        <v>173</v>
      </c>
      <c r="R150" s="13">
        <f t="shared" si="50"/>
        <v>0</v>
      </c>
      <c r="S150">
        <f t="shared" si="51"/>
        <v>2</v>
      </c>
      <c r="T150">
        <f t="shared" si="52"/>
        <v>53</v>
      </c>
      <c r="U150" s="14">
        <f t="shared" si="53"/>
        <v>173</v>
      </c>
      <c r="V150" s="15"/>
      <c r="Z150" s="14"/>
    </row>
    <row r="151" spans="1:26" hidden="1" x14ac:dyDescent="0.25">
      <c r="A151" s="16"/>
      <c r="B151" s="17" t="b">
        <f t="shared" si="38"/>
        <v>0</v>
      </c>
      <c r="C151" s="17" t="b">
        <f t="shared" si="48"/>
        <v>0</v>
      </c>
      <c r="D151" s="17">
        <f t="shared" si="45"/>
        <v>1</v>
      </c>
      <c r="E151" s="17" t="str">
        <f t="shared" si="46"/>
        <v>6. Conclusion</v>
      </c>
      <c r="F151" s="18" t="str">
        <f t="shared" si="37"/>
        <v/>
      </c>
      <c r="G151" s="13" t="str">
        <f t="shared" si="39"/>
        <v/>
      </c>
      <c r="H151">
        <f t="shared" si="40"/>
        <v>0</v>
      </c>
      <c r="I151" s="14">
        <f t="shared" si="47"/>
        <v>0</v>
      </c>
      <c r="J151" s="13">
        <f t="shared" si="41"/>
        <v>4529</v>
      </c>
      <c r="K151">
        <f t="shared" si="42"/>
        <v>1</v>
      </c>
      <c r="L151">
        <f t="shared" si="43"/>
        <v>15</v>
      </c>
      <c r="M151" s="14">
        <f t="shared" si="44"/>
        <v>29</v>
      </c>
      <c r="N151" s="13">
        <f t="shared" si="36"/>
        <v>0</v>
      </c>
      <c r="O151">
        <f t="shared" si="36"/>
        <v>2</v>
      </c>
      <c r="P151">
        <f t="shared" si="36"/>
        <v>53</v>
      </c>
      <c r="Q151" s="14">
        <f t="shared" si="49"/>
        <v>173</v>
      </c>
      <c r="R151" s="13">
        <f t="shared" si="50"/>
        <v>0</v>
      </c>
      <c r="S151">
        <f t="shared" si="51"/>
        <v>2</v>
      </c>
      <c r="T151">
        <f t="shared" si="52"/>
        <v>53</v>
      </c>
      <c r="U151" s="14">
        <f t="shared" si="53"/>
        <v>173</v>
      </c>
      <c r="V151" s="15"/>
      <c r="Z151" s="14"/>
    </row>
    <row r="152" spans="1:26" hidden="1" x14ac:dyDescent="0.25">
      <c r="A152" s="16"/>
      <c r="B152" s="17" t="b">
        <f t="shared" si="38"/>
        <v>0</v>
      </c>
      <c r="C152" s="17" t="b">
        <f t="shared" si="48"/>
        <v>0</v>
      </c>
      <c r="D152" s="17">
        <f t="shared" si="45"/>
        <v>1</v>
      </c>
      <c r="E152" s="17" t="str">
        <f t="shared" si="46"/>
        <v>6. Conclusion</v>
      </c>
      <c r="F152" s="18" t="str">
        <f t="shared" si="37"/>
        <v/>
      </c>
      <c r="G152" s="13" t="str">
        <f t="shared" si="39"/>
        <v/>
      </c>
      <c r="H152">
        <f t="shared" si="40"/>
        <v>0</v>
      </c>
      <c r="I152" s="14">
        <f t="shared" si="47"/>
        <v>0</v>
      </c>
      <c r="J152" s="13">
        <f t="shared" si="41"/>
        <v>4529</v>
      </c>
      <c r="K152">
        <f t="shared" si="42"/>
        <v>1</v>
      </c>
      <c r="L152">
        <f t="shared" si="43"/>
        <v>15</v>
      </c>
      <c r="M152" s="14">
        <f t="shared" si="44"/>
        <v>29</v>
      </c>
      <c r="N152" s="13">
        <f t="shared" si="36"/>
        <v>0</v>
      </c>
      <c r="O152">
        <f t="shared" si="36"/>
        <v>2</v>
      </c>
      <c r="P152">
        <f t="shared" si="36"/>
        <v>53</v>
      </c>
      <c r="Q152" s="14">
        <f t="shared" si="49"/>
        <v>173</v>
      </c>
      <c r="R152" s="13">
        <f t="shared" si="50"/>
        <v>0</v>
      </c>
      <c r="S152">
        <f t="shared" si="51"/>
        <v>2</v>
      </c>
      <c r="T152">
        <f t="shared" si="52"/>
        <v>53</v>
      </c>
      <c r="U152" s="14">
        <f t="shared" si="53"/>
        <v>173</v>
      </c>
      <c r="V152" s="15"/>
      <c r="Z152" s="14"/>
    </row>
    <row r="153" spans="1:26" hidden="1" x14ac:dyDescent="0.25">
      <c r="A153" s="16"/>
      <c r="B153" s="17" t="b">
        <f t="shared" si="38"/>
        <v>0</v>
      </c>
      <c r="C153" s="17" t="b">
        <f t="shared" si="48"/>
        <v>0</v>
      </c>
      <c r="D153" s="17">
        <f t="shared" si="45"/>
        <v>1</v>
      </c>
      <c r="E153" s="17" t="str">
        <f t="shared" si="46"/>
        <v>6. Conclusion</v>
      </c>
      <c r="F153" s="18" t="str">
        <f t="shared" si="37"/>
        <v/>
      </c>
      <c r="G153" s="13" t="str">
        <f t="shared" si="39"/>
        <v/>
      </c>
      <c r="H153">
        <f t="shared" si="40"/>
        <v>0</v>
      </c>
      <c r="I153" s="14">
        <f t="shared" si="47"/>
        <v>0</v>
      </c>
      <c r="J153" s="13">
        <f t="shared" si="41"/>
        <v>4529</v>
      </c>
      <c r="K153">
        <f t="shared" si="42"/>
        <v>1</v>
      </c>
      <c r="L153">
        <f t="shared" si="43"/>
        <v>15</v>
      </c>
      <c r="M153" s="14">
        <f t="shared" si="44"/>
        <v>29</v>
      </c>
      <c r="N153" s="13">
        <f t="shared" si="36"/>
        <v>0</v>
      </c>
      <c r="O153">
        <f t="shared" si="36"/>
        <v>2</v>
      </c>
      <c r="P153">
        <f t="shared" si="36"/>
        <v>53</v>
      </c>
      <c r="Q153" s="14">
        <f t="shared" si="49"/>
        <v>173</v>
      </c>
      <c r="R153" s="13">
        <f t="shared" si="50"/>
        <v>0</v>
      </c>
      <c r="S153">
        <f t="shared" si="51"/>
        <v>2</v>
      </c>
      <c r="T153">
        <f t="shared" si="52"/>
        <v>53</v>
      </c>
      <c r="U153" s="14">
        <f t="shared" si="53"/>
        <v>173</v>
      </c>
      <c r="V153" s="15"/>
      <c r="Z153" s="14"/>
    </row>
    <row r="154" spans="1:26" hidden="1" x14ac:dyDescent="0.25">
      <c r="A154" s="16"/>
      <c r="B154" s="17" t="b">
        <f t="shared" si="38"/>
        <v>0</v>
      </c>
      <c r="C154" s="17" t="b">
        <f t="shared" si="48"/>
        <v>0</v>
      </c>
      <c r="D154" s="17">
        <f t="shared" si="45"/>
        <v>1</v>
      </c>
      <c r="E154" s="17" t="str">
        <f t="shared" si="46"/>
        <v>6. Conclusion</v>
      </c>
      <c r="F154" s="18" t="str">
        <f t="shared" si="37"/>
        <v/>
      </c>
      <c r="G154" s="13" t="str">
        <f t="shared" si="39"/>
        <v/>
      </c>
      <c r="H154">
        <f t="shared" si="40"/>
        <v>0</v>
      </c>
      <c r="I154" s="14">
        <f t="shared" si="47"/>
        <v>0</v>
      </c>
      <c r="J154" s="13">
        <f t="shared" si="41"/>
        <v>4529</v>
      </c>
      <c r="K154">
        <f t="shared" si="42"/>
        <v>1</v>
      </c>
      <c r="L154">
        <f t="shared" si="43"/>
        <v>15</v>
      </c>
      <c r="M154" s="14">
        <f t="shared" si="44"/>
        <v>29</v>
      </c>
      <c r="N154" s="13">
        <f t="shared" si="36"/>
        <v>0</v>
      </c>
      <c r="O154">
        <f t="shared" si="36"/>
        <v>2</v>
      </c>
      <c r="P154">
        <f t="shared" si="36"/>
        <v>53</v>
      </c>
      <c r="Q154" s="14">
        <f t="shared" si="49"/>
        <v>173</v>
      </c>
      <c r="R154" s="13">
        <f t="shared" si="50"/>
        <v>0</v>
      </c>
      <c r="S154">
        <f t="shared" si="51"/>
        <v>2</v>
      </c>
      <c r="T154">
        <f t="shared" si="52"/>
        <v>53</v>
      </c>
      <c r="U154" s="14">
        <f t="shared" si="53"/>
        <v>173</v>
      </c>
      <c r="V154" s="15"/>
      <c r="Z154" s="14"/>
    </row>
    <row r="155" spans="1:26" hidden="1" x14ac:dyDescent="0.25">
      <c r="A155" s="16"/>
      <c r="B155" s="17" t="b">
        <f t="shared" si="38"/>
        <v>0</v>
      </c>
      <c r="C155" s="17" t="b">
        <f t="shared" si="48"/>
        <v>0</v>
      </c>
      <c r="D155" s="17">
        <f t="shared" si="45"/>
        <v>1</v>
      </c>
      <c r="E155" s="17" t="str">
        <f t="shared" si="46"/>
        <v>6. Conclusion</v>
      </c>
      <c r="F155" s="18" t="str">
        <f t="shared" si="37"/>
        <v/>
      </c>
      <c r="G155" s="13" t="str">
        <f t="shared" si="39"/>
        <v/>
      </c>
      <c r="H155">
        <f t="shared" si="40"/>
        <v>0</v>
      </c>
      <c r="I155" s="14">
        <f t="shared" si="47"/>
        <v>0</v>
      </c>
      <c r="J155" s="13">
        <f t="shared" si="41"/>
        <v>4529</v>
      </c>
      <c r="K155">
        <f t="shared" si="42"/>
        <v>1</v>
      </c>
      <c r="L155">
        <f t="shared" si="43"/>
        <v>15</v>
      </c>
      <c r="M155" s="14">
        <f t="shared" si="44"/>
        <v>29</v>
      </c>
      <c r="N155" s="13">
        <f t="shared" si="36"/>
        <v>0</v>
      </c>
      <c r="O155">
        <f t="shared" si="36"/>
        <v>2</v>
      </c>
      <c r="P155">
        <f t="shared" si="36"/>
        <v>53</v>
      </c>
      <c r="Q155" s="14">
        <f t="shared" si="49"/>
        <v>173</v>
      </c>
      <c r="R155" s="13">
        <f t="shared" si="50"/>
        <v>0</v>
      </c>
      <c r="S155">
        <f t="shared" si="51"/>
        <v>2</v>
      </c>
      <c r="T155">
        <f t="shared" si="52"/>
        <v>53</v>
      </c>
      <c r="U155" s="14">
        <f t="shared" si="53"/>
        <v>173</v>
      </c>
      <c r="V155" s="15"/>
      <c r="Z155" s="14"/>
    </row>
    <row r="156" spans="1:26" hidden="1" x14ac:dyDescent="0.25">
      <c r="A156" s="16"/>
      <c r="B156" s="17" t="b">
        <f t="shared" si="38"/>
        <v>0</v>
      </c>
      <c r="C156" s="17" t="b">
        <f t="shared" si="48"/>
        <v>0</v>
      </c>
      <c r="D156" s="17">
        <f t="shared" si="45"/>
        <v>1</v>
      </c>
      <c r="E156" s="17" t="str">
        <f t="shared" si="46"/>
        <v>6. Conclusion</v>
      </c>
      <c r="F156" s="18" t="str">
        <f t="shared" si="37"/>
        <v/>
      </c>
      <c r="G156" s="13" t="str">
        <f t="shared" si="39"/>
        <v/>
      </c>
      <c r="H156">
        <f t="shared" si="40"/>
        <v>0</v>
      </c>
      <c r="I156" s="14">
        <f t="shared" si="47"/>
        <v>0</v>
      </c>
      <c r="J156" s="13">
        <f t="shared" si="41"/>
        <v>4529</v>
      </c>
      <c r="K156">
        <f t="shared" si="42"/>
        <v>1</v>
      </c>
      <c r="L156">
        <f t="shared" si="43"/>
        <v>15</v>
      </c>
      <c r="M156" s="14">
        <f t="shared" si="44"/>
        <v>29</v>
      </c>
      <c r="N156" s="13">
        <f t="shared" ref="N156:P219" si="54">R155</f>
        <v>0</v>
      </c>
      <c r="O156">
        <f t="shared" si="54"/>
        <v>2</v>
      </c>
      <c r="P156">
        <f t="shared" si="54"/>
        <v>53</v>
      </c>
      <c r="Q156" s="14">
        <f t="shared" si="49"/>
        <v>173</v>
      </c>
      <c r="R156" s="13">
        <f t="shared" si="50"/>
        <v>0</v>
      </c>
      <c r="S156">
        <f t="shared" si="51"/>
        <v>2</v>
      </c>
      <c r="T156">
        <f t="shared" si="52"/>
        <v>53</v>
      </c>
      <c r="U156" s="14">
        <f t="shared" si="53"/>
        <v>173</v>
      </c>
      <c r="V156" s="15"/>
      <c r="Z156" s="14"/>
    </row>
    <row r="157" spans="1:26" hidden="1" x14ac:dyDescent="0.25">
      <c r="A157" s="16"/>
      <c r="B157" s="17" t="b">
        <f t="shared" si="38"/>
        <v>0</v>
      </c>
      <c r="C157" s="17" t="b">
        <f t="shared" si="48"/>
        <v>0</v>
      </c>
      <c r="D157" s="17">
        <f t="shared" si="45"/>
        <v>1</v>
      </c>
      <c r="E157" s="17" t="str">
        <f t="shared" si="46"/>
        <v>6. Conclusion</v>
      </c>
      <c r="F157" s="18" t="str">
        <f t="shared" si="37"/>
        <v/>
      </c>
      <c r="G157" s="13" t="str">
        <f t="shared" si="39"/>
        <v/>
      </c>
      <c r="H157">
        <f t="shared" si="40"/>
        <v>0</v>
      </c>
      <c r="I157" s="14">
        <f t="shared" si="47"/>
        <v>0</v>
      </c>
      <c r="J157" s="13">
        <f t="shared" si="41"/>
        <v>4529</v>
      </c>
      <c r="K157">
        <f t="shared" si="42"/>
        <v>1</v>
      </c>
      <c r="L157">
        <f t="shared" si="43"/>
        <v>15</v>
      </c>
      <c r="M157" s="14">
        <f t="shared" si="44"/>
        <v>29</v>
      </c>
      <c r="N157" s="13">
        <f t="shared" si="54"/>
        <v>0</v>
      </c>
      <c r="O157">
        <f t="shared" si="54"/>
        <v>2</v>
      </c>
      <c r="P157">
        <f t="shared" si="54"/>
        <v>53</v>
      </c>
      <c r="Q157" s="14">
        <f t="shared" si="49"/>
        <v>173</v>
      </c>
      <c r="R157" s="13">
        <f t="shared" si="50"/>
        <v>0</v>
      </c>
      <c r="S157">
        <f t="shared" si="51"/>
        <v>2</v>
      </c>
      <c r="T157">
        <f t="shared" si="52"/>
        <v>53</v>
      </c>
      <c r="U157" s="14">
        <f t="shared" si="53"/>
        <v>173</v>
      </c>
      <c r="V157" s="15"/>
      <c r="Z157" s="14"/>
    </row>
    <row r="158" spans="1:26" hidden="1" x14ac:dyDescent="0.25">
      <c r="A158" s="16"/>
      <c r="B158" s="17" t="b">
        <f t="shared" si="38"/>
        <v>0</v>
      </c>
      <c r="C158" s="17" t="b">
        <f t="shared" si="48"/>
        <v>0</v>
      </c>
      <c r="D158" s="17">
        <f t="shared" si="45"/>
        <v>1</v>
      </c>
      <c r="E158" s="17" t="str">
        <f t="shared" si="46"/>
        <v>6. Conclusion</v>
      </c>
      <c r="F158" s="18" t="str">
        <f t="shared" si="37"/>
        <v/>
      </c>
      <c r="G158" s="13" t="str">
        <f t="shared" si="39"/>
        <v/>
      </c>
      <c r="H158">
        <f t="shared" si="40"/>
        <v>0</v>
      </c>
      <c r="I158" s="14">
        <f t="shared" si="47"/>
        <v>0</v>
      </c>
      <c r="J158" s="13">
        <f t="shared" si="41"/>
        <v>4529</v>
      </c>
      <c r="K158">
        <f t="shared" si="42"/>
        <v>1</v>
      </c>
      <c r="L158">
        <f t="shared" si="43"/>
        <v>15</v>
      </c>
      <c r="M158" s="14">
        <f t="shared" si="44"/>
        <v>29</v>
      </c>
      <c r="N158" s="13">
        <f t="shared" si="54"/>
        <v>0</v>
      </c>
      <c r="O158">
        <f t="shared" si="54"/>
        <v>2</v>
      </c>
      <c r="P158">
        <f t="shared" si="54"/>
        <v>53</v>
      </c>
      <c r="Q158" s="14">
        <f t="shared" si="49"/>
        <v>173</v>
      </c>
      <c r="R158" s="13">
        <f t="shared" si="50"/>
        <v>0</v>
      </c>
      <c r="S158">
        <f t="shared" si="51"/>
        <v>2</v>
      </c>
      <c r="T158">
        <f t="shared" si="52"/>
        <v>53</v>
      </c>
      <c r="U158" s="14">
        <f t="shared" si="53"/>
        <v>173</v>
      </c>
      <c r="V158" s="15"/>
      <c r="Z158" s="14"/>
    </row>
    <row r="159" spans="1:26" hidden="1" x14ac:dyDescent="0.25">
      <c r="A159" s="16"/>
      <c r="B159" s="17" t="b">
        <f t="shared" si="38"/>
        <v>0</v>
      </c>
      <c r="C159" s="17" t="b">
        <f t="shared" si="48"/>
        <v>0</v>
      </c>
      <c r="D159" s="17">
        <f t="shared" si="45"/>
        <v>1</v>
      </c>
      <c r="E159" s="17" t="str">
        <f t="shared" si="46"/>
        <v>6. Conclusion</v>
      </c>
      <c r="F159" s="18" t="str">
        <f t="shared" si="37"/>
        <v/>
      </c>
      <c r="G159" s="13" t="str">
        <f t="shared" si="39"/>
        <v/>
      </c>
      <c r="H159">
        <f t="shared" si="40"/>
        <v>0</v>
      </c>
      <c r="I159" s="14">
        <f t="shared" si="47"/>
        <v>0</v>
      </c>
      <c r="J159" s="13">
        <f t="shared" si="41"/>
        <v>4529</v>
      </c>
      <c r="K159">
        <f t="shared" si="42"/>
        <v>1</v>
      </c>
      <c r="L159">
        <f t="shared" si="43"/>
        <v>15</v>
      </c>
      <c r="M159" s="14">
        <f t="shared" si="44"/>
        <v>29</v>
      </c>
      <c r="N159" s="13">
        <f t="shared" si="54"/>
        <v>0</v>
      </c>
      <c r="O159">
        <f t="shared" si="54"/>
        <v>2</v>
      </c>
      <c r="P159">
        <f t="shared" si="54"/>
        <v>53</v>
      </c>
      <c r="Q159" s="14">
        <f t="shared" si="49"/>
        <v>173</v>
      </c>
      <c r="R159" s="13">
        <f t="shared" si="50"/>
        <v>0</v>
      </c>
      <c r="S159">
        <f t="shared" si="51"/>
        <v>2</v>
      </c>
      <c r="T159">
        <f t="shared" si="52"/>
        <v>53</v>
      </c>
      <c r="U159" s="14">
        <f t="shared" si="53"/>
        <v>173</v>
      </c>
      <c r="V159" s="15"/>
      <c r="Z159" s="14"/>
    </row>
    <row r="160" spans="1:26" hidden="1" x14ac:dyDescent="0.25">
      <c r="A160" s="16"/>
      <c r="B160" s="17" t="b">
        <f t="shared" si="38"/>
        <v>0</v>
      </c>
      <c r="C160" s="17" t="b">
        <f t="shared" si="48"/>
        <v>0</v>
      </c>
      <c r="D160" s="17">
        <f t="shared" si="45"/>
        <v>1</v>
      </c>
      <c r="E160" s="17" t="str">
        <f t="shared" si="46"/>
        <v>6. Conclusion</v>
      </c>
      <c r="F160" s="18" t="str">
        <f t="shared" si="37"/>
        <v/>
      </c>
      <c r="G160" s="13" t="str">
        <f t="shared" si="39"/>
        <v/>
      </c>
      <c r="H160">
        <f t="shared" si="40"/>
        <v>0</v>
      </c>
      <c r="I160" s="14">
        <f t="shared" si="47"/>
        <v>0</v>
      </c>
      <c r="J160" s="13">
        <f t="shared" si="41"/>
        <v>4529</v>
      </c>
      <c r="K160">
        <f t="shared" si="42"/>
        <v>1</v>
      </c>
      <c r="L160">
        <f t="shared" si="43"/>
        <v>15</v>
      </c>
      <c r="M160" s="14">
        <f t="shared" si="44"/>
        <v>29</v>
      </c>
      <c r="N160" s="13">
        <f t="shared" si="54"/>
        <v>0</v>
      </c>
      <c r="O160">
        <f t="shared" si="54"/>
        <v>2</v>
      </c>
      <c r="P160">
        <f t="shared" si="54"/>
        <v>53</v>
      </c>
      <c r="Q160" s="14">
        <f t="shared" si="49"/>
        <v>173</v>
      </c>
      <c r="R160" s="13">
        <f t="shared" si="50"/>
        <v>0</v>
      </c>
      <c r="S160">
        <f t="shared" si="51"/>
        <v>2</v>
      </c>
      <c r="T160">
        <f t="shared" si="52"/>
        <v>53</v>
      </c>
      <c r="U160" s="14">
        <f t="shared" si="53"/>
        <v>173</v>
      </c>
      <c r="V160" s="15"/>
      <c r="Z160" s="14"/>
    </row>
    <row r="161" spans="1:26" hidden="1" x14ac:dyDescent="0.25">
      <c r="A161" s="16"/>
      <c r="B161" s="17" t="b">
        <f t="shared" si="38"/>
        <v>0</v>
      </c>
      <c r="C161" s="17" t="b">
        <f t="shared" si="48"/>
        <v>0</v>
      </c>
      <c r="D161" s="17">
        <f t="shared" si="45"/>
        <v>1</v>
      </c>
      <c r="E161" s="17" t="str">
        <f t="shared" si="46"/>
        <v>6. Conclusion</v>
      </c>
      <c r="F161" s="18" t="str">
        <f t="shared" si="37"/>
        <v/>
      </c>
      <c r="G161" s="13" t="str">
        <f t="shared" si="39"/>
        <v/>
      </c>
      <c r="H161">
        <f t="shared" si="40"/>
        <v>0</v>
      </c>
      <c r="I161" s="14">
        <f t="shared" si="47"/>
        <v>0</v>
      </c>
      <c r="J161" s="13">
        <f t="shared" si="41"/>
        <v>4529</v>
      </c>
      <c r="K161">
        <f t="shared" si="42"/>
        <v>1</v>
      </c>
      <c r="L161">
        <f t="shared" si="43"/>
        <v>15</v>
      </c>
      <c r="M161" s="14">
        <f t="shared" si="44"/>
        <v>29</v>
      </c>
      <c r="N161" s="13">
        <f t="shared" si="54"/>
        <v>0</v>
      </c>
      <c r="O161">
        <f t="shared" si="54"/>
        <v>2</v>
      </c>
      <c r="P161">
        <f t="shared" si="54"/>
        <v>53</v>
      </c>
      <c r="Q161" s="14">
        <f t="shared" si="49"/>
        <v>173</v>
      </c>
      <c r="R161" s="13">
        <f t="shared" si="50"/>
        <v>0</v>
      </c>
      <c r="S161">
        <f t="shared" si="51"/>
        <v>2</v>
      </c>
      <c r="T161">
        <f t="shared" si="52"/>
        <v>53</v>
      </c>
      <c r="U161" s="14">
        <f t="shared" si="53"/>
        <v>173</v>
      </c>
      <c r="V161" s="15"/>
      <c r="Z161" s="14"/>
    </row>
    <row r="162" spans="1:26" hidden="1" x14ac:dyDescent="0.25">
      <c r="A162" s="16"/>
      <c r="B162" s="17" t="b">
        <f t="shared" si="38"/>
        <v>0</v>
      </c>
      <c r="C162" s="17" t="b">
        <f t="shared" si="48"/>
        <v>0</v>
      </c>
      <c r="D162" s="17">
        <f t="shared" si="45"/>
        <v>1</v>
      </c>
      <c r="E162" s="17" t="str">
        <f t="shared" si="46"/>
        <v>6. Conclusion</v>
      </c>
      <c r="F162" s="18" t="str">
        <f t="shared" si="37"/>
        <v/>
      </c>
      <c r="G162" s="13" t="str">
        <f t="shared" si="39"/>
        <v/>
      </c>
      <c r="H162">
        <f t="shared" si="40"/>
        <v>0</v>
      </c>
      <c r="I162" s="14">
        <f t="shared" si="47"/>
        <v>0</v>
      </c>
      <c r="J162" s="13">
        <f t="shared" si="41"/>
        <v>4529</v>
      </c>
      <c r="K162">
        <f t="shared" si="42"/>
        <v>1</v>
      </c>
      <c r="L162">
        <f t="shared" si="43"/>
        <v>15</v>
      </c>
      <c r="M162" s="14">
        <f t="shared" si="44"/>
        <v>29</v>
      </c>
      <c r="N162" s="13">
        <f t="shared" si="54"/>
        <v>0</v>
      </c>
      <c r="O162">
        <f t="shared" si="54"/>
        <v>2</v>
      </c>
      <c r="P162">
        <f t="shared" si="54"/>
        <v>53</v>
      </c>
      <c r="Q162" s="14">
        <f t="shared" si="49"/>
        <v>173</v>
      </c>
      <c r="R162" s="13">
        <f t="shared" si="50"/>
        <v>0</v>
      </c>
      <c r="S162">
        <f t="shared" si="51"/>
        <v>2</v>
      </c>
      <c r="T162">
        <f t="shared" si="52"/>
        <v>53</v>
      </c>
      <c r="U162" s="14">
        <f t="shared" si="53"/>
        <v>173</v>
      </c>
      <c r="V162" s="15"/>
      <c r="Z162" s="14"/>
    </row>
    <row r="163" spans="1:26" hidden="1" x14ac:dyDescent="0.25">
      <c r="A163" s="16"/>
      <c r="B163" s="17" t="b">
        <f t="shared" si="38"/>
        <v>0</v>
      </c>
      <c r="C163" s="17" t="b">
        <f t="shared" si="48"/>
        <v>0</v>
      </c>
      <c r="D163" s="17">
        <f t="shared" si="45"/>
        <v>1</v>
      </c>
      <c r="E163" s="17" t="str">
        <f t="shared" si="46"/>
        <v>6. Conclusion</v>
      </c>
      <c r="F163" s="18" t="str">
        <f t="shared" si="37"/>
        <v/>
      </c>
      <c r="G163" s="13" t="str">
        <f t="shared" si="39"/>
        <v/>
      </c>
      <c r="H163">
        <f t="shared" si="40"/>
        <v>0</v>
      </c>
      <c r="I163" s="14">
        <f t="shared" si="47"/>
        <v>0</v>
      </c>
      <c r="J163" s="13">
        <f t="shared" si="41"/>
        <v>4529</v>
      </c>
      <c r="K163">
        <f t="shared" si="42"/>
        <v>1</v>
      </c>
      <c r="L163">
        <f t="shared" si="43"/>
        <v>15</v>
      </c>
      <c r="M163" s="14">
        <f t="shared" si="44"/>
        <v>29</v>
      </c>
      <c r="N163" s="13">
        <f t="shared" si="54"/>
        <v>0</v>
      </c>
      <c r="O163">
        <f t="shared" si="54"/>
        <v>2</v>
      </c>
      <c r="P163">
        <f t="shared" si="54"/>
        <v>53</v>
      </c>
      <c r="Q163" s="14">
        <f t="shared" si="49"/>
        <v>173</v>
      </c>
      <c r="R163" s="13">
        <f t="shared" si="50"/>
        <v>0</v>
      </c>
      <c r="S163">
        <f t="shared" si="51"/>
        <v>2</v>
      </c>
      <c r="T163">
        <f t="shared" si="52"/>
        <v>53</v>
      </c>
      <c r="U163" s="14">
        <f t="shared" si="53"/>
        <v>173</v>
      </c>
      <c r="V163" s="15"/>
      <c r="Z163" s="14"/>
    </row>
    <row r="164" spans="1:26" hidden="1" x14ac:dyDescent="0.25">
      <c r="A164" s="16"/>
      <c r="B164" s="17" t="b">
        <f t="shared" si="38"/>
        <v>0</v>
      </c>
      <c r="C164" s="17" t="b">
        <f t="shared" si="48"/>
        <v>0</v>
      </c>
      <c r="D164" s="17">
        <f t="shared" si="45"/>
        <v>1</v>
      </c>
      <c r="E164" s="17" t="str">
        <f t="shared" si="46"/>
        <v>6. Conclusion</v>
      </c>
      <c r="F164" s="18" t="str">
        <f t="shared" si="37"/>
        <v/>
      </c>
      <c r="G164" s="13" t="str">
        <f t="shared" si="39"/>
        <v/>
      </c>
      <c r="H164">
        <f t="shared" si="40"/>
        <v>0</v>
      </c>
      <c r="I164" s="14">
        <f t="shared" si="47"/>
        <v>0</v>
      </c>
      <c r="J164" s="13">
        <f t="shared" si="41"/>
        <v>4529</v>
      </c>
      <c r="K164">
        <f t="shared" si="42"/>
        <v>1</v>
      </c>
      <c r="L164">
        <f t="shared" si="43"/>
        <v>15</v>
      </c>
      <c r="M164" s="14">
        <f t="shared" si="44"/>
        <v>29</v>
      </c>
      <c r="N164" s="13">
        <f t="shared" si="54"/>
        <v>0</v>
      </c>
      <c r="O164">
        <f t="shared" si="54"/>
        <v>2</v>
      </c>
      <c r="P164">
        <f t="shared" si="54"/>
        <v>53</v>
      </c>
      <c r="Q164" s="14">
        <f t="shared" si="49"/>
        <v>173</v>
      </c>
      <c r="R164" s="13">
        <f t="shared" si="50"/>
        <v>0</v>
      </c>
      <c r="S164">
        <f t="shared" si="51"/>
        <v>2</v>
      </c>
      <c r="T164">
        <f t="shared" si="52"/>
        <v>53</v>
      </c>
      <c r="U164" s="14">
        <f t="shared" si="53"/>
        <v>173</v>
      </c>
      <c r="V164" s="15"/>
      <c r="Z164" s="14"/>
    </row>
    <row r="165" spans="1:26" hidden="1" x14ac:dyDescent="0.25">
      <c r="A165" s="16"/>
      <c r="B165" s="17" t="b">
        <f t="shared" si="38"/>
        <v>0</v>
      </c>
      <c r="C165" s="17" t="b">
        <f t="shared" si="48"/>
        <v>0</v>
      </c>
      <c r="D165" s="17">
        <f t="shared" si="45"/>
        <v>1</v>
      </c>
      <c r="E165" s="17" t="str">
        <f t="shared" si="46"/>
        <v>6. Conclusion</v>
      </c>
      <c r="F165" s="18" t="str">
        <f t="shared" si="37"/>
        <v/>
      </c>
      <c r="G165" s="13" t="str">
        <f t="shared" si="39"/>
        <v/>
      </c>
      <c r="H165">
        <f t="shared" si="40"/>
        <v>0</v>
      </c>
      <c r="I165" s="14">
        <f t="shared" si="47"/>
        <v>0</v>
      </c>
      <c r="J165" s="13">
        <f t="shared" si="41"/>
        <v>4529</v>
      </c>
      <c r="K165">
        <f t="shared" si="42"/>
        <v>1</v>
      </c>
      <c r="L165">
        <f t="shared" si="43"/>
        <v>15</v>
      </c>
      <c r="M165" s="14">
        <f t="shared" si="44"/>
        <v>29</v>
      </c>
      <c r="N165" s="13">
        <f t="shared" si="54"/>
        <v>0</v>
      </c>
      <c r="O165">
        <f t="shared" si="54"/>
        <v>2</v>
      </c>
      <c r="P165">
        <f t="shared" si="54"/>
        <v>53</v>
      </c>
      <c r="Q165" s="14">
        <f t="shared" si="49"/>
        <v>173</v>
      </c>
      <c r="R165" s="13">
        <f t="shared" si="50"/>
        <v>0</v>
      </c>
      <c r="S165">
        <f t="shared" si="51"/>
        <v>2</v>
      </c>
      <c r="T165">
        <f t="shared" si="52"/>
        <v>53</v>
      </c>
      <c r="U165" s="14">
        <f t="shared" si="53"/>
        <v>173</v>
      </c>
      <c r="V165" s="15"/>
      <c r="Z165" s="14"/>
    </row>
    <row r="166" spans="1:26" hidden="1" x14ac:dyDescent="0.25">
      <c r="A166" s="16"/>
      <c r="B166" s="17" t="b">
        <f t="shared" si="38"/>
        <v>0</v>
      </c>
      <c r="C166" s="17" t="b">
        <f t="shared" si="48"/>
        <v>0</v>
      </c>
      <c r="D166" s="17">
        <f t="shared" si="45"/>
        <v>1</v>
      </c>
      <c r="E166" s="17" t="str">
        <f t="shared" si="46"/>
        <v>6. Conclusion</v>
      </c>
      <c r="F166" s="18" t="str">
        <f t="shared" si="37"/>
        <v/>
      </c>
      <c r="G166" s="13" t="str">
        <f t="shared" si="39"/>
        <v/>
      </c>
      <c r="H166">
        <f t="shared" si="40"/>
        <v>0</v>
      </c>
      <c r="I166" s="14">
        <f t="shared" si="47"/>
        <v>0</v>
      </c>
      <c r="J166" s="13">
        <f t="shared" si="41"/>
        <v>4529</v>
      </c>
      <c r="K166">
        <f t="shared" si="42"/>
        <v>1</v>
      </c>
      <c r="L166">
        <f t="shared" si="43"/>
        <v>15</v>
      </c>
      <c r="M166" s="14">
        <f t="shared" si="44"/>
        <v>29</v>
      </c>
      <c r="N166" s="13">
        <f t="shared" si="54"/>
        <v>0</v>
      </c>
      <c r="O166">
        <f t="shared" si="54"/>
        <v>2</v>
      </c>
      <c r="P166">
        <f t="shared" si="54"/>
        <v>53</v>
      </c>
      <c r="Q166" s="14">
        <f t="shared" si="49"/>
        <v>173</v>
      </c>
      <c r="R166" s="13">
        <f t="shared" si="50"/>
        <v>0</v>
      </c>
      <c r="S166">
        <f t="shared" si="51"/>
        <v>2</v>
      </c>
      <c r="T166">
        <f t="shared" si="52"/>
        <v>53</v>
      </c>
      <c r="U166" s="14">
        <f t="shared" si="53"/>
        <v>173</v>
      </c>
      <c r="V166" s="15"/>
      <c r="Z166" s="14"/>
    </row>
    <row r="167" spans="1:26" hidden="1" x14ac:dyDescent="0.25">
      <c r="A167" s="16"/>
      <c r="B167" s="17" t="b">
        <f t="shared" si="38"/>
        <v>0</v>
      </c>
      <c r="C167" s="17" t="b">
        <f t="shared" si="48"/>
        <v>0</v>
      </c>
      <c r="D167" s="17">
        <f t="shared" si="45"/>
        <v>1</v>
      </c>
      <c r="E167" s="17" t="str">
        <f t="shared" si="46"/>
        <v>6. Conclusion</v>
      </c>
      <c r="F167" s="18" t="str">
        <f t="shared" si="37"/>
        <v/>
      </c>
      <c r="G167" s="13" t="str">
        <f t="shared" si="39"/>
        <v/>
      </c>
      <c r="H167">
        <f t="shared" si="40"/>
        <v>0</v>
      </c>
      <c r="I167" s="14">
        <f t="shared" si="47"/>
        <v>0</v>
      </c>
      <c r="J167" s="13">
        <f t="shared" si="41"/>
        <v>4529</v>
      </c>
      <c r="K167">
        <f t="shared" si="42"/>
        <v>1</v>
      </c>
      <c r="L167">
        <f t="shared" si="43"/>
        <v>15</v>
      </c>
      <c r="M167" s="14">
        <f t="shared" si="44"/>
        <v>29</v>
      </c>
      <c r="N167" s="13">
        <f t="shared" si="54"/>
        <v>0</v>
      </c>
      <c r="O167">
        <f t="shared" si="54"/>
        <v>2</v>
      </c>
      <c r="P167">
        <f t="shared" si="54"/>
        <v>53</v>
      </c>
      <c r="Q167" s="14">
        <f t="shared" si="49"/>
        <v>173</v>
      </c>
      <c r="R167" s="13">
        <f t="shared" si="50"/>
        <v>0</v>
      </c>
      <c r="S167">
        <f t="shared" si="51"/>
        <v>2</v>
      </c>
      <c r="T167">
        <f t="shared" si="52"/>
        <v>53</v>
      </c>
      <c r="U167" s="14">
        <f t="shared" si="53"/>
        <v>173</v>
      </c>
      <c r="V167" s="15"/>
      <c r="Z167" s="14"/>
    </row>
    <row r="168" spans="1:26" hidden="1" x14ac:dyDescent="0.25">
      <c r="A168" s="16"/>
      <c r="B168" s="17" t="b">
        <f t="shared" si="38"/>
        <v>0</v>
      </c>
      <c r="C168" s="17" t="b">
        <f t="shared" si="48"/>
        <v>0</v>
      </c>
      <c r="D168" s="17">
        <f t="shared" si="45"/>
        <v>1</v>
      </c>
      <c r="E168" s="17" t="str">
        <f t="shared" si="46"/>
        <v>6. Conclusion</v>
      </c>
      <c r="F168" s="18" t="str">
        <f t="shared" si="37"/>
        <v/>
      </c>
      <c r="G168" s="13" t="str">
        <f t="shared" si="39"/>
        <v/>
      </c>
      <c r="H168">
        <f t="shared" si="40"/>
        <v>0</v>
      </c>
      <c r="I168" s="14">
        <f t="shared" si="47"/>
        <v>0</v>
      </c>
      <c r="J168" s="13">
        <f t="shared" si="41"/>
        <v>4529</v>
      </c>
      <c r="K168">
        <f t="shared" si="42"/>
        <v>1</v>
      </c>
      <c r="L168">
        <f t="shared" si="43"/>
        <v>15</v>
      </c>
      <c r="M168" s="14">
        <f t="shared" si="44"/>
        <v>29</v>
      </c>
      <c r="N168" s="13">
        <f t="shared" si="54"/>
        <v>0</v>
      </c>
      <c r="O168">
        <f t="shared" si="54"/>
        <v>2</v>
      </c>
      <c r="P168">
        <f t="shared" si="54"/>
        <v>53</v>
      </c>
      <c r="Q168" s="14">
        <f t="shared" si="49"/>
        <v>173</v>
      </c>
      <c r="R168" s="13">
        <f t="shared" si="50"/>
        <v>0</v>
      </c>
      <c r="S168">
        <f t="shared" si="51"/>
        <v>2</v>
      </c>
      <c r="T168">
        <f t="shared" si="52"/>
        <v>53</v>
      </c>
      <c r="U168" s="14">
        <f t="shared" si="53"/>
        <v>173</v>
      </c>
      <c r="V168" s="15"/>
      <c r="Z168" s="14"/>
    </row>
    <row r="169" spans="1:26" hidden="1" x14ac:dyDescent="0.25">
      <c r="A169" s="16"/>
      <c r="B169" s="17" t="b">
        <f t="shared" si="38"/>
        <v>0</v>
      </c>
      <c r="C169" s="17" t="b">
        <f t="shared" si="48"/>
        <v>0</v>
      </c>
      <c r="D169" s="17">
        <f t="shared" si="45"/>
        <v>1</v>
      </c>
      <c r="E169" s="17" t="str">
        <f t="shared" si="46"/>
        <v>6. Conclusion</v>
      </c>
      <c r="F169" s="18" t="str">
        <f t="shared" si="37"/>
        <v/>
      </c>
      <c r="G169" s="13" t="str">
        <f t="shared" si="39"/>
        <v/>
      </c>
      <c r="H169">
        <f t="shared" si="40"/>
        <v>0</v>
      </c>
      <c r="I169" s="14">
        <f t="shared" si="47"/>
        <v>0</v>
      </c>
      <c r="J169" s="13">
        <f t="shared" si="41"/>
        <v>4529</v>
      </c>
      <c r="K169">
        <f t="shared" si="42"/>
        <v>1</v>
      </c>
      <c r="L169">
        <f t="shared" si="43"/>
        <v>15</v>
      </c>
      <c r="M169" s="14">
        <f t="shared" si="44"/>
        <v>29</v>
      </c>
      <c r="N169" s="13">
        <f t="shared" si="54"/>
        <v>0</v>
      </c>
      <c r="O169">
        <f t="shared" si="54"/>
        <v>2</v>
      </c>
      <c r="P169">
        <f t="shared" si="54"/>
        <v>53</v>
      </c>
      <c r="Q169" s="14">
        <f t="shared" si="49"/>
        <v>173</v>
      </c>
      <c r="R169" s="13">
        <f t="shared" si="50"/>
        <v>0</v>
      </c>
      <c r="S169">
        <f t="shared" si="51"/>
        <v>2</v>
      </c>
      <c r="T169">
        <f t="shared" si="52"/>
        <v>53</v>
      </c>
      <c r="U169" s="14">
        <f t="shared" si="53"/>
        <v>173</v>
      </c>
      <c r="V169" s="15"/>
      <c r="Z169" s="14"/>
    </row>
    <row r="170" spans="1:26" hidden="1" x14ac:dyDescent="0.25">
      <c r="A170" s="16"/>
      <c r="B170" s="17" t="b">
        <f t="shared" si="38"/>
        <v>0</v>
      </c>
      <c r="C170" s="17" t="b">
        <f t="shared" si="48"/>
        <v>0</v>
      </c>
      <c r="D170" s="17">
        <f t="shared" si="45"/>
        <v>1</v>
      </c>
      <c r="E170" s="17" t="str">
        <f t="shared" si="46"/>
        <v>6. Conclusion</v>
      </c>
      <c r="F170" s="18" t="str">
        <f t="shared" si="37"/>
        <v/>
      </c>
      <c r="G170" s="13" t="str">
        <f t="shared" si="39"/>
        <v/>
      </c>
      <c r="H170">
        <f t="shared" si="40"/>
        <v>0</v>
      </c>
      <c r="I170" s="14">
        <f t="shared" si="47"/>
        <v>0</v>
      </c>
      <c r="J170" s="13">
        <f t="shared" si="41"/>
        <v>4529</v>
      </c>
      <c r="K170">
        <f t="shared" si="42"/>
        <v>1</v>
      </c>
      <c r="L170">
        <f t="shared" si="43"/>
        <v>15</v>
      </c>
      <c r="M170" s="14">
        <f t="shared" si="44"/>
        <v>29</v>
      </c>
      <c r="N170" s="13">
        <f t="shared" si="54"/>
        <v>0</v>
      </c>
      <c r="O170">
        <f t="shared" si="54"/>
        <v>2</v>
      </c>
      <c r="P170">
        <f t="shared" si="54"/>
        <v>53</v>
      </c>
      <c r="Q170" s="14">
        <f t="shared" si="49"/>
        <v>173</v>
      </c>
      <c r="R170" s="13">
        <f t="shared" si="50"/>
        <v>0</v>
      </c>
      <c r="S170">
        <f t="shared" si="51"/>
        <v>2</v>
      </c>
      <c r="T170">
        <f t="shared" si="52"/>
        <v>53</v>
      </c>
      <c r="U170" s="14">
        <f t="shared" si="53"/>
        <v>173</v>
      </c>
      <c r="V170" s="15"/>
      <c r="Z170" s="14"/>
    </row>
    <row r="171" spans="1:26" hidden="1" x14ac:dyDescent="0.25">
      <c r="A171" s="16"/>
      <c r="B171" s="17" t="b">
        <f t="shared" si="38"/>
        <v>0</v>
      </c>
      <c r="C171" s="17" t="b">
        <f t="shared" si="48"/>
        <v>0</v>
      </c>
      <c r="D171" s="17">
        <f t="shared" si="45"/>
        <v>1</v>
      </c>
      <c r="E171" s="17" t="str">
        <f t="shared" si="46"/>
        <v>6. Conclusion</v>
      </c>
      <c r="F171" s="18" t="str">
        <f t="shared" si="37"/>
        <v/>
      </c>
      <c r="G171" s="13" t="str">
        <f t="shared" si="39"/>
        <v/>
      </c>
      <c r="H171">
        <f t="shared" si="40"/>
        <v>0</v>
      </c>
      <c r="I171" s="14">
        <f t="shared" si="47"/>
        <v>0</v>
      </c>
      <c r="J171" s="13">
        <f t="shared" si="41"/>
        <v>4529</v>
      </c>
      <c r="K171">
        <f t="shared" si="42"/>
        <v>1</v>
      </c>
      <c r="L171">
        <f t="shared" si="43"/>
        <v>15</v>
      </c>
      <c r="M171" s="14">
        <f t="shared" si="44"/>
        <v>29</v>
      </c>
      <c r="N171" s="13">
        <f t="shared" si="54"/>
        <v>0</v>
      </c>
      <c r="O171">
        <f t="shared" si="54"/>
        <v>2</v>
      </c>
      <c r="P171">
        <f t="shared" si="54"/>
        <v>53</v>
      </c>
      <c r="Q171" s="14">
        <f t="shared" si="49"/>
        <v>173</v>
      </c>
      <c r="R171" s="13">
        <f t="shared" si="50"/>
        <v>0</v>
      </c>
      <c r="S171">
        <f t="shared" si="51"/>
        <v>2</v>
      </c>
      <c r="T171">
        <f t="shared" si="52"/>
        <v>53</v>
      </c>
      <c r="U171" s="14">
        <f t="shared" si="53"/>
        <v>173</v>
      </c>
      <c r="V171" s="15"/>
      <c r="Z171" s="14"/>
    </row>
    <row r="172" spans="1:26" hidden="1" x14ac:dyDescent="0.25">
      <c r="A172" s="16"/>
      <c r="B172" s="17" t="b">
        <f t="shared" si="38"/>
        <v>0</v>
      </c>
      <c r="C172" s="17" t="b">
        <f t="shared" si="48"/>
        <v>0</v>
      </c>
      <c r="D172" s="17">
        <f t="shared" si="45"/>
        <v>1</v>
      </c>
      <c r="E172" s="17" t="str">
        <f t="shared" si="46"/>
        <v>6. Conclusion</v>
      </c>
      <c r="F172" s="18" t="str">
        <f t="shared" si="37"/>
        <v/>
      </c>
      <c r="G172" s="13" t="str">
        <f t="shared" si="39"/>
        <v/>
      </c>
      <c r="H172">
        <f t="shared" si="40"/>
        <v>0</v>
      </c>
      <c r="I172" s="14">
        <f t="shared" si="47"/>
        <v>0</v>
      </c>
      <c r="J172" s="13">
        <f t="shared" si="41"/>
        <v>4529</v>
      </c>
      <c r="K172">
        <f t="shared" si="42"/>
        <v>1</v>
      </c>
      <c r="L172">
        <f t="shared" si="43"/>
        <v>15</v>
      </c>
      <c r="M172" s="14">
        <f t="shared" si="44"/>
        <v>29</v>
      </c>
      <c r="N172" s="13">
        <f t="shared" si="54"/>
        <v>0</v>
      </c>
      <c r="O172">
        <f t="shared" si="54"/>
        <v>2</v>
      </c>
      <c r="P172">
        <f t="shared" si="54"/>
        <v>53</v>
      </c>
      <c r="Q172" s="14">
        <f t="shared" si="49"/>
        <v>173</v>
      </c>
      <c r="R172" s="13">
        <f t="shared" si="50"/>
        <v>0</v>
      </c>
      <c r="S172">
        <f t="shared" si="51"/>
        <v>2</v>
      </c>
      <c r="T172">
        <f t="shared" si="52"/>
        <v>53</v>
      </c>
      <c r="U172" s="14">
        <f t="shared" si="53"/>
        <v>173</v>
      </c>
      <c r="V172" s="15"/>
      <c r="Z172" s="14"/>
    </row>
    <row r="173" spans="1:26" hidden="1" x14ac:dyDescent="0.25">
      <c r="A173" s="16"/>
      <c r="B173" s="17" t="b">
        <f t="shared" si="38"/>
        <v>0</v>
      </c>
      <c r="C173" s="17" t="b">
        <f t="shared" si="48"/>
        <v>0</v>
      </c>
      <c r="D173" s="17">
        <f t="shared" si="45"/>
        <v>1</v>
      </c>
      <c r="E173" s="17" t="str">
        <f t="shared" si="46"/>
        <v>6. Conclusion</v>
      </c>
      <c r="F173" s="18" t="str">
        <f t="shared" si="37"/>
        <v/>
      </c>
      <c r="G173" s="13" t="str">
        <f t="shared" si="39"/>
        <v/>
      </c>
      <c r="H173">
        <f t="shared" si="40"/>
        <v>0</v>
      </c>
      <c r="I173" s="14">
        <f t="shared" si="47"/>
        <v>0</v>
      </c>
      <c r="J173" s="13">
        <f t="shared" si="41"/>
        <v>4529</v>
      </c>
      <c r="K173">
        <f t="shared" si="42"/>
        <v>1</v>
      </c>
      <c r="L173">
        <f t="shared" si="43"/>
        <v>15</v>
      </c>
      <c r="M173" s="14">
        <f t="shared" si="44"/>
        <v>29</v>
      </c>
      <c r="N173" s="13">
        <f t="shared" si="54"/>
        <v>0</v>
      </c>
      <c r="O173">
        <f t="shared" si="54"/>
        <v>2</v>
      </c>
      <c r="P173">
        <f t="shared" si="54"/>
        <v>53</v>
      </c>
      <c r="Q173" s="14">
        <f t="shared" si="49"/>
        <v>173</v>
      </c>
      <c r="R173" s="13">
        <f t="shared" si="50"/>
        <v>0</v>
      </c>
      <c r="S173">
        <f t="shared" si="51"/>
        <v>2</v>
      </c>
      <c r="T173">
        <f t="shared" si="52"/>
        <v>53</v>
      </c>
      <c r="U173" s="14">
        <f t="shared" si="53"/>
        <v>173</v>
      </c>
      <c r="V173" s="15"/>
      <c r="Z173" s="14"/>
    </row>
    <row r="174" spans="1:26" hidden="1" x14ac:dyDescent="0.25">
      <c r="A174" s="16"/>
      <c r="B174" s="17" t="b">
        <f t="shared" si="38"/>
        <v>0</v>
      </c>
      <c r="C174" s="17" t="b">
        <f t="shared" si="48"/>
        <v>0</v>
      </c>
      <c r="D174" s="17">
        <f t="shared" si="45"/>
        <v>1</v>
      </c>
      <c r="E174" s="17" t="str">
        <f t="shared" si="46"/>
        <v>6. Conclusion</v>
      </c>
      <c r="F174" s="18" t="str">
        <f t="shared" si="37"/>
        <v/>
      </c>
      <c r="G174" s="13" t="str">
        <f t="shared" si="39"/>
        <v/>
      </c>
      <c r="H174">
        <f t="shared" si="40"/>
        <v>0</v>
      </c>
      <c r="I174" s="14">
        <f t="shared" si="47"/>
        <v>0</v>
      </c>
      <c r="J174" s="13">
        <f t="shared" si="41"/>
        <v>4529</v>
      </c>
      <c r="K174">
        <f t="shared" si="42"/>
        <v>1</v>
      </c>
      <c r="L174">
        <f t="shared" si="43"/>
        <v>15</v>
      </c>
      <c r="M174" s="14">
        <f t="shared" si="44"/>
        <v>29</v>
      </c>
      <c r="N174" s="13">
        <f t="shared" si="54"/>
        <v>0</v>
      </c>
      <c r="O174">
        <f t="shared" si="54"/>
        <v>2</v>
      </c>
      <c r="P174">
        <f t="shared" si="54"/>
        <v>53</v>
      </c>
      <c r="Q174" s="14">
        <f t="shared" si="49"/>
        <v>173</v>
      </c>
      <c r="R174" s="13">
        <f t="shared" si="50"/>
        <v>0</v>
      </c>
      <c r="S174">
        <f t="shared" si="51"/>
        <v>2</v>
      </c>
      <c r="T174">
        <f t="shared" si="52"/>
        <v>53</v>
      </c>
      <c r="U174" s="14">
        <f t="shared" si="53"/>
        <v>173</v>
      </c>
      <c r="V174" s="15"/>
      <c r="Z174" s="14"/>
    </row>
    <row r="175" spans="1:26" hidden="1" x14ac:dyDescent="0.25">
      <c r="A175" s="16"/>
      <c r="B175" s="17" t="b">
        <f t="shared" si="38"/>
        <v>0</v>
      </c>
      <c r="C175" s="17" t="b">
        <f t="shared" si="48"/>
        <v>0</v>
      </c>
      <c r="D175" s="17">
        <f t="shared" si="45"/>
        <v>1</v>
      </c>
      <c r="E175" s="17" t="str">
        <f t="shared" si="46"/>
        <v>6. Conclusion</v>
      </c>
      <c r="F175" s="18" t="str">
        <f t="shared" si="37"/>
        <v/>
      </c>
      <c r="G175" s="13" t="str">
        <f t="shared" si="39"/>
        <v/>
      </c>
      <c r="H175">
        <f t="shared" si="40"/>
        <v>0</v>
      </c>
      <c r="I175" s="14">
        <f t="shared" si="47"/>
        <v>0</v>
      </c>
      <c r="J175" s="13">
        <f t="shared" si="41"/>
        <v>4529</v>
      </c>
      <c r="K175">
        <f t="shared" si="42"/>
        <v>1</v>
      </c>
      <c r="L175">
        <f t="shared" si="43"/>
        <v>15</v>
      </c>
      <c r="M175" s="14">
        <f t="shared" si="44"/>
        <v>29</v>
      </c>
      <c r="N175" s="13">
        <f t="shared" si="54"/>
        <v>0</v>
      </c>
      <c r="O175">
        <f t="shared" si="54"/>
        <v>2</v>
      </c>
      <c r="P175">
        <f t="shared" si="54"/>
        <v>53</v>
      </c>
      <c r="Q175" s="14">
        <f t="shared" si="49"/>
        <v>173</v>
      </c>
      <c r="R175" s="13">
        <f t="shared" si="50"/>
        <v>0</v>
      </c>
      <c r="S175">
        <f t="shared" si="51"/>
        <v>2</v>
      </c>
      <c r="T175">
        <f t="shared" si="52"/>
        <v>53</v>
      </c>
      <c r="U175" s="14">
        <f t="shared" si="53"/>
        <v>173</v>
      </c>
      <c r="V175" s="15"/>
      <c r="Z175" s="14"/>
    </row>
    <row r="176" spans="1:26" hidden="1" x14ac:dyDescent="0.25">
      <c r="A176" s="16"/>
      <c r="B176" s="17" t="b">
        <f t="shared" si="38"/>
        <v>0</v>
      </c>
      <c r="C176" s="17" t="b">
        <f t="shared" si="48"/>
        <v>0</v>
      </c>
      <c r="D176" s="17">
        <f t="shared" si="45"/>
        <v>1</v>
      </c>
      <c r="E176" s="17" t="str">
        <f t="shared" si="46"/>
        <v>6. Conclusion</v>
      </c>
      <c r="F176" s="18" t="str">
        <f t="shared" si="37"/>
        <v/>
      </c>
      <c r="G176" s="13" t="str">
        <f t="shared" si="39"/>
        <v/>
      </c>
      <c r="H176">
        <f t="shared" si="40"/>
        <v>0</v>
      </c>
      <c r="I176" s="14">
        <f t="shared" si="47"/>
        <v>0</v>
      </c>
      <c r="J176" s="13">
        <f t="shared" si="41"/>
        <v>4529</v>
      </c>
      <c r="K176">
        <f t="shared" si="42"/>
        <v>1</v>
      </c>
      <c r="L176">
        <f t="shared" si="43"/>
        <v>15</v>
      </c>
      <c r="M176" s="14">
        <f t="shared" si="44"/>
        <v>29</v>
      </c>
      <c r="N176" s="13">
        <f t="shared" si="54"/>
        <v>0</v>
      </c>
      <c r="O176">
        <f t="shared" si="54"/>
        <v>2</v>
      </c>
      <c r="P176">
        <f t="shared" si="54"/>
        <v>53</v>
      </c>
      <c r="Q176" s="14">
        <f t="shared" si="49"/>
        <v>173</v>
      </c>
      <c r="R176" s="13">
        <f t="shared" si="50"/>
        <v>0</v>
      </c>
      <c r="S176">
        <f t="shared" si="51"/>
        <v>2</v>
      </c>
      <c r="T176">
        <f t="shared" si="52"/>
        <v>53</v>
      </c>
      <c r="U176" s="14">
        <f t="shared" si="53"/>
        <v>173</v>
      </c>
      <c r="V176" s="15"/>
      <c r="Z176" s="14"/>
    </row>
    <row r="177" spans="1:26" hidden="1" x14ac:dyDescent="0.25">
      <c r="A177" s="16"/>
      <c r="B177" s="17" t="b">
        <f t="shared" si="38"/>
        <v>0</v>
      </c>
      <c r="C177" s="17" t="b">
        <f t="shared" si="48"/>
        <v>0</v>
      </c>
      <c r="D177" s="17">
        <f t="shared" si="45"/>
        <v>1</v>
      </c>
      <c r="E177" s="17" t="str">
        <f t="shared" si="46"/>
        <v>6. Conclusion</v>
      </c>
      <c r="F177" s="18" t="str">
        <f t="shared" si="37"/>
        <v/>
      </c>
      <c r="G177" s="13" t="str">
        <f t="shared" si="39"/>
        <v/>
      </c>
      <c r="H177">
        <f t="shared" si="40"/>
        <v>0</v>
      </c>
      <c r="I177" s="14">
        <f t="shared" si="47"/>
        <v>0</v>
      </c>
      <c r="J177" s="13">
        <f t="shared" si="41"/>
        <v>4529</v>
      </c>
      <c r="K177">
        <f t="shared" si="42"/>
        <v>1</v>
      </c>
      <c r="L177">
        <f t="shared" si="43"/>
        <v>15</v>
      </c>
      <c r="M177" s="14">
        <f t="shared" si="44"/>
        <v>29</v>
      </c>
      <c r="N177" s="13">
        <f t="shared" si="54"/>
        <v>0</v>
      </c>
      <c r="O177">
        <f t="shared" si="54"/>
        <v>2</v>
      </c>
      <c r="P177">
        <f t="shared" si="54"/>
        <v>53</v>
      </c>
      <c r="Q177" s="14">
        <f t="shared" si="49"/>
        <v>173</v>
      </c>
      <c r="R177" s="13">
        <f t="shared" si="50"/>
        <v>0</v>
      </c>
      <c r="S177">
        <f t="shared" si="51"/>
        <v>2</v>
      </c>
      <c r="T177">
        <f t="shared" si="52"/>
        <v>53</v>
      </c>
      <c r="U177" s="14">
        <f t="shared" si="53"/>
        <v>173</v>
      </c>
      <c r="V177" s="15"/>
      <c r="Z177" s="14"/>
    </row>
    <row r="178" spans="1:26" hidden="1" x14ac:dyDescent="0.25">
      <c r="A178" s="16"/>
      <c r="B178" s="17" t="b">
        <f t="shared" si="38"/>
        <v>0</v>
      </c>
      <c r="C178" s="17" t="b">
        <f t="shared" si="48"/>
        <v>0</v>
      </c>
      <c r="D178" s="17">
        <f t="shared" si="45"/>
        <v>1</v>
      </c>
      <c r="E178" s="17" t="str">
        <f t="shared" si="46"/>
        <v>6. Conclusion</v>
      </c>
      <c r="F178" s="18" t="str">
        <f t="shared" si="37"/>
        <v/>
      </c>
      <c r="G178" s="13" t="str">
        <f t="shared" si="39"/>
        <v/>
      </c>
      <c r="H178">
        <f t="shared" si="40"/>
        <v>0</v>
      </c>
      <c r="I178" s="14">
        <f t="shared" si="47"/>
        <v>0</v>
      </c>
      <c r="J178" s="13">
        <f t="shared" si="41"/>
        <v>4529</v>
      </c>
      <c r="K178">
        <f t="shared" si="42"/>
        <v>1</v>
      </c>
      <c r="L178">
        <f t="shared" si="43"/>
        <v>15</v>
      </c>
      <c r="M178" s="14">
        <f t="shared" si="44"/>
        <v>29</v>
      </c>
      <c r="N178" s="13">
        <f t="shared" si="54"/>
        <v>0</v>
      </c>
      <c r="O178">
        <f t="shared" si="54"/>
        <v>2</v>
      </c>
      <c r="P178">
        <f t="shared" si="54"/>
        <v>53</v>
      </c>
      <c r="Q178" s="14">
        <f t="shared" si="49"/>
        <v>173</v>
      </c>
      <c r="R178" s="13">
        <f t="shared" si="50"/>
        <v>0</v>
      </c>
      <c r="S178">
        <f t="shared" si="51"/>
        <v>2</v>
      </c>
      <c r="T178">
        <f t="shared" si="52"/>
        <v>53</v>
      </c>
      <c r="U178" s="14">
        <f t="shared" si="53"/>
        <v>173</v>
      </c>
      <c r="V178" s="15"/>
      <c r="Z178" s="14"/>
    </row>
    <row r="179" spans="1:26" hidden="1" x14ac:dyDescent="0.25">
      <c r="A179" s="16"/>
      <c r="B179" s="17" t="b">
        <f t="shared" si="38"/>
        <v>0</v>
      </c>
      <c r="C179" s="17" t="b">
        <f t="shared" si="48"/>
        <v>0</v>
      </c>
      <c r="D179" s="17">
        <f t="shared" si="45"/>
        <v>1</v>
      </c>
      <c r="E179" s="17" t="str">
        <f t="shared" si="46"/>
        <v>6. Conclusion</v>
      </c>
      <c r="F179" s="18" t="str">
        <f t="shared" si="37"/>
        <v/>
      </c>
      <c r="G179" s="13" t="str">
        <f t="shared" si="39"/>
        <v/>
      </c>
      <c r="H179">
        <f t="shared" si="40"/>
        <v>0</v>
      </c>
      <c r="I179" s="14">
        <f t="shared" si="47"/>
        <v>0</v>
      </c>
      <c r="J179" s="13">
        <f t="shared" si="41"/>
        <v>4529</v>
      </c>
      <c r="K179">
        <f t="shared" si="42"/>
        <v>1</v>
      </c>
      <c r="L179">
        <f t="shared" si="43"/>
        <v>15</v>
      </c>
      <c r="M179" s="14">
        <f t="shared" si="44"/>
        <v>29</v>
      </c>
      <c r="N179" s="13">
        <f t="shared" si="54"/>
        <v>0</v>
      </c>
      <c r="O179">
        <f t="shared" si="54"/>
        <v>2</v>
      </c>
      <c r="P179">
        <f t="shared" si="54"/>
        <v>53</v>
      </c>
      <c r="Q179" s="14">
        <f t="shared" si="49"/>
        <v>173</v>
      </c>
      <c r="R179" s="13">
        <f t="shared" si="50"/>
        <v>0</v>
      </c>
      <c r="S179">
        <f t="shared" si="51"/>
        <v>2</v>
      </c>
      <c r="T179">
        <f t="shared" si="52"/>
        <v>53</v>
      </c>
      <c r="U179" s="14">
        <f t="shared" si="53"/>
        <v>173</v>
      </c>
      <c r="V179" s="15"/>
      <c r="Z179" s="14"/>
    </row>
    <row r="180" spans="1:26" hidden="1" x14ac:dyDescent="0.25">
      <c r="A180" s="16"/>
      <c r="B180" s="17" t="b">
        <f t="shared" si="38"/>
        <v>0</v>
      </c>
      <c r="C180" s="17" t="b">
        <f t="shared" si="48"/>
        <v>0</v>
      </c>
      <c r="D180" s="17">
        <f t="shared" si="45"/>
        <v>1</v>
      </c>
      <c r="E180" s="17" t="str">
        <f t="shared" si="46"/>
        <v>6. Conclusion</v>
      </c>
      <c r="F180" s="18" t="str">
        <f t="shared" si="37"/>
        <v/>
      </c>
      <c r="G180" s="13" t="str">
        <f t="shared" si="39"/>
        <v/>
      </c>
      <c r="H180">
        <f t="shared" si="40"/>
        <v>0</v>
      </c>
      <c r="I180" s="14">
        <f t="shared" si="47"/>
        <v>0</v>
      </c>
      <c r="J180" s="13">
        <f t="shared" si="41"/>
        <v>4529</v>
      </c>
      <c r="K180">
        <f t="shared" si="42"/>
        <v>1</v>
      </c>
      <c r="L180">
        <f t="shared" si="43"/>
        <v>15</v>
      </c>
      <c r="M180" s="14">
        <f t="shared" si="44"/>
        <v>29</v>
      </c>
      <c r="N180" s="13">
        <f t="shared" si="54"/>
        <v>0</v>
      </c>
      <c r="O180">
        <f t="shared" si="54"/>
        <v>2</v>
      </c>
      <c r="P180">
        <f t="shared" si="54"/>
        <v>53</v>
      </c>
      <c r="Q180" s="14">
        <f t="shared" si="49"/>
        <v>173</v>
      </c>
      <c r="R180" s="13">
        <f t="shared" si="50"/>
        <v>0</v>
      </c>
      <c r="S180">
        <f t="shared" si="51"/>
        <v>2</v>
      </c>
      <c r="T180">
        <f t="shared" si="52"/>
        <v>53</v>
      </c>
      <c r="U180" s="14">
        <f t="shared" si="53"/>
        <v>173</v>
      </c>
      <c r="V180" s="15"/>
      <c r="Z180" s="14"/>
    </row>
    <row r="181" spans="1:26" hidden="1" x14ac:dyDescent="0.25">
      <c r="A181" s="16"/>
      <c r="B181" s="17" t="b">
        <f t="shared" si="38"/>
        <v>0</v>
      </c>
      <c r="C181" s="17" t="b">
        <f t="shared" si="48"/>
        <v>0</v>
      </c>
      <c r="D181" s="17">
        <f t="shared" si="45"/>
        <v>1</v>
      </c>
      <c r="E181" s="17" t="str">
        <f t="shared" si="46"/>
        <v>6. Conclusion</v>
      </c>
      <c r="F181" s="18" t="str">
        <f t="shared" ref="F181:F244" si="55">IF(C181,D181&amp;". "&amp;A181,IF(A181="Chapter Quiz",A181,""))</f>
        <v/>
      </c>
      <c r="G181" s="13" t="str">
        <f t="shared" si="39"/>
        <v/>
      </c>
      <c r="H181">
        <f t="shared" si="40"/>
        <v>0</v>
      </c>
      <c r="I181" s="14">
        <f t="shared" si="47"/>
        <v>0</v>
      </c>
      <c r="J181" s="13">
        <f t="shared" si="41"/>
        <v>4529</v>
      </c>
      <c r="K181">
        <f t="shared" si="42"/>
        <v>1</v>
      </c>
      <c r="L181">
        <f t="shared" si="43"/>
        <v>15</v>
      </c>
      <c r="M181" s="14">
        <f t="shared" si="44"/>
        <v>29</v>
      </c>
      <c r="N181" s="13">
        <f t="shared" si="54"/>
        <v>0</v>
      </c>
      <c r="O181">
        <f t="shared" si="54"/>
        <v>2</v>
      </c>
      <c r="P181">
        <f t="shared" si="54"/>
        <v>53</v>
      </c>
      <c r="Q181" s="14">
        <f t="shared" si="49"/>
        <v>173</v>
      </c>
      <c r="R181" s="13">
        <f t="shared" si="50"/>
        <v>0</v>
      </c>
      <c r="S181">
        <f t="shared" si="51"/>
        <v>2</v>
      </c>
      <c r="T181">
        <f t="shared" si="52"/>
        <v>53</v>
      </c>
      <c r="U181" s="14">
        <f t="shared" si="53"/>
        <v>173</v>
      </c>
      <c r="V181" s="15"/>
      <c r="Z181" s="14"/>
    </row>
    <row r="182" spans="1:26" hidden="1" x14ac:dyDescent="0.25">
      <c r="A182" s="16"/>
      <c r="B182" s="17" t="b">
        <f t="shared" si="38"/>
        <v>0</v>
      </c>
      <c r="C182" s="17" t="b">
        <f t="shared" si="48"/>
        <v>0</v>
      </c>
      <c r="D182" s="17">
        <f t="shared" si="45"/>
        <v>1</v>
      </c>
      <c r="E182" s="17" t="str">
        <f t="shared" si="46"/>
        <v>6. Conclusion</v>
      </c>
      <c r="F182" s="18" t="str">
        <f t="shared" si="55"/>
        <v/>
      </c>
      <c r="G182" s="13" t="str">
        <f t="shared" si="39"/>
        <v/>
      </c>
      <c r="H182">
        <f t="shared" si="40"/>
        <v>0</v>
      </c>
      <c r="I182" s="14">
        <f t="shared" si="47"/>
        <v>0</v>
      </c>
      <c r="J182" s="13">
        <f t="shared" si="41"/>
        <v>4529</v>
      </c>
      <c r="K182">
        <f t="shared" si="42"/>
        <v>1</v>
      </c>
      <c r="L182">
        <f t="shared" si="43"/>
        <v>15</v>
      </c>
      <c r="M182" s="14">
        <f t="shared" si="44"/>
        <v>29</v>
      </c>
      <c r="N182" s="13">
        <f t="shared" si="54"/>
        <v>0</v>
      </c>
      <c r="O182">
        <f t="shared" si="54"/>
        <v>2</v>
      </c>
      <c r="P182">
        <f t="shared" si="54"/>
        <v>53</v>
      </c>
      <c r="Q182" s="14">
        <f t="shared" si="49"/>
        <v>173</v>
      </c>
      <c r="R182" s="13">
        <f t="shared" si="50"/>
        <v>0</v>
      </c>
      <c r="S182">
        <f t="shared" si="51"/>
        <v>2</v>
      </c>
      <c r="T182">
        <f t="shared" si="52"/>
        <v>53</v>
      </c>
      <c r="U182" s="14">
        <f t="shared" si="53"/>
        <v>173</v>
      </c>
      <c r="V182" s="15"/>
      <c r="Z182" s="14"/>
    </row>
    <row r="183" spans="1:26" hidden="1" x14ac:dyDescent="0.25">
      <c r="A183" s="16"/>
      <c r="B183" s="17" t="b">
        <f t="shared" si="38"/>
        <v>0</v>
      </c>
      <c r="C183" s="17" t="b">
        <f t="shared" si="48"/>
        <v>0</v>
      </c>
      <c r="D183" s="17">
        <f t="shared" si="45"/>
        <v>1</v>
      </c>
      <c r="E183" s="17" t="str">
        <f t="shared" si="46"/>
        <v>6. Conclusion</v>
      </c>
      <c r="F183" s="18" t="str">
        <f t="shared" si="55"/>
        <v/>
      </c>
      <c r="G183" s="13" t="str">
        <f t="shared" si="39"/>
        <v/>
      </c>
      <c r="H183">
        <f t="shared" si="40"/>
        <v>0</v>
      </c>
      <c r="I183" s="14">
        <f t="shared" si="47"/>
        <v>0</v>
      </c>
      <c r="J183" s="13">
        <f t="shared" si="41"/>
        <v>4529</v>
      </c>
      <c r="K183">
        <f t="shared" si="42"/>
        <v>1</v>
      </c>
      <c r="L183">
        <f t="shared" si="43"/>
        <v>15</v>
      </c>
      <c r="M183" s="14">
        <f t="shared" si="44"/>
        <v>29</v>
      </c>
      <c r="N183" s="13">
        <f t="shared" si="54"/>
        <v>0</v>
      </c>
      <c r="O183">
        <f t="shared" si="54"/>
        <v>2</v>
      </c>
      <c r="P183">
        <f t="shared" si="54"/>
        <v>53</v>
      </c>
      <c r="Q183" s="14">
        <f t="shared" si="49"/>
        <v>173</v>
      </c>
      <c r="R183" s="13">
        <f t="shared" si="50"/>
        <v>0</v>
      </c>
      <c r="S183">
        <f t="shared" si="51"/>
        <v>2</v>
      </c>
      <c r="T183">
        <f t="shared" si="52"/>
        <v>53</v>
      </c>
      <c r="U183" s="14">
        <f t="shared" si="53"/>
        <v>173</v>
      </c>
      <c r="V183" s="15"/>
      <c r="Z183" s="14"/>
    </row>
    <row r="184" spans="1:26" hidden="1" x14ac:dyDescent="0.25">
      <c r="A184" s="16"/>
      <c r="B184" s="17" t="b">
        <f t="shared" si="38"/>
        <v>0</v>
      </c>
      <c r="C184" s="17" t="b">
        <f t="shared" si="48"/>
        <v>0</v>
      </c>
      <c r="D184" s="17">
        <f t="shared" si="45"/>
        <v>1</v>
      </c>
      <c r="E184" s="17" t="str">
        <f t="shared" si="46"/>
        <v>6. Conclusion</v>
      </c>
      <c r="F184" s="18" t="str">
        <f t="shared" si="55"/>
        <v/>
      </c>
      <c r="G184" s="13" t="str">
        <f t="shared" si="39"/>
        <v/>
      </c>
      <c r="H184">
        <f t="shared" si="40"/>
        <v>0</v>
      </c>
      <c r="I184" s="14">
        <f t="shared" si="47"/>
        <v>0</v>
      </c>
      <c r="J184" s="13">
        <f t="shared" si="41"/>
        <v>4529</v>
      </c>
      <c r="K184">
        <f t="shared" si="42"/>
        <v>1</v>
      </c>
      <c r="L184">
        <f t="shared" si="43"/>
        <v>15</v>
      </c>
      <c r="M184" s="14">
        <f t="shared" si="44"/>
        <v>29</v>
      </c>
      <c r="N184" s="13">
        <f t="shared" si="54"/>
        <v>0</v>
      </c>
      <c r="O184">
        <f t="shared" si="54"/>
        <v>2</v>
      </c>
      <c r="P184">
        <f t="shared" si="54"/>
        <v>53</v>
      </c>
      <c r="Q184" s="14">
        <f t="shared" si="49"/>
        <v>173</v>
      </c>
      <c r="R184" s="13">
        <f t="shared" si="50"/>
        <v>0</v>
      </c>
      <c r="S184">
        <f t="shared" si="51"/>
        <v>2</v>
      </c>
      <c r="T184">
        <f t="shared" si="52"/>
        <v>53</v>
      </c>
      <c r="U184" s="14">
        <f t="shared" si="53"/>
        <v>173</v>
      </c>
      <c r="V184" s="15"/>
      <c r="Z184" s="14"/>
    </row>
    <row r="185" spans="1:26" hidden="1" x14ac:dyDescent="0.25">
      <c r="A185" s="16"/>
      <c r="B185" s="17" t="b">
        <f t="shared" si="38"/>
        <v>0</v>
      </c>
      <c r="C185" s="17" t="b">
        <f t="shared" si="48"/>
        <v>0</v>
      </c>
      <c r="D185" s="17">
        <f t="shared" si="45"/>
        <v>1</v>
      </c>
      <c r="E185" s="17" t="str">
        <f t="shared" si="46"/>
        <v>6. Conclusion</v>
      </c>
      <c r="F185" s="18" t="str">
        <f t="shared" si="55"/>
        <v/>
      </c>
      <c r="G185" s="13" t="str">
        <f t="shared" si="39"/>
        <v/>
      </c>
      <c r="H185">
        <f t="shared" si="40"/>
        <v>0</v>
      </c>
      <c r="I185" s="14">
        <f t="shared" si="47"/>
        <v>0</v>
      </c>
      <c r="J185" s="13">
        <f t="shared" si="41"/>
        <v>4529</v>
      </c>
      <c r="K185">
        <f t="shared" si="42"/>
        <v>1</v>
      </c>
      <c r="L185">
        <f t="shared" si="43"/>
        <v>15</v>
      </c>
      <c r="M185" s="14">
        <f t="shared" si="44"/>
        <v>29</v>
      </c>
      <c r="N185" s="13">
        <f t="shared" si="54"/>
        <v>0</v>
      </c>
      <c r="O185">
        <f t="shared" si="54"/>
        <v>2</v>
      </c>
      <c r="P185">
        <f t="shared" si="54"/>
        <v>53</v>
      </c>
      <c r="Q185" s="14">
        <f t="shared" si="49"/>
        <v>173</v>
      </c>
      <c r="R185" s="13">
        <f t="shared" si="50"/>
        <v>0</v>
      </c>
      <c r="S185">
        <f t="shared" si="51"/>
        <v>2</v>
      </c>
      <c r="T185">
        <f t="shared" si="52"/>
        <v>53</v>
      </c>
      <c r="U185" s="14">
        <f t="shared" si="53"/>
        <v>173</v>
      </c>
      <c r="V185" s="15"/>
      <c r="Z185" s="14"/>
    </row>
    <row r="186" spans="1:26" hidden="1" x14ac:dyDescent="0.25">
      <c r="A186" s="16"/>
      <c r="B186" s="17" t="b">
        <f t="shared" si="38"/>
        <v>0</v>
      </c>
      <c r="C186" s="17" t="b">
        <f t="shared" si="48"/>
        <v>0</v>
      </c>
      <c r="D186" s="17">
        <f t="shared" si="45"/>
        <v>1</v>
      </c>
      <c r="E186" s="17" t="str">
        <f t="shared" si="46"/>
        <v>6. Conclusion</v>
      </c>
      <c r="F186" s="18" t="str">
        <f t="shared" si="55"/>
        <v/>
      </c>
      <c r="G186" s="13" t="str">
        <f t="shared" si="39"/>
        <v/>
      </c>
      <c r="H186">
        <f t="shared" si="40"/>
        <v>0</v>
      </c>
      <c r="I186" s="14">
        <f t="shared" si="47"/>
        <v>0</v>
      </c>
      <c r="J186" s="13">
        <f t="shared" si="41"/>
        <v>4529</v>
      </c>
      <c r="K186">
        <f t="shared" si="42"/>
        <v>1</v>
      </c>
      <c r="L186">
        <f t="shared" si="43"/>
        <v>15</v>
      </c>
      <c r="M186" s="14">
        <f t="shared" si="44"/>
        <v>29</v>
      </c>
      <c r="N186" s="13">
        <f t="shared" si="54"/>
        <v>0</v>
      </c>
      <c r="O186">
        <f t="shared" si="54"/>
        <v>2</v>
      </c>
      <c r="P186">
        <f t="shared" si="54"/>
        <v>53</v>
      </c>
      <c r="Q186" s="14">
        <f t="shared" si="49"/>
        <v>173</v>
      </c>
      <c r="R186" s="13">
        <f t="shared" si="50"/>
        <v>0</v>
      </c>
      <c r="S186">
        <f t="shared" si="51"/>
        <v>2</v>
      </c>
      <c r="T186">
        <f t="shared" si="52"/>
        <v>53</v>
      </c>
      <c r="U186" s="14">
        <f t="shared" si="53"/>
        <v>173</v>
      </c>
      <c r="V186" s="15"/>
      <c r="Z186" s="14"/>
    </row>
    <row r="187" spans="1:26" hidden="1" x14ac:dyDescent="0.25">
      <c r="A187" s="16"/>
      <c r="B187" s="17" t="b">
        <f t="shared" si="38"/>
        <v>0</v>
      </c>
      <c r="C187" s="17" t="b">
        <f t="shared" si="48"/>
        <v>0</v>
      </c>
      <c r="D187" s="17">
        <f t="shared" si="45"/>
        <v>1</v>
      </c>
      <c r="E187" s="17" t="str">
        <f t="shared" si="46"/>
        <v>6. Conclusion</v>
      </c>
      <c r="F187" s="18" t="str">
        <f t="shared" si="55"/>
        <v/>
      </c>
      <c r="G187" s="13" t="str">
        <f t="shared" si="39"/>
        <v/>
      </c>
      <c r="H187">
        <f t="shared" si="40"/>
        <v>0</v>
      </c>
      <c r="I187" s="14">
        <f t="shared" si="47"/>
        <v>0</v>
      </c>
      <c r="J187" s="13">
        <f t="shared" si="41"/>
        <v>4529</v>
      </c>
      <c r="K187">
        <f t="shared" si="42"/>
        <v>1</v>
      </c>
      <c r="L187">
        <f t="shared" si="43"/>
        <v>15</v>
      </c>
      <c r="M187" s="14">
        <f t="shared" si="44"/>
        <v>29</v>
      </c>
      <c r="N187" s="13">
        <f t="shared" si="54"/>
        <v>0</v>
      </c>
      <c r="O187">
        <f t="shared" si="54"/>
        <v>2</v>
      </c>
      <c r="P187">
        <f t="shared" si="54"/>
        <v>53</v>
      </c>
      <c r="Q187" s="14">
        <f t="shared" si="49"/>
        <v>173</v>
      </c>
      <c r="R187" s="13">
        <f t="shared" si="50"/>
        <v>0</v>
      </c>
      <c r="S187">
        <f t="shared" si="51"/>
        <v>2</v>
      </c>
      <c r="T187">
        <f t="shared" si="52"/>
        <v>53</v>
      </c>
      <c r="U187" s="14">
        <f t="shared" si="53"/>
        <v>173</v>
      </c>
      <c r="V187" s="15"/>
      <c r="Z187" s="14"/>
    </row>
    <row r="188" spans="1:26" hidden="1" x14ac:dyDescent="0.25">
      <c r="A188" s="16"/>
      <c r="B188" s="17" t="b">
        <f t="shared" si="38"/>
        <v>0</v>
      </c>
      <c r="C188" s="17" t="b">
        <f t="shared" si="48"/>
        <v>0</v>
      </c>
      <c r="D188" s="17">
        <f t="shared" si="45"/>
        <v>1</v>
      </c>
      <c r="E188" s="17" t="str">
        <f t="shared" si="46"/>
        <v>6. Conclusion</v>
      </c>
      <c r="F188" s="18" t="str">
        <f t="shared" si="55"/>
        <v/>
      </c>
      <c r="G188" s="13" t="str">
        <f t="shared" si="39"/>
        <v/>
      </c>
      <c r="H188">
        <f t="shared" si="40"/>
        <v>0</v>
      </c>
      <c r="I188" s="14">
        <f t="shared" si="47"/>
        <v>0</v>
      </c>
      <c r="J188" s="13">
        <f t="shared" si="41"/>
        <v>4529</v>
      </c>
      <c r="K188">
        <f t="shared" si="42"/>
        <v>1</v>
      </c>
      <c r="L188">
        <f t="shared" si="43"/>
        <v>15</v>
      </c>
      <c r="M188" s="14">
        <f t="shared" si="44"/>
        <v>29</v>
      </c>
      <c r="N188" s="13">
        <f t="shared" si="54"/>
        <v>0</v>
      </c>
      <c r="O188">
        <f t="shared" si="54"/>
        <v>2</v>
      </c>
      <c r="P188">
        <f t="shared" si="54"/>
        <v>53</v>
      </c>
      <c r="Q188" s="14">
        <f t="shared" si="49"/>
        <v>173</v>
      </c>
      <c r="R188" s="13">
        <f t="shared" si="50"/>
        <v>0</v>
      </c>
      <c r="S188">
        <f t="shared" si="51"/>
        <v>2</v>
      </c>
      <c r="T188">
        <f t="shared" si="52"/>
        <v>53</v>
      </c>
      <c r="U188" s="14">
        <f t="shared" si="53"/>
        <v>173</v>
      </c>
      <c r="V188" s="15"/>
      <c r="Z188" s="14"/>
    </row>
    <row r="189" spans="1:26" hidden="1" x14ac:dyDescent="0.25">
      <c r="A189" s="16"/>
      <c r="B189" s="17" t="b">
        <f t="shared" si="38"/>
        <v>0</v>
      </c>
      <c r="C189" s="17" t="b">
        <f t="shared" si="48"/>
        <v>0</v>
      </c>
      <c r="D189" s="17">
        <f t="shared" si="45"/>
        <v>1</v>
      </c>
      <c r="E189" s="17" t="str">
        <f t="shared" si="46"/>
        <v>6. Conclusion</v>
      </c>
      <c r="F189" s="18" t="str">
        <f t="shared" si="55"/>
        <v/>
      </c>
      <c r="G189" s="13" t="str">
        <f t="shared" si="39"/>
        <v/>
      </c>
      <c r="H189">
        <f t="shared" si="40"/>
        <v>0</v>
      </c>
      <c r="I189" s="14">
        <f t="shared" si="47"/>
        <v>0</v>
      </c>
      <c r="J189" s="13">
        <f t="shared" si="41"/>
        <v>4529</v>
      </c>
      <c r="K189">
        <f t="shared" si="42"/>
        <v>1</v>
      </c>
      <c r="L189">
        <f t="shared" si="43"/>
        <v>15</v>
      </c>
      <c r="M189" s="14">
        <f t="shared" si="44"/>
        <v>29</v>
      </c>
      <c r="N189" s="13">
        <f t="shared" si="54"/>
        <v>0</v>
      </c>
      <c r="O189">
        <f t="shared" si="54"/>
        <v>2</v>
      </c>
      <c r="P189">
        <f t="shared" si="54"/>
        <v>53</v>
      </c>
      <c r="Q189" s="14">
        <f t="shared" si="49"/>
        <v>173</v>
      </c>
      <c r="R189" s="13">
        <f t="shared" si="50"/>
        <v>0</v>
      </c>
      <c r="S189">
        <f t="shared" si="51"/>
        <v>2</v>
      </c>
      <c r="T189">
        <f t="shared" si="52"/>
        <v>53</v>
      </c>
      <c r="U189" s="14">
        <f t="shared" si="53"/>
        <v>173</v>
      </c>
      <c r="V189" s="15"/>
      <c r="Z189" s="14"/>
    </row>
    <row r="190" spans="1:26" hidden="1" x14ac:dyDescent="0.25">
      <c r="A190" s="16"/>
      <c r="B190" s="17" t="b">
        <f t="shared" si="38"/>
        <v>0</v>
      </c>
      <c r="C190" s="17" t="b">
        <f t="shared" si="48"/>
        <v>0</v>
      </c>
      <c r="D190" s="17">
        <f t="shared" si="45"/>
        <v>1</v>
      </c>
      <c r="E190" s="17" t="str">
        <f t="shared" si="46"/>
        <v>6. Conclusion</v>
      </c>
      <c r="F190" s="18" t="str">
        <f t="shared" si="55"/>
        <v/>
      </c>
      <c r="G190" s="13" t="str">
        <f t="shared" si="39"/>
        <v/>
      </c>
      <c r="H190">
        <f t="shared" si="40"/>
        <v>0</v>
      </c>
      <c r="I190" s="14">
        <f t="shared" si="47"/>
        <v>0</v>
      </c>
      <c r="J190" s="13">
        <f t="shared" si="41"/>
        <v>4529</v>
      </c>
      <c r="K190">
        <f t="shared" si="42"/>
        <v>1</v>
      </c>
      <c r="L190">
        <f t="shared" si="43"/>
        <v>15</v>
      </c>
      <c r="M190" s="14">
        <f t="shared" si="44"/>
        <v>29</v>
      </c>
      <c r="N190" s="13">
        <f t="shared" si="54"/>
        <v>0</v>
      </c>
      <c r="O190">
        <f t="shared" si="54"/>
        <v>2</v>
      </c>
      <c r="P190">
        <f t="shared" si="54"/>
        <v>53</v>
      </c>
      <c r="Q190" s="14">
        <f t="shared" si="49"/>
        <v>173</v>
      </c>
      <c r="R190" s="13">
        <f t="shared" si="50"/>
        <v>0</v>
      </c>
      <c r="S190">
        <f t="shared" si="51"/>
        <v>2</v>
      </c>
      <c r="T190">
        <f t="shared" si="52"/>
        <v>53</v>
      </c>
      <c r="U190" s="14">
        <f t="shared" si="53"/>
        <v>173</v>
      </c>
      <c r="V190" s="15"/>
      <c r="Z190" s="14"/>
    </row>
    <row r="191" spans="1:26" hidden="1" x14ac:dyDescent="0.25">
      <c r="A191" s="16"/>
      <c r="B191" s="17" t="b">
        <f t="shared" si="38"/>
        <v>0</v>
      </c>
      <c r="C191" s="17" t="b">
        <f t="shared" si="48"/>
        <v>0</v>
      </c>
      <c r="D191" s="17">
        <f t="shared" si="45"/>
        <v>1</v>
      </c>
      <c r="E191" s="17" t="str">
        <f t="shared" si="46"/>
        <v>6. Conclusion</v>
      </c>
      <c r="F191" s="18" t="str">
        <f t="shared" si="55"/>
        <v/>
      </c>
      <c r="G191" s="13" t="str">
        <f t="shared" si="39"/>
        <v/>
      </c>
      <c r="H191">
        <f t="shared" si="40"/>
        <v>0</v>
      </c>
      <c r="I191" s="14">
        <f t="shared" si="47"/>
        <v>0</v>
      </c>
      <c r="J191" s="13">
        <f t="shared" si="41"/>
        <v>4529</v>
      </c>
      <c r="K191">
        <f t="shared" si="42"/>
        <v>1</v>
      </c>
      <c r="L191">
        <f t="shared" si="43"/>
        <v>15</v>
      </c>
      <c r="M191" s="14">
        <f t="shared" si="44"/>
        <v>29</v>
      </c>
      <c r="N191" s="13">
        <f t="shared" si="54"/>
        <v>0</v>
      </c>
      <c r="O191">
        <f t="shared" si="54"/>
        <v>2</v>
      </c>
      <c r="P191">
        <f t="shared" si="54"/>
        <v>53</v>
      </c>
      <c r="Q191" s="14">
        <f t="shared" si="49"/>
        <v>173</v>
      </c>
      <c r="R191" s="13">
        <f t="shared" si="50"/>
        <v>0</v>
      </c>
      <c r="S191">
        <f t="shared" si="51"/>
        <v>2</v>
      </c>
      <c r="T191">
        <f t="shared" si="52"/>
        <v>53</v>
      </c>
      <c r="U191" s="14">
        <f t="shared" si="53"/>
        <v>173</v>
      </c>
      <c r="V191" s="15"/>
      <c r="Z191" s="14"/>
    </row>
    <row r="192" spans="1:26" hidden="1" x14ac:dyDescent="0.25">
      <c r="A192" s="16"/>
      <c r="B192" s="17" t="b">
        <f t="shared" si="38"/>
        <v>0</v>
      </c>
      <c r="C192" s="17" t="b">
        <f t="shared" si="48"/>
        <v>0</v>
      </c>
      <c r="D192" s="17">
        <f t="shared" si="45"/>
        <v>1</v>
      </c>
      <c r="E192" s="17" t="str">
        <f t="shared" si="46"/>
        <v>6. Conclusion</v>
      </c>
      <c r="F192" s="18" t="str">
        <f t="shared" si="55"/>
        <v/>
      </c>
      <c r="G192" s="13" t="str">
        <f t="shared" si="39"/>
        <v/>
      </c>
      <c r="H192">
        <f t="shared" si="40"/>
        <v>0</v>
      </c>
      <c r="I192" s="14">
        <f t="shared" si="47"/>
        <v>0</v>
      </c>
      <c r="J192" s="13">
        <f t="shared" si="41"/>
        <v>4529</v>
      </c>
      <c r="K192">
        <f t="shared" si="42"/>
        <v>1</v>
      </c>
      <c r="L192">
        <f t="shared" si="43"/>
        <v>15</v>
      </c>
      <c r="M192" s="14">
        <f t="shared" si="44"/>
        <v>29</v>
      </c>
      <c r="N192" s="13">
        <f t="shared" si="54"/>
        <v>0</v>
      </c>
      <c r="O192">
        <f t="shared" si="54"/>
        <v>2</v>
      </c>
      <c r="P192">
        <f t="shared" si="54"/>
        <v>53</v>
      </c>
      <c r="Q192" s="14">
        <f t="shared" si="49"/>
        <v>173</v>
      </c>
      <c r="R192" s="13">
        <f t="shared" si="50"/>
        <v>0</v>
      </c>
      <c r="S192">
        <f t="shared" si="51"/>
        <v>2</v>
      </c>
      <c r="T192">
        <f t="shared" si="52"/>
        <v>53</v>
      </c>
      <c r="U192" s="14">
        <f t="shared" si="53"/>
        <v>173</v>
      </c>
      <c r="V192" s="15"/>
      <c r="Z192" s="14"/>
    </row>
    <row r="193" spans="1:26" hidden="1" x14ac:dyDescent="0.25">
      <c r="A193" s="16"/>
      <c r="B193" s="17" t="b">
        <f t="shared" si="38"/>
        <v>0</v>
      </c>
      <c r="C193" s="17" t="b">
        <f t="shared" si="48"/>
        <v>0</v>
      </c>
      <c r="D193" s="17">
        <f t="shared" si="45"/>
        <v>1</v>
      </c>
      <c r="E193" s="17" t="str">
        <f t="shared" si="46"/>
        <v>6. Conclusion</v>
      </c>
      <c r="F193" s="18" t="str">
        <f t="shared" si="55"/>
        <v/>
      </c>
      <c r="G193" s="13" t="str">
        <f t="shared" si="39"/>
        <v/>
      </c>
      <c r="H193">
        <f t="shared" si="40"/>
        <v>0</v>
      </c>
      <c r="I193" s="14">
        <f t="shared" si="47"/>
        <v>0</v>
      </c>
      <c r="J193" s="13">
        <f t="shared" si="41"/>
        <v>4529</v>
      </c>
      <c r="K193">
        <f t="shared" si="42"/>
        <v>1</v>
      </c>
      <c r="L193">
        <f t="shared" si="43"/>
        <v>15</v>
      </c>
      <c r="M193" s="14">
        <f t="shared" si="44"/>
        <v>29</v>
      </c>
      <c r="N193" s="13">
        <f t="shared" si="54"/>
        <v>0</v>
      </c>
      <c r="O193">
        <f t="shared" si="54"/>
        <v>2</v>
      </c>
      <c r="P193">
        <f t="shared" si="54"/>
        <v>53</v>
      </c>
      <c r="Q193" s="14">
        <f t="shared" si="49"/>
        <v>173</v>
      </c>
      <c r="R193" s="13">
        <f t="shared" si="50"/>
        <v>0</v>
      </c>
      <c r="S193">
        <f t="shared" si="51"/>
        <v>2</v>
      </c>
      <c r="T193">
        <f t="shared" si="52"/>
        <v>53</v>
      </c>
      <c r="U193" s="14">
        <f t="shared" si="53"/>
        <v>173</v>
      </c>
      <c r="V193" s="15"/>
      <c r="Z193" s="14"/>
    </row>
    <row r="194" spans="1:26" hidden="1" x14ac:dyDescent="0.25">
      <c r="A194" s="16"/>
      <c r="B194" s="17" t="b">
        <f t="shared" si="38"/>
        <v>0</v>
      </c>
      <c r="C194" s="17" t="b">
        <f t="shared" si="48"/>
        <v>0</v>
      </c>
      <c r="D194" s="17">
        <f t="shared" si="45"/>
        <v>1</v>
      </c>
      <c r="E194" s="17" t="str">
        <f t="shared" si="46"/>
        <v>6. Conclusion</v>
      </c>
      <c r="F194" s="18" t="str">
        <f t="shared" si="55"/>
        <v/>
      </c>
      <c r="G194" s="13" t="str">
        <f t="shared" si="39"/>
        <v/>
      </c>
      <c r="H194">
        <f t="shared" si="40"/>
        <v>0</v>
      </c>
      <c r="I194" s="14">
        <f t="shared" si="47"/>
        <v>0</v>
      </c>
      <c r="J194" s="13">
        <f t="shared" si="41"/>
        <v>4529</v>
      </c>
      <c r="K194">
        <f t="shared" si="42"/>
        <v>1</v>
      </c>
      <c r="L194">
        <f t="shared" si="43"/>
        <v>15</v>
      </c>
      <c r="M194" s="14">
        <f t="shared" si="44"/>
        <v>29</v>
      </c>
      <c r="N194" s="13">
        <f t="shared" si="54"/>
        <v>0</v>
      </c>
      <c r="O194">
        <f t="shared" si="54"/>
        <v>2</v>
      </c>
      <c r="P194">
        <f t="shared" si="54"/>
        <v>53</v>
      </c>
      <c r="Q194" s="14">
        <f t="shared" si="49"/>
        <v>173</v>
      </c>
      <c r="R194" s="13">
        <f t="shared" si="50"/>
        <v>0</v>
      </c>
      <c r="S194">
        <f t="shared" si="51"/>
        <v>2</v>
      </c>
      <c r="T194">
        <f t="shared" si="52"/>
        <v>53</v>
      </c>
      <c r="U194" s="14">
        <f t="shared" si="53"/>
        <v>173</v>
      </c>
      <c r="V194" s="15"/>
      <c r="Z194" s="14"/>
    </row>
    <row r="195" spans="1:26" hidden="1" x14ac:dyDescent="0.25">
      <c r="A195" s="16"/>
      <c r="B195" s="17" t="b">
        <f t="shared" si="38"/>
        <v>0</v>
      </c>
      <c r="C195" s="17" t="b">
        <f t="shared" si="48"/>
        <v>0</v>
      </c>
      <c r="D195" s="17">
        <f t="shared" si="45"/>
        <v>1</v>
      </c>
      <c r="E195" s="17" t="str">
        <f t="shared" si="46"/>
        <v>6. Conclusion</v>
      </c>
      <c r="F195" s="18" t="str">
        <f t="shared" si="55"/>
        <v/>
      </c>
      <c r="G195" s="13" t="str">
        <f t="shared" si="39"/>
        <v/>
      </c>
      <c r="H195">
        <f t="shared" si="40"/>
        <v>0</v>
      </c>
      <c r="I195" s="14">
        <f t="shared" si="47"/>
        <v>0</v>
      </c>
      <c r="J195" s="13">
        <f t="shared" si="41"/>
        <v>4529</v>
      </c>
      <c r="K195">
        <f t="shared" si="42"/>
        <v>1</v>
      </c>
      <c r="L195">
        <f t="shared" si="43"/>
        <v>15</v>
      </c>
      <c r="M195" s="14">
        <f t="shared" si="44"/>
        <v>29</v>
      </c>
      <c r="N195" s="13">
        <f t="shared" si="54"/>
        <v>0</v>
      </c>
      <c r="O195">
        <f t="shared" si="54"/>
        <v>2</v>
      </c>
      <c r="P195">
        <f t="shared" si="54"/>
        <v>53</v>
      </c>
      <c r="Q195" s="14">
        <f t="shared" si="49"/>
        <v>173</v>
      </c>
      <c r="R195" s="13">
        <f t="shared" si="50"/>
        <v>0</v>
      </c>
      <c r="S195">
        <f t="shared" si="51"/>
        <v>2</v>
      </c>
      <c r="T195">
        <f t="shared" si="52"/>
        <v>53</v>
      </c>
      <c r="U195" s="14">
        <f t="shared" si="53"/>
        <v>173</v>
      </c>
      <c r="V195" s="15"/>
      <c r="Z195" s="14"/>
    </row>
    <row r="196" spans="1:26" hidden="1" x14ac:dyDescent="0.25">
      <c r="A196" s="16"/>
      <c r="B196" s="17" t="b">
        <f t="shared" si="38"/>
        <v>0</v>
      </c>
      <c r="C196" s="17" t="b">
        <f t="shared" si="48"/>
        <v>0</v>
      </c>
      <c r="D196" s="17">
        <f t="shared" si="45"/>
        <v>1</v>
      </c>
      <c r="E196" s="17" t="str">
        <f t="shared" si="46"/>
        <v>6. Conclusion</v>
      </c>
      <c r="F196" s="18" t="str">
        <f t="shared" si="55"/>
        <v/>
      </c>
      <c r="G196" s="13" t="str">
        <f t="shared" si="39"/>
        <v/>
      </c>
      <c r="H196">
        <f t="shared" si="40"/>
        <v>0</v>
      </c>
      <c r="I196" s="14">
        <f t="shared" si="47"/>
        <v>0</v>
      </c>
      <c r="J196" s="13">
        <f t="shared" si="41"/>
        <v>4529</v>
      </c>
      <c r="K196">
        <f t="shared" si="42"/>
        <v>1</v>
      </c>
      <c r="L196">
        <f t="shared" si="43"/>
        <v>15</v>
      </c>
      <c r="M196" s="14">
        <f t="shared" si="44"/>
        <v>29</v>
      </c>
      <c r="N196" s="13">
        <f t="shared" si="54"/>
        <v>0</v>
      </c>
      <c r="O196">
        <f t="shared" si="54"/>
        <v>2</v>
      </c>
      <c r="P196">
        <f t="shared" si="54"/>
        <v>53</v>
      </c>
      <c r="Q196" s="14">
        <f t="shared" si="49"/>
        <v>173</v>
      </c>
      <c r="R196" s="13">
        <f t="shared" si="50"/>
        <v>0</v>
      </c>
      <c r="S196">
        <f t="shared" si="51"/>
        <v>2</v>
      </c>
      <c r="T196">
        <f t="shared" si="52"/>
        <v>53</v>
      </c>
      <c r="U196" s="14">
        <f t="shared" si="53"/>
        <v>173</v>
      </c>
      <c r="V196" s="15"/>
      <c r="Z196" s="14"/>
    </row>
    <row r="197" spans="1:26" hidden="1" x14ac:dyDescent="0.25">
      <c r="A197" s="16"/>
      <c r="B197" s="17" t="b">
        <f t="shared" si="38"/>
        <v>0</v>
      </c>
      <c r="C197" s="17" t="b">
        <f t="shared" si="48"/>
        <v>0</v>
      </c>
      <c r="D197" s="17">
        <f t="shared" si="45"/>
        <v>1</v>
      </c>
      <c r="E197" s="17" t="str">
        <f t="shared" si="46"/>
        <v>6. Conclusion</v>
      </c>
      <c r="F197" s="18" t="str">
        <f t="shared" si="55"/>
        <v/>
      </c>
      <c r="G197" s="13" t="str">
        <f t="shared" si="39"/>
        <v/>
      </c>
      <c r="H197">
        <f t="shared" si="40"/>
        <v>0</v>
      </c>
      <c r="I197" s="14">
        <f t="shared" si="47"/>
        <v>0</v>
      </c>
      <c r="J197" s="13">
        <f t="shared" si="41"/>
        <v>4529</v>
      </c>
      <c r="K197">
        <f t="shared" si="42"/>
        <v>1</v>
      </c>
      <c r="L197">
        <f t="shared" si="43"/>
        <v>15</v>
      </c>
      <c r="M197" s="14">
        <f t="shared" si="44"/>
        <v>29</v>
      </c>
      <c r="N197" s="13">
        <f t="shared" si="54"/>
        <v>0</v>
      </c>
      <c r="O197">
        <f t="shared" si="54"/>
        <v>2</v>
      </c>
      <c r="P197">
        <f t="shared" si="54"/>
        <v>53</v>
      </c>
      <c r="Q197" s="14">
        <f t="shared" si="49"/>
        <v>173</v>
      </c>
      <c r="R197" s="13">
        <f t="shared" si="50"/>
        <v>0</v>
      </c>
      <c r="S197">
        <f t="shared" si="51"/>
        <v>2</v>
      </c>
      <c r="T197">
        <f t="shared" si="52"/>
        <v>53</v>
      </c>
      <c r="U197" s="14">
        <f t="shared" si="53"/>
        <v>173</v>
      </c>
      <c r="V197" s="15"/>
      <c r="Z197" s="14"/>
    </row>
    <row r="198" spans="1:26" hidden="1" x14ac:dyDescent="0.25">
      <c r="A198" s="16"/>
      <c r="B198" s="17" t="b">
        <f t="shared" si="38"/>
        <v>0</v>
      </c>
      <c r="C198" s="17" t="b">
        <f t="shared" si="48"/>
        <v>0</v>
      </c>
      <c r="D198" s="17">
        <f t="shared" si="45"/>
        <v>1</v>
      </c>
      <c r="E198" s="17" t="str">
        <f t="shared" si="46"/>
        <v>6. Conclusion</v>
      </c>
      <c r="F198" s="18" t="str">
        <f t="shared" si="55"/>
        <v/>
      </c>
      <c r="G198" s="13" t="str">
        <f t="shared" si="39"/>
        <v/>
      </c>
      <c r="H198">
        <f t="shared" si="40"/>
        <v>0</v>
      </c>
      <c r="I198" s="14">
        <f t="shared" si="47"/>
        <v>0</v>
      </c>
      <c r="J198" s="13">
        <f t="shared" si="41"/>
        <v>4529</v>
      </c>
      <c r="K198">
        <f t="shared" si="42"/>
        <v>1</v>
      </c>
      <c r="L198">
        <f t="shared" si="43"/>
        <v>15</v>
      </c>
      <c r="M198" s="14">
        <f t="shared" si="44"/>
        <v>29</v>
      </c>
      <c r="N198" s="13">
        <f t="shared" si="54"/>
        <v>0</v>
      </c>
      <c r="O198">
        <f t="shared" si="54"/>
        <v>2</v>
      </c>
      <c r="P198">
        <f t="shared" si="54"/>
        <v>53</v>
      </c>
      <c r="Q198" s="14">
        <f t="shared" si="49"/>
        <v>173</v>
      </c>
      <c r="R198" s="13">
        <f t="shared" si="50"/>
        <v>0</v>
      </c>
      <c r="S198">
        <f t="shared" si="51"/>
        <v>2</v>
      </c>
      <c r="T198">
        <f t="shared" si="52"/>
        <v>53</v>
      </c>
      <c r="U198" s="14">
        <f t="shared" si="53"/>
        <v>173</v>
      </c>
      <c r="V198" s="15"/>
      <c r="Z198" s="14"/>
    </row>
    <row r="199" spans="1:26" hidden="1" x14ac:dyDescent="0.25">
      <c r="A199" s="16"/>
      <c r="B199" s="17" t="b">
        <f t="shared" si="38"/>
        <v>0</v>
      </c>
      <c r="C199" s="17" t="b">
        <f t="shared" si="48"/>
        <v>0</v>
      </c>
      <c r="D199" s="17">
        <f t="shared" si="45"/>
        <v>1</v>
      </c>
      <c r="E199" s="17" t="str">
        <f t="shared" si="46"/>
        <v>6. Conclusion</v>
      </c>
      <c r="F199" s="18" t="str">
        <f t="shared" si="55"/>
        <v/>
      </c>
      <c r="G199" s="13" t="str">
        <f t="shared" si="39"/>
        <v/>
      </c>
      <c r="H199">
        <f t="shared" si="40"/>
        <v>0</v>
      </c>
      <c r="I199" s="14">
        <f t="shared" si="47"/>
        <v>0</v>
      </c>
      <c r="J199" s="13">
        <f t="shared" si="41"/>
        <v>4529</v>
      </c>
      <c r="K199">
        <f t="shared" si="42"/>
        <v>1</v>
      </c>
      <c r="L199">
        <f t="shared" si="43"/>
        <v>15</v>
      </c>
      <c r="M199" s="14">
        <f t="shared" si="44"/>
        <v>29</v>
      </c>
      <c r="N199" s="13">
        <f t="shared" si="54"/>
        <v>0</v>
      </c>
      <c r="O199">
        <f t="shared" si="54"/>
        <v>2</v>
      </c>
      <c r="P199">
        <f t="shared" si="54"/>
        <v>53</v>
      </c>
      <c r="Q199" s="14">
        <f t="shared" si="49"/>
        <v>173</v>
      </c>
      <c r="R199" s="13">
        <f t="shared" si="50"/>
        <v>0</v>
      </c>
      <c r="S199">
        <f t="shared" si="51"/>
        <v>2</v>
      </c>
      <c r="T199">
        <f t="shared" si="52"/>
        <v>53</v>
      </c>
      <c r="U199" s="14">
        <f t="shared" si="53"/>
        <v>173</v>
      </c>
      <c r="V199" s="15"/>
      <c r="Z199" s="14"/>
    </row>
    <row r="200" spans="1:26" hidden="1" x14ac:dyDescent="0.25">
      <c r="A200" s="16"/>
      <c r="B200" s="17" t="b">
        <f t="shared" si="38"/>
        <v>0</v>
      </c>
      <c r="C200" s="17" t="b">
        <f t="shared" si="48"/>
        <v>0</v>
      </c>
      <c r="D200" s="17">
        <f t="shared" si="45"/>
        <v>1</v>
      </c>
      <c r="E200" s="17" t="str">
        <f t="shared" si="46"/>
        <v>6. Conclusion</v>
      </c>
      <c r="F200" s="18" t="str">
        <f t="shared" si="55"/>
        <v/>
      </c>
      <c r="G200" s="13" t="str">
        <f t="shared" si="39"/>
        <v/>
      </c>
      <c r="H200">
        <f t="shared" si="40"/>
        <v>0</v>
      </c>
      <c r="I200" s="14">
        <f t="shared" si="47"/>
        <v>0</v>
      </c>
      <c r="J200" s="13">
        <f t="shared" si="41"/>
        <v>4529</v>
      </c>
      <c r="K200">
        <f t="shared" si="42"/>
        <v>1</v>
      </c>
      <c r="L200">
        <f t="shared" si="43"/>
        <v>15</v>
      </c>
      <c r="M200" s="14">
        <f t="shared" si="44"/>
        <v>29</v>
      </c>
      <c r="N200" s="13">
        <f t="shared" si="54"/>
        <v>0</v>
      </c>
      <c r="O200">
        <f t="shared" si="54"/>
        <v>2</v>
      </c>
      <c r="P200">
        <f t="shared" si="54"/>
        <v>53</v>
      </c>
      <c r="Q200" s="14">
        <f t="shared" si="49"/>
        <v>173</v>
      </c>
      <c r="R200" s="13">
        <f t="shared" si="50"/>
        <v>0</v>
      </c>
      <c r="S200">
        <f t="shared" si="51"/>
        <v>2</v>
      </c>
      <c r="T200">
        <f t="shared" si="52"/>
        <v>53</v>
      </c>
      <c r="U200" s="14">
        <f t="shared" si="53"/>
        <v>173</v>
      </c>
      <c r="V200" s="15"/>
      <c r="Z200" s="14"/>
    </row>
    <row r="201" spans="1:26" hidden="1" x14ac:dyDescent="0.25">
      <c r="A201" s="16"/>
      <c r="B201" s="17" t="b">
        <f t="shared" si="38"/>
        <v>0</v>
      </c>
      <c r="C201" s="17" t="b">
        <f t="shared" si="48"/>
        <v>0</v>
      </c>
      <c r="D201" s="17">
        <f t="shared" si="45"/>
        <v>1</v>
      </c>
      <c r="E201" s="17" t="str">
        <f t="shared" si="46"/>
        <v>6. Conclusion</v>
      </c>
      <c r="F201" s="18" t="str">
        <f t="shared" si="55"/>
        <v/>
      </c>
      <c r="G201" s="13" t="str">
        <f t="shared" si="39"/>
        <v/>
      </c>
      <c r="H201">
        <f t="shared" si="40"/>
        <v>0</v>
      </c>
      <c r="I201" s="14">
        <f t="shared" si="47"/>
        <v>0</v>
      </c>
      <c r="J201" s="13">
        <f t="shared" si="41"/>
        <v>4529</v>
      </c>
      <c r="K201">
        <f t="shared" si="42"/>
        <v>1</v>
      </c>
      <c r="L201">
        <f t="shared" si="43"/>
        <v>15</v>
      </c>
      <c r="M201" s="14">
        <f t="shared" si="44"/>
        <v>29</v>
      </c>
      <c r="N201" s="13">
        <f t="shared" si="54"/>
        <v>0</v>
      </c>
      <c r="O201">
        <f t="shared" si="54"/>
        <v>2</v>
      </c>
      <c r="P201">
        <f t="shared" si="54"/>
        <v>53</v>
      </c>
      <c r="Q201" s="14">
        <f t="shared" si="49"/>
        <v>173</v>
      </c>
      <c r="R201" s="13">
        <f t="shared" si="50"/>
        <v>0</v>
      </c>
      <c r="S201">
        <f t="shared" si="51"/>
        <v>2</v>
      </c>
      <c r="T201">
        <f t="shared" si="52"/>
        <v>53</v>
      </c>
      <c r="U201" s="14">
        <f t="shared" si="53"/>
        <v>173</v>
      </c>
      <c r="V201" s="15"/>
      <c r="Z201" s="14"/>
    </row>
    <row r="202" spans="1:26" hidden="1" x14ac:dyDescent="0.25">
      <c r="A202" s="16"/>
      <c r="B202" s="17" t="b">
        <f t="shared" si="38"/>
        <v>0</v>
      </c>
      <c r="C202" s="17" t="b">
        <f t="shared" si="48"/>
        <v>0</v>
      </c>
      <c r="D202" s="17">
        <f t="shared" si="45"/>
        <v>1</v>
      </c>
      <c r="E202" s="17" t="str">
        <f t="shared" si="46"/>
        <v>6. Conclusion</v>
      </c>
      <c r="F202" s="18" t="str">
        <f t="shared" si="55"/>
        <v/>
      </c>
      <c r="G202" s="13" t="str">
        <f t="shared" si="39"/>
        <v/>
      </c>
      <c r="H202">
        <f t="shared" si="40"/>
        <v>0</v>
      </c>
      <c r="I202" s="14">
        <f t="shared" si="47"/>
        <v>0</v>
      </c>
      <c r="J202" s="13">
        <f t="shared" si="41"/>
        <v>4529</v>
      </c>
      <c r="K202">
        <f t="shared" si="42"/>
        <v>1</v>
      </c>
      <c r="L202">
        <f t="shared" si="43"/>
        <v>15</v>
      </c>
      <c r="M202" s="14">
        <f t="shared" si="44"/>
        <v>29</v>
      </c>
      <c r="N202" s="13">
        <f t="shared" si="54"/>
        <v>0</v>
      </c>
      <c r="O202">
        <f t="shared" si="54"/>
        <v>2</v>
      </c>
      <c r="P202">
        <f t="shared" si="54"/>
        <v>53</v>
      </c>
      <c r="Q202" s="14">
        <f t="shared" si="49"/>
        <v>173</v>
      </c>
      <c r="R202" s="13">
        <f t="shared" si="50"/>
        <v>0</v>
      </c>
      <c r="S202">
        <f t="shared" si="51"/>
        <v>2</v>
      </c>
      <c r="T202">
        <f t="shared" si="52"/>
        <v>53</v>
      </c>
      <c r="U202" s="14">
        <f t="shared" si="53"/>
        <v>173</v>
      </c>
      <c r="V202" s="15"/>
      <c r="Z202" s="14"/>
    </row>
    <row r="203" spans="1:26" hidden="1" x14ac:dyDescent="0.25">
      <c r="A203" s="16"/>
      <c r="B203" s="17" t="b">
        <f t="shared" ref="B203:B266" si="56">AND(NOT(ISERROR(FIND(". ",A203))),ISNUMBER(VALUE(LEFT(A203,FIND(". ",A203)-1))))</f>
        <v>0</v>
      </c>
      <c r="C203" s="17" t="b">
        <f t="shared" si="48"/>
        <v>0</v>
      </c>
      <c r="D203" s="17">
        <f t="shared" si="45"/>
        <v>1</v>
      </c>
      <c r="E203" s="17" t="str">
        <f t="shared" si="46"/>
        <v>6. Conclusion</v>
      </c>
      <c r="F203" s="18" t="str">
        <f t="shared" si="55"/>
        <v/>
      </c>
      <c r="G203" s="13" t="str">
        <f t="shared" ref="G203:G266" si="57">IF(C203,IF(ISERROR(FIND("s",A204)),LEFT(A204,FIND("m",A204)),LEFT(A204,FIND("s",A204))),"")</f>
        <v/>
      </c>
      <c r="H203">
        <f t="shared" ref="H203:H266" si="58">IF(OR(G203="",ISERROR(FIND("m",G203))),0,VALUE(LEFT(G203,FIND("m",G203)-1)))</f>
        <v>0</v>
      </c>
      <c r="I203" s="14">
        <f t="shared" si="47"/>
        <v>0</v>
      </c>
      <c r="J203" s="13">
        <f t="shared" ref="J203:J266" si="59">J202+(H203*60+I203)</f>
        <v>4529</v>
      </c>
      <c r="K203">
        <f t="shared" ref="K203:K266" si="60">INT(J203/60/60)</f>
        <v>1</v>
      </c>
      <c r="L203">
        <f t="shared" ref="L203:L266" si="61">INT((J203-(K203*60*60))/60)</f>
        <v>15</v>
      </c>
      <c r="M203" s="14">
        <f t="shared" ref="M203:M266" si="62">J203-(((K203*60)+L203)*60)</f>
        <v>29</v>
      </c>
      <c r="N203" s="13">
        <f t="shared" si="54"/>
        <v>0</v>
      </c>
      <c r="O203">
        <f t="shared" si="54"/>
        <v>2</v>
      </c>
      <c r="P203">
        <f t="shared" si="54"/>
        <v>53</v>
      </c>
      <c r="Q203" s="14">
        <f t="shared" si="49"/>
        <v>173</v>
      </c>
      <c r="R203" s="13">
        <f t="shared" si="50"/>
        <v>0</v>
      </c>
      <c r="S203">
        <f t="shared" si="51"/>
        <v>2</v>
      </c>
      <c r="T203">
        <f t="shared" si="52"/>
        <v>53</v>
      </c>
      <c r="U203" s="14">
        <f t="shared" si="53"/>
        <v>173</v>
      </c>
      <c r="V203" s="15"/>
      <c r="Z203" s="14"/>
    </row>
    <row r="204" spans="1:26" hidden="1" x14ac:dyDescent="0.25">
      <c r="A204" s="16"/>
      <c r="B204" s="17" t="b">
        <f t="shared" si="56"/>
        <v>0</v>
      </c>
      <c r="C204" s="17" t="b">
        <f t="shared" si="48"/>
        <v>0</v>
      </c>
      <c r="D204" s="17">
        <f t="shared" ref="D204:D267" si="63">IF(B204,0,IF(C204,D203+1,D203))</f>
        <v>1</v>
      </c>
      <c r="E204" s="17" t="str">
        <f t="shared" ref="E204:E267" si="64">IF(B204,A204,E203)</f>
        <v>6. Conclusion</v>
      </c>
      <c r="F204" s="18" t="str">
        <f t="shared" si="55"/>
        <v/>
      </c>
      <c r="G204" s="13" t="str">
        <f t="shared" si="57"/>
        <v/>
      </c>
      <c r="H204">
        <f t="shared" si="58"/>
        <v>0</v>
      </c>
      <c r="I204" s="14">
        <f t="shared" ref="I204:I267" si="65">IF(OR(G204="",ISERROR(FIND("s",G204))),0,VALUE(SUBSTITUTE(MID(G204,IF(ISERROR(FIND("m",G204)), 0,FIND("m",G204))+1,LEN(G204)),"s","")))</f>
        <v>0</v>
      </c>
      <c r="J204" s="13">
        <f t="shared" si="59"/>
        <v>4529</v>
      </c>
      <c r="K204">
        <f t="shared" si="60"/>
        <v>1</v>
      </c>
      <c r="L204">
        <f t="shared" si="61"/>
        <v>15</v>
      </c>
      <c r="M204" s="14">
        <f t="shared" si="62"/>
        <v>29</v>
      </c>
      <c r="N204" s="13">
        <f t="shared" si="54"/>
        <v>0</v>
      </c>
      <c r="O204">
        <f t="shared" si="54"/>
        <v>2</v>
      </c>
      <c r="P204">
        <f t="shared" si="54"/>
        <v>53</v>
      </c>
      <c r="Q204" s="14">
        <f t="shared" si="49"/>
        <v>173</v>
      </c>
      <c r="R204" s="13">
        <f t="shared" si="50"/>
        <v>0</v>
      </c>
      <c r="S204">
        <f t="shared" si="51"/>
        <v>2</v>
      </c>
      <c r="T204">
        <f t="shared" si="52"/>
        <v>53</v>
      </c>
      <c r="U204" s="14">
        <f t="shared" si="53"/>
        <v>173</v>
      </c>
      <c r="V204" s="15"/>
      <c r="Z204" s="14"/>
    </row>
    <row r="205" spans="1:26" hidden="1" x14ac:dyDescent="0.25">
      <c r="A205" s="16"/>
      <c r="B205" s="17" t="b">
        <f t="shared" si="56"/>
        <v>0</v>
      </c>
      <c r="C205" s="17" t="b">
        <f t="shared" si="48"/>
        <v>0</v>
      </c>
      <c r="D205" s="17">
        <f t="shared" si="63"/>
        <v>1</v>
      </c>
      <c r="E205" s="17" t="str">
        <f t="shared" si="64"/>
        <v>6. Conclusion</v>
      </c>
      <c r="F205" s="18" t="str">
        <f t="shared" si="55"/>
        <v/>
      </c>
      <c r="G205" s="13" t="str">
        <f t="shared" si="57"/>
        <v/>
      </c>
      <c r="H205">
        <f t="shared" si="58"/>
        <v>0</v>
      </c>
      <c r="I205" s="14">
        <f t="shared" si="65"/>
        <v>0</v>
      </c>
      <c r="J205" s="13">
        <f t="shared" si="59"/>
        <v>4529</v>
      </c>
      <c r="K205">
        <f t="shared" si="60"/>
        <v>1</v>
      </c>
      <c r="L205">
        <f t="shared" si="61"/>
        <v>15</v>
      </c>
      <c r="M205" s="14">
        <f t="shared" si="62"/>
        <v>29</v>
      </c>
      <c r="N205" s="13">
        <f t="shared" si="54"/>
        <v>0</v>
      </c>
      <c r="O205">
        <f t="shared" si="54"/>
        <v>2</v>
      </c>
      <c r="P205">
        <f t="shared" si="54"/>
        <v>53</v>
      </c>
      <c r="Q205" s="14">
        <f t="shared" si="49"/>
        <v>173</v>
      </c>
      <c r="R205" s="13">
        <f t="shared" si="50"/>
        <v>0</v>
      </c>
      <c r="S205">
        <f t="shared" si="51"/>
        <v>2</v>
      </c>
      <c r="T205">
        <f t="shared" si="52"/>
        <v>53</v>
      </c>
      <c r="U205" s="14">
        <f t="shared" si="53"/>
        <v>173</v>
      </c>
      <c r="V205" s="15"/>
      <c r="Z205" s="14"/>
    </row>
    <row r="206" spans="1:26" hidden="1" x14ac:dyDescent="0.25">
      <c r="A206" s="16"/>
      <c r="B206" s="17" t="b">
        <f t="shared" si="56"/>
        <v>0</v>
      </c>
      <c r="C206" s="17" t="b">
        <f t="shared" ref="C206:C269" si="66">OR(AND(NOT(ISERROR(FIND("m",A207))),ISNUMBER(VALUE(LEFT(A207,FIND("m",A207)-1)))),AND(NOT(ISERROR(FIND("s",A207))),ISNUMBER(VALUE(LEFT(A207,FIND("s",A207)-1)))))</f>
        <v>0</v>
      </c>
      <c r="D206" s="17">
        <f t="shared" si="63"/>
        <v>1</v>
      </c>
      <c r="E206" s="17" t="str">
        <f t="shared" si="64"/>
        <v>6. Conclusion</v>
      </c>
      <c r="F206" s="18" t="str">
        <f t="shared" si="55"/>
        <v/>
      </c>
      <c r="G206" s="13" t="str">
        <f t="shared" si="57"/>
        <v/>
      </c>
      <c r="H206">
        <f t="shared" si="58"/>
        <v>0</v>
      </c>
      <c r="I206" s="14">
        <f t="shared" si="65"/>
        <v>0</v>
      </c>
      <c r="J206" s="13">
        <f t="shared" si="59"/>
        <v>4529</v>
      </c>
      <c r="K206">
        <f t="shared" si="60"/>
        <v>1</v>
      </c>
      <c r="L206">
        <f t="shared" si="61"/>
        <v>15</v>
      </c>
      <c r="M206" s="14">
        <f t="shared" si="62"/>
        <v>29</v>
      </c>
      <c r="N206" s="13">
        <f t="shared" si="54"/>
        <v>0</v>
      </c>
      <c r="O206">
        <f t="shared" si="54"/>
        <v>2</v>
      </c>
      <c r="P206">
        <f t="shared" si="54"/>
        <v>53</v>
      </c>
      <c r="Q206" s="14">
        <f t="shared" ref="Q206:Q269" si="67">(((N206*60)+O206)*60)+P206</f>
        <v>173</v>
      </c>
      <c r="R206" s="13">
        <f t="shared" ref="R206:R269" si="68">INT(U206/60/60)</f>
        <v>0</v>
      </c>
      <c r="S206">
        <f t="shared" ref="S206:S269" si="69">INT((U206-(R206*60*60))/60)</f>
        <v>2</v>
      </c>
      <c r="T206">
        <f t="shared" ref="T206:T269" si="70">U206-(((R206*60)+S206)*60)</f>
        <v>53</v>
      </c>
      <c r="U206" s="14">
        <f t="shared" ref="U206:U269" si="71">((H206*60)+I206)+Q206</f>
        <v>173</v>
      </c>
      <c r="V206" s="15"/>
      <c r="Z206" s="14"/>
    </row>
    <row r="207" spans="1:26" hidden="1" x14ac:dyDescent="0.25">
      <c r="A207" s="16"/>
      <c r="B207" s="17" t="b">
        <f t="shared" si="56"/>
        <v>0</v>
      </c>
      <c r="C207" s="17" t="b">
        <f t="shared" si="66"/>
        <v>0</v>
      </c>
      <c r="D207" s="17">
        <f t="shared" si="63"/>
        <v>1</v>
      </c>
      <c r="E207" s="17" t="str">
        <f t="shared" si="64"/>
        <v>6. Conclusion</v>
      </c>
      <c r="F207" s="18" t="str">
        <f t="shared" si="55"/>
        <v/>
      </c>
      <c r="G207" s="13" t="str">
        <f t="shared" si="57"/>
        <v/>
      </c>
      <c r="H207">
        <f t="shared" si="58"/>
        <v>0</v>
      </c>
      <c r="I207" s="14">
        <f t="shared" si="65"/>
        <v>0</v>
      </c>
      <c r="J207" s="13">
        <f t="shared" si="59"/>
        <v>4529</v>
      </c>
      <c r="K207">
        <f t="shared" si="60"/>
        <v>1</v>
      </c>
      <c r="L207">
        <f t="shared" si="61"/>
        <v>15</v>
      </c>
      <c r="M207" s="14">
        <f t="shared" si="62"/>
        <v>29</v>
      </c>
      <c r="N207" s="13">
        <f t="shared" si="54"/>
        <v>0</v>
      </c>
      <c r="O207">
        <f t="shared" si="54"/>
        <v>2</v>
      </c>
      <c r="P207">
        <f t="shared" si="54"/>
        <v>53</v>
      </c>
      <c r="Q207" s="14">
        <f t="shared" si="67"/>
        <v>173</v>
      </c>
      <c r="R207" s="13">
        <f t="shared" si="68"/>
        <v>0</v>
      </c>
      <c r="S207">
        <f t="shared" si="69"/>
        <v>2</v>
      </c>
      <c r="T207">
        <f t="shared" si="70"/>
        <v>53</v>
      </c>
      <c r="U207" s="14">
        <f t="shared" si="71"/>
        <v>173</v>
      </c>
      <c r="V207" s="15"/>
      <c r="Z207" s="14"/>
    </row>
    <row r="208" spans="1:26" hidden="1" x14ac:dyDescent="0.25">
      <c r="A208" s="16"/>
      <c r="B208" s="17" t="b">
        <f t="shared" si="56"/>
        <v>0</v>
      </c>
      <c r="C208" s="17" t="b">
        <f t="shared" si="66"/>
        <v>0</v>
      </c>
      <c r="D208" s="17">
        <f t="shared" si="63"/>
        <v>1</v>
      </c>
      <c r="E208" s="17" t="str">
        <f t="shared" si="64"/>
        <v>6. Conclusion</v>
      </c>
      <c r="F208" s="18" t="str">
        <f t="shared" si="55"/>
        <v/>
      </c>
      <c r="G208" s="13" t="str">
        <f t="shared" si="57"/>
        <v/>
      </c>
      <c r="H208">
        <f t="shared" si="58"/>
        <v>0</v>
      </c>
      <c r="I208" s="14">
        <f t="shared" si="65"/>
        <v>0</v>
      </c>
      <c r="J208" s="13">
        <f t="shared" si="59"/>
        <v>4529</v>
      </c>
      <c r="K208">
        <f t="shared" si="60"/>
        <v>1</v>
      </c>
      <c r="L208">
        <f t="shared" si="61"/>
        <v>15</v>
      </c>
      <c r="M208" s="14">
        <f t="shared" si="62"/>
        <v>29</v>
      </c>
      <c r="N208" s="13">
        <f t="shared" si="54"/>
        <v>0</v>
      </c>
      <c r="O208">
        <f t="shared" si="54"/>
        <v>2</v>
      </c>
      <c r="P208">
        <f t="shared" si="54"/>
        <v>53</v>
      </c>
      <c r="Q208" s="14">
        <f t="shared" si="67"/>
        <v>173</v>
      </c>
      <c r="R208" s="13">
        <f t="shared" si="68"/>
        <v>0</v>
      </c>
      <c r="S208">
        <f t="shared" si="69"/>
        <v>2</v>
      </c>
      <c r="T208">
        <f t="shared" si="70"/>
        <v>53</v>
      </c>
      <c r="U208" s="14">
        <f t="shared" si="71"/>
        <v>173</v>
      </c>
      <c r="V208" s="15"/>
      <c r="Z208" s="14"/>
    </row>
    <row r="209" spans="1:26" hidden="1" x14ac:dyDescent="0.25">
      <c r="A209" s="16"/>
      <c r="B209" s="17" t="b">
        <f t="shared" si="56"/>
        <v>0</v>
      </c>
      <c r="C209" s="17" t="b">
        <f t="shared" si="66"/>
        <v>0</v>
      </c>
      <c r="D209" s="17">
        <f t="shared" si="63"/>
        <v>1</v>
      </c>
      <c r="E209" s="17" t="str">
        <f t="shared" si="64"/>
        <v>6. Conclusion</v>
      </c>
      <c r="F209" s="18" t="str">
        <f t="shared" si="55"/>
        <v/>
      </c>
      <c r="G209" s="13" t="str">
        <f t="shared" si="57"/>
        <v/>
      </c>
      <c r="H209">
        <f t="shared" si="58"/>
        <v>0</v>
      </c>
      <c r="I209" s="14">
        <f t="shared" si="65"/>
        <v>0</v>
      </c>
      <c r="J209" s="13">
        <f t="shared" si="59"/>
        <v>4529</v>
      </c>
      <c r="K209">
        <f t="shared" si="60"/>
        <v>1</v>
      </c>
      <c r="L209">
        <f t="shared" si="61"/>
        <v>15</v>
      </c>
      <c r="M209" s="14">
        <f t="shared" si="62"/>
        <v>29</v>
      </c>
      <c r="N209" s="13">
        <f t="shared" si="54"/>
        <v>0</v>
      </c>
      <c r="O209">
        <f t="shared" si="54"/>
        <v>2</v>
      </c>
      <c r="P209">
        <f t="shared" si="54"/>
        <v>53</v>
      </c>
      <c r="Q209" s="14">
        <f t="shared" si="67"/>
        <v>173</v>
      </c>
      <c r="R209" s="13">
        <f t="shared" si="68"/>
        <v>0</v>
      </c>
      <c r="S209">
        <f t="shared" si="69"/>
        <v>2</v>
      </c>
      <c r="T209">
        <f t="shared" si="70"/>
        <v>53</v>
      </c>
      <c r="U209" s="14">
        <f t="shared" si="71"/>
        <v>173</v>
      </c>
      <c r="V209" s="15"/>
      <c r="Z209" s="14"/>
    </row>
    <row r="210" spans="1:26" hidden="1" x14ac:dyDescent="0.25">
      <c r="A210" s="16"/>
      <c r="B210" s="17" t="b">
        <f t="shared" si="56"/>
        <v>0</v>
      </c>
      <c r="C210" s="17" t="b">
        <f t="shared" si="66"/>
        <v>0</v>
      </c>
      <c r="D210" s="17">
        <f t="shared" si="63"/>
        <v>1</v>
      </c>
      <c r="E210" s="17" t="str">
        <f t="shared" si="64"/>
        <v>6. Conclusion</v>
      </c>
      <c r="F210" s="18" t="str">
        <f t="shared" si="55"/>
        <v/>
      </c>
      <c r="G210" s="13" t="str">
        <f t="shared" si="57"/>
        <v/>
      </c>
      <c r="H210">
        <f t="shared" si="58"/>
        <v>0</v>
      </c>
      <c r="I210" s="14">
        <f t="shared" si="65"/>
        <v>0</v>
      </c>
      <c r="J210" s="13">
        <f t="shared" si="59"/>
        <v>4529</v>
      </c>
      <c r="K210">
        <f t="shared" si="60"/>
        <v>1</v>
      </c>
      <c r="L210">
        <f t="shared" si="61"/>
        <v>15</v>
      </c>
      <c r="M210" s="14">
        <f t="shared" si="62"/>
        <v>29</v>
      </c>
      <c r="N210" s="13">
        <f t="shared" si="54"/>
        <v>0</v>
      </c>
      <c r="O210">
        <f t="shared" si="54"/>
        <v>2</v>
      </c>
      <c r="P210">
        <f t="shared" si="54"/>
        <v>53</v>
      </c>
      <c r="Q210" s="14">
        <f t="shared" si="67"/>
        <v>173</v>
      </c>
      <c r="R210" s="13">
        <f t="shared" si="68"/>
        <v>0</v>
      </c>
      <c r="S210">
        <f t="shared" si="69"/>
        <v>2</v>
      </c>
      <c r="T210">
        <f t="shared" si="70"/>
        <v>53</v>
      </c>
      <c r="U210" s="14">
        <f t="shared" si="71"/>
        <v>173</v>
      </c>
      <c r="V210" s="15"/>
      <c r="Z210" s="14"/>
    </row>
    <row r="211" spans="1:26" hidden="1" x14ac:dyDescent="0.25">
      <c r="A211" s="16"/>
      <c r="B211" s="17" t="b">
        <f t="shared" si="56"/>
        <v>0</v>
      </c>
      <c r="C211" s="17" t="b">
        <f t="shared" si="66"/>
        <v>0</v>
      </c>
      <c r="D211" s="17">
        <f t="shared" si="63"/>
        <v>1</v>
      </c>
      <c r="E211" s="17" t="str">
        <f t="shared" si="64"/>
        <v>6. Conclusion</v>
      </c>
      <c r="F211" s="18" t="str">
        <f t="shared" si="55"/>
        <v/>
      </c>
      <c r="G211" s="13" t="str">
        <f t="shared" si="57"/>
        <v/>
      </c>
      <c r="H211">
        <f t="shared" si="58"/>
        <v>0</v>
      </c>
      <c r="I211" s="14">
        <f t="shared" si="65"/>
        <v>0</v>
      </c>
      <c r="J211" s="13">
        <f t="shared" si="59"/>
        <v>4529</v>
      </c>
      <c r="K211">
        <f t="shared" si="60"/>
        <v>1</v>
      </c>
      <c r="L211">
        <f t="shared" si="61"/>
        <v>15</v>
      </c>
      <c r="M211" s="14">
        <f t="shared" si="62"/>
        <v>29</v>
      </c>
      <c r="N211" s="13">
        <f t="shared" si="54"/>
        <v>0</v>
      </c>
      <c r="O211">
        <f t="shared" si="54"/>
        <v>2</v>
      </c>
      <c r="P211">
        <f t="shared" si="54"/>
        <v>53</v>
      </c>
      <c r="Q211" s="14">
        <f t="shared" si="67"/>
        <v>173</v>
      </c>
      <c r="R211" s="13">
        <f t="shared" si="68"/>
        <v>0</v>
      </c>
      <c r="S211">
        <f t="shared" si="69"/>
        <v>2</v>
      </c>
      <c r="T211">
        <f t="shared" si="70"/>
        <v>53</v>
      </c>
      <c r="U211" s="14">
        <f t="shared" si="71"/>
        <v>173</v>
      </c>
      <c r="V211" s="15"/>
      <c r="Z211" s="14"/>
    </row>
    <row r="212" spans="1:26" hidden="1" x14ac:dyDescent="0.25">
      <c r="A212" s="16"/>
      <c r="B212" s="17" t="b">
        <f t="shared" si="56"/>
        <v>0</v>
      </c>
      <c r="C212" s="17" t="b">
        <f t="shared" si="66"/>
        <v>0</v>
      </c>
      <c r="D212" s="17">
        <f t="shared" si="63"/>
        <v>1</v>
      </c>
      <c r="E212" s="17" t="str">
        <f t="shared" si="64"/>
        <v>6. Conclusion</v>
      </c>
      <c r="F212" s="18" t="str">
        <f t="shared" si="55"/>
        <v/>
      </c>
      <c r="G212" s="13" t="str">
        <f t="shared" si="57"/>
        <v/>
      </c>
      <c r="H212">
        <f t="shared" si="58"/>
        <v>0</v>
      </c>
      <c r="I212" s="14">
        <f t="shared" si="65"/>
        <v>0</v>
      </c>
      <c r="J212" s="13">
        <f t="shared" si="59"/>
        <v>4529</v>
      </c>
      <c r="K212">
        <f t="shared" si="60"/>
        <v>1</v>
      </c>
      <c r="L212">
        <f t="shared" si="61"/>
        <v>15</v>
      </c>
      <c r="M212" s="14">
        <f t="shared" si="62"/>
        <v>29</v>
      </c>
      <c r="N212" s="13">
        <f t="shared" si="54"/>
        <v>0</v>
      </c>
      <c r="O212">
        <f t="shared" si="54"/>
        <v>2</v>
      </c>
      <c r="P212">
        <f t="shared" si="54"/>
        <v>53</v>
      </c>
      <c r="Q212" s="14">
        <f t="shared" si="67"/>
        <v>173</v>
      </c>
      <c r="R212" s="13">
        <f t="shared" si="68"/>
        <v>0</v>
      </c>
      <c r="S212">
        <f t="shared" si="69"/>
        <v>2</v>
      </c>
      <c r="T212">
        <f t="shared" si="70"/>
        <v>53</v>
      </c>
      <c r="U212" s="14">
        <f t="shared" si="71"/>
        <v>173</v>
      </c>
      <c r="V212" s="15"/>
      <c r="Z212" s="14"/>
    </row>
    <row r="213" spans="1:26" hidden="1" x14ac:dyDescent="0.25">
      <c r="A213" s="16"/>
      <c r="B213" s="17" t="b">
        <f t="shared" si="56"/>
        <v>0</v>
      </c>
      <c r="C213" s="17" t="b">
        <f t="shared" si="66"/>
        <v>0</v>
      </c>
      <c r="D213" s="17">
        <f t="shared" si="63"/>
        <v>1</v>
      </c>
      <c r="E213" s="17" t="str">
        <f t="shared" si="64"/>
        <v>6. Conclusion</v>
      </c>
      <c r="F213" s="18" t="str">
        <f t="shared" si="55"/>
        <v/>
      </c>
      <c r="G213" s="13" t="str">
        <f t="shared" si="57"/>
        <v/>
      </c>
      <c r="H213">
        <f t="shared" si="58"/>
        <v>0</v>
      </c>
      <c r="I213" s="14">
        <f t="shared" si="65"/>
        <v>0</v>
      </c>
      <c r="J213" s="13">
        <f t="shared" si="59"/>
        <v>4529</v>
      </c>
      <c r="K213">
        <f t="shared" si="60"/>
        <v>1</v>
      </c>
      <c r="L213">
        <f t="shared" si="61"/>
        <v>15</v>
      </c>
      <c r="M213" s="14">
        <f t="shared" si="62"/>
        <v>29</v>
      </c>
      <c r="N213" s="13">
        <f t="shared" si="54"/>
        <v>0</v>
      </c>
      <c r="O213">
        <f t="shared" si="54"/>
        <v>2</v>
      </c>
      <c r="P213">
        <f t="shared" si="54"/>
        <v>53</v>
      </c>
      <c r="Q213" s="14">
        <f t="shared" si="67"/>
        <v>173</v>
      </c>
      <c r="R213" s="13">
        <f t="shared" si="68"/>
        <v>0</v>
      </c>
      <c r="S213">
        <f t="shared" si="69"/>
        <v>2</v>
      </c>
      <c r="T213">
        <f t="shared" si="70"/>
        <v>53</v>
      </c>
      <c r="U213" s="14">
        <f t="shared" si="71"/>
        <v>173</v>
      </c>
      <c r="V213" s="15"/>
      <c r="Z213" s="14"/>
    </row>
    <row r="214" spans="1:26" hidden="1" x14ac:dyDescent="0.25">
      <c r="A214" s="16"/>
      <c r="B214" s="17" t="b">
        <f t="shared" si="56"/>
        <v>0</v>
      </c>
      <c r="C214" s="17" t="b">
        <f t="shared" si="66"/>
        <v>0</v>
      </c>
      <c r="D214" s="17">
        <f t="shared" si="63"/>
        <v>1</v>
      </c>
      <c r="E214" s="17" t="str">
        <f t="shared" si="64"/>
        <v>6. Conclusion</v>
      </c>
      <c r="F214" s="18" t="str">
        <f t="shared" si="55"/>
        <v/>
      </c>
      <c r="G214" s="13" t="str">
        <f t="shared" si="57"/>
        <v/>
      </c>
      <c r="H214">
        <f t="shared" si="58"/>
        <v>0</v>
      </c>
      <c r="I214" s="14">
        <f t="shared" si="65"/>
        <v>0</v>
      </c>
      <c r="J214" s="13">
        <f t="shared" si="59"/>
        <v>4529</v>
      </c>
      <c r="K214">
        <f t="shared" si="60"/>
        <v>1</v>
      </c>
      <c r="L214">
        <f t="shared" si="61"/>
        <v>15</v>
      </c>
      <c r="M214" s="14">
        <f t="shared" si="62"/>
        <v>29</v>
      </c>
      <c r="N214" s="13">
        <f t="shared" si="54"/>
        <v>0</v>
      </c>
      <c r="O214">
        <f t="shared" si="54"/>
        <v>2</v>
      </c>
      <c r="P214">
        <f t="shared" si="54"/>
        <v>53</v>
      </c>
      <c r="Q214" s="14">
        <f t="shared" si="67"/>
        <v>173</v>
      </c>
      <c r="R214" s="13">
        <f t="shared" si="68"/>
        <v>0</v>
      </c>
      <c r="S214">
        <f t="shared" si="69"/>
        <v>2</v>
      </c>
      <c r="T214">
        <f t="shared" si="70"/>
        <v>53</v>
      </c>
      <c r="U214" s="14">
        <f t="shared" si="71"/>
        <v>173</v>
      </c>
      <c r="V214" s="15"/>
      <c r="Z214" s="14"/>
    </row>
    <row r="215" spans="1:26" hidden="1" x14ac:dyDescent="0.25">
      <c r="A215" s="16"/>
      <c r="B215" s="17" t="b">
        <f t="shared" si="56"/>
        <v>0</v>
      </c>
      <c r="C215" s="17" t="b">
        <f t="shared" si="66"/>
        <v>0</v>
      </c>
      <c r="D215" s="17">
        <f t="shared" si="63"/>
        <v>1</v>
      </c>
      <c r="E215" s="17" t="str">
        <f t="shared" si="64"/>
        <v>6. Conclusion</v>
      </c>
      <c r="F215" s="18" t="str">
        <f t="shared" si="55"/>
        <v/>
      </c>
      <c r="G215" s="13" t="str">
        <f t="shared" si="57"/>
        <v/>
      </c>
      <c r="H215">
        <f t="shared" si="58"/>
        <v>0</v>
      </c>
      <c r="I215" s="14">
        <f t="shared" si="65"/>
        <v>0</v>
      </c>
      <c r="J215" s="13">
        <f t="shared" si="59"/>
        <v>4529</v>
      </c>
      <c r="K215">
        <f t="shared" si="60"/>
        <v>1</v>
      </c>
      <c r="L215">
        <f t="shared" si="61"/>
        <v>15</v>
      </c>
      <c r="M215" s="14">
        <f t="shared" si="62"/>
        <v>29</v>
      </c>
      <c r="N215" s="13">
        <f t="shared" si="54"/>
        <v>0</v>
      </c>
      <c r="O215">
        <f t="shared" si="54"/>
        <v>2</v>
      </c>
      <c r="P215">
        <f t="shared" si="54"/>
        <v>53</v>
      </c>
      <c r="Q215" s="14">
        <f t="shared" si="67"/>
        <v>173</v>
      </c>
      <c r="R215" s="13">
        <f t="shared" si="68"/>
        <v>0</v>
      </c>
      <c r="S215">
        <f t="shared" si="69"/>
        <v>2</v>
      </c>
      <c r="T215">
        <f t="shared" si="70"/>
        <v>53</v>
      </c>
      <c r="U215" s="14">
        <f t="shared" si="71"/>
        <v>173</v>
      </c>
      <c r="V215" s="15"/>
      <c r="Z215" s="14"/>
    </row>
    <row r="216" spans="1:26" hidden="1" x14ac:dyDescent="0.25">
      <c r="A216" s="16"/>
      <c r="B216" s="17" t="b">
        <f t="shared" si="56"/>
        <v>0</v>
      </c>
      <c r="C216" s="17" t="b">
        <f t="shared" si="66"/>
        <v>0</v>
      </c>
      <c r="D216" s="17">
        <f t="shared" si="63"/>
        <v>1</v>
      </c>
      <c r="E216" s="17" t="str">
        <f t="shared" si="64"/>
        <v>6. Conclusion</v>
      </c>
      <c r="F216" s="18" t="str">
        <f t="shared" si="55"/>
        <v/>
      </c>
      <c r="G216" s="13" t="str">
        <f t="shared" si="57"/>
        <v/>
      </c>
      <c r="H216">
        <f t="shared" si="58"/>
        <v>0</v>
      </c>
      <c r="I216" s="14">
        <f t="shared" si="65"/>
        <v>0</v>
      </c>
      <c r="J216" s="13">
        <f t="shared" si="59"/>
        <v>4529</v>
      </c>
      <c r="K216">
        <f t="shared" si="60"/>
        <v>1</v>
      </c>
      <c r="L216">
        <f t="shared" si="61"/>
        <v>15</v>
      </c>
      <c r="M216" s="14">
        <f t="shared" si="62"/>
        <v>29</v>
      </c>
      <c r="N216" s="13">
        <f t="shared" si="54"/>
        <v>0</v>
      </c>
      <c r="O216">
        <f t="shared" si="54"/>
        <v>2</v>
      </c>
      <c r="P216">
        <f t="shared" si="54"/>
        <v>53</v>
      </c>
      <c r="Q216" s="14">
        <f t="shared" si="67"/>
        <v>173</v>
      </c>
      <c r="R216" s="13">
        <f t="shared" si="68"/>
        <v>0</v>
      </c>
      <c r="S216">
        <f t="shared" si="69"/>
        <v>2</v>
      </c>
      <c r="T216">
        <f t="shared" si="70"/>
        <v>53</v>
      </c>
      <c r="U216" s="14">
        <f t="shared" si="71"/>
        <v>173</v>
      </c>
      <c r="V216" s="15"/>
      <c r="Z216" s="14"/>
    </row>
    <row r="217" spans="1:26" hidden="1" x14ac:dyDescent="0.25">
      <c r="A217" s="16"/>
      <c r="B217" s="17" t="b">
        <f t="shared" si="56"/>
        <v>0</v>
      </c>
      <c r="C217" s="17" t="b">
        <f t="shared" si="66"/>
        <v>0</v>
      </c>
      <c r="D217" s="17">
        <f t="shared" si="63"/>
        <v>1</v>
      </c>
      <c r="E217" s="17" t="str">
        <f t="shared" si="64"/>
        <v>6. Conclusion</v>
      </c>
      <c r="F217" s="18" t="str">
        <f t="shared" si="55"/>
        <v/>
      </c>
      <c r="G217" s="13" t="str">
        <f t="shared" si="57"/>
        <v/>
      </c>
      <c r="H217">
        <f t="shared" si="58"/>
        <v>0</v>
      </c>
      <c r="I217" s="14">
        <f t="shared" si="65"/>
        <v>0</v>
      </c>
      <c r="J217" s="13">
        <f t="shared" si="59"/>
        <v>4529</v>
      </c>
      <c r="K217">
        <f t="shared" si="60"/>
        <v>1</v>
      </c>
      <c r="L217">
        <f t="shared" si="61"/>
        <v>15</v>
      </c>
      <c r="M217" s="14">
        <f t="shared" si="62"/>
        <v>29</v>
      </c>
      <c r="N217" s="13">
        <f t="shared" si="54"/>
        <v>0</v>
      </c>
      <c r="O217">
        <f t="shared" si="54"/>
        <v>2</v>
      </c>
      <c r="P217">
        <f t="shared" si="54"/>
        <v>53</v>
      </c>
      <c r="Q217" s="14">
        <f t="shared" si="67"/>
        <v>173</v>
      </c>
      <c r="R217" s="13">
        <f t="shared" si="68"/>
        <v>0</v>
      </c>
      <c r="S217">
        <f t="shared" si="69"/>
        <v>2</v>
      </c>
      <c r="T217">
        <f t="shared" si="70"/>
        <v>53</v>
      </c>
      <c r="U217" s="14">
        <f t="shared" si="71"/>
        <v>173</v>
      </c>
      <c r="V217" s="15"/>
      <c r="Z217" s="14"/>
    </row>
    <row r="218" spans="1:26" hidden="1" x14ac:dyDescent="0.25">
      <c r="A218" s="16"/>
      <c r="B218" s="17" t="b">
        <f t="shared" si="56"/>
        <v>0</v>
      </c>
      <c r="C218" s="17" t="b">
        <f t="shared" si="66"/>
        <v>0</v>
      </c>
      <c r="D218" s="17">
        <f t="shared" si="63"/>
        <v>1</v>
      </c>
      <c r="E218" s="17" t="str">
        <f t="shared" si="64"/>
        <v>6. Conclusion</v>
      </c>
      <c r="F218" s="18" t="str">
        <f t="shared" si="55"/>
        <v/>
      </c>
      <c r="G218" s="13" t="str">
        <f t="shared" si="57"/>
        <v/>
      </c>
      <c r="H218">
        <f t="shared" si="58"/>
        <v>0</v>
      </c>
      <c r="I218" s="14">
        <f t="shared" si="65"/>
        <v>0</v>
      </c>
      <c r="J218" s="13">
        <f t="shared" si="59"/>
        <v>4529</v>
      </c>
      <c r="K218">
        <f t="shared" si="60"/>
        <v>1</v>
      </c>
      <c r="L218">
        <f t="shared" si="61"/>
        <v>15</v>
      </c>
      <c r="M218" s="14">
        <f t="shared" si="62"/>
        <v>29</v>
      </c>
      <c r="N218" s="13">
        <f t="shared" si="54"/>
        <v>0</v>
      </c>
      <c r="O218">
        <f t="shared" si="54"/>
        <v>2</v>
      </c>
      <c r="P218">
        <f t="shared" si="54"/>
        <v>53</v>
      </c>
      <c r="Q218" s="14">
        <f t="shared" si="67"/>
        <v>173</v>
      </c>
      <c r="R218" s="13">
        <f t="shared" si="68"/>
        <v>0</v>
      </c>
      <c r="S218">
        <f t="shared" si="69"/>
        <v>2</v>
      </c>
      <c r="T218">
        <f t="shared" si="70"/>
        <v>53</v>
      </c>
      <c r="U218" s="14">
        <f t="shared" si="71"/>
        <v>173</v>
      </c>
      <c r="V218" s="15"/>
      <c r="Z218" s="14"/>
    </row>
    <row r="219" spans="1:26" hidden="1" x14ac:dyDescent="0.25">
      <c r="A219" s="16"/>
      <c r="B219" s="17" t="b">
        <f t="shared" si="56"/>
        <v>0</v>
      </c>
      <c r="C219" s="17" t="b">
        <f t="shared" si="66"/>
        <v>0</v>
      </c>
      <c r="D219" s="17">
        <f t="shared" si="63"/>
        <v>1</v>
      </c>
      <c r="E219" s="17" t="str">
        <f t="shared" si="64"/>
        <v>6. Conclusion</v>
      </c>
      <c r="F219" s="18" t="str">
        <f t="shared" si="55"/>
        <v/>
      </c>
      <c r="G219" s="13" t="str">
        <f t="shared" si="57"/>
        <v/>
      </c>
      <c r="H219">
        <f t="shared" si="58"/>
        <v>0</v>
      </c>
      <c r="I219" s="14">
        <f t="shared" si="65"/>
        <v>0</v>
      </c>
      <c r="J219" s="13">
        <f t="shared" si="59"/>
        <v>4529</v>
      </c>
      <c r="K219">
        <f t="shared" si="60"/>
        <v>1</v>
      </c>
      <c r="L219">
        <f t="shared" si="61"/>
        <v>15</v>
      </c>
      <c r="M219" s="14">
        <f t="shared" si="62"/>
        <v>29</v>
      </c>
      <c r="N219" s="13">
        <f t="shared" si="54"/>
        <v>0</v>
      </c>
      <c r="O219">
        <f t="shared" si="54"/>
        <v>2</v>
      </c>
      <c r="P219">
        <f t="shared" si="54"/>
        <v>53</v>
      </c>
      <c r="Q219" s="14">
        <f t="shared" si="67"/>
        <v>173</v>
      </c>
      <c r="R219" s="13">
        <f t="shared" si="68"/>
        <v>0</v>
      </c>
      <c r="S219">
        <f t="shared" si="69"/>
        <v>2</v>
      </c>
      <c r="T219">
        <f t="shared" si="70"/>
        <v>53</v>
      </c>
      <c r="U219" s="14">
        <f t="shared" si="71"/>
        <v>173</v>
      </c>
      <c r="V219" s="15"/>
      <c r="Z219" s="14"/>
    </row>
    <row r="220" spans="1:26" hidden="1" x14ac:dyDescent="0.25">
      <c r="A220" s="16"/>
      <c r="B220" s="17" t="b">
        <f t="shared" si="56"/>
        <v>0</v>
      </c>
      <c r="C220" s="17" t="b">
        <f t="shared" si="66"/>
        <v>0</v>
      </c>
      <c r="D220" s="17">
        <f t="shared" si="63"/>
        <v>1</v>
      </c>
      <c r="E220" s="17" t="str">
        <f t="shared" si="64"/>
        <v>6. Conclusion</v>
      </c>
      <c r="F220" s="18" t="str">
        <f t="shared" si="55"/>
        <v/>
      </c>
      <c r="G220" s="13" t="str">
        <f t="shared" si="57"/>
        <v/>
      </c>
      <c r="H220">
        <f t="shared" si="58"/>
        <v>0</v>
      </c>
      <c r="I220" s="14">
        <f t="shared" si="65"/>
        <v>0</v>
      </c>
      <c r="J220" s="13">
        <f t="shared" si="59"/>
        <v>4529</v>
      </c>
      <c r="K220">
        <f t="shared" si="60"/>
        <v>1</v>
      </c>
      <c r="L220">
        <f t="shared" si="61"/>
        <v>15</v>
      </c>
      <c r="M220" s="14">
        <f t="shared" si="62"/>
        <v>29</v>
      </c>
      <c r="N220" s="13">
        <f t="shared" ref="N220:P283" si="72">R219</f>
        <v>0</v>
      </c>
      <c r="O220">
        <f t="shared" si="72"/>
        <v>2</v>
      </c>
      <c r="P220">
        <f t="shared" si="72"/>
        <v>53</v>
      </c>
      <c r="Q220" s="14">
        <f t="shared" si="67"/>
        <v>173</v>
      </c>
      <c r="R220" s="13">
        <f t="shared" si="68"/>
        <v>0</v>
      </c>
      <c r="S220">
        <f t="shared" si="69"/>
        <v>2</v>
      </c>
      <c r="T220">
        <f t="shared" si="70"/>
        <v>53</v>
      </c>
      <c r="U220" s="14">
        <f t="shared" si="71"/>
        <v>173</v>
      </c>
      <c r="V220" s="15"/>
      <c r="Z220" s="14"/>
    </row>
    <row r="221" spans="1:26" hidden="1" x14ac:dyDescent="0.25">
      <c r="A221" s="16"/>
      <c r="B221" s="17" t="b">
        <f t="shared" si="56"/>
        <v>0</v>
      </c>
      <c r="C221" s="17" t="b">
        <f t="shared" si="66"/>
        <v>0</v>
      </c>
      <c r="D221" s="17">
        <f t="shared" si="63"/>
        <v>1</v>
      </c>
      <c r="E221" s="17" t="str">
        <f t="shared" si="64"/>
        <v>6. Conclusion</v>
      </c>
      <c r="F221" s="18" t="str">
        <f t="shared" si="55"/>
        <v/>
      </c>
      <c r="G221" s="13" t="str">
        <f t="shared" si="57"/>
        <v/>
      </c>
      <c r="H221">
        <f t="shared" si="58"/>
        <v>0</v>
      </c>
      <c r="I221" s="14">
        <f t="shared" si="65"/>
        <v>0</v>
      </c>
      <c r="J221" s="13">
        <f t="shared" si="59"/>
        <v>4529</v>
      </c>
      <c r="K221">
        <f t="shared" si="60"/>
        <v>1</v>
      </c>
      <c r="L221">
        <f t="shared" si="61"/>
        <v>15</v>
      </c>
      <c r="M221" s="14">
        <f t="shared" si="62"/>
        <v>29</v>
      </c>
      <c r="N221" s="13">
        <f t="shared" si="72"/>
        <v>0</v>
      </c>
      <c r="O221">
        <f t="shared" si="72"/>
        <v>2</v>
      </c>
      <c r="P221">
        <f t="shared" si="72"/>
        <v>53</v>
      </c>
      <c r="Q221" s="14">
        <f t="shared" si="67"/>
        <v>173</v>
      </c>
      <c r="R221" s="13">
        <f t="shared" si="68"/>
        <v>0</v>
      </c>
      <c r="S221">
        <f t="shared" si="69"/>
        <v>2</v>
      </c>
      <c r="T221">
        <f t="shared" si="70"/>
        <v>53</v>
      </c>
      <c r="U221" s="14">
        <f t="shared" si="71"/>
        <v>173</v>
      </c>
      <c r="V221" s="15"/>
      <c r="Z221" s="14"/>
    </row>
    <row r="222" spans="1:26" hidden="1" x14ac:dyDescent="0.25">
      <c r="A222" s="16"/>
      <c r="B222" s="17" t="b">
        <f t="shared" si="56"/>
        <v>0</v>
      </c>
      <c r="C222" s="17" t="b">
        <f t="shared" si="66"/>
        <v>0</v>
      </c>
      <c r="D222" s="17">
        <f t="shared" si="63"/>
        <v>1</v>
      </c>
      <c r="E222" s="17" t="str">
        <f t="shared" si="64"/>
        <v>6. Conclusion</v>
      </c>
      <c r="F222" s="18" t="str">
        <f t="shared" si="55"/>
        <v/>
      </c>
      <c r="G222" s="13" t="str">
        <f t="shared" si="57"/>
        <v/>
      </c>
      <c r="H222">
        <f t="shared" si="58"/>
        <v>0</v>
      </c>
      <c r="I222" s="14">
        <f t="shared" si="65"/>
        <v>0</v>
      </c>
      <c r="J222" s="13">
        <f t="shared" si="59"/>
        <v>4529</v>
      </c>
      <c r="K222">
        <f t="shared" si="60"/>
        <v>1</v>
      </c>
      <c r="L222">
        <f t="shared" si="61"/>
        <v>15</v>
      </c>
      <c r="M222" s="14">
        <f t="shared" si="62"/>
        <v>29</v>
      </c>
      <c r="N222" s="13">
        <f t="shared" si="72"/>
        <v>0</v>
      </c>
      <c r="O222">
        <f t="shared" si="72"/>
        <v>2</v>
      </c>
      <c r="P222">
        <f t="shared" si="72"/>
        <v>53</v>
      </c>
      <c r="Q222" s="14">
        <f t="shared" si="67"/>
        <v>173</v>
      </c>
      <c r="R222" s="13">
        <f t="shared" si="68"/>
        <v>0</v>
      </c>
      <c r="S222">
        <f t="shared" si="69"/>
        <v>2</v>
      </c>
      <c r="T222">
        <f t="shared" si="70"/>
        <v>53</v>
      </c>
      <c r="U222" s="14">
        <f t="shared" si="71"/>
        <v>173</v>
      </c>
      <c r="V222" s="15"/>
      <c r="Z222" s="14"/>
    </row>
    <row r="223" spans="1:26" hidden="1" x14ac:dyDescent="0.25">
      <c r="A223" s="16"/>
      <c r="B223" s="17" t="b">
        <f t="shared" si="56"/>
        <v>0</v>
      </c>
      <c r="C223" s="17" t="b">
        <f t="shared" si="66"/>
        <v>0</v>
      </c>
      <c r="D223" s="17">
        <f t="shared" si="63"/>
        <v>1</v>
      </c>
      <c r="E223" s="17" t="str">
        <f t="shared" si="64"/>
        <v>6. Conclusion</v>
      </c>
      <c r="F223" s="18" t="str">
        <f t="shared" si="55"/>
        <v/>
      </c>
      <c r="G223" s="13" t="str">
        <f t="shared" si="57"/>
        <v/>
      </c>
      <c r="H223">
        <f t="shared" si="58"/>
        <v>0</v>
      </c>
      <c r="I223" s="14">
        <f t="shared" si="65"/>
        <v>0</v>
      </c>
      <c r="J223" s="13">
        <f t="shared" si="59"/>
        <v>4529</v>
      </c>
      <c r="K223">
        <f t="shared" si="60"/>
        <v>1</v>
      </c>
      <c r="L223">
        <f t="shared" si="61"/>
        <v>15</v>
      </c>
      <c r="M223" s="14">
        <f t="shared" si="62"/>
        <v>29</v>
      </c>
      <c r="N223" s="13">
        <f t="shared" si="72"/>
        <v>0</v>
      </c>
      <c r="O223">
        <f t="shared" si="72"/>
        <v>2</v>
      </c>
      <c r="P223">
        <f t="shared" si="72"/>
        <v>53</v>
      </c>
      <c r="Q223" s="14">
        <f t="shared" si="67"/>
        <v>173</v>
      </c>
      <c r="R223" s="13">
        <f t="shared" si="68"/>
        <v>0</v>
      </c>
      <c r="S223">
        <f t="shared" si="69"/>
        <v>2</v>
      </c>
      <c r="T223">
        <f t="shared" si="70"/>
        <v>53</v>
      </c>
      <c r="U223" s="14">
        <f t="shared" si="71"/>
        <v>173</v>
      </c>
      <c r="V223" s="15"/>
      <c r="Z223" s="14"/>
    </row>
    <row r="224" spans="1:26" hidden="1" x14ac:dyDescent="0.25">
      <c r="A224" s="16"/>
      <c r="B224" s="17" t="b">
        <f t="shared" si="56"/>
        <v>0</v>
      </c>
      <c r="C224" s="17" t="b">
        <f t="shared" si="66"/>
        <v>0</v>
      </c>
      <c r="D224" s="17">
        <f t="shared" si="63"/>
        <v>1</v>
      </c>
      <c r="E224" s="17" t="str">
        <f t="shared" si="64"/>
        <v>6. Conclusion</v>
      </c>
      <c r="F224" s="18" t="str">
        <f t="shared" si="55"/>
        <v/>
      </c>
      <c r="G224" s="13" t="str">
        <f t="shared" si="57"/>
        <v/>
      </c>
      <c r="H224">
        <f t="shared" si="58"/>
        <v>0</v>
      </c>
      <c r="I224" s="14">
        <f t="shared" si="65"/>
        <v>0</v>
      </c>
      <c r="J224" s="13">
        <f t="shared" si="59"/>
        <v>4529</v>
      </c>
      <c r="K224">
        <f t="shared" si="60"/>
        <v>1</v>
      </c>
      <c r="L224">
        <f t="shared" si="61"/>
        <v>15</v>
      </c>
      <c r="M224" s="14">
        <f t="shared" si="62"/>
        <v>29</v>
      </c>
      <c r="N224" s="13">
        <f t="shared" si="72"/>
        <v>0</v>
      </c>
      <c r="O224">
        <f t="shared" si="72"/>
        <v>2</v>
      </c>
      <c r="P224">
        <f t="shared" si="72"/>
        <v>53</v>
      </c>
      <c r="Q224" s="14">
        <f t="shared" si="67"/>
        <v>173</v>
      </c>
      <c r="R224" s="13">
        <f t="shared" si="68"/>
        <v>0</v>
      </c>
      <c r="S224">
        <f t="shared" si="69"/>
        <v>2</v>
      </c>
      <c r="T224">
        <f t="shared" si="70"/>
        <v>53</v>
      </c>
      <c r="U224" s="14">
        <f t="shared" si="71"/>
        <v>173</v>
      </c>
      <c r="V224" s="15"/>
      <c r="Z224" s="14"/>
    </row>
    <row r="225" spans="1:26" hidden="1" x14ac:dyDescent="0.25">
      <c r="A225" s="16"/>
      <c r="B225" s="17" t="b">
        <f t="shared" si="56"/>
        <v>0</v>
      </c>
      <c r="C225" s="17" t="b">
        <f t="shared" si="66"/>
        <v>0</v>
      </c>
      <c r="D225" s="17">
        <f t="shared" si="63"/>
        <v>1</v>
      </c>
      <c r="E225" s="17" t="str">
        <f t="shared" si="64"/>
        <v>6. Conclusion</v>
      </c>
      <c r="F225" s="18" t="str">
        <f t="shared" si="55"/>
        <v/>
      </c>
      <c r="G225" s="13" t="str">
        <f t="shared" si="57"/>
        <v/>
      </c>
      <c r="H225">
        <f t="shared" si="58"/>
        <v>0</v>
      </c>
      <c r="I225" s="14">
        <f t="shared" si="65"/>
        <v>0</v>
      </c>
      <c r="J225" s="13">
        <f t="shared" si="59"/>
        <v>4529</v>
      </c>
      <c r="K225">
        <f t="shared" si="60"/>
        <v>1</v>
      </c>
      <c r="L225">
        <f t="shared" si="61"/>
        <v>15</v>
      </c>
      <c r="M225" s="14">
        <f t="shared" si="62"/>
        <v>29</v>
      </c>
      <c r="N225" s="13">
        <f t="shared" si="72"/>
        <v>0</v>
      </c>
      <c r="O225">
        <f t="shared" si="72"/>
        <v>2</v>
      </c>
      <c r="P225">
        <f t="shared" si="72"/>
        <v>53</v>
      </c>
      <c r="Q225" s="14">
        <f t="shared" si="67"/>
        <v>173</v>
      </c>
      <c r="R225" s="13">
        <f t="shared" si="68"/>
        <v>0</v>
      </c>
      <c r="S225">
        <f t="shared" si="69"/>
        <v>2</v>
      </c>
      <c r="T225">
        <f t="shared" si="70"/>
        <v>53</v>
      </c>
      <c r="U225" s="14">
        <f t="shared" si="71"/>
        <v>173</v>
      </c>
      <c r="V225" s="15"/>
      <c r="Z225" s="14"/>
    </row>
    <row r="226" spans="1:26" hidden="1" x14ac:dyDescent="0.25">
      <c r="A226" s="16"/>
      <c r="B226" s="17" t="b">
        <f t="shared" si="56"/>
        <v>0</v>
      </c>
      <c r="C226" s="17" t="b">
        <f t="shared" si="66"/>
        <v>0</v>
      </c>
      <c r="D226" s="17">
        <f t="shared" si="63"/>
        <v>1</v>
      </c>
      <c r="E226" s="17" t="str">
        <f t="shared" si="64"/>
        <v>6. Conclusion</v>
      </c>
      <c r="F226" s="18" t="str">
        <f t="shared" si="55"/>
        <v/>
      </c>
      <c r="G226" s="13" t="str">
        <f t="shared" si="57"/>
        <v/>
      </c>
      <c r="H226">
        <f t="shared" si="58"/>
        <v>0</v>
      </c>
      <c r="I226" s="14">
        <f t="shared" si="65"/>
        <v>0</v>
      </c>
      <c r="J226" s="13">
        <f t="shared" si="59"/>
        <v>4529</v>
      </c>
      <c r="K226">
        <f t="shared" si="60"/>
        <v>1</v>
      </c>
      <c r="L226">
        <f t="shared" si="61"/>
        <v>15</v>
      </c>
      <c r="M226" s="14">
        <f t="shared" si="62"/>
        <v>29</v>
      </c>
      <c r="N226" s="13">
        <f t="shared" si="72"/>
        <v>0</v>
      </c>
      <c r="O226">
        <f t="shared" si="72"/>
        <v>2</v>
      </c>
      <c r="P226">
        <f t="shared" si="72"/>
        <v>53</v>
      </c>
      <c r="Q226" s="14">
        <f t="shared" si="67"/>
        <v>173</v>
      </c>
      <c r="R226" s="13">
        <f t="shared" si="68"/>
        <v>0</v>
      </c>
      <c r="S226">
        <f t="shared" si="69"/>
        <v>2</v>
      </c>
      <c r="T226">
        <f t="shared" si="70"/>
        <v>53</v>
      </c>
      <c r="U226" s="14">
        <f t="shared" si="71"/>
        <v>173</v>
      </c>
      <c r="V226" s="15"/>
      <c r="Z226" s="14"/>
    </row>
    <row r="227" spans="1:26" hidden="1" x14ac:dyDescent="0.25">
      <c r="A227" s="16"/>
      <c r="B227" s="17" t="b">
        <f t="shared" si="56"/>
        <v>0</v>
      </c>
      <c r="C227" s="17" t="b">
        <f t="shared" si="66"/>
        <v>0</v>
      </c>
      <c r="D227" s="17">
        <f t="shared" si="63"/>
        <v>1</v>
      </c>
      <c r="E227" s="17" t="str">
        <f t="shared" si="64"/>
        <v>6. Conclusion</v>
      </c>
      <c r="F227" s="18" t="str">
        <f t="shared" si="55"/>
        <v/>
      </c>
      <c r="G227" s="13" t="str">
        <f t="shared" si="57"/>
        <v/>
      </c>
      <c r="H227">
        <f t="shared" si="58"/>
        <v>0</v>
      </c>
      <c r="I227" s="14">
        <f t="shared" si="65"/>
        <v>0</v>
      </c>
      <c r="J227" s="13">
        <f t="shared" si="59"/>
        <v>4529</v>
      </c>
      <c r="K227">
        <f t="shared" si="60"/>
        <v>1</v>
      </c>
      <c r="L227">
        <f t="shared" si="61"/>
        <v>15</v>
      </c>
      <c r="M227" s="14">
        <f t="shared" si="62"/>
        <v>29</v>
      </c>
      <c r="N227" s="13">
        <f t="shared" si="72"/>
        <v>0</v>
      </c>
      <c r="O227">
        <f t="shared" si="72"/>
        <v>2</v>
      </c>
      <c r="P227">
        <f t="shared" si="72"/>
        <v>53</v>
      </c>
      <c r="Q227" s="14">
        <f t="shared" si="67"/>
        <v>173</v>
      </c>
      <c r="R227" s="13">
        <f t="shared" si="68"/>
        <v>0</v>
      </c>
      <c r="S227">
        <f t="shared" si="69"/>
        <v>2</v>
      </c>
      <c r="T227">
        <f t="shared" si="70"/>
        <v>53</v>
      </c>
      <c r="U227" s="14">
        <f t="shared" si="71"/>
        <v>173</v>
      </c>
      <c r="V227" s="15"/>
      <c r="Z227" s="14"/>
    </row>
    <row r="228" spans="1:26" hidden="1" x14ac:dyDescent="0.25">
      <c r="A228" s="16"/>
      <c r="B228" s="17" t="b">
        <f t="shared" si="56"/>
        <v>0</v>
      </c>
      <c r="C228" s="17" t="b">
        <f t="shared" si="66"/>
        <v>0</v>
      </c>
      <c r="D228" s="17">
        <f t="shared" si="63"/>
        <v>1</v>
      </c>
      <c r="E228" s="17" t="str">
        <f t="shared" si="64"/>
        <v>6. Conclusion</v>
      </c>
      <c r="F228" s="18" t="str">
        <f t="shared" si="55"/>
        <v/>
      </c>
      <c r="G228" s="13" t="str">
        <f t="shared" si="57"/>
        <v/>
      </c>
      <c r="H228">
        <f t="shared" si="58"/>
        <v>0</v>
      </c>
      <c r="I228" s="14">
        <f t="shared" si="65"/>
        <v>0</v>
      </c>
      <c r="J228" s="13">
        <f t="shared" si="59"/>
        <v>4529</v>
      </c>
      <c r="K228">
        <f t="shared" si="60"/>
        <v>1</v>
      </c>
      <c r="L228">
        <f t="shared" si="61"/>
        <v>15</v>
      </c>
      <c r="M228" s="14">
        <f t="shared" si="62"/>
        <v>29</v>
      </c>
      <c r="N228" s="13">
        <f t="shared" si="72"/>
        <v>0</v>
      </c>
      <c r="O228">
        <f t="shared" si="72"/>
        <v>2</v>
      </c>
      <c r="P228">
        <f t="shared" si="72"/>
        <v>53</v>
      </c>
      <c r="Q228" s="14">
        <f t="shared" si="67"/>
        <v>173</v>
      </c>
      <c r="R228" s="13">
        <f t="shared" si="68"/>
        <v>0</v>
      </c>
      <c r="S228">
        <f t="shared" si="69"/>
        <v>2</v>
      </c>
      <c r="T228">
        <f t="shared" si="70"/>
        <v>53</v>
      </c>
      <c r="U228" s="14">
        <f t="shared" si="71"/>
        <v>173</v>
      </c>
      <c r="V228" s="15"/>
      <c r="Z228" s="14"/>
    </row>
    <row r="229" spans="1:26" hidden="1" x14ac:dyDescent="0.25">
      <c r="A229" s="16"/>
      <c r="B229" s="17" t="b">
        <f t="shared" si="56"/>
        <v>0</v>
      </c>
      <c r="C229" s="17" t="b">
        <f t="shared" si="66"/>
        <v>0</v>
      </c>
      <c r="D229" s="17">
        <f t="shared" si="63"/>
        <v>1</v>
      </c>
      <c r="E229" s="17" t="str">
        <f t="shared" si="64"/>
        <v>6. Conclusion</v>
      </c>
      <c r="F229" s="18" t="str">
        <f t="shared" si="55"/>
        <v/>
      </c>
      <c r="G229" s="13" t="str">
        <f t="shared" si="57"/>
        <v/>
      </c>
      <c r="H229">
        <f t="shared" si="58"/>
        <v>0</v>
      </c>
      <c r="I229" s="14">
        <f t="shared" si="65"/>
        <v>0</v>
      </c>
      <c r="J229" s="13">
        <f t="shared" si="59"/>
        <v>4529</v>
      </c>
      <c r="K229">
        <f t="shared" si="60"/>
        <v>1</v>
      </c>
      <c r="L229">
        <f t="shared" si="61"/>
        <v>15</v>
      </c>
      <c r="M229" s="14">
        <f t="shared" si="62"/>
        <v>29</v>
      </c>
      <c r="N229" s="13">
        <f t="shared" si="72"/>
        <v>0</v>
      </c>
      <c r="O229">
        <f t="shared" si="72"/>
        <v>2</v>
      </c>
      <c r="P229">
        <f t="shared" si="72"/>
        <v>53</v>
      </c>
      <c r="Q229" s="14">
        <f t="shared" si="67"/>
        <v>173</v>
      </c>
      <c r="R229" s="13">
        <f t="shared" si="68"/>
        <v>0</v>
      </c>
      <c r="S229">
        <f t="shared" si="69"/>
        <v>2</v>
      </c>
      <c r="T229">
        <f t="shared" si="70"/>
        <v>53</v>
      </c>
      <c r="U229" s="14">
        <f t="shared" si="71"/>
        <v>173</v>
      </c>
      <c r="V229" s="15"/>
      <c r="Z229" s="14"/>
    </row>
    <row r="230" spans="1:26" hidden="1" x14ac:dyDescent="0.25">
      <c r="A230" s="16"/>
      <c r="B230" s="17" t="b">
        <f t="shared" si="56"/>
        <v>0</v>
      </c>
      <c r="C230" s="17" t="b">
        <f t="shared" si="66"/>
        <v>0</v>
      </c>
      <c r="D230" s="17">
        <f t="shared" si="63"/>
        <v>1</v>
      </c>
      <c r="E230" s="17" t="str">
        <f t="shared" si="64"/>
        <v>6. Conclusion</v>
      </c>
      <c r="F230" s="18" t="str">
        <f t="shared" si="55"/>
        <v/>
      </c>
      <c r="G230" s="13" t="str">
        <f t="shared" si="57"/>
        <v/>
      </c>
      <c r="H230">
        <f t="shared" si="58"/>
        <v>0</v>
      </c>
      <c r="I230" s="14">
        <f t="shared" si="65"/>
        <v>0</v>
      </c>
      <c r="J230" s="13">
        <f t="shared" si="59"/>
        <v>4529</v>
      </c>
      <c r="K230">
        <f t="shared" si="60"/>
        <v>1</v>
      </c>
      <c r="L230">
        <f t="shared" si="61"/>
        <v>15</v>
      </c>
      <c r="M230" s="14">
        <f t="shared" si="62"/>
        <v>29</v>
      </c>
      <c r="N230" s="13">
        <f t="shared" si="72"/>
        <v>0</v>
      </c>
      <c r="O230">
        <f t="shared" si="72"/>
        <v>2</v>
      </c>
      <c r="P230">
        <f t="shared" si="72"/>
        <v>53</v>
      </c>
      <c r="Q230" s="14">
        <f t="shared" si="67"/>
        <v>173</v>
      </c>
      <c r="R230" s="13">
        <f t="shared" si="68"/>
        <v>0</v>
      </c>
      <c r="S230">
        <f t="shared" si="69"/>
        <v>2</v>
      </c>
      <c r="T230">
        <f t="shared" si="70"/>
        <v>53</v>
      </c>
      <c r="U230" s="14">
        <f t="shared" si="71"/>
        <v>173</v>
      </c>
      <c r="V230" s="15"/>
      <c r="Z230" s="14"/>
    </row>
    <row r="231" spans="1:26" hidden="1" x14ac:dyDescent="0.25">
      <c r="A231" s="16"/>
      <c r="B231" s="17" t="b">
        <f t="shared" si="56"/>
        <v>0</v>
      </c>
      <c r="C231" s="17" t="b">
        <f t="shared" si="66"/>
        <v>0</v>
      </c>
      <c r="D231" s="17">
        <f t="shared" si="63"/>
        <v>1</v>
      </c>
      <c r="E231" s="17" t="str">
        <f t="shared" si="64"/>
        <v>6. Conclusion</v>
      </c>
      <c r="F231" s="18" t="str">
        <f t="shared" si="55"/>
        <v/>
      </c>
      <c r="G231" s="13" t="str">
        <f t="shared" si="57"/>
        <v/>
      </c>
      <c r="H231">
        <f t="shared" si="58"/>
        <v>0</v>
      </c>
      <c r="I231" s="14">
        <f t="shared" si="65"/>
        <v>0</v>
      </c>
      <c r="J231" s="13">
        <f t="shared" si="59"/>
        <v>4529</v>
      </c>
      <c r="K231">
        <f t="shared" si="60"/>
        <v>1</v>
      </c>
      <c r="L231">
        <f t="shared" si="61"/>
        <v>15</v>
      </c>
      <c r="M231" s="14">
        <f t="shared" si="62"/>
        <v>29</v>
      </c>
      <c r="N231" s="13">
        <f t="shared" si="72"/>
        <v>0</v>
      </c>
      <c r="O231">
        <f t="shared" si="72"/>
        <v>2</v>
      </c>
      <c r="P231">
        <f t="shared" si="72"/>
        <v>53</v>
      </c>
      <c r="Q231" s="14">
        <f t="shared" si="67"/>
        <v>173</v>
      </c>
      <c r="R231" s="13">
        <f t="shared" si="68"/>
        <v>0</v>
      </c>
      <c r="S231">
        <f t="shared" si="69"/>
        <v>2</v>
      </c>
      <c r="T231">
        <f t="shared" si="70"/>
        <v>53</v>
      </c>
      <c r="U231" s="14">
        <f t="shared" si="71"/>
        <v>173</v>
      </c>
      <c r="V231" s="15"/>
      <c r="Z231" s="14"/>
    </row>
    <row r="232" spans="1:26" hidden="1" x14ac:dyDescent="0.25">
      <c r="A232" s="16"/>
      <c r="B232" s="17" t="b">
        <f t="shared" si="56"/>
        <v>0</v>
      </c>
      <c r="C232" s="17" t="b">
        <f t="shared" si="66"/>
        <v>0</v>
      </c>
      <c r="D232" s="17">
        <f t="shared" si="63"/>
        <v>1</v>
      </c>
      <c r="E232" s="17" t="str">
        <f t="shared" si="64"/>
        <v>6. Conclusion</v>
      </c>
      <c r="F232" s="18" t="str">
        <f t="shared" si="55"/>
        <v/>
      </c>
      <c r="G232" s="13" t="str">
        <f t="shared" si="57"/>
        <v/>
      </c>
      <c r="H232">
        <f t="shared" si="58"/>
        <v>0</v>
      </c>
      <c r="I232" s="14">
        <f t="shared" si="65"/>
        <v>0</v>
      </c>
      <c r="J232" s="13">
        <f t="shared" si="59"/>
        <v>4529</v>
      </c>
      <c r="K232">
        <f t="shared" si="60"/>
        <v>1</v>
      </c>
      <c r="L232">
        <f t="shared" si="61"/>
        <v>15</v>
      </c>
      <c r="M232" s="14">
        <f t="shared" si="62"/>
        <v>29</v>
      </c>
      <c r="N232" s="13">
        <f t="shared" si="72"/>
        <v>0</v>
      </c>
      <c r="O232">
        <f t="shared" si="72"/>
        <v>2</v>
      </c>
      <c r="P232">
        <f t="shared" si="72"/>
        <v>53</v>
      </c>
      <c r="Q232" s="14">
        <f t="shared" si="67"/>
        <v>173</v>
      </c>
      <c r="R232" s="13">
        <f t="shared" si="68"/>
        <v>0</v>
      </c>
      <c r="S232">
        <f t="shared" si="69"/>
        <v>2</v>
      </c>
      <c r="T232">
        <f t="shared" si="70"/>
        <v>53</v>
      </c>
      <c r="U232" s="14">
        <f t="shared" si="71"/>
        <v>173</v>
      </c>
      <c r="V232" s="15"/>
      <c r="Z232" s="14"/>
    </row>
    <row r="233" spans="1:26" hidden="1" x14ac:dyDescent="0.25">
      <c r="A233" s="16"/>
      <c r="B233" s="17" t="b">
        <f t="shared" si="56"/>
        <v>0</v>
      </c>
      <c r="C233" s="17" t="b">
        <f t="shared" si="66"/>
        <v>0</v>
      </c>
      <c r="D233" s="17">
        <f t="shared" si="63"/>
        <v>1</v>
      </c>
      <c r="E233" s="17" t="str">
        <f t="shared" si="64"/>
        <v>6. Conclusion</v>
      </c>
      <c r="F233" s="18" t="str">
        <f t="shared" si="55"/>
        <v/>
      </c>
      <c r="G233" s="13" t="str">
        <f t="shared" si="57"/>
        <v/>
      </c>
      <c r="H233">
        <f t="shared" si="58"/>
        <v>0</v>
      </c>
      <c r="I233" s="14">
        <f t="shared" si="65"/>
        <v>0</v>
      </c>
      <c r="J233" s="13">
        <f t="shared" si="59"/>
        <v>4529</v>
      </c>
      <c r="K233">
        <f t="shared" si="60"/>
        <v>1</v>
      </c>
      <c r="L233">
        <f t="shared" si="61"/>
        <v>15</v>
      </c>
      <c r="M233" s="14">
        <f t="shared" si="62"/>
        <v>29</v>
      </c>
      <c r="N233" s="13">
        <f t="shared" si="72"/>
        <v>0</v>
      </c>
      <c r="O233">
        <f t="shared" si="72"/>
        <v>2</v>
      </c>
      <c r="P233">
        <f t="shared" si="72"/>
        <v>53</v>
      </c>
      <c r="Q233" s="14">
        <f t="shared" si="67"/>
        <v>173</v>
      </c>
      <c r="R233" s="13">
        <f t="shared" si="68"/>
        <v>0</v>
      </c>
      <c r="S233">
        <f t="shared" si="69"/>
        <v>2</v>
      </c>
      <c r="T233">
        <f t="shared" si="70"/>
        <v>53</v>
      </c>
      <c r="U233" s="14">
        <f t="shared" si="71"/>
        <v>173</v>
      </c>
      <c r="V233" s="15"/>
      <c r="Z233" s="14"/>
    </row>
    <row r="234" spans="1:26" hidden="1" x14ac:dyDescent="0.25">
      <c r="A234" s="16"/>
      <c r="B234" s="17" t="b">
        <f t="shared" si="56"/>
        <v>0</v>
      </c>
      <c r="C234" s="17" t="b">
        <f t="shared" si="66"/>
        <v>0</v>
      </c>
      <c r="D234" s="17">
        <f t="shared" si="63"/>
        <v>1</v>
      </c>
      <c r="E234" s="17" t="str">
        <f t="shared" si="64"/>
        <v>6. Conclusion</v>
      </c>
      <c r="F234" s="18" t="str">
        <f t="shared" si="55"/>
        <v/>
      </c>
      <c r="G234" s="13" t="str">
        <f t="shared" si="57"/>
        <v/>
      </c>
      <c r="H234">
        <f t="shared" si="58"/>
        <v>0</v>
      </c>
      <c r="I234" s="14">
        <f t="shared" si="65"/>
        <v>0</v>
      </c>
      <c r="J234" s="13">
        <f t="shared" si="59"/>
        <v>4529</v>
      </c>
      <c r="K234">
        <f t="shared" si="60"/>
        <v>1</v>
      </c>
      <c r="L234">
        <f t="shared" si="61"/>
        <v>15</v>
      </c>
      <c r="M234" s="14">
        <f t="shared" si="62"/>
        <v>29</v>
      </c>
      <c r="N234" s="13">
        <f t="shared" si="72"/>
        <v>0</v>
      </c>
      <c r="O234">
        <f t="shared" si="72"/>
        <v>2</v>
      </c>
      <c r="P234">
        <f t="shared" si="72"/>
        <v>53</v>
      </c>
      <c r="Q234" s="14">
        <f t="shared" si="67"/>
        <v>173</v>
      </c>
      <c r="R234" s="13">
        <f t="shared" si="68"/>
        <v>0</v>
      </c>
      <c r="S234">
        <f t="shared" si="69"/>
        <v>2</v>
      </c>
      <c r="T234">
        <f t="shared" si="70"/>
        <v>53</v>
      </c>
      <c r="U234" s="14">
        <f t="shared" si="71"/>
        <v>173</v>
      </c>
      <c r="V234" s="15"/>
      <c r="Z234" s="14"/>
    </row>
    <row r="235" spans="1:26" hidden="1" x14ac:dyDescent="0.25">
      <c r="A235" s="16"/>
      <c r="B235" s="17" t="b">
        <f t="shared" si="56"/>
        <v>0</v>
      </c>
      <c r="C235" s="17" t="b">
        <f t="shared" si="66"/>
        <v>0</v>
      </c>
      <c r="D235" s="17">
        <f t="shared" si="63"/>
        <v>1</v>
      </c>
      <c r="E235" s="17" t="str">
        <f t="shared" si="64"/>
        <v>6. Conclusion</v>
      </c>
      <c r="F235" s="18" t="str">
        <f t="shared" si="55"/>
        <v/>
      </c>
      <c r="G235" s="13" t="str">
        <f t="shared" si="57"/>
        <v/>
      </c>
      <c r="H235">
        <f t="shared" si="58"/>
        <v>0</v>
      </c>
      <c r="I235" s="14">
        <f t="shared" si="65"/>
        <v>0</v>
      </c>
      <c r="J235" s="13">
        <f t="shared" si="59"/>
        <v>4529</v>
      </c>
      <c r="K235">
        <f t="shared" si="60"/>
        <v>1</v>
      </c>
      <c r="L235">
        <f t="shared" si="61"/>
        <v>15</v>
      </c>
      <c r="M235" s="14">
        <f t="shared" si="62"/>
        <v>29</v>
      </c>
      <c r="N235" s="13">
        <f t="shared" si="72"/>
        <v>0</v>
      </c>
      <c r="O235">
        <f t="shared" si="72"/>
        <v>2</v>
      </c>
      <c r="P235">
        <f t="shared" si="72"/>
        <v>53</v>
      </c>
      <c r="Q235" s="14">
        <f t="shared" si="67"/>
        <v>173</v>
      </c>
      <c r="R235" s="13">
        <f t="shared" si="68"/>
        <v>0</v>
      </c>
      <c r="S235">
        <f t="shared" si="69"/>
        <v>2</v>
      </c>
      <c r="T235">
        <f t="shared" si="70"/>
        <v>53</v>
      </c>
      <c r="U235" s="14">
        <f t="shared" si="71"/>
        <v>173</v>
      </c>
      <c r="V235" s="15"/>
      <c r="Z235" s="14"/>
    </row>
    <row r="236" spans="1:26" hidden="1" x14ac:dyDescent="0.25">
      <c r="A236" s="16"/>
      <c r="B236" s="17" t="b">
        <f t="shared" si="56"/>
        <v>0</v>
      </c>
      <c r="C236" s="17" t="b">
        <f t="shared" si="66"/>
        <v>0</v>
      </c>
      <c r="D236" s="17">
        <f t="shared" si="63"/>
        <v>1</v>
      </c>
      <c r="E236" s="17" t="str">
        <f t="shared" si="64"/>
        <v>6. Conclusion</v>
      </c>
      <c r="F236" s="18" t="str">
        <f t="shared" si="55"/>
        <v/>
      </c>
      <c r="G236" s="13" t="str">
        <f t="shared" si="57"/>
        <v/>
      </c>
      <c r="H236">
        <f t="shared" si="58"/>
        <v>0</v>
      </c>
      <c r="I236" s="14">
        <f t="shared" si="65"/>
        <v>0</v>
      </c>
      <c r="J236" s="13">
        <f t="shared" si="59"/>
        <v>4529</v>
      </c>
      <c r="K236">
        <f t="shared" si="60"/>
        <v>1</v>
      </c>
      <c r="L236">
        <f t="shared" si="61"/>
        <v>15</v>
      </c>
      <c r="M236" s="14">
        <f t="shared" si="62"/>
        <v>29</v>
      </c>
      <c r="N236" s="13">
        <f t="shared" si="72"/>
        <v>0</v>
      </c>
      <c r="O236">
        <f t="shared" si="72"/>
        <v>2</v>
      </c>
      <c r="P236">
        <f t="shared" si="72"/>
        <v>53</v>
      </c>
      <c r="Q236" s="14">
        <f t="shared" si="67"/>
        <v>173</v>
      </c>
      <c r="R236" s="13">
        <f t="shared" si="68"/>
        <v>0</v>
      </c>
      <c r="S236">
        <f t="shared" si="69"/>
        <v>2</v>
      </c>
      <c r="T236">
        <f t="shared" si="70"/>
        <v>53</v>
      </c>
      <c r="U236" s="14">
        <f t="shared" si="71"/>
        <v>173</v>
      </c>
      <c r="V236" s="15"/>
      <c r="Z236" s="14"/>
    </row>
    <row r="237" spans="1:26" hidden="1" x14ac:dyDescent="0.25">
      <c r="A237" s="16"/>
      <c r="B237" s="17" t="b">
        <f t="shared" si="56"/>
        <v>0</v>
      </c>
      <c r="C237" s="17" t="b">
        <f t="shared" si="66"/>
        <v>0</v>
      </c>
      <c r="D237" s="17">
        <f t="shared" si="63"/>
        <v>1</v>
      </c>
      <c r="E237" s="17" t="str">
        <f t="shared" si="64"/>
        <v>6. Conclusion</v>
      </c>
      <c r="F237" s="18" t="str">
        <f t="shared" si="55"/>
        <v/>
      </c>
      <c r="G237" s="13" t="str">
        <f t="shared" si="57"/>
        <v/>
      </c>
      <c r="H237">
        <f t="shared" si="58"/>
        <v>0</v>
      </c>
      <c r="I237" s="14">
        <f t="shared" si="65"/>
        <v>0</v>
      </c>
      <c r="J237" s="13">
        <f t="shared" si="59"/>
        <v>4529</v>
      </c>
      <c r="K237">
        <f t="shared" si="60"/>
        <v>1</v>
      </c>
      <c r="L237">
        <f t="shared" si="61"/>
        <v>15</v>
      </c>
      <c r="M237" s="14">
        <f t="shared" si="62"/>
        <v>29</v>
      </c>
      <c r="N237" s="13">
        <f t="shared" si="72"/>
        <v>0</v>
      </c>
      <c r="O237">
        <f t="shared" si="72"/>
        <v>2</v>
      </c>
      <c r="P237">
        <f t="shared" si="72"/>
        <v>53</v>
      </c>
      <c r="Q237" s="14">
        <f t="shared" si="67"/>
        <v>173</v>
      </c>
      <c r="R237" s="13">
        <f t="shared" si="68"/>
        <v>0</v>
      </c>
      <c r="S237">
        <f t="shared" si="69"/>
        <v>2</v>
      </c>
      <c r="T237">
        <f t="shared" si="70"/>
        <v>53</v>
      </c>
      <c r="U237" s="14">
        <f t="shared" si="71"/>
        <v>173</v>
      </c>
      <c r="V237" s="15"/>
      <c r="Z237" s="14"/>
    </row>
    <row r="238" spans="1:26" hidden="1" x14ac:dyDescent="0.25">
      <c r="A238" s="16"/>
      <c r="B238" s="17" t="b">
        <f t="shared" si="56"/>
        <v>0</v>
      </c>
      <c r="C238" s="17" t="b">
        <f t="shared" si="66"/>
        <v>0</v>
      </c>
      <c r="D238" s="17">
        <f t="shared" si="63"/>
        <v>1</v>
      </c>
      <c r="E238" s="17" t="str">
        <f t="shared" si="64"/>
        <v>6. Conclusion</v>
      </c>
      <c r="F238" s="18" t="str">
        <f t="shared" si="55"/>
        <v/>
      </c>
      <c r="G238" s="13" t="str">
        <f t="shared" si="57"/>
        <v/>
      </c>
      <c r="H238">
        <f t="shared" si="58"/>
        <v>0</v>
      </c>
      <c r="I238" s="14">
        <f t="shared" si="65"/>
        <v>0</v>
      </c>
      <c r="J238" s="13">
        <f t="shared" si="59"/>
        <v>4529</v>
      </c>
      <c r="K238">
        <f t="shared" si="60"/>
        <v>1</v>
      </c>
      <c r="L238">
        <f t="shared" si="61"/>
        <v>15</v>
      </c>
      <c r="M238" s="14">
        <f t="shared" si="62"/>
        <v>29</v>
      </c>
      <c r="N238" s="13">
        <f t="shared" si="72"/>
        <v>0</v>
      </c>
      <c r="O238">
        <f t="shared" si="72"/>
        <v>2</v>
      </c>
      <c r="P238">
        <f t="shared" si="72"/>
        <v>53</v>
      </c>
      <c r="Q238" s="14">
        <f t="shared" si="67"/>
        <v>173</v>
      </c>
      <c r="R238" s="13">
        <f t="shared" si="68"/>
        <v>0</v>
      </c>
      <c r="S238">
        <f t="shared" si="69"/>
        <v>2</v>
      </c>
      <c r="T238">
        <f t="shared" si="70"/>
        <v>53</v>
      </c>
      <c r="U238" s="14">
        <f t="shared" si="71"/>
        <v>173</v>
      </c>
      <c r="V238" s="15"/>
      <c r="Z238" s="14"/>
    </row>
    <row r="239" spans="1:26" hidden="1" x14ac:dyDescent="0.25">
      <c r="A239" s="16"/>
      <c r="B239" s="17" t="b">
        <f t="shared" si="56"/>
        <v>0</v>
      </c>
      <c r="C239" s="17" t="b">
        <f t="shared" si="66"/>
        <v>0</v>
      </c>
      <c r="D239" s="17">
        <f t="shared" si="63"/>
        <v>1</v>
      </c>
      <c r="E239" s="17" t="str">
        <f t="shared" si="64"/>
        <v>6. Conclusion</v>
      </c>
      <c r="F239" s="18" t="str">
        <f t="shared" si="55"/>
        <v/>
      </c>
      <c r="G239" s="13" t="str">
        <f t="shared" si="57"/>
        <v/>
      </c>
      <c r="H239">
        <f t="shared" si="58"/>
        <v>0</v>
      </c>
      <c r="I239" s="14">
        <f t="shared" si="65"/>
        <v>0</v>
      </c>
      <c r="J239" s="13">
        <f t="shared" si="59"/>
        <v>4529</v>
      </c>
      <c r="K239">
        <f t="shared" si="60"/>
        <v>1</v>
      </c>
      <c r="L239">
        <f t="shared" si="61"/>
        <v>15</v>
      </c>
      <c r="M239" s="14">
        <f t="shared" si="62"/>
        <v>29</v>
      </c>
      <c r="N239" s="13">
        <f t="shared" si="72"/>
        <v>0</v>
      </c>
      <c r="O239">
        <f t="shared" si="72"/>
        <v>2</v>
      </c>
      <c r="P239">
        <f t="shared" si="72"/>
        <v>53</v>
      </c>
      <c r="Q239" s="14">
        <f t="shared" si="67"/>
        <v>173</v>
      </c>
      <c r="R239" s="13">
        <f t="shared" si="68"/>
        <v>0</v>
      </c>
      <c r="S239">
        <f t="shared" si="69"/>
        <v>2</v>
      </c>
      <c r="T239">
        <f t="shared" si="70"/>
        <v>53</v>
      </c>
      <c r="U239" s="14">
        <f t="shared" si="71"/>
        <v>173</v>
      </c>
      <c r="V239" s="15"/>
      <c r="Z239" s="14"/>
    </row>
    <row r="240" spans="1:26" hidden="1" x14ac:dyDescent="0.25">
      <c r="A240" s="16"/>
      <c r="B240" s="17" t="b">
        <f t="shared" si="56"/>
        <v>0</v>
      </c>
      <c r="C240" s="17" t="b">
        <f t="shared" si="66"/>
        <v>0</v>
      </c>
      <c r="D240" s="17">
        <f t="shared" si="63"/>
        <v>1</v>
      </c>
      <c r="E240" s="17" t="str">
        <f t="shared" si="64"/>
        <v>6. Conclusion</v>
      </c>
      <c r="F240" s="18" t="str">
        <f t="shared" si="55"/>
        <v/>
      </c>
      <c r="G240" s="13" t="str">
        <f t="shared" si="57"/>
        <v/>
      </c>
      <c r="H240">
        <f t="shared" si="58"/>
        <v>0</v>
      </c>
      <c r="I240" s="14">
        <f t="shared" si="65"/>
        <v>0</v>
      </c>
      <c r="J240" s="13">
        <f t="shared" si="59"/>
        <v>4529</v>
      </c>
      <c r="K240">
        <f t="shared" si="60"/>
        <v>1</v>
      </c>
      <c r="L240">
        <f t="shared" si="61"/>
        <v>15</v>
      </c>
      <c r="M240" s="14">
        <f t="shared" si="62"/>
        <v>29</v>
      </c>
      <c r="N240" s="13">
        <f t="shared" si="72"/>
        <v>0</v>
      </c>
      <c r="O240">
        <f t="shared" si="72"/>
        <v>2</v>
      </c>
      <c r="P240">
        <f t="shared" si="72"/>
        <v>53</v>
      </c>
      <c r="Q240" s="14">
        <f t="shared" si="67"/>
        <v>173</v>
      </c>
      <c r="R240" s="13">
        <f t="shared" si="68"/>
        <v>0</v>
      </c>
      <c r="S240">
        <f t="shared" si="69"/>
        <v>2</v>
      </c>
      <c r="T240">
        <f t="shared" si="70"/>
        <v>53</v>
      </c>
      <c r="U240" s="14">
        <f t="shared" si="71"/>
        <v>173</v>
      </c>
      <c r="V240" s="15"/>
      <c r="Z240" s="14"/>
    </row>
    <row r="241" spans="1:26" hidden="1" x14ac:dyDescent="0.25">
      <c r="A241" s="16"/>
      <c r="B241" s="17" t="b">
        <f t="shared" si="56"/>
        <v>0</v>
      </c>
      <c r="C241" s="17" t="b">
        <f t="shared" si="66"/>
        <v>0</v>
      </c>
      <c r="D241" s="17">
        <f t="shared" si="63"/>
        <v>1</v>
      </c>
      <c r="E241" s="17" t="str">
        <f t="shared" si="64"/>
        <v>6. Conclusion</v>
      </c>
      <c r="F241" s="18" t="str">
        <f t="shared" si="55"/>
        <v/>
      </c>
      <c r="G241" s="13" t="str">
        <f t="shared" si="57"/>
        <v/>
      </c>
      <c r="H241">
        <f t="shared" si="58"/>
        <v>0</v>
      </c>
      <c r="I241" s="14">
        <f t="shared" si="65"/>
        <v>0</v>
      </c>
      <c r="J241" s="13">
        <f t="shared" si="59"/>
        <v>4529</v>
      </c>
      <c r="K241">
        <f t="shared" si="60"/>
        <v>1</v>
      </c>
      <c r="L241">
        <f t="shared" si="61"/>
        <v>15</v>
      </c>
      <c r="M241" s="14">
        <f t="shared" si="62"/>
        <v>29</v>
      </c>
      <c r="N241" s="13">
        <f t="shared" si="72"/>
        <v>0</v>
      </c>
      <c r="O241">
        <f t="shared" si="72"/>
        <v>2</v>
      </c>
      <c r="P241">
        <f t="shared" si="72"/>
        <v>53</v>
      </c>
      <c r="Q241" s="14">
        <f t="shared" si="67"/>
        <v>173</v>
      </c>
      <c r="R241" s="13">
        <f t="shared" si="68"/>
        <v>0</v>
      </c>
      <c r="S241">
        <f t="shared" si="69"/>
        <v>2</v>
      </c>
      <c r="T241">
        <f t="shared" si="70"/>
        <v>53</v>
      </c>
      <c r="U241" s="14">
        <f t="shared" si="71"/>
        <v>173</v>
      </c>
      <c r="V241" s="15"/>
      <c r="Z241" s="14"/>
    </row>
    <row r="242" spans="1:26" hidden="1" x14ac:dyDescent="0.25">
      <c r="A242" s="16"/>
      <c r="B242" s="17" t="b">
        <f t="shared" si="56"/>
        <v>0</v>
      </c>
      <c r="C242" s="17" t="b">
        <f t="shared" si="66"/>
        <v>0</v>
      </c>
      <c r="D242" s="17">
        <f t="shared" si="63"/>
        <v>1</v>
      </c>
      <c r="E242" s="17" t="str">
        <f t="shared" si="64"/>
        <v>6. Conclusion</v>
      </c>
      <c r="F242" s="18" t="str">
        <f t="shared" si="55"/>
        <v/>
      </c>
      <c r="G242" s="13" t="str">
        <f t="shared" si="57"/>
        <v/>
      </c>
      <c r="H242">
        <f t="shared" si="58"/>
        <v>0</v>
      </c>
      <c r="I242" s="14">
        <f t="shared" si="65"/>
        <v>0</v>
      </c>
      <c r="J242" s="13">
        <f t="shared" si="59"/>
        <v>4529</v>
      </c>
      <c r="K242">
        <f t="shared" si="60"/>
        <v>1</v>
      </c>
      <c r="L242">
        <f t="shared" si="61"/>
        <v>15</v>
      </c>
      <c r="M242" s="14">
        <f t="shared" si="62"/>
        <v>29</v>
      </c>
      <c r="N242" s="13">
        <f t="shared" si="72"/>
        <v>0</v>
      </c>
      <c r="O242">
        <f t="shared" si="72"/>
        <v>2</v>
      </c>
      <c r="P242">
        <f t="shared" si="72"/>
        <v>53</v>
      </c>
      <c r="Q242" s="14">
        <f t="shared" si="67"/>
        <v>173</v>
      </c>
      <c r="R242" s="13">
        <f t="shared" si="68"/>
        <v>0</v>
      </c>
      <c r="S242">
        <f t="shared" si="69"/>
        <v>2</v>
      </c>
      <c r="T242">
        <f t="shared" si="70"/>
        <v>53</v>
      </c>
      <c r="U242" s="14">
        <f t="shared" si="71"/>
        <v>173</v>
      </c>
      <c r="V242" s="15"/>
      <c r="Z242" s="14"/>
    </row>
    <row r="243" spans="1:26" hidden="1" x14ac:dyDescent="0.25">
      <c r="A243" s="16"/>
      <c r="B243" s="17" t="b">
        <f t="shared" si="56"/>
        <v>0</v>
      </c>
      <c r="C243" s="17" t="b">
        <f t="shared" si="66"/>
        <v>0</v>
      </c>
      <c r="D243" s="17">
        <f t="shared" si="63"/>
        <v>1</v>
      </c>
      <c r="E243" s="17" t="str">
        <f t="shared" si="64"/>
        <v>6. Conclusion</v>
      </c>
      <c r="F243" s="18" t="str">
        <f t="shared" si="55"/>
        <v/>
      </c>
      <c r="G243" s="13" t="str">
        <f t="shared" si="57"/>
        <v/>
      </c>
      <c r="H243">
        <f t="shared" si="58"/>
        <v>0</v>
      </c>
      <c r="I243" s="14">
        <f t="shared" si="65"/>
        <v>0</v>
      </c>
      <c r="J243" s="13">
        <f t="shared" si="59"/>
        <v>4529</v>
      </c>
      <c r="K243">
        <f t="shared" si="60"/>
        <v>1</v>
      </c>
      <c r="L243">
        <f t="shared" si="61"/>
        <v>15</v>
      </c>
      <c r="M243" s="14">
        <f t="shared" si="62"/>
        <v>29</v>
      </c>
      <c r="N243" s="13">
        <f t="shared" si="72"/>
        <v>0</v>
      </c>
      <c r="O243">
        <f t="shared" si="72"/>
        <v>2</v>
      </c>
      <c r="P243">
        <f t="shared" si="72"/>
        <v>53</v>
      </c>
      <c r="Q243" s="14">
        <f t="shared" si="67"/>
        <v>173</v>
      </c>
      <c r="R243" s="13">
        <f t="shared" si="68"/>
        <v>0</v>
      </c>
      <c r="S243">
        <f t="shared" si="69"/>
        <v>2</v>
      </c>
      <c r="T243">
        <f t="shared" si="70"/>
        <v>53</v>
      </c>
      <c r="U243" s="14">
        <f t="shared" si="71"/>
        <v>173</v>
      </c>
      <c r="V243" s="15"/>
      <c r="Z243" s="14"/>
    </row>
    <row r="244" spans="1:26" hidden="1" x14ac:dyDescent="0.25">
      <c r="A244" s="16"/>
      <c r="B244" s="17" t="b">
        <f t="shared" si="56"/>
        <v>0</v>
      </c>
      <c r="C244" s="17" t="b">
        <f t="shared" si="66"/>
        <v>0</v>
      </c>
      <c r="D244" s="17">
        <f t="shared" si="63"/>
        <v>1</v>
      </c>
      <c r="E244" s="17" t="str">
        <f t="shared" si="64"/>
        <v>6. Conclusion</v>
      </c>
      <c r="F244" s="18" t="str">
        <f t="shared" si="55"/>
        <v/>
      </c>
      <c r="G244" s="13" t="str">
        <f t="shared" si="57"/>
        <v/>
      </c>
      <c r="H244">
        <f t="shared" si="58"/>
        <v>0</v>
      </c>
      <c r="I244" s="14">
        <f t="shared" si="65"/>
        <v>0</v>
      </c>
      <c r="J244" s="13">
        <f t="shared" si="59"/>
        <v>4529</v>
      </c>
      <c r="K244">
        <f t="shared" si="60"/>
        <v>1</v>
      </c>
      <c r="L244">
        <f t="shared" si="61"/>
        <v>15</v>
      </c>
      <c r="M244" s="14">
        <f t="shared" si="62"/>
        <v>29</v>
      </c>
      <c r="N244" s="13">
        <f t="shared" si="72"/>
        <v>0</v>
      </c>
      <c r="O244">
        <f t="shared" si="72"/>
        <v>2</v>
      </c>
      <c r="P244">
        <f t="shared" si="72"/>
        <v>53</v>
      </c>
      <c r="Q244" s="14">
        <f t="shared" si="67"/>
        <v>173</v>
      </c>
      <c r="R244" s="13">
        <f t="shared" si="68"/>
        <v>0</v>
      </c>
      <c r="S244">
        <f t="shared" si="69"/>
        <v>2</v>
      </c>
      <c r="T244">
        <f t="shared" si="70"/>
        <v>53</v>
      </c>
      <c r="U244" s="14">
        <f t="shared" si="71"/>
        <v>173</v>
      </c>
      <c r="V244" s="15"/>
      <c r="Z244" s="14"/>
    </row>
    <row r="245" spans="1:26" hidden="1" x14ac:dyDescent="0.25">
      <c r="A245" s="16"/>
      <c r="B245" s="17" t="b">
        <f t="shared" si="56"/>
        <v>0</v>
      </c>
      <c r="C245" s="17" t="b">
        <f t="shared" si="66"/>
        <v>0</v>
      </c>
      <c r="D245" s="17">
        <f t="shared" si="63"/>
        <v>1</v>
      </c>
      <c r="E245" s="17" t="str">
        <f t="shared" si="64"/>
        <v>6. Conclusion</v>
      </c>
      <c r="F245" s="18" t="str">
        <f t="shared" ref="F245:F308" si="73">IF(C245,D245&amp;". "&amp;A245,IF(A245="Chapter Quiz",A245,""))</f>
        <v/>
      </c>
      <c r="G245" s="13" t="str">
        <f t="shared" si="57"/>
        <v/>
      </c>
      <c r="H245">
        <f t="shared" si="58"/>
        <v>0</v>
      </c>
      <c r="I245" s="14">
        <f t="shared" si="65"/>
        <v>0</v>
      </c>
      <c r="J245" s="13">
        <f t="shared" si="59"/>
        <v>4529</v>
      </c>
      <c r="K245">
        <f t="shared" si="60"/>
        <v>1</v>
      </c>
      <c r="L245">
        <f t="shared" si="61"/>
        <v>15</v>
      </c>
      <c r="M245" s="14">
        <f t="shared" si="62"/>
        <v>29</v>
      </c>
      <c r="N245" s="13">
        <f t="shared" si="72"/>
        <v>0</v>
      </c>
      <c r="O245">
        <f t="shared" si="72"/>
        <v>2</v>
      </c>
      <c r="P245">
        <f t="shared" si="72"/>
        <v>53</v>
      </c>
      <c r="Q245" s="14">
        <f t="shared" si="67"/>
        <v>173</v>
      </c>
      <c r="R245" s="13">
        <f t="shared" si="68"/>
        <v>0</v>
      </c>
      <c r="S245">
        <f t="shared" si="69"/>
        <v>2</v>
      </c>
      <c r="T245">
        <f t="shared" si="70"/>
        <v>53</v>
      </c>
      <c r="U245" s="14">
        <f t="shared" si="71"/>
        <v>173</v>
      </c>
      <c r="V245" s="15"/>
      <c r="Z245" s="14"/>
    </row>
    <row r="246" spans="1:26" hidden="1" x14ac:dyDescent="0.25">
      <c r="A246" s="16"/>
      <c r="B246" s="17" t="b">
        <f t="shared" si="56"/>
        <v>0</v>
      </c>
      <c r="C246" s="17" t="b">
        <f t="shared" si="66"/>
        <v>0</v>
      </c>
      <c r="D246" s="17">
        <f t="shared" si="63"/>
        <v>1</v>
      </c>
      <c r="E246" s="17" t="str">
        <f t="shared" si="64"/>
        <v>6. Conclusion</v>
      </c>
      <c r="F246" s="18" t="str">
        <f t="shared" si="73"/>
        <v/>
      </c>
      <c r="G246" s="13" t="str">
        <f t="shared" si="57"/>
        <v/>
      </c>
      <c r="H246">
        <f t="shared" si="58"/>
        <v>0</v>
      </c>
      <c r="I246" s="14">
        <f t="shared" si="65"/>
        <v>0</v>
      </c>
      <c r="J246" s="13">
        <f t="shared" si="59"/>
        <v>4529</v>
      </c>
      <c r="K246">
        <f t="shared" si="60"/>
        <v>1</v>
      </c>
      <c r="L246">
        <f t="shared" si="61"/>
        <v>15</v>
      </c>
      <c r="M246" s="14">
        <f t="shared" si="62"/>
        <v>29</v>
      </c>
      <c r="N246" s="13">
        <f t="shared" si="72"/>
        <v>0</v>
      </c>
      <c r="O246">
        <f t="shared" si="72"/>
        <v>2</v>
      </c>
      <c r="P246">
        <f t="shared" si="72"/>
        <v>53</v>
      </c>
      <c r="Q246" s="14">
        <f t="shared" si="67"/>
        <v>173</v>
      </c>
      <c r="R246" s="13">
        <f t="shared" si="68"/>
        <v>0</v>
      </c>
      <c r="S246">
        <f t="shared" si="69"/>
        <v>2</v>
      </c>
      <c r="T246">
        <f t="shared" si="70"/>
        <v>53</v>
      </c>
      <c r="U246" s="14">
        <f t="shared" si="71"/>
        <v>173</v>
      </c>
      <c r="V246" s="15"/>
      <c r="Z246" s="14"/>
    </row>
    <row r="247" spans="1:26" hidden="1" x14ac:dyDescent="0.25">
      <c r="A247" s="16"/>
      <c r="B247" s="17" t="b">
        <f t="shared" si="56"/>
        <v>0</v>
      </c>
      <c r="C247" s="17" t="b">
        <f t="shared" si="66"/>
        <v>0</v>
      </c>
      <c r="D247" s="17">
        <f t="shared" si="63"/>
        <v>1</v>
      </c>
      <c r="E247" s="17" t="str">
        <f t="shared" si="64"/>
        <v>6. Conclusion</v>
      </c>
      <c r="F247" s="18" t="str">
        <f t="shared" si="73"/>
        <v/>
      </c>
      <c r="G247" s="13" t="str">
        <f t="shared" si="57"/>
        <v/>
      </c>
      <c r="H247">
        <f t="shared" si="58"/>
        <v>0</v>
      </c>
      <c r="I247" s="14">
        <f t="shared" si="65"/>
        <v>0</v>
      </c>
      <c r="J247" s="13">
        <f t="shared" si="59"/>
        <v>4529</v>
      </c>
      <c r="K247">
        <f t="shared" si="60"/>
        <v>1</v>
      </c>
      <c r="L247">
        <f t="shared" si="61"/>
        <v>15</v>
      </c>
      <c r="M247" s="14">
        <f t="shared" si="62"/>
        <v>29</v>
      </c>
      <c r="N247" s="13">
        <f t="shared" si="72"/>
        <v>0</v>
      </c>
      <c r="O247">
        <f t="shared" si="72"/>
        <v>2</v>
      </c>
      <c r="P247">
        <f t="shared" si="72"/>
        <v>53</v>
      </c>
      <c r="Q247" s="14">
        <f t="shared" si="67"/>
        <v>173</v>
      </c>
      <c r="R247" s="13">
        <f t="shared" si="68"/>
        <v>0</v>
      </c>
      <c r="S247">
        <f t="shared" si="69"/>
        <v>2</v>
      </c>
      <c r="T247">
        <f t="shared" si="70"/>
        <v>53</v>
      </c>
      <c r="U247" s="14">
        <f t="shared" si="71"/>
        <v>173</v>
      </c>
      <c r="V247" s="15"/>
      <c r="Z247" s="14"/>
    </row>
    <row r="248" spans="1:26" hidden="1" x14ac:dyDescent="0.25">
      <c r="A248" s="16"/>
      <c r="B248" s="17" t="b">
        <f t="shared" si="56"/>
        <v>0</v>
      </c>
      <c r="C248" s="17" t="b">
        <f t="shared" si="66"/>
        <v>0</v>
      </c>
      <c r="D248" s="17">
        <f t="shared" si="63"/>
        <v>1</v>
      </c>
      <c r="E248" s="17" t="str">
        <f t="shared" si="64"/>
        <v>6. Conclusion</v>
      </c>
      <c r="F248" s="18" t="str">
        <f t="shared" si="73"/>
        <v/>
      </c>
      <c r="G248" s="13" t="str">
        <f t="shared" si="57"/>
        <v/>
      </c>
      <c r="H248">
        <f t="shared" si="58"/>
        <v>0</v>
      </c>
      <c r="I248" s="14">
        <f t="shared" si="65"/>
        <v>0</v>
      </c>
      <c r="J248" s="13">
        <f t="shared" si="59"/>
        <v>4529</v>
      </c>
      <c r="K248">
        <f t="shared" si="60"/>
        <v>1</v>
      </c>
      <c r="L248">
        <f t="shared" si="61"/>
        <v>15</v>
      </c>
      <c r="M248" s="14">
        <f t="shared" si="62"/>
        <v>29</v>
      </c>
      <c r="N248" s="13">
        <f t="shared" si="72"/>
        <v>0</v>
      </c>
      <c r="O248">
        <f t="shared" si="72"/>
        <v>2</v>
      </c>
      <c r="P248">
        <f t="shared" si="72"/>
        <v>53</v>
      </c>
      <c r="Q248" s="14">
        <f t="shared" si="67"/>
        <v>173</v>
      </c>
      <c r="R248" s="13">
        <f t="shared" si="68"/>
        <v>0</v>
      </c>
      <c r="S248">
        <f t="shared" si="69"/>
        <v>2</v>
      </c>
      <c r="T248">
        <f t="shared" si="70"/>
        <v>53</v>
      </c>
      <c r="U248" s="14">
        <f t="shared" si="71"/>
        <v>173</v>
      </c>
      <c r="V248" s="15"/>
      <c r="Z248" s="14"/>
    </row>
    <row r="249" spans="1:26" hidden="1" x14ac:dyDescent="0.25">
      <c r="A249" s="16"/>
      <c r="B249" s="17" t="b">
        <f t="shared" si="56"/>
        <v>0</v>
      </c>
      <c r="C249" s="17" t="b">
        <f t="shared" si="66"/>
        <v>0</v>
      </c>
      <c r="D249" s="17">
        <f t="shared" si="63"/>
        <v>1</v>
      </c>
      <c r="E249" s="17" t="str">
        <f t="shared" si="64"/>
        <v>6. Conclusion</v>
      </c>
      <c r="F249" s="18" t="str">
        <f t="shared" si="73"/>
        <v/>
      </c>
      <c r="G249" s="13" t="str">
        <f t="shared" si="57"/>
        <v/>
      </c>
      <c r="H249">
        <f t="shared" si="58"/>
        <v>0</v>
      </c>
      <c r="I249" s="14">
        <f t="shared" si="65"/>
        <v>0</v>
      </c>
      <c r="J249" s="13">
        <f t="shared" si="59"/>
        <v>4529</v>
      </c>
      <c r="K249">
        <f t="shared" si="60"/>
        <v>1</v>
      </c>
      <c r="L249">
        <f t="shared" si="61"/>
        <v>15</v>
      </c>
      <c r="M249" s="14">
        <f t="shared" si="62"/>
        <v>29</v>
      </c>
      <c r="N249" s="13">
        <f t="shared" si="72"/>
        <v>0</v>
      </c>
      <c r="O249">
        <f t="shared" si="72"/>
        <v>2</v>
      </c>
      <c r="P249">
        <f t="shared" si="72"/>
        <v>53</v>
      </c>
      <c r="Q249" s="14">
        <f t="shared" si="67"/>
        <v>173</v>
      </c>
      <c r="R249" s="13">
        <f t="shared" si="68"/>
        <v>0</v>
      </c>
      <c r="S249">
        <f t="shared" si="69"/>
        <v>2</v>
      </c>
      <c r="T249">
        <f t="shared" si="70"/>
        <v>53</v>
      </c>
      <c r="U249" s="14">
        <f t="shared" si="71"/>
        <v>173</v>
      </c>
      <c r="V249" s="15"/>
      <c r="Z249" s="14"/>
    </row>
    <row r="250" spans="1:26" hidden="1" x14ac:dyDescent="0.25">
      <c r="A250" s="16"/>
      <c r="B250" s="17" t="b">
        <f t="shared" si="56"/>
        <v>0</v>
      </c>
      <c r="C250" s="17" t="b">
        <f t="shared" si="66"/>
        <v>0</v>
      </c>
      <c r="D250" s="17">
        <f t="shared" si="63"/>
        <v>1</v>
      </c>
      <c r="E250" s="17" t="str">
        <f t="shared" si="64"/>
        <v>6. Conclusion</v>
      </c>
      <c r="F250" s="18" t="str">
        <f t="shared" si="73"/>
        <v/>
      </c>
      <c r="G250" s="13" t="str">
        <f t="shared" si="57"/>
        <v/>
      </c>
      <c r="H250">
        <f t="shared" si="58"/>
        <v>0</v>
      </c>
      <c r="I250" s="14">
        <f t="shared" si="65"/>
        <v>0</v>
      </c>
      <c r="J250" s="13">
        <f t="shared" si="59"/>
        <v>4529</v>
      </c>
      <c r="K250">
        <f t="shared" si="60"/>
        <v>1</v>
      </c>
      <c r="L250">
        <f t="shared" si="61"/>
        <v>15</v>
      </c>
      <c r="M250" s="14">
        <f t="shared" si="62"/>
        <v>29</v>
      </c>
      <c r="N250" s="13">
        <f t="shared" si="72"/>
        <v>0</v>
      </c>
      <c r="O250">
        <f t="shared" si="72"/>
        <v>2</v>
      </c>
      <c r="P250">
        <f t="shared" si="72"/>
        <v>53</v>
      </c>
      <c r="Q250" s="14">
        <f t="shared" si="67"/>
        <v>173</v>
      </c>
      <c r="R250" s="13">
        <f t="shared" si="68"/>
        <v>0</v>
      </c>
      <c r="S250">
        <f t="shared" si="69"/>
        <v>2</v>
      </c>
      <c r="T250">
        <f t="shared" si="70"/>
        <v>53</v>
      </c>
      <c r="U250" s="14">
        <f t="shared" si="71"/>
        <v>173</v>
      </c>
      <c r="V250" s="15"/>
      <c r="Z250" s="14"/>
    </row>
    <row r="251" spans="1:26" hidden="1" x14ac:dyDescent="0.25">
      <c r="A251" s="16"/>
      <c r="B251" s="17" t="b">
        <f t="shared" si="56"/>
        <v>0</v>
      </c>
      <c r="C251" s="17" t="b">
        <f t="shared" si="66"/>
        <v>0</v>
      </c>
      <c r="D251" s="17">
        <f t="shared" si="63"/>
        <v>1</v>
      </c>
      <c r="E251" s="17" t="str">
        <f t="shared" si="64"/>
        <v>6. Conclusion</v>
      </c>
      <c r="F251" s="18" t="str">
        <f t="shared" si="73"/>
        <v/>
      </c>
      <c r="G251" s="13" t="str">
        <f t="shared" si="57"/>
        <v/>
      </c>
      <c r="H251">
        <f t="shared" si="58"/>
        <v>0</v>
      </c>
      <c r="I251" s="14">
        <f t="shared" si="65"/>
        <v>0</v>
      </c>
      <c r="J251" s="13">
        <f t="shared" si="59"/>
        <v>4529</v>
      </c>
      <c r="K251">
        <f t="shared" si="60"/>
        <v>1</v>
      </c>
      <c r="L251">
        <f t="shared" si="61"/>
        <v>15</v>
      </c>
      <c r="M251" s="14">
        <f t="shared" si="62"/>
        <v>29</v>
      </c>
      <c r="N251" s="13">
        <f t="shared" si="72"/>
        <v>0</v>
      </c>
      <c r="O251">
        <f t="shared" si="72"/>
        <v>2</v>
      </c>
      <c r="P251">
        <f t="shared" si="72"/>
        <v>53</v>
      </c>
      <c r="Q251" s="14">
        <f t="shared" si="67"/>
        <v>173</v>
      </c>
      <c r="R251" s="13">
        <f t="shared" si="68"/>
        <v>0</v>
      </c>
      <c r="S251">
        <f t="shared" si="69"/>
        <v>2</v>
      </c>
      <c r="T251">
        <f t="shared" si="70"/>
        <v>53</v>
      </c>
      <c r="U251" s="14">
        <f t="shared" si="71"/>
        <v>173</v>
      </c>
      <c r="V251" s="15"/>
      <c r="Z251" s="14"/>
    </row>
    <row r="252" spans="1:26" hidden="1" x14ac:dyDescent="0.25">
      <c r="A252" s="16"/>
      <c r="B252" s="17" t="b">
        <f t="shared" si="56"/>
        <v>0</v>
      </c>
      <c r="C252" s="17" t="b">
        <f t="shared" si="66"/>
        <v>0</v>
      </c>
      <c r="D252" s="17">
        <f t="shared" si="63"/>
        <v>1</v>
      </c>
      <c r="E252" s="17" t="str">
        <f t="shared" si="64"/>
        <v>6. Conclusion</v>
      </c>
      <c r="F252" s="18" t="str">
        <f t="shared" si="73"/>
        <v/>
      </c>
      <c r="G252" s="13" t="str">
        <f t="shared" si="57"/>
        <v/>
      </c>
      <c r="H252">
        <f t="shared" si="58"/>
        <v>0</v>
      </c>
      <c r="I252" s="14">
        <f t="shared" si="65"/>
        <v>0</v>
      </c>
      <c r="J252" s="13">
        <f t="shared" si="59"/>
        <v>4529</v>
      </c>
      <c r="K252">
        <f t="shared" si="60"/>
        <v>1</v>
      </c>
      <c r="L252">
        <f t="shared" si="61"/>
        <v>15</v>
      </c>
      <c r="M252" s="14">
        <f t="shared" si="62"/>
        <v>29</v>
      </c>
      <c r="N252" s="13">
        <f t="shared" si="72"/>
        <v>0</v>
      </c>
      <c r="O252">
        <f t="shared" si="72"/>
        <v>2</v>
      </c>
      <c r="P252">
        <f t="shared" si="72"/>
        <v>53</v>
      </c>
      <c r="Q252" s="14">
        <f t="shared" si="67"/>
        <v>173</v>
      </c>
      <c r="R252" s="13">
        <f t="shared" si="68"/>
        <v>0</v>
      </c>
      <c r="S252">
        <f t="shared" si="69"/>
        <v>2</v>
      </c>
      <c r="T252">
        <f t="shared" si="70"/>
        <v>53</v>
      </c>
      <c r="U252" s="14">
        <f t="shared" si="71"/>
        <v>173</v>
      </c>
      <c r="V252" s="15"/>
      <c r="Z252" s="14"/>
    </row>
    <row r="253" spans="1:26" hidden="1" x14ac:dyDescent="0.25">
      <c r="A253" s="16"/>
      <c r="B253" s="17" t="b">
        <f t="shared" si="56"/>
        <v>0</v>
      </c>
      <c r="C253" s="17" t="b">
        <f t="shared" si="66"/>
        <v>0</v>
      </c>
      <c r="D253" s="17">
        <f t="shared" si="63"/>
        <v>1</v>
      </c>
      <c r="E253" s="17" t="str">
        <f t="shared" si="64"/>
        <v>6. Conclusion</v>
      </c>
      <c r="F253" s="18" t="str">
        <f t="shared" si="73"/>
        <v/>
      </c>
      <c r="G253" s="13" t="str">
        <f t="shared" si="57"/>
        <v/>
      </c>
      <c r="H253">
        <f t="shared" si="58"/>
        <v>0</v>
      </c>
      <c r="I253" s="14">
        <f t="shared" si="65"/>
        <v>0</v>
      </c>
      <c r="J253" s="13">
        <f t="shared" si="59"/>
        <v>4529</v>
      </c>
      <c r="K253">
        <f t="shared" si="60"/>
        <v>1</v>
      </c>
      <c r="L253">
        <f t="shared" si="61"/>
        <v>15</v>
      </c>
      <c r="M253" s="14">
        <f t="shared" si="62"/>
        <v>29</v>
      </c>
      <c r="N253" s="13">
        <f t="shared" si="72"/>
        <v>0</v>
      </c>
      <c r="O253">
        <f t="shared" si="72"/>
        <v>2</v>
      </c>
      <c r="P253">
        <f t="shared" si="72"/>
        <v>53</v>
      </c>
      <c r="Q253" s="14">
        <f t="shared" si="67"/>
        <v>173</v>
      </c>
      <c r="R253" s="13">
        <f t="shared" si="68"/>
        <v>0</v>
      </c>
      <c r="S253">
        <f t="shared" si="69"/>
        <v>2</v>
      </c>
      <c r="T253">
        <f t="shared" si="70"/>
        <v>53</v>
      </c>
      <c r="U253" s="14">
        <f t="shared" si="71"/>
        <v>173</v>
      </c>
      <c r="V253" s="15"/>
      <c r="Z253" s="14"/>
    </row>
    <row r="254" spans="1:26" hidden="1" x14ac:dyDescent="0.25">
      <c r="A254" s="16"/>
      <c r="B254" s="17" t="b">
        <f t="shared" si="56"/>
        <v>0</v>
      </c>
      <c r="C254" s="17" t="b">
        <f t="shared" si="66"/>
        <v>0</v>
      </c>
      <c r="D254" s="17">
        <f t="shared" si="63"/>
        <v>1</v>
      </c>
      <c r="E254" s="17" t="str">
        <f t="shared" si="64"/>
        <v>6. Conclusion</v>
      </c>
      <c r="F254" s="18" t="str">
        <f t="shared" si="73"/>
        <v/>
      </c>
      <c r="G254" s="13" t="str">
        <f t="shared" si="57"/>
        <v/>
      </c>
      <c r="H254">
        <f t="shared" si="58"/>
        <v>0</v>
      </c>
      <c r="I254" s="14">
        <f t="shared" si="65"/>
        <v>0</v>
      </c>
      <c r="J254" s="13">
        <f t="shared" si="59"/>
        <v>4529</v>
      </c>
      <c r="K254">
        <f t="shared" si="60"/>
        <v>1</v>
      </c>
      <c r="L254">
        <f t="shared" si="61"/>
        <v>15</v>
      </c>
      <c r="M254" s="14">
        <f t="shared" si="62"/>
        <v>29</v>
      </c>
      <c r="N254" s="13">
        <f t="shared" si="72"/>
        <v>0</v>
      </c>
      <c r="O254">
        <f t="shared" si="72"/>
        <v>2</v>
      </c>
      <c r="P254">
        <f t="shared" si="72"/>
        <v>53</v>
      </c>
      <c r="Q254" s="14">
        <f t="shared" si="67"/>
        <v>173</v>
      </c>
      <c r="R254" s="13">
        <f t="shared" si="68"/>
        <v>0</v>
      </c>
      <c r="S254">
        <f t="shared" si="69"/>
        <v>2</v>
      </c>
      <c r="T254">
        <f t="shared" si="70"/>
        <v>53</v>
      </c>
      <c r="U254" s="14">
        <f t="shared" si="71"/>
        <v>173</v>
      </c>
      <c r="V254" s="15"/>
      <c r="Z254" s="14"/>
    </row>
    <row r="255" spans="1:26" hidden="1" x14ac:dyDescent="0.25">
      <c r="A255" s="16"/>
      <c r="B255" s="17" t="b">
        <f t="shared" si="56"/>
        <v>0</v>
      </c>
      <c r="C255" s="17" t="b">
        <f t="shared" si="66"/>
        <v>0</v>
      </c>
      <c r="D255" s="17">
        <f t="shared" si="63"/>
        <v>1</v>
      </c>
      <c r="E255" s="17" t="str">
        <f t="shared" si="64"/>
        <v>6. Conclusion</v>
      </c>
      <c r="F255" s="18" t="str">
        <f t="shared" si="73"/>
        <v/>
      </c>
      <c r="G255" s="13" t="str">
        <f t="shared" si="57"/>
        <v/>
      </c>
      <c r="H255">
        <f t="shared" si="58"/>
        <v>0</v>
      </c>
      <c r="I255" s="14">
        <f t="shared" si="65"/>
        <v>0</v>
      </c>
      <c r="J255" s="13">
        <f t="shared" si="59"/>
        <v>4529</v>
      </c>
      <c r="K255">
        <f t="shared" si="60"/>
        <v>1</v>
      </c>
      <c r="L255">
        <f t="shared" si="61"/>
        <v>15</v>
      </c>
      <c r="M255" s="14">
        <f t="shared" si="62"/>
        <v>29</v>
      </c>
      <c r="N255" s="13">
        <f t="shared" si="72"/>
        <v>0</v>
      </c>
      <c r="O255">
        <f t="shared" si="72"/>
        <v>2</v>
      </c>
      <c r="P255">
        <f t="shared" si="72"/>
        <v>53</v>
      </c>
      <c r="Q255" s="14">
        <f t="shared" si="67"/>
        <v>173</v>
      </c>
      <c r="R255" s="13">
        <f t="shared" si="68"/>
        <v>0</v>
      </c>
      <c r="S255">
        <f t="shared" si="69"/>
        <v>2</v>
      </c>
      <c r="T255">
        <f t="shared" si="70"/>
        <v>53</v>
      </c>
      <c r="U255" s="14">
        <f t="shared" si="71"/>
        <v>173</v>
      </c>
      <c r="V255" s="15"/>
      <c r="Z255" s="14"/>
    </row>
    <row r="256" spans="1:26" hidden="1" x14ac:dyDescent="0.25">
      <c r="A256" s="16"/>
      <c r="B256" s="17" t="b">
        <f t="shared" si="56"/>
        <v>0</v>
      </c>
      <c r="C256" s="17" t="b">
        <f t="shared" si="66"/>
        <v>0</v>
      </c>
      <c r="D256" s="17">
        <f t="shared" si="63"/>
        <v>1</v>
      </c>
      <c r="E256" s="17" t="str">
        <f t="shared" si="64"/>
        <v>6. Conclusion</v>
      </c>
      <c r="F256" s="18" t="str">
        <f t="shared" si="73"/>
        <v/>
      </c>
      <c r="G256" s="13" t="str">
        <f t="shared" si="57"/>
        <v/>
      </c>
      <c r="H256">
        <f t="shared" si="58"/>
        <v>0</v>
      </c>
      <c r="I256" s="14">
        <f t="shared" si="65"/>
        <v>0</v>
      </c>
      <c r="J256" s="13">
        <f t="shared" si="59"/>
        <v>4529</v>
      </c>
      <c r="K256">
        <f t="shared" si="60"/>
        <v>1</v>
      </c>
      <c r="L256">
        <f t="shared" si="61"/>
        <v>15</v>
      </c>
      <c r="M256" s="14">
        <f t="shared" si="62"/>
        <v>29</v>
      </c>
      <c r="N256" s="13">
        <f t="shared" si="72"/>
        <v>0</v>
      </c>
      <c r="O256">
        <f t="shared" si="72"/>
        <v>2</v>
      </c>
      <c r="P256">
        <f t="shared" si="72"/>
        <v>53</v>
      </c>
      <c r="Q256" s="14">
        <f t="shared" si="67"/>
        <v>173</v>
      </c>
      <c r="R256" s="13">
        <f t="shared" si="68"/>
        <v>0</v>
      </c>
      <c r="S256">
        <f t="shared" si="69"/>
        <v>2</v>
      </c>
      <c r="T256">
        <f t="shared" si="70"/>
        <v>53</v>
      </c>
      <c r="U256" s="14">
        <f t="shared" si="71"/>
        <v>173</v>
      </c>
      <c r="V256" s="15"/>
      <c r="Z256" s="14"/>
    </row>
    <row r="257" spans="1:26" hidden="1" x14ac:dyDescent="0.25">
      <c r="A257" s="16"/>
      <c r="B257" s="17" t="b">
        <f t="shared" si="56"/>
        <v>0</v>
      </c>
      <c r="C257" s="17" t="b">
        <f t="shared" si="66"/>
        <v>0</v>
      </c>
      <c r="D257" s="17">
        <f t="shared" si="63"/>
        <v>1</v>
      </c>
      <c r="E257" s="17" t="str">
        <f t="shared" si="64"/>
        <v>6. Conclusion</v>
      </c>
      <c r="F257" s="18" t="str">
        <f t="shared" si="73"/>
        <v/>
      </c>
      <c r="G257" s="13" t="str">
        <f t="shared" si="57"/>
        <v/>
      </c>
      <c r="H257">
        <f t="shared" si="58"/>
        <v>0</v>
      </c>
      <c r="I257" s="14">
        <f t="shared" si="65"/>
        <v>0</v>
      </c>
      <c r="J257" s="13">
        <f t="shared" si="59"/>
        <v>4529</v>
      </c>
      <c r="K257">
        <f t="shared" si="60"/>
        <v>1</v>
      </c>
      <c r="L257">
        <f t="shared" si="61"/>
        <v>15</v>
      </c>
      <c r="M257" s="14">
        <f t="shared" si="62"/>
        <v>29</v>
      </c>
      <c r="N257" s="13">
        <f t="shared" si="72"/>
        <v>0</v>
      </c>
      <c r="O257">
        <f t="shared" si="72"/>
        <v>2</v>
      </c>
      <c r="P257">
        <f t="shared" si="72"/>
        <v>53</v>
      </c>
      <c r="Q257" s="14">
        <f t="shared" si="67"/>
        <v>173</v>
      </c>
      <c r="R257" s="13">
        <f t="shared" si="68"/>
        <v>0</v>
      </c>
      <c r="S257">
        <f t="shared" si="69"/>
        <v>2</v>
      </c>
      <c r="T257">
        <f t="shared" si="70"/>
        <v>53</v>
      </c>
      <c r="U257" s="14">
        <f t="shared" si="71"/>
        <v>173</v>
      </c>
      <c r="V257" s="15"/>
      <c r="Z257" s="14"/>
    </row>
    <row r="258" spans="1:26" hidden="1" x14ac:dyDescent="0.25">
      <c r="A258" s="16"/>
      <c r="B258" s="17" t="b">
        <f t="shared" si="56"/>
        <v>0</v>
      </c>
      <c r="C258" s="17" t="b">
        <f t="shared" si="66"/>
        <v>0</v>
      </c>
      <c r="D258" s="17">
        <f t="shared" si="63"/>
        <v>1</v>
      </c>
      <c r="E258" s="17" t="str">
        <f t="shared" si="64"/>
        <v>6. Conclusion</v>
      </c>
      <c r="F258" s="18" t="str">
        <f t="shared" si="73"/>
        <v/>
      </c>
      <c r="G258" s="13" t="str">
        <f t="shared" si="57"/>
        <v/>
      </c>
      <c r="H258">
        <f t="shared" si="58"/>
        <v>0</v>
      </c>
      <c r="I258" s="14">
        <f t="shared" si="65"/>
        <v>0</v>
      </c>
      <c r="J258" s="13">
        <f t="shared" si="59"/>
        <v>4529</v>
      </c>
      <c r="K258">
        <f t="shared" si="60"/>
        <v>1</v>
      </c>
      <c r="L258">
        <f t="shared" si="61"/>
        <v>15</v>
      </c>
      <c r="M258" s="14">
        <f t="shared" si="62"/>
        <v>29</v>
      </c>
      <c r="N258" s="13">
        <f t="shared" si="72"/>
        <v>0</v>
      </c>
      <c r="O258">
        <f t="shared" si="72"/>
        <v>2</v>
      </c>
      <c r="P258">
        <f t="shared" si="72"/>
        <v>53</v>
      </c>
      <c r="Q258" s="14">
        <f t="shared" si="67"/>
        <v>173</v>
      </c>
      <c r="R258" s="13">
        <f t="shared" si="68"/>
        <v>0</v>
      </c>
      <c r="S258">
        <f t="shared" si="69"/>
        <v>2</v>
      </c>
      <c r="T258">
        <f t="shared" si="70"/>
        <v>53</v>
      </c>
      <c r="U258" s="14">
        <f t="shared" si="71"/>
        <v>173</v>
      </c>
      <c r="V258" s="15"/>
      <c r="Z258" s="14"/>
    </row>
    <row r="259" spans="1:26" hidden="1" x14ac:dyDescent="0.25">
      <c r="A259" s="16"/>
      <c r="B259" s="17" t="b">
        <f t="shared" si="56"/>
        <v>0</v>
      </c>
      <c r="C259" s="17" t="b">
        <f t="shared" si="66"/>
        <v>0</v>
      </c>
      <c r="D259" s="17">
        <f t="shared" si="63"/>
        <v>1</v>
      </c>
      <c r="E259" s="17" t="str">
        <f t="shared" si="64"/>
        <v>6. Conclusion</v>
      </c>
      <c r="F259" s="18" t="str">
        <f t="shared" si="73"/>
        <v/>
      </c>
      <c r="G259" s="13" t="str">
        <f t="shared" si="57"/>
        <v/>
      </c>
      <c r="H259">
        <f t="shared" si="58"/>
        <v>0</v>
      </c>
      <c r="I259" s="14">
        <f t="shared" si="65"/>
        <v>0</v>
      </c>
      <c r="J259" s="13">
        <f t="shared" si="59"/>
        <v>4529</v>
      </c>
      <c r="K259">
        <f t="shared" si="60"/>
        <v>1</v>
      </c>
      <c r="L259">
        <f t="shared" si="61"/>
        <v>15</v>
      </c>
      <c r="M259" s="14">
        <f t="shared" si="62"/>
        <v>29</v>
      </c>
      <c r="N259" s="13">
        <f t="shared" si="72"/>
        <v>0</v>
      </c>
      <c r="O259">
        <f t="shared" si="72"/>
        <v>2</v>
      </c>
      <c r="P259">
        <f t="shared" si="72"/>
        <v>53</v>
      </c>
      <c r="Q259" s="14">
        <f t="shared" si="67"/>
        <v>173</v>
      </c>
      <c r="R259" s="13">
        <f t="shared" si="68"/>
        <v>0</v>
      </c>
      <c r="S259">
        <f t="shared" si="69"/>
        <v>2</v>
      </c>
      <c r="T259">
        <f t="shared" si="70"/>
        <v>53</v>
      </c>
      <c r="U259" s="14">
        <f t="shared" si="71"/>
        <v>173</v>
      </c>
      <c r="V259" s="15"/>
      <c r="Z259" s="14"/>
    </row>
    <row r="260" spans="1:26" hidden="1" x14ac:dyDescent="0.25">
      <c r="A260" s="16"/>
      <c r="B260" s="17" t="b">
        <f t="shared" si="56"/>
        <v>0</v>
      </c>
      <c r="C260" s="17" t="b">
        <f t="shared" si="66"/>
        <v>0</v>
      </c>
      <c r="D260" s="17">
        <f t="shared" si="63"/>
        <v>1</v>
      </c>
      <c r="E260" s="17" t="str">
        <f t="shared" si="64"/>
        <v>6. Conclusion</v>
      </c>
      <c r="F260" s="18" t="str">
        <f t="shared" si="73"/>
        <v/>
      </c>
      <c r="G260" s="13" t="str">
        <f t="shared" si="57"/>
        <v/>
      </c>
      <c r="H260">
        <f t="shared" si="58"/>
        <v>0</v>
      </c>
      <c r="I260" s="14">
        <f t="shared" si="65"/>
        <v>0</v>
      </c>
      <c r="J260" s="13">
        <f t="shared" si="59"/>
        <v>4529</v>
      </c>
      <c r="K260">
        <f t="shared" si="60"/>
        <v>1</v>
      </c>
      <c r="L260">
        <f t="shared" si="61"/>
        <v>15</v>
      </c>
      <c r="M260" s="14">
        <f t="shared" si="62"/>
        <v>29</v>
      </c>
      <c r="N260" s="13">
        <f t="shared" si="72"/>
        <v>0</v>
      </c>
      <c r="O260">
        <f t="shared" si="72"/>
        <v>2</v>
      </c>
      <c r="P260">
        <f t="shared" si="72"/>
        <v>53</v>
      </c>
      <c r="Q260" s="14">
        <f t="shared" si="67"/>
        <v>173</v>
      </c>
      <c r="R260" s="13">
        <f t="shared" si="68"/>
        <v>0</v>
      </c>
      <c r="S260">
        <f t="shared" si="69"/>
        <v>2</v>
      </c>
      <c r="T260">
        <f t="shared" si="70"/>
        <v>53</v>
      </c>
      <c r="U260" s="14">
        <f t="shared" si="71"/>
        <v>173</v>
      </c>
      <c r="V260" s="15"/>
      <c r="Z260" s="14"/>
    </row>
    <row r="261" spans="1:26" hidden="1" x14ac:dyDescent="0.25">
      <c r="A261" s="16"/>
      <c r="B261" s="17" t="b">
        <f t="shared" si="56"/>
        <v>0</v>
      </c>
      <c r="C261" s="17" t="b">
        <f t="shared" si="66"/>
        <v>0</v>
      </c>
      <c r="D261" s="17">
        <f t="shared" si="63"/>
        <v>1</v>
      </c>
      <c r="E261" s="17" t="str">
        <f t="shared" si="64"/>
        <v>6. Conclusion</v>
      </c>
      <c r="F261" s="18" t="str">
        <f t="shared" si="73"/>
        <v/>
      </c>
      <c r="G261" s="13" t="str">
        <f t="shared" si="57"/>
        <v/>
      </c>
      <c r="H261">
        <f t="shared" si="58"/>
        <v>0</v>
      </c>
      <c r="I261" s="14">
        <f t="shared" si="65"/>
        <v>0</v>
      </c>
      <c r="J261" s="13">
        <f t="shared" si="59"/>
        <v>4529</v>
      </c>
      <c r="K261">
        <f t="shared" si="60"/>
        <v>1</v>
      </c>
      <c r="L261">
        <f t="shared" si="61"/>
        <v>15</v>
      </c>
      <c r="M261" s="14">
        <f t="shared" si="62"/>
        <v>29</v>
      </c>
      <c r="N261" s="13">
        <f t="shared" si="72"/>
        <v>0</v>
      </c>
      <c r="O261">
        <f t="shared" si="72"/>
        <v>2</v>
      </c>
      <c r="P261">
        <f t="shared" si="72"/>
        <v>53</v>
      </c>
      <c r="Q261" s="14">
        <f t="shared" si="67"/>
        <v>173</v>
      </c>
      <c r="R261" s="13">
        <f t="shared" si="68"/>
        <v>0</v>
      </c>
      <c r="S261">
        <f t="shared" si="69"/>
        <v>2</v>
      </c>
      <c r="T261">
        <f t="shared" si="70"/>
        <v>53</v>
      </c>
      <c r="U261" s="14">
        <f t="shared" si="71"/>
        <v>173</v>
      </c>
      <c r="V261" s="15"/>
      <c r="Z261" s="14"/>
    </row>
    <row r="262" spans="1:26" hidden="1" x14ac:dyDescent="0.25">
      <c r="A262" s="16"/>
      <c r="B262" s="17" t="b">
        <f t="shared" si="56"/>
        <v>0</v>
      </c>
      <c r="C262" s="17" t="b">
        <f t="shared" si="66"/>
        <v>0</v>
      </c>
      <c r="D262" s="17">
        <f t="shared" si="63"/>
        <v>1</v>
      </c>
      <c r="E262" s="17" t="str">
        <f t="shared" si="64"/>
        <v>6. Conclusion</v>
      </c>
      <c r="F262" s="18" t="str">
        <f t="shared" si="73"/>
        <v/>
      </c>
      <c r="G262" s="13" t="str">
        <f t="shared" si="57"/>
        <v/>
      </c>
      <c r="H262">
        <f t="shared" si="58"/>
        <v>0</v>
      </c>
      <c r="I262" s="14">
        <f t="shared" si="65"/>
        <v>0</v>
      </c>
      <c r="J262" s="13">
        <f t="shared" si="59"/>
        <v>4529</v>
      </c>
      <c r="K262">
        <f t="shared" si="60"/>
        <v>1</v>
      </c>
      <c r="L262">
        <f t="shared" si="61"/>
        <v>15</v>
      </c>
      <c r="M262" s="14">
        <f t="shared" si="62"/>
        <v>29</v>
      </c>
      <c r="N262" s="13">
        <f t="shared" si="72"/>
        <v>0</v>
      </c>
      <c r="O262">
        <f t="shared" si="72"/>
        <v>2</v>
      </c>
      <c r="P262">
        <f t="shared" si="72"/>
        <v>53</v>
      </c>
      <c r="Q262" s="14">
        <f t="shared" si="67"/>
        <v>173</v>
      </c>
      <c r="R262" s="13">
        <f t="shared" si="68"/>
        <v>0</v>
      </c>
      <c r="S262">
        <f t="shared" si="69"/>
        <v>2</v>
      </c>
      <c r="T262">
        <f t="shared" si="70"/>
        <v>53</v>
      </c>
      <c r="U262" s="14">
        <f t="shared" si="71"/>
        <v>173</v>
      </c>
      <c r="V262" s="15"/>
      <c r="Z262" s="14"/>
    </row>
    <row r="263" spans="1:26" hidden="1" x14ac:dyDescent="0.25">
      <c r="A263" s="16"/>
      <c r="B263" s="17" t="b">
        <f t="shared" si="56"/>
        <v>0</v>
      </c>
      <c r="C263" s="17" t="b">
        <f t="shared" si="66"/>
        <v>0</v>
      </c>
      <c r="D263" s="17">
        <f t="shared" si="63"/>
        <v>1</v>
      </c>
      <c r="E263" s="17" t="str">
        <f t="shared" si="64"/>
        <v>6. Conclusion</v>
      </c>
      <c r="F263" s="18" t="str">
        <f t="shared" si="73"/>
        <v/>
      </c>
      <c r="G263" s="13" t="str">
        <f t="shared" si="57"/>
        <v/>
      </c>
      <c r="H263">
        <f t="shared" si="58"/>
        <v>0</v>
      </c>
      <c r="I263" s="14">
        <f t="shared" si="65"/>
        <v>0</v>
      </c>
      <c r="J263" s="13">
        <f t="shared" si="59"/>
        <v>4529</v>
      </c>
      <c r="K263">
        <f t="shared" si="60"/>
        <v>1</v>
      </c>
      <c r="L263">
        <f t="shared" si="61"/>
        <v>15</v>
      </c>
      <c r="M263" s="14">
        <f t="shared" si="62"/>
        <v>29</v>
      </c>
      <c r="N263" s="13">
        <f t="shared" si="72"/>
        <v>0</v>
      </c>
      <c r="O263">
        <f t="shared" si="72"/>
        <v>2</v>
      </c>
      <c r="P263">
        <f t="shared" si="72"/>
        <v>53</v>
      </c>
      <c r="Q263" s="14">
        <f t="shared" si="67"/>
        <v>173</v>
      </c>
      <c r="R263" s="13">
        <f t="shared" si="68"/>
        <v>0</v>
      </c>
      <c r="S263">
        <f t="shared" si="69"/>
        <v>2</v>
      </c>
      <c r="T263">
        <f t="shared" si="70"/>
        <v>53</v>
      </c>
      <c r="U263" s="14">
        <f t="shared" si="71"/>
        <v>173</v>
      </c>
      <c r="V263" s="15"/>
      <c r="Z263" s="14"/>
    </row>
    <row r="264" spans="1:26" hidden="1" x14ac:dyDescent="0.25">
      <c r="A264" s="16"/>
      <c r="B264" s="17" t="b">
        <f t="shared" si="56"/>
        <v>0</v>
      </c>
      <c r="C264" s="17" t="b">
        <f t="shared" si="66"/>
        <v>0</v>
      </c>
      <c r="D264" s="17">
        <f t="shared" si="63"/>
        <v>1</v>
      </c>
      <c r="E264" s="17" t="str">
        <f t="shared" si="64"/>
        <v>6. Conclusion</v>
      </c>
      <c r="F264" s="18" t="str">
        <f t="shared" si="73"/>
        <v/>
      </c>
      <c r="G264" s="13" t="str">
        <f t="shared" si="57"/>
        <v/>
      </c>
      <c r="H264">
        <f t="shared" si="58"/>
        <v>0</v>
      </c>
      <c r="I264" s="14">
        <f t="shared" si="65"/>
        <v>0</v>
      </c>
      <c r="J264" s="13">
        <f t="shared" si="59"/>
        <v>4529</v>
      </c>
      <c r="K264">
        <f t="shared" si="60"/>
        <v>1</v>
      </c>
      <c r="L264">
        <f t="shared" si="61"/>
        <v>15</v>
      </c>
      <c r="M264" s="14">
        <f t="shared" si="62"/>
        <v>29</v>
      </c>
      <c r="N264" s="13">
        <f t="shared" si="72"/>
        <v>0</v>
      </c>
      <c r="O264">
        <f t="shared" si="72"/>
        <v>2</v>
      </c>
      <c r="P264">
        <f t="shared" si="72"/>
        <v>53</v>
      </c>
      <c r="Q264" s="14">
        <f t="shared" si="67"/>
        <v>173</v>
      </c>
      <c r="R264" s="13">
        <f t="shared" si="68"/>
        <v>0</v>
      </c>
      <c r="S264">
        <f t="shared" si="69"/>
        <v>2</v>
      </c>
      <c r="T264">
        <f t="shared" si="70"/>
        <v>53</v>
      </c>
      <c r="U264" s="14">
        <f t="shared" si="71"/>
        <v>173</v>
      </c>
      <c r="V264" s="15"/>
      <c r="Z264" s="14"/>
    </row>
    <row r="265" spans="1:26" hidden="1" x14ac:dyDescent="0.25">
      <c r="A265" s="16"/>
      <c r="B265" s="17" t="b">
        <f t="shared" si="56"/>
        <v>0</v>
      </c>
      <c r="C265" s="17" t="b">
        <f t="shared" si="66"/>
        <v>0</v>
      </c>
      <c r="D265" s="17">
        <f t="shared" si="63"/>
        <v>1</v>
      </c>
      <c r="E265" s="17" t="str">
        <f t="shared" si="64"/>
        <v>6. Conclusion</v>
      </c>
      <c r="F265" s="18" t="str">
        <f t="shared" si="73"/>
        <v/>
      </c>
      <c r="G265" s="13" t="str">
        <f t="shared" si="57"/>
        <v/>
      </c>
      <c r="H265">
        <f t="shared" si="58"/>
        <v>0</v>
      </c>
      <c r="I265" s="14">
        <f t="shared" si="65"/>
        <v>0</v>
      </c>
      <c r="J265" s="13">
        <f t="shared" si="59"/>
        <v>4529</v>
      </c>
      <c r="K265">
        <f t="shared" si="60"/>
        <v>1</v>
      </c>
      <c r="L265">
        <f t="shared" si="61"/>
        <v>15</v>
      </c>
      <c r="M265" s="14">
        <f t="shared" si="62"/>
        <v>29</v>
      </c>
      <c r="N265" s="13">
        <f t="shared" si="72"/>
        <v>0</v>
      </c>
      <c r="O265">
        <f t="shared" si="72"/>
        <v>2</v>
      </c>
      <c r="P265">
        <f t="shared" si="72"/>
        <v>53</v>
      </c>
      <c r="Q265" s="14">
        <f t="shared" si="67"/>
        <v>173</v>
      </c>
      <c r="R265" s="13">
        <f t="shared" si="68"/>
        <v>0</v>
      </c>
      <c r="S265">
        <f t="shared" si="69"/>
        <v>2</v>
      </c>
      <c r="T265">
        <f t="shared" si="70"/>
        <v>53</v>
      </c>
      <c r="U265" s="14">
        <f t="shared" si="71"/>
        <v>173</v>
      </c>
      <c r="V265" s="15"/>
      <c r="Z265" s="14"/>
    </row>
    <row r="266" spans="1:26" hidden="1" x14ac:dyDescent="0.25">
      <c r="A266" s="16"/>
      <c r="B266" s="17" t="b">
        <f t="shared" si="56"/>
        <v>0</v>
      </c>
      <c r="C266" s="17" t="b">
        <f t="shared" si="66"/>
        <v>0</v>
      </c>
      <c r="D266" s="17">
        <f t="shared" si="63"/>
        <v>1</v>
      </c>
      <c r="E266" s="17" t="str">
        <f t="shared" si="64"/>
        <v>6. Conclusion</v>
      </c>
      <c r="F266" s="18" t="str">
        <f t="shared" si="73"/>
        <v/>
      </c>
      <c r="G266" s="13" t="str">
        <f t="shared" si="57"/>
        <v/>
      </c>
      <c r="H266">
        <f t="shared" si="58"/>
        <v>0</v>
      </c>
      <c r="I266" s="14">
        <f t="shared" si="65"/>
        <v>0</v>
      </c>
      <c r="J266" s="13">
        <f t="shared" si="59"/>
        <v>4529</v>
      </c>
      <c r="K266">
        <f t="shared" si="60"/>
        <v>1</v>
      </c>
      <c r="L266">
        <f t="shared" si="61"/>
        <v>15</v>
      </c>
      <c r="M266" s="14">
        <f t="shared" si="62"/>
        <v>29</v>
      </c>
      <c r="N266" s="13">
        <f t="shared" si="72"/>
        <v>0</v>
      </c>
      <c r="O266">
        <f t="shared" si="72"/>
        <v>2</v>
      </c>
      <c r="P266">
        <f t="shared" si="72"/>
        <v>53</v>
      </c>
      <c r="Q266" s="14">
        <f t="shared" si="67"/>
        <v>173</v>
      </c>
      <c r="R266" s="13">
        <f t="shared" si="68"/>
        <v>0</v>
      </c>
      <c r="S266">
        <f t="shared" si="69"/>
        <v>2</v>
      </c>
      <c r="T266">
        <f t="shared" si="70"/>
        <v>53</v>
      </c>
      <c r="U266" s="14">
        <f t="shared" si="71"/>
        <v>173</v>
      </c>
      <c r="V266" s="15"/>
      <c r="Z266" s="14"/>
    </row>
    <row r="267" spans="1:26" hidden="1" x14ac:dyDescent="0.25">
      <c r="A267" s="16"/>
      <c r="B267" s="17" t="b">
        <f t="shared" ref="B267:B330" si="74">AND(NOT(ISERROR(FIND(". ",A267))),ISNUMBER(VALUE(LEFT(A267,FIND(". ",A267)-1))))</f>
        <v>0</v>
      </c>
      <c r="C267" s="17" t="b">
        <f t="shared" si="66"/>
        <v>0</v>
      </c>
      <c r="D267" s="17">
        <f t="shared" si="63"/>
        <v>1</v>
      </c>
      <c r="E267" s="17" t="str">
        <f t="shared" si="64"/>
        <v>6. Conclusion</v>
      </c>
      <c r="F267" s="18" t="str">
        <f t="shared" si="73"/>
        <v/>
      </c>
      <c r="G267" s="13" t="str">
        <f t="shared" ref="G267:G330" si="75">IF(C267,IF(ISERROR(FIND("s",A268)),LEFT(A268,FIND("m",A268)),LEFT(A268,FIND("s",A268))),"")</f>
        <v/>
      </c>
      <c r="H267">
        <f t="shared" ref="H267:H330" si="76">IF(OR(G267="",ISERROR(FIND("m",G267))),0,VALUE(LEFT(G267,FIND("m",G267)-1)))</f>
        <v>0</v>
      </c>
      <c r="I267" s="14">
        <f t="shared" si="65"/>
        <v>0</v>
      </c>
      <c r="J267" s="13">
        <f t="shared" ref="J267:J330" si="77">J266+(H267*60+I267)</f>
        <v>4529</v>
      </c>
      <c r="K267">
        <f t="shared" ref="K267:K330" si="78">INT(J267/60/60)</f>
        <v>1</v>
      </c>
      <c r="L267">
        <f t="shared" ref="L267:L330" si="79">INT((J267-(K267*60*60))/60)</f>
        <v>15</v>
      </c>
      <c r="M267" s="14">
        <f t="shared" ref="M267:M330" si="80">J267-(((K267*60)+L267)*60)</f>
        <v>29</v>
      </c>
      <c r="N267" s="13">
        <f t="shared" si="72"/>
        <v>0</v>
      </c>
      <c r="O267">
        <f t="shared" si="72"/>
        <v>2</v>
      </c>
      <c r="P267">
        <f t="shared" si="72"/>
        <v>53</v>
      </c>
      <c r="Q267" s="14">
        <f t="shared" si="67"/>
        <v>173</v>
      </c>
      <c r="R267" s="13">
        <f t="shared" si="68"/>
        <v>0</v>
      </c>
      <c r="S267">
        <f t="shared" si="69"/>
        <v>2</v>
      </c>
      <c r="T267">
        <f t="shared" si="70"/>
        <v>53</v>
      </c>
      <c r="U267" s="14">
        <f t="shared" si="71"/>
        <v>173</v>
      </c>
      <c r="V267" s="15"/>
      <c r="Z267" s="14"/>
    </row>
    <row r="268" spans="1:26" hidden="1" x14ac:dyDescent="0.25">
      <c r="A268" s="16"/>
      <c r="B268" s="17" t="b">
        <f t="shared" si="74"/>
        <v>0</v>
      </c>
      <c r="C268" s="17" t="b">
        <f t="shared" si="66"/>
        <v>0</v>
      </c>
      <c r="D268" s="17">
        <f t="shared" ref="D268:D331" si="81">IF(B268,0,IF(C268,D267+1,D267))</f>
        <v>1</v>
      </c>
      <c r="E268" s="17" t="str">
        <f t="shared" ref="E268:E331" si="82">IF(B268,A268,E267)</f>
        <v>6. Conclusion</v>
      </c>
      <c r="F268" s="18" t="str">
        <f t="shared" si="73"/>
        <v/>
      </c>
      <c r="G268" s="13" t="str">
        <f t="shared" si="75"/>
        <v/>
      </c>
      <c r="H268">
        <f t="shared" si="76"/>
        <v>0</v>
      </c>
      <c r="I268" s="14">
        <f t="shared" ref="I268:I331" si="83">IF(OR(G268="",ISERROR(FIND("s",G268))),0,VALUE(SUBSTITUTE(MID(G268,IF(ISERROR(FIND("m",G268)), 0,FIND("m",G268))+1,LEN(G268)),"s","")))</f>
        <v>0</v>
      </c>
      <c r="J268" s="13">
        <f t="shared" si="77"/>
        <v>4529</v>
      </c>
      <c r="K268">
        <f t="shared" si="78"/>
        <v>1</v>
      </c>
      <c r="L268">
        <f t="shared" si="79"/>
        <v>15</v>
      </c>
      <c r="M268" s="14">
        <f t="shared" si="80"/>
        <v>29</v>
      </c>
      <c r="N268" s="13">
        <f t="shared" si="72"/>
        <v>0</v>
      </c>
      <c r="O268">
        <f t="shared" si="72"/>
        <v>2</v>
      </c>
      <c r="P268">
        <f t="shared" si="72"/>
        <v>53</v>
      </c>
      <c r="Q268" s="14">
        <f t="shared" si="67"/>
        <v>173</v>
      </c>
      <c r="R268" s="13">
        <f t="shared" si="68"/>
        <v>0</v>
      </c>
      <c r="S268">
        <f t="shared" si="69"/>
        <v>2</v>
      </c>
      <c r="T268">
        <f t="shared" si="70"/>
        <v>53</v>
      </c>
      <c r="U268" s="14">
        <f t="shared" si="71"/>
        <v>173</v>
      </c>
      <c r="V268" s="15"/>
      <c r="Z268" s="14"/>
    </row>
    <row r="269" spans="1:26" hidden="1" x14ac:dyDescent="0.25">
      <c r="A269" s="16"/>
      <c r="B269" s="17" t="b">
        <f t="shared" si="74"/>
        <v>0</v>
      </c>
      <c r="C269" s="17" t="b">
        <f t="shared" si="66"/>
        <v>0</v>
      </c>
      <c r="D269" s="17">
        <f t="shared" si="81"/>
        <v>1</v>
      </c>
      <c r="E269" s="17" t="str">
        <f t="shared" si="82"/>
        <v>6. Conclusion</v>
      </c>
      <c r="F269" s="18" t="str">
        <f t="shared" si="73"/>
        <v/>
      </c>
      <c r="G269" s="13" t="str">
        <f t="shared" si="75"/>
        <v/>
      </c>
      <c r="H269">
        <f t="shared" si="76"/>
        <v>0</v>
      </c>
      <c r="I269" s="14">
        <f t="shared" si="83"/>
        <v>0</v>
      </c>
      <c r="J269" s="13">
        <f t="shared" si="77"/>
        <v>4529</v>
      </c>
      <c r="K269">
        <f t="shared" si="78"/>
        <v>1</v>
      </c>
      <c r="L269">
        <f t="shared" si="79"/>
        <v>15</v>
      </c>
      <c r="M269" s="14">
        <f t="shared" si="80"/>
        <v>29</v>
      </c>
      <c r="N269" s="13">
        <f t="shared" si="72"/>
        <v>0</v>
      </c>
      <c r="O269">
        <f t="shared" si="72"/>
        <v>2</v>
      </c>
      <c r="P269">
        <f t="shared" si="72"/>
        <v>53</v>
      </c>
      <c r="Q269" s="14">
        <f t="shared" si="67"/>
        <v>173</v>
      </c>
      <c r="R269" s="13">
        <f t="shared" si="68"/>
        <v>0</v>
      </c>
      <c r="S269">
        <f t="shared" si="69"/>
        <v>2</v>
      </c>
      <c r="T269">
        <f t="shared" si="70"/>
        <v>53</v>
      </c>
      <c r="U269" s="14">
        <f t="shared" si="71"/>
        <v>173</v>
      </c>
      <c r="V269" s="15"/>
      <c r="Z269" s="14"/>
    </row>
    <row r="270" spans="1:26" hidden="1" x14ac:dyDescent="0.25">
      <c r="A270" s="16"/>
      <c r="B270" s="17" t="b">
        <f t="shared" si="74"/>
        <v>0</v>
      </c>
      <c r="C270" s="17" t="b">
        <f t="shared" ref="C270:C333" si="84">OR(AND(NOT(ISERROR(FIND("m",A271))),ISNUMBER(VALUE(LEFT(A271,FIND("m",A271)-1)))),AND(NOT(ISERROR(FIND("s",A271))),ISNUMBER(VALUE(LEFT(A271,FIND("s",A271)-1)))))</f>
        <v>0</v>
      </c>
      <c r="D270" s="17">
        <f t="shared" si="81"/>
        <v>1</v>
      </c>
      <c r="E270" s="17" t="str">
        <f t="shared" si="82"/>
        <v>6. Conclusion</v>
      </c>
      <c r="F270" s="18" t="str">
        <f t="shared" si="73"/>
        <v/>
      </c>
      <c r="G270" s="13" t="str">
        <f t="shared" si="75"/>
        <v/>
      </c>
      <c r="H270">
        <f t="shared" si="76"/>
        <v>0</v>
      </c>
      <c r="I270" s="14">
        <f t="shared" si="83"/>
        <v>0</v>
      </c>
      <c r="J270" s="13">
        <f t="shared" si="77"/>
        <v>4529</v>
      </c>
      <c r="K270">
        <f t="shared" si="78"/>
        <v>1</v>
      </c>
      <c r="L270">
        <f t="shared" si="79"/>
        <v>15</v>
      </c>
      <c r="M270" s="14">
        <f t="shared" si="80"/>
        <v>29</v>
      </c>
      <c r="N270" s="13">
        <f t="shared" si="72"/>
        <v>0</v>
      </c>
      <c r="O270">
        <f t="shared" si="72"/>
        <v>2</v>
      </c>
      <c r="P270">
        <f t="shared" si="72"/>
        <v>53</v>
      </c>
      <c r="Q270" s="14">
        <f t="shared" ref="Q270:Q333" si="85">(((N270*60)+O270)*60)+P270</f>
        <v>173</v>
      </c>
      <c r="R270" s="13">
        <f t="shared" ref="R270:R333" si="86">INT(U270/60/60)</f>
        <v>0</v>
      </c>
      <c r="S270">
        <f t="shared" ref="S270:S333" si="87">INT((U270-(R270*60*60))/60)</f>
        <v>2</v>
      </c>
      <c r="T270">
        <f t="shared" ref="T270:T333" si="88">U270-(((R270*60)+S270)*60)</f>
        <v>53</v>
      </c>
      <c r="U270" s="14">
        <f t="shared" ref="U270:U333" si="89">((H270*60)+I270)+Q270</f>
        <v>173</v>
      </c>
      <c r="V270" s="15"/>
      <c r="Z270" s="14"/>
    </row>
    <row r="271" spans="1:26" hidden="1" x14ac:dyDescent="0.25">
      <c r="A271" s="16"/>
      <c r="B271" s="17" t="b">
        <f t="shared" si="74"/>
        <v>0</v>
      </c>
      <c r="C271" s="17" t="b">
        <f t="shared" si="84"/>
        <v>0</v>
      </c>
      <c r="D271" s="17">
        <f t="shared" si="81"/>
        <v>1</v>
      </c>
      <c r="E271" s="17" t="str">
        <f t="shared" si="82"/>
        <v>6. Conclusion</v>
      </c>
      <c r="F271" s="18" t="str">
        <f t="shared" si="73"/>
        <v/>
      </c>
      <c r="G271" s="13" t="str">
        <f t="shared" si="75"/>
        <v/>
      </c>
      <c r="H271">
        <f t="shared" si="76"/>
        <v>0</v>
      </c>
      <c r="I271" s="14">
        <f t="shared" si="83"/>
        <v>0</v>
      </c>
      <c r="J271" s="13">
        <f t="shared" si="77"/>
        <v>4529</v>
      </c>
      <c r="K271">
        <f t="shared" si="78"/>
        <v>1</v>
      </c>
      <c r="L271">
        <f t="shared" si="79"/>
        <v>15</v>
      </c>
      <c r="M271" s="14">
        <f t="shared" si="80"/>
        <v>29</v>
      </c>
      <c r="N271" s="13">
        <f t="shared" si="72"/>
        <v>0</v>
      </c>
      <c r="O271">
        <f t="shared" si="72"/>
        <v>2</v>
      </c>
      <c r="P271">
        <f t="shared" si="72"/>
        <v>53</v>
      </c>
      <c r="Q271" s="14">
        <f t="shared" si="85"/>
        <v>173</v>
      </c>
      <c r="R271" s="13">
        <f t="shared" si="86"/>
        <v>0</v>
      </c>
      <c r="S271">
        <f t="shared" si="87"/>
        <v>2</v>
      </c>
      <c r="T271">
        <f t="shared" si="88"/>
        <v>53</v>
      </c>
      <c r="U271" s="14">
        <f t="shared" si="89"/>
        <v>173</v>
      </c>
      <c r="V271" s="15"/>
      <c r="Z271" s="14"/>
    </row>
    <row r="272" spans="1:26" hidden="1" x14ac:dyDescent="0.25">
      <c r="A272" s="16"/>
      <c r="B272" s="17" t="b">
        <f t="shared" si="74"/>
        <v>0</v>
      </c>
      <c r="C272" s="17" t="b">
        <f t="shared" si="84"/>
        <v>0</v>
      </c>
      <c r="D272" s="17">
        <f t="shared" si="81"/>
        <v>1</v>
      </c>
      <c r="E272" s="17" t="str">
        <f t="shared" si="82"/>
        <v>6. Conclusion</v>
      </c>
      <c r="F272" s="18" t="str">
        <f t="shared" si="73"/>
        <v/>
      </c>
      <c r="G272" s="13" t="str">
        <f t="shared" si="75"/>
        <v/>
      </c>
      <c r="H272">
        <f t="shared" si="76"/>
        <v>0</v>
      </c>
      <c r="I272" s="14">
        <f t="shared" si="83"/>
        <v>0</v>
      </c>
      <c r="J272" s="13">
        <f t="shared" si="77"/>
        <v>4529</v>
      </c>
      <c r="K272">
        <f t="shared" si="78"/>
        <v>1</v>
      </c>
      <c r="L272">
        <f t="shared" si="79"/>
        <v>15</v>
      </c>
      <c r="M272" s="14">
        <f t="shared" si="80"/>
        <v>29</v>
      </c>
      <c r="N272" s="13">
        <f t="shared" si="72"/>
        <v>0</v>
      </c>
      <c r="O272">
        <f t="shared" si="72"/>
        <v>2</v>
      </c>
      <c r="P272">
        <f t="shared" si="72"/>
        <v>53</v>
      </c>
      <c r="Q272" s="14">
        <f t="shared" si="85"/>
        <v>173</v>
      </c>
      <c r="R272" s="13">
        <f t="shared" si="86"/>
        <v>0</v>
      </c>
      <c r="S272">
        <f t="shared" si="87"/>
        <v>2</v>
      </c>
      <c r="T272">
        <f t="shared" si="88"/>
        <v>53</v>
      </c>
      <c r="U272" s="14">
        <f t="shared" si="89"/>
        <v>173</v>
      </c>
      <c r="V272" s="15"/>
      <c r="Z272" s="14"/>
    </row>
    <row r="273" spans="1:26" hidden="1" x14ac:dyDescent="0.25">
      <c r="A273" s="16"/>
      <c r="B273" s="17" t="b">
        <f t="shared" si="74"/>
        <v>0</v>
      </c>
      <c r="C273" s="17" t="b">
        <f t="shared" si="84"/>
        <v>0</v>
      </c>
      <c r="D273" s="17">
        <f t="shared" si="81"/>
        <v>1</v>
      </c>
      <c r="E273" s="17" t="str">
        <f t="shared" si="82"/>
        <v>6. Conclusion</v>
      </c>
      <c r="F273" s="18" t="str">
        <f t="shared" si="73"/>
        <v/>
      </c>
      <c r="G273" s="13" t="str">
        <f t="shared" si="75"/>
        <v/>
      </c>
      <c r="H273">
        <f t="shared" si="76"/>
        <v>0</v>
      </c>
      <c r="I273" s="14">
        <f t="shared" si="83"/>
        <v>0</v>
      </c>
      <c r="J273" s="13">
        <f t="shared" si="77"/>
        <v>4529</v>
      </c>
      <c r="K273">
        <f t="shared" si="78"/>
        <v>1</v>
      </c>
      <c r="L273">
        <f t="shared" si="79"/>
        <v>15</v>
      </c>
      <c r="M273" s="14">
        <f t="shared" si="80"/>
        <v>29</v>
      </c>
      <c r="N273" s="13">
        <f t="shared" si="72"/>
        <v>0</v>
      </c>
      <c r="O273">
        <f t="shared" si="72"/>
        <v>2</v>
      </c>
      <c r="P273">
        <f t="shared" si="72"/>
        <v>53</v>
      </c>
      <c r="Q273" s="14">
        <f t="shared" si="85"/>
        <v>173</v>
      </c>
      <c r="R273" s="13">
        <f t="shared" si="86"/>
        <v>0</v>
      </c>
      <c r="S273">
        <f t="shared" si="87"/>
        <v>2</v>
      </c>
      <c r="T273">
        <f t="shared" si="88"/>
        <v>53</v>
      </c>
      <c r="U273" s="14">
        <f t="shared" si="89"/>
        <v>173</v>
      </c>
      <c r="V273" s="15"/>
      <c r="Z273" s="14"/>
    </row>
    <row r="274" spans="1:26" hidden="1" x14ac:dyDescent="0.25">
      <c r="A274" s="16"/>
      <c r="B274" s="17" t="b">
        <f t="shared" si="74"/>
        <v>0</v>
      </c>
      <c r="C274" s="17" t="b">
        <f t="shared" si="84"/>
        <v>0</v>
      </c>
      <c r="D274" s="17">
        <f t="shared" si="81"/>
        <v>1</v>
      </c>
      <c r="E274" s="17" t="str">
        <f t="shared" si="82"/>
        <v>6. Conclusion</v>
      </c>
      <c r="F274" s="18" t="str">
        <f t="shared" si="73"/>
        <v/>
      </c>
      <c r="G274" s="13" t="str">
        <f t="shared" si="75"/>
        <v/>
      </c>
      <c r="H274">
        <f t="shared" si="76"/>
        <v>0</v>
      </c>
      <c r="I274" s="14">
        <f t="shared" si="83"/>
        <v>0</v>
      </c>
      <c r="J274" s="13">
        <f t="shared" si="77"/>
        <v>4529</v>
      </c>
      <c r="K274">
        <f t="shared" si="78"/>
        <v>1</v>
      </c>
      <c r="L274">
        <f t="shared" si="79"/>
        <v>15</v>
      </c>
      <c r="M274" s="14">
        <f t="shared" si="80"/>
        <v>29</v>
      </c>
      <c r="N274" s="13">
        <f t="shared" si="72"/>
        <v>0</v>
      </c>
      <c r="O274">
        <f t="shared" si="72"/>
        <v>2</v>
      </c>
      <c r="P274">
        <f t="shared" si="72"/>
        <v>53</v>
      </c>
      <c r="Q274" s="14">
        <f t="shared" si="85"/>
        <v>173</v>
      </c>
      <c r="R274" s="13">
        <f t="shared" si="86"/>
        <v>0</v>
      </c>
      <c r="S274">
        <f t="shared" si="87"/>
        <v>2</v>
      </c>
      <c r="T274">
        <f t="shared" si="88"/>
        <v>53</v>
      </c>
      <c r="U274" s="14">
        <f t="shared" si="89"/>
        <v>173</v>
      </c>
      <c r="V274" s="15"/>
      <c r="Z274" s="14"/>
    </row>
    <row r="275" spans="1:26" hidden="1" x14ac:dyDescent="0.25">
      <c r="A275" s="16"/>
      <c r="B275" s="17" t="b">
        <f t="shared" si="74"/>
        <v>0</v>
      </c>
      <c r="C275" s="17" t="b">
        <f t="shared" si="84"/>
        <v>0</v>
      </c>
      <c r="D275" s="17">
        <f t="shared" si="81"/>
        <v>1</v>
      </c>
      <c r="E275" s="17" t="str">
        <f t="shared" si="82"/>
        <v>6. Conclusion</v>
      </c>
      <c r="F275" s="18" t="str">
        <f t="shared" si="73"/>
        <v/>
      </c>
      <c r="G275" s="13" t="str">
        <f t="shared" si="75"/>
        <v/>
      </c>
      <c r="H275">
        <f t="shared" si="76"/>
        <v>0</v>
      </c>
      <c r="I275" s="14">
        <f t="shared" si="83"/>
        <v>0</v>
      </c>
      <c r="J275" s="13">
        <f t="shared" si="77"/>
        <v>4529</v>
      </c>
      <c r="K275">
        <f t="shared" si="78"/>
        <v>1</v>
      </c>
      <c r="L275">
        <f t="shared" si="79"/>
        <v>15</v>
      </c>
      <c r="M275" s="14">
        <f t="shared" si="80"/>
        <v>29</v>
      </c>
      <c r="N275" s="13">
        <f t="shared" si="72"/>
        <v>0</v>
      </c>
      <c r="O275">
        <f t="shared" si="72"/>
        <v>2</v>
      </c>
      <c r="P275">
        <f t="shared" si="72"/>
        <v>53</v>
      </c>
      <c r="Q275" s="14">
        <f t="shared" si="85"/>
        <v>173</v>
      </c>
      <c r="R275" s="13">
        <f t="shared" si="86"/>
        <v>0</v>
      </c>
      <c r="S275">
        <f t="shared" si="87"/>
        <v>2</v>
      </c>
      <c r="T275">
        <f t="shared" si="88"/>
        <v>53</v>
      </c>
      <c r="U275" s="14">
        <f t="shared" si="89"/>
        <v>173</v>
      </c>
      <c r="V275" s="15"/>
      <c r="Z275" s="14"/>
    </row>
    <row r="276" spans="1:26" hidden="1" x14ac:dyDescent="0.25">
      <c r="A276" s="16"/>
      <c r="B276" s="17" t="b">
        <f t="shared" si="74"/>
        <v>0</v>
      </c>
      <c r="C276" s="17" t="b">
        <f t="shared" si="84"/>
        <v>0</v>
      </c>
      <c r="D276" s="17">
        <f t="shared" si="81"/>
        <v>1</v>
      </c>
      <c r="E276" s="17" t="str">
        <f t="shared" si="82"/>
        <v>6. Conclusion</v>
      </c>
      <c r="F276" s="18" t="str">
        <f t="shared" si="73"/>
        <v/>
      </c>
      <c r="G276" s="13" t="str">
        <f t="shared" si="75"/>
        <v/>
      </c>
      <c r="H276">
        <f t="shared" si="76"/>
        <v>0</v>
      </c>
      <c r="I276" s="14">
        <f t="shared" si="83"/>
        <v>0</v>
      </c>
      <c r="J276" s="13">
        <f t="shared" si="77"/>
        <v>4529</v>
      </c>
      <c r="K276">
        <f t="shared" si="78"/>
        <v>1</v>
      </c>
      <c r="L276">
        <f t="shared" si="79"/>
        <v>15</v>
      </c>
      <c r="M276" s="14">
        <f t="shared" si="80"/>
        <v>29</v>
      </c>
      <c r="N276" s="13">
        <f t="shared" si="72"/>
        <v>0</v>
      </c>
      <c r="O276">
        <f t="shared" si="72"/>
        <v>2</v>
      </c>
      <c r="P276">
        <f t="shared" si="72"/>
        <v>53</v>
      </c>
      <c r="Q276" s="14">
        <f t="shared" si="85"/>
        <v>173</v>
      </c>
      <c r="R276" s="13">
        <f t="shared" si="86"/>
        <v>0</v>
      </c>
      <c r="S276">
        <f t="shared" si="87"/>
        <v>2</v>
      </c>
      <c r="T276">
        <f t="shared" si="88"/>
        <v>53</v>
      </c>
      <c r="U276" s="14">
        <f t="shared" si="89"/>
        <v>173</v>
      </c>
      <c r="V276" s="15"/>
      <c r="Z276" s="14"/>
    </row>
    <row r="277" spans="1:26" hidden="1" x14ac:dyDescent="0.25">
      <c r="A277" s="16"/>
      <c r="B277" s="17" t="b">
        <f t="shared" si="74"/>
        <v>0</v>
      </c>
      <c r="C277" s="17" t="b">
        <f t="shared" si="84"/>
        <v>0</v>
      </c>
      <c r="D277" s="17">
        <f t="shared" si="81"/>
        <v>1</v>
      </c>
      <c r="E277" s="17" t="str">
        <f t="shared" si="82"/>
        <v>6. Conclusion</v>
      </c>
      <c r="F277" s="18" t="str">
        <f t="shared" si="73"/>
        <v/>
      </c>
      <c r="G277" s="13" t="str">
        <f t="shared" si="75"/>
        <v/>
      </c>
      <c r="H277">
        <f t="shared" si="76"/>
        <v>0</v>
      </c>
      <c r="I277" s="14">
        <f t="shared" si="83"/>
        <v>0</v>
      </c>
      <c r="J277" s="13">
        <f t="shared" si="77"/>
        <v>4529</v>
      </c>
      <c r="K277">
        <f t="shared" si="78"/>
        <v>1</v>
      </c>
      <c r="L277">
        <f t="shared" si="79"/>
        <v>15</v>
      </c>
      <c r="M277" s="14">
        <f t="shared" si="80"/>
        <v>29</v>
      </c>
      <c r="N277" s="13">
        <f t="shared" si="72"/>
        <v>0</v>
      </c>
      <c r="O277">
        <f t="shared" si="72"/>
        <v>2</v>
      </c>
      <c r="P277">
        <f t="shared" si="72"/>
        <v>53</v>
      </c>
      <c r="Q277" s="14">
        <f t="shared" si="85"/>
        <v>173</v>
      </c>
      <c r="R277" s="13">
        <f t="shared" si="86"/>
        <v>0</v>
      </c>
      <c r="S277">
        <f t="shared" si="87"/>
        <v>2</v>
      </c>
      <c r="T277">
        <f t="shared" si="88"/>
        <v>53</v>
      </c>
      <c r="U277" s="14">
        <f t="shared" si="89"/>
        <v>173</v>
      </c>
      <c r="V277" s="15"/>
      <c r="Z277" s="14"/>
    </row>
    <row r="278" spans="1:26" hidden="1" x14ac:dyDescent="0.25">
      <c r="A278" s="16"/>
      <c r="B278" s="17" t="b">
        <f t="shared" si="74"/>
        <v>0</v>
      </c>
      <c r="C278" s="17" t="b">
        <f t="shared" si="84"/>
        <v>0</v>
      </c>
      <c r="D278" s="17">
        <f t="shared" si="81"/>
        <v>1</v>
      </c>
      <c r="E278" s="17" t="str">
        <f t="shared" si="82"/>
        <v>6. Conclusion</v>
      </c>
      <c r="F278" s="18" t="str">
        <f t="shared" si="73"/>
        <v/>
      </c>
      <c r="G278" s="13" t="str">
        <f t="shared" si="75"/>
        <v/>
      </c>
      <c r="H278">
        <f t="shared" si="76"/>
        <v>0</v>
      </c>
      <c r="I278" s="14">
        <f t="shared" si="83"/>
        <v>0</v>
      </c>
      <c r="J278" s="13">
        <f t="shared" si="77"/>
        <v>4529</v>
      </c>
      <c r="K278">
        <f t="shared" si="78"/>
        <v>1</v>
      </c>
      <c r="L278">
        <f t="shared" si="79"/>
        <v>15</v>
      </c>
      <c r="M278" s="14">
        <f t="shared" si="80"/>
        <v>29</v>
      </c>
      <c r="N278" s="13">
        <f t="shared" si="72"/>
        <v>0</v>
      </c>
      <c r="O278">
        <f t="shared" si="72"/>
        <v>2</v>
      </c>
      <c r="P278">
        <f t="shared" si="72"/>
        <v>53</v>
      </c>
      <c r="Q278" s="14">
        <f t="shared" si="85"/>
        <v>173</v>
      </c>
      <c r="R278" s="13">
        <f t="shared" si="86"/>
        <v>0</v>
      </c>
      <c r="S278">
        <f t="shared" si="87"/>
        <v>2</v>
      </c>
      <c r="T278">
        <f t="shared" si="88"/>
        <v>53</v>
      </c>
      <c r="U278" s="14">
        <f t="shared" si="89"/>
        <v>173</v>
      </c>
      <c r="V278" s="15"/>
      <c r="Z278" s="14"/>
    </row>
    <row r="279" spans="1:26" hidden="1" x14ac:dyDescent="0.25">
      <c r="A279" s="16"/>
      <c r="B279" s="17" t="b">
        <f t="shared" si="74"/>
        <v>0</v>
      </c>
      <c r="C279" s="17" t="b">
        <f t="shared" si="84"/>
        <v>0</v>
      </c>
      <c r="D279" s="17">
        <f t="shared" si="81"/>
        <v>1</v>
      </c>
      <c r="E279" s="17" t="str">
        <f t="shared" si="82"/>
        <v>6. Conclusion</v>
      </c>
      <c r="F279" s="18" t="str">
        <f t="shared" si="73"/>
        <v/>
      </c>
      <c r="G279" s="13" t="str">
        <f t="shared" si="75"/>
        <v/>
      </c>
      <c r="H279">
        <f t="shared" si="76"/>
        <v>0</v>
      </c>
      <c r="I279" s="14">
        <f t="shared" si="83"/>
        <v>0</v>
      </c>
      <c r="J279" s="13">
        <f t="shared" si="77"/>
        <v>4529</v>
      </c>
      <c r="K279">
        <f t="shared" si="78"/>
        <v>1</v>
      </c>
      <c r="L279">
        <f t="shared" si="79"/>
        <v>15</v>
      </c>
      <c r="M279" s="14">
        <f t="shared" si="80"/>
        <v>29</v>
      </c>
      <c r="N279" s="13">
        <f t="shared" si="72"/>
        <v>0</v>
      </c>
      <c r="O279">
        <f t="shared" si="72"/>
        <v>2</v>
      </c>
      <c r="P279">
        <f t="shared" si="72"/>
        <v>53</v>
      </c>
      <c r="Q279" s="14">
        <f t="shared" si="85"/>
        <v>173</v>
      </c>
      <c r="R279" s="13">
        <f t="shared" si="86"/>
        <v>0</v>
      </c>
      <c r="S279">
        <f t="shared" si="87"/>
        <v>2</v>
      </c>
      <c r="T279">
        <f t="shared" si="88"/>
        <v>53</v>
      </c>
      <c r="U279" s="14">
        <f t="shared" si="89"/>
        <v>173</v>
      </c>
      <c r="V279" s="15"/>
      <c r="Z279" s="14"/>
    </row>
    <row r="280" spans="1:26" hidden="1" x14ac:dyDescent="0.25">
      <c r="A280" s="16"/>
      <c r="B280" s="17" t="b">
        <f t="shared" si="74"/>
        <v>0</v>
      </c>
      <c r="C280" s="17" t="b">
        <f t="shared" si="84"/>
        <v>0</v>
      </c>
      <c r="D280" s="17">
        <f t="shared" si="81"/>
        <v>1</v>
      </c>
      <c r="E280" s="17" t="str">
        <f t="shared" si="82"/>
        <v>6. Conclusion</v>
      </c>
      <c r="F280" s="18" t="str">
        <f t="shared" si="73"/>
        <v/>
      </c>
      <c r="G280" s="13" t="str">
        <f t="shared" si="75"/>
        <v/>
      </c>
      <c r="H280">
        <f t="shared" si="76"/>
        <v>0</v>
      </c>
      <c r="I280" s="14">
        <f t="shared" si="83"/>
        <v>0</v>
      </c>
      <c r="J280" s="13">
        <f t="shared" si="77"/>
        <v>4529</v>
      </c>
      <c r="K280">
        <f t="shared" si="78"/>
        <v>1</v>
      </c>
      <c r="L280">
        <f t="shared" si="79"/>
        <v>15</v>
      </c>
      <c r="M280" s="14">
        <f t="shared" si="80"/>
        <v>29</v>
      </c>
      <c r="N280" s="13">
        <f t="shared" si="72"/>
        <v>0</v>
      </c>
      <c r="O280">
        <f t="shared" si="72"/>
        <v>2</v>
      </c>
      <c r="P280">
        <f t="shared" si="72"/>
        <v>53</v>
      </c>
      <c r="Q280" s="14">
        <f t="shared" si="85"/>
        <v>173</v>
      </c>
      <c r="R280" s="13">
        <f t="shared" si="86"/>
        <v>0</v>
      </c>
      <c r="S280">
        <f t="shared" si="87"/>
        <v>2</v>
      </c>
      <c r="T280">
        <f t="shared" si="88"/>
        <v>53</v>
      </c>
      <c r="U280" s="14">
        <f t="shared" si="89"/>
        <v>173</v>
      </c>
      <c r="V280" s="15"/>
      <c r="Z280" s="14"/>
    </row>
    <row r="281" spans="1:26" hidden="1" x14ac:dyDescent="0.25">
      <c r="A281" s="16"/>
      <c r="B281" s="17" t="b">
        <f t="shared" si="74"/>
        <v>0</v>
      </c>
      <c r="C281" s="17" t="b">
        <f t="shared" si="84"/>
        <v>0</v>
      </c>
      <c r="D281" s="17">
        <f t="shared" si="81"/>
        <v>1</v>
      </c>
      <c r="E281" s="17" t="str">
        <f t="shared" si="82"/>
        <v>6. Conclusion</v>
      </c>
      <c r="F281" s="18" t="str">
        <f t="shared" si="73"/>
        <v/>
      </c>
      <c r="G281" s="13" t="str">
        <f t="shared" si="75"/>
        <v/>
      </c>
      <c r="H281">
        <f t="shared" si="76"/>
        <v>0</v>
      </c>
      <c r="I281" s="14">
        <f t="shared" si="83"/>
        <v>0</v>
      </c>
      <c r="J281" s="13">
        <f t="shared" si="77"/>
        <v>4529</v>
      </c>
      <c r="K281">
        <f t="shared" si="78"/>
        <v>1</v>
      </c>
      <c r="L281">
        <f t="shared" si="79"/>
        <v>15</v>
      </c>
      <c r="M281" s="14">
        <f t="shared" si="80"/>
        <v>29</v>
      </c>
      <c r="N281" s="13">
        <f t="shared" si="72"/>
        <v>0</v>
      </c>
      <c r="O281">
        <f t="shared" si="72"/>
        <v>2</v>
      </c>
      <c r="P281">
        <f t="shared" si="72"/>
        <v>53</v>
      </c>
      <c r="Q281" s="14">
        <f t="shared" si="85"/>
        <v>173</v>
      </c>
      <c r="R281" s="13">
        <f t="shared" si="86"/>
        <v>0</v>
      </c>
      <c r="S281">
        <f t="shared" si="87"/>
        <v>2</v>
      </c>
      <c r="T281">
        <f t="shared" si="88"/>
        <v>53</v>
      </c>
      <c r="U281" s="14">
        <f t="shared" si="89"/>
        <v>173</v>
      </c>
      <c r="V281" s="15"/>
      <c r="Z281" s="14"/>
    </row>
    <row r="282" spans="1:26" hidden="1" x14ac:dyDescent="0.25">
      <c r="A282" s="16"/>
      <c r="B282" s="17" t="b">
        <f t="shared" si="74"/>
        <v>0</v>
      </c>
      <c r="C282" s="17" t="b">
        <f t="shared" si="84"/>
        <v>0</v>
      </c>
      <c r="D282" s="17">
        <f t="shared" si="81"/>
        <v>1</v>
      </c>
      <c r="E282" s="17" t="str">
        <f t="shared" si="82"/>
        <v>6. Conclusion</v>
      </c>
      <c r="F282" s="18" t="str">
        <f t="shared" si="73"/>
        <v/>
      </c>
      <c r="G282" s="13" t="str">
        <f t="shared" si="75"/>
        <v/>
      </c>
      <c r="H282">
        <f t="shared" si="76"/>
        <v>0</v>
      </c>
      <c r="I282" s="14">
        <f t="shared" si="83"/>
        <v>0</v>
      </c>
      <c r="J282" s="13">
        <f t="shared" si="77"/>
        <v>4529</v>
      </c>
      <c r="K282">
        <f t="shared" si="78"/>
        <v>1</v>
      </c>
      <c r="L282">
        <f t="shared" si="79"/>
        <v>15</v>
      </c>
      <c r="M282" s="14">
        <f t="shared" si="80"/>
        <v>29</v>
      </c>
      <c r="N282" s="13">
        <f t="shared" si="72"/>
        <v>0</v>
      </c>
      <c r="O282">
        <f t="shared" si="72"/>
        <v>2</v>
      </c>
      <c r="P282">
        <f t="shared" si="72"/>
        <v>53</v>
      </c>
      <c r="Q282" s="14">
        <f t="shared" si="85"/>
        <v>173</v>
      </c>
      <c r="R282" s="13">
        <f t="shared" si="86"/>
        <v>0</v>
      </c>
      <c r="S282">
        <f t="shared" si="87"/>
        <v>2</v>
      </c>
      <c r="T282">
        <f t="shared" si="88"/>
        <v>53</v>
      </c>
      <c r="U282" s="14">
        <f t="shared" si="89"/>
        <v>173</v>
      </c>
      <c r="V282" s="15"/>
      <c r="Z282" s="14"/>
    </row>
    <row r="283" spans="1:26" hidden="1" x14ac:dyDescent="0.25">
      <c r="A283" s="16"/>
      <c r="B283" s="17" t="b">
        <f t="shared" si="74"/>
        <v>0</v>
      </c>
      <c r="C283" s="17" t="b">
        <f t="shared" si="84"/>
        <v>0</v>
      </c>
      <c r="D283" s="17">
        <f t="shared" si="81"/>
        <v>1</v>
      </c>
      <c r="E283" s="17" t="str">
        <f t="shared" si="82"/>
        <v>6. Conclusion</v>
      </c>
      <c r="F283" s="18" t="str">
        <f t="shared" si="73"/>
        <v/>
      </c>
      <c r="G283" s="13" t="str">
        <f t="shared" si="75"/>
        <v/>
      </c>
      <c r="H283">
        <f t="shared" si="76"/>
        <v>0</v>
      </c>
      <c r="I283" s="14">
        <f t="shared" si="83"/>
        <v>0</v>
      </c>
      <c r="J283" s="13">
        <f t="shared" si="77"/>
        <v>4529</v>
      </c>
      <c r="K283">
        <f t="shared" si="78"/>
        <v>1</v>
      </c>
      <c r="L283">
        <f t="shared" si="79"/>
        <v>15</v>
      </c>
      <c r="M283" s="14">
        <f t="shared" si="80"/>
        <v>29</v>
      </c>
      <c r="N283" s="13">
        <f t="shared" si="72"/>
        <v>0</v>
      </c>
      <c r="O283">
        <f t="shared" si="72"/>
        <v>2</v>
      </c>
      <c r="P283">
        <f t="shared" si="72"/>
        <v>53</v>
      </c>
      <c r="Q283" s="14">
        <f t="shared" si="85"/>
        <v>173</v>
      </c>
      <c r="R283" s="13">
        <f t="shared" si="86"/>
        <v>0</v>
      </c>
      <c r="S283">
        <f t="shared" si="87"/>
        <v>2</v>
      </c>
      <c r="T283">
        <f t="shared" si="88"/>
        <v>53</v>
      </c>
      <c r="U283" s="14">
        <f t="shared" si="89"/>
        <v>173</v>
      </c>
      <c r="V283" s="15"/>
      <c r="Z283" s="14"/>
    </row>
    <row r="284" spans="1:26" hidden="1" x14ac:dyDescent="0.25">
      <c r="A284" s="16"/>
      <c r="B284" s="17" t="b">
        <f t="shared" si="74"/>
        <v>0</v>
      </c>
      <c r="C284" s="17" t="b">
        <f t="shared" si="84"/>
        <v>0</v>
      </c>
      <c r="D284" s="17">
        <f t="shared" si="81"/>
        <v>1</v>
      </c>
      <c r="E284" s="17" t="str">
        <f t="shared" si="82"/>
        <v>6. Conclusion</v>
      </c>
      <c r="F284" s="18" t="str">
        <f t="shared" si="73"/>
        <v/>
      </c>
      <c r="G284" s="13" t="str">
        <f t="shared" si="75"/>
        <v/>
      </c>
      <c r="H284">
        <f t="shared" si="76"/>
        <v>0</v>
      </c>
      <c r="I284" s="14">
        <f t="shared" si="83"/>
        <v>0</v>
      </c>
      <c r="J284" s="13">
        <f t="shared" si="77"/>
        <v>4529</v>
      </c>
      <c r="K284">
        <f t="shared" si="78"/>
        <v>1</v>
      </c>
      <c r="L284">
        <f t="shared" si="79"/>
        <v>15</v>
      </c>
      <c r="M284" s="14">
        <f t="shared" si="80"/>
        <v>29</v>
      </c>
      <c r="N284" s="13">
        <f t="shared" ref="N284:P347" si="90">R283</f>
        <v>0</v>
      </c>
      <c r="O284">
        <f t="shared" si="90"/>
        <v>2</v>
      </c>
      <c r="P284">
        <f t="shared" si="90"/>
        <v>53</v>
      </c>
      <c r="Q284" s="14">
        <f t="shared" si="85"/>
        <v>173</v>
      </c>
      <c r="R284" s="13">
        <f t="shared" si="86"/>
        <v>0</v>
      </c>
      <c r="S284">
        <f t="shared" si="87"/>
        <v>2</v>
      </c>
      <c r="T284">
        <f t="shared" si="88"/>
        <v>53</v>
      </c>
      <c r="U284" s="14">
        <f t="shared" si="89"/>
        <v>173</v>
      </c>
      <c r="V284" s="15"/>
      <c r="Z284" s="14"/>
    </row>
    <row r="285" spans="1:26" hidden="1" x14ac:dyDescent="0.25">
      <c r="A285" s="16"/>
      <c r="B285" s="17" t="b">
        <f t="shared" si="74"/>
        <v>0</v>
      </c>
      <c r="C285" s="17" t="b">
        <f t="shared" si="84"/>
        <v>0</v>
      </c>
      <c r="D285" s="17">
        <f t="shared" si="81"/>
        <v>1</v>
      </c>
      <c r="E285" s="17" t="str">
        <f t="shared" si="82"/>
        <v>6. Conclusion</v>
      </c>
      <c r="F285" s="18" t="str">
        <f t="shared" si="73"/>
        <v/>
      </c>
      <c r="G285" s="13" t="str">
        <f t="shared" si="75"/>
        <v/>
      </c>
      <c r="H285">
        <f t="shared" si="76"/>
        <v>0</v>
      </c>
      <c r="I285" s="14">
        <f t="shared" si="83"/>
        <v>0</v>
      </c>
      <c r="J285" s="13">
        <f t="shared" si="77"/>
        <v>4529</v>
      </c>
      <c r="K285">
        <f t="shared" si="78"/>
        <v>1</v>
      </c>
      <c r="L285">
        <f t="shared" si="79"/>
        <v>15</v>
      </c>
      <c r="M285" s="14">
        <f t="shared" si="80"/>
        <v>29</v>
      </c>
      <c r="N285" s="13">
        <f t="shared" si="90"/>
        <v>0</v>
      </c>
      <c r="O285">
        <f t="shared" si="90"/>
        <v>2</v>
      </c>
      <c r="P285">
        <f t="shared" si="90"/>
        <v>53</v>
      </c>
      <c r="Q285" s="14">
        <f t="shared" si="85"/>
        <v>173</v>
      </c>
      <c r="R285" s="13">
        <f t="shared" si="86"/>
        <v>0</v>
      </c>
      <c r="S285">
        <f t="shared" si="87"/>
        <v>2</v>
      </c>
      <c r="T285">
        <f t="shared" si="88"/>
        <v>53</v>
      </c>
      <c r="U285" s="14">
        <f t="shared" si="89"/>
        <v>173</v>
      </c>
      <c r="V285" s="15"/>
      <c r="Z285" s="14"/>
    </row>
    <row r="286" spans="1:26" hidden="1" x14ac:dyDescent="0.25">
      <c r="A286" s="16"/>
      <c r="B286" s="17" t="b">
        <f t="shared" si="74"/>
        <v>0</v>
      </c>
      <c r="C286" s="17" t="b">
        <f t="shared" si="84"/>
        <v>0</v>
      </c>
      <c r="D286" s="17">
        <f t="shared" si="81"/>
        <v>1</v>
      </c>
      <c r="E286" s="17" t="str">
        <f t="shared" si="82"/>
        <v>6. Conclusion</v>
      </c>
      <c r="F286" s="18" t="str">
        <f t="shared" si="73"/>
        <v/>
      </c>
      <c r="G286" s="13" t="str">
        <f t="shared" si="75"/>
        <v/>
      </c>
      <c r="H286">
        <f t="shared" si="76"/>
        <v>0</v>
      </c>
      <c r="I286" s="14">
        <f t="shared" si="83"/>
        <v>0</v>
      </c>
      <c r="J286" s="13">
        <f t="shared" si="77"/>
        <v>4529</v>
      </c>
      <c r="K286">
        <f t="shared" si="78"/>
        <v>1</v>
      </c>
      <c r="L286">
        <f t="shared" si="79"/>
        <v>15</v>
      </c>
      <c r="M286" s="14">
        <f t="shared" si="80"/>
        <v>29</v>
      </c>
      <c r="N286" s="13">
        <f t="shared" si="90"/>
        <v>0</v>
      </c>
      <c r="O286">
        <f t="shared" si="90"/>
        <v>2</v>
      </c>
      <c r="P286">
        <f t="shared" si="90"/>
        <v>53</v>
      </c>
      <c r="Q286" s="14">
        <f t="shared" si="85"/>
        <v>173</v>
      </c>
      <c r="R286" s="13">
        <f t="shared" si="86"/>
        <v>0</v>
      </c>
      <c r="S286">
        <f t="shared" si="87"/>
        <v>2</v>
      </c>
      <c r="T286">
        <f t="shared" si="88"/>
        <v>53</v>
      </c>
      <c r="U286" s="14">
        <f t="shared" si="89"/>
        <v>173</v>
      </c>
      <c r="V286" s="15"/>
      <c r="Z286" s="14"/>
    </row>
    <row r="287" spans="1:26" hidden="1" x14ac:dyDescent="0.25">
      <c r="A287" s="16"/>
      <c r="B287" s="17" t="b">
        <f t="shared" si="74"/>
        <v>0</v>
      </c>
      <c r="C287" s="17" t="b">
        <f t="shared" si="84"/>
        <v>0</v>
      </c>
      <c r="D287" s="17">
        <f t="shared" si="81"/>
        <v>1</v>
      </c>
      <c r="E287" s="17" t="str">
        <f t="shared" si="82"/>
        <v>6. Conclusion</v>
      </c>
      <c r="F287" s="18" t="str">
        <f t="shared" si="73"/>
        <v/>
      </c>
      <c r="G287" s="13" t="str">
        <f t="shared" si="75"/>
        <v/>
      </c>
      <c r="H287">
        <f t="shared" si="76"/>
        <v>0</v>
      </c>
      <c r="I287" s="14">
        <f t="shared" si="83"/>
        <v>0</v>
      </c>
      <c r="J287" s="13">
        <f t="shared" si="77"/>
        <v>4529</v>
      </c>
      <c r="K287">
        <f t="shared" si="78"/>
        <v>1</v>
      </c>
      <c r="L287">
        <f t="shared" si="79"/>
        <v>15</v>
      </c>
      <c r="M287" s="14">
        <f t="shared" si="80"/>
        <v>29</v>
      </c>
      <c r="N287" s="13">
        <f t="shared" si="90"/>
        <v>0</v>
      </c>
      <c r="O287">
        <f t="shared" si="90"/>
        <v>2</v>
      </c>
      <c r="P287">
        <f t="shared" si="90"/>
        <v>53</v>
      </c>
      <c r="Q287" s="14">
        <f t="shared" si="85"/>
        <v>173</v>
      </c>
      <c r="R287" s="13">
        <f t="shared" si="86"/>
        <v>0</v>
      </c>
      <c r="S287">
        <f t="shared" si="87"/>
        <v>2</v>
      </c>
      <c r="T287">
        <f t="shared" si="88"/>
        <v>53</v>
      </c>
      <c r="U287" s="14">
        <f t="shared" si="89"/>
        <v>173</v>
      </c>
      <c r="V287" s="15"/>
      <c r="Z287" s="14"/>
    </row>
    <row r="288" spans="1:26" hidden="1" x14ac:dyDescent="0.25">
      <c r="A288" s="16"/>
      <c r="B288" s="17" t="b">
        <f t="shared" si="74"/>
        <v>0</v>
      </c>
      <c r="C288" s="17" t="b">
        <f t="shared" si="84"/>
        <v>0</v>
      </c>
      <c r="D288" s="17">
        <f t="shared" si="81"/>
        <v>1</v>
      </c>
      <c r="E288" s="17" t="str">
        <f t="shared" si="82"/>
        <v>6. Conclusion</v>
      </c>
      <c r="F288" s="18" t="str">
        <f t="shared" si="73"/>
        <v/>
      </c>
      <c r="G288" s="13" t="str">
        <f t="shared" si="75"/>
        <v/>
      </c>
      <c r="H288">
        <f t="shared" si="76"/>
        <v>0</v>
      </c>
      <c r="I288" s="14">
        <f t="shared" si="83"/>
        <v>0</v>
      </c>
      <c r="J288" s="13">
        <f t="shared" si="77"/>
        <v>4529</v>
      </c>
      <c r="K288">
        <f t="shared" si="78"/>
        <v>1</v>
      </c>
      <c r="L288">
        <f t="shared" si="79"/>
        <v>15</v>
      </c>
      <c r="M288" s="14">
        <f t="shared" si="80"/>
        <v>29</v>
      </c>
      <c r="N288" s="13">
        <f t="shared" si="90"/>
        <v>0</v>
      </c>
      <c r="O288">
        <f t="shared" si="90"/>
        <v>2</v>
      </c>
      <c r="P288">
        <f t="shared" si="90"/>
        <v>53</v>
      </c>
      <c r="Q288" s="14">
        <f t="shared" si="85"/>
        <v>173</v>
      </c>
      <c r="R288" s="13">
        <f t="shared" si="86"/>
        <v>0</v>
      </c>
      <c r="S288">
        <f t="shared" si="87"/>
        <v>2</v>
      </c>
      <c r="T288">
        <f t="shared" si="88"/>
        <v>53</v>
      </c>
      <c r="U288" s="14">
        <f t="shared" si="89"/>
        <v>173</v>
      </c>
      <c r="V288" s="15"/>
      <c r="Z288" s="14"/>
    </row>
    <row r="289" spans="1:26" hidden="1" x14ac:dyDescent="0.25">
      <c r="A289" s="16"/>
      <c r="B289" s="17" t="b">
        <f t="shared" si="74"/>
        <v>0</v>
      </c>
      <c r="C289" s="17" t="b">
        <f t="shared" si="84"/>
        <v>0</v>
      </c>
      <c r="D289" s="17">
        <f t="shared" si="81"/>
        <v>1</v>
      </c>
      <c r="E289" s="17" t="str">
        <f t="shared" si="82"/>
        <v>6. Conclusion</v>
      </c>
      <c r="F289" s="18" t="str">
        <f t="shared" si="73"/>
        <v/>
      </c>
      <c r="G289" s="13" t="str">
        <f t="shared" si="75"/>
        <v/>
      </c>
      <c r="H289">
        <f t="shared" si="76"/>
        <v>0</v>
      </c>
      <c r="I289" s="14">
        <f t="shared" si="83"/>
        <v>0</v>
      </c>
      <c r="J289" s="13">
        <f t="shared" si="77"/>
        <v>4529</v>
      </c>
      <c r="K289">
        <f t="shared" si="78"/>
        <v>1</v>
      </c>
      <c r="L289">
        <f t="shared" si="79"/>
        <v>15</v>
      </c>
      <c r="M289" s="14">
        <f t="shared" si="80"/>
        <v>29</v>
      </c>
      <c r="N289" s="13">
        <f t="shared" si="90"/>
        <v>0</v>
      </c>
      <c r="O289">
        <f t="shared" si="90"/>
        <v>2</v>
      </c>
      <c r="P289">
        <f t="shared" si="90"/>
        <v>53</v>
      </c>
      <c r="Q289" s="14">
        <f t="shared" si="85"/>
        <v>173</v>
      </c>
      <c r="R289" s="13">
        <f t="shared" si="86"/>
        <v>0</v>
      </c>
      <c r="S289">
        <f t="shared" si="87"/>
        <v>2</v>
      </c>
      <c r="T289">
        <f t="shared" si="88"/>
        <v>53</v>
      </c>
      <c r="U289" s="14">
        <f t="shared" si="89"/>
        <v>173</v>
      </c>
      <c r="V289" s="15"/>
      <c r="Z289" s="14"/>
    </row>
    <row r="290" spans="1:26" hidden="1" x14ac:dyDescent="0.25">
      <c r="A290" s="16"/>
      <c r="B290" s="17" t="b">
        <f t="shared" si="74"/>
        <v>0</v>
      </c>
      <c r="C290" s="17" t="b">
        <f t="shared" si="84"/>
        <v>0</v>
      </c>
      <c r="D290" s="17">
        <f t="shared" si="81"/>
        <v>1</v>
      </c>
      <c r="E290" s="17" t="str">
        <f t="shared" si="82"/>
        <v>6. Conclusion</v>
      </c>
      <c r="F290" s="18" t="str">
        <f t="shared" si="73"/>
        <v/>
      </c>
      <c r="G290" s="13" t="str">
        <f t="shared" si="75"/>
        <v/>
      </c>
      <c r="H290">
        <f t="shared" si="76"/>
        <v>0</v>
      </c>
      <c r="I290" s="14">
        <f t="shared" si="83"/>
        <v>0</v>
      </c>
      <c r="J290" s="13">
        <f t="shared" si="77"/>
        <v>4529</v>
      </c>
      <c r="K290">
        <f t="shared" si="78"/>
        <v>1</v>
      </c>
      <c r="L290">
        <f t="shared" si="79"/>
        <v>15</v>
      </c>
      <c r="M290" s="14">
        <f t="shared" si="80"/>
        <v>29</v>
      </c>
      <c r="N290" s="13">
        <f t="shared" si="90"/>
        <v>0</v>
      </c>
      <c r="O290">
        <f t="shared" si="90"/>
        <v>2</v>
      </c>
      <c r="P290">
        <f t="shared" si="90"/>
        <v>53</v>
      </c>
      <c r="Q290" s="14">
        <f t="shared" si="85"/>
        <v>173</v>
      </c>
      <c r="R290" s="13">
        <f t="shared" si="86"/>
        <v>0</v>
      </c>
      <c r="S290">
        <f t="shared" si="87"/>
        <v>2</v>
      </c>
      <c r="T290">
        <f t="shared" si="88"/>
        <v>53</v>
      </c>
      <c r="U290" s="14">
        <f t="shared" si="89"/>
        <v>173</v>
      </c>
      <c r="V290" s="15"/>
      <c r="Z290" s="14"/>
    </row>
    <row r="291" spans="1:26" hidden="1" x14ac:dyDescent="0.25">
      <c r="A291" s="16"/>
      <c r="B291" s="17" t="b">
        <f t="shared" si="74"/>
        <v>0</v>
      </c>
      <c r="C291" s="17" t="b">
        <f t="shared" si="84"/>
        <v>0</v>
      </c>
      <c r="D291" s="17">
        <f t="shared" si="81"/>
        <v>1</v>
      </c>
      <c r="E291" s="17" t="str">
        <f t="shared" si="82"/>
        <v>6. Conclusion</v>
      </c>
      <c r="F291" s="18" t="str">
        <f t="shared" si="73"/>
        <v/>
      </c>
      <c r="G291" s="13" t="str">
        <f t="shared" si="75"/>
        <v/>
      </c>
      <c r="H291">
        <f t="shared" si="76"/>
        <v>0</v>
      </c>
      <c r="I291" s="14">
        <f t="shared" si="83"/>
        <v>0</v>
      </c>
      <c r="J291" s="13">
        <f t="shared" si="77"/>
        <v>4529</v>
      </c>
      <c r="K291">
        <f t="shared" si="78"/>
        <v>1</v>
      </c>
      <c r="L291">
        <f t="shared" si="79"/>
        <v>15</v>
      </c>
      <c r="M291" s="14">
        <f t="shared" si="80"/>
        <v>29</v>
      </c>
      <c r="N291" s="13">
        <f t="shared" si="90"/>
        <v>0</v>
      </c>
      <c r="O291">
        <f t="shared" si="90"/>
        <v>2</v>
      </c>
      <c r="P291">
        <f t="shared" si="90"/>
        <v>53</v>
      </c>
      <c r="Q291" s="14">
        <f t="shared" si="85"/>
        <v>173</v>
      </c>
      <c r="R291" s="13">
        <f t="shared" si="86"/>
        <v>0</v>
      </c>
      <c r="S291">
        <f t="shared" si="87"/>
        <v>2</v>
      </c>
      <c r="T291">
        <f t="shared" si="88"/>
        <v>53</v>
      </c>
      <c r="U291" s="14">
        <f t="shared" si="89"/>
        <v>173</v>
      </c>
      <c r="V291" s="15"/>
      <c r="Z291" s="14"/>
    </row>
    <row r="292" spans="1:26" hidden="1" x14ac:dyDescent="0.25">
      <c r="A292" s="16"/>
      <c r="B292" s="17" t="b">
        <f t="shared" si="74"/>
        <v>0</v>
      </c>
      <c r="C292" s="17" t="b">
        <f t="shared" si="84"/>
        <v>0</v>
      </c>
      <c r="D292" s="17">
        <f t="shared" si="81"/>
        <v>1</v>
      </c>
      <c r="E292" s="17" t="str">
        <f t="shared" si="82"/>
        <v>6. Conclusion</v>
      </c>
      <c r="F292" s="18" t="str">
        <f t="shared" si="73"/>
        <v/>
      </c>
      <c r="G292" s="13" t="str">
        <f t="shared" si="75"/>
        <v/>
      </c>
      <c r="H292">
        <f t="shared" si="76"/>
        <v>0</v>
      </c>
      <c r="I292" s="14">
        <f t="shared" si="83"/>
        <v>0</v>
      </c>
      <c r="J292" s="13">
        <f t="shared" si="77"/>
        <v>4529</v>
      </c>
      <c r="K292">
        <f t="shared" si="78"/>
        <v>1</v>
      </c>
      <c r="L292">
        <f t="shared" si="79"/>
        <v>15</v>
      </c>
      <c r="M292" s="14">
        <f t="shared" si="80"/>
        <v>29</v>
      </c>
      <c r="N292" s="13">
        <f t="shared" si="90"/>
        <v>0</v>
      </c>
      <c r="O292">
        <f t="shared" si="90"/>
        <v>2</v>
      </c>
      <c r="P292">
        <f t="shared" si="90"/>
        <v>53</v>
      </c>
      <c r="Q292" s="14">
        <f t="shared" si="85"/>
        <v>173</v>
      </c>
      <c r="R292" s="13">
        <f t="shared" si="86"/>
        <v>0</v>
      </c>
      <c r="S292">
        <f t="shared" si="87"/>
        <v>2</v>
      </c>
      <c r="T292">
        <f t="shared" si="88"/>
        <v>53</v>
      </c>
      <c r="U292" s="14">
        <f t="shared" si="89"/>
        <v>173</v>
      </c>
      <c r="V292" s="15"/>
      <c r="Z292" s="14"/>
    </row>
    <row r="293" spans="1:26" hidden="1" x14ac:dyDescent="0.25">
      <c r="A293" s="16"/>
      <c r="B293" s="17" t="b">
        <f t="shared" si="74"/>
        <v>0</v>
      </c>
      <c r="C293" s="17" t="b">
        <f t="shared" si="84"/>
        <v>0</v>
      </c>
      <c r="D293" s="17">
        <f t="shared" si="81"/>
        <v>1</v>
      </c>
      <c r="E293" s="17" t="str">
        <f t="shared" si="82"/>
        <v>6. Conclusion</v>
      </c>
      <c r="F293" s="18" t="str">
        <f t="shared" si="73"/>
        <v/>
      </c>
      <c r="G293" s="13" t="str">
        <f t="shared" si="75"/>
        <v/>
      </c>
      <c r="H293">
        <f t="shared" si="76"/>
        <v>0</v>
      </c>
      <c r="I293" s="14">
        <f t="shared" si="83"/>
        <v>0</v>
      </c>
      <c r="J293" s="13">
        <f t="shared" si="77"/>
        <v>4529</v>
      </c>
      <c r="K293">
        <f t="shared" si="78"/>
        <v>1</v>
      </c>
      <c r="L293">
        <f t="shared" si="79"/>
        <v>15</v>
      </c>
      <c r="M293" s="14">
        <f t="shared" si="80"/>
        <v>29</v>
      </c>
      <c r="N293" s="13">
        <f t="shared" si="90"/>
        <v>0</v>
      </c>
      <c r="O293">
        <f t="shared" si="90"/>
        <v>2</v>
      </c>
      <c r="P293">
        <f t="shared" si="90"/>
        <v>53</v>
      </c>
      <c r="Q293" s="14">
        <f t="shared" si="85"/>
        <v>173</v>
      </c>
      <c r="R293" s="13">
        <f t="shared" si="86"/>
        <v>0</v>
      </c>
      <c r="S293">
        <f t="shared" si="87"/>
        <v>2</v>
      </c>
      <c r="T293">
        <f t="shared" si="88"/>
        <v>53</v>
      </c>
      <c r="U293" s="14">
        <f t="shared" si="89"/>
        <v>173</v>
      </c>
      <c r="V293" s="15"/>
      <c r="Z293" s="14"/>
    </row>
    <row r="294" spans="1:26" hidden="1" x14ac:dyDescent="0.25">
      <c r="A294" s="16"/>
      <c r="B294" s="17" t="b">
        <f t="shared" si="74"/>
        <v>0</v>
      </c>
      <c r="C294" s="17" t="b">
        <f t="shared" si="84"/>
        <v>0</v>
      </c>
      <c r="D294" s="17">
        <f t="shared" si="81"/>
        <v>1</v>
      </c>
      <c r="E294" s="17" t="str">
        <f t="shared" si="82"/>
        <v>6. Conclusion</v>
      </c>
      <c r="F294" s="18" t="str">
        <f t="shared" si="73"/>
        <v/>
      </c>
      <c r="G294" s="13" t="str">
        <f t="shared" si="75"/>
        <v/>
      </c>
      <c r="H294">
        <f t="shared" si="76"/>
        <v>0</v>
      </c>
      <c r="I294" s="14">
        <f t="shared" si="83"/>
        <v>0</v>
      </c>
      <c r="J294" s="13">
        <f t="shared" si="77"/>
        <v>4529</v>
      </c>
      <c r="K294">
        <f t="shared" si="78"/>
        <v>1</v>
      </c>
      <c r="L294">
        <f t="shared" si="79"/>
        <v>15</v>
      </c>
      <c r="M294" s="14">
        <f t="shared" si="80"/>
        <v>29</v>
      </c>
      <c r="N294" s="13">
        <f t="shared" si="90"/>
        <v>0</v>
      </c>
      <c r="O294">
        <f t="shared" si="90"/>
        <v>2</v>
      </c>
      <c r="P294">
        <f t="shared" si="90"/>
        <v>53</v>
      </c>
      <c r="Q294" s="14">
        <f t="shared" si="85"/>
        <v>173</v>
      </c>
      <c r="R294" s="13">
        <f t="shared" si="86"/>
        <v>0</v>
      </c>
      <c r="S294">
        <f t="shared" si="87"/>
        <v>2</v>
      </c>
      <c r="T294">
        <f t="shared" si="88"/>
        <v>53</v>
      </c>
      <c r="U294" s="14">
        <f t="shared" si="89"/>
        <v>173</v>
      </c>
      <c r="V294" s="15"/>
      <c r="Z294" s="14"/>
    </row>
    <row r="295" spans="1:26" hidden="1" x14ac:dyDescent="0.25">
      <c r="A295" s="16"/>
      <c r="B295" s="17" t="b">
        <f t="shared" si="74"/>
        <v>0</v>
      </c>
      <c r="C295" s="17" t="b">
        <f t="shared" si="84"/>
        <v>0</v>
      </c>
      <c r="D295" s="17">
        <f t="shared" si="81"/>
        <v>1</v>
      </c>
      <c r="E295" s="17" t="str">
        <f t="shared" si="82"/>
        <v>6. Conclusion</v>
      </c>
      <c r="F295" s="18" t="str">
        <f t="shared" si="73"/>
        <v/>
      </c>
      <c r="G295" s="13" t="str">
        <f t="shared" si="75"/>
        <v/>
      </c>
      <c r="H295">
        <f t="shared" si="76"/>
        <v>0</v>
      </c>
      <c r="I295" s="14">
        <f t="shared" si="83"/>
        <v>0</v>
      </c>
      <c r="J295" s="13">
        <f t="shared" si="77"/>
        <v>4529</v>
      </c>
      <c r="K295">
        <f t="shared" si="78"/>
        <v>1</v>
      </c>
      <c r="L295">
        <f t="shared" si="79"/>
        <v>15</v>
      </c>
      <c r="M295" s="14">
        <f t="shared" si="80"/>
        <v>29</v>
      </c>
      <c r="N295" s="13">
        <f t="shared" si="90"/>
        <v>0</v>
      </c>
      <c r="O295">
        <f t="shared" si="90"/>
        <v>2</v>
      </c>
      <c r="P295">
        <f t="shared" si="90"/>
        <v>53</v>
      </c>
      <c r="Q295" s="14">
        <f t="shared" si="85"/>
        <v>173</v>
      </c>
      <c r="R295" s="13">
        <f t="shared" si="86"/>
        <v>0</v>
      </c>
      <c r="S295">
        <f t="shared" si="87"/>
        <v>2</v>
      </c>
      <c r="T295">
        <f t="shared" si="88"/>
        <v>53</v>
      </c>
      <c r="U295" s="14">
        <f t="shared" si="89"/>
        <v>173</v>
      </c>
      <c r="V295" s="15"/>
      <c r="Z295" s="14"/>
    </row>
    <row r="296" spans="1:26" hidden="1" x14ac:dyDescent="0.25">
      <c r="A296" s="16"/>
      <c r="B296" s="17" t="b">
        <f t="shared" si="74"/>
        <v>0</v>
      </c>
      <c r="C296" s="17" t="b">
        <f t="shared" si="84"/>
        <v>0</v>
      </c>
      <c r="D296" s="17">
        <f t="shared" si="81"/>
        <v>1</v>
      </c>
      <c r="E296" s="17" t="str">
        <f t="shared" si="82"/>
        <v>6. Conclusion</v>
      </c>
      <c r="F296" s="18" t="str">
        <f t="shared" si="73"/>
        <v/>
      </c>
      <c r="G296" s="13" t="str">
        <f t="shared" si="75"/>
        <v/>
      </c>
      <c r="H296">
        <f t="shared" si="76"/>
        <v>0</v>
      </c>
      <c r="I296" s="14">
        <f t="shared" si="83"/>
        <v>0</v>
      </c>
      <c r="J296" s="13">
        <f t="shared" si="77"/>
        <v>4529</v>
      </c>
      <c r="K296">
        <f t="shared" si="78"/>
        <v>1</v>
      </c>
      <c r="L296">
        <f t="shared" si="79"/>
        <v>15</v>
      </c>
      <c r="M296" s="14">
        <f t="shared" si="80"/>
        <v>29</v>
      </c>
      <c r="N296" s="13">
        <f t="shared" si="90"/>
        <v>0</v>
      </c>
      <c r="O296">
        <f t="shared" si="90"/>
        <v>2</v>
      </c>
      <c r="P296">
        <f t="shared" si="90"/>
        <v>53</v>
      </c>
      <c r="Q296" s="14">
        <f t="shared" si="85"/>
        <v>173</v>
      </c>
      <c r="R296" s="13">
        <f t="shared" si="86"/>
        <v>0</v>
      </c>
      <c r="S296">
        <f t="shared" si="87"/>
        <v>2</v>
      </c>
      <c r="T296">
        <f t="shared" si="88"/>
        <v>53</v>
      </c>
      <c r="U296" s="14">
        <f t="shared" si="89"/>
        <v>173</v>
      </c>
      <c r="V296" s="15"/>
      <c r="Z296" s="14"/>
    </row>
    <row r="297" spans="1:26" hidden="1" x14ac:dyDescent="0.25">
      <c r="A297" s="16"/>
      <c r="B297" s="17" t="b">
        <f t="shared" si="74"/>
        <v>0</v>
      </c>
      <c r="C297" s="17" t="b">
        <f t="shared" si="84"/>
        <v>0</v>
      </c>
      <c r="D297" s="17">
        <f t="shared" si="81"/>
        <v>1</v>
      </c>
      <c r="E297" s="17" t="str">
        <f t="shared" si="82"/>
        <v>6. Conclusion</v>
      </c>
      <c r="F297" s="18" t="str">
        <f t="shared" si="73"/>
        <v/>
      </c>
      <c r="G297" s="13" t="str">
        <f t="shared" si="75"/>
        <v/>
      </c>
      <c r="H297">
        <f t="shared" si="76"/>
        <v>0</v>
      </c>
      <c r="I297" s="14">
        <f t="shared" si="83"/>
        <v>0</v>
      </c>
      <c r="J297" s="13">
        <f t="shared" si="77"/>
        <v>4529</v>
      </c>
      <c r="K297">
        <f t="shared" si="78"/>
        <v>1</v>
      </c>
      <c r="L297">
        <f t="shared" si="79"/>
        <v>15</v>
      </c>
      <c r="M297" s="14">
        <f t="shared" si="80"/>
        <v>29</v>
      </c>
      <c r="N297" s="13">
        <f t="shared" si="90"/>
        <v>0</v>
      </c>
      <c r="O297">
        <f t="shared" si="90"/>
        <v>2</v>
      </c>
      <c r="P297">
        <f t="shared" si="90"/>
        <v>53</v>
      </c>
      <c r="Q297" s="14">
        <f t="shared" si="85"/>
        <v>173</v>
      </c>
      <c r="R297" s="13">
        <f t="shared" si="86"/>
        <v>0</v>
      </c>
      <c r="S297">
        <f t="shared" si="87"/>
        <v>2</v>
      </c>
      <c r="T297">
        <f t="shared" si="88"/>
        <v>53</v>
      </c>
      <c r="U297" s="14">
        <f t="shared" si="89"/>
        <v>173</v>
      </c>
      <c r="V297" s="15"/>
      <c r="Z297" s="14"/>
    </row>
    <row r="298" spans="1:26" hidden="1" x14ac:dyDescent="0.25">
      <c r="A298" s="16"/>
      <c r="B298" s="17" t="b">
        <f t="shared" si="74"/>
        <v>0</v>
      </c>
      <c r="C298" s="17" t="b">
        <f t="shared" si="84"/>
        <v>0</v>
      </c>
      <c r="D298" s="17">
        <f t="shared" si="81"/>
        <v>1</v>
      </c>
      <c r="E298" s="17" t="str">
        <f t="shared" si="82"/>
        <v>6. Conclusion</v>
      </c>
      <c r="F298" s="18" t="str">
        <f t="shared" si="73"/>
        <v/>
      </c>
      <c r="G298" s="13" t="str">
        <f t="shared" si="75"/>
        <v/>
      </c>
      <c r="H298">
        <f t="shared" si="76"/>
        <v>0</v>
      </c>
      <c r="I298" s="14">
        <f t="shared" si="83"/>
        <v>0</v>
      </c>
      <c r="J298" s="13">
        <f t="shared" si="77"/>
        <v>4529</v>
      </c>
      <c r="K298">
        <f t="shared" si="78"/>
        <v>1</v>
      </c>
      <c r="L298">
        <f t="shared" si="79"/>
        <v>15</v>
      </c>
      <c r="M298" s="14">
        <f t="shared" si="80"/>
        <v>29</v>
      </c>
      <c r="N298" s="13">
        <f t="shared" si="90"/>
        <v>0</v>
      </c>
      <c r="O298">
        <f t="shared" si="90"/>
        <v>2</v>
      </c>
      <c r="P298">
        <f t="shared" si="90"/>
        <v>53</v>
      </c>
      <c r="Q298" s="14">
        <f t="shared" si="85"/>
        <v>173</v>
      </c>
      <c r="R298" s="13">
        <f t="shared" si="86"/>
        <v>0</v>
      </c>
      <c r="S298">
        <f t="shared" si="87"/>
        <v>2</v>
      </c>
      <c r="T298">
        <f t="shared" si="88"/>
        <v>53</v>
      </c>
      <c r="U298" s="14">
        <f t="shared" si="89"/>
        <v>173</v>
      </c>
      <c r="V298" s="15"/>
      <c r="Z298" s="14"/>
    </row>
    <row r="299" spans="1:26" hidden="1" x14ac:dyDescent="0.25">
      <c r="A299" s="16"/>
      <c r="B299" s="17" t="b">
        <f t="shared" si="74"/>
        <v>0</v>
      </c>
      <c r="C299" s="17" t="b">
        <f t="shared" si="84"/>
        <v>0</v>
      </c>
      <c r="D299" s="17">
        <f t="shared" si="81"/>
        <v>1</v>
      </c>
      <c r="E299" s="17" t="str">
        <f t="shared" si="82"/>
        <v>6. Conclusion</v>
      </c>
      <c r="F299" s="18" t="str">
        <f t="shared" si="73"/>
        <v/>
      </c>
      <c r="G299" s="13" t="str">
        <f t="shared" si="75"/>
        <v/>
      </c>
      <c r="H299">
        <f t="shared" si="76"/>
        <v>0</v>
      </c>
      <c r="I299" s="14">
        <f t="shared" si="83"/>
        <v>0</v>
      </c>
      <c r="J299" s="13">
        <f t="shared" si="77"/>
        <v>4529</v>
      </c>
      <c r="K299">
        <f t="shared" si="78"/>
        <v>1</v>
      </c>
      <c r="L299">
        <f t="shared" si="79"/>
        <v>15</v>
      </c>
      <c r="M299" s="14">
        <f t="shared" si="80"/>
        <v>29</v>
      </c>
      <c r="N299" s="13">
        <f t="shared" si="90"/>
        <v>0</v>
      </c>
      <c r="O299">
        <f t="shared" si="90"/>
        <v>2</v>
      </c>
      <c r="P299">
        <f t="shared" si="90"/>
        <v>53</v>
      </c>
      <c r="Q299" s="14">
        <f t="shared" si="85"/>
        <v>173</v>
      </c>
      <c r="R299" s="13">
        <f t="shared" si="86"/>
        <v>0</v>
      </c>
      <c r="S299">
        <f t="shared" si="87"/>
        <v>2</v>
      </c>
      <c r="T299">
        <f t="shared" si="88"/>
        <v>53</v>
      </c>
      <c r="U299" s="14">
        <f t="shared" si="89"/>
        <v>173</v>
      </c>
      <c r="V299" s="15"/>
      <c r="Z299" s="14"/>
    </row>
    <row r="300" spans="1:26" hidden="1" x14ac:dyDescent="0.25">
      <c r="A300" s="16"/>
      <c r="B300" s="17" t="b">
        <f t="shared" si="74"/>
        <v>0</v>
      </c>
      <c r="C300" s="17" t="b">
        <f t="shared" si="84"/>
        <v>0</v>
      </c>
      <c r="D300" s="17">
        <f t="shared" si="81"/>
        <v>1</v>
      </c>
      <c r="E300" s="17" t="str">
        <f t="shared" si="82"/>
        <v>6. Conclusion</v>
      </c>
      <c r="F300" s="18" t="str">
        <f t="shared" si="73"/>
        <v/>
      </c>
      <c r="G300" s="13" t="str">
        <f t="shared" si="75"/>
        <v/>
      </c>
      <c r="H300">
        <f t="shared" si="76"/>
        <v>0</v>
      </c>
      <c r="I300" s="14">
        <f t="shared" si="83"/>
        <v>0</v>
      </c>
      <c r="J300" s="13">
        <f t="shared" si="77"/>
        <v>4529</v>
      </c>
      <c r="K300">
        <f t="shared" si="78"/>
        <v>1</v>
      </c>
      <c r="L300">
        <f t="shared" si="79"/>
        <v>15</v>
      </c>
      <c r="M300" s="14">
        <f t="shared" si="80"/>
        <v>29</v>
      </c>
      <c r="N300" s="13">
        <f t="shared" si="90"/>
        <v>0</v>
      </c>
      <c r="O300">
        <f t="shared" si="90"/>
        <v>2</v>
      </c>
      <c r="P300">
        <f t="shared" si="90"/>
        <v>53</v>
      </c>
      <c r="Q300" s="14">
        <f t="shared" si="85"/>
        <v>173</v>
      </c>
      <c r="R300" s="13">
        <f t="shared" si="86"/>
        <v>0</v>
      </c>
      <c r="S300">
        <f t="shared" si="87"/>
        <v>2</v>
      </c>
      <c r="T300">
        <f t="shared" si="88"/>
        <v>53</v>
      </c>
      <c r="U300" s="14">
        <f t="shared" si="89"/>
        <v>173</v>
      </c>
      <c r="V300" s="15"/>
      <c r="Z300" s="14"/>
    </row>
    <row r="301" spans="1:26" hidden="1" x14ac:dyDescent="0.25">
      <c r="A301" s="16"/>
      <c r="B301" s="17" t="b">
        <f t="shared" si="74"/>
        <v>0</v>
      </c>
      <c r="C301" s="17" t="b">
        <f t="shared" si="84"/>
        <v>0</v>
      </c>
      <c r="D301" s="17">
        <f t="shared" si="81"/>
        <v>1</v>
      </c>
      <c r="E301" s="17" t="str">
        <f t="shared" si="82"/>
        <v>6. Conclusion</v>
      </c>
      <c r="F301" s="18" t="str">
        <f t="shared" si="73"/>
        <v/>
      </c>
      <c r="G301" s="13" t="str">
        <f t="shared" si="75"/>
        <v/>
      </c>
      <c r="H301">
        <f t="shared" si="76"/>
        <v>0</v>
      </c>
      <c r="I301" s="14">
        <f t="shared" si="83"/>
        <v>0</v>
      </c>
      <c r="J301" s="13">
        <f t="shared" si="77"/>
        <v>4529</v>
      </c>
      <c r="K301">
        <f t="shared" si="78"/>
        <v>1</v>
      </c>
      <c r="L301">
        <f t="shared" si="79"/>
        <v>15</v>
      </c>
      <c r="M301" s="14">
        <f t="shared" si="80"/>
        <v>29</v>
      </c>
      <c r="N301" s="13">
        <f t="shared" si="90"/>
        <v>0</v>
      </c>
      <c r="O301">
        <f t="shared" si="90"/>
        <v>2</v>
      </c>
      <c r="P301">
        <f t="shared" si="90"/>
        <v>53</v>
      </c>
      <c r="Q301" s="14">
        <f t="shared" si="85"/>
        <v>173</v>
      </c>
      <c r="R301" s="13">
        <f t="shared" si="86"/>
        <v>0</v>
      </c>
      <c r="S301">
        <f t="shared" si="87"/>
        <v>2</v>
      </c>
      <c r="T301">
        <f t="shared" si="88"/>
        <v>53</v>
      </c>
      <c r="U301" s="14">
        <f t="shared" si="89"/>
        <v>173</v>
      </c>
      <c r="V301" s="15"/>
      <c r="Z301" s="14"/>
    </row>
    <row r="302" spans="1:26" hidden="1" x14ac:dyDescent="0.25">
      <c r="A302" s="16"/>
      <c r="B302" s="17" t="b">
        <f t="shared" si="74"/>
        <v>0</v>
      </c>
      <c r="C302" s="17" t="b">
        <f t="shared" si="84"/>
        <v>0</v>
      </c>
      <c r="D302" s="17">
        <f t="shared" si="81"/>
        <v>1</v>
      </c>
      <c r="E302" s="17" t="str">
        <f t="shared" si="82"/>
        <v>6. Conclusion</v>
      </c>
      <c r="F302" s="18" t="str">
        <f t="shared" si="73"/>
        <v/>
      </c>
      <c r="G302" s="13" t="str">
        <f t="shared" si="75"/>
        <v/>
      </c>
      <c r="H302">
        <f t="shared" si="76"/>
        <v>0</v>
      </c>
      <c r="I302" s="14">
        <f t="shared" si="83"/>
        <v>0</v>
      </c>
      <c r="J302" s="13">
        <f t="shared" si="77"/>
        <v>4529</v>
      </c>
      <c r="K302">
        <f t="shared" si="78"/>
        <v>1</v>
      </c>
      <c r="L302">
        <f t="shared" si="79"/>
        <v>15</v>
      </c>
      <c r="M302" s="14">
        <f t="shared" si="80"/>
        <v>29</v>
      </c>
      <c r="N302" s="13">
        <f t="shared" si="90"/>
        <v>0</v>
      </c>
      <c r="O302">
        <f t="shared" si="90"/>
        <v>2</v>
      </c>
      <c r="P302">
        <f t="shared" si="90"/>
        <v>53</v>
      </c>
      <c r="Q302" s="14">
        <f t="shared" si="85"/>
        <v>173</v>
      </c>
      <c r="R302" s="13">
        <f t="shared" si="86"/>
        <v>0</v>
      </c>
      <c r="S302">
        <f t="shared" si="87"/>
        <v>2</v>
      </c>
      <c r="T302">
        <f t="shared" si="88"/>
        <v>53</v>
      </c>
      <c r="U302" s="14">
        <f t="shared" si="89"/>
        <v>173</v>
      </c>
      <c r="V302" s="15"/>
      <c r="Z302" s="14"/>
    </row>
    <row r="303" spans="1:26" hidden="1" x14ac:dyDescent="0.25">
      <c r="A303" s="16"/>
      <c r="B303" s="17" t="b">
        <f t="shared" si="74"/>
        <v>0</v>
      </c>
      <c r="C303" s="17" t="b">
        <f t="shared" si="84"/>
        <v>0</v>
      </c>
      <c r="D303" s="17">
        <f t="shared" si="81"/>
        <v>1</v>
      </c>
      <c r="E303" s="17" t="str">
        <f t="shared" si="82"/>
        <v>6. Conclusion</v>
      </c>
      <c r="F303" s="18" t="str">
        <f t="shared" si="73"/>
        <v/>
      </c>
      <c r="G303" s="13" t="str">
        <f t="shared" si="75"/>
        <v/>
      </c>
      <c r="H303">
        <f t="shared" si="76"/>
        <v>0</v>
      </c>
      <c r="I303" s="14">
        <f t="shared" si="83"/>
        <v>0</v>
      </c>
      <c r="J303" s="13">
        <f t="shared" si="77"/>
        <v>4529</v>
      </c>
      <c r="K303">
        <f t="shared" si="78"/>
        <v>1</v>
      </c>
      <c r="L303">
        <f t="shared" si="79"/>
        <v>15</v>
      </c>
      <c r="M303" s="14">
        <f t="shared" si="80"/>
        <v>29</v>
      </c>
      <c r="N303" s="13">
        <f t="shared" si="90"/>
        <v>0</v>
      </c>
      <c r="O303">
        <f t="shared" si="90"/>
        <v>2</v>
      </c>
      <c r="P303">
        <f t="shared" si="90"/>
        <v>53</v>
      </c>
      <c r="Q303" s="14">
        <f t="shared" si="85"/>
        <v>173</v>
      </c>
      <c r="R303" s="13">
        <f t="shared" si="86"/>
        <v>0</v>
      </c>
      <c r="S303">
        <f t="shared" si="87"/>
        <v>2</v>
      </c>
      <c r="T303">
        <f t="shared" si="88"/>
        <v>53</v>
      </c>
      <c r="U303" s="14">
        <f t="shared" si="89"/>
        <v>173</v>
      </c>
      <c r="V303" s="15"/>
      <c r="Z303" s="14"/>
    </row>
    <row r="304" spans="1:26" hidden="1" x14ac:dyDescent="0.25">
      <c r="A304" s="16"/>
      <c r="B304" s="17" t="b">
        <f t="shared" si="74"/>
        <v>0</v>
      </c>
      <c r="C304" s="17" t="b">
        <f t="shared" si="84"/>
        <v>0</v>
      </c>
      <c r="D304" s="17">
        <f t="shared" si="81"/>
        <v>1</v>
      </c>
      <c r="E304" s="17" t="str">
        <f t="shared" si="82"/>
        <v>6. Conclusion</v>
      </c>
      <c r="F304" s="18" t="str">
        <f t="shared" si="73"/>
        <v/>
      </c>
      <c r="G304" s="13" t="str">
        <f t="shared" si="75"/>
        <v/>
      </c>
      <c r="H304">
        <f t="shared" si="76"/>
        <v>0</v>
      </c>
      <c r="I304" s="14">
        <f t="shared" si="83"/>
        <v>0</v>
      </c>
      <c r="J304" s="13">
        <f t="shared" si="77"/>
        <v>4529</v>
      </c>
      <c r="K304">
        <f t="shared" si="78"/>
        <v>1</v>
      </c>
      <c r="L304">
        <f t="shared" si="79"/>
        <v>15</v>
      </c>
      <c r="M304" s="14">
        <f t="shared" si="80"/>
        <v>29</v>
      </c>
      <c r="N304" s="13">
        <f t="shared" si="90"/>
        <v>0</v>
      </c>
      <c r="O304">
        <f t="shared" si="90"/>
        <v>2</v>
      </c>
      <c r="P304">
        <f t="shared" si="90"/>
        <v>53</v>
      </c>
      <c r="Q304" s="14">
        <f t="shared" si="85"/>
        <v>173</v>
      </c>
      <c r="R304" s="13">
        <f t="shared" si="86"/>
        <v>0</v>
      </c>
      <c r="S304">
        <f t="shared" si="87"/>
        <v>2</v>
      </c>
      <c r="T304">
        <f t="shared" si="88"/>
        <v>53</v>
      </c>
      <c r="U304" s="14">
        <f t="shared" si="89"/>
        <v>173</v>
      </c>
      <c r="V304" s="15"/>
      <c r="Z304" s="14"/>
    </row>
    <row r="305" spans="1:26" hidden="1" x14ac:dyDescent="0.25">
      <c r="A305" s="16"/>
      <c r="B305" s="17" t="b">
        <f t="shared" si="74"/>
        <v>0</v>
      </c>
      <c r="C305" s="17" t="b">
        <f t="shared" si="84"/>
        <v>0</v>
      </c>
      <c r="D305" s="17">
        <f t="shared" si="81"/>
        <v>1</v>
      </c>
      <c r="E305" s="17" t="str">
        <f t="shared" si="82"/>
        <v>6. Conclusion</v>
      </c>
      <c r="F305" s="18" t="str">
        <f t="shared" si="73"/>
        <v/>
      </c>
      <c r="G305" s="13" t="str">
        <f t="shared" si="75"/>
        <v/>
      </c>
      <c r="H305">
        <f t="shared" si="76"/>
        <v>0</v>
      </c>
      <c r="I305" s="14">
        <f t="shared" si="83"/>
        <v>0</v>
      </c>
      <c r="J305" s="13">
        <f t="shared" si="77"/>
        <v>4529</v>
      </c>
      <c r="K305">
        <f t="shared" si="78"/>
        <v>1</v>
      </c>
      <c r="L305">
        <f t="shared" si="79"/>
        <v>15</v>
      </c>
      <c r="M305" s="14">
        <f t="shared" si="80"/>
        <v>29</v>
      </c>
      <c r="N305" s="13">
        <f t="shared" si="90"/>
        <v>0</v>
      </c>
      <c r="O305">
        <f t="shared" si="90"/>
        <v>2</v>
      </c>
      <c r="P305">
        <f t="shared" si="90"/>
        <v>53</v>
      </c>
      <c r="Q305" s="14">
        <f t="shared" si="85"/>
        <v>173</v>
      </c>
      <c r="R305" s="13">
        <f t="shared" si="86"/>
        <v>0</v>
      </c>
      <c r="S305">
        <f t="shared" si="87"/>
        <v>2</v>
      </c>
      <c r="T305">
        <f t="shared" si="88"/>
        <v>53</v>
      </c>
      <c r="U305" s="14">
        <f t="shared" si="89"/>
        <v>173</v>
      </c>
      <c r="V305" s="15"/>
      <c r="Z305" s="14"/>
    </row>
    <row r="306" spans="1:26" hidden="1" x14ac:dyDescent="0.25">
      <c r="A306" s="16"/>
      <c r="B306" s="17" t="b">
        <f t="shared" si="74"/>
        <v>0</v>
      </c>
      <c r="C306" s="17" t="b">
        <f t="shared" si="84"/>
        <v>0</v>
      </c>
      <c r="D306" s="17">
        <f t="shared" si="81"/>
        <v>1</v>
      </c>
      <c r="E306" s="17" t="str">
        <f t="shared" si="82"/>
        <v>6. Conclusion</v>
      </c>
      <c r="F306" s="18" t="str">
        <f t="shared" si="73"/>
        <v/>
      </c>
      <c r="G306" s="13" t="str">
        <f t="shared" si="75"/>
        <v/>
      </c>
      <c r="H306">
        <f t="shared" si="76"/>
        <v>0</v>
      </c>
      <c r="I306" s="14">
        <f t="shared" si="83"/>
        <v>0</v>
      </c>
      <c r="J306" s="13">
        <f t="shared" si="77"/>
        <v>4529</v>
      </c>
      <c r="K306">
        <f t="shared" si="78"/>
        <v>1</v>
      </c>
      <c r="L306">
        <f t="shared" si="79"/>
        <v>15</v>
      </c>
      <c r="M306" s="14">
        <f t="shared" si="80"/>
        <v>29</v>
      </c>
      <c r="N306" s="13">
        <f t="shared" si="90"/>
        <v>0</v>
      </c>
      <c r="O306">
        <f t="shared" si="90"/>
        <v>2</v>
      </c>
      <c r="P306">
        <f t="shared" si="90"/>
        <v>53</v>
      </c>
      <c r="Q306" s="14">
        <f t="shared" si="85"/>
        <v>173</v>
      </c>
      <c r="R306" s="13">
        <f t="shared" si="86"/>
        <v>0</v>
      </c>
      <c r="S306">
        <f t="shared" si="87"/>
        <v>2</v>
      </c>
      <c r="T306">
        <f t="shared" si="88"/>
        <v>53</v>
      </c>
      <c r="U306" s="14">
        <f t="shared" si="89"/>
        <v>173</v>
      </c>
      <c r="V306" s="15"/>
      <c r="Z306" s="14"/>
    </row>
    <row r="307" spans="1:26" hidden="1" x14ac:dyDescent="0.25">
      <c r="A307" s="16"/>
      <c r="B307" s="17" t="b">
        <f t="shared" si="74"/>
        <v>0</v>
      </c>
      <c r="C307" s="17" t="b">
        <f t="shared" si="84"/>
        <v>0</v>
      </c>
      <c r="D307" s="17">
        <f t="shared" si="81"/>
        <v>1</v>
      </c>
      <c r="E307" s="17" t="str">
        <f t="shared" si="82"/>
        <v>6. Conclusion</v>
      </c>
      <c r="F307" s="18" t="str">
        <f t="shared" si="73"/>
        <v/>
      </c>
      <c r="G307" s="13" t="str">
        <f t="shared" si="75"/>
        <v/>
      </c>
      <c r="H307">
        <f t="shared" si="76"/>
        <v>0</v>
      </c>
      <c r="I307" s="14">
        <f t="shared" si="83"/>
        <v>0</v>
      </c>
      <c r="J307" s="13">
        <f t="shared" si="77"/>
        <v>4529</v>
      </c>
      <c r="K307">
        <f t="shared" si="78"/>
        <v>1</v>
      </c>
      <c r="L307">
        <f t="shared" si="79"/>
        <v>15</v>
      </c>
      <c r="M307" s="14">
        <f t="shared" si="80"/>
        <v>29</v>
      </c>
      <c r="N307" s="13">
        <f t="shared" si="90"/>
        <v>0</v>
      </c>
      <c r="O307">
        <f t="shared" si="90"/>
        <v>2</v>
      </c>
      <c r="P307">
        <f t="shared" si="90"/>
        <v>53</v>
      </c>
      <c r="Q307" s="14">
        <f t="shared" si="85"/>
        <v>173</v>
      </c>
      <c r="R307" s="13">
        <f t="shared" si="86"/>
        <v>0</v>
      </c>
      <c r="S307">
        <f t="shared" si="87"/>
        <v>2</v>
      </c>
      <c r="T307">
        <f t="shared" si="88"/>
        <v>53</v>
      </c>
      <c r="U307" s="14">
        <f t="shared" si="89"/>
        <v>173</v>
      </c>
      <c r="V307" s="15"/>
      <c r="Z307" s="14"/>
    </row>
    <row r="308" spans="1:26" hidden="1" x14ac:dyDescent="0.25">
      <c r="A308" s="16"/>
      <c r="B308" s="17" t="b">
        <f t="shared" si="74"/>
        <v>0</v>
      </c>
      <c r="C308" s="17" t="b">
        <f t="shared" si="84"/>
        <v>0</v>
      </c>
      <c r="D308" s="17">
        <f t="shared" si="81"/>
        <v>1</v>
      </c>
      <c r="E308" s="17" t="str">
        <f t="shared" si="82"/>
        <v>6. Conclusion</v>
      </c>
      <c r="F308" s="18" t="str">
        <f t="shared" si="73"/>
        <v/>
      </c>
      <c r="G308" s="13" t="str">
        <f t="shared" si="75"/>
        <v/>
      </c>
      <c r="H308">
        <f t="shared" si="76"/>
        <v>0</v>
      </c>
      <c r="I308" s="14">
        <f t="shared" si="83"/>
        <v>0</v>
      </c>
      <c r="J308" s="13">
        <f t="shared" si="77"/>
        <v>4529</v>
      </c>
      <c r="K308">
        <f t="shared" si="78"/>
        <v>1</v>
      </c>
      <c r="L308">
        <f t="shared" si="79"/>
        <v>15</v>
      </c>
      <c r="M308" s="14">
        <f t="shared" si="80"/>
        <v>29</v>
      </c>
      <c r="N308" s="13">
        <f t="shared" si="90"/>
        <v>0</v>
      </c>
      <c r="O308">
        <f t="shared" si="90"/>
        <v>2</v>
      </c>
      <c r="P308">
        <f t="shared" si="90"/>
        <v>53</v>
      </c>
      <c r="Q308" s="14">
        <f t="shared" si="85"/>
        <v>173</v>
      </c>
      <c r="R308" s="13">
        <f t="shared" si="86"/>
        <v>0</v>
      </c>
      <c r="S308">
        <f t="shared" si="87"/>
        <v>2</v>
      </c>
      <c r="T308">
        <f t="shared" si="88"/>
        <v>53</v>
      </c>
      <c r="U308" s="14">
        <f t="shared" si="89"/>
        <v>173</v>
      </c>
      <c r="V308" s="15"/>
      <c r="Z308" s="14"/>
    </row>
    <row r="309" spans="1:26" hidden="1" x14ac:dyDescent="0.25">
      <c r="A309" s="16"/>
      <c r="B309" s="17" t="b">
        <f t="shared" si="74"/>
        <v>0</v>
      </c>
      <c r="C309" s="17" t="b">
        <f t="shared" si="84"/>
        <v>0</v>
      </c>
      <c r="D309" s="17">
        <f t="shared" si="81"/>
        <v>1</v>
      </c>
      <c r="E309" s="17" t="str">
        <f t="shared" si="82"/>
        <v>6. Conclusion</v>
      </c>
      <c r="F309" s="18" t="str">
        <f t="shared" ref="F309:F372" si="91">IF(C309,D309&amp;". "&amp;A309,IF(A309="Chapter Quiz",A309,""))</f>
        <v/>
      </c>
      <c r="G309" s="13" t="str">
        <f t="shared" si="75"/>
        <v/>
      </c>
      <c r="H309">
        <f t="shared" si="76"/>
        <v>0</v>
      </c>
      <c r="I309" s="14">
        <f t="shared" si="83"/>
        <v>0</v>
      </c>
      <c r="J309" s="13">
        <f t="shared" si="77"/>
        <v>4529</v>
      </c>
      <c r="K309">
        <f t="shared" si="78"/>
        <v>1</v>
      </c>
      <c r="L309">
        <f t="shared" si="79"/>
        <v>15</v>
      </c>
      <c r="M309" s="14">
        <f t="shared" si="80"/>
        <v>29</v>
      </c>
      <c r="N309" s="13">
        <f t="shared" si="90"/>
        <v>0</v>
      </c>
      <c r="O309">
        <f t="shared" si="90"/>
        <v>2</v>
      </c>
      <c r="P309">
        <f t="shared" si="90"/>
        <v>53</v>
      </c>
      <c r="Q309" s="14">
        <f t="shared" si="85"/>
        <v>173</v>
      </c>
      <c r="R309" s="13">
        <f t="shared" si="86"/>
        <v>0</v>
      </c>
      <c r="S309">
        <f t="shared" si="87"/>
        <v>2</v>
      </c>
      <c r="T309">
        <f t="shared" si="88"/>
        <v>53</v>
      </c>
      <c r="U309" s="14">
        <f t="shared" si="89"/>
        <v>173</v>
      </c>
      <c r="V309" s="15"/>
      <c r="Z309" s="14"/>
    </row>
    <row r="310" spans="1:26" hidden="1" x14ac:dyDescent="0.25">
      <c r="A310" s="16"/>
      <c r="B310" s="17" t="b">
        <f t="shared" si="74"/>
        <v>0</v>
      </c>
      <c r="C310" s="17" t="b">
        <f t="shared" si="84"/>
        <v>0</v>
      </c>
      <c r="D310" s="17">
        <f t="shared" si="81"/>
        <v>1</v>
      </c>
      <c r="E310" s="17" t="str">
        <f t="shared" si="82"/>
        <v>6. Conclusion</v>
      </c>
      <c r="F310" s="18" t="str">
        <f t="shared" si="91"/>
        <v/>
      </c>
      <c r="G310" s="13" t="str">
        <f t="shared" si="75"/>
        <v/>
      </c>
      <c r="H310">
        <f t="shared" si="76"/>
        <v>0</v>
      </c>
      <c r="I310" s="14">
        <f t="shared" si="83"/>
        <v>0</v>
      </c>
      <c r="J310" s="13">
        <f t="shared" si="77"/>
        <v>4529</v>
      </c>
      <c r="K310">
        <f t="shared" si="78"/>
        <v>1</v>
      </c>
      <c r="L310">
        <f t="shared" si="79"/>
        <v>15</v>
      </c>
      <c r="M310" s="14">
        <f t="shared" si="80"/>
        <v>29</v>
      </c>
      <c r="N310" s="13">
        <f t="shared" si="90"/>
        <v>0</v>
      </c>
      <c r="O310">
        <f t="shared" si="90"/>
        <v>2</v>
      </c>
      <c r="P310">
        <f t="shared" si="90"/>
        <v>53</v>
      </c>
      <c r="Q310" s="14">
        <f t="shared" si="85"/>
        <v>173</v>
      </c>
      <c r="R310" s="13">
        <f t="shared" si="86"/>
        <v>0</v>
      </c>
      <c r="S310">
        <f t="shared" si="87"/>
        <v>2</v>
      </c>
      <c r="T310">
        <f t="shared" si="88"/>
        <v>53</v>
      </c>
      <c r="U310" s="14">
        <f t="shared" si="89"/>
        <v>173</v>
      </c>
      <c r="V310" s="15"/>
      <c r="Z310" s="14"/>
    </row>
    <row r="311" spans="1:26" hidden="1" x14ac:dyDescent="0.25">
      <c r="A311" s="16"/>
      <c r="B311" s="17" t="b">
        <f t="shared" si="74"/>
        <v>0</v>
      </c>
      <c r="C311" s="17" t="b">
        <f t="shared" si="84"/>
        <v>0</v>
      </c>
      <c r="D311" s="17">
        <f t="shared" si="81"/>
        <v>1</v>
      </c>
      <c r="E311" s="17" t="str">
        <f t="shared" si="82"/>
        <v>6. Conclusion</v>
      </c>
      <c r="F311" s="18" t="str">
        <f t="shared" si="91"/>
        <v/>
      </c>
      <c r="G311" s="13" t="str">
        <f t="shared" si="75"/>
        <v/>
      </c>
      <c r="H311">
        <f t="shared" si="76"/>
        <v>0</v>
      </c>
      <c r="I311" s="14">
        <f t="shared" si="83"/>
        <v>0</v>
      </c>
      <c r="J311" s="13">
        <f t="shared" si="77"/>
        <v>4529</v>
      </c>
      <c r="K311">
        <f t="shared" si="78"/>
        <v>1</v>
      </c>
      <c r="L311">
        <f t="shared" si="79"/>
        <v>15</v>
      </c>
      <c r="M311" s="14">
        <f t="shared" si="80"/>
        <v>29</v>
      </c>
      <c r="N311" s="13">
        <f t="shared" si="90"/>
        <v>0</v>
      </c>
      <c r="O311">
        <f t="shared" si="90"/>
        <v>2</v>
      </c>
      <c r="P311">
        <f t="shared" si="90"/>
        <v>53</v>
      </c>
      <c r="Q311" s="14">
        <f t="shared" si="85"/>
        <v>173</v>
      </c>
      <c r="R311" s="13">
        <f t="shared" si="86"/>
        <v>0</v>
      </c>
      <c r="S311">
        <f t="shared" si="87"/>
        <v>2</v>
      </c>
      <c r="T311">
        <f t="shared" si="88"/>
        <v>53</v>
      </c>
      <c r="U311" s="14">
        <f t="shared" si="89"/>
        <v>173</v>
      </c>
      <c r="V311" s="15"/>
      <c r="Z311" s="14"/>
    </row>
    <row r="312" spans="1:26" hidden="1" x14ac:dyDescent="0.25">
      <c r="A312" s="16"/>
      <c r="B312" s="17" t="b">
        <f t="shared" si="74"/>
        <v>0</v>
      </c>
      <c r="C312" s="17" t="b">
        <f t="shared" si="84"/>
        <v>0</v>
      </c>
      <c r="D312" s="17">
        <f t="shared" si="81"/>
        <v>1</v>
      </c>
      <c r="E312" s="17" t="str">
        <f t="shared" si="82"/>
        <v>6. Conclusion</v>
      </c>
      <c r="F312" s="18" t="str">
        <f t="shared" si="91"/>
        <v/>
      </c>
      <c r="G312" s="13" t="str">
        <f t="shared" si="75"/>
        <v/>
      </c>
      <c r="H312">
        <f t="shared" si="76"/>
        <v>0</v>
      </c>
      <c r="I312" s="14">
        <f t="shared" si="83"/>
        <v>0</v>
      </c>
      <c r="J312" s="13">
        <f t="shared" si="77"/>
        <v>4529</v>
      </c>
      <c r="K312">
        <f t="shared" si="78"/>
        <v>1</v>
      </c>
      <c r="L312">
        <f t="shared" si="79"/>
        <v>15</v>
      </c>
      <c r="M312" s="14">
        <f t="shared" si="80"/>
        <v>29</v>
      </c>
      <c r="N312" s="13">
        <f t="shared" si="90"/>
        <v>0</v>
      </c>
      <c r="O312">
        <f t="shared" si="90"/>
        <v>2</v>
      </c>
      <c r="P312">
        <f t="shared" si="90"/>
        <v>53</v>
      </c>
      <c r="Q312" s="14">
        <f t="shared" si="85"/>
        <v>173</v>
      </c>
      <c r="R312" s="13">
        <f t="shared" si="86"/>
        <v>0</v>
      </c>
      <c r="S312">
        <f t="shared" si="87"/>
        <v>2</v>
      </c>
      <c r="T312">
        <f t="shared" si="88"/>
        <v>53</v>
      </c>
      <c r="U312" s="14">
        <f t="shared" si="89"/>
        <v>173</v>
      </c>
      <c r="V312" s="15"/>
      <c r="Z312" s="14"/>
    </row>
    <row r="313" spans="1:26" hidden="1" x14ac:dyDescent="0.25">
      <c r="A313" s="16"/>
      <c r="B313" s="17" t="b">
        <f t="shared" si="74"/>
        <v>0</v>
      </c>
      <c r="C313" s="17" t="b">
        <f t="shared" si="84"/>
        <v>0</v>
      </c>
      <c r="D313" s="17">
        <f t="shared" si="81"/>
        <v>1</v>
      </c>
      <c r="E313" s="17" t="str">
        <f t="shared" si="82"/>
        <v>6. Conclusion</v>
      </c>
      <c r="F313" s="18" t="str">
        <f t="shared" si="91"/>
        <v/>
      </c>
      <c r="G313" s="13" t="str">
        <f t="shared" si="75"/>
        <v/>
      </c>
      <c r="H313">
        <f t="shared" si="76"/>
        <v>0</v>
      </c>
      <c r="I313" s="14">
        <f t="shared" si="83"/>
        <v>0</v>
      </c>
      <c r="J313" s="13">
        <f t="shared" si="77"/>
        <v>4529</v>
      </c>
      <c r="K313">
        <f t="shared" si="78"/>
        <v>1</v>
      </c>
      <c r="L313">
        <f t="shared" si="79"/>
        <v>15</v>
      </c>
      <c r="M313" s="14">
        <f t="shared" si="80"/>
        <v>29</v>
      </c>
      <c r="N313" s="13">
        <f t="shared" si="90"/>
        <v>0</v>
      </c>
      <c r="O313">
        <f t="shared" si="90"/>
        <v>2</v>
      </c>
      <c r="P313">
        <f t="shared" si="90"/>
        <v>53</v>
      </c>
      <c r="Q313" s="14">
        <f t="shared" si="85"/>
        <v>173</v>
      </c>
      <c r="R313" s="13">
        <f t="shared" si="86"/>
        <v>0</v>
      </c>
      <c r="S313">
        <f t="shared" si="87"/>
        <v>2</v>
      </c>
      <c r="T313">
        <f t="shared" si="88"/>
        <v>53</v>
      </c>
      <c r="U313" s="14">
        <f t="shared" si="89"/>
        <v>173</v>
      </c>
      <c r="V313" s="15"/>
      <c r="Z313" s="14"/>
    </row>
    <row r="314" spans="1:26" hidden="1" x14ac:dyDescent="0.25">
      <c r="A314" s="16"/>
      <c r="B314" s="17" t="b">
        <f t="shared" si="74"/>
        <v>0</v>
      </c>
      <c r="C314" s="17" t="b">
        <f t="shared" si="84"/>
        <v>0</v>
      </c>
      <c r="D314" s="17">
        <f t="shared" si="81"/>
        <v>1</v>
      </c>
      <c r="E314" s="17" t="str">
        <f t="shared" si="82"/>
        <v>6. Conclusion</v>
      </c>
      <c r="F314" s="18" t="str">
        <f t="shared" si="91"/>
        <v/>
      </c>
      <c r="G314" s="13" t="str">
        <f t="shared" si="75"/>
        <v/>
      </c>
      <c r="H314">
        <f t="shared" si="76"/>
        <v>0</v>
      </c>
      <c r="I314" s="14">
        <f t="shared" si="83"/>
        <v>0</v>
      </c>
      <c r="J314" s="13">
        <f t="shared" si="77"/>
        <v>4529</v>
      </c>
      <c r="K314">
        <f t="shared" si="78"/>
        <v>1</v>
      </c>
      <c r="L314">
        <f t="shared" si="79"/>
        <v>15</v>
      </c>
      <c r="M314" s="14">
        <f t="shared" si="80"/>
        <v>29</v>
      </c>
      <c r="N314" s="13">
        <f t="shared" si="90"/>
        <v>0</v>
      </c>
      <c r="O314">
        <f t="shared" si="90"/>
        <v>2</v>
      </c>
      <c r="P314">
        <f t="shared" si="90"/>
        <v>53</v>
      </c>
      <c r="Q314" s="14">
        <f t="shared" si="85"/>
        <v>173</v>
      </c>
      <c r="R314" s="13">
        <f t="shared" si="86"/>
        <v>0</v>
      </c>
      <c r="S314">
        <f t="shared" si="87"/>
        <v>2</v>
      </c>
      <c r="T314">
        <f t="shared" si="88"/>
        <v>53</v>
      </c>
      <c r="U314" s="14">
        <f t="shared" si="89"/>
        <v>173</v>
      </c>
      <c r="V314" s="15"/>
      <c r="Z314" s="14"/>
    </row>
    <row r="315" spans="1:26" hidden="1" x14ac:dyDescent="0.25">
      <c r="A315" s="16"/>
      <c r="B315" s="17" t="b">
        <f t="shared" si="74"/>
        <v>0</v>
      </c>
      <c r="C315" s="17" t="b">
        <f t="shared" si="84"/>
        <v>0</v>
      </c>
      <c r="D315" s="17">
        <f t="shared" si="81"/>
        <v>1</v>
      </c>
      <c r="E315" s="17" t="str">
        <f t="shared" si="82"/>
        <v>6. Conclusion</v>
      </c>
      <c r="F315" s="18" t="str">
        <f t="shared" si="91"/>
        <v/>
      </c>
      <c r="G315" s="13" t="str">
        <f t="shared" si="75"/>
        <v/>
      </c>
      <c r="H315">
        <f t="shared" si="76"/>
        <v>0</v>
      </c>
      <c r="I315" s="14">
        <f t="shared" si="83"/>
        <v>0</v>
      </c>
      <c r="J315" s="13">
        <f t="shared" si="77"/>
        <v>4529</v>
      </c>
      <c r="K315">
        <f t="shared" si="78"/>
        <v>1</v>
      </c>
      <c r="L315">
        <f t="shared" si="79"/>
        <v>15</v>
      </c>
      <c r="M315" s="14">
        <f t="shared" si="80"/>
        <v>29</v>
      </c>
      <c r="N315" s="13">
        <f t="shared" si="90"/>
        <v>0</v>
      </c>
      <c r="O315">
        <f t="shared" si="90"/>
        <v>2</v>
      </c>
      <c r="P315">
        <f t="shared" si="90"/>
        <v>53</v>
      </c>
      <c r="Q315" s="14">
        <f t="shared" si="85"/>
        <v>173</v>
      </c>
      <c r="R315" s="13">
        <f t="shared" si="86"/>
        <v>0</v>
      </c>
      <c r="S315">
        <f t="shared" si="87"/>
        <v>2</v>
      </c>
      <c r="T315">
        <f t="shared" si="88"/>
        <v>53</v>
      </c>
      <c r="U315" s="14">
        <f t="shared" si="89"/>
        <v>173</v>
      </c>
      <c r="V315" s="15"/>
      <c r="Z315" s="14"/>
    </row>
    <row r="316" spans="1:26" hidden="1" x14ac:dyDescent="0.25">
      <c r="A316" s="16"/>
      <c r="B316" s="17" t="b">
        <f t="shared" si="74"/>
        <v>0</v>
      </c>
      <c r="C316" s="17" t="b">
        <f t="shared" si="84"/>
        <v>0</v>
      </c>
      <c r="D316" s="17">
        <f t="shared" si="81"/>
        <v>1</v>
      </c>
      <c r="E316" s="17" t="str">
        <f t="shared" si="82"/>
        <v>6. Conclusion</v>
      </c>
      <c r="F316" s="18" t="str">
        <f t="shared" si="91"/>
        <v/>
      </c>
      <c r="G316" s="13" t="str">
        <f t="shared" si="75"/>
        <v/>
      </c>
      <c r="H316">
        <f t="shared" si="76"/>
        <v>0</v>
      </c>
      <c r="I316" s="14">
        <f t="shared" si="83"/>
        <v>0</v>
      </c>
      <c r="J316" s="13">
        <f t="shared" si="77"/>
        <v>4529</v>
      </c>
      <c r="K316">
        <f t="shared" si="78"/>
        <v>1</v>
      </c>
      <c r="L316">
        <f t="shared" si="79"/>
        <v>15</v>
      </c>
      <c r="M316" s="14">
        <f t="shared" si="80"/>
        <v>29</v>
      </c>
      <c r="N316" s="13">
        <f t="shared" si="90"/>
        <v>0</v>
      </c>
      <c r="O316">
        <f t="shared" si="90"/>
        <v>2</v>
      </c>
      <c r="P316">
        <f t="shared" si="90"/>
        <v>53</v>
      </c>
      <c r="Q316" s="14">
        <f t="shared" si="85"/>
        <v>173</v>
      </c>
      <c r="R316" s="13">
        <f t="shared" si="86"/>
        <v>0</v>
      </c>
      <c r="S316">
        <f t="shared" si="87"/>
        <v>2</v>
      </c>
      <c r="T316">
        <f t="shared" si="88"/>
        <v>53</v>
      </c>
      <c r="U316" s="14">
        <f t="shared" si="89"/>
        <v>173</v>
      </c>
      <c r="V316" s="15"/>
      <c r="Z316" s="14"/>
    </row>
    <row r="317" spans="1:26" hidden="1" x14ac:dyDescent="0.25">
      <c r="A317" s="16"/>
      <c r="B317" s="17" t="b">
        <f t="shared" si="74"/>
        <v>0</v>
      </c>
      <c r="C317" s="17" t="b">
        <f t="shared" si="84"/>
        <v>0</v>
      </c>
      <c r="D317" s="17">
        <f t="shared" si="81"/>
        <v>1</v>
      </c>
      <c r="E317" s="17" t="str">
        <f t="shared" si="82"/>
        <v>6. Conclusion</v>
      </c>
      <c r="F317" s="18" t="str">
        <f t="shared" si="91"/>
        <v/>
      </c>
      <c r="G317" s="13" t="str">
        <f t="shared" si="75"/>
        <v/>
      </c>
      <c r="H317">
        <f t="shared" si="76"/>
        <v>0</v>
      </c>
      <c r="I317" s="14">
        <f t="shared" si="83"/>
        <v>0</v>
      </c>
      <c r="J317" s="13">
        <f t="shared" si="77"/>
        <v>4529</v>
      </c>
      <c r="K317">
        <f t="shared" si="78"/>
        <v>1</v>
      </c>
      <c r="L317">
        <f t="shared" si="79"/>
        <v>15</v>
      </c>
      <c r="M317" s="14">
        <f t="shared" si="80"/>
        <v>29</v>
      </c>
      <c r="N317" s="13">
        <f t="shared" si="90"/>
        <v>0</v>
      </c>
      <c r="O317">
        <f t="shared" si="90"/>
        <v>2</v>
      </c>
      <c r="P317">
        <f t="shared" si="90"/>
        <v>53</v>
      </c>
      <c r="Q317" s="14">
        <f t="shared" si="85"/>
        <v>173</v>
      </c>
      <c r="R317" s="13">
        <f t="shared" si="86"/>
        <v>0</v>
      </c>
      <c r="S317">
        <f t="shared" si="87"/>
        <v>2</v>
      </c>
      <c r="T317">
        <f t="shared" si="88"/>
        <v>53</v>
      </c>
      <c r="U317" s="14">
        <f t="shared" si="89"/>
        <v>173</v>
      </c>
      <c r="V317" s="15"/>
      <c r="Z317" s="14"/>
    </row>
    <row r="318" spans="1:26" hidden="1" x14ac:dyDescent="0.25">
      <c r="A318" s="16"/>
      <c r="B318" s="17" t="b">
        <f t="shared" si="74"/>
        <v>0</v>
      </c>
      <c r="C318" s="17" t="b">
        <f t="shared" si="84"/>
        <v>0</v>
      </c>
      <c r="D318" s="17">
        <f t="shared" si="81"/>
        <v>1</v>
      </c>
      <c r="E318" s="17" t="str">
        <f t="shared" si="82"/>
        <v>6. Conclusion</v>
      </c>
      <c r="F318" s="18" t="str">
        <f t="shared" si="91"/>
        <v/>
      </c>
      <c r="G318" s="13" t="str">
        <f t="shared" si="75"/>
        <v/>
      </c>
      <c r="H318">
        <f t="shared" si="76"/>
        <v>0</v>
      </c>
      <c r="I318" s="14">
        <f t="shared" si="83"/>
        <v>0</v>
      </c>
      <c r="J318" s="13">
        <f t="shared" si="77"/>
        <v>4529</v>
      </c>
      <c r="K318">
        <f t="shared" si="78"/>
        <v>1</v>
      </c>
      <c r="L318">
        <f t="shared" si="79"/>
        <v>15</v>
      </c>
      <c r="M318" s="14">
        <f t="shared" si="80"/>
        <v>29</v>
      </c>
      <c r="N318" s="13">
        <f t="shared" si="90"/>
        <v>0</v>
      </c>
      <c r="O318">
        <f t="shared" si="90"/>
        <v>2</v>
      </c>
      <c r="P318">
        <f t="shared" si="90"/>
        <v>53</v>
      </c>
      <c r="Q318" s="14">
        <f t="shared" si="85"/>
        <v>173</v>
      </c>
      <c r="R318" s="13">
        <f t="shared" si="86"/>
        <v>0</v>
      </c>
      <c r="S318">
        <f t="shared" si="87"/>
        <v>2</v>
      </c>
      <c r="T318">
        <f t="shared" si="88"/>
        <v>53</v>
      </c>
      <c r="U318" s="14">
        <f t="shared" si="89"/>
        <v>173</v>
      </c>
      <c r="V318" s="15"/>
      <c r="Z318" s="14"/>
    </row>
    <row r="319" spans="1:26" hidden="1" x14ac:dyDescent="0.25">
      <c r="A319" s="16"/>
      <c r="B319" s="17" t="b">
        <f t="shared" si="74"/>
        <v>0</v>
      </c>
      <c r="C319" s="17" t="b">
        <f t="shared" si="84"/>
        <v>0</v>
      </c>
      <c r="D319" s="17">
        <f t="shared" si="81"/>
        <v>1</v>
      </c>
      <c r="E319" s="17" t="str">
        <f t="shared" si="82"/>
        <v>6. Conclusion</v>
      </c>
      <c r="F319" s="18" t="str">
        <f t="shared" si="91"/>
        <v/>
      </c>
      <c r="G319" s="13" t="str">
        <f t="shared" si="75"/>
        <v/>
      </c>
      <c r="H319">
        <f t="shared" si="76"/>
        <v>0</v>
      </c>
      <c r="I319" s="14">
        <f t="shared" si="83"/>
        <v>0</v>
      </c>
      <c r="J319" s="13">
        <f t="shared" si="77"/>
        <v>4529</v>
      </c>
      <c r="K319">
        <f t="shared" si="78"/>
        <v>1</v>
      </c>
      <c r="L319">
        <f t="shared" si="79"/>
        <v>15</v>
      </c>
      <c r="M319" s="14">
        <f t="shared" si="80"/>
        <v>29</v>
      </c>
      <c r="N319" s="13">
        <f t="shared" si="90"/>
        <v>0</v>
      </c>
      <c r="O319">
        <f t="shared" si="90"/>
        <v>2</v>
      </c>
      <c r="P319">
        <f t="shared" si="90"/>
        <v>53</v>
      </c>
      <c r="Q319" s="14">
        <f t="shared" si="85"/>
        <v>173</v>
      </c>
      <c r="R319" s="13">
        <f t="shared" si="86"/>
        <v>0</v>
      </c>
      <c r="S319">
        <f t="shared" si="87"/>
        <v>2</v>
      </c>
      <c r="T319">
        <f t="shared" si="88"/>
        <v>53</v>
      </c>
      <c r="U319" s="14">
        <f t="shared" si="89"/>
        <v>173</v>
      </c>
      <c r="V319" s="15"/>
      <c r="Z319" s="14"/>
    </row>
    <row r="320" spans="1:26" hidden="1" x14ac:dyDescent="0.25">
      <c r="A320" s="16"/>
      <c r="B320" s="17" t="b">
        <f t="shared" si="74"/>
        <v>0</v>
      </c>
      <c r="C320" s="17" t="b">
        <f t="shared" si="84"/>
        <v>0</v>
      </c>
      <c r="D320" s="17">
        <f t="shared" si="81"/>
        <v>1</v>
      </c>
      <c r="E320" s="17" t="str">
        <f t="shared" si="82"/>
        <v>6. Conclusion</v>
      </c>
      <c r="F320" s="18" t="str">
        <f t="shared" si="91"/>
        <v/>
      </c>
      <c r="G320" s="13" t="str">
        <f t="shared" si="75"/>
        <v/>
      </c>
      <c r="H320">
        <f t="shared" si="76"/>
        <v>0</v>
      </c>
      <c r="I320" s="14">
        <f t="shared" si="83"/>
        <v>0</v>
      </c>
      <c r="J320" s="13">
        <f t="shared" si="77"/>
        <v>4529</v>
      </c>
      <c r="K320">
        <f t="shared" si="78"/>
        <v>1</v>
      </c>
      <c r="L320">
        <f t="shared" si="79"/>
        <v>15</v>
      </c>
      <c r="M320" s="14">
        <f t="shared" si="80"/>
        <v>29</v>
      </c>
      <c r="N320" s="13">
        <f t="shared" si="90"/>
        <v>0</v>
      </c>
      <c r="O320">
        <f t="shared" si="90"/>
        <v>2</v>
      </c>
      <c r="P320">
        <f t="shared" si="90"/>
        <v>53</v>
      </c>
      <c r="Q320" s="14">
        <f t="shared" si="85"/>
        <v>173</v>
      </c>
      <c r="R320" s="13">
        <f t="shared" si="86"/>
        <v>0</v>
      </c>
      <c r="S320">
        <f t="shared" si="87"/>
        <v>2</v>
      </c>
      <c r="T320">
        <f t="shared" si="88"/>
        <v>53</v>
      </c>
      <c r="U320" s="14">
        <f t="shared" si="89"/>
        <v>173</v>
      </c>
      <c r="V320" s="15"/>
      <c r="Z320" s="14"/>
    </row>
    <row r="321" spans="1:26" hidden="1" x14ac:dyDescent="0.25">
      <c r="A321" s="16"/>
      <c r="B321" s="17" t="b">
        <f t="shared" si="74"/>
        <v>0</v>
      </c>
      <c r="C321" s="17" t="b">
        <f t="shared" si="84"/>
        <v>0</v>
      </c>
      <c r="D321" s="17">
        <f t="shared" si="81"/>
        <v>1</v>
      </c>
      <c r="E321" s="17" t="str">
        <f t="shared" si="82"/>
        <v>6. Conclusion</v>
      </c>
      <c r="F321" s="18" t="str">
        <f t="shared" si="91"/>
        <v/>
      </c>
      <c r="G321" s="13" t="str">
        <f t="shared" si="75"/>
        <v/>
      </c>
      <c r="H321">
        <f t="shared" si="76"/>
        <v>0</v>
      </c>
      <c r="I321" s="14">
        <f t="shared" si="83"/>
        <v>0</v>
      </c>
      <c r="J321" s="13">
        <f t="shared" si="77"/>
        <v>4529</v>
      </c>
      <c r="K321">
        <f t="shared" si="78"/>
        <v>1</v>
      </c>
      <c r="L321">
        <f t="shared" si="79"/>
        <v>15</v>
      </c>
      <c r="M321" s="14">
        <f t="shared" si="80"/>
        <v>29</v>
      </c>
      <c r="N321" s="13">
        <f t="shared" si="90"/>
        <v>0</v>
      </c>
      <c r="O321">
        <f t="shared" si="90"/>
        <v>2</v>
      </c>
      <c r="P321">
        <f t="shared" si="90"/>
        <v>53</v>
      </c>
      <c r="Q321" s="14">
        <f t="shared" si="85"/>
        <v>173</v>
      </c>
      <c r="R321" s="13">
        <f t="shared" si="86"/>
        <v>0</v>
      </c>
      <c r="S321">
        <f t="shared" si="87"/>
        <v>2</v>
      </c>
      <c r="T321">
        <f t="shared" si="88"/>
        <v>53</v>
      </c>
      <c r="U321" s="14">
        <f t="shared" si="89"/>
        <v>173</v>
      </c>
      <c r="V321" s="15"/>
      <c r="Z321" s="14"/>
    </row>
    <row r="322" spans="1:26" hidden="1" x14ac:dyDescent="0.25">
      <c r="A322" s="16"/>
      <c r="B322" s="17" t="b">
        <f t="shared" si="74"/>
        <v>0</v>
      </c>
      <c r="C322" s="17" t="b">
        <f t="shared" si="84"/>
        <v>0</v>
      </c>
      <c r="D322" s="17">
        <f t="shared" si="81"/>
        <v>1</v>
      </c>
      <c r="E322" s="17" t="str">
        <f t="shared" si="82"/>
        <v>6. Conclusion</v>
      </c>
      <c r="F322" s="18" t="str">
        <f t="shared" si="91"/>
        <v/>
      </c>
      <c r="G322" s="13" t="str">
        <f t="shared" si="75"/>
        <v/>
      </c>
      <c r="H322">
        <f t="shared" si="76"/>
        <v>0</v>
      </c>
      <c r="I322" s="14">
        <f t="shared" si="83"/>
        <v>0</v>
      </c>
      <c r="J322" s="13">
        <f t="shared" si="77"/>
        <v>4529</v>
      </c>
      <c r="K322">
        <f t="shared" si="78"/>
        <v>1</v>
      </c>
      <c r="L322">
        <f t="shared" si="79"/>
        <v>15</v>
      </c>
      <c r="M322" s="14">
        <f t="shared" si="80"/>
        <v>29</v>
      </c>
      <c r="N322" s="13">
        <f t="shared" si="90"/>
        <v>0</v>
      </c>
      <c r="O322">
        <f t="shared" si="90"/>
        <v>2</v>
      </c>
      <c r="P322">
        <f t="shared" si="90"/>
        <v>53</v>
      </c>
      <c r="Q322" s="14">
        <f t="shared" si="85"/>
        <v>173</v>
      </c>
      <c r="R322" s="13">
        <f t="shared" si="86"/>
        <v>0</v>
      </c>
      <c r="S322">
        <f t="shared" si="87"/>
        <v>2</v>
      </c>
      <c r="T322">
        <f t="shared" si="88"/>
        <v>53</v>
      </c>
      <c r="U322" s="14">
        <f t="shared" si="89"/>
        <v>173</v>
      </c>
      <c r="V322" s="15"/>
      <c r="Z322" s="14"/>
    </row>
    <row r="323" spans="1:26" hidden="1" x14ac:dyDescent="0.25">
      <c r="A323" s="16"/>
      <c r="B323" s="17" t="b">
        <f t="shared" si="74"/>
        <v>0</v>
      </c>
      <c r="C323" s="17" t="b">
        <f t="shared" si="84"/>
        <v>0</v>
      </c>
      <c r="D323" s="17">
        <f t="shared" si="81"/>
        <v>1</v>
      </c>
      <c r="E323" s="17" t="str">
        <f t="shared" si="82"/>
        <v>6. Conclusion</v>
      </c>
      <c r="F323" s="18" t="str">
        <f t="shared" si="91"/>
        <v/>
      </c>
      <c r="G323" s="13" t="str">
        <f t="shared" si="75"/>
        <v/>
      </c>
      <c r="H323">
        <f t="shared" si="76"/>
        <v>0</v>
      </c>
      <c r="I323" s="14">
        <f t="shared" si="83"/>
        <v>0</v>
      </c>
      <c r="J323" s="13">
        <f t="shared" si="77"/>
        <v>4529</v>
      </c>
      <c r="K323">
        <f t="shared" si="78"/>
        <v>1</v>
      </c>
      <c r="L323">
        <f t="shared" si="79"/>
        <v>15</v>
      </c>
      <c r="M323" s="14">
        <f t="shared" si="80"/>
        <v>29</v>
      </c>
      <c r="N323" s="13">
        <f t="shared" si="90"/>
        <v>0</v>
      </c>
      <c r="O323">
        <f t="shared" si="90"/>
        <v>2</v>
      </c>
      <c r="P323">
        <f t="shared" si="90"/>
        <v>53</v>
      </c>
      <c r="Q323" s="14">
        <f t="shared" si="85"/>
        <v>173</v>
      </c>
      <c r="R323" s="13">
        <f t="shared" si="86"/>
        <v>0</v>
      </c>
      <c r="S323">
        <f t="shared" si="87"/>
        <v>2</v>
      </c>
      <c r="T323">
        <f t="shared" si="88"/>
        <v>53</v>
      </c>
      <c r="U323" s="14">
        <f t="shared" si="89"/>
        <v>173</v>
      </c>
      <c r="V323" s="15"/>
      <c r="Z323" s="14"/>
    </row>
    <row r="324" spans="1:26" hidden="1" x14ac:dyDescent="0.25">
      <c r="A324" s="16"/>
      <c r="B324" s="17" t="b">
        <f t="shared" si="74"/>
        <v>0</v>
      </c>
      <c r="C324" s="17" t="b">
        <f t="shared" si="84"/>
        <v>0</v>
      </c>
      <c r="D324" s="17">
        <f t="shared" si="81"/>
        <v>1</v>
      </c>
      <c r="E324" s="17" t="str">
        <f t="shared" si="82"/>
        <v>6. Conclusion</v>
      </c>
      <c r="F324" s="18" t="str">
        <f t="shared" si="91"/>
        <v/>
      </c>
      <c r="G324" s="13" t="str">
        <f t="shared" si="75"/>
        <v/>
      </c>
      <c r="H324">
        <f t="shared" si="76"/>
        <v>0</v>
      </c>
      <c r="I324" s="14">
        <f t="shared" si="83"/>
        <v>0</v>
      </c>
      <c r="J324" s="13">
        <f t="shared" si="77"/>
        <v>4529</v>
      </c>
      <c r="K324">
        <f t="shared" si="78"/>
        <v>1</v>
      </c>
      <c r="L324">
        <f t="shared" si="79"/>
        <v>15</v>
      </c>
      <c r="M324" s="14">
        <f t="shared" si="80"/>
        <v>29</v>
      </c>
      <c r="N324" s="13">
        <f t="shared" si="90"/>
        <v>0</v>
      </c>
      <c r="O324">
        <f t="shared" si="90"/>
        <v>2</v>
      </c>
      <c r="P324">
        <f t="shared" si="90"/>
        <v>53</v>
      </c>
      <c r="Q324" s="14">
        <f t="shared" si="85"/>
        <v>173</v>
      </c>
      <c r="R324" s="13">
        <f t="shared" si="86"/>
        <v>0</v>
      </c>
      <c r="S324">
        <f t="shared" si="87"/>
        <v>2</v>
      </c>
      <c r="T324">
        <f t="shared" si="88"/>
        <v>53</v>
      </c>
      <c r="U324" s="14">
        <f t="shared" si="89"/>
        <v>173</v>
      </c>
      <c r="V324" s="15"/>
      <c r="Z324" s="14"/>
    </row>
    <row r="325" spans="1:26" hidden="1" x14ac:dyDescent="0.25">
      <c r="A325" s="16"/>
      <c r="B325" s="17" t="b">
        <f t="shared" si="74"/>
        <v>0</v>
      </c>
      <c r="C325" s="17" t="b">
        <f t="shared" si="84"/>
        <v>0</v>
      </c>
      <c r="D325" s="17">
        <f t="shared" si="81"/>
        <v>1</v>
      </c>
      <c r="E325" s="17" t="str">
        <f t="shared" si="82"/>
        <v>6. Conclusion</v>
      </c>
      <c r="F325" s="18" t="str">
        <f t="shared" si="91"/>
        <v/>
      </c>
      <c r="G325" s="13" t="str">
        <f t="shared" si="75"/>
        <v/>
      </c>
      <c r="H325">
        <f t="shared" si="76"/>
        <v>0</v>
      </c>
      <c r="I325" s="14">
        <f t="shared" si="83"/>
        <v>0</v>
      </c>
      <c r="J325" s="13">
        <f t="shared" si="77"/>
        <v>4529</v>
      </c>
      <c r="K325">
        <f t="shared" si="78"/>
        <v>1</v>
      </c>
      <c r="L325">
        <f t="shared" si="79"/>
        <v>15</v>
      </c>
      <c r="M325" s="14">
        <f t="shared" si="80"/>
        <v>29</v>
      </c>
      <c r="N325" s="13">
        <f t="shared" si="90"/>
        <v>0</v>
      </c>
      <c r="O325">
        <f t="shared" si="90"/>
        <v>2</v>
      </c>
      <c r="P325">
        <f t="shared" si="90"/>
        <v>53</v>
      </c>
      <c r="Q325" s="14">
        <f t="shared" si="85"/>
        <v>173</v>
      </c>
      <c r="R325" s="13">
        <f t="shared" si="86"/>
        <v>0</v>
      </c>
      <c r="S325">
        <f t="shared" si="87"/>
        <v>2</v>
      </c>
      <c r="T325">
        <f t="shared" si="88"/>
        <v>53</v>
      </c>
      <c r="U325" s="14">
        <f t="shared" si="89"/>
        <v>173</v>
      </c>
      <c r="V325" s="15"/>
      <c r="Z325" s="14"/>
    </row>
    <row r="326" spans="1:26" hidden="1" x14ac:dyDescent="0.25">
      <c r="A326" s="16"/>
      <c r="B326" s="17" t="b">
        <f t="shared" si="74"/>
        <v>0</v>
      </c>
      <c r="C326" s="17" t="b">
        <f t="shared" si="84"/>
        <v>0</v>
      </c>
      <c r="D326" s="17">
        <f t="shared" si="81"/>
        <v>1</v>
      </c>
      <c r="E326" s="17" t="str">
        <f t="shared" si="82"/>
        <v>6. Conclusion</v>
      </c>
      <c r="F326" s="18" t="str">
        <f t="shared" si="91"/>
        <v/>
      </c>
      <c r="G326" s="13" t="str">
        <f t="shared" si="75"/>
        <v/>
      </c>
      <c r="H326">
        <f t="shared" si="76"/>
        <v>0</v>
      </c>
      <c r="I326" s="14">
        <f t="shared" si="83"/>
        <v>0</v>
      </c>
      <c r="J326" s="13">
        <f t="shared" si="77"/>
        <v>4529</v>
      </c>
      <c r="K326">
        <f t="shared" si="78"/>
        <v>1</v>
      </c>
      <c r="L326">
        <f t="shared" si="79"/>
        <v>15</v>
      </c>
      <c r="M326" s="14">
        <f t="shared" si="80"/>
        <v>29</v>
      </c>
      <c r="N326" s="13">
        <f t="shared" si="90"/>
        <v>0</v>
      </c>
      <c r="O326">
        <f t="shared" si="90"/>
        <v>2</v>
      </c>
      <c r="P326">
        <f t="shared" si="90"/>
        <v>53</v>
      </c>
      <c r="Q326" s="14">
        <f t="shared" si="85"/>
        <v>173</v>
      </c>
      <c r="R326" s="13">
        <f t="shared" si="86"/>
        <v>0</v>
      </c>
      <c r="S326">
        <f t="shared" si="87"/>
        <v>2</v>
      </c>
      <c r="T326">
        <f t="shared" si="88"/>
        <v>53</v>
      </c>
      <c r="U326" s="14">
        <f t="shared" si="89"/>
        <v>173</v>
      </c>
      <c r="V326" s="15"/>
      <c r="Z326" s="14"/>
    </row>
    <row r="327" spans="1:26" hidden="1" x14ac:dyDescent="0.25">
      <c r="A327" s="16"/>
      <c r="B327" s="17" t="b">
        <f t="shared" si="74"/>
        <v>0</v>
      </c>
      <c r="C327" s="17" t="b">
        <f t="shared" si="84"/>
        <v>0</v>
      </c>
      <c r="D327" s="17">
        <f t="shared" si="81"/>
        <v>1</v>
      </c>
      <c r="E327" s="17" t="str">
        <f t="shared" si="82"/>
        <v>6. Conclusion</v>
      </c>
      <c r="F327" s="18" t="str">
        <f t="shared" si="91"/>
        <v/>
      </c>
      <c r="G327" s="13" t="str">
        <f t="shared" si="75"/>
        <v/>
      </c>
      <c r="H327">
        <f t="shared" si="76"/>
        <v>0</v>
      </c>
      <c r="I327" s="14">
        <f t="shared" si="83"/>
        <v>0</v>
      </c>
      <c r="J327" s="13">
        <f t="shared" si="77"/>
        <v>4529</v>
      </c>
      <c r="K327">
        <f t="shared" si="78"/>
        <v>1</v>
      </c>
      <c r="L327">
        <f t="shared" si="79"/>
        <v>15</v>
      </c>
      <c r="M327" s="14">
        <f t="shared" si="80"/>
        <v>29</v>
      </c>
      <c r="N327" s="13">
        <f t="shared" si="90"/>
        <v>0</v>
      </c>
      <c r="O327">
        <f t="shared" si="90"/>
        <v>2</v>
      </c>
      <c r="P327">
        <f t="shared" si="90"/>
        <v>53</v>
      </c>
      <c r="Q327" s="14">
        <f t="shared" si="85"/>
        <v>173</v>
      </c>
      <c r="R327" s="13">
        <f t="shared" si="86"/>
        <v>0</v>
      </c>
      <c r="S327">
        <f t="shared" si="87"/>
        <v>2</v>
      </c>
      <c r="T327">
        <f t="shared" si="88"/>
        <v>53</v>
      </c>
      <c r="U327" s="14">
        <f t="shared" si="89"/>
        <v>173</v>
      </c>
      <c r="V327" s="15"/>
      <c r="Z327" s="14"/>
    </row>
    <row r="328" spans="1:26" hidden="1" x14ac:dyDescent="0.25">
      <c r="A328" s="16"/>
      <c r="B328" s="17" t="b">
        <f t="shared" si="74"/>
        <v>0</v>
      </c>
      <c r="C328" s="17" t="b">
        <f t="shared" si="84"/>
        <v>0</v>
      </c>
      <c r="D328" s="17">
        <f t="shared" si="81"/>
        <v>1</v>
      </c>
      <c r="E328" s="17" t="str">
        <f t="shared" si="82"/>
        <v>6. Conclusion</v>
      </c>
      <c r="F328" s="18" t="str">
        <f t="shared" si="91"/>
        <v/>
      </c>
      <c r="G328" s="13" t="str">
        <f t="shared" si="75"/>
        <v/>
      </c>
      <c r="H328">
        <f t="shared" si="76"/>
        <v>0</v>
      </c>
      <c r="I328" s="14">
        <f t="shared" si="83"/>
        <v>0</v>
      </c>
      <c r="J328" s="13">
        <f t="shared" si="77"/>
        <v>4529</v>
      </c>
      <c r="K328">
        <f t="shared" si="78"/>
        <v>1</v>
      </c>
      <c r="L328">
        <f t="shared" si="79"/>
        <v>15</v>
      </c>
      <c r="M328" s="14">
        <f t="shared" si="80"/>
        <v>29</v>
      </c>
      <c r="N328" s="13">
        <f t="shared" si="90"/>
        <v>0</v>
      </c>
      <c r="O328">
        <f t="shared" si="90"/>
        <v>2</v>
      </c>
      <c r="P328">
        <f t="shared" si="90"/>
        <v>53</v>
      </c>
      <c r="Q328" s="14">
        <f t="shared" si="85"/>
        <v>173</v>
      </c>
      <c r="R328" s="13">
        <f t="shared" si="86"/>
        <v>0</v>
      </c>
      <c r="S328">
        <f t="shared" si="87"/>
        <v>2</v>
      </c>
      <c r="T328">
        <f t="shared" si="88"/>
        <v>53</v>
      </c>
      <c r="U328" s="14">
        <f t="shared" si="89"/>
        <v>173</v>
      </c>
      <c r="V328" s="15"/>
      <c r="Z328" s="14"/>
    </row>
    <row r="329" spans="1:26" hidden="1" x14ac:dyDescent="0.25">
      <c r="A329" s="16"/>
      <c r="B329" s="17" t="b">
        <f t="shared" si="74"/>
        <v>0</v>
      </c>
      <c r="C329" s="17" t="b">
        <f t="shared" si="84"/>
        <v>0</v>
      </c>
      <c r="D329" s="17">
        <f t="shared" si="81"/>
        <v>1</v>
      </c>
      <c r="E329" s="17" t="str">
        <f t="shared" si="82"/>
        <v>6. Conclusion</v>
      </c>
      <c r="F329" s="18" t="str">
        <f t="shared" si="91"/>
        <v/>
      </c>
      <c r="G329" s="13" t="str">
        <f t="shared" si="75"/>
        <v/>
      </c>
      <c r="H329">
        <f t="shared" si="76"/>
        <v>0</v>
      </c>
      <c r="I329" s="14">
        <f t="shared" si="83"/>
        <v>0</v>
      </c>
      <c r="J329" s="13">
        <f t="shared" si="77"/>
        <v>4529</v>
      </c>
      <c r="K329">
        <f t="shared" si="78"/>
        <v>1</v>
      </c>
      <c r="L329">
        <f t="shared" si="79"/>
        <v>15</v>
      </c>
      <c r="M329" s="14">
        <f t="shared" si="80"/>
        <v>29</v>
      </c>
      <c r="N329" s="13">
        <f t="shared" si="90"/>
        <v>0</v>
      </c>
      <c r="O329">
        <f t="shared" si="90"/>
        <v>2</v>
      </c>
      <c r="P329">
        <f t="shared" si="90"/>
        <v>53</v>
      </c>
      <c r="Q329" s="14">
        <f t="shared" si="85"/>
        <v>173</v>
      </c>
      <c r="R329" s="13">
        <f t="shared" si="86"/>
        <v>0</v>
      </c>
      <c r="S329">
        <f t="shared" si="87"/>
        <v>2</v>
      </c>
      <c r="T329">
        <f t="shared" si="88"/>
        <v>53</v>
      </c>
      <c r="U329" s="14">
        <f t="shared" si="89"/>
        <v>173</v>
      </c>
      <c r="V329" s="15"/>
      <c r="Z329" s="14"/>
    </row>
    <row r="330" spans="1:26" hidden="1" x14ac:dyDescent="0.25">
      <c r="A330" s="16"/>
      <c r="B330" s="17" t="b">
        <f t="shared" si="74"/>
        <v>0</v>
      </c>
      <c r="C330" s="17" t="b">
        <f t="shared" si="84"/>
        <v>0</v>
      </c>
      <c r="D330" s="17">
        <f t="shared" si="81"/>
        <v>1</v>
      </c>
      <c r="E330" s="17" t="str">
        <f t="shared" si="82"/>
        <v>6. Conclusion</v>
      </c>
      <c r="F330" s="18" t="str">
        <f t="shared" si="91"/>
        <v/>
      </c>
      <c r="G330" s="13" t="str">
        <f t="shared" si="75"/>
        <v/>
      </c>
      <c r="H330">
        <f t="shared" si="76"/>
        <v>0</v>
      </c>
      <c r="I330" s="14">
        <f t="shared" si="83"/>
        <v>0</v>
      </c>
      <c r="J330" s="13">
        <f t="shared" si="77"/>
        <v>4529</v>
      </c>
      <c r="K330">
        <f t="shared" si="78"/>
        <v>1</v>
      </c>
      <c r="L330">
        <f t="shared" si="79"/>
        <v>15</v>
      </c>
      <c r="M330" s="14">
        <f t="shared" si="80"/>
        <v>29</v>
      </c>
      <c r="N330" s="13">
        <f t="shared" si="90"/>
        <v>0</v>
      </c>
      <c r="O330">
        <f t="shared" si="90"/>
        <v>2</v>
      </c>
      <c r="P330">
        <f t="shared" si="90"/>
        <v>53</v>
      </c>
      <c r="Q330" s="14">
        <f t="shared" si="85"/>
        <v>173</v>
      </c>
      <c r="R330" s="13">
        <f t="shared" si="86"/>
        <v>0</v>
      </c>
      <c r="S330">
        <f t="shared" si="87"/>
        <v>2</v>
      </c>
      <c r="T330">
        <f t="shared" si="88"/>
        <v>53</v>
      </c>
      <c r="U330" s="14">
        <f t="shared" si="89"/>
        <v>173</v>
      </c>
      <c r="V330" s="15"/>
      <c r="Z330" s="14"/>
    </row>
    <row r="331" spans="1:26" hidden="1" x14ac:dyDescent="0.25">
      <c r="A331" s="16"/>
      <c r="B331" s="17" t="b">
        <f t="shared" ref="B331:B394" si="92">AND(NOT(ISERROR(FIND(". ",A331))),ISNUMBER(VALUE(LEFT(A331,FIND(". ",A331)-1))))</f>
        <v>0</v>
      </c>
      <c r="C331" s="17" t="b">
        <f t="shared" si="84"/>
        <v>0</v>
      </c>
      <c r="D331" s="17">
        <f t="shared" si="81"/>
        <v>1</v>
      </c>
      <c r="E331" s="17" t="str">
        <f t="shared" si="82"/>
        <v>6. Conclusion</v>
      </c>
      <c r="F331" s="18" t="str">
        <f t="shared" si="91"/>
        <v/>
      </c>
      <c r="G331" s="13" t="str">
        <f t="shared" ref="G331:G394" si="93">IF(C331,IF(ISERROR(FIND("s",A332)),LEFT(A332,FIND("m",A332)),LEFT(A332,FIND("s",A332))),"")</f>
        <v/>
      </c>
      <c r="H331">
        <f t="shared" ref="H331:H394" si="94">IF(OR(G331="",ISERROR(FIND("m",G331))),0,VALUE(LEFT(G331,FIND("m",G331)-1)))</f>
        <v>0</v>
      </c>
      <c r="I331" s="14">
        <f t="shared" si="83"/>
        <v>0</v>
      </c>
      <c r="J331" s="13">
        <f t="shared" ref="J331:J394" si="95">J330+(H331*60+I331)</f>
        <v>4529</v>
      </c>
      <c r="K331">
        <f t="shared" ref="K331:K394" si="96">INT(J331/60/60)</f>
        <v>1</v>
      </c>
      <c r="L331">
        <f t="shared" ref="L331:L394" si="97">INT((J331-(K331*60*60))/60)</f>
        <v>15</v>
      </c>
      <c r="M331" s="14">
        <f t="shared" ref="M331:M394" si="98">J331-(((K331*60)+L331)*60)</f>
        <v>29</v>
      </c>
      <c r="N331" s="13">
        <f t="shared" si="90"/>
        <v>0</v>
      </c>
      <c r="O331">
        <f t="shared" si="90"/>
        <v>2</v>
      </c>
      <c r="P331">
        <f t="shared" si="90"/>
        <v>53</v>
      </c>
      <c r="Q331" s="14">
        <f t="shared" si="85"/>
        <v>173</v>
      </c>
      <c r="R331" s="13">
        <f t="shared" si="86"/>
        <v>0</v>
      </c>
      <c r="S331">
        <f t="shared" si="87"/>
        <v>2</v>
      </c>
      <c r="T331">
        <f t="shared" si="88"/>
        <v>53</v>
      </c>
      <c r="U331" s="14">
        <f t="shared" si="89"/>
        <v>173</v>
      </c>
      <c r="V331" s="15"/>
      <c r="Z331" s="14"/>
    </row>
    <row r="332" spans="1:26" hidden="1" x14ac:dyDescent="0.25">
      <c r="A332" s="16"/>
      <c r="B332" s="17" t="b">
        <f t="shared" si="92"/>
        <v>0</v>
      </c>
      <c r="C332" s="17" t="b">
        <f t="shared" si="84"/>
        <v>0</v>
      </c>
      <c r="D332" s="17">
        <f t="shared" ref="D332:D395" si="99">IF(B332,0,IF(C332,D331+1,D331))</f>
        <v>1</v>
      </c>
      <c r="E332" s="17" t="str">
        <f t="shared" ref="E332:E395" si="100">IF(B332,A332,E331)</f>
        <v>6. Conclusion</v>
      </c>
      <c r="F332" s="18" t="str">
        <f t="shared" si="91"/>
        <v/>
      </c>
      <c r="G332" s="13" t="str">
        <f t="shared" si="93"/>
        <v/>
      </c>
      <c r="H332">
        <f t="shared" si="94"/>
        <v>0</v>
      </c>
      <c r="I332" s="14">
        <f t="shared" ref="I332:I395" si="101">IF(OR(G332="",ISERROR(FIND("s",G332))),0,VALUE(SUBSTITUTE(MID(G332,IF(ISERROR(FIND("m",G332)), 0,FIND("m",G332))+1,LEN(G332)),"s","")))</f>
        <v>0</v>
      </c>
      <c r="J332" s="13">
        <f t="shared" si="95"/>
        <v>4529</v>
      </c>
      <c r="K332">
        <f t="shared" si="96"/>
        <v>1</v>
      </c>
      <c r="L332">
        <f t="shared" si="97"/>
        <v>15</v>
      </c>
      <c r="M332" s="14">
        <f t="shared" si="98"/>
        <v>29</v>
      </c>
      <c r="N332" s="13">
        <f t="shared" si="90"/>
        <v>0</v>
      </c>
      <c r="O332">
        <f t="shared" si="90"/>
        <v>2</v>
      </c>
      <c r="P332">
        <f t="shared" si="90"/>
        <v>53</v>
      </c>
      <c r="Q332" s="14">
        <f t="shared" si="85"/>
        <v>173</v>
      </c>
      <c r="R332" s="13">
        <f t="shared" si="86"/>
        <v>0</v>
      </c>
      <c r="S332">
        <f t="shared" si="87"/>
        <v>2</v>
      </c>
      <c r="T332">
        <f t="shared" si="88"/>
        <v>53</v>
      </c>
      <c r="U332" s="14">
        <f t="shared" si="89"/>
        <v>173</v>
      </c>
      <c r="V332" s="15"/>
      <c r="Z332" s="14"/>
    </row>
    <row r="333" spans="1:26" hidden="1" x14ac:dyDescent="0.25">
      <c r="A333" s="16"/>
      <c r="B333" s="17" t="b">
        <f t="shared" si="92"/>
        <v>0</v>
      </c>
      <c r="C333" s="17" t="b">
        <f t="shared" si="84"/>
        <v>0</v>
      </c>
      <c r="D333" s="17">
        <f t="shared" si="99"/>
        <v>1</v>
      </c>
      <c r="E333" s="17" t="str">
        <f t="shared" si="100"/>
        <v>6. Conclusion</v>
      </c>
      <c r="F333" s="18" t="str">
        <f t="shared" si="91"/>
        <v/>
      </c>
      <c r="G333" s="13" t="str">
        <f t="shared" si="93"/>
        <v/>
      </c>
      <c r="H333">
        <f t="shared" si="94"/>
        <v>0</v>
      </c>
      <c r="I333" s="14">
        <f t="shared" si="101"/>
        <v>0</v>
      </c>
      <c r="J333" s="13">
        <f t="shared" si="95"/>
        <v>4529</v>
      </c>
      <c r="K333">
        <f t="shared" si="96"/>
        <v>1</v>
      </c>
      <c r="L333">
        <f t="shared" si="97"/>
        <v>15</v>
      </c>
      <c r="M333" s="14">
        <f t="shared" si="98"/>
        <v>29</v>
      </c>
      <c r="N333" s="13">
        <f t="shared" si="90"/>
        <v>0</v>
      </c>
      <c r="O333">
        <f t="shared" si="90"/>
        <v>2</v>
      </c>
      <c r="P333">
        <f t="shared" si="90"/>
        <v>53</v>
      </c>
      <c r="Q333" s="14">
        <f t="shared" si="85"/>
        <v>173</v>
      </c>
      <c r="R333" s="13">
        <f t="shared" si="86"/>
        <v>0</v>
      </c>
      <c r="S333">
        <f t="shared" si="87"/>
        <v>2</v>
      </c>
      <c r="T333">
        <f t="shared" si="88"/>
        <v>53</v>
      </c>
      <c r="U333" s="14">
        <f t="shared" si="89"/>
        <v>173</v>
      </c>
      <c r="V333" s="15"/>
      <c r="Z333" s="14"/>
    </row>
    <row r="334" spans="1:26" hidden="1" x14ac:dyDescent="0.25">
      <c r="A334" s="16"/>
      <c r="B334" s="17" t="b">
        <f t="shared" si="92"/>
        <v>0</v>
      </c>
      <c r="C334" s="17" t="b">
        <f t="shared" ref="C334:C397" si="102">OR(AND(NOT(ISERROR(FIND("m",A335))),ISNUMBER(VALUE(LEFT(A335,FIND("m",A335)-1)))),AND(NOT(ISERROR(FIND("s",A335))),ISNUMBER(VALUE(LEFT(A335,FIND("s",A335)-1)))))</f>
        <v>0</v>
      </c>
      <c r="D334" s="17">
        <f t="shared" si="99"/>
        <v>1</v>
      </c>
      <c r="E334" s="17" t="str">
        <f t="shared" si="100"/>
        <v>6. Conclusion</v>
      </c>
      <c r="F334" s="18" t="str">
        <f t="shared" si="91"/>
        <v/>
      </c>
      <c r="G334" s="13" t="str">
        <f t="shared" si="93"/>
        <v/>
      </c>
      <c r="H334">
        <f t="shared" si="94"/>
        <v>0</v>
      </c>
      <c r="I334" s="14">
        <f t="shared" si="101"/>
        <v>0</v>
      </c>
      <c r="J334" s="13">
        <f t="shared" si="95"/>
        <v>4529</v>
      </c>
      <c r="K334">
        <f t="shared" si="96"/>
        <v>1</v>
      </c>
      <c r="L334">
        <f t="shared" si="97"/>
        <v>15</v>
      </c>
      <c r="M334" s="14">
        <f t="shared" si="98"/>
        <v>29</v>
      </c>
      <c r="N334" s="13">
        <f t="shared" si="90"/>
        <v>0</v>
      </c>
      <c r="O334">
        <f t="shared" si="90"/>
        <v>2</v>
      </c>
      <c r="P334">
        <f t="shared" si="90"/>
        <v>53</v>
      </c>
      <c r="Q334" s="14">
        <f t="shared" ref="Q334:Q397" si="103">(((N334*60)+O334)*60)+P334</f>
        <v>173</v>
      </c>
      <c r="R334" s="13">
        <f t="shared" ref="R334:R397" si="104">INT(U334/60/60)</f>
        <v>0</v>
      </c>
      <c r="S334">
        <f t="shared" ref="S334:S397" si="105">INT((U334-(R334*60*60))/60)</f>
        <v>2</v>
      </c>
      <c r="T334">
        <f t="shared" ref="T334:T397" si="106">U334-(((R334*60)+S334)*60)</f>
        <v>53</v>
      </c>
      <c r="U334" s="14">
        <f t="shared" ref="U334:U397" si="107">((H334*60)+I334)+Q334</f>
        <v>173</v>
      </c>
      <c r="V334" s="15"/>
      <c r="Z334" s="14"/>
    </row>
    <row r="335" spans="1:26" hidden="1" x14ac:dyDescent="0.25">
      <c r="A335" s="16"/>
      <c r="B335" s="17" t="b">
        <f t="shared" si="92"/>
        <v>0</v>
      </c>
      <c r="C335" s="17" t="b">
        <f t="shared" si="102"/>
        <v>0</v>
      </c>
      <c r="D335" s="17">
        <f t="shared" si="99"/>
        <v>1</v>
      </c>
      <c r="E335" s="17" t="str">
        <f t="shared" si="100"/>
        <v>6. Conclusion</v>
      </c>
      <c r="F335" s="18" t="str">
        <f t="shared" si="91"/>
        <v/>
      </c>
      <c r="G335" s="13" t="str">
        <f t="shared" si="93"/>
        <v/>
      </c>
      <c r="H335">
        <f t="shared" si="94"/>
        <v>0</v>
      </c>
      <c r="I335" s="14">
        <f t="shared" si="101"/>
        <v>0</v>
      </c>
      <c r="J335" s="13">
        <f t="shared" si="95"/>
        <v>4529</v>
      </c>
      <c r="K335">
        <f t="shared" si="96"/>
        <v>1</v>
      </c>
      <c r="L335">
        <f t="shared" si="97"/>
        <v>15</v>
      </c>
      <c r="M335" s="14">
        <f t="shared" si="98"/>
        <v>29</v>
      </c>
      <c r="N335" s="13">
        <f t="shared" si="90"/>
        <v>0</v>
      </c>
      <c r="O335">
        <f t="shared" si="90"/>
        <v>2</v>
      </c>
      <c r="P335">
        <f t="shared" si="90"/>
        <v>53</v>
      </c>
      <c r="Q335" s="14">
        <f t="shared" si="103"/>
        <v>173</v>
      </c>
      <c r="R335" s="13">
        <f t="shared" si="104"/>
        <v>0</v>
      </c>
      <c r="S335">
        <f t="shared" si="105"/>
        <v>2</v>
      </c>
      <c r="T335">
        <f t="shared" si="106"/>
        <v>53</v>
      </c>
      <c r="U335" s="14">
        <f t="shared" si="107"/>
        <v>173</v>
      </c>
      <c r="V335" s="15"/>
      <c r="Z335" s="14"/>
    </row>
    <row r="336" spans="1:26" hidden="1" x14ac:dyDescent="0.25">
      <c r="A336" s="16"/>
      <c r="B336" s="17" t="b">
        <f t="shared" si="92"/>
        <v>0</v>
      </c>
      <c r="C336" s="17" t="b">
        <f t="shared" si="102"/>
        <v>0</v>
      </c>
      <c r="D336" s="17">
        <f t="shared" si="99"/>
        <v>1</v>
      </c>
      <c r="E336" s="17" t="str">
        <f t="shared" si="100"/>
        <v>6. Conclusion</v>
      </c>
      <c r="F336" s="18" t="str">
        <f t="shared" si="91"/>
        <v/>
      </c>
      <c r="G336" s="13" t="str">
        <f t="shared" si="93"/>
        <v/>
      </c>
      <c r="H336">
        <f t="shared" si="94"/>
        <v>0</v>
      </c>
      <c r="I336" s="14">
        <f t="shared" si="101"/>
        <v>0</v>
      </c>
      <c r="J336" s="13">
        <f t="shared" si="95"/>
        <v>4529</v>
      </c>
      <c r="K336">
        <f t="shared" si="96"/>
        <v>1</v>
      </c>
      <c r="L336">
        <f t="shared" si="97"/>
        <v>15</v>
      </c>
      <c r="M336" s="14">
        <f t="shared" si="98"/>
        <v>29</v>
      </c>
      <c r="N336" s="13">
        <f t="shared" si="90"/>
        <v>0</v>
      </c>
      <c r="O336">
        <f t="shared" si="90"/>
        <v>2</v>
      </c>
      <c r="P336">
        <f t="shared" si="90"/>
        <v>53</v>
      </c>
      <c r="Q336" s="14">
        <f t="shared" si="103"/>
        <v>173</v>
      </c>
      <c r="R336" s="13">
        <f t="shared" si="104"/>
        <v>0</v>
      </c>
      <c r="S336">
        <f t="shared" si="105"/>
        <v>2</v>
      </c>
      <c r="T336">
        <f t="shared" si="106"/>
        <v>53</v>
      </c>
      <c r="U336" s="14">
        <f t="shared" si="107"/>
        <v>173</v>
      </c>
      <c r="V336" s="15"/>
      <c r="Z336" s="14"/>
    </row>
    <row r="337" spans="1:26" hidden="1" x14ac:dyDescent="0.25">
      <c r="A337" s="16"/>
      <c r="B337" s="17" t="b">
        <f t="shared" si="92"/>
        <v>0</v>
      </c>
      <c r="C337" s="17" t="b">
        <f t="shared" si="102"/>
        <v>0</v>
      </c>
      <c r="D337" s="17">
        <f t="shared" si="99"/>
        <v>1</v>
      </c>
      <c r="E337" s="17" t="str">
        <f t="shared" si="100"/>
        <v>6. Conclusion</v>
      </c>
      <c r="F337" s="18" t="str">
        <f t="shared" si="91"/>
        <v/>
      </c>
      <c r="G337" s="13" t="str">
        <f t="shared" si="93"/>
        <v/>
      </c>
      <c r="H337">
        <f t="shared" si="94"/>
        <v>0</v>
      </c>
      <c r="I337" s="14">
        <f t="shared" si="101"/>
        <v>0</v>
      </c>
      <c r="J337" s="13">
        <f t="shared" si="95"/>
        <v>4529</v>
      </c>
      <c r="K337">
        <f t="shared" si="96"/>
        <v>1</v>
      </c>
      <c r="L337">
        <f t="shared" si="97"/>
        <v>15</v>
      </c>
      <c r="M337" s="14">
        <f t="shared" si="98"/>
        <v>29</v>
      </c>
      <c r="N337" s="13">
        <f t="shared" si="90"/>
        <v>0</v>
      </c>
      <c r="O337">
        <f t="shared" si="90"/>
        <v>2</v>
      </c>
      <c r="P337">
        <f t="shared" si="90"/>
        <v>53</v>
      </c>
      <c r="Q337" s="14">
        <f t="shared" si="103"/>
        <v>173</v>
      </c>
      <c r="R337" s="13">
        <f t="shared" si="104"/>
        <v>0</v>
      </c>
      <c r="S337">
        <f t="shared" si="105"/>
        <v>2</v>
      </c>
      <c r="T337">
        <f t="shared" si="106"/>
        <v>53</v>
      </c>
      <c r="U337" s="14">
        <f t="shared" si="107"/>
        <v>173</v>
      </c>
      <c r="V337" s="15"/>
      <c r="Z337" s="14"/>
    </row>
    <row r="338" spans="1:26" hidden="1" x14ac:dyDescent="0.25">
      <c r="A338" s="16"/>
      <c r="B338" s="17" t="b">
        <f t="shared" si="92"/>
        <v>0</v>
      </c>
      <c r="C338" s="17" t="b">
        <f t="shared" si="102"/>
        <v>0</v>
      </c>
      <c r="D338" s="17">
        <f t="shared" si="99"/>
        <v>1</v>
      </c>
      <c r="E338" s="17" t="str">
        <f t="shared" si="100"/>
        <v>6. Conclusion</v>
      </c>
      <c r="F338" s="18" t="str">
        <f t="shared" si="91"/>
        <v/>
      </c>
      <c r="G338" s="13" t="str">
        <f t="shared" si="93"/>
        <v/>
      </c>
      <c r="H338">
        <f t="shared" si="94"/>
        <v>0</v>
      </c>
      <c r="I338" s="14">
        <f t="shared" si="101"/>
        <v>0</v>
      </c>
      <c r="J338" s="13">
        <f t="shared" si="95"/>
        <v>4529</v>
      </c>
      <c r="K338">
        <f t="shared" si="96"/>
        <v>1</v>
      </c>
      <c r="L338">
        <f t="shared" si="97"/>
        <v>15</v>
      </c>
      <c r="M338" s="14">
        <f t="shared" si="98"/>
        <v>29</v>
      </c>
      <c r="N338" s="13">
        <f t="shared" si="90"/>
        <v>0</v>
      </c>
      <c r="O338">
        <f t="shared" si="90"/>
        <v>2</v>
      </c>
      <c r="P338">
        <f t="shared" si="90"/>
        <v>53</v>
      </c>
      <c r="Q338" s="14">
        <f t="shared" si="103"/>
        <v>173</v>
      </c>
      <c r="R338" s="13">
        <f t="shared" si="104"/>
        <v>0</v>
      </c>
      <c r="S338">
        <f t="shared" si="105"/>
        <v>2</v>
      </c>
      <c r="T338">
        <f t="shared" si="106"/>
        <v>53</v>
      </c>
      <c r="U338" s="14">
        <f t="shared" si="107"/>
        <v>173</v>
      </c>
      <c r="V338" s="15"/>
      <c r="Z338" s="14"/>
    </row>
    <row r="339" spans="1:26" hidden="1" x14ac:dyDescent="0.25">
      <c r="A339" s="16"/>
      <c r="B339" s="17" t="b">
        <f t="shared" si="92"/>
        <v>0</v>
      </c>
      <c r="C339" s="17" t="b">
        <f t="shared" si="102"/>
        <v>0</v>
      </c>
      <c r="D339" s="17">
        <f t="shared" si="99"/>
        <v>1</v>
      </c>
      <c r="E339" s="17" t="str">
        <f t="shared" si="100"/>
        <v>6. Conclusion</v>
      </c>
      <c r="F339" s="18" t="str">
        <f t="shared" si="91"/>
        <v/>
      </c>
      <c r="G339" s="13" t="str">
        <f t="shared" si="93"/>
        <v/>
      </c>
      <c r="H339">
        <f t="shared" si="94"/>
        <v>0</v>
      </c>
      <c r="I339" s="14">
        <f t="shared" si="101"/>
        <v>0</v>
      </c>
      <c r="J339" s="13">
        <f t="shared" si="95"/>
        <v>4529</v>
      </c>
      <c r="K339">
        <f t="shared" si="96"/>
        <v>1</v>
      </c>
      <c r="L339">
        <f t="shared" si="97"/>
        <v>15</v>
      </c>
      <c r="M339" s="14">
        <f t="shared" si="98"/>
        <v>29</v>
      </c>
      <c r="N339" s="13">
        <f t="shared" si="90"/>
        <v>0</v>
      </c>
      <c r="O339">
        <f t="shared" si="90"/>
        <v>2</v>
      </c>
      <c r="P339">
        <f t="shared" si="90"/>
        <v>53</v>
      </c>
      <c r="Q339" s="14">
        <f t="shared" si="103"/>
        <v>173</v>
      </c>
      <c r="R339" s="13">
        <f t="shared" si="104"/>
        <v>0</v>
      </c>
      <c r="S339">
        <f t="shared" si="105"/>
        <v>2</v>
      </c>
      <c r="T339">
        <f t="shared" si="106"/>
        <v>53</v>
      </c>
      <c r="U339" s="14">
        <f t="shared" si="107"/>
        <v>173</v>
      </c>
      <c r="V339" s="15"/>
      <c r="Z339" s="14"/>
    </row>
    <row r="340" spans="1:26" hidden="1" x14ac:dyDescent="0.25">
      <c r="A340" s="16"/>
      <c r="B340" s="17" t="b">
        <f t="shared" si="92"/>
        <v>0</v>
      </c>
      <c r="C340" s="17" t="b">
        <f t="shared" si="102"/>
        <v>0</v>
      </c>
      <c r="D340" s="17">
        <f t="shared" si="99"/>
        <v>1</v>
      </c>
      <c r="E340" s="17" t="str">
        <f t="shared" si="100"/>
        <v>6. Conclusion</v>
      </c>
      <c r="F340" s="18" t="str">
        <f t="shared" si="91"/>
        <v/>
      </c>
      <c r="G340" s="13" t="str">
        <f t="shared" si="93"/>
        <v/>
      </c>
      <c r="H340">
        <f t="shared" si="94"/>
        <v>0</v>
      </c>
      <c r="I340" s="14">
        <f t="shared" si="101"/>
        <v>0</v>
      </c>
      <c r="J340" s="13">
        <f t="shared" si="95"/>
        <v>4529</v>
      </c>
      <c r="K340">
        <f t="shared" si="96"/>
        <v>1</v>
      </c>
      <c r="L340">
        <f t="shared" si="97"/>
        <v>15</v>
      </c>
      <c r="M340" s="14">
        <f t="shared" si="98"/>
        <v>29</v>
      </c>
      <c r="N340" s="13">
        <f t="shared" si="90"/>
        <v>0</v>
      </c>
      <c r="O340">
        <f t="shared" si="90"/>
        <v>2</v>
      </c>
      <c r="P340">
        <f t="shared" si="90"/>
        <v>53</v>
      </c>
      <c r="Q340" s="14">
        <f t="shared" si="103"/>
        <v>173</v>
      </c>
      <c r="R340" s="13">
        <f t="shared" si="104"/>
        <v>0</v>
      </c>
      <c r="S340">
        <f t="shared" si="105"/>
        <v>2</v>
      </c>
      <c r="T340">
        <f t="shared" si="106"/>
        <v>53</v>
      </c>
      <c r="U340" s="14">
        <f t="shared" si="107"/>
        <v>173</v>
      </c>
      <c r="V340" s="15"/>
      <c r="Z340" s="14"/>
    </row>
    <row r="341" spans="1:26" hidden="1" x14ac:dyDescent="0.25">
      <c r="A341" s="16"/>
      <c r="B341" s="17" t="b">
        <f t="shared" si="92"/>
        <v>0</v>
      </c>
      <c r="C341" s="17" t="b">
        <f t="shared" si="102"/>
        <v>0</v>
      </c>
      <c r="D341" s="17">
        <f t="shared" si="99"/>
        <v>1</v>
      </c>
      <c r="E341" s="17" t="str">
        <f t="shared" si="100"/>
        <v>6. Conclusion</v>
      </c>
      <c r="F341" s="18" t="str">
        <f t="shared" si="91"/>
        <v/>
      </c>
      <c r="G341" s="13" t="str">
        <f t="shared" si="93"/>
        <v/>
      </c>
      <c r="H341">
        <f t="shared" si="94"/>
        <v>0</v>
      </c>
      <c r="I341" s="14">
        <f t="shared" si="101"/>
        <v>0</v>
      </c>
      <c r="J341" s="13">
        <f t="shared" si="95"/>
        <v>4529</v>
      </c>
      <c r="K341">
        <f t="shared" si="96"/>
        <v>1</v>
      </c>
      <c r="L341">
        <f t="shared" si="97"/>
        <v>15</v>
      </c>
      <c r="M341" s="14">
        <f t="shared" si="98"/>
        <v>29</v>
      </c>
      <c r="N341" s="13">
        <f t="shared" si="90"/>
        <v>0</v>
      </c>
      <c r="O341">
        <f t="shared" si="90"/>
        <v>2</v>
      </c>
      <c r="P341">
        <f t="shared" si="90"/>
        <v>53</v>
      </c>
      <c r="Q341" s="14">
        <f t="shared" si="103"/>
        <v>173</v>
      </c>
      <c r="R341" s="13">
        <f t="shared" si="104"/>
        <v>0</v>
      </c>
      <c r="S341">
        <f t="shared" si="105"/>
        <v>2</v>
      </c>
      <c r="T341">
        <f t="shared" si="106"/>
        <v>53</v>
      </c>
      <c r="U341" s="14">
        <f t="shared" si="107"/>
        <v>173</v>
      </c>
      <c r="V341" s="15"/>
      <c r="Z341" s="14"/>
    </row>
    <row r="342" spans="1:26" hidden="1" x14ac:dyDescent="0.25">
      <c r="A342" s="16"/>
      <c r="B342" s="17" t="b">
        <f t="shared" si="92"/>
        <v>0</v>
      </c>
      <c r="C342" s="17" t="b">
        <f t="shared" si="102"/>
        <v>0</v>
      </c>
      <c r="D342" s="17">
        <f t="shared" si="99"/>
        <v>1</v>
      </c>
      <c r="E342" s="17" t="str">
        <f t="shared" si="100"/>
        <v>6. Conclusion</v>
      </c>
      <c r="F342" s="18" t="str">
        <f t="shared" si="91"/>
        <v/>
      </c>
      <c r="G342" s="13" t="str">
        <f t="shared" si="93"/>
        <v/>
      </c>
      <c r="H342">
        <f t="shared" si="94"/>
        <v>0</v>
      </c>
      <c r="I342" s="14">
        <f t="shared" si="101"/>
        <v>0</v>
      </c>
      <c r="J342" s="13">
        <f t="shared" si="95"/>
        <v>4529</v>
      </c>
      <c r="K342">
        <f t="shared" si="96"/>
        <v>1</v>
      </c>
      <c r="L342">
        <f t="shared" si="97"/>
        <v>15</v>
      </c>
      <c r="M342" s="14">
        <f t="shared" si="98"/>
        <v>29</v>
      </c>
      <c r="N342" s="13">
        <f t="shared" si="90"/>
        <v>0</v>
      </c>
      <c r="O342">
        <f t="shared" si="90"/>
        <v>2</v>
      </c>
      <c r="P342">
        <f t="shared" si="90"/>
        <v>53</v>
      </c>
      <c r="Q342" s="14">
        <f t="shared" si="103"/>
        <v>173</v>
      </c>
      <c r="R342" s="13">
        <f t="shared" si="104"/>
        <v>0</v>
      </c>
      <c r="S342">
        <f t="shared" si="105"/>
        <v>2</v>
      </c>
      <c r="T342">
        <f t="shared" si="106"/>
        <v>53</v>
      </c>
      <c r="U342" s="14">
        <f t="shared" si="107"/>
        <v>173</v>
      </c>
      <c r="V342" s="15"/>
      <c r="Z342" s="14"/>
    </row>
    <row r="343" spans="1:26" hidden="1" x14ac:dyDescent="0.25">
      <c r="A343" s="16"/>
      <c r="B343" s="17" t="b">
        <f t="shared" si="92"/>
        <v>0</v>
      </c>
      <c r="C343" s="17" t="b">
        <f t="shared" si="102"/>
        <v>0</v>
      </c>
      <c r="D343" s="17">
        <f t="shared" si="99"/>
        <v>1</v>
      </c>
      <c r="E343" s="17" t="str">
        <f t="shared" si="100"/>
        <v>6. Conclusion</v>
      </c>
      <c r="F343" s="18" t="str">
        <f t="shared" si="91"/>
        <v/>
      </c>
      <c r="G343" s="13" t="str">
        <f t="shared" si="93"/>
        <v/>
      </c>
      <c r="H343">
        <f t="shared" si="94"/>
        <v>0</v>
      </c>
      <c r="I343" s="14">
        <f t="shared" si="101"/>
        <v>0</v>
      </c>
      <c r="J343" s="13">
        <f t="shared" si="95"/>
        <v>4529</v>
      </c>
      <c r="K343">
        <f t="shared" si="96"/>
        <v>1</v>
      </c>
      <c r="L343">
        <f t="shared" si="97"/>
        <v>15</v>
      </c>
      <c r="M343" s="14">
        <f t="shared" si="98"/>
        <v>29</v>
      </c>
      <c r="N343" s="13">
        <f t="shared" si="90"/>
        <v>0</v>
      </c>
      <c r="O343">
        <f t="shared" si="90"/>
        <v>2</v>
      </c>
      <c r="P343">
        <f t="shared" si="90"/>
        <v>53</v>
      </c>
      <c r="Q343" s="14">
        <f t="shared" si="103"/>
        <v>173</v>
      </c>
      <c r="R343" s="13">
        <f t="shared" si="104"/>
        <v>0</v>
      </c>
      <c r="S343">
        <f t="shared" si="105"/>
        <v>2</v>
      </c>
      <c r="T343">
        <f t="shared" si="106"/>
        <v>53</v>
      </c>
      <c r="U343" s="14">
        <f t="shared" si="107"/>
        <v>173</v>
      </c>
      <c r="V343" s="15"/>
      <c r="Z343" s="14"/>
    </row>
    <row r="344" spans="1:26" hidden="1" x14ac:dyDescent="0.25">
      <c r="A344" s="16"/>
      <c r="B344" s="17" t="b">
        <f t="shared" si="92"/>
        <v>0</v>
      </c>
      <c r="C344" s="17" t="b">
        <f t="shared" si="102"/>
        <v>0</v>
      </c>
      <c r="D344" s="17">
        <f t="shared" si="99"/>
        <v>1</v>
      </c>
      <c r="E344" s="17" t="str">
        <f t="shared" si="100"/>
        <v>6. Conclusion</v>
      </c>
      <c r="F344" s="18" t="str">
        <f t="shared" si="91"/>
        <v/>
      </c>
      <c r="G344" s="13" t="str">
        <f t="shared" si="93"/>
        <v/>
      </c>
      <c r="H344">
        <f t="shared" si="94"/>
        <v>0</v>
      </c>
      <c r="I344" s="14">
        <f t="shared" si="101"/>
        <v>0</v>
      </c>
      <c r="J344" s="13">
        <f t="shared" si="95"/>
        <v>4529</v>
      </c>
      <c r="K344">
        <f t="shared" si="96"/>
        <v>1</v>
      </c>
      <c r="L344">
        <f t="shared" si="97"/>
        <v>15</v>
      </c>
      <c r="M344" s="14">
        <f t="shared" si="98"/>
        <v>29</v>
      </c>
      <c r="N344" s="13">
        <f t="shared" si="90"/>
        <v>0</v>
      </c>
      <c r="O344">
        <f t="shared" si="90"/>
        <v>2</v>
      </c>
      <c r="P344">
        <f t="shared" si="90"/>
        <v>53</v>
      </c>
      <c r="Q344" s="14">
        <f t="shared" si="103"/>
        <v>173</v>
      </c>
      <c r="R344" s="13">
        <f t="shared" si="104"/>
        <v>0</v>
      </c>
      <c r="S344">
        <f t="shared" si="105"/>
        <v>2</v>
      </c>
      <c r="T344">
        <f t="shared" si="106"/>
        <v>53</v>
      </c>
      <c r="U344" s="14">
        <f t="shared" si="107"/>
        <v>173</v>
      </c>
      <c r="V344" s="15"/>
      <c r="Z344" s="14"/>
    </row>
    <row r="345" spans="1:26" hidden="1" x14ac:dyDescent="0.25">
      <c r="A345" s="16"/>
      <c r="B345" s="17" t="b">
        <f t="shared" si="92"/>
        <v>0</v>
      </c>
      <c r="C345" s="17" t="b">
        <f t="shared" si="102"/>
        <v>0</v>
      </c>
      <c r="D345" s="17">
        <f t="shared" si="99"/>
        <v>1</v>
      </c>
      <c r="E345" s="17" t="str">
        <f t="shared" si="100"/>
        <v>6. Conclusion</v>
      </c>
      <c r="F345" s="18" t="str">
        <f t="shared" si="91"/>
        <v/>
      </c>
      <c r="G345" s="13" t="str">
        <f t="shared" si="93"/>
        <v/>
      </c>
      <c r="H345">
        <f t="shared" si="94"/>
        <v>0</v>
      </c>
      <c r="I345" s="14">
        <f t="shared" si="101"/>
        <v>0</v>
      </c>
      <c r="J345" s="13">
        <f t="shared" si="95"/>
        <v>4529</v>
      </c>
      <c r="K345">
        <f t="shared" si="96"/>
        <v>1</v>
      </c>
      <c r="L345">
        <f t="shared" si="97"/>
        <v>15</v>
      </c>
      <c r="M345" s="14">
        <f t="shared" si="98"/>
        <v>29</v>
      </c>
      <c r="N345" s="13">
        <f t="shared" si="90"/>
        <v>0</v>
      </c>
      <c r="O345">
        <f t="shared" si="90"/>
        <v>2</v>
      </c>
      <c r="P345">
        <f t="shared" si="90"/>
        <v>53</v>
      </c>
      <c r="Q345" s="14">
        <f t="shared" si="103"/>
        <v>173</v>
      </c>
      <c r="R345" s="13">
        <f t="shared" si="104"/>
        <v>0</v>
      </c>
      <c r="S345">
        <f t="shared" si="105"/>
        <v>2</v>
      </c>
      <c r="T345">
        <f t="shared" si="106"/>
        <v>53</v>
      </c>
      <c r="U345" s="14">
        <f t="shared" si="107"/>
        <v>173</v>
      </c>
      <c r="V345" s="15"/>
      <c r="Z345" s="14"/>
    </row>
    <row r="346" spans="1:26" hidden="1" x14ac:dyDescent="0.25">
      <c r="A346" s="16"/>
      <c r="B346" s="17" t="b">
        <f t="shared" si="92"/>
        <v>0</v>
      </c>
      <c r="C346" s="17" t="b">
        <f t="shared" si="102"/>
        <v>0</v>
      </c>
      <c r="D346" s="17">
        <f t="shared" si="99"/>
        <v>1</v>
      </c>
      <c r="E346" s="17" t="str">
        <f t="shared" si="100"/>
        <v>6. Conclusion</v>
      </c>
      <c r="F346" s="18" t="str">
        <f t="shared" si="91"/>
        <v/>
      </c>
      <c r="G346" s="13" t="str">
        <f t="shared" si="93"/>
        <v/>
      </c>
      <c r="H346">
        <f t="shared" si="94"/>
        <v>0</v>
      </c>
      <c r="I346" s="14">
        <f t="shared" si="101"/>
        <v>0</v>
      </c>
      <c r="J346" s="13">
        <f t="shared" si="95"/>
        <v>4529</v>
      </c>
      <c r="K346">
        <f t="shared" si="96"/>
        <v>1</v>
      </c>
      <c r="L346">
        <f t="shared" si="97"/>
        <v>15</v>
      </c>
      <c r="M346" s="14">
        <f t="shared" si="98"/>
        <v>29</v>
      </c>
      <c r="N346" s="13">
        <f t="shared" si="90"/>
        <v>0</v>
      </c>
      <c r="O346">
        <f t="shared" si="90"/>
        <v>2</v>
      </c>
      <c r="P346">
        <f t="shared" si="90"/>
        <v>53</v>
      </c>
      <c r="Q346" s="14">
        <f t="shared" si="103"/>
        <v>173</v>
      </c>
      <c r="R346" s="13">
        <f t="shared" si="104"/>
        <v>0</v>
      </c>
      <c r="S346">
        <f t="shared" si="105"/>
        <v>2</v>
      </c>
      <c r="T346">
        <f t="shared" si="106"/>
        <v>53</v>
      </c>
      <c r="U346" s="14">
        <f t="shared" si="107"/>
        <v>173</v>
      </c>
      <c r="V346" s="15"/>
      <c r="Z346" s="14"/>
    </row>
    <row r="347" spans="1:26" hidden="1" x14ac:dyDescent="0.25">
      <c r="A347" s="16"/>
      <c r="B347" s="17" t="b">
        <f t="shared" si="92"/>
        <v>0</v>
      </c>
      <c r="C347" s="17" t="b">
        <f t="shared" si="102"/>
        <v>0</v>
      </c>
      <c r="D347" s="17">
        <f t="shared" si="99"/>
        <v>1</v>
      </c>
      <c r="E347" s="17" t="str">
        <f t="shared" si="100"/>
        <v>6. Conclusion</v>
      </c>
      <c r="F347" s="18" t="str">
        <f t="shared" si="91"/>
        <v/>
      </c>
      <c r="G347" s="13" t="str">
        <f t="shared" si="93"/>
        <v/>
      </c>
      <c r="H347">
        <f t="shared" si="94"/>
        <v>0</v>
      </c>
      <c r="I347" s="14">
        <f t="shared" si="101"/>
        <v>0</v>
      </c>
      <c r="J347" s="13">
        <f t="shared" si="95"/>
        <v>4529</v>
      </c>
      <c r="K347">
        <f t="shared" si="96"/>
        <v>1</v>
      </c>
      <c r="L347">
        <f t="shared" si="97"/>
        <v>15</v>
      </c>
      <c r="M347" s="14">
        <f t="shared" si="98"/>
        <v>29</v>
      </c>
      <c r="N347" s="13">
        <f t="shared" si="90"/>
        <v>0</v>
      </c>
      <c r="O347">
        <f t="shared" si="90"/>
        <v>2</v>
      </c>
      <c r="P347">
        <f t="shared" si="90"/>
        <v>53</v>
      </c>
      <c r="Q347" s="14">
        <f t="shared" si="103"/>
        <v>173</v>
      </c>
      <c r="R347" s="13">
        <f t="shared" si="104"/>
        <v>0</v>
      </c>
      <c r="S347">
        <f t="shared" si="105"/>
        <v>2</v>
      </c>
      <c r="T347">
        <f t="shared" si="106"/>
        <v>53</v>
      </c>
      <c r="U347" s="14">
        <f t="shared" si="107"/>
        <v>173</v>
      </c>
      <c r="V347" s="15"/>
      <c r="Z347" s="14"/>
    </row>
    <row r="348" spans="1:26" hidden="1" x14ac:dyDescent="0.25">
      <c r="A348" s="16"/>
      <c r="B348" s="17" t="b">
        <f t="shared" si="92"/>
        <v>0</v>
      </c>
      <c r="C348" s="17" t="b">
        <f t="shared" si="102"/>
        <v>0</v>
      </c>
      <c r="D348" s="17">
        <f t="shared" si="99"/>
        <v>1</v>
      </c>
      <c r="E348" s="17" t="str">
        <f t="shared" si="100"/>
        <v>6. Conclusion</v>
      </c>
      <c r="F348" s="18" t="str">
        <f t="shared" si="91"/>
        <v/>
      </c>
      <c r="G348" s="13" t="str">
        <f t="shared" si="93"/>
        <v/>
      </c>
      <c r="H348">
        <f t="shared" si="94"/>
        <v>0</v>
      </c>
      <c r="I348" s="14">
        <f t="shared" si="101"/>
        <v>0</v>
      </c>
      <c r="J348" s="13">
        <f t="shared" si="95"/>
        <v>4529</v>
      </c>
      <c r="K348">
        <f t="shared" si="96"/>
        <v>1</v>
      </c>
      <c r="L348">
        <f t="shared" si="97"/>
        <v>15</v>
      </c>
      <c r="M348" s="14">
        <f t="shared" si="98"/>
        <v>29</v>
      </c>
      <c r="N348" s="13">
        <f t="shared" ref="N348:P411" si="108">R347</f>
        <v>0</v>
      </c>
      <c r="O348">
        <f t="shared" si="108"/>
        <v>2</v>
      </c>
      <c r="P348">
        <f t="shared" si="108"/>
        <v>53</v>
      </c>
      <c r="Q348" s="14">
        <f t="shared" si="103"/>
        <v>173</v>
      </c>
      <c r="R348" s="13">
        <f t="shared" si="104"/>
        <v>0</v>
      </c>
      <c r="S348">
        <f t="shared" si="105"/>
        <v>2</v>
      </c>
      <c r="T348">
        <f t="shared" si="106"/>
        <v>53</v>
      </c>
      <c r="U348" s="14">
        <f t="shared" si="107"/>
        <v>173</v>
      </c>
      <c r="V348" s="15"/>
      <c r="Z348" s="14"/>
    </row>
    <row r="349" spans="1:26" hidden="1" x14ac:dyDescent="0.25">
      <c r="A349" s="16"/>
      <c r="B349" s="17" t="b">
        <f t="shared" si="92"/>
        <v>0</v>
      </c>
      <c r="C349" s="17" t="b">
        <f t="shared" si="102"/>
        <v>0</v>
      </c>
      <c r="D349" s="17">
        <f t="shared" si="99"/>
        <v>1</v>
      </c>
      <c r="E349" s="17" t="str">
        <f t="shared" si="100"/>
        <v>6. Conclusion</v>
      </c>
      <c r="F349" s="18" t="str">
        <f t="shared" si="91"/>
        <v/>
      </c>
      <c r="G349" s="13" t="str">
        <f t="shared" si="93"/>
        <v/>
      </c>
      <c r="H349">
        <f t="shared" si="94"/>
        <v>0</v>
      </c>
      <c r="I349" s="14">
        <f t="shared" si="101"/>
        <v>0</v>
      </c>
      <c r="J349" s="13">
        <f t="shared" si="95"/>
        <v>4529</v>
      </c>
      <c r="K349">
        <f t="shared" si="96"/>
        <v>1</v>
      </c>
      <c r="L349">
        <f t="shared" si="97"/>
        <v>15</v>
      </c>
      <c r="M349" s="14">
        <f t="shared" si="98"/>
        <v>29</v>
      </c>
      <c r="N349" s="13">
        <f t="shared" si="108"/>
        <v>0</v>
      </c>
      <c r="O349">
        <f t="shared" si="108"/>
        <v>2</v>
      </c>
      <c r="P349">
        <f t="shared" si="108"/>
        <v>53</v>
      </c>
      <c r="Q349" s="14">
        <f t="shared" si="103"/>
        <v>173</v>
      </c>
      <c r="R349" s="13">
        <f t="shared" si="104"/>
        <v>0</v>
      </c>
      <c r="S349">
        <f t="shared" si="105"/>
        <v>2</v>
      </c>
      <c r="T349">
        <f t="shared" si="106"/>
        <v>53</v>
      </c>
      <c r="U349" s="14">
        <f t="shared" si="107"/>
        <v>173</v>
      </c>
      <c r="V349" s="15"/>
      <c r="Z349" s="14"/>
    </row>
    <row r="350" spans="1:26" hidden="1" x14ac:dyDescent="0.25">
      <c r="A350" s="16"/>
      <c r="B350" s="17" t="b">
        <f t="shared" si="92"/>
        <v>0</v>
      </c>
      <c r="C350" s="17" t="b">
        <f t="shared" si="102"/>
        <v>0</v>
      </c>
      <c r="D350" s="17">
        <f t="shared" si="99"/>
        <v>1</v>
      </c>
      <c r="E350" s="17" t="str">
        <f t="shared" si="100"/>
        <v>6. Conclusion</v>
      </c>
      <c r="F350" s="18" t="str">
        <f t="shared" si="91"/>
        <v/>
      </c>
      <c r="G350" s="13" t="str">
        <f t="shared" si="93"/>
        <v/>
      </c>
      <c r="H350">
        <f t="shared" si="94"/>
        <v>0</v>
      </c>
      <c r="I350" s="14">
        <f t="shared" si="101"/>
        <v>0</v>
      </c>
      <c r="J350" s="13">
        <f t="shared" si="95"/>
        <v>4529</v>
      </c>
      <c r="K350">
        <f t="shared" si="96"/>
        <v>1</v>
      </c>
      <c r="L350">
        <f t="shared" si="97"/>
        <v>15</v>
      </c>
      <c r="M350" s="14">
        <f t="shared" si="98"/>
        <v>29</v>
      </c>
      <c r="N350" s="13">
        <f t="shared" si="108"/>
        <v>0</v>
      </c>
      <c r="O350">
        <f t="shared" si="108"/>
        <v>2</v>
      </c>
      <c r="P350">
        <f t="shared" si="108"/>
        <v>53</v>
      </c>
      <c r="Q350" s="14">
        <f t="shared" si="103"/>
        <v>173</v>
      </c>
      <c r="R350" s="13">
        <f t="shared" si="104"/>
        <v>0</v>
      </c>
      <c r="S350">
        <f t="shared" si="105"/>
        <v>2</v>
      </c>
      <c r="T350">
        <f t="shared" si="106"/>
        <v>53</v>
      </c>
      <c r="U350" s="14">
        <f t="shared" si="107"/>
        <v>173</v>
      </c>
      <c r="V350" s="15"/>
      <c r="Z350" s="14"/>
    </row>
    <row r="351" spans="1:26" hidden="1" x14ac:dyDescent="0.25">
      <c r="A351" s="16"/>
      <c r="B351" s="17" t="b">
        <f t="shared" si="92"/>
        <v>0</v>
      </c>
      <c r="C351" s="17" t="b">
        <f t="shared" si="102"/>
        <v>0</v>
      </c>
      <c r="D351" s="17">
        <f t="shared" si="99"/>
        <v>1</v>
      </c>
      <c r="E351" s="17" t="str">
        <f t="shared" si="100"/>
        <v>6. Conclusion</v>
      </c>
      <c r="F351" s="18" t="str">
        <f t="shared" si="91"/>
        <v/>
      </c>
      <c r="G351" s="13" t="str">
        <f t="shared" si="93"/>
        <v/>
      </c>
      <c r="H351">
        <f t="shared" si="94"/>
        <v>0</v>
      </c>
      <c r="I351" s="14">
        <f t="shared" si="101"/>
        <v>0</v>
      </c>
      <c r="J351" s="13">
        <f t="shared" si="95"/>
        <v>4529</v>
      </c>
      <c r="K351">
        <f t="shared" si="96"/>
        <v>1</v>
      </c>
      <c r="L351">
        <f t="shared" si="97"/>
        <v>15</v>
      </c>
      <c r="M351" s="14">
        <f t="shared" si="98"/>
        <v>29</v>
      </c>
      <c r="N351" s="13">
        <f t="shared" si="108"/>
        <v>0</v>
      </c>
      <c r="O351">
        <f t="shared" si="108"/>
        <v>2</v>
      </c>
      <c r="P351">
        <f t="shared" si="108"/>
        <v>53</v>
      </c>
      <c r="Q351" s="14">
        <f t="shared" si="103"/>
        <v>173</v>
      </c>
      <c r="R351" s="13">
        <f t="shared" si="104"/>
        <v>0</v>
      </c>
      <c r="S351">
        <f t="shared" si="105"/>
        <v>2</v>
      </c>
      <c r="T351">
        <f t="shared" si="106"/>
        <v>53</v>
      </c>
      <c r="U351" s="14">
        <f t="shared" si="107"/>
        <v>173</v>
      </c>
      <c r="V351" s="15"/>
      <c r="Z351" s="14"/>
    </row>
    <row r="352" spans="1:26" hidden="1" x14ac:dyDescent="0.25">
      <c r="A352" s="16"/>
      <c r="B352" s="17" t="b">
        <f t="shared" si="92"/>
        <v>0</v>
      </c>
      <c r="C352" s="17" t="b">
        <f t="shared" si="102"/>
        <v>0</v>
      </c>
      <c r="D352" s="17">
        <f t="shared" si="99"/>
        <v>1</v>
      </c>
      <c r="E352" s="17" t="str">
        <f t="shared" si="100"/>
        <v>6. Conclusion</v>
      </c>
      <c r="F352" s="18" t="str">
        <f t="shared" si="91"/>
        <v/>
      </c>
      <c r="G352" s="13" t="str">
        <f t="shared" si="93"/>
        <v/>
      </c>
      <c r="H352">
        <f t="shared" si="94"/>
        <v>0</v>
      </c>
      <c r="I352" s="14">
        <f t="shared" si="101"/>
        <v>0</v>
      </c>
      <c r="J352" s="13">
        <f t="shared" si="95"/>
        <v>4529</v>
      </c>
      <c r="K352">
        <f t="shared" si="96"/>
        <v>1</v>
      </c>
      <c r="L352">
        <f t="shared" si="97"/>
        <v>15</v>
      </c>
      <c r="M352" s="14">
        <f t="shared" si="98"/>
        <v>29</v>
      </c>
      <c r="N352" s="13">
        <f t="shared" si="108"/>
        <v>0</v>
      </c>
      <c r="O352">
        <f t="shared" si="108"/>
        <v>2</v>
      </c>
      <c r="P352">
        <f t="shared" si="108"/>
        <v>53</v>
      </c>
      <c r="Q352" s="14">
        <f t="shared" si="103"/>
        <v>173</v>
      </c>
      <c r="R352" s="13">
        <f t="shared" si="104"/>
        <v>0</v>
      </c>
      <c r="S352">
        <f t="shared" si="105"/>
        <v>2</v>
      </c>
      <c r="T352">
        <f t="shared" si="106"/>
        <v>53</v>
      </c>
      <c r="U352" s="14">
        <f t="shared" si="107"/>
        <v>173</v>
      </c>
      <c r="V352" s="15"/>
      <c r="Z352" s="14"/>
    </row>
    <row r="353" spans="1:26" hidden="1" x14ac:dyDescent="0.25">
      <c r="A353" s="16"/>
      <c r="B353" s="17" t="b">
        <f t="shared" si="92"/>
        <v>0</v>
      </c>
      <c r="C353" s="17" t="b">
        <f t="shared" si="102"/>
        <v>0</v>
      </c>
      <c r="D353" s="17">
        <f t="shared" si="99"/>
        <v>1</v>
      </c>
      <c r="E353" s="17" t="str">
        <f t="shared" si="100"/>
        <v>6. Conclusion</v>
      </c>
      <c r="F353" s="18" t="str">
        <f t="shared" si="91"/>
        <v/>
      </c>
      <c r="G353" s="13" t="str">
        <f t="shared" si="93"/>
        <v/>
      </c>
      <c r="H353">
        <f t="shared" si="94"/>
        <v>0</v>
      </c>
      <c r="I353" s="14">
        <f t="shared" si="101"/>
        <v>0</v>
      </c>
      <c r="J353" s="13">
        <f t="shared" si="95"/>
        <v>4529</v>
      </c>
      <c r="K353">
        <f t="shared" si="96"/>
        <v>1</v>
      </c>
      <c r="L353">
        <f t="shared" si="97"/>
        <v>15</v>
      </c>
      <c r="M353" s="14">
        <f t="shared" si="98"/>
        <v>29</v>
      </c>
      <c r="N353" s="13">
        <f t="shared" si="108"/>
        <v>0</v>
      </c>
      <c r="O353">
        <f t="shared" si="108"/>
        <v>2</v>
      </c>
      <c r="P353">
        <f t="shared" si="108"/>
        <v>53</v>
      </c>
      <c r="Q353" s="14">
        <f t="shared" si="103"/>
        <v>173</v>
      </c>
      <c r="R353" s="13">
        <f t="shared" si="104"/>
        <v>0</v>
      </c>
      <c r="S353">
        <f t="shared" si="105"/>
        <v>2</v>
      </c>
      <c r="T353">
        <f t="shared" si="106"/>
        <v>53</v>
      </c>
      <c r="U353" s="14">
        <f t="shared" si="107"/>
        <v>173</v>
      </c>
      <c r="V353" s="15"/>
      <c r="Z353" s="14"/>
    </row>
    <row r="354" spans="1:26" hidden="1" x14ac:dyDescent="0.25">
      <c r="A354" s="16"/>
      <c r="B354" s="17" t="b">
        <f t="shared" si="92"/>
        <v>0</v>
      </c>
      <c r="C354" s="17" t="b">
        <f t="shared" si="102"/>
        <v>0</v>
      </c>
      <c r="D354" s="17">
        <f t="shared" si="99"/>
        <v>1</v>
      </c>
      <c r="E354" s="17" t="str">
        <f t="shared" si="100"/>
        <v>6. Conclusion</v>
      </c>
      <c r="F354" s="18" t="str">
        <f t="shared" si="91"/>
        <v/>
      </c>
      <c r="G354" s="13" t="str">
        <f t="shared" si="93"/>
        <v/>
      </c>
      <c r="H354">
        <f t="shared" si="94"/>
        <v>0</v>
      </c>
      <c r="I354" s="14">
        <f t="shared" si="101"/>
        <v>0</v>
      </c>
      <c r="J354" s="13">
        <f t="shared" si="95"/>
        <v>4529</v>
      </c>
      <c r="K354">
        <f t="shared" si="96"/>
        <v>1</v>
      </c>
      <c r="L354">
        <f t="shared" si="97"/>
        <v>15</v>
      </c>
      <c r="M354" s="14">
        <f t="shared" si="98"/>
        <v>29</v>
      </c>
      <c r="N354" s="13">
        <f t="shared" si="108"/>
        <v>0</v>
      </c>
      <c r="O354">
        <f t="shared" si="108"/>
        <v>2</v>
      </c>
      <c r="P354">
        <f t="shared" si="108"/>
        <v>53</v>
      </c>
      <c r="Q354" s="14">
        <f t="shared" si="103"/>
        <v>173</v>
      </c>
      <c r="R354" s="13">
        <f t="shared" si="104"/>
        <v>0</v>
      </c>
      <c r="S354">
        <f t="shared" si="105"/>
        <v>2</v>
      </c>
      <c r="T354">
        <f t="shared" si="106"/>
        <v>53</v>
      </c>
      <c r="U354" s="14">
        <f t="shared" si="107"/>
        <v>173</v>
      </c>
      <c r="V354" s="15"/>
      <c r="Z354" s="14"/>
    </row>
    <row r="355" spans="1:26" hidden="1" x14ac:dyDescent="0.25">
      <c r="A355" s="16"/>
      <c r="B355" s="17" t="b">
        <f t="shared" si="92"/>
        <v>0</v>
      </c>
      <c r="C355" s="17" t="b">
        <f t="shared" si="102"/>
        <v>0</v>
      </c>
      <c r="D355" s="17">
        <f t="shared" si="99"/>
        <v>1</v>
      </c>
      <c r="E355" s="17" t="str">
        <f t="shared" si="100"/>
        <v>6. Conclusion</v>
      </c>
      <c r="F355" s="18" t="str">
        <f t="shared" si="91"/>
        <v/>
      </c>
      <c r="G355" s="13" t="str">
        <f t="shared" si="93"/>
        <v/>
      </c>
      <c r="H355">
        <f t="shared" si="94"/>
        <v>0</v>
      </c>
      <c r="I355" s="14">
        <f t="shared" si="101"/>
        <v>0</v>
      </c>
      <c r="J355" s="13">
        <f t="shared" si="95"/>
        <v>4529</v>
      </c>
      <c r="K355">
        <f t="shared" si="96"/>
        <v>1</v>
      </c>
      <c r="L355">
        <f t="shared" si="97"/>
        <v>15</v>
      </c>
      <c r="M355" s="14">
        <f t="shared" si="98"/>
        <v>29</v>
      </c>
      <c r="N355" s="13">
        <f t="shared" si="108"/>
        <v>0</v>
      </c>
      <c r="O355">
        <f t="shared" si="108"/>
        <v>2</v>
      </c>
      <c r="P355">
        <f t="shared" si="108"/>
        <v>53</v>
      </c>
      <c r="Q355" s="14">
        <f t="shared" si="103"/>
        <v>173</v>
      </c>
      <c r="R355" s="13">
        <f t="shared" si="104"/>
        <v>0</v>
      </c>
      <c r="S355">
        <f t="shared" si="105"/>
        <v>2</v>
      </c>
      <c r="T355">
        <f t="shared" si="106"/>
        <v>53</v>
      </c>
      <c r="U355" s="14">
        <f t="shared" si="107"/>
        <v>173</v>
      </c>
      <c r="V355" s="15"/>
      <c r="Z355" s="14"/>
    </row>
    <row r="356" spans="1:26" hidden="1" x14ac:dyDescent="0.25">
      <c r="A356" s="16"/>
      <c r="B356" s="17" t="b">
        <f t="shared" si="92"/>
        <v>0</v>
      </c>
      <c r="C356" s="17" t="b">
        <f t="shared" si="102"/>
        <v>0</v>
      </c>
      <c r="D356" s="17">
        <f t="shared" si="99"/>
        <v>1</v>
      </c>
      <c r="E356" s="17" t="str">
        <f t="shared" si="100"/>
        <v>6. Conclusion</v>
      </c>
      <c r="F356" s="18" t="str">
        <f t="shared" si="91"/>
        <v/>
      </c>
      <c r="G356" s="13" t="str">
        <f t="shared" si="93"/>
        <v/>
      </c>
      <c r="H356">
        <f t="shared" si="94"/>
        <v>0</v>
      </c>
      <c r="I356" s="14">
        <f t="shared" si="101"/>
        <v>0</v>
      </c>
      <c r="J356" s="13">
        <f t="shared" si="95"/>
        <v>4529</v>
      </c>
      <c r="K356">
        <f t="shared" si="96"/>
        <v>1</v>
      </c>
      <c r="L356">
        <f t="shared" si="97"/>
        <v>15</v>
      </c>
      <c r="M356" s="14">
        <f t="shared" si="98"/>
        <v>29</v>
      </c>
      <c r="N356" s="13">
        <f t="shared" si="108"/>
        <v>0</v>
      </c>
      <c r="O356">
        <f t="shared" si="108"/>
        <v>2</v>
      </c>
      <c r="P356">
        <f t="shared" si="108"/>
        <v>53</v>
      </c>
      <c r="Q356" s="14">
        <f t="shared" si="103"/>
        <v>173</v>
      </c>
      <c r="R356" s="13">
        <f t="shared" si="104"/>
        <v>0</v>
      </c>
      <c r="S356">
        <f t="shared" si="105"/>
        <v>2</v>
      </c>
      <c r="T356">
        <f t="shared" si="106"/>
        <v>53</v>
      </c>
      <c r="U356" s="14">
        <f t="shared" si="107"/>
        <v>173</v>
      </c>
      <c r="V356" s="15"/>
      <c r="Z356" s="14"/>
    </row>
    <row r="357" spans="1:26" hidden="1" x14ac:dyDescent="0.25">
      <c r="A357" s="16"/>
      <c r="B357" s="17" t="b">
        <f t="shared" si="92"/>
        <v>0</v>
      </c>
      <c r="C357" s="17" t="b">
        <f t="shared" si="102"/>
        <v>0</v>
      </c>
      <c r="D357" s="17">
        <f t="shared" si="99"/>
        <v>1</v>
      </c>
      <c r="E357" s="17" t="str">
        <f t="shared" si="100"/>
        <v>6. Conclusion</v>
      </c>
      <c r="F357" s="18" t="str">
        <f t="shared" si="91"/>
        <v/>
      </c>
      <c r="G357" s="13" t="str">
        <f t="shared" si="93"/>
        <v/>
      </c>
      <c r="H357">
        <f t="shared" si="94"/>
        <v>0</v>
      </c>
      <c r="I357" s="14">
        <f t="shared" si="101"/>
        <v>0</v>
      </c>
      <c r="J357" s="13">
        <f t="shared" si="95"/>
        <v>4529</v>
      </c>
      <c r="K357">
        <f t="shared" si="96"/>
        <v>1</v>
      </c>
      <c r="L357">
        <f t="shared" si="97"/>
        <v>15</v>
      </c>
      <c r="M357" s="14">
        <f t="shared" si="98"/>
        <v>29</v>
      </c>
      <c r="N357" s="13">
        <f t="shared" si="108"/>
        <v>0</v>
      </c>
      <c r="O357">
        <f t="shared" si="108"/>
        <v>2</v>
      </c>
      <c r="P357">
        <f t="shared" si="108"/>
        <v>53</v>
      </c>
      <c r="Q357" s="14">
        <f t="shared" si="103"/>
        <v>173</v>
      </c>
      <c r="R357" s="13">
        <f t="shared" si="104"/>
        <v>0</v>
      </c>
      <c r="S357">
        <f t="shared" si="105"/>
        <v>2</v>
      </c>
      <c r="T357">
        <f t="shared" si="106"/>
        <v>53</v>
      </c>
      <c r="U357" s="14">
        <f t="shared" si="107"/>
        <v>173</v>
      </c>
      <c r="V357" s="15"/>
      <c r="Z357" s="14"/>
    </row>
    <row r="358" spans="1:26" hidden="1" x14ac:dyDescent="0.25">
      <c r="A358" s="16"/>
      <c r="B358" s="17" t="b">
        <f t="shared" si="92"/>
        <v>0</v>
      </c>
      <c r="C358" s="17" t="b">
        <f t="shared" si="102"/>
        <v>0</v>
      </c>
      <c r="D358" s="17">
        <f t="shared" si="99"/>
        <v>1</v>
      </c>
      <c r="E358" s="17" t="str">
        <f t="shared" si="100"/>
        <v>6. Conclusion</v>
      </c>
      <c r="F358" s="18" t="str">
        <f t="shared" si="91"/>
        <v/>
      </c>
      <c r="G358" s="13" t="str">
        <f t="shared" si="93"/>
        <v/>
      </c>
      <c r="H358">
        <f t="shared" si="94"/>
        <v>0</v>
      </c>
      <c r="I358" s="14">
        <f t="shared" si="101"/>
        <v>0</v>
      </c>
      <c r="J358" s="13">
        <f t="shared" si="95"/>
        <v>4529</v>
      </c>
      <c r="K358">
        <f t="shared" si="96"/>
        <v>1</v>
      </c>
      <c r="L358">
        <f t="shared" si="97"/>
        <v>15</v>
      </c>
      <c r="M358" s="14">
        <f t="shared" si="98"/>
        <v>29</v>
      </c>
      <c r="N358" s="13">
        <f t="shared" si="108"/>
        <v>0</v>
      </c>
      <c r="O358">
        <f t="shared" si="108"/>
        <v>2</v>
      </c>
      <c r="P358">
        <f t="shared" si="108"/>
        <v>53</v>
      </c>
      <c r="Q358" s="14">
        <f t="shared" si="103"/>
        <v>173</v>
      </c>
      <c r="R358" s="13">
        <f t="shared" si="104"/>
        <v>0</v>
      </c>
      <c r="S358">
        <f t="shared" si="105"/>
        <v>2</v>
      </c>
      <c r="T358">
        <f t="shared" si="106"/>
        <v>53</v>
      </c>
      <c r="U358" s="14">
        <f t="shared" si="107"/>
        <v>173</v>
      </c>
      <c r="V358" s="15"/>
      <c r="Z358" s="14"/>
    </row>
    <row r="359" spans="1:26" hidden="1" x14ac:dyDescent="0.25">
      <c r="A359" s="16"/>
      <c r="B359" s="17" t="b">
        <f t="shared" si="92"/>
        <v>0</v>
      </c>
      <c r="C359" s="17" t="b">
        <f t="shared" si="102"/>
        <v>0</v>
      </c>
      <c r="D359" s="17">
        <f t="shared" si="99"/>
        <v>1</v>
      </c>
      <c r="E359" s="17" t="str">
        <f t="shared" si="100"/>
        <v>6. Conclusion</v>
      </c>
      <c r="F359" s="18" t="str">
        <f t="shared" si="91"/>
        <v/>
      </c>
      <c r="G359" s="13" t="str">
        <f t="shared" si="93"/>
        <v/>
      </c>
      <c r="H359">
        <f t="shared" si="94"/>
        <v>0</v>
      </c>
      <c r="I359" s="14">
        <f t="shared" si="101"/>
        <v>0</v>
      </c>
      <c r="J359" s="13">
        <f t="shared" si="95"/>
        <v>4529</v>
      </c>
      <c r="K359">
        <f t="shared" si="96"/>
        <v>1</v>
      </c>
      <c r="L359">
        <f t="shared" si="97"/>
        <v>15</v>
      </c>
      <c r="M359" s="14">
        <f t="shared" si="98"/>
        <v>29</v>
      </c>
      <c r="N359" s="13">
        <f t="shared" si="108"/>
        <v>0</v>
      </c>
      <c r="O359">
        <f t="shared" si="108"/>
        <v>2</v>
      </c>
      <c r="P359">
        <f t="shared" si="108"/>
        <v>53</v>
      </c>
      <c r="Q359" s="14">
        <f t="shared" si="103"/>
        <v>173</v>
      </c>
      <c r="R359" s="13">
        <f t="shared" si="104"/>
        <v>0</v>
      </c>
      <c r="S359">
        <f t="shared" si="105"/>
        <v>2</v>
      </c>
      <c r="T359">
        <f t="shared" si="106"/>
        <v>53</v>
      </c>
      <c r="U359" s="14">
        <f t="shared" si="107"/>
        <v>173</v>
      </c>
      <c r="V359" s="15"/>
      <c r="Z359" s="14"/>
    </row>
    <row r="360" spans="1:26" hidden="1" x14ac:dyDescent="0.25">
      <c r="A360" s="16"/>
      <c r="B360" s="17" t="b">
        <f t="shared" si="92"/>
        <v>0</v>
      </c>
      <c r="C360" s="17" t="b">
        <f t="shared" si="102"/>
        <v>0</v>
      </c>
      <c r="D360" s="17">
        <f t="shared" si="99"/>
        <v>1</v>
      </c>
      <c r="E360" s="17" t="str">
        <f t="shared" si="100"/>
        <v>6. Conclusion</v>
      </c>
      <c r="F360" s="18" t="str">
        <f t="shared" si="91"/>
        <v/>
      </c>
      <c r="G360" s="13" t="str">
        <f t="shared" si="93"/>
        <v/>
      </c>
      <c r="H360">
        <f t="shared" si="94"/>
        <v>0</v>
      </c>
      <c r="I360" s="14">
        <f t="shared" si="101"/>
        <v>0</v>
      </c>
      <c r="J360" s="13">
        <f t="shared" si="95"/>
        <v>4529</v>
      </c>
      <c r="K360">
        <f t="shared" si="96"/>
        <v>1</v>
      </c>
      <c r="L360">
        <f t="shared" si="97"/>
        <v>15</v>
      </c>
      <c r="M360" s="14">
        <f t="shared" si="98"/>
        <v>29</v>
      </c>
      <c r="N360" s="13">
        <f t="shared" si="108"/>
        <v>0</v>
      </c>
      <c r="O360">
        <f t="shared" si="108"/>
        <v>2</v>
      </c>
      <c r="P360">
        <f t="shared" si="108"/>
        <v>53</v>
      </c>
      <c r="Q360" s="14">
        <f t="shared" si="103"/>
        <v>173</v>
      </c>
      <c r="R360" s="13">
        <f t="shared" si="104"/>
        <v>0</v>
      </c>
      <c r="S360">
        <f t="shared" si="105"/>
        <v>2</v>
      </c>
      <c r="T360">
        <f t="shared" si="106"/>
        <v>53</v>
      </c>
      <c r="U360" s="14">
        <f t="shared" si="107"/>
        <v>173</v>
      </c>
      <c r="V360" s="15"/>
      <c r="Z360" s="14"/>
    </row>
    <row r="361" spans="1:26" hidden="1" x14ac:dyDescent="0.25">
      <c r="A361" s="16"/>
      <c r="B361" s="17" t="b">
        <f t="shared" si="92"/>
        <v>0</v>
      </c>
      <c r="C361" s="17" t="b">
        <f t="shared" si="102"/>
        <v>0</v>
      </c>
      <c r="D361" s="17">
        <f t="shared" si="99"/>
        <v>1</v>
      </c>
      <c r="E361" s="17" t="str">
        <f t="shared" si="100"/>
        <v>6. Conclusion</v>
      </c>
      <c r="F361" s="18" t="str">
        <f t="shared" si="91"/>
        <v/>
      </c>
      <c r="G361" s="13" t="str">
        <f t="shared" si="93"/>
        <v/>
      </c>
      <c r="H361">
        <f t="shared" si="94"/>
        <v>0</v>
      </c>
      <c r="I361" s="14">
        <f t="shared" si="101"/>
        <v>0</v>
      </c>
      <c r="J361" s="13">
        <f t="shared" si="95"/>
        <v>4529</v>
      </c>
      <c r="K361">
        <f t="shared" si="96"/>
        <v>1</v>
      </c>
      <c r="L361">
        <f t="shared" si="97"/>
        <v>15</v>
      </c>
      <c r="M361" s="14">
        <f t="shared" si="98"/>
        <v>29</v>
      </c>
      <c r="N361" s="13">
        <f t="shared" si="108"/>
        <v>0</v>
      </c>
      <c r="O361">
        <f t="shared" si="108"/>
        <v>2</v>
      </c>
      <c r="P361">
        <f t="shared" si="108"/>
        <v>53</v>
      </c>
      <c r="Q361" s="14">
        <f t="shared" si="103"/>
        <v>173</v>
      </c>
      <c r="R361" s="13">
        <f t="shared" si="104"/>
        <v>0</v>
      </c>
      <c r="S361">
        <f t="shared" si="105"/>
        <v>2</v>
      </c>
      <c r="T361">
        <f t="shared" si="106"/>
        <v>53</v>
      </c>
      <c r="U361" s="14">
        <f t="shared" si="107"/>
        <v>173</v>
      </c>
      <c r="V361" s="15"/>
      <c r="Z361" s="14"/>
    </row>
    <row r="362" spans="1:26" hidden="1" x14ac:dyDescent="0.25">
      <c r="A362" s="16"/>
      <c r="B362" s="17" t="b">
        <f t="shared" si="92"/>
        <v>0</v>
      </c>
      <c r="C362" s="17" t="b">
        <f t="shared" si="102"/>
        <v>0</v>
      </c>
      <c r="D362" s="17">
        <f t="shared" si="99"/>
        <v>1</v>
      </c>
      <c r="E362" s="17" t="str">
        <f t="shared" si="100"/>
        <v>6. Conclusion</v>
      </c>
      <c r="F362" s="18" t="str">
        <f t="shared" si="91"/>
        <v/>
      </c>
      <c r="G362" s="13" t="str">
        <f t="shared" si="93"/>
        <v/>
      </c>
      <c r="H362">
        <f t="shared" si="94"/>
        <v>0</v>
      </c>
      <c r="I362" s="14">
        <f t="shared" si="101"/>
        <v>0</v>
      </c>
      <c r="J362" s="13">
        <f t="shared" si="95"/>
        <v>4529</v>
      </c>
      <c r="K362">
        <f t="shared" si="96"/>
        <v>1</v>
      </c>
      <c r="L362">
        <f t="shared" si="97"/>
        <v>15</v>
      </c>
      <c r="M362" s="14">
        <f t="shared" si="98"/>
        <v>29</v>
      </c>
      <c r="N362" s="13">
        <f t="shared" si="108"/>
        <v>0</v>
      </c>
      <c r="O362">
        <f t="shared" si="108"/>
        <v>2</v>
      </c>
      <c r="P362">
        <f t="shared" si="108"/>
        <v>53</v>
      </c>
      <c r="Q362" s="14">
        <f t="shared" si="103"/>
        <v>173</v>
      </c>
      <c r="R362" s="13">
        <f t="shared" si="104"/>
        <v>0</v>
      </c>
      <c r="S362">
        <f t="shared" si="105"/>
        <v>2</v>
      </c>
      <c r="T362">
        <f t="shared" si="106"/>
        <v>53</v>
      </c>
      <c r="U362" s="14">
        <f t="shared" si="107"/>
        <v>173</v>
      </c>
      <c r="V362" s="15"/>
      <c r="Z362" s="14"/>
    </row>
    <row r="363" spans="1:26" hidden="1" x14ac:dyDescent="0.25">
      <c r="A363" s="16"/>
      <c r="B363" s="17" t="b">
        <f t="shared" si="92"/>
        <v>0</v>
      </c>
      <c r="C363" s="17" t="b">
        <f t="shared" si="102"/>
        <v>0</v>
      </c>
      <c r="D363" s="17">
        <f t="shared" si="99"/>
        <v>1</v>
      </c>
      <c r="E363" s="17" t="str">
        <f t="shared" si="100"/>
        <v>6. Conclusion</v>
      </c>
      <c r="F363" s="18" t="str">
        <f t="shared" si="91"/>
        <v/>
      </c>
      <c r="G363" s="13" t="str">
        <f t="shared" si="93"/>
        <v/>
      </c>
      <c r="H363">
        <f t="shared" si="94"/>
        <v>0</v>
      </c>
      <c r="I363" s="14">
        <f t="shared" si="101"/>
        <v>0</v>
      </c>
      <c r="J363" s="13">
        <f t="shared" si="95"/>
        <v>4529</v>
      </c>
      <c r="K363">
        <f t="shared" si="96"/>
        <v>1</v>
      </c>
      <c r="L363">
        <f t="shared" si="97"/>
        <v>15</v>
      </c>
      <c r="M363" s="14">
        <f t="shared" si="98"/>
        <v>29</v>
      </c>
      <c r="N363" s="13">
        <f t="shared" si="108"/>
        <v>0</v>
      </c>
      <c r="O363">
        <f t="shared" si="108"/>
        <v>2</v>
      </c>
      <c r="P363">
        <f t="shared" si="108"/>
        <v>53</v>
      </c>
      <c r="Q363" s="14">
        <f t="shared" si="103"/>
        <v>173</v>
      </c>
      <c r="R363" s="13">
        <f t="shared" si="104"/>
        <v>0</v>
      </c>
      <c r="S363">
        <f t="shared" si="105"/>
        <v>2</v>
      </c>
      <c r="T363">
        <f t="shared" si="106"/>
        <v>53</v>
      </c>
      <c r="U363" s="14">
        <f t="shared" si="107"/>
        <v>173</v>
      </c>
      <c r="V363" s="15"/>
      <c r="Z363" s="14"/>
    </row>
    <row r="364" spans="1:26" hidden="1" x14ac:dyDescent="0.25">
      <c r="A364" s="16"/>
      <c r="B364" s="17" t="b">
        <f t="shared" si="92"/>
        <v>0</v>
      </c>
      <c r="C364" s="17" t="b">
        <f t="shared" si="102"/>
        <v>0</v>
      </c>
      <c r="D364" s="17">
        <f t="shared" si="99"/>
        <v>1</v>
      </c>
      <c r="E364" s="17" t="str">
        <f t="shared" si="100"/>
        <v>6. Conclusion</v>
      </c>
      <c r="F364" s="18" t="str">
        <f t="shared" si="91"/>
        <v/>
      </c>
      <c r="G364" s="13" t="str">
        <f t="shared" si="93"/>
        <v/>
      </c>
      <c r="H364">
        <f t="shared" si="94"/>
        <v>0</v>
      </c>
      <c r="I364" s="14">
        <f t="shared" si="101"/>
        <v>0</v>
      </c>
      <c r="J364" s="13">
        <f t="shared" si="95"/>
        <v>4529</v>
      </c>
      <c r="K364">
        <f t="shared" si="96"/>
        <v>1</v>
      </c>
      <c r="L364">
        <f t="shared" si="97"/>
        <v>15</v>
      </c>
      <c r="M364" s="14">
        <f t="shared" si="98"/>
        <v>29</v>
      </c>
      <c r="N364" s="13">
        <f t="shared" si="108"/>
        <v>0</v>
      </c>
      <c r="O364">
        <f t="shared" si="108"/>
        <v>2</v>
      </c>
      <c r="P364">
        <f t="shared" si="108"/>
        <v>53</v>
      </c>
      <c r="Q364" s="14">
        <f t="shared" si="103"/>
        <v>173</v>
      </c>
      <c r="R364" s="13">
        <f t="shared" si="104"/>
        <v>0</v>
      </c>
      <c r="S364">
        <f t="shared" si="105"/>
        <v>2</v>
      </c>
      <c r="T364">
        <f t="shared" si="106"/>
        <v>53</v>
      </c>
      <c r="U364" s="14">
        <f t="shared" si="107"/>
        <v>173</v>
      </c>
      <c r="V364" s="15"/>
      <c r="Z364" s="14"/>
    </row>
    <row r="365" spans="1:26" hidden="1" x14ac:dyDescent="0.25">
      <c r="A365" s="16"/>
      <c r="B365" s="17" t="b">
        <f t="shared" si="92"/>
        <v>0</v>
      </c>
      <c r="C365" s="17" t="b">
        <f t="shared" si="102"/>
        <v>0</v>
      </c>
      <c r="D365" s="17">
        <f t="shared" si="99"/>
        <v>1</v>
      </c>
      <c r="E365" s="17" t="str">
        <f t="shared" si="100"/>
        <v>6. Conclusion</v>
      </c>
      <c r="F365" s="18" t="str">
        <f t="shared" si="91"/>
        <v/>
      </c>
      <c r="G365" s="13" t="str">
        <f t="shared" si="93"/>
        <v/>
      </c>
      <c r="H365">
        <f t="shared" si="94"/>
        <v>0</v>
      </c>
      <c r="I365" s="14">
        <f t="shared" si="101"/>
        <v>0</v>
      </c>
      <c r="J365" s="13">
        <f t="shared" si="95"/>
        <v>4529</v>
      </c>
      <c r="K365">
        <f t="shared" si="96"/>
        <v>1</v>
      </c>
      <c r="L365">
        <f t="shared" si="97"/>
        <v>15</v>
      </c>
      <c r="M365" s="14">
        <f t="shared" si="98"/>
        <v>29</v>
      </c>
      <c r="N365" s="13">
        <f t="shared" si="108"/>
        <v>0</v>
      </c>
      <c r="O365">
        <f t="shared" si="108"/>
        <v>2</v>
      </c>
      <c r="P365">
        <f t="shared" si="108"/>
        <v>53</v>
      </c>
      <c r="Q365" s="14">
        <f t="shared" si="103"/>
        <v>173</v>
      </c>
      <c r="R365" s="13">
        <f t="shared" si="104"/>
        <v>0</v>
      </c>
      <c r="S365">
        <f t="shared" si="105"/>
        <v>2</v>
      </c>
      <c r="T365">
        <f t="shared" si="106"/>
        <v>53</v>
      </c>
      <c r="U365" s="14">
        <f t="shared" si="107"/>
        <v>173</v>
      </c>
      <c r="V365" s="15"/>
      <c r="Z365" s="14"/>
    </row>
    <row r="366" spans="1:26" hidden="1" x14ac:dyDescent="0.25">
      <c r="A366" s="16"/>
      <c r="B366" s="17" t="b">
        <f t="shared" si="92"/>
        <v>0</v>
      </c>
      <c r="C366" s="17" t="b">
        <f t="shared" si="102"/>
        <v>0</v>
      </c>
      <c r="D366" s="17">
        <f t="shared" si="99"/>
        <v>1</v>
      </c>
      <c r="E366" s="17" t="str">
        <f t="shared" si="100"/>
        <v>6. Conclusion</v>
      </c>
      <c r="F366" s="18" t="str">
        <f t="shared" si="91"/>
        <v/>
      </c>
      <c r="G366" s="13" t="str">
        <f t="shared" si="93"/>
        <v/>
      </c>
      <c r="H366">
        <f t="shared" si="94"/>
        <v>0</v>
      </c>
      <c r="I366" s="14">
        <f t="shared" si="101"/>
        <v>0</v>
      </c>
      <c r="J366" s="13">
        <f t="shared" si="95"/>
        <v>4529</v>
      </c>
      <c r="K366">
        <f t="shared" si="96"/>
        <v>1</v>
      </c>
      <c r="L366">
        <f t="shared" si="97"/>
        <v>15</v>
      </c>
      <c r="M366" s="14">
        <f t="shared" si="98"/>
        <v>29</v>
      </c>
      <c r="N366" s="13">
        <f t="shared" si="108"/>
        <v>0</v>
      </c>
      <c r="O366">
        <f t="shared" si="108"/>
        <v>2</v>
      </c>
      <c r="P366">
        <f t="shared" si="108"/>
        <v>53</v>
      </c>
      <c r="Q366" s="14">
        <f t="shared" si="103"/>
        <v>173</v>
      </c>
      <c r="R366" s="13">
        <f t="shared" si="104"/>
        <v>0</v>
      </c>
      <c r="S366">
        <f t="shared" si="105"/>
        <v>2</v>
      </c>
      <c r="T366">
        <f t="shared" si="106"/>
        <v>53</v>
      </c>
      <c r="U366" s="14">
        <f t="shared" si="107"/>
        <v>173</v>
      </c>
      <c r="V366" s="15"/>
      <c r="Z366" s="14"/>
    </row>
    <row r="367" spans="1:26" hidden="1" x14ac:dyDescent="0.25">
      <c r="A367" s="16"/>
      <c r="B367" s="17" t="b">
        <f t="shared" si="92"/>
        <v>0</v>
      </c>
      <c r="C367" s="17" t="b">
        <f t="shared" si="102"/>
        <v>0</v>
      </c>
      <c r="D367" s="17">
        <f t="shared" si="99"/>
        <v>1</v>
      </c>
      <c r="E367" s="17" t="str">
        <f t="shared" si="100"/>
        <v>6. Conclusion</v>
      </c>
      <c r="F367" s="18" t="str">
        <f t="shared" si="91"/>
        <v/>
      </c>
      <c r="G367" s="13" t="str">
        <f t="shared" si="93"/>
        <v/>
      </c>
      <c r="H367">
        <f t="shared" si="94"/>
        <v>0</v>
      </c>
      <c r="I367" s="14">
        <f t="shared" si="101"/>
        <v>0</v>
      </c>
      <c r="J367" s="13">
        <f t="shared" si="95"/>
        <v>4529</v>
      </c>
      <c r="K367">
        <f t="shared" si="96"/>
        <v>1</v>
      </c>
      <c r="L367">
        <f t="shared" si="97"/>
        <v>15</v>
      </c>
      <c r="M367" s="14">
        <f t="shared" si="98"/>
        <v>29</v>
      </c>
      <c r="N367" s="13">
        <f t="shared" si="108"/>
        <v>0</v>
      </c>
      <c r="O367">
        <f t="shared" si="108"/>
        <v>2</v>
      </c>
      <c r="P367">
        <f t="shared" si="108"/>
        <v>53</v>
      </c>
      <c r="Q367" s="14">
        <f t="shared" si="103"/>
        <v>173</v>
      </c>
      <c r="R367" s="13">
        <f t="shared" si="104"/>
        <v>0</v>
      </c>
      <c r="S367">
        <f t="shared" si="105"/>
        <v>2</v>
      </c>
      <c r="T367">
        <f t="shared" si="106"/>
        <v>53</v>
      </c>
      <c r="U367" s="14">
        <f t="shared" si="107"/>
        <v>173</v>
      </c>
      <c r="V367" s="15"/>
      <c r="Z367" s="14"/>
    </row>
    <row r="368" spans="1:26" hidden="1" x14ac:dyDescent="0.25">
      <c r="A368" s="16"/>
      <c r="B368" s="17" t="b">
        <f t="shared" si="92"/>
        <v>0</v>
      </c>
      <c r="C368" s="17" t="b">
        <f t="shared" si="102"/>
        <v>0</v>
      </c>
      <c r="D368" s="17">
        <f t="shared" si="99"/>
        <v>1</v>
      </c>
      <c r="E368" s="17" t="str">
        <f t="shared" si="100"/>
        <v>6. Conclusion</v>
      </c>
      <c r="F368" s="18" t="str">
        <f t="shared" si="91"/>
        <v/>
      </c>
      <c r="G368" s="13" t="str">
        <f t="shared" si="93"/>
        <v/>
      </c>
      <c r="H368">
        <f t="shared" si="94"/>
        <v>0</v>
      </c>
      <c r="I368" s="14">
        <f t="shared" si="101"/>
        <v>0</v>
      </c>
      <c r="J368" s="13">
        <f t="shared" si="95"/>
        <v>4529</v>
      </c>
      <c r="K368">
        <f t="shared" si="96"/>
        <v>1</v>
      </c>
      <c r="L368">
        <f t="shared" si="97"/>
        <v>15</v>
      </c>
      <c r="M368" s="14">
        <f t="shared" si="98"/>
        <v>29</v>
      </c>
      <c r="N368" s="13">
        <f t="shared" si="108"/>
        <v>0</v>
      </c>
      <c r="O368">
        <f t="shared" si="108"/>
        <v>2</v>
      </c>
      <c r="P368">
        <f t="shared" si="108"/>
        <v>53</v>
      </c>
      <c r="Q368" s="14">
        <f t="shared" si="103"/>
        <v>173</v>
      </c>
      <c r="R368" s="13">
        <f t="shared" si="104"/>
        <v>0</v>
      </c>
      <c r="S368">
        <f t="shared" si="105"/>
        <v>2</v>
      </c>
      <c r="T368">
        <f t="shared" si="106"/>
        <v>53</v>
      </c>
      <c r="U368" s="14">
        <f t="shared" si="107"/>
        <v>173</v>
      </c>
      <c r="V368" s="15"/>
      <c r="Z368" s="14"/>
    </row>
    <row r="369" spans="1:26" hidden="1" x14ac:dyDescent="0.25">
      <c r="A369" s="16"/>
      <c r="B369" s="17" t="b">
        <f t="shared" si="92"/>
        <v>0</v>
      </c>
      <c r="C369" s="17" t="b">
        <f t="shared" si="102"/>
        <v>0</v>
      </c>
      <c r="D369" s="17">
        <f t="shared" si="99"/>
        <v>1</v>
      </c>
      <c r="E369" s="17" t="str">
        <f t="shared" si="100"/>
        <v>6. Conclusion</v>
      </c>
      <c r="F369" s="18" t="str">
        <f t="shared" si="91"/>
        <v/>
      </c>
      <c r="G369" s="13" t="str">
        <f t="shared" si="93"/>
        <v/>
      </c>
      <c r="H369">
        <f t="shared" si="94"/>
        <v>0</v>
      </c>
      <c r="I369" s="14">
        <f t="shared" si="101"/>
        <v>0</v>
      </c>
      <c r="J369" s="13">
        <f t="shared" si="95"/>
        <v>4529</v>
      </c>
      <c r="K369">
        <f t="shared" si="96"/>
        <v>1</v>
      </c>
      <c r="L369">
        <f t="shared" si="97"/>
        <v>15</v>
      </c>
      <c r="M369" s="14">
        <f t="shared" si="98"/>
        <v>29</v>
      </c>
      <c r="N369" s="13">
        <f t="shared" si="108"/>
        <v>0</v>
      </c>
      <c r="O369">
        <f t="shared" si="108"/>
        <v>2</v>
      </c>
      <c r="P369">
        <f t="shared" si="108"/>
        <v>53</v>
      </c>
      <c r="Q369" s="14">
        <f t="shared" si="103"/>
        <v>173</v>
      </c>
      <c r="R369" s="13">
        <f t="shared" si="104"/>
        <v>0</v>
      </c>
      <c r="S369">
        <f t="shared" si="105"/>
        <v>2</v>
      </c>
      <c r="T369">
        <f t="shared" si="106"/>
        <v>53</v>
      </c>
      <c r="U369" s="14">
        <f t="shared" si="107"/>
        <v>173</v>
      </c>
      <c r="V369" s="15"/>
      <c r="Z369" s="14"/>
    </row>
    <row r="370" spans="1:26" hidden="1" x14ac:dyDescent="0.25">
      <c r="A370" s="16"/>
      <c r="B370" s="17" t="b">
        <f t="shared" si="92"/>
        <v>0</v>
      </c>
      <c r="C370" s="17" t="b">
        <f t="shared" si="102"/>
        <v>0</v>
      </c>
      <c r="D370" s="17">
        <f t="shared" si="99"/>
        <v>1</v>
      </c>
      <c r="E370" s="17" t="str">
        <f t="shared" si="100"/>
        <v>6. Conclusion</v>
      </c>
      <c r="F370" s="18" t="str">
        <f t="shared" si="91"/>
        <v/>
      </c>
      <c r="G370" s="13" t="str">
        <f t="shared" si="93"/>
        <v/>
      </c>
      <c r="H370">
        <f t="shared" si="94"/>
        <v>0</v>
      </c>
      <c r="I370" s="14">
        <f t="shared" si="101"/>
        <v>0</v>
      </c>
      <c r="J370" s="13">
        <f t="shared" si="95"/>
        <v>4529</v>
      </c>
      <c r="K370">
        <f t="shared" si="96"/>
        <v>1</v>
      </c>
      <c r="L370">
        <f t="shared" si="97"/>
        <v>15</v>
      </c>
      <c r="M370" s="14">
        <f t="shared" si="98"/>
        <v>29</v>
      </c>
      <c r="N370" s="13">
        <f t="shared" si="108"/>
        <v>0</v>
      </c>
      <c r="O370">
        <f t="shared" si="108"/>
        <v>2</v>
      </c>
      <c r="P370">
        <f t="shared" si="108"/>
        <v>53</v>
      </c>
      <c r="Q370" s="14">
        <f t="shared" si="103"/>
        <v>173</v>
      </c>
      <c r="R370" s="13">
        <f t="shared" si="104"/>
        <v>0</v>
      </c>
      <c r="S370">
        <f t="shared" si="105"/>
        <v>2</v>
      </c>
      <c r="T370">
        <f t="shared" si="106"/>
        <v>53</v>
      </c>
      <c r="U370" s="14">
        <f t="shared" si="107"/>
        <v>173</v>
      </c>
      <c r="V370" s="15"/>
      <c r="Z370" s="14"/>
    </row>
    <row r="371" spans="1:26" hidden="1" x14ac:dyDescent="0.25">
      <c r="A371" s="16"/>
      <c r="B371" s="17" t="b">
        <f t="shared" si="92"/>
        <v>0</v>
      </c>
      <c r="C371" s="17" t="b">
        <f t="shared" si="102"/>
        <v>0</v>
      </c>
      <c r="D371" s="17">
        <f t="shared" si="99"/>
        <v>1</v>
      </c>
      <c r="E371" s="17" t="str">
        <f t="shared" si="100"/>
        <v>6. Conclusion</v>
      </c>
      <c r="F371" s="18" t="str">
        <f t="shared" si="91"/>
        <v/>
      </c>
      <c r="G371" s="13" t="str">
        <f t="shared" si="93"/>
        <v/>
      </c>
      <c r="H371">
        <f t="shared" si="94"/>
        <v>0</v>
      </c>
      <c r="I371" s="14">
        <f t="shared" si="101"/>
        <v>0</v>
      </c>
      <c r="J371" s="13">
        <f t="shared" si="95"/>
        <v>4529</v>
      </c>
      <c r="K371">
        <f t="shared" si="96"/>
        <v>1</v>
      </c>
      <c r="L371">
        <f t="shared" si="97"/>
        <v>15</v>
      </c>
      <c r="M371" s="14">
        <f t="shared" si="98"/>
        <v>29</v>
      </c>
      <c r="N371" s="13">
        <f t="shared" si="108"/>
        <v>0</v>
      </c>
      <c r="O371">
        <f t="shared" si="108"/>
        <v>2</v>
      </c>
      <c r="P371">
        <f t="shared" si="108"/>
        <v>53</v>
      </c>
      <c r="Q371" s="14">
        <f t="shared" si="103"/>
        <v>173</v>
      </c>
      <c r="R371" s="13">
        <f t="shared" si="104"/>
        <v>0</v>
      </c>
      <c r="S371">
        <f t="shared" si="105"/>
        <v>2</v>
      </c>
      <c r="T371">
        <f t="shared" si="106"/>
        <v>53</v>
      </c>
      <c r="U371" s="14">
        <f t="shared" si="107"/>
        <v>173</v>
      </c>
      <c r="V371" s="15"/>
      <c r="Z371" s="14"/>
    </row>
    <row r="372" spans="1:26" hidden="1" x14ac:dyDescent="0.25">
      <c r="A372" s="16"/>
      <c r="B372" s="17" t="b">
        <f t="shared" si="92"/>
        <v>0</v>
      </c>
      <c r="C372" s="17" t="b">
        <f t="shared" si="102"/>
        <v>0</v>
      </c>
      <c r="D372" s="17">
        <f t="shared" si="99"/>
        <v>1</v>
      </c>
      <c r="E372" s="17" t="str">
        <f t="shared" si="100"/>
        <v>6. Conclusion</v>
      </c>
      <c r="F372" s="18" t="str">
        <f t="shared" si="91"/>
        <v/>
      </c>
      <c r="G372" s="13" t="str">
        <f t="shared" si="93"/>
        <v/>
      </c>
      <c r="H372">
        <f t="shared" si="94"/>
        <v>0</v>
      </c>
      <c r="I372" s="14">
        <f t="shared" si="101"/>
        <v>0</v>
      </c>
      <c r="J372" s="13">
        <f t="shared" si="95"/>
        <v>4529</v>
      </c>
      <c r="K372">
        <f t="shared" si="96"/>
        <v>1</v>
      </c>
      <c r="L372">
        <f t="shared" si="97"/>
        <v>15</v>
      </c>
      <c r="M372" s="14">
        <f t="shared" si="98"/>
        <v>29</v>
      </c>
      <c r="N372" s="13">
        <f t="shared" si="108"/>
        <v>0</v>
      </c>
      <c r="O372">
        <f t="shared" si="108"/>
        <v>2</v>
      </c>
      <c r="P372">
        <f t="shared" si="108"/>
        <v>53</v>
      </c>
      <c r="Q372" s="14">
        <f t="shared" si="103"/>
        <v>173</v>
      </c>
      <c r="R372" s="13">
        <f t="shared" si="104"/>
        <v>0</v>
      </c>
      <c r="S372">
        <f t="shared" si="105"/>
        <v>2</v>
      </c>
      <c r="T372">
        <f t="shared" si="106"/>
        <v>53</v>
      </c>
      <c r="U372" s="14">
        <f t="shared" si="107"/>
        <v>173</v>
      </c>
      <c r="V372" s="15"/>
      <c r="Z372" s="14"/>
    </row>
    <row r="373" spans="1:26" hidden="1" x14ac:dyDescent="0.25">
      <c r="A373" s="16"/>
      <c r="B373" s="17" t="b">
        <f t="shared" si="92"/>
        <v>0</v>
      </c>
      <c r="C373" s="17" t="b">
        <f t="shared" si="102"/>
        <v>0</v>
      </c>
      <c r="D373" s="17">
        <f t="shared" si="99"/>
        <v>1</v>
      </c>
      <c r="E373" s="17" t="str">
        <f t="shared" si="100"/>
        <v>6. Conclusion</v>
      </c>
      <c r="F373" s="18" t="str">
        <f t="shared" ref="F373:F436" si="109">IF(C373,D373&amp;". "&amp;A373,IF(A373="Chapter Quiz",A373,""))</f>
        <v/>
      </c>
      <c r="G373" s="13" t="str">
        <f t="shared" si="93"/>
        <v/>
      </c>
      <c r="H373">
        <f t="shared" si="94"/>
        <v>0</v>
      </c>
      <c r="I373" s="14">
        <f t="shared" si="101"/>
        <v>0</v>
      </c>
      <c r="J373" s="13">
        <f t="shared" si="95"/>
        <v>4529</v>
      </c>
      <c r="K373">
        <f t="shared" si="96"/>
        <v>1</v>
      </c>
      <c r="L373">
        <f t="shared" si="97"/>
        <v>15</v>
      </c>
      <c r="M373" s="14">
        <f t="shared" si="98"/>
        <v>29</v>
      </c>
      <c r="N373" s="13">
        <f t="shared" si="108"/>
        <v>0</v>
      </c>
      <c r="O373">
        <f t="shared" si="108"/>
        <v>2</v>
      </c>
      <c r="P373">
        <f t="shared" si="108"/>
        <v>53</v>
      </c>
      <c r="Q373" s="14">
        <f t="shared" si="103"/>
        <v>173</v>
      </c>
      <c r="R373" s="13">
        <f t="shared" si="104"/>
        <v>0</v>
      </c>
      <c r="S373">
        <f t="shared" si="105"/>
        <v>2</v>
      </c>
      <c r="T373">
        <f t="shared" si="106"/>
        <v>53</v>
      </c>
      <c r="U373" s="14">
        <f t="shared" si="107"/>
        <v>173</v>
      </c>
      <c r="V373" s="15"/>
      <c r="Z373" s="14"/>
    </row>
    <row r="374" spans="1:26" hidden="1" x14ac:dyDescent="0.25">
      <c r="A374" s="16"/>
      <c r="B374" s="17" t="b">
        <f t="shared" si="92"/>
        <v>0</v>
      </c>
      <c r="C374" s="17" t="b">
        <f t="shared" si="102"/>
        <v>0</v>
      </c>
      <c r="D374" s="17">
        <f t="shared" si="99"/>
        <v>1</v>
      </c>
      <c r="E374" s="17" t="str">
        <f t="shared" si="100"/>
        <v>6. Conclusion</v>
      </c>
      <c r="F374" s="18" t="str">
        <f t="shared" si="109"/>
        <v/>
      </c>
      <c r="G374" s="13" t="str">
        <f t="shared" si="93"/>
        <v/>
      </c>
      <c r="H374">
        <f t="shared" si="94"/>
        <v>0</v>
      </c>
      <c r="I374" s="14">
        <f t="shared" si="101"/>
        <v>0</v>
      </c>
      <c r="J374" s="13">
        <f t="shared" si="95"/>
        <v>4529</v>
      </c>
      <c r="K374">
        <f t="shared" si="96"/>
        <v>1</v>
      </c>
      <c r="L374">
        <f t="shared" si="97"/>
        <v>15</v>
      </c>
      <c r="M374" s="14">
        <f t="shared" si="98"/>
        <v>29</v>
      </c>
      <c r="N374" s="13">
        <f t="shared" si="108"/>
        <v>0</v>
      </c>
      <c r="O374">
        <f t="shared" si="108"/>
        <v>2</v>
      </c>
      <c r="P374">
        <f t="shared" si="108"/>
        <v>53</v>
      </c>
      <c r="Q374" s="14">
        <f t="shared" si="103"/>
        <v>173</v>
      </c>
      <c r="R374" s="13">
        <f t="shared" si="104"/>
        <v>0</v>
      </c>
      <c r="S374">
        <f t="shared" si="105"/>
        <v>2</v>
      </c>
      <c r="T374">
        <f t="shared" si="106"/>
        <v>53</v>
      </c>
      <c r="U374" s="14">
        <f t="shared" si="107"/>
        <v>173</v>
      </c>
      <c r="V374" s="15"/>
      <c r="Z374" s="14"/>
    </row>
    <row r="375" spans="1:26" hidden="1" x14ac:dyDescent="0.25">
      <c r="A375" s="16"/>
      <c r="B375" s="17" t="b">
        <f t="shared" si="92"/>
        <v>0</v>
      </c>
      <c r="C375" s="17" t="b">
        <f t="shared" si="102"/>
        <v>0</v>
      </c>
      <c r="D375" s="17">
        <f t="shared" si="99"/>
        <v>1</v>
      </c>
      <c r="E375" s="17" t="str">
        <f t="shared" si="100"/>
        <v>6. Conclusion</v>
      </c>
      <c r="F375" s="18" t="str">
        <f t="shared" si="109"/>
        <v/>
      </c>
      <c r="G375" s="13" t="str">
        <f t="shared" si="93"/>
        <v/>
      </c>
      <c r="H375">
        <f t="shared" si="94"/>
        <v>0</v>
      </c>
      <c r="I375" s="14">
        <f t="shared" si="101"/>
        <v>0</v>
      </c>
      <c r="J375" s="13">
        <f t="shared" si="95"/>
        <v>4529</v>
      </c>
      <c r="K375">
        <f t="shared" si="96"/>
        <v>1</v>
      </c>
      <c r="L375">
        <f t="shared" si="97"/>
        <v>15</v>
      </c>
      <c r="M375" s="14">
        <f t="shared" si="98"/>
        <v>29</v>
      </c>
      <c r="N375" s="13">
        <f t="shared" si="108"/>
        <v>0</v>
      </c>
      <c r="O375">
        <f t="shared" si="108"/>
        <v>2</v>
      </c>
      <c r="P375">
        <f t="shared" si="108"/>
        <v>53</v>
      </c>
      <c r="Q375" s="14">
        <f t="shared" si="103"/>
        <v>173</v>
      </c>
      <c r="R375" s="13">
        <f t="shared" si="104"/>
        <v>0</v>
      </c>
      <c r="S375">
        <f t="shared" si="105"/>
        <v>2</v>
      </c>
      <c r="T375">
        <f t="shared" si="106"/>
        <v>53</v>
      </c>
      <c r="U375" s="14">
        <f t="shared" si="107"/>
        <v>173</v>
      </c>
      <c r="V375" s="15"/>
      <c r="Z375" s="14"/>
    </row>
    <row r="376" spans="1:26" hidden="1" x14ac:dyDescent="0.25">
      <c r="A376" s="16"/>
      <c r="B376" s="17" t="b">
        <f t="shared" si="92"/>
        <v>0</v>
      </c>
      <c r="C376" s="17" t="b">
        <f t="shared" si="102"/>
        <v>0</v>
      </c>
      <c r="D376" s="17">
        <f t="shared" si="99"/>
        <v>1</v>
      </c>
      <c r="E376" s="17" t="str">
        <f t="shared" si="100"/>
        <v>6. Conclusion</v>
      </c>
      <c r="F376" s="18" t="str">
        <f t="shared" si="109"/>
        <v/>
      </c>
      <c r="G376" s="13" t="str">
        <f t="shared" si="93"/>
        <v/>
      </c>
      <c r="H376">
        <f t="shared" si="94"/>
        <v>0</v>
      </c>
      <c r="I376" s="14">
        <f t="shared" si="101"/>
        <v>0</v>
      </c>
      <c r="J376" s="13">
        <f t="shared" si="95"/>
        <v>4529</v>
      </c>
      <c r="K376">
        <f t="shared" si="96"/>
        <v>1</v>
      </c>
      <c r="L376">
        <f t="shared" si="97"/>
        <v>15</v>
      </c>
      <c r="M376" s="14">
        <f t="shared" si="98"/>
        <v>29</v>
      </c>
      <c r="N376" s="13">
        <f t="shared" si="108"/>
        <v>0</v>
      </c>
      <c r="O376">
        <f t="shared" si="108"/>
        <v>2</v>
      </c>
      <c r="P376">
        <f t="shared" si="108"/>
        <v>53</v>
      </c>
      <c r="Q376" s="14">
        <f t="shared" si="103"/>
        <v>173</v>
      </c>
      <c r="R376" s="13">
        <f t="shared" si="104"/>
        <v>0</v>
      </c>
      <c r="S376">
        <f t="shared" si="105"/>
        <v>2</v>
      </c>
      <c r="T376">
        <f t="shared" si="106"/>
        <v>53</v>
      </c>
      <c r="U376" s="14">
        <f t="shared" si="107"/>
        <v>173</v>
      </c>
      <c r="V376" s="15"/>
      <c r="Z376" s="14"/>
    </row>
    <row r="377" spans="1:26" hidden="1" x14ac:dyDescent="0.25">
      <c r="A377" s="16"/>
      <c r="B377" s="17" t="b">
        <f t="shared" si="92"/>
        <v>0</v>
      </c>
      <c r="C377" s="17" t="b">
        <f t="shared" si="102"/>
        <v>0</v>
      </c>
      <c r="D377" s="17">
        <f t="shared" si="99"/>
        <v>1</v>
      </c>
      <c r="E377" s="17" t="str">
        <f t="shared" si="100"/>
        <v>6. Conclusion</v>
      </c>
      <c r="F377" s="18" t="str">
        <f t="shared" si="109"/>
        <v/>
      </c>
      <c r="G377" s="13" t="str">
        <f t="shared" si="93"/>
        <v/>
      </c>
      <c r="H377">
        <f t="shared" si="94"/>
        <v>0</v>
      </c>
      <c r="I377" s="14">
        <f t="shared" si="101"/>
        <v>0</v>
      </c>
      <c r="J377" s="13">
        <f t="shared" si="95"/>
        <v>4529</v>
      </c>
      <c r="K377">
        <f t="shared" si="96"/>
        <v>1</v>
      </c>
      <c r="L377">
        <f t="shared" si="97"/>
        <v>15</v>
      </c>
      <c r="M377" s="14">
        <f t="shared" si="98"/>
        <v>29</v>
      </c>
      <c r="N377" s="13">
        <f t="shared" si="108"/>
        <v>0</v>
      </c>
      <c r="O377">
        <f t="shared" si="108"/>
        <v>2</v>
      </c>
      <c r="P377">
        <f t="shared" si="108"/>
        <v>53</v>
      </c>
      <c r="Q377" s="14">
        <f t="shared" si="103"/>
        <v>173</v>
      </c>
      <c r="R377" s="13">
        <f t="shared" si="104"/>
        <v>0</v>
      </c>
      <c r="S377">
        <f t="shared" si="105"/>
        <v>2</v>
      </c>
      <c r="T377">
        <f t="shared" si="106"/>
        <v>53</v>
      </c>
      <c r="U377" s="14">
        <f t="shared" si="107"/>
        <v>173</v>
      </c>
      <c r="V377" s="15"/>
      <c r="Z377" s="14"/>
    </row>
    <row r="378" spans="1:26" hidden="1" x14ac:dyDescent="0.25">
      <c r="A378" s="16"/>
      <c r="B378" s="17" t="b">
        <f t="shared" si="92"/>
        <v>0</v>
      </c>
      <c r="C378" s="17" t="b">
        <f t="shared" si="102"/>
        <v>0</v>
      </c>
      <c r="D378" s="17">
        <f t="shared" si="99"/>
        <v>1</v>
      </c>
      <c r="E378" s="17" t="str">
        <f t="shared" si="100"/>
        <v>6. Conclusion</v>
      </c>
      <c r="F378" s="18" t="str">
        <f t="shared" si="109"/>
        <v/>
      </c>
      <c r="G378" s="13" t="str">
        <f t="shared" si="93"/>
        <v/>
      </c>
      <c r="H378">
        <f t="shared" si="94"/>
        <v>0</v>
      </c>
      <c r="I378" s="14">
        <f t="shared" si="101"/>
        <v>0</v>
      </c>
      <c r="J378" s="13">
        <f t="shared" si="95"/>
        <v>4529</v>
      </c>
      <c r="K378">
        <f t="shared" si="96"/>
        <v>1</v>
      </c>
      <c r="L378">
        <f t="shared" si="97"/>
        <v>15</v>
      </c>
      <c r="M378" s="14">
        <f t="shared" si="98"/>
        <v>29</v>
      </c>
      <c r="N378" s="13">
        <f t="shared" si="108"/>
        <v>0</v>
      </c>
      <c r="O378">
        <f t="shared" si="108"/>
        <v>2</v>
      </c>
      <c r="P378">
        <f t="shared" si="108"/>
        <v>53</v>
      </c>
      <c r="Q378" s="14">
        <f t="shared" si="103"/>
        <v>173</v>
      </c>
      <c r="R378" s="13">
        <f t="shared" si="104"/>
        <v>0</v>
      </c>
      <c r="S378">
        <f t="shared" si="105"/>
        <v>2</v>
      </c>
      <c r="T378">
        <f t="shared" si="106"/>
        <v>53</v>
      </c>
      <c r="U378" s="14">
        <f t="shared" si="107"/>
        <v>173</v>
      </c>
      <c r="V378" s="15"/>
      <c r="Z378" s="14"/>
    </row>
    <row r="379" spans="1:26" hidden="1" x14ac:dyDescent="0.25">
      <c r="A379" s="16"/>
      <c r="B379" s="17" t="b">
        <f t="shared" si="92"/>
        <v>0</v>
      </c>
      <c r="C379" s="17" t="b">
        <f t="shared" si="102"/>
        <v>0</v>
      </c>
      <c r="D379" s="17">
        <f t="shared" si="99"/>
        <v>1</v>
      </c>
      <c r="E379" s="17" t="str">
        <f t="shared" si="100"/>
        <v>6. Conclusion</v>
      </c>
      <c r="F379" s="18" t="str">
        <f t="shared" si="109"/>
        <v/>
      </c>
      <c r="G379" s="13" t="str">
        <f t="shared" si="93"/>
        <v/>
      </c>
      <c r="H379">
        <f t="shared" si="94"/>
        <v>0</v>
      </c>
      <c r="I379" s="14">
        <f t="shared" si="101"/>
        <v>0</v>
      </c>
      <c r="J379" s="13">
        <f t="shared" si="95"/>
        <v>4529</v>
      </c>
      <c r="K379">
        <f t="shared" si="96"/>
        <v>1</v>
      </c>
      <c r="L379">
        <f t="shared" si="97"/>
        <v>15</v>
      </c>
      <c r="M379" s="14">
        <f t="shared" si="98"/>
        <v>29</v>
      </c>
      <c r="N379" s="13">
        <f t="shared" si="108"/>
        <v>0</v>
      </c>
      <c r="O379">
        <f t="shared" si="108"/>
        <v>2</v>
      </c>
      <c r="P379">
        <f t="shared" si="108"/>
        <v>53</v>
      </c>
      <c r="Q379" s="14">
        <f t="shared" si="103"/>
        <v>173</v>
      </c>
      <c r="R379" s="13">
        <f t="shared" si="104"/>
        <v>0</v>
      </c>
      <c r="S379">
        <f t="shared" si="105"/>
        <v>2</v>
      </c>
      <c r="T379">
        <f t="shared" si="106"/>
        <v>53</v>
      </c>
      <c r="U379" s="14">
        <f t="shared" si="107"/>
        <v>173</v>
      </c>
      <c r="V379" s="15"/>
      <c r="Z379" s="14"/>
    </row>
    <row r="380" spans="1:26" hidden="1" x14ac:dyDescent="0.25">
      <c r="A380" s="16"/>
      <c r="B380" s="17" t="b">
        <f t="shared" si="92"/>
        <v>0</v>
      </c>
      <c r="C380" s="17" t="b">
        <f t="shared" si="102"/>
        <v>0</v>
      </c>
      <c r="D380" s="17">
        <f t="shared" si="99"/>
        <v>1</v>
      </c>
      <c r="E380" s="17" t="str">
        <f t="shared" si="100"/>
        <v>6. Conclusion</v>
      </c>
      <c r="F380" s="18" t="str">
        <f t="shared" si="109"/>
        <v/>
      </c>
      <c r="G380" s="13" t="str">
        <f t="shared" si="93"/>
        <v/>
      </c>
      <c r="H380">
        <f t="shared" si="94"/>
        <v>0</v>
      </c>
      <c r="I380" s="14">
        <f t="shared" si="101"/>
        <v>0</v>
      </c>
      <c r="J380" s="13">
        <f t="shared" si="95"/>
        <v>4529</v>
      </c>
      <c r="K380">
        <f t="shared" si="96"/>
        <v>1</v>
      </c>
      <c r="L380">
        <f t="shared" si="97"/>
        <v>15</v>
      </c>
      <c r="M380" s="14">
        <f t="shared" si="98"/>
        <v>29</v>
      </c>
      <c r="N380" s="13">
        <f t="shared" si="108"/>
        <v>0</v>
      </c>
      <c r="O380">
        <f t="shared" si="108"/>
        <v>2</v>
      </c>
      <c r="P380">
        <f t="shared" si="108"/>
        <v>53</v>
      </c>
      <c r="Q380" s="14">
        <f t="shared" si="103"/>
        <v>173</v>
      </c>
      <c r="R380" s="13">
        <f t="shared" si="104"/>
        <v>0</v>
      </c>
      <c r="S380">
        <f t="shared" si="105"/>
        <v>2</v>
      </c>
      <c r="T380">
        <f t="shared" si="106"/>
        <v>53</v>
      </c>
      <c r="U380" s="14">
        <f t="shared" si="107"/>
        <v>173</v>
      </c>
      <c r="V380" s="15"/>
      <c r="Z380" s="14"/>
    </row>
    <row r="381" spans="1:26" hidden="1" x14ac:dyDescent="0.25">
      <c r="A381" s="16"/>
      <c r="B381" s="17" t="b">
        <f t="shared" si="92"/>
        <v>0</v>
      </c>
      <c r="C381" s="17" t="b">
        <f t="shared" si="102"/>
        <v>0</v>
      </c>
      <c r="D381" s="17">
        <f t="shared" si="99"/>
        <v>1</v>
      </c>
      <c r="E381" s="17" t="str">
        <f t="shared" si="100"/>
        <v>6. Conclusion</v>
      </c>
      <c r="F381" s="18" t="str">
        <f t="shared" si="109"/>
        <v/>
      </c>
      <c r="G381" s="13" t="str">
        <f t="shared" si="93"/>
        <v/>
      </c>
      <c r="H381">
        <f t="shared" si="94"/>
        <v>0</v>
      </c>
      <c r="I381" s="14">
        <f t="shared" si="101"/>
        <v>0</v>
      </c>
      <c r="J381" s="13">
        <f t="shared" si="95"/>
        <v>4529</v>
      </c>
      <c r="K381">
        <f t="shared" si="96"/>
        <v>1</v>
      </c>
      <c r="L381">
        <f t="shared" si="97"/>
        <v>15</v>
      </c>
      <c r="M381" s="14">
        <f t="shared" si="98"/>
        <v>29</v>
      </c>
      <c r="N381" s="13">
        <f t="shared" si="108"/>
        <v>0</v>
      </c>
      <c r="O381">
        <f t="shared" si="108"/>
        <v>2</v>
      </c>
      <c r="P381">
        <f t="shared" si="108"/>
        <v>53</v>
      </c>
      <c r="Q381" s="14">
        <f t="shared" si="103"/>
        <v>173</v>
      </c>
      <c r="R381" s="13">
        <f t="shared" si="104"/>
        <v>0</v>
      </c>
      <c r="S381">
        <f t="shared" si="105"/>
        <v>2</v>
      </c>
      <c r="T381">
        <f t="shared" si="106"/>
        <v>53</v>
      </c>
      <c r="U381" s="14">
        <f t="shared" si="107"/>
        <v>173</v>
      </c>
      <c r="V381" s="15"/>
      <c r="Z381" s="14"/>
    </row>
    <row r="382" spans="1:26" hidden="1" x14ac:dyDescent="0.25">
      <c r="A382" s="16"/>
      <c r="B382" s="17" t="b">
        <f t="shared" si="92"/>
        <v>0</v>
      </c>
      <c r="C382" s="17" t="b">
        <f t="shared" si="102"/>
        <v>0</v>
      </c>
      <c r="D382" s="17">
        <f t="shared" si="99"/>
        <v>1</v>
      </c>
      <c r="E382" s="17" t="str">
        <f t="shared" si="100"/>
        <v>6. Conclusion</v>
      </c>
      <c r="F382" s="18" t="str">
        <f t="shared" si="109"/>
        <v/>
      </c>
      <c r="G382" s="13" t="str">
        <f t="shared" si="93"/>
        <v/>
      </c>
      <c r="H382">
        <f t="shared" si="94"/>
        <v>0</v>
      </c>
      <c r="I382" s="14">
        <f t="shared" si="101"/>
        <v>0</v>
      </c>
      <c r="J382" s="13">
        <f t="shared" si="95"/>
        <v>4529</v>
      </c>
      <c r="K382">
        <f t="shared" si="96"/>
        <v>1</v>
      </c>
      <c r="L382">
        <f t="shared" si="97"/>
        <v>15</v>
      </c>
      <c r="M382" s="14">
        <f t="shared" si="98"/>
        <v>29</v>
      </c>
      <c r="N382" s="13">
        <f t="shared" si="108"/>
        <v>0</v>
      </c>
      <c r="O382">
        <f t="shared" si="108"/>
        <v>2</v>
      </c>
      <c r="P382">
        <f t="shared" si="108"/>
        <v>53</v>
      </c>
      <c r="Q382" s="14">
        <f t="shared" si="103"/>
        <v>173</v>
      </c>
      <c r="R382" s="13">
        <f t="shared" si="104"/>
        <v>0</v>
      </c>
      <c r="S382">
        <f t="shared" si="105"/>
        <v>2</v>
      </c>
      <c r="T382">
        <f t="shared" si="106"/>
        <v>53</v>
      </c>
      <c r="U382" s="14">
        <f t="shared" si="107"/>
        <v>173</v>
      </c>
      <c r="V382" s="15"/>
      <c r="Z382" s="14"/>
    </row>
    <row r="383" spans="1:26" hidden="1" x14ac:dyDescent="0.25">
      <c r="A383" s="16"/>
      <c r="B383" s="17" t="b">
        <f t="shared" si="92"/>
        <v>0</v>
      </c>
      <c r="C383" s="17" t="b">
        <f t="shared" si="102"/>
        <v>0</v>
      </c>
      <c r="D383" s="17">
        <f t="shared" si="99"/>
        <v>1</v>
      </c>
      <c r="E383" s="17" t="str">
        <f t="shared" si="100"/>
        <v>6. Conclusion</v>
      </c>
      <c r="F383" s="18" t="str">
        <f t="shared" si="109"/>
        <v/>
      </c>
      <c r="G383" s="13" t="str">
        <f t="shared" si="93"/>
        <v/>
      </c>
      <c r="H383">
        <f t="shared" si="94"/>
        <v>0</v>
      </c>
      <c r="I383" s="14">
        <f t="shared" si="101"/>
        <v>0</v>
      </c>
      <c r="J383" s="13">
        <f t="shared" si="95"/>
        <v>4529</v>
      </c>
      <c r="K383">
        <f t="shared" si="96"/>
        <v>1</v>
      </c>
      <c r="L383">
        <f t="shared" si="97"/>
        <v>15</v>
      </c>
      <c r="M383" s="14">
        <f t="shared" si="98"/>
        <v>29</v>
      </c>
      <c r="N383" s="13">
        <f t="shared" si="108"/>
        <v>0</v>
      </c>
      <c r="O383">
        <f t="shared" si="108"/>
        <v>2</v>
      </c>
      <c r="P383">
        <f t="shared" si="108"/>
        <v>53</v>
      </c>
      <c r="Q383" s="14">
        <f t="shared" si="103"/>
        <v>173</v>
      </c>
      <c r="R383" s="13">
        <f t="shared" si="104"/>
        <v>0</v>
      </c>
      <c r="S383">
        <f t="shared" si="105"/>
        <v>2</v>
      </c>
      <c r="T383">
        <f t="shared" si="106"/>
        <v>53</v>
      </c>
      <c r="U383" s="14">
        <f t="shared" si="107"/>
        <v>173</v>
      </c>
      <c r="V383" s="15"/>
      <c r="Z383" s="14"/>
    </row>
    <row r="384" spans="1:26" hidden="1" x14ac:dyDescent="0.25">
      <c r="A384" s="16"/>
      <c r="B384" s="17" t="b">
        <f t="shared" si="92"/>
        <v>0</v>
      </c>
      <c r="C384" s="17" t="b">
        <f t="shared" si="102"/>
        <v>0</v>
      </c>
      <c r="D384" s="17">
        <f t="shared" si="99"/>
        <v>1</v>
      </c>
      <c r="E384" s="17" t="str">
        <f t="shared" si="100"/>
        <v>6. Conclusion</v>
      </c>
      <c r="F384" s="18" t="str">
        <f t="shared" si="109"/>
        <v/>
      </c>
      <c r="G384" s="13" t="str">
        <f t="shared" si="93"/>
        <v/>
      </c>
      <c r="H384">
        <f t="shared" si="94"/>
        <v>0</v>
      </c>
      <c r="I384" s="14">
        <f t="shared" si="101"/>
        <v>0</v>
      </c>
      <c r="J384" s="13">
        <f t="shared" si="95"/>
        <v>4529</v>
      </c>
      <c r="K384">
        <f t="shared" si="96"/>
        <v>1</v>
      </c>
      <c r="L384">
        <f t="shared" si="97"/>
        <v>15</v>
      </c>
      <c r="M384" s="14">
        <f t="shared" si="98"/>
        <v>29</v>
      </c>
      <c r="N384" s="13">
        <f t="shared" si="108"/>
        <v>0</v>
      </c>
      <c r="O384">
        <f t="shared" si="108"/>
        <v>2</v>
      </c>
      <c r="P384">
        <f t="shared" si="108"/>
        <v>53</v>
      </c>
      <c r="Q384" s="14">
        <f t="shared" si="103"/>
        <v>173</v>
      </c>
      <c r="R384" s="13">
        <f t="shared" si="104"/>
        <v>0</v>
      </c>
      <c r="S384">
        <f t="shared" si="105"/>
        <v>2</v>
      </c>
      <c r="T384">
        <f t="shared" si="106"/>
        <v>53</v>
      </c>
      <c r="U384" s="14">
        <f t="shared" si="107"/>
        <v>173</v>
      </c>
      <c r="V384" s="15"/>
      <c r="Z384" s="14"/>
    </row>
    <row r="385" spans="1:26" hidden="1" x14ac:dyDescent="0.25">
      <c r="A385" s="16"/>
      <c r="B385" s="17" t="b">
        <f t="shared" si="92"/>
        <v>0</v>
      </c>
      <c r="C385" s="17" t="b">
        <f t="shared" si="102"/>
        <v>0</v>
      </c>
      <c r="D385" s="17">
        <f t="shared" si="99"/>
        <v>1</v>
      </c>
      <c r="E385" s="17" t="str">
        <f t="shared" si="100"/>
        <v>6. Conclusion</v>
      </c>
      <c r="F385" s="18" t="str">
        <f t="shared" si="109"/>
        <v/>
      </c>
      <c r="G385" s="13" t="str">
        <f t="shared" si="93"/>
        <v/>
      </c>
      <c r="H385">
        <f t="shared" si="94"/>
        <v>0</v>
      </c>
      <c r="I385" s="14">
        <f t="shared" si="101"/>
        <v>0</v>
      </c>
      <c r="J385" s="13">
        <f t="shared" si="95"/>
        <v>4529</v>
      </c>
      <c r="K385">
        <f t="shared" si="96"/>
        <v>1</v>
      </c>
      <c r="L385">
        <f t="shared" si="97"/>
        <v>15</v>
      </c>
      <c r="M385" s="14">
        <f t="shared" si="98"/>
        <v>29</v>
      </c>
      <c r="N385" s="13">
        <f t="shared" si="108"/>
        <v>0</v>
      </c>
      <c r="O385">
        <f t="shared" si="108"/>
        <v>2</v>
      </c>
      <c r="P385">
        <f t="shared" si="108"/>
        <v>53</v>
      </c>
      <c r="Q385" s="14">
        <f t="shared" si="103"/>
        <v>173</v>
      </c>
      <c r="R385" s="13">
        <f t="shared" si="104"/>
        <v>0</v>
      </c>
      <c r="S385">
        <f t="shared" si="105"/>
        <v>2</v>
      </c>
      <c r="T385">
        <f t="shared" si="106"/>
        <v>53</v>
      </c>
      <c r="U385" s="14">
        <f t="shared" si="107"/>
        <v>173</v>
      </c>
      <c r="V385" s="15"/>
      <c r="Z385" s="14"/>
    </row>
    <row r="386" spans="1:26" hidden="1" x14ac:dyDescent="0.25">
      <c r="A386" s="16"/>
      <c r="B386" s="17" t="b">
        <f t="shared" si="92"/>
        <v>0</v>
      </c>
      <c r="C386" s="17" t="b">
        <f t="shared" si="102"/>
        <v>0</v>
      </c>
      <c r="D386" s="17">
        <f t="shared" si="99"/>
        <v>1</v>
      </c>
      <c r="E386" s="17" t="str">
        <f t="shared" si="100"/>
        <v>6. Conclusion</v>
      </c>
      <c r="F386" s="18" t="str">
        <f t="shared" si="109"/>
        <v/>
      </c>
      <c r="G386" s="13" t="str">
        <f t="shared" si="93"/>
        <v/>
      </c>
      <c r="H386">
        <f t="shared" si="94"/>
        <v>0</v>
      </c>
      <c r="I386" s="14">
        <f t="shared" si="101"/>
        <v>0</v>
      </c>
      <c r="J386" s="13">
        <f t="shared" si="95"/>
        <v>4529</v>
      </c>
      <c r="K386">
        <f t="shared" si="96"/>
        <v>1</v>
      </c>
      <c r="L386">
        <f t="shared" si="97"/>
        <v>15</v>
      </c>
      <c r="M386" s="14">
        <f t="shared" si="98"/>
        <v>29</v>
      </c>
      <c r="N386" s="13">
        <f t="shared" si="108"/>
        <v>0</v>
      </c>
      <c r="O386">
        <f t="shared" si="108"/>
        <v>2</v>
      </c>
      <c r="P386">
        <f t="shared" si="108"/>
        <v>53</v>
      </c>
      <c r="Q386" s="14">
        <f t="shared" si="103"/>
        <v>173</v>
      </c>
      <c r="R386" s="13">
        <f t="shared" si="104"/>
        <v>0</v>
      </c>
      <c r="S386">
        <f t="shared" si="105"/>
        <v>2</v>
      </c>
      <c r="T386">
        <f t="shared" si="106"/>
        <v>53</v>
      </c>
      <c r="U386" s="14">
        <f t="shared" si="107"/>
        <v>173</v>
      </c>
      <c r="V386" s="15"/>
      <c r="Z386" s="14"/>
    </row>
    <row r="387" spans="1:26" hidden="1" x14ac:dyDescent="0.25">
      <c r="A387" s="16"/>
      <c r="B387" s="17" t="b">
        <f t="shared" si="92"/>
        <v>0</v>
      </c>
      <c r="C387" s="17" t="b">
        <f t="shared" si="102"/>
        <v>0</v>
      </c>
      <c r="D387" s="17">
        <f t="shared" si="99"/>
        <v>1</v>
      </c>
      <c r="E387" s="17" t="str">
        <f t="shared" si="100"/>
        <v>6. Conclusion</v>
      </c>
      <c r="F387" s="18" t="str">
        <f t="shared" si="109"/>
        <v/>
      </c>
      <c r="G387" s="13" t="str">
        <f t="shared" si="93"/>
        <v/>
      </c>
      <c r="H387">
        <f t="shared" si="94"/>
        <v>0</v>
      </c>
      <c r="I387" s="14">
        <f t="shared" si="101"/>
        <v>0</v>
      </c>
      <c r="J387" s="13">
        <f t="shared" si="95"/>
        <v>4529</v>
      </c>
      <c r="K387">
        <f t="shared" si="96"/>
        <v>1</v>
      </c>
      <c r="L387">
        <f t="shared" si="97"/>
        <v>15</v>
      </c>
      <c r="M387" s="14">
        <f t="shared" si="98"/>
        <v>29</v>
      </c>
      <c r="N387" s="13">
        <f t="shared" si="108"/>
        <v>0</v>
      </c>
      <c r="O387">
        <f t="shared" si="108"/>
        <v>2</v>
      </c>
      <c r="P387">
        <f t="shared" si="108"/>
        <v>53</v>
      </c>
      <c r="Q387" s="14">
        <f t="shared" si="103"/>
        <v>173</v>
      </c>
      <c r="R387" s="13">
        <f t="shared" si="104"/>
        <v>0</v>
      </c>
      <c r="S387">
        <f t="shared" si="105"/>
        <v>2</v>
      </c>
      <c r="T387">
        <f t="shared" si="106"/>
        <v>53</v>
      </c>
      <c r="U387" s="14">
        <f t="shared" si="107"/>
        <v>173</v>
      </c>
      <c r="V387" s="15"/>
      <c r="Z387" s="14"/>
    </row>
    <row r="388" spans="1:26" hidden="1" x14ac:dyDescent="0.25">
      <c r="A388" s="16"/>
      <c r="B388" s="17" t="b">
        <f t="shared" si="92"/>
        <v>0</v>
      </c>
      <c r="C388" s="17" t="b">
        <f t="shared" si="102"/>
        <v>0</v>
      </c>
      <c r="D388" s="17">
        <f t="shared" si="99"/>
        <v>1</v>
      </c>
      <c r="E388" s="17" t="str">
        <f t="shared" si="100"/>
        <v>6. Conclusion</v>
      </c>
      <c r="F388" s="18" t="str">
        <f t="shared" si="109"/>
        <v/>
      </c>
      <c r="G388" s="13" t="str">
        <f t="shared" si="93"/>
        <v/>
      </c>
      <c r="H388">
        <f t="shared" si="94"/>
        <v>0</v>
      </c>
      <c r="I388" s="14">
        <f t="shared" si="101"/>
        <v>0</v>
      </c>
      <c r="J388" s="13">
        <f t="shared" si="95"/>
        <v>4529</v>
      </c>
      <c r="K388">
        <f t="shared" si="96"/>
        <v>1</v>
      </c>
      <c r="L388">
        <f t="shared" si="97"/>
        <v>15</v>
      </c>
      <c r="M388" s="14">
        <f t="shared" si="98"/>
        <v>29</v>
      </c>
      <c r="N388" s="13">
        <f t="shared" si="108"/>
        <v>0</v>
      </c>
      <c r="O388">
        <f t="shared" si="108"/>
        <v>2</v>
      </c>
      <c r="P388">
        <f t="shared" si="108"/>
        <v>53</v>
      </c>
      <c r="Q388" s="14">
        <f t="shared" si="103"/>
        <v>173</v>
      </c>
      <c r="R388" s="13">
        <f t="shared" si="104"/>
        <v>0</v>
      </c>
      <c r="S388">
        <f t="shared" si="105"/>
        <v>2</v>
      </c>
      <c r="T388">
        <f t="shared" si="106"/>
        <v>53</v>
      </c>
      <c r="U388" s="14">
        <f t="shared" si="107"/>
        <v>173</v>
      </c>
      <c r="V388" s="15"/>
      <c r="Z388" s="14"/>
    </row>
    <row r="389" spans="1:26" hidden="1" x14ac:dyDescent="0.25">
      <c r="A389" s="16"/>
      <c r="B389" s="17" t="b">
        <f t="shared" si="92"/>
        <v>0</v>
      </c>
      <c r="C389" s="17" t="b">
        <f t="shared" si="102"/>
        <v>0</v>
      </c>
      <c r="D389" s="17">
        <f t="shared" si="99"/>
        <v>1</v>
      </c>
      <c r="E389" s="17" t="str">
        <f t="shared" si="100"/>
        <v>6. Conclusion</v>
      </c>
      <c r="F389" s="18" t="str">
        <f t="shared" si="109"/>
        <v/>
      </c>
      <c r="G389" s="13" t="str">
        <f t="shared" si="93"/>
        <v/>
      </c>
      <c r="H389">
        <f t="shared" si="94"/>
        <v>0</v>
      </c>
      <c r="I389" s="14">
        <f t="shared" si="101"/>
        <v>0</v>
      </c>
      <c r="J389" s="13">
        <f t="shared" si="95"/>
        <v>4529</v>
      </c>
      <c r="K389">
        <f t="shared" si="96"/>
        <v>1</v>
      </c>
      <c r="L389">
        <f t="shared" si="97"/>
        <v>15</v>
      </c>
      <c r="M389" s="14">
        <f t="shared" si="98"/>
        <v>29</v>
      </c>
      <c r="N389" s="13">
        <f t="shared" si="108"/>
        <v>0</v>
      </c>
      <c r="O389">
        <f t="shared" si="108"/>
        <v>2</v>
      </c>
      <c r="P389">
        <f t="shared" si="108"/>
        <v>53</v>
      </c>
      <c r="Q389" s="14">
        <f t="shared" si="103"/>
        <v>173</v>
      </c>
      <c r="R389" s="13">
        <f t="shared" si="104"/>
        <v>0</v>
      </c>
      <c r="S389">
        <f t="shared" si="105"/>
        <v>2</v>
      </c>
      <c r="T389">
        <f t="shared" si="106"/>
        <v>53</v>
      </c>
      <c r="U389" s="14">
        <f t="shared" si="107"/>
        <v>173</v>
      </c>
      <c r="V389" s="15"/>
      <c r="Z389" s="14"/>
    </row>
    <row r="390" spans="1:26" hidden="1" x14ac:dyDescent="0.25">
      <c r="A390" s="16"/>
      <c r="B390" s="17" t="b">
        <f t="shared" si="92"/>
        <v>0</v>
      </c>
      <c r="C390" s="17" t="b">
        <f t="shared" si="102"/>
        <v>0</v>
      </c>
      <c r="D390" s="17">
        <f t="shared" si="99"/>
        <v>1</v>
      </c>
      <c r="E390" s="17" t="str">
        <f t="shared" si="100"/>
        <v>6. Conclusion</v>
      </c>
      <c r="F390" s="18" t="str">
        <f t="shared" si="109"/>
        <v/>
      </c>
      <c r="G390" s="13" t="str">
        <f t="shared" si="93"/>
        <v/>
      </c>
      <c r="H390">
        <f t="shared" si="94"/>
        <v>0</v>
      </c>
      <c r="I390" s="14">
        <f t="shared" si="101"/>
        <v>0</v>
      </c>
      <c r="J390" s="13">
        <f t="shared" si="95"/>
        <v>4529</v>
      </c>
      <c r="K390">
        <f t="shared" si="96"/>
        <v>1</v>
      </c>
      <c r="L390">
        <f t="shared" si="97"/>
        <v>15</v>
      </c>
      <c r="M390" s="14">
        <f t="shared" si="98"/>
        <v>29</v>
      </c>
      <c r="N390" s="13">
        <f t="shared" si="108"/>
        <v>0</v>
      </c>
      <c r="O390">
        <f t="shared" si="108"/>
        <v>2</v>
      </c>
      <c r="P390">
        <f t="shared" si="108"/>
        <v>53</v>
      </c>
      <c r="Q390" s="14">
        <f t="shared" si="103"/>
        <v>173</v>
      </c>
      <c r="R390" s="13">
        <f t="shared" si="104"/>
        <v>0</v>
      </c>
      <c r="S390">
        <f t="shared" si="105"/>
        <v>2</v>
      </c>
      <c r="T390">
        <f t="shared" si="106"/>
        <v>53</v>
      </c>
      <c r="U390" s="14">
        <f t="shared" si="107"/>
        <v>173</v>
      </c>
      <c r="V390" s="15"/>
      <c r="Z390" s="14"/>
    </row>
    <row r="391" spans="1:26" hidden="1" x14ac:dyDescent="0.25">
      <c r="A391" s="16"/>
      <c r="B391" s="17" t="b">
        <f t="shared" si="92"/>
        <v>0</v>
      </c>
      <c r="C391" s="17" t="b">
        <f t="shared" si="102"/>
        <v>0</v>
      </c>
      <c r="D391" s="17">
        <f t="shared" si="99"/>
        <v>1</v>
      </c>
      <c r="E391" s="17" t="str">
        <f t="shared" si="100"/>
        <v>6. Conclusion</v>
      </c>
      <c r="F391" s="18" t="str">
        <f t="shared" si="109"/>
        <v/>
      </c>
      <c r="G391" s="13" t="str">
        <f t="shared" si="93"/>
        <v/>
      </c>
      <c r="H391">
        <f t="shared" si="94"/>
        <v>0</v>
      </c>
      <c r="I391" s="14">
        <f t="shared" si="101"/>
        <v>0</v>
      </c>
      <c r="J391" s="13">
        <f t="shared" si="95"/>
        <v>4529</v>
      </c>
      <c r="K391">
        <f t="shared" si="96"/>
        <v>1</v>
      </c>
      <c r="L391">
        <f t="shared" si="97"/>
        <v>15</v>
      </c>
      <c r="M391" s="14">
        <f t="shared" si="98"/>
        <v>29</v>
      </c>
      <c r="N391" s="13">
        <f t="shared" si="108"/>
        <v>0</v>
      </c>
      <c r="O391">
        <f t="shared" si="108"/>
        <v>2</v>
      </c>
      <c r="P391">
        <f t="shared" si="108"/>
        <v>53</v>
      </c>
      <c r="Q391" s="14">
        <f t="shared" si="103"/>
        <v>173</v>
      </c>
      <c r="R391" s="13">
        <f t="shared" si="104"/>
        <v>0</v>
      </c>
      <c r="S391">
        <f t="shared" si="105"/>
        <v>2</v>
      </c>
      <c r="T391">
        <f t="shared" si="106"/>
        <v>53</v>
      </c>
      <c r="U391" s="14">
        <f t="shared" si="107"/>
        <v>173</v>
      </c>
      <c r="V391" s="15"/>
      <c r="Z391" s="14"/>
    </row>
    <row r="392" spans="1:26" hidden="1" x14ac:dyDescent="0.25">
      <c r="A392" s="16"/>
      <c r="B392" s="17" t="b">
        <f t="shared" si="92"/>
        <v>0</v>
      </c>
      <c r="C392" s="17" t="b">
        <f t="shared" si="102"/>
        <v>0</v>
      </c>
      <c r="D392" s="17">
        <f t="shared" si="99"/>
        <v>1</v>
      </c>
      <c r="E392" s="17" t="str">
        <f t="shared" si="100"/>
        <v>6. Conclusion</v>
      </c>
      <c r="F392" s="18" t="str">
        <f t="shared" si="109"/>
        <v/>
      </c>
      <c r="G392" s="13" t="str">
        <f t="shared" si="93"/>
        <v/>
      </c>
      <c r="H392">
        <f t="shared" si="94"/>
        <v>0</v>
      </c>
      <c r="I392" s="14">
        <f t="shared" si="101"/>
        <v>0</v>
      </c>
      <c r="J392" s="13">
        <f t="shared" si="95"/>
        <v>4529</v>
      </c>
      <c r="K392">
        <f t="shared" si="96"/>
        <v>1</v>
      </c>
      <c r="L392">
        <f t="shared" si="97"/>
        <v>15</v>
      </c>
      <c r="M392" s="14">
        <f t="shared" si="98"/>
        <v>29</v>
      </c>
      <c r="N392" s="13">
        <f t="shared" si="108"/>
        <v>0</v>
      </c>
      <c r="O392">
        <f t="shared" si="108"/>
        <v>2</v>
      </c>
      <c r="P392">
        <f t="shared" si="108"/>
        <v>53</v>
      </c>
      <c r="Q392" s="14">
        <f t="shared" si="103"/>
        <v>173</v>
      </c>
      <c r="R392" s="13">
        <f t="shared" si="104"/>
        <v>0</v>
      </c>
      <c r="S392">
        <f t="shared" si="105"/>
        <v>2</v>
      </c>
      <c r="T392">
        <f t="shared" si="106"/>
        <v>53</v>
      </c>
      <c r="U392" s="14">
        <f t="shared" si="107"/>
        <v>173</v>
      </c>
      <c r="V392" s="15"/>
      <c r="Z392" s="14"/>
    </row>
    <row r="393" spans="1:26" hidden="1" x14ac:dyDescent="0.25">
      <c r="A393" s="16"/>
      <c r="B393" s="17" t="b">
        <f t="shared" si="92"/>
        <v>0</v>
      </c>
      <c r="C393" s="17" t="b">
        <f t="shared" si="102"/>
        <v>0</v>
      </c>
      <c r="D393" s="17">
        <f t="shared" si="99"/>
        <v>1</v>
      </c>
      <c r="E393" s="17" t="str">
        <f t="shared" si="100"/>
        <v>6. Conclusion</v>
      </c>
      <c r="F393" s="18" t="str">
        <f t="shared" si="109"/>
        <v/>
      </c>
      <c r="G393" s="13" t="str">
        <f t="shared" si="93"/>
        <v/>
      </c>
      <c r="H393">
        <f t="shared" si="94"/>
        <v>0</v>
      </c>
      <c r="I393" s="14">
        <f t="shared" si="101"/>
        <v>0</v>
      </c>
      <c r="J393" s="13">
        <f t="shared" si="95"/>
        <v>4529</v>
      </c>
      <c r="K393">
        <f t="shared" si="96"/>
        <v>1</v>
      </c>
      <c r="L393">
        <f t="shared" si="97"/>
        <v>15</v>
      </c>
      <c r="M393" s="14">
        <f t="shared" si="98"/>
        <v>29</v>
      </c>
      <c r="N393" s="13">
        <f t="shared" si="108"/>
        <v>0</v>
      </c>
      <c r="O393">
        <f t="shared" si="108"/>
        <v>2</v>
      </c>
      <c r="P393">
        <f t="shared" si="108"/>
        <v>53</v>
      </c>
      <c r="Q393" s="14">
        <f t="shared" si="103"/>
        <v>173</v>
      </c>
      <c r="R393" s="13">
        <f t="shared" si="104"/>
        <v>0</v>
      </c>
      <c r="S393">
        <f t="shared" si="105"/>
        <v>2</v>
      </c>
      <c r="T393">
        <f t="shared" si="106"/>
        <v>53</v>
      </c>
      <c r="U393" s="14">
        <f t="shared" si="107"/>
        <v>173</v>
      </c>
      <c r="V393" s="15"/>
      <c r="Z393" s="14"/>
    </row>
    <row r="394" spans="1:26" hidden="1" x14ac:dyDescent="0.25">
      <c r="A394" s="16"/>
      <c r="B394" s="17" t="b">
        <f t="shared" si="92"/>
        <v>0</v>
      </c>
      <c r="C394" s="17" t="b">
        <f t="shared" si="102"/>
        <v>0</v>
      </c>
      <c r="D394" s="17">
        <f t="shared" si="99"/>
        <v>1</v>
      </c>
      <c r="E394" s="17" t="str">
        <f t="shared" si="100"/>
        <v>6. Conclusion</v>
      </c>
      <c r="F394" s="18" t="str">
        <f t="shared" si="109"/>
        <v/>
      </c>
      <c r="G394" s="13" t="str">
        <f t="shared" si="93"/>
        <v/>
      </c>
      <c r="H394">
        <f t="shared" si="94"/>
        <v>0</v>
      </c>
      <c r="I394" s="14">
        <f t="shared" si="101"/>
        <v>0</v>
      </c>
      <c r="J394" s="13">
        <f t="shared" si="95"/>
        <v>4529</v>
      </c>
      <c r="K394">
        <f t="shared" si="96"/>
        <v>1</v>
      </c>
      <c r="L394">
        <f t="shared" si="97"/>
        <v>15</v>
      </c>
      <c r="M394" s="14">
        <f t="shared" si="98"/>
        <v>29</v>
      </c>
      <c r="N394" s="13">
        <f t="shared" si="108"/>
        <v>0</v>
      </c>
      <c r="O394">
        <f t="shared" si="108"/>
        <v>2</v>
      </c>
      <c r="P394">
        <f t="shared" si="108"/>
        <v>53</v>
      </c>
      <c r="Q394" s="14">
        <f t="shared" si="103"/>
        <v>173</v>
      </c>
      <c r="R394" s="13">
        <f t="shared" si="104"/>
        <v>0</v>
      </c>
      <c r="S394">
        <f t="shared" si="105"/>
        <v>2</v>
      </c>
      <c r="T394">
        <f t="shared" si="106"/>
        <v>53</v>
      </c>
      <c r="U394" s="14">
        <f t="shared" si="107"/>
        <v>173</v>
      </c>
      <c r="V394" s="15"/>
      <c r="Z394" s="14"/>
    </row>
    <row r="395" spans="1:26" hidden="1" x14ac:dyDescent="0.25">
      <c r="A395" s="16"/>
      <c r="B395" s="17" t="b">
        <f t="shared" ref="B395:B458" si="110">AND(NOT(ISERROR(FIND(". ",A395))),ISNUMBER(VALUE(LEFT(A395,FIND(". ",A395)-1))))</f>
        <v>0</v>
      </c>
      <c r="C395" s="17" t="b">
        <f t="shared" si="102"/>
        <v>0</v>
      </c>
      <c r="D395" s="17">
        <f t="shared" si="99"/>
        <v>1</v>
      </c>
      <c r="E395" s="17" t="str">
        <f t="shared" si="100"/>
        <v>6. Conclusion</v>
      </c>
      <c r="F395" s="18" t="str">
        <f t="shared" si="109"/>
        <v/>
      </c>
      <c r="G395" s="13" t="str">
        <f t="shared" ref="G395:G458" si="111">IF(C395,IF(ISERROR(FIND("s",A396)),LEFT(A396,FIND("m",A396)),LEFT(A396,FIND("s",A396))),"")</f>
        <v/>
      </c>
      <c r="H395">
        <f t="shared" ref="H395:H458" si="112">IF(OR(G395="",ISERROR(FIND("m",G395))),0,VALUE(LEFT(G395,FIND("m",G395)-1)))</f>
        <v>0</v>
      </c>
      <c r="I395" s="14">
        <f t="shared" si="101"/>
        <v>0</v>
      </c>
      <c r="J395" s="13">
        <f t="shared" ref="J395:J458" si="113">J394+(H395*60+I395)</f>
        <v>4529</v>
      </c>
      <c r="K395">
        <f t="shared" ref="K395:K458" si="114">INT(J395/60/60)</f>
        <v>1</v>
      </c>
      <c r="L395">
        <f t="shared" ref="L395:L458" si="115">INT((J395-(K395*60*60))/60)</f>
        <v>15</v>
      </c>
      <c r="M395" s="14">
        <f t="shared" ref="M395:M458" si="116">J395-(((K395*60)+L395)*60)</f>
        <v>29</v>
      </c>
      <c r="N395" s="13">
        <f t="shared" si="108"/>
        <v>0</v>
      </c>
      <c r="O395">
        <f t="shared" si="108"/>
        <v>2</v>
      </c>
      <c r="P395">
        <f t="shared" si="108"/>
        <v>53</v>
      </c>
      <c r="Q395" s="14">
        <f t="shared" si="103"/>
        <v>173</v>
      </c>
      <c r="R395" s="13">
        <f t="shared" si="104"/>
        <v>0</v>
      </c>
      <c r="S395">
        <f t="shared" si="105"/>
        <v>2</v>
      </c>
      <c r="T395">
        <f t="shared" si="106"/>
        <v>53</v>
      </c>
      <c r="U395" s="14">
        <f t="shared" si="107"/>
        <v>173</v>
      </c>
      <c r="V395" s="15"/>
      <c r="Z395" s="14"/>
    </row>
    <row r="396" spans="1:26" hidden="1" x14ac:dyDescent="0.25">
      <c r="A396" s="16"/>
      <c r="B396" s="17" t="b">
        <f t="shared" si="110"/>
        <v>0</v>
      </c>
      <c r="C396" s="17" t="b">
        <f t="shared" si="102"/>
        <v>0</v>
      </c>
      <c r="D396" s="17">
        <f t="shared" ref="D396:D459" si="117">IF(B396,0,IF(C396,D395+1,D395))</f>
        <v>1</v>
      </c>
      <c r="E396" s="17" t="str">
        <f t="shared" ref="E396:E459" si="118">IF(B396,A396,E395)</f>
        <v>6. Conclusion</v>
      </c>
      <c r="F396" s="18" t="str">
        <f t="shared" si="109"/>
        <v/>
      </c>
      <c r="G396" s="13" t="str">
        <f t="shared" si="111"/>
        <v/>
      </c>
      <c r="H396">
        <f t="shared" si="112"/>
        <v>0</v>
      </c>
      <c r="I396" s="14">
        <f t="shared" ref="I396:I459" si="119">IF(OR(G396="",ISERROR(FIND("s",G396))),0,VALUE(SUBSTITUTE(MID(G396,IF(ISERROR(FIND("m",G396)), 0,FIND("m",G396))+1,LEN(G396)),"s","")))</f>
        <v>0</v>
      </c>
      <c r="J396" s="13">
        <f t="shared" si="113"/>
        <v>4529</v>
      </c>
      <c r="K396">
        <f t="shared" si="114"/>
        <v>1</v>
      </c>
      <c r="L396">
        <f t="shared" si="115"/>
        <v>15</v>
      </c>
      <c r="M396" s="14">
        <f t="shared" si="116"/>
        <v>29</v>
      </c>
      <c r="N396" s="13">
        <f t="shared" si="108"/>
        <v>0</v>
      </c>
      <c r="O396">
        <f t="shared" si="108"/>
        <v>2</v>
      </c>
      <c r="P396">
        <f t="shared" si="108"/>
        <v>53</v>
      </c>
      <c r="Q396" s="14">
        <f t="shared" si="103"/>
        <v>173</v>
      </c>
      <c r="R396" s="13">
        <f t="shared" si="104"/>
        <v>0</v>
      </c>
      <c r="S396">
        <f t="shared" si="105"/>
        <v>2</v>
      </c>
      <c r="T396">
        <f t="shared" si="106"/>
        <v>53</v>
      </c>
      <c r="U396" s="14">
        <f t="shared" si="107"/>
        <v>173</v>
      </c>
      <c r="V396" s="15"/>
      <c r="Z396" s="14"/>
    </row>
    <row r="397" spans="1:26" hidden="1" x14ac:dyDescent="0.25">
      <c r="A397" s="16"/>
      <c r="B397" s="17" t="b">
        <f t="shared" si="110"/>
        <v>0</v>
      </c>
      <c r="C397" s="17" t="b">
        <f t="shared" si="102"/>
        <v>0</v>
      </c>
      <c r="D397" s="17">
        <f t="shared" si="117"/>
        <v>1</v>
      </c>
      <c r="E397" s="17" t="str">
        <f t="shared" si="118"/>
        <v>6. Conclusion</v>
      </c>
      <c r="F397" s="18" t="str">
        <f t="shared" si="109"/>
        <v/>
      </c>
      <c r="G397" s="13" t="str">
        <f t="shared" si="111"/>
        <v/>
      </c>
      <c r="H397">
        <f t="shared" si="112"/>
        <v>0</v>
      </c>
      <c r="I397" s="14">
        <f t="shared" si="119"/>
        <v>0</v>
      </c>
      <c r="J397" s="13">
        <f t="shared" si="113"/>
        <v>4529</v>
      </c>
      <c r="K397">
        <f t="shared" si="114"/>
        <v>1</v>
      </c>
      <c r="L397">
        <f t="shared" si="115"/>
        <v>15</v>
      </c>
      <c r="M397" s="14">
        <f t="shared" si="116"/>
        <v>29</v>
      </c>
      <c r="N397" s="13">
        <f t="shared" si="108"/>
        <v>0</v>
      </c>
      <c r="O397">
        <f t="shared" si="108"/>
        <v>2</v>
      </c>
      <c r="P397">
        <f t="shared" si="108"/>
        <v>53</v>
      </c>
      <c r="Q397" s="14">
        <f t="shared" si="103"/>
        <v>173</v>
      </c>
      <c r="R397" s="13">
        <f t="shared" si="104"/>
        <v>0</v>
      </c>
      <c r="S397">
        <f t="shared" si="105"/>
        <v>2</v>
      </c>
      <c r="T397">
        <f t="shared" si="106"/>
        <v>53</v>
      </c>
      <c r="U397" s="14">
        <f t="shared" si="107"/>
        <v>173</v>
      </c>
      <c r="V397" s="15"/>
      <c r="Z397" s="14"/>
    </row>
    <row r="398" spans="1:26" hidden="1" x14ac:dyDescent="0.25">
      <c r="A398" s="16"/>
      <c r="B398" s="17" t="b">
        <f t="shared" si="110"/>
        <v>0</v>
      </c>
      <c r="C398" s="17" t="b">
        <f t="shared" ref="C398:C461" si="120">OR(AND(NOT(ISERROR(FIND("m",A399))),ISNUMBER(VALUE(LEFT(A399,FIND("m",A399)-1)))),AND(NOT(ISERROR(FIND("s",A399))),ISNUMBER(VALUE(LEFT(A399,FIND("s",A399)-1)))))</f>
        <v>0</v>
      </c>
      <c r="D398" s="17">
        <f t="shared" si="117"/>
        <v>1</v>
      </c>
      <c r="E398" s="17" t="str">
        <f t="shared" si="118"/>
        <v>6. Conclusion</v>
      </c>
      <c r="F398" s="18" t="str">
        <f t="shared" si="109"/>
        <v/>
      </c>
      <c r="G398" s="13" t="str">
        <f t="shared" si="111"/>
        <v/>
      </c>
      <c r="H398">
        <f t="shared" si="112"/>
        <v>0</v>
      </c>
      <c r="I398" s="14">
        <f t="shared" si="119"/>
        <v>0</v>
      </c>
      <c r="J398" s="13">
        <f t="shared" si="113"/>
        <v>4529</v>
      </c>
      <c r="K398">
        <f t="shared" si="114"/>
        <v>1</v>
      </c>
      <c r="L398">
        <f t="shared" si="115"/>
        <v>15</v>
      </c>
      <c r="M398" s="14">
        <f t="shared" si="116"/>
        <v>29</v>
      </c>
      <c r="N398" s="13">
        <f t="shared" si="108"/>
        <v>0</v>
      </c>
      <c r="O398">
        <f t="shared" si="108"/>
        <v>2</v>
      </c>
      <c r="P398">
        <f t="shared" si="108"/>
        <v>53</v>
      </c>
      <c r="Q398" s="14">
        <f t="shared" ref="Q398:Q461" si="121">(((N398*60)+O398)*60)+P398</f>
        <v>173</v>
      </c>
      <c r="R398" s="13">
        <f t="shared" ref="R398:R461" si="122">INT(U398/60/60)</f>
        <v>0</v>
      </c>
      <c r="S398">
        <f t="shared" ref="S398:S461" si="123">INT((U398-(R398*60*60))/60)</f>
        <v>2</v>
      </c>
      <c r="T398">
        <f t="shared" ref="T398:T461" si="124">U398-(((R398*60)+S398)*60)</f>
        <v>53</v>
      </c>
      <c r="U398" s="14">
        <f t="shared" ref="U398:U461" si="125">((H398*60)+I398)+Q398</f>
        <v>173</v>
      </c>
      <c r="V398" s="15"/>
      <c r="Z398" s="14"/>
    </row>
    <row r="399" spans="1:26" hidden="1" x14ac:dyDescent="0.25">
      <c r="A399" s="16"/>
      <c r="B399" s="17" t="b">
        <f t="shared" si="110"/>
        <v>0</v>
      </c>
      <c r="C399" s="17" t="b">
        <f t="shared" si="120"/>
        <v>0</v>
      </c>
      <c r="D399" s="17">
        <f t="shared" si="117"/>
        <v>1</v>
      </c>
      <c r="E399" s="17" t="str">
        <f t="shared" si="118"/>
        <v>6. Conclusion</v>
      </c>
      <c r="F399" s="18" t="str">
        <f t="shared" si="109"/>
        <v/>
      </c>
      <c r="G399" s="13" t="str">
        <f t="shared" si="111"/>
        <v/>
      </c>
      <c r="H399">
        <f t="shared" si="112"/>
        <v>0</v>
      </c>
      <c r="I399" s="14">
        <f t="shared" si="119"/>
        <v>0</v>
      </c>
      <c r="J399" s="13">
        <f t="shared" si="113"/>
        <v>4529</v>
      </c>
      <c r="K399">
        <f t="shared" si="114"/>
        <v>1</v>
      </c>
      <c r="L399">
        <f t="shared" si="115"/>
        <v>15</v>
      </c>
      <c r="M399" s="14">
        <f t="shared" si="116"/>
        <v>29</v>
      </c>
      <c r="N399" s="13">
        <f t="shared" si="108"/>
        <v>0</v>
      </c>
      <c r="O399">
        <f t="shared" si="108"/>
        <v>2</v>
      </c>
      <c r="P399">
        <f t="shared" si="108"/>
        <v>53</v>
      </c>
      <c r="Q399" s="14">
        <f t="shared" si="121"/>
        <v>173</v>
      </c>
      <c r="R399" s="13">
        <f t="shared" si="122"/>
        <v>0</v>
      </c>
      <c r="S399">
        <f t="shared" si="123"/>
        <v>2</v>
      </c>
      <c r="T399">
        <f t="shared" si="124"/>
        <v>53</v>
      </c>
      <c r="U399" s="14">
        <f t="shared" si="125"/>
        <v>173</v>
      </c>
      <c r="V399" s="15"/>
      <c r="Z399" s="14"/>
    </row>
    <row r="400" spans="1:26" hidden="1" x14ac:dyDescent="0.25">
      <c r="A400" s="16"/>
      <c r="B400" s="17" t="b">
        <f t="shared" si="110"/>
        <v>0</v>
      </c>
      <c r="C400" s="17" t="b">
        <f t="shared" si="120"/>
        <v>0</v>
      </c>
      <c r="D400" s="17">
        <f t="shared" si="117"/>
        <v>1</v>
      </c>
      <c r="E400" s="17" t="str">
        <f t="shared" si="118"/>
        <v>6. Conclusion</v>
      </c>
      <c r="F400" s="18" t="str">
        <f t="shared" si="109"/>
        <v/>
      </c>
      <c r="G400" s="13" t="str">
        <f t="shared" si="111"/>
        <v/>
      </c>
      <c r="H400">
        <f t="shared" si="112"/>
        <v>0</v>
      </c>
      <c r="I400" s="14">
        <f t="shared" si="119"/>
        <v>0</v>
      </c>
      <c r="J400" s="13">
        <f t="shared" si="113"/>
        <v>4529</v>
      </c>
      <c r="K400">
        <f t="shared" si="114"/>
        <v>1</v>
      </c>
      <c r="L400">
        <f t="shared" si="115"/>
        <v>15</v>
      </c>
      <c r="M400" s="14">
        <f t="shared" si="116"/>
        <v>29</v>
      </c>
      <c r="N400" s="13">
        <f t="shared" si="108"/>
        <v>0</v>
      </c>
      <c r="O400">
        <f t="shared" si="108"/>
        <v>2</v>
      </c>
      <c r="P400">
        <f t="shared" si="108"/>
        <v>53</v>
      </c>
      <c r="Q400" s="14">
        <f t="shared" si="121"/>
        <v>173</v>
      </c>
      <c r="R400" s="13">
        <f t="shared" si="122"/>
        <v>0</v>
      </c>
      <c r="S400">
        <f t="shared" si="123"/>
        <v>2</v>
      </c>
      <c r="T400">
        <f t="shared" si="124"/>
        <v>53</v>
      </c>
      <c r="U400" s="14">
        <f t="shared" si="125"/>
        <v>173</v>
      </c>
      <c r="V400" s="15"/>
      <c r="Z400" s="14"/>
    </row>
    <row r="401" spans="1:26" hidden="1" x14ac:dyDescent="0.25">
      <c r="A401" s="16"/>
      <c r="B401" s="17" t="b">
        <f t="shared" si="110"/>
        <v>0</v>
      </c>
      <c r="C401" s="17" t="b">
        <f t="shared" si="120"/>
        <v>0</v>
      </c>
      <c r="D401" s="17">
        <f t="shared" si="117"/>
        <v>1</v>
      </c>
      <c r="E401" s="17" t="str">
        <f t="shared" si="118"/>
        <v>6. Conclusion</v>
      </c>
      <c r="F401" s="18" t="str">
        <f t="shared" si="109"/>
        <v/>
      </c>
      <c r="G401" s="13" t="str">
        <f t="shared" si="111"/>
        <v/>
      </c>
      <c r="H401">
        <f t="shared" si="112"/>
        <v>0</v>
      </c>
      <c r="I401" s="14">
        <f t="shared" si="119"/>
        <v>0</v>
      </c>
      <c r="J401" s="13">
        <f t="shared" si="113"/>
        <v>4529</v>
      </c>
      <c r="K401">
        <f t="shared" si="114"/>
        <v>1</v>
      </c>
      <c r="L401">
        <f t="shared" si="115"/>
        <v>15</v>
      </c>
      <c r="M401" s="14">
        <f t="shared" si="116"/>
        <v>29</v>
      </c>
      <c r="N401" s="13">
        <f t="shared" si="108"/>
        <v>0</v>
      </c>
      <c r="O401">
        <f t="shared" si="108"/>
        <v>2</v>
      </c>
      <c r="P401">
        <f t="shared" si="108"/>
        <v>53</v>
      </c>
      <c r="Q401" s="14">
        <f t="shared" si="121"/>
        <v>173</v>
      </c>
      <c r="R401" s="13">
        <f t="shared" si="122"/>
        <v>0</v>
      </c>
      <c r="S401">
        <f t="shared" si="123"/>
        <v>2</v>
      </c>
      <c r="T401">
        <f t="shared" si="124"/>
        <v>53</v>
      </c>
      <c r="U401" s="14">
        <f t="shared" si="125"/>
        <v>173</v>
      </c>
      <c r="V401" s="15"/>
      <c r="Z401" s="14"/>
    </row>
    <row r="402" spans="1:26" hidden="1" x14ac:dyDescent="0.25">
      <c r="A402" s="16"/>
      <c r="B402" s="17" t="b">
        <f t="shared" si="110"/>
        <v>0</v>
      </c>
      <c r="C402" s="17" t="b">
        <f t="shared" si="120"/>
        <v>0</v>
      </c>
      <c r="D402" s="17">
        <f t="shared" si="117"/>
        <v>1</v>
      </c>
      <c r="E402" s="17" t="str">
        <f t="shared" si="118"/>
        <v>6. Conclusion</v>
      </c>
      <c r="F402" s="18" t="str">
        <f t="shared" si="109"/>
        <v/>
      </c>
      <c r="G402" s="13" t="str">
        <f t="shared" si="111"/>
        <v/>
      </c>
      <c r="H402">
        <f t="shared" si="112"/>
        <v>0</v>
      </c>
      <c r="I402" s="14">
        <f t="shared" si="119"/>
        <v>0</v>
      </c>
      <c r="J402" s="13">
        <f t="shared" si="113"/>
        <v>4529</v>
      </c>
      <c r="K402">
        <f t="shared" si="114"/>
        <v>1</v>
      </c>
      <c r="L402">
        <f t="shared" si="115"/>
        <v>15</v>
      </c>
      <c r="M402" s="14">
        <f t="shared" si="116"/>
        <v>29</v>
      </c>
      <c r="N402" s="13">
        <f t="shared" si="108"/>
        <v>0</v>
      </c>
      <c r="O402">
        <f t="shared" si="108"/>
        <v>2</v>
      </c>
      <c r="P402">
        <f t="shared" si="108"/>
        <v>53</v>
      </c>
      <c r="Q402" s="14">
        <f t="shared" si="121"/>
        <v>173</v>
      </c>
      <c r="R402" s="13">
        <f t="shared" si="122"/>
        <v>0</v>
      </c>
      <c r="S402">
        <f t="shared" si="123"/>
        <v>2</v>
      </c>
      <c r="T402">
        <f t="shared" si="124"/>
        <v>53</v>
      </c>
      <c r="U402" s="14">
        <f t="shared" si="125"/>
        <v>173</v>
      </c>
      <c r="V402" s="15"/>
      <c r="Z402" s="14"/>
    </row>
    <row r="403" spans="1:26" hidden="1" x14ac:dyDescent="0.25">
      <c r="A403" s="16"/>
      <c r="B403" s="17" t="b">
        <f t="shared" si="110"/>
        <v>0</v>
      </c>
      <c r="C403" s="17" t="b">
        <f t="shared" si="120"/>
        <v>0</v>
      </c>
      <c r="D403" s="17">
        <f t="shared" si="117"/>
        <v>1</v>
      </c>
      <c r="E403" s="17" t="str">
        <f t="shared" si="118"/>
        <v>6. Conclusion</v>
      </c>
      <c r="F403" s="18" t="str">
        <f t="shared" si="109"/>
        <v/>
      </c>
      <c r="G403" s="13" t="str">
        <f t="shared" si="111"/>
        <v/>
      </c>
      <c r="H403">
        <f t="shared" si="112"/>
        <v>0</v>
      </c>
      <c r="I403" s="14">
        <f t="shared" si="119"/>
        <v>0</v>
      </c>
      <c r="J403" s="13">
        <f t="shared" si="113"/>
        <v>4529</v>
      </c>
      <c r="K403">
        <f t="shared" si="114"/>
        <v>1</v>
      </c>
      <c r="L403">
        <f t="shared" si="115"/>
        <v>15</v>
      </c>
      <c r="M403" s="14">
        <f t="shared" si="116"/>
        <v>29</v>
      </c>
      <c r="N403" s="13">
        <f t="shared" si="108"/>
        <v>0</v>
      </c>
      <c r="O403">
        <f t="shared" si="108"/>
        <v>2</v>
      </c>
      <c r="P403">
        <f t="shared" si="108"/>
        <v>53</v>
      </c>
      <c r="Q403" s="14">
        <f t="shared" si="121"/>
        <v>173</v>
      </c>
      <c r="R403" s="13">
        <f t="shared" si="122"/>
        <v>0</v>
      </c>
      <c r="S403">
        <f t="shared" si="123"/>
        <v>2</v>
      </c>
      <c r="T403">
        <f t="shared" si="124"/>
        <v>53</v>
      </c>
      <c r="U403" s="14">
        <f t="shared" si="125"/>
        <v>173</v>
      </c>
      <c r="V403" s="15"/>
      <c r="Z403" s="14"/>
    </row>
    <row r="404" spans="1:26" hidden="1" x14ac:dyDescent="0.25">
      <c r="A404" s="16"/>
      <c r="B404" s="17" t="b">
        <f t="shared" si="110"/>
        <v>0</v>
      </c>
      <c r="C404" s="17" t="b">
        <f t="shared" si="120"/>
        <v>0</v>
      </c>
      <c r="D404" s="17">
        <f t="shared" si="117"/>
        <v>1</v>
      </c>
      <c r="E404" s="17" t="str">
        <f t="shared" si="118"/>
        <v>6. Conclusion</v>
      </c>
      <c r="F404" s="18" t="str">
        <f t="shared" si="109"/>
        <v/>
      </c>
      <c r="G404" s="13" t="str">
        <f t="shared" si="111"/>
        <v/>
      </c>
      <c r="H404">
        <f t="shared" si="112"/>
        <v>0</v>
      </c>
      <c r="I404" s="14">
        <f t="shared" si="119"/>
        <v>0</v>
      </c>
      <c r="J404" s="13">
        <f t="shared" si="113"/>
        <v>4529</v>
      </c>
      <c r="K404">
        <f t="shared" si="114"/>
        <v>1</v>
      </c>
      <c r="L404">
        <f t="shared" si="115"/>
        <v>15</v>
      </c>
      <c r="M404" s="14">
        <f t="shared" si="116"/>
        <v>29</v>
      </c>
      <c r="N404" s="13">
        <f t="shared" si="108"/>
        <v>0</v>
      </c>
      <c r="O404">
        <f t="shared" si="108"/>
        <v>2</v>
      </c>
      <c r="P404">
        <f t="shared" si="108"/>
        <v>53</v>
      </c>
      <c r="Q404" s="14">
        <f t="shared" si="121"/>
        <v>173</v>
      </c>
      <c r="R404" s="13">
        <f t="shared" si="122"/>
        <v>0</v>
      </c>
      <c r="S404">
        <f t="shared" si="123"/>
        <v>2</v>
      </c>
      <c r="T404">
        <f t="shared" si="124"/>
        <v>53</v>
      </c>
      <c r="U404" s="14">
        <f t="shared" si="125"/>
        <v>173</v>
      </c>
      <c r="V404" s="15"/>
      <c r="Z404" s="14"/>
    </row>
    <row r="405" spans="1:26" hidden="1" x14ac:dyDescent="0.25">
      <c r="A405" s="16"/>
      <c r="B405" s="17" t="b">
        <f t="shared" si="110"/>
        <v>0</v>
      </c>
      <c r="C405" s="17" t="b">
        <f t="shared" si="120"/>
        <v>0</v>
      </c>
      <c r="D405" s="17">
        <f t="shared" si="117"/>
        <v>1</v>
      </c>
      <c r="E405" s="17" t="str">
        <f t="shared" si="118"/>
        <v>6. Conclusion</v>
      </c>
      <c r="F405" s="18" t="str">
        <f t="shared" si="109"/>
        <v/>
      </c>
      <c r="G405" s="13" t="str">
        <f t="shared" si="111"/>
        <v/>
      </c>
      <c r="H405">
        <f t="shared" si="112"/>
        <v>0</v>
      </c>
      <c r="I405" s="14">
        <f t="shared" si="119"/>
        <v>0</v>
      </c>
      <c r="J405" s="13">
        <f t="shared" si="113"/>
        <v>4529</v>
      </c>
      <c r="K405">
        <f t="shared" si="114"/>
        <v>1</v>
      </c>
      <c r="L405">
        <f t="shared" si="115"/>
        <v>15</v>
      </c>
      <c r="M405" s="14">
        <f t="shared" si="116"/>
        <v>29</v>
      </c>
      <c r="N405" s="13">
        <f t="shared" si="108"/>
        <v>0</v>
      </c>
      <c r="O405">
        <f t="shared" si="108"/>
        <v>2</v>
      </c>
      <c r="P405">
        <f t="shared" si="108"/>
        <v>53</v>
      </c>
      <c r="Q405" s="14">
        <f t="shared" si="121"/>
        <v>173</v>
      </c>
      <c r="R405" s="13">
        <f t="shared" si="122"/>
        <v>0</v>
      </c>
      <c r="S405">
        <f t="shared" si="123"/>
        <v>2</v>
      </c>
      <c r="T405">
        <f t="shared" si="124"/>
        <v>53</v>
      </c>
      <c r="U405" s="14">
        <f t="shared" si="125"/>
        <v>173</v>
      </c>
      <c r="V405" s="15"/>
      <c r="Z405" s="14"/>
    </row>
    <row r="406" spans="1:26" hidden="1" x14ac:dyDescent="0.25">
      <c r="A406" s="16"/>
      <c r="B406" s="17" t="b">
        <f t="shared" si="110"/>
        <v>0</v>
      </c>
      <c r="C406" s="17" t="b">
        <f t="shared" si="120"/>
        <v>0</v>
      </c>
      <c r="D406" s="17">
        <f t="shared" si="117"/>
        <v>1</v>
      </c>
      <c r="E406" s="17" t="str">
        <f t="shared" si="118"/>
        <v>6. Conclusion</v>
      </c>
      <c r="F406" s="18" t="str">
        <f t="shared" si="109"/>
        <v/>
      </c>
      <c r="G406" s="13" t="str">
        <f t="shared" si="111"/>
        <v/>
      </c>
      <c r="H406">
        <f t="shared" si="112"/>
        <v>0</v>
      </c>
      <c r="I406" s="14">
        <f t="shared" si="119"/>
        <v>0</v>
      </c>
      <c r="J406" s="13">
        <f t="shared" si="113"/>
        <v>4529</v>
      </c>
      <c r="K406">
        <f t="shared" si="114"/>
        <v>1</v>
      </c>
      <c r="L406">
        <f t="shared" si="115"/>
        <v>15</v>
      </c>
      <c r="M406" s="14">
        <f t="shared" si="116"/>
        <v>29</v>
      </c>
      <c r="N406" s="13">
        <f t="shared" si="108"/>
        <v>0</v>
      </c>
      <c r="O406">
        <f t="shared" si="108"/>
        <v>2</v>
      </c>
      <c r="P406">
        <f t="shared" si="108"/>
        <v>53</v>
      </c>
      <c r="Q406" s="14">
        <f t="shared" si="121"/>
        <v>173</v>
      </c>
      <c r="R406" s="13">
        <f t="shared" si="122"/>
        <v>0</v>
      </c>
      <c r="S406">
        <f t="shared" si="123"/>
        <v>2</v>
      </c>
      <c r="T406">
        <f t="shared" si="124"/>
        <v>53</v>
      </c>
      <c r="U406" s="14">
        <f t="shared" si="125"/>
        <v>173</v>
      </c>
      <c r="V406" s="15"/>
      <c r="Z406" s="14"/>
    </row>
    <row r="407" spans="1:26" hidden="1" x14ac:dyDescent="0.25">
      <c r="A407" s="16"/>
      <c r="B407" s="17" t="b">
        <f t="shared" si="110"/>
        <v>0</v>
      </c>
      <c r="C407" s="17" t="b">
        <f t="shared" si="120"/>
        <v>0</v>
      </c>
      <c r="D407" s="17">
        <f t="shared" si="117"/>
        <v>1</v>
      </c>
      <c r="E407" s="17" t="str">
        <f t="shared" si="118"/>
        <v>6. Conclusion</v>
      </c>
      <c r="F407" s="18" t="str">
        <f t="shared" si="109"/>
        <v/>
      </c>
      <c r="G407" s="13" t="str">
        <f t="shared" si="111"/>
        <v/>
      </c>
      <c r="H407">
        <f t="shared" si="112"/>
        <v>0</v>
      </c>
      <c r="I407" s="14">
        <f t="shared" si="119"/>
        <v>0</v>
      </c>
      <c r="J407" s="13">
        <f t="shared" si="113"/>
        <v>4529</v>
      </c>
      <c r="K407">
        <f t="shared" si="114"/>
        <v>1</v>
      </c>
      <c r="L407">
        <f t="shared" si="115"/>
        <v>15</v>
      </c>
      <c r="M407" s="14">
        <f t="shared" si="116"/>
        <v>29</v>
      </c>
      <c r="N407" s="13">
        <f t="shared" si="108"/>
        <v>0</v>
      </c>
      <c r="O407">
        <f t="shared" si="108"/>
        <v>2</v>
      </c>
      <c r="P407">
        <f t="shared" si="108"/>
        <v>53</v>
      </c>
      <c r="Q407" s="14">
        <f t="shared" si="121"/>
        <v>173</v>
      </c>
      <c r="R407" s="13">
        <f t="shared" si="122"/>
        <v>0</v>
      </c>
      <c r="S407">
        <f t="shared" si="123"/>
        <v>2</v>
      </c>
      <c r="T407">
        <f t="shared" si="124"/>
        <v>53</v>
      </c>
      <c r="U407" s="14">
        <f t="shared" si="125"/>
        <v>173</v>
      </c>
      <c r="V407" s="15"/>
      <c r="Z407" s="14"/>
    </row>
    <row r="408" spans="1:26" hidden="1" x14ac:dyDescent="0.25">
      <c r="A408" s="16"/>
      <c r="B408" s="17" t="b">
        <f t="shared" si="110"/>
        <v>0</v>
      </c>
      <c r="C408" s="17" t="b">
        <f t="shared" si="120"/>
        <v>0</v>
      </c>
      <c r="D408" s="17">
        <f t="shared" si="117"/>
        <v>1</v>
      </c>
      <c r="E408" s="17" t="str">
        <f t="shared" si="118"/>
        <v>6. Conclusion</v>
      </c>
      <c r="F408" s="18" t="str">
        <f t="shared" si="109"/>
        <v/>
      </c>
      <c r="G408" s="13" t="str">
        <f t="shared" si="111"/>
        <v/>
      </c>
      <c r="H408">
        <f t="shared" si="112"/>
        <v>0</v>
      </c>
      <c r="I408" s="14">
        <f t="shared" si="119"/>
        <v>0</v>
      </c>
      <c r="J408" s="13">
        <f t="shared" si="113"/>
        <v>4529</v>
      </c>
      <c r="K408">
        <f t="shared" si="114"/>
        <v>1</v>
      </c>
      <c r="L408">
        <f t="shared" si="115"/>
        <v>15</v>
      </c>
      <c r="M408" s="14">
        <f t="shared" si="116"/>
        <v>29</v>
      </c>
      <c r="N408" s="13">
        <f t="shared" si="108"/>
        <v>0</v>
      </c>
      <c r="O408">
        <f t="shared" si="108"/>
        <v>2</v>
      </c>
      <c r="P408">
        <f t="shared" si="108"/>
        <v>53</v>
      </c>
      <c r="Q408" s="14">
        <f t="shared" si="121"/>
        <v>173</v>
      </c>
      <c r="R408" s="13">
        <f t="shared" si="122"/>
        <v>0</v>
      </c>
      <c r="S408">
        <f t="shared" si="123"/>
        <v>2</v>
      </c>
      <c r="T408">
        <f t="shared" si="124"/>
        <v>53</v>
      </c>
      <c r="U408" s="14">
        <f t="shared" si="125"/>
        <v>173</v>
      </c>
      <c r="V408" s="15"/>
      <c r="Z408" s="14"/>
    </row>
    <row r="409" spans="1:26" hidden="1" x14ac:dyDescent="0.25">
      <c r="A409" s="16"/>
      <c r="B409" s="17" t="b">
        <f t="shared" si="110"/>
        <v>0</v>
      </c>
      <c r="C409" s="17" t="b">
        <f t="shared" si="120"/>
        <v>0</v>
      </c>
      <c r="D409" s="17">
        <f t="shared" si="117"/>
        <v>1</v>
      </c>
      <c r="E409" s="17" t="str">
        <f t="shared" si="118"/>
        <v>6. Conclusion</v>
      </c>
      <c r="F409" s="18" t="str">
        <f t="shared" si="109"/>
        <v/>
      </c>
      <c r="G409" s="13" t="str">
        <f t="shared" si="111"/>
        <v/>
      </c>
      <c r="H409">
        <f t="shared" si="112"/>
        <v>0</v>
      </c>
      <c r="I409" s="14">
        <f t="shared" si="119"/>
        <v>0</v>
      </c>
      <c r="J409" s="13">
        <f t="shared" si="113"/>
        <v>4529</v>
      </c>
      <c r="K409">
        <f t="shared" si="114"/>
        <v>1</v>
      </c>
      <c r="L409">
        <f t="shared" si="115"/>
        <v>15</v>
      </c>
      <c r="M409" s="14">
        <f t="shared" si="116"/>
        <v>29</v>
      </c>
      <c r="N409" s="13">
        <f t="shared" si="108"/>
        <v>0</v>
      </c>
      <c r="O409">
        <f t="shared" si="108"/>
        <v>2</v>
      </c>
      <c r="P409">
        <f t="shared" si="108"/>
        <v>53</v>
      </c>
      <c r="Q409" s="14">
        <f t="shared" si="121"/>
        <v>173</v>
      </c>
      <c r="R409" s="13">
        <f t="shared" si="122"/>
        <v>0</v>
      </c>
      <c r="S409">
        <f t="shared" si="123"/>
        <v>2</v>
      </c>
      <c r="T409">
        <f t="shared" si="124"/>
        <v>53</v>
      </c>
      <c r="U409" s="14">
        <f t="shared" si="125"/>
        <v>173</v>
      </c>
      <c r="V409" s="15"/>
      <c r="Z409" s="14"/>
    </row>
    <row r="410" spans="1:26" hidden="1" x14ac:dyDescent="0.25">
      <c r="A410" s="16"/>
      <c r="B410" s="17" t="b">
        <f t="shared" si="110"/>
        <v>0</v>
      </c>
      <c r="C410" s="17" t="b">
        <f t="shared" si="120"/>
        <v>0</v>
      </c>
      <c r="D410" s="17">
        <f t="shared" si="117"/>
        <v>1</v>
      </c>
      <c r="E410" s="17" t="str">
        <f t="shared" si="118"/>
        <v>6. Conclusion</v>
      </c>
      <c r="F410" s="18" t="str">
        <f t="shared" si="109"/>
        <v/>
      </c>
      <c r="G410" s="13" t="str">
        <f t="shared" si="111"/>
        <v/>
      </c>
      <c r="H410">
        <f t="shared" si="112"/>
        <v>0</v>
      </c>
      <c r="I410" s="14">
        <f t="shared" si="119"/>
        <v>0</v>
      </c>
      <c r="J410" s="13">
        <f t="shared" si="113"/>
        <v>4529</v>
      </c>
      <c r="K410">
        <f t="shared" si="114"/>
        <v>1</v>
      </c>
      <c r="L410">
        <f t="shared" si="115"/>
        <v>15</v>
      </c>
      <c r="M410" s="14">
        <f t="shared" si="116"/>
        <v>29</v>
      </c>
      <c r="N410" s="13">
        <f t="shared" si="108"/>
        <v>0</v>
      </c>
      <c r="O410">
        <f t="shared" si="108"/>
        <v>2</v>
      </c>
      <c r="P410">
        <f t="shared" si="108"/>
        <v>53</v>
      </c>
      <c r="Q410" s="14">
        <f t="shared" si="121"/>
        <v>173</v>
      </c>
      <c r="R410" s="13">
        <f t="shared" si="122"/>
        <v>0</v>
      </c>
      <c r="S410">
        <f t="shared" si="123"/>
        <v>2</v>
      </c>
      <c r="T410">
        <f t="shared" si="124"/>
        <v>53</v>
      </c>
      <c r="U410" s="14">
        <f t="shared" si="125"/>
        <v>173</v>
      </c>
      <c r="V410" s="15"/>
      <c r="Z410" s="14"/>
    </row>
    <row r="411" spans="1:26" hidden="1" x14ac:dyDescent="0.25">
      <c r="A411" s="16"/>
      <c r="B411" s="17" t="b">
        <f t="shared" si="110"/>
        <v>0</v>
      </c>
      <c r="C411" s="17" t="b">
        <f t="shared" si="120"/>
        <v>0</v>
      </c>
      <c r="D411" s="17">
        <f t="shared" si="117"/>
        <v>1</v>
      </c>
      <c r="E411" s="17" t="str">
        <f t="shared" si="118"/>
        <v>6. Conclusion</v>
      </c>
      <c r="F411" s="18" t="str">
        <f t="shared" si="109"/>
        <v/>
      </c>
      <c r="G411" s="13" t="str">
        <f t="shared" si="111"/>
        <v/>
      </c>
      <c r="H411">
        <f t="shared" si="112"/>
        <v>0</v>
      </c>
      <c r="I411" s="14">
        <f t="shared" si="119"/>
        <v>0</v>
      </c>
      <c r="J411" s="13">
        <f t="shared" si="113"/>
        <v>4529</v>
      </c>
      <c r="K411">
        <f t="shared" si="114"/>
        <v>1</v>
      </c>
      <c r="L411">
        <f t="shared" si="115"/>
        <v>15</v>
      </c>
      <c r="M411" s="14">
        <f t="shared" si="116"/>
        <v>29</v>
      </c>
      <c r="N411" s="13">
        <f t="shared" si="108"/>
        <v>0</v>
      </c>
      <c r="O411">
        <f t="shared" si="108"/>
        <v>2</v>
      </c>
      <c r="P411">
        <f t="shared" si="108"/>
        <v>53</v>
      </c>
      <c r="Q411" s="14">
        <f t="shared" si="121"/>
        <v>173</v>
      </c>
      <c r="R411" s="13">
        <f t="shared" si="122"/>
        <v>0</v>
      </c>
      <c r="S411">
        <f t="shared" si="123"/>
        <v>2</v>
      </c>
      <c r="T411">
        <f t="shared" si="124"/>
        <v>53</v>
      </c>
      <c r="U411" s="14">
        <f t="shared" si="125"/>
        <v>173</v>
      </c>
      <c r="V411" s="15"/>
      <c r="Z411" s="14"/>
    </row>
    <row r="412" spans="1:26" hidden="1" x14ac:dyDescent="0.25">
      <c r="A412" s="16"/>
      <c r="B412" s="17" t="b">
        <f t="shared" si="110"/>
        <v>0</v>
      </c>
      <c r="C412" s="17" t="b">
        <f t="shared" si="120"/>
        <v>0</v>
      </c>
      <c r="D412" s="17">
        <f t="shared" si="117"/>
        <v>1</v>
      </c>
      <c r="E412" s="17" t="str">
        <f t="shared" si="118"/>
        <v>6. Conclusion</v>
      </c>
      <c r="F412" s="18" t="str">
        <f t="shared" si="109"/>
        <v/>
      </c>
      <c r="G412" s="13" t="str">
        <f t="shared" si="111"/>
        <v/>
      </c>
      <c r="H412">
        <f t="shared" si="112"/>
        <v>0</v>
      </c>
      <c r="I412" s="14">
        <f t="shared" si="119"/>
        <v>0</v>
      </c>
      <c r="J412" s="13">
        <f t="shared" si="113"/>
        <v>4529</v>
      </c>
      <c r="K412">
        <f t="shared" si="114"/>
        <v>1</v>
      </c>
      <c r="L412">
        <f t="shared" si="115"/>
        <v>15</v>
      </c>
      <c r="M412" s="14">
        <f t="shared" si="116"/>
        <v>29</v>
      </c>
      <c r="N412" s="13">
        <f t="shared" ref="N412:P475" si="126">R411</f>
        <v>0</v>
      </c>
      <c r="O412">
        <f t="shared" si="126"/>
        <v>2</v>
      </c>
      <c r="P412">
        <f t="shared" si="126"/>
        <v>53</v>
      </c>
      <c r="Q412" s="14">
        <f t="shared" si="121"/>
        <v>173</v>
      </c>
      <c r="R412" s="13">
        <f t="shared" si="122"/>
        <v>0</v>
      </c>
      <c r="S412">
        <f t="shared" si="123"/>
        <v>2</v>
      </c>
      <c r="T412">
        <f t="shared" si="124"/>
        <v>53</v>
      </c>
      <c r="U412" s="14">
        <f t="shared" si="125"/>
        <v>173</v>
      </c>
      <c r="V412" s="15"/>
      <c r="Z412" s="14"/>
    </row>
    <row r="413" spans="1:26" hidden="1" x14ac:dyDescent="0.25">
      <c r="A413" s="16"/>
      <c r="B413" s="17" t="b">
        <f t="shared" si="110"/>
        <v>0</v>
      </c>
      <c r="C413" s="17" t="b">
        <f t="shared" si="120"/>
        <v>0</v>
      </c>
      <c r="D413" s="17">
        <f t="shared" si="117"/>
        <v>1</v>
      </c>
      <c r="E413" s="17" t="str">
        <f t="shared" si="118"/>
        <v>6. Conclusion</v>
      </c>
      <c r="F413" s="18" t="str">
        <f t="shared" si="109"/>
        <v/>
      </c>
      <c r="G413" s="13" t="str">
        <f t="shared" si="111"/>
        <v/>
      </c>
      <c r="H413">
        <f t="shared" si="112"/>
        <v>0</v>
      </c>
      <c r="I413" s="14">
        <f t="shared" si="119"/>
        <v>0</v>
      </c>
      <c r="J413" s="13">
        <f t="shared" si="113"/>
        <v>4529</v>
      </c>
      <c r="K413">
        <f t="shared" si="114"/>
        <v>1</v>
      </c>
      <c r="L413">
        <f t="shared" si="115"/>
        <v>15</v>
      </c>
      <c r="M413" s="14">
        <f t="shared" si="116"/>
        <v>29</v>
      </c>
      <c r="N413" s="13">
        <f t="shared" si="126"/>
        <v>0</v>
      </c>
      <c r="O413">
        <f t="shared" si="126"/>
        <v>2</v>
      </c>
      <c r="P413">
        <f t="shared" si="126"/>
        <v>53</v>
      </c>
      <c r="Q413" s="14">
        <f t="shared" si="121"/>
        <v>173</v>
      </c>
      <c r="R413" s="13">
        <f t="shared" si="122"/>
        <v>0</v>
      </c>
      <c r="S413">
        <f t="shared" si="123"/>
        <v>2</v>
      </c>
      <c r="T413">
        <f t="shared" si="124"/>
        <v>53</v>
      </c>
      <c r="U413" s="14">
        <f t="shared" si="125"/>
        <v>173</v>
      </c>
      <c r="V413" s="15"/>
      <c r="Z413" s="14"/>
    </row>
    <row r="414" spans="1:26" hidden="1" x14ac:dyDescent="0.25">
      <c r="A414" s="16"/>
      <c r="B414" s="17" t="b">
        <f t="shared" si="110"/>
        <v>0</v>
      </c>
      <c r="C414" s="17" t="b">
        <f t="shared" si="120"/>
        <v>0</v>
      </c>
      <c r="D414" s="17">
        <f t="shared" si="117"/>
        <v>1</v>
      </c>
      <c r="E414" s="17" t="str">
        <f t="shared" si="118"/>
        <v>6. Conclusion</v>
      </c>
      <c r="F414" s="18" t="str">
        <f t="shared" si="109"/>
        <v/>
      </c>
      <c r="G414" s="13" t="str">
        <f t="shared" si="111"/>
        <v/>
      </c>
      <c r="H414">
        <f t="shared" si="112"/>
        <v>0</v>
      </c>
      <c r="I414" s="14">
        <f t="shared" si="119"/>
        <v>0</v>
      </c>
      <c r="J414" s="13">
        <f t="shared" si="113"/>
        <v>4529</v>
      </c>
      <c r="K414">
        <f t="shared" si="114"/>
        <v>1</v>
      </c>
      <c r="L414">
        <f t="shared" si="115"/>
        <v>15</v>
      </c>
      <c r="M414" s="14">
        <f t="shared" si="116"/>
        <v>29</v>
      </c>
      <c r="N414" s="13">
        <f t="shared" si="126"/>
        <v>0</v>
      </c>
      <c r="O414">
        <f t="shared" si="126"/>
        <v>2</v>
      </c>
      <c r="P414">
        <f t="shared" si="126"/>
        <v>53</v>
      </c>
      <c r="Q414" s="14">
        <f t="shared" si="121"/>
        <v>173</v>
      </c>
      <c r="R414" s="13">
        <f t="shared" si="122"/>
        <v>0</v>
      </c>
      <c r="S414">
        <f t="shared" si="123"/>
        <v>2</v>
      </c>
      <c r="T414">
        <f t="shared" si="124"/>
        <v>53</v>
      </c>
      <c r="U414" s="14">
        <f t="shared" si="125"/>
        <v>173</v>
      </c>
      <c r="V414" s="15"/>
      <c r="Z414" s="14"/>
    </row>
    <row r="415" spans="1:26" hidden="1" x14ac:dyDescent="0.25">
      <c r="A415" s="16"/>
      <c r="B415" s="17" t="b">
        <f t="shared" si="110"/>
        <v>0</v>
      </c>
      <c r="C415" s="17" t="b">
        <f t="shared" si="120"/>
        <v>0</v>
      </c>
      <c r="D415" s="17">
        <f t="shared" si="117"/>
        <v>1</v>
      </c>
      <c r="E415" s="17" t="str">
        <f t="shared" si="118"/>
        <v>6. Conclusion</v>
      </c>
      <c r="F415" s="18" t="str">
        <f t="shared" si="109"/>
        <v/>
      </c>
      <c r="G415" s="13" t="str">
        <f t="shared" si="111"/>
        <v/>
      </c>
      <c r="H415">
        <f t="shared" si="112"/>
        <v>0</v>
      </c>
      <c r="I415" s="14">
        <f t="shared" si="119"/>
        <v>0</v>
      </c>
      <c r="J415" s="13">
        <f t="shared" si="113"/>
        <v>4529</v>
      </c>
      <c r="K415">
        <f t="shared" si="114"/>
        <v>1</v>
      </c>
      <c r="L415">
        <f t="shared" si="115"/>
        <v>15</v>
      </c>
      <c r="M415" s="14">
        <f t="shared" si="116"/>
        <v>29</v>
      </c>
      <c r="N415" s="13">
        <f t="shared" si="126"/>
        <v>0</v>
      </c>
      <c r="O415">
        <f t="shared" si="126"/>
        <v>2</v>
      </c>
      <c r="P415">
        <f t="shared" si="126"/>
        <v>53</v>
      </c>
      <c r="Q415" s="14">
        <f t="shared" si="121"/>
        <v>173</v>
      </c>
      <c r="R415" s="13">
        <f t="shared" si="122"/>
        <v>0</v>
      </c>
      <c r="S415">
        <f t="shared" si="123"/>
        <v>2</v>
      </c>
      <c r="T415">
        <f t="shared" si="124"/>
        <v>53</v>
      </c>
      <c r="U415" s="14">
        <f t="shared" si="125"/>
        <v>173</v>
      </c>
      <c r="V415" s="15"/>
      <c r="Z415" s="14"/>
    </row>
    <row r="416" spans="1:26" hidden="1" x14ac:dyDescent="0.25">
      <c r="A416" s="16"/>
      <c r="B416" s="17" t="b">
        <f t="shared" si="110"/>
        <v>0</v>
      </c>
      <c r="C416" s="17" t="b">
        <f t="shared" si="120"/>
        <v>0</v>
      </c>
      <c r="D416" s="17">
        <f t="shared" si="117"/>
        <v>1</v>
      </c>
      <c r="E416" s="17" t="str">
        <f t="shared" si="118"/>
        <v>6. Conclusion</v>
      </c>
      <c r="F416" s="18" t="str">
        <f t="shared" si="109"/>
        <v/>
      </c>
      <c r="G416" s="13" t="str">
        <f t="shared" si="111"/>
        <v/>
      </c>
      <c r="H416">
        <f t="shared" si="112"/>
        <v>0</v>
      </c>
      <c r="I416" s="14">
        <f t="shared" si="119"/>
        <v>0</v>
      </c>
      <c r="J416" s="13">
        <f t="shared" si="113"/>
        <v>4529</v>
      </c>
      <c r="K416">
        <f t="shared" si="114"/>
        <v>1</v>
      </c>
      <c r="L416">
        <f t="shared" si="115"/>
        <v>15</v>
      </c>
      <c r="M416" s="14">
        <f t="shared" si="116"/>
        <v>29</v>
      </c>
      <c r="N416" s="13">
        <f t="shared" si="126"/>
        <v>0</v>
      </c>
      <c r="O416">
        <f t="shared" si="126"/>
        <v>2</v>
      </c>
      <c r="P416">
        <f t="shared" si="126"/>
        <v>53</v>
      </c>
      <c r="Q416" s="14">
        <f t="shared" si="121"/>
        <v>173</v>
      </c>
      <c r="R416" s="13">
        <f t="shared" si="122"/>
        <v>0</v>
      </c>
      <c r="S416">
        <f t="shared" si="123"/>
        <v>2</v>
      </c>
      <c r="T416">
        <f t="shared" si="124"/>
        <v>53</v>
      </c>
      <c r="U416" s="14">
        <f t="shared" si="125"/>
        <v>173</v>
      </c>
      <c r="V416" s="15"/>
      <c r="Z416" s="14"/>
    </row>
    <row r="417" spans="1:26" hidden="1" x14ac:dyDescent="0.25">
      <c r="A417" s="16"/>
      <c r="B417" s="17" t="b">
        <f t="shared" si="110"/>
        <v>0</v>
      </c>
      <c r="C417" s="17" t="b">
        <f t="shared" si="120"/>
        <v>0</v>
      </c>
      <c r="D417" s="17">
        <f t="shared" si="117"/>
        <v>1</v>
      </c>
      <c r="E417" s="17" t="str">
        <f t="shared" si="118"/>
        <v>6. Conclusion</v>
      </c>
      <c r="F417" s="18" t="str">
        <f t="shared" si="109"/>
        <v/>
      </c>
      <c r="G417" s="13" t="str">
        <f t="shared" si="111"/>
        <v/>
      </c>
      <c r="H417">
        <f t="shared" si="112"/>
        <v>0</v>
      </c>
      <c r="I417" s="14">
        <f t="shared" si="119"/>
        <v>0</v>
      </c>
      <c r="J417" s="13">
        <f t="shared" si="113"/>
        <v>4529</v>
      </c>
      <c r="K417">
        <f t="shared" si="114"/>
        <v>1</v>
      </c>
      <c r="L417">
        <f t="shared" si="115"/>
        <v>15</v>
      </c>
      <c r="M417" s="14">
        <f t="shared" si="116"/>
        <v>29</v>
      </c>
      <c r="N417" s="13">
        <f t="shared" si="126"/>
        <v>0</v>
      </c>
      <c r="O417">
        <f t="shared" si="126"/>
        <v>2</v>
      </c>
      <c r="P417">
        <f t="shared" si="126"/>
        <v>53</v>
      </c>
      <c r="Q417" s="14">
        <f t="shared" si="121"/>
        <v>173</v>
      </c>
      <c r="R417" s="13">
        <f t="shared" si="122"/>
        <v>0</v>
      </c>
      <c r="S417">
        <f t="shared" si="123"/>
        <v>2</v>
      </c>
      <c r="T417">
        <f t="shared" si="124"/>
        <v>53</v>
      </c>
      <c r="U417" s="14">
        <f t="shared" si="125"/>
        <v>173</v>
      </c>
      <c r="V417" s="15"/>
      <c r="Z417" s="14"/>
    </row>
    <row r="418" spans="1:26" hidden="1" x14ac:dyDescent="0.25">
      <c r="A418" s="16"/>
      <c r="B418" s="17" t="b">
        <f t="shared" si="110"/>
        <v>0</v>
      </c>
      <c r="C418" s="17" t="b">
        <f t="shared" si="120"/>
        <v>0</v>
      </c>
      <c r="D418" s="17">
        <f t="shared" si="117"/>
        <v>1</v>
      </c>
      <c r="E418" s="17" t="str">
        <f t="shared" si="118"/>
        <v>6. Conclusion</v>
      </c>
      <c r="F418" s="18" t="str">
        <f t="shared" si="109"/>
        <v/>
      </c>
      <c r="G418" s="13" t="str">
        <f t="shared" si="111"/>
        <v/>
      </c>
      <c r="H418">
        <f t="shared" si="112"/>
        <v>0</v>
      </c>
      <c r="I418" s="14">
        <f t="shared" si="119"/>
        <v>0</v>
      </c>
      <c r="J418" s="13">
        <f t="shared" si="113"/>
        <v>4529</v>
      </c>
      <c r="K418">
        <f t="shared" si="114"/>
        <v>1</v>
      </c>
      <c r="L418">
        <f t="shared" si="115"/>
        <v>15</v>
      </c>
      <c r="M418" s="14">
        <f t="shared" si="116"/>
        <v>29</v>
      </c>
      <c r="N418" s="13">
        <f t="shared" si="126"/>
        <v>0</v>
      </c>
      <c r="O418">
        <f t="shared" si="126"/>
        <v>2</v>
      </c>
      <c r="P418">
        <f t="shared" si="126"/>
        <v>53</v>
      </c>
      <c r="Q418" s="14">
        <f t="shared" si="121"/>
        <v>173</v>
      </c>
      <c r="R418" s="13">
        <f t="shared" si="122"/>
        <v>0</v>
      </c>
      <c r="S418">
        <f t="shared" si="123"/>
        <v>2</v>
      </c>
      <c r="T418">
        <f t="shared" si="124"/>
        <v>53</v>
      </c>
      <c r="U418" s="14">
        <f t="shared" si="125"/>
        <v>173</v>
      </c>
      <c r="V418" s="15"/>
      <c r="Z418" s="14"/>
    </row>
    <row r="419" spans="1:26" hidden="1" x14ac:dyDescent="0.25">
      <c r="A419" s="16"/>
      <c r="B419" s="17" t="b">
        <f t="shared" si="110"/>
        <v>0</v>
      </c>
      <c r="C419" s="17" t="b">
        <f t="shared" si="120"/>
        <v>0</v>
      </c>
      <c r="D419" s="17">
        <f t="shared" si="117"/>
        <v>1</v>
      </c>
      <c r="E419" s="17" t="str">
        <f t="shared" si="118"/>
        <v>6. Conclusion</v>
      </c>
      <c r="F419" s="18" t="str">
        <f t="shared" si="109"/>
        <v/>
      </c>
      <c r="G419" s="13" t="str">
        <f t="shared" si="111"/>
        <v/>
      </c>
      <c r="H419">
        <f t="shared" si="112"/>
        <v>0</v>
      </c>
      <c r="I419" s="14">
        <f t="shared" si="119"/>
        <v>0</v>
      </c>
      <c r="J419" s="13">
        <f t="shared" si="113"/>
        <v>4529</v>
      </c>
      <c r="K419">
        <f t="shared" si="114"/>
        <v>1</v>
      </c>
      <c r="L419">
        <f t="shared" si="115"/>
        <v>15</v>
      </c>
      <c r="M419" s="14">
        <f t="shared" si="116"/>
        <v>29</v>
      </c>
      <c r="N419" s="13">
        <f t="shared" si="126"/>
        <v>0</v>
      </c>
      <c r="O419">
        <f t="shared" si="126"/>
        <v>2</v>
      </c>
      <c r="P419">
        <f t="shared" si="126"/>
        <v>53</v>
      </c>
      <c r="Q419" s="14">
        <f t="shared" si="121"/>
        <v>173</v>
      </c>
      <c r="R419" s="13">
        <f t="shared" si="122"/>
        <v>0</v>
      </c>
      <c r="S419">
        <f t="shared" si="123"/>
        <v>2</v>
      </c>
      <c r="T419">
        <f t="shared" si="124"/>
        <v>53</v>
      </c>
      <c r="U419" s="14">
        <f t="shared" si="125"/>
        <v>173</v>
      </c>
      <c r="V419" s="15"/>
      <c r="Z419" s="14"/>
    </row>
    <row r="420" spans="1:26" hidden="1" x14ac:dyDescent="0.25">
      <c r="A420" s="16"/>
      <c r="B420" s="17" t="b">
        <f t="shared" si="110"/>
        <v>0</v>
      </c>
      <c r="C420" s="17" t="b">
        <f t="shared" si="120"/>
        <v>0</v>
      </c>
      <c r="D420" s="17">
        <f t="shared" si="117"/>
        <v>1</v>
      </c>
      <c r="E420" s="17" t="str">
        <f t="shared" si="118"/>
        <v>6. Conclusion</v>
      </c>
      <c r="F420" s="18" t="str">
        <f t="shared" si="109"/>
        <v/>
      </c>
      <c r="G420" s="13" t="str">
        <f t="shared" si="111"/>
        <v/>
      </c>
      <c r="H420">
        <f t="shared" si="112"/>
        <v>0</v>
      </c>
      <c r="I420" s="14">
        <f t="shared" si="119"/>
        <v>0</v>
      </c>
      <c r="J420" s="13">
        <f t="shared" si="113"/>
        <v>4529</v>
      </c>
      <c r="K420">
        <f t="shared" si="114"/>
        <v>1</v>
      </c>
      <c r="L420">
        <f t="shared" si="115"/>
        <v>15</v>
      </c>
      <c r="M420" s="14">
        <f t="shared" si="116"/>
        <v>29</v>
      </c>
      <c r="N420" s="13">
        <f t="shared" si="126"/>
        <v>0</v>
      </c>
      <c r="O420">
        <f t="shared" si="126"/>
        <v>2</v>
      </c>
      <c r="P420">
        <f t="shared" si="126"/>
        <v>53</v>
      </c>
      <c r="Q420" s="14">
        <f t="shared" si="121"/>
        <v>173</v>
      </c>
      <c r="R420" s="13">
        <f t="shared" si="122"/>
        <v>0</v>
      </c>
      <c r="S420">
        <f t="shared" si="123"/>
        <v>2</v>
      </c>
      <c r="T420">
        <f t="shared" si="124"/>
        <v>53</v>
      </c>
      <c r="U420" s="14">
        <f t="shared" si="125"/>
        <v>173</v>
      </c>
      <c r="V420" s="15"/>
      <c r="Z420" s="14"/>
    </row>
    <row r="421" spans="1:26" hidden="1" x14ac:dyDescent="0.25">
      <c r="A421" s="16"/>
      <c r="B421" s="17" t="b">
        <f t="shared" si="110"/>
        <v>0</v>
      </c>
      <c r="C421" s="17" t="b">
        <f t="shared" si="120"/>
        <v>0</v>
      </c>
      <c r="D421" s="17">
        <f t="shared" si="117"/>
        <v>1</v>
      </c>
      <c r="E421" s="17" t="str">
        <f t="shared" si="118"/>
        <v>6. Conclusion</v>
      </c>
      <c r="F421" s="18" t="str">
        <f t="shared" si="109"/>
        <v/>
      </c>
      <c r="G421" s="13" t="str">
        <f t="shared" si="111"/>
        <v/>
      </c>
      <c r="H421">
        <f t="shared" si="112"/>
        <v>0</v>
      </c>
      <c r="I421" s="14">
        <f t="shared" si="119"/>
        <v>0</v>
      </c>
      <c r="J421" s="13">
        <f t="shared" si="113"/>
        <v>4529</v>
      </c>
      <c r="K421">
        <f t="shared" si="114"/>
        <v>1</v>
      </c>
      <c r="L421">
        <f t="shared" si="115"/>
        <v>15</v>
      </c>
      <c r="M421" s="14">
        <f t="shared" si="116"/>
        <v>29</v>
      </c>
      <c r="N421" s="13">
        <f t="shared" si="126"/>
        <v>0</v>
      </c>
      <c r="O421">
        <f t="shared" si="126"/>
        <v>2</v>
      </c>
      <c r="P421">
        <f t="shared" si="126"/>
        <v>53</v>
      </c>
      <c r="Q421" s="14">
        <f t="shared" si="121"/>
        <v>173</v>
      </c>
      <c r="R421" s="13">
        <f t="shared" si="122"/>
        <v>0</v>
      </c>
      <c r="S421">
        <f t="shared" si="123"/>
        <v>2</v>
      </c>
      <c r="T421">
        <f t="shared" si="124"/>
        <v>53</v>
      </c>
      <c r="U421" s="14">
        <f t="shared" si="125"/>
        <v>173</v>
      </c>
      <c r="V421" s="15"/>
      <c r="Z421" s="14"/>
    </row>
    <row r="422" spans="1:26" hidden="1" x14ac:dyDescent="0.25">
      <c r="A422" s="16"/>
      <c r="B422" s="17" t="b">
        <f t="shared" si="110"/>
        <v>0</v>
      </c>
      <c r="C422" s="17" t="b">
        <f t="shared" si="120"/>
        <v>0</v>
      </c>
      <c r="D422" s="17">
        <f t="shared" si="117"/>
        <v>1</v>
      </c>
      <c r="E422" s="17" t="str">
        <f t="shared" si="118"/>
        <v>6. Conclusion</v>
      </c>
      <c r="F422" s="18" t="str">
        <f t="shared" si="109"/>
        <v/>
      </c>
      <c r="G422" s="13" t="str">
        <f t="shared" si="111"/>
        <v/>
      </c>
      <c r="H422">
        <f t="shared" si="112"/>
        <v>0</v>
      </c>
      <c r="I422" s="14">
        <f t="shared" si="119"/>
        <v>0</v>
      </c>
      <c r="J422" s="13">
        <f t="shared" si="113"/>
        <v>4529</v>
      </c>
      <c r="K422">
        <f t="shared" si="114"/>
        <v>1</v>
      </c>
      <c r="L422">
        <f t="shared" si="115"/>
        <v>15</v>
      </c>
      <c r="M422" s="14">
        <f t="shared" si="116"/>
        <v>29</v>
      </c>
      <c r="N422" s="13">
        <f t="shared" si="126"/>
        <v>0</v>
      </c>
      <c r="O422">
        <f t="shared" si="126"/>
        <v>2</v>
      </c>
      <c r="P422">
        <f t="shared" si="126"/>
        <v>53</v>
      </c>
      <c r="Q422" s="14">
        <f t="shared" si="121"/>
        <v>173</v>
      </c>
      <c r="R422" s="13">
        <f t="shared" si="122"/>
        <v>0</v>
      </c>
      <c r="S422">
        <f t="shared" si="123"/>
        <v>2</v>
      </c>
      <c r="T422">
        <f t="shared" si="124"/>
        <v>53</v>
      </c>
      <c r="U422" s="14">
        <f t="shared" si="125"/>
        <v>173</v>
      </c>
      <c r="V422" s="15"/>
      <c r="Z422" s="14"/>
    </row>
    <row r="423" spans="1:26" hidden="1" x14ac:dyDescent="0.25">
      <c r="A423" s="16"/>
      <c r="B423" s="17" t="b">
        <f t="shared" si="110"/>
        <v>0</v>
      </c>
      <c r="C423" s="17" t="b">
        <f t="shared" si="120"/>
        <v>0</v>
      </c>
      <c r="D423" s="17">
        <f t="shared" si="117"/>
        <v>1</v>
      </c>
      <c r="E423" s="17" t="str">
        <f t="shared" si="118"/>
        <v>6. Conclusion</v>
      </c>
      <c r="F423" s="18" t="str">
        <f t="shared" si="109"/>
        <v/>
      </c>
      <c r="G423" s="13" t="str">
        <f t="shared" si="111"/>
        <v/>
      </c>
      <c r="H423">
        <f t="shared" si="112"/>
        <v>0</v>
      </c>
      <c r="I423" s="14">
        <f t="shared" si="119"/>
        <v>0</v>
      </c>
      <c r="J423" s="13">
        <f t="shared" si="113"/>
        <v>4529</v>
      </c>
      <c r="K423">
        <f t="shared" si="114"/>
        <v>1</v>
      </c>
      <c r="L423">
        <f t="shared" si="115"/>
        <v>15</v>
      </c>
      <c r="M423" s="14">
        <f t="shared" si="116"/>
        <v>29</v>
      </c>
      <c r="N423" s="13">
        <f t="shared" si="126"/>
        <v>0</v>
      </c>
      <c r="O423">
        <f t="shared" si="126"/>
        <v>2</v>
      </c>
      <c r="P423">
        <f t="shared" si="126"/>
        <v>53</v>
      </c>
      <c r="Q423" s="14">
        <f t="shared" si="121"/>
        <v>173</v>
      </c>
      <c r="R423" s="13">
        <f t="shared" si="122"/>
        <v>0</v>
      </c>
      <c r="S423">
        <f t="shared" si="123"/>
        <v>2</v>
      </c>
      <c r="T423">
        <f t="shared" si="124"/>
        <v>53</v>
      </c>
      <c r="U423" s="14">
        <f t="shared" si="125"/>
        <v>173</v>
      </c>
      <c r="V423" s="15"/>
      <c r="Z423" s="14"/>
    </row>
    <row r="424" spans="1:26" hidden="1" x14ac:dyDescent="0.25">
      <c r="A424" s="16"/>
      <c r="B424" s="17" t="b">
        <f t="shared" si="110"/>
        <v>0</v>
      </c>
      <c r="C424" s="17" t="b">
        <f t="shared" si="120"/>
        <v>0</v>
      </c>
      <c r="D424" s="17">
        <f t="shared" si="117"/>
        <v>1</v>
      </c>
      <c r="E424" s="17" t="str">
        <f t="shared" si="118"/>
        <v>6. Conclusion</v>
      </c>
      <c r="F424" s="18" t="str">
        <f t="shared" si="109"/>
        <v/>
      </c>
      <c r="G424" s="13" t="str">
        <f t="shared" si="111"/>
        <v/>
      </c>
      <c r="H424">
        <f t="shared" si="112"/>
        <v>0</v>
      </c>
      <c r="I424" s="14">
        <f t="shared" si="119"/>
        <v>0</v>
      </c>
      <c r="J424" s="13">
        <f t="shared" si="113"/>
        <v>4529</v>
      </c>
      <c r="K424">
        <f t="shared" si="114"/>
        <v>1</v>
      </c>
      <c r="L424">
        <f t="shared" si="115"/>
        <v>15</v>
      </c>
      <c r="M424" s="14">
        <f t="shared" si="116"/>
        <v>29</v>
      </c>
      <c r="N424" s="13">
        <f t="shared" si="126"/>
        <v>0</v>
      </c>
      <c r="O424">
        <f t="shared" si="126"/>
        <v>2</v>
      </c>
      <c r="P424">
        <f t="shared" si="126"/>
        <v>53</v>
      </c>
      <c r="Q424" s="14">
        <f t="shared" si="121"/>
        <v>173</v>
      </c>
      <c r="R424" s="13">
        <f t="shared" si="122"/>
        <v>0</v>
      </c>
      <c r="S424">
        <f t="shared" si="123"/>
        <v>2</v>
      </c>
      <c r="T424">
        <f t="shared" si="124"/>
        <v>53</v>
      </c>
      <c r="U424" s="14">
        <f t="shared" si="125"/>
        <v>173</v>
      </c>
      <c r="V424" s="15"/>
      <c r="Z424" s="14"/>
    </row>
    <row r="425" spans="1:26" hidden="1" x14ac:dyDescent="0.25">
      <c r="A425" s="16"/>
      <c r="B425" s="17" t="b">
        <f t="shared" si="110"/>
        <v>0</v>
      </c>
      <c r="C425" s="17" t="b">
        <f t="shared" si="120"/>
        <v>0</v>
      </c>
      <c r="D425" s="17">
        <f t="shared" si="117"/>
        <v>1</v>
      </c>
      <c r="E425" s="17" t="str">
        <f t="shared" si="118"/>
        <v>6. Conclusion</v>
      </c>
      <c r="F425" s="18" t="str">
        <f t="shared" si="109"/>
        <v/>
      </c>
      <c r="G425" s="13" t="str">
        <f t="shared" si="111"/>
        <v/>
      </c>
      <c r="H425">
        <f t="shared" si="112"/>
        <v>0</v>
      </c>
      <c r="I425" s="14">
        <f t="shared" si="119"/>
        <v>0</v>
      </c>
      <c r="J425" s="13">
        <f t="shared" si="113"/>
        <v>4529</v>
      </c>
      <c r="K425">
        <f t="shared" si="114"/>
        <v>1</v>
      </c>
      <c r="L425">
        <f t="shared" si="115"/>
        <v>15</v>
      </c>
      <c r="M425" s="14">
        <f t="shared" si="116"/>
        <v>29</v>
      </c>
      <c r="N425" s="13">
        <f t="shared" si="126"/>
        <v>0</v>
      </c>
      <c r="O425">
        <f t="shared" si="126"/>
        <v>2</v>
      </c>
      <c r="P425">
        <f t="shared" si="126"/>
        <v>53</v>
      </c>
      <c r="Q425" s="14">
        <f t="shared" si="121"/>
        <v>173</v>
      </c>
      <c r="R425" s="13">
        <f t="shared" si="122"/>
        <v>0</v>
      </c>
      <c r="S425">
        <f t="shared" si="123"/>
        <v>2</v>
      </c>
      <c r="T425">
        <f t="shared" si="124"/>
        <v>53</v>
      </c>
      <c r="U425" s="14">
        <f t="shared" si="125"/>
        <v>173</v>
      </c>
      <c r="V425" s="15"/>
      <c r="Z425" s="14"/>
    </row>
    <row r="426" spans="1:26" hidden="1" x14ac:dyDescent="0.25">
      <c r="A426" s="16"/>
      <c r="B426" s="17" t="b">
        <f t="shared" si="110"/>
        <v>0</v>
      </c>
      <c r="C426" s="17" t="b">
        <f t="shared" si="120"/>
        <v>0</v>
      </c>
      <c r="D426" s="17">
        <f t="shared" si="117"/>
        <v>1</v>
      </c>
      <c r="E426" s="17" t="str">
        <f t="shared" si="118"/>
        <v>6. Conclusion</v>
      </c>
      <c r="F426" s="18" t="str">
        <f t="shared" si="109"/>
        <v/>
      </c>
      <c r="G426" s="13" t="str">
        <f t="shared" si="111"/>
        <v/>
      </c>
      <c r="H426">
        <f t="shared" si="112"/>
        <v>0</v>
      </c>
      <c r="I426" s="14">
        <f t="shared" si="119"/>
        <v>0</v>
      </c>
      <c r="J426" s="13">
        <f t="shared" si="113"/>
        <v>4529</v>
      </c>
      <c r="K426">
        <f t="shared" si="114"/>
        <v>1</v>
      </c>
      <c r="L426">
        <f t="shared" si="115"/>
        <v>15</v>
      </c>
      <c r="M426" s="14">
        <f t="shared" si="116"/>
        <v>29</v>
      </c>
      <c r="N426" s="13">
        <f t="shared" si="126"/>
        <v>0</v>
      </c>
      <c r="O426">
        <f t="shared" si="126"/>
        <v>2</v>
      </c>
      <c r="P426">
        <f t="shared" si="126"/>
        <v>53</v>
      </c>
      <c r="Q426" s="14">
        <f t="shared" si="121"/>
        <v>173</v>
      </c>
      <c r="R426" s="13">
        <f t="shared" si="122"/>
        <v>0</v>
      </c>
      <c r="S426">
        <f t="shared" si="123"/>
        <v>2</v>
      </c>
      <c r="T426">
        <f t="shared" si="124"/>
        <v>53</v>
      </c>
      <c r="U426" s="14">
        <f t="shared" si="125"/>
        <v>173</v>
      </c>
      <c r="V426" s="15"/>
      <c r="Z426" s="14"/>
    </row>
    <row r="427" spans="1:26" hidden="1" x14ac:dyDescent="0.25">
      <c r="A427" s="16"/>
      <c r="B427" s="17" t="b">
        <f t="shared" si="110"/>
        <v>0</v>
      </c>
      <c r="C427" s="17" t="b">
        <f t="shared" si="120"/>
        <v>0</v>
      </c>
      <c r="D427" s="17">
        <f t="shared" si="117"/>
        <v>1</v>
      </c>
      <c r="E427" s="17" t="str">
        <f t="shared" si="118"/>
        <v>6. Conclusion</v>
      </c>
      <c r="F427" s="18" t="str">
        <f t="shared" si="109"/>
        <v/>
      </c>
      <c r="G427" s="13" t="str">
        <f t="shared" si="111"/>
        <v/>
      </c>
      <c r="H427">
        <f t="shared" si="112"/>
        <v>0</v>
      </c>
      <c r="I427" s="14">
        <f t="shared" si="119"/>
        <v>0</v>
      </c>
      <c r="J427" s="13">
        <f t="shared" si="113"/>
        <v>4529</v>
      </c>
      <c r="K427">
        <f t="shared" si="114"/>
        <v>1</v>
      </c>
      <c r="L427">
        <f t="shared" si="115"/>
        <v>15</v>
      </c>
      <c r="M427" s="14">
        <f t="shared" si="116"/>
        <v>29</v>
      </c>
      <c r="N427" s="13">
        <f t="shared" si="126"/>
        <v>0</v>
      </c>
      <c r="O427">
        <f t="shared" si="126"/>
        <v>2</v>
      </c>
      <c r="P427">
        <f t="shared" si="126"/>
        <v>53</v>
      </c>
      <c r="Q427" s="14">
        <f t="shared" si="121"/>
        <v>173</v>
      </c>
      <c r="R427" s="13">
        <f t="shared" si="122"/>
        <v>0</v>
      </c>
      <c r="S427">
        <f t="shared" si="123"/>
        <v>2</v>
      </c>
      <c r="T427">
        <f t="shared" si="124"/>
        <v>53</v>
      </c>
      <c r="U427" s="14">
        <f t="shared" si="125"/>
        <v>173</v>
      </c>
      <c r="V427" s="15"/>
      <c r="Z427" s="14"/>
    </row>
    <row r="428" spans="1:26" hidden="1" x14ac:dyDescent="0.25">
      <c r="A428" s="16"/>
      <c r="B428" s="17" t="b">
        <f t="shared" si="110"/>
        <v>0</v>
      </c>
      <c r="C428" s="17" t="b">
        <f t="shared" si="120"/>
        <v>0</v>
      </c>
      <c r="D428" s="17">
        <f t="shared" si="117"/>
        <v>1</v>
      </c>
      <c r="E428" s="17" t="str">
        <f t="shared" si="118"/>
        <v>6. Conclusion</v>
      </c>
      <c r="F428" s="18" t="str">
        <f t="shared" si="109"/>
        <v/>
      </c>
      <c r="G428" s="13" t="str">
        <f t="shared" si="111"/>
        <v/>
      </c>
      <c r="H428">
        <f t="shared" si="112"/>
        <v>0</v>
      </c>
      <c r="I428" s="14">
        <f t="shared" si="119"/>
        <v>0</v>
      </c>
      <c r="J428" s="13">
        <f t="shared" si="113"/>
        <v>4529</v>
      </c>
      <c r="K428">
        <f t="shared" si="114"/>
        <v>1</v>
      </c>
      <c r="L428">
        <f t="shared" si="115"/>
        <v>15</v>
      </c>
      <c r="M428" s="14">
        <f t="shared" si="116"/>
        <v>29</v>
      </c>
      <c r="N428" s="13">
        <f t="shared" si="126"/>
        <v>0</v>
      </c>
      <c r="O428">
        <f t="shared" si="126"/>
        <v>2</v>
      </c>
      <c r="P428">
        <f t="shared" si="126"/>
        <v>53</v>
      </c>
      <c r="Q428" s="14">
        <f t="shared" si="121"/>
        <v>173</v>
      </c>
      <c r="R428" s="13">
        <f t="shared" si="122"/>
        <v>0</v>
      </c>
      <c r="S428">
        <f t="shared" si="123"/>
        <v>2</v>
      </c>
      <c r="T428">
        <f t="shared" si="124"/>
        <v>53</v>
      </c>
      <c r="U428" s="14">
        <f t="shared" si="125"/>
        <v>173</v>
      </c>
      <c r="V428" s="15"/>
      <c r="Z428" s="14"/>
    </row>
    <row r="429" spans="1:26" hidden="1" x14ac:dyDescent="0.25">
      <c r="A429" s="16"/>
      <c r="B429" s="17" t="b">
        <f t="shared" si="110"/>
        <v>0</v>
      </c>
      <c r="C429" s="17" t="b">
        <f t="shared" si="120"/>
        <v>0</v>
      </c>
      <c r="D429" s="17">
        <f t="shared" si="117"/>
        <v>1</v>
      </c>
      <c r="E429" s="17" t="str">
        <f t="shared" si="118"/>
        <v>6. Conclusion</v>
      </c>
      <c r="F429" s="18" t="str">
        <f t="shared" si="109"/>
        <v/>
      </c>
      <c r="G429" s="13" t="str">
        <f t="shared" si="111"/>
        <v/>
      </c>
      <c r="H429">
        <f t="shared" si="112"/>
        <v>0</v>
      </c>
      <c r="I429" s="14">
        <f t="shared" si="119"/>
        <v>0</v>
      </c>
      <c r="J429" s="13">
        <f t="shared" si="113"/>
        <v>4529</v>
      </c>
      <c r="K429">
        <f t="shared" si="114"/>
        <v>1</v>
      </c>
      <c r="L429">
        <f t="shared" si="115"/>
        <v>15</v>
      </c>
      <c r="M429" s="14">
        <f t="shared" si="116"/>
        <v>29</v>
      </c>
      <c r="N429" s="13">
        <f t="shared" si="126"/>
        <v>0</v>
      </c>
      <c r="O429">
        <f t="shared" si="126"/>
        <v>2</v>
      </c>
      <c r="P429">
        <f t="shared" si="126"/>
        <v>53</v>
      </c>
      <c r="Q429" s="14">
        <f t="shared" si="121"/>
        <v>173</v>
      </c>
      <c r="R429" s="13">
        <f t="shared" si="122"/>
        <v>0</v>
      </c>
      <c r="S429">
        <f t="shared" si="123"/>
        <v>2</v>
      </c>
      <c r="T429">
        <f t="shared" si="124"/>
        <v>53</v>
      </c>
      <c r="U429" s="14">
        <f t="shared" si="125"/>
        <v>173</v>
      </c>
      <c r="V429" s="15"/>
      <c r="Z429" s="14"/>
    </row>
    <row r="430" spans="1:26" hidden="1" x14ac:dyDescent="0.25">
      <c r="A430" s="16"/>
      <c r="B430" s="17" t="b">
        <f t="shared" si="110"/>
        <v>0</v>
      </c>
      <c r="C430" s="17" t="b">
        <f t="shared" si="120"/>
        <v>0</v>
      </c>
      <c r="D430" s="17">
        <f t="shared" si="117"/>
        <v>1</v>
      </c>
      <c r="E430" s="17" t="str">
        <f t="shared" si="118"/>
        <v>6. Conclusion</v>
      </c>
      <c r="F430" s="18" t="str">
        <f t="shared" si="109"/>
        <v/>
      </c>
      <c r="G430" s="13" t="str">
        <f t="shared" si="111"/>
        <v/>
      </c>
      <c r="H430">
        <f t="shared" si="112"/>
        <v>0</v>
      </c>
      <c r="I430" s="14">
        <f t="shared" si="119"/>
        <v>0</v>
      </c>
      <c r="J430" s="13">
        <f t="shared" si="113"/>
        <v>4529</v>
      </c>
      <c r="K430">
        <f t="shared" si="114"/>
        <v>1</v>
      </c>
      <c r="L430">
        <f t="shared" si="115"/>
        <v>15</v>
      </c>
      <c r="M430" s="14">
        <f t="shared" si="116"/>
        <v>29</v>
      </c>
      <c r="N430" s="13">
        <f t="shared" si="126"/>
        <v>0</v>
      </c>
      <c r="O430">
        <f t="shared" si="126"/>
        <v>2</v>
      </c>
      <c r="P430">
        <f t="shared" si="126"/>
        <v>53</v>
      </c>
      <c r="Q430" s="14">
        <f t="shared" si="121"/>
        <v>173</v>
      </c>
      <c r="R430" s="13">
        <f t="shared" si="122"/>
        <v>0</v>
      </c>
      <c r="S430">
        <f t="shared" si="123"/>
        <v>2</v>
      </c>
      <c r="T430">
        <f t="shared" si="124"/>
        <v>53</v>
      </c>
      <c r="U430" s="14">
        <f t="shared" si="125"/>
        <v>173</v>
      </c>
      <c r="V430" s="15"/>
      <c r="Z430" s="14"/>
    </row>
    <row r="431" spans="1:26" hidden="1" x14ac:dyDescent="0.25">
      <c r="A431" s="16"/>
      <c r="B431" s="17" t="b">
        <f t="shared" si="110"/>
        <v>0</v>
      </c>
      <c r="C431" s="17" t="b">
        <f t="shared" si="120"/>
        <v>0</v>
      </c>
      <c r="D431" s="17">
        <f t="shared" si="117"/>
        <v>1</v>
      </c>
      <c r="E431" s="17" t="str">
        <f t="shared" si="118"/>
        <v>6. Conclusion</v>
      </c>
      <c r="F431" s="18" t="str">
        <f t="shared" si="109"/>
        <v/>
      </c>
      <c r="G431" s="13" t="str">
        <f t="shared" si="111"/>
        <v/>
      </c>
      <c r="H431">
        <f t="shared" si="112"/>
        <v>0</v>
      </c>
      <c r="I431" s="14">
        <f t="shared" si="119"/>
        <v>0</v>
      </c>
      <c r="J431" s="13">
        <f t="shared" si="113"/>
        <v>4529</v>
      </c>
      <c r="K431">
        <f t="shared" si="114"/>
        <v>1</v>
      </c>
      <c r="L431">
        <f t="shared" si="115"/>
        <v>15</v>
      </c>
      <c r="M431" s="14">
        <f t="shared" si="116"/>
        <v>29</v>
      </c>
      <c r="N431" s="13">
        <f t="shared" si="126"/>
        <v>0</v>
      </c>
      <c r="O431">
        <f t="shared" si="126"/>
        <v>2</v>
      </c>
      <c r="P431">
        <f t="shared" si="126"/>
        <v>53</v>
      </c>
      <c r="Q431" s="14">
        <f t="shared" si="121"/>
        <v>173</v>
      </c>
      <c r="R431" s="13">
        <f t="shared" si="122"/>
        <v>0</v>
      </c>
      <c r="S431">
        <f t="shared" si="123"/>
        <v>2</v>
      </c>
      <c r="T431">
        <f t="shared" si="124"/>
        <v>53</v>
      </c>
      <c r="U431" s="14">
        <f t="shared" si="125"/>
        <v>173</v>
      </c>
      <c r="V431" s="15"/>
      <c r="Z431" s="14"/>
    </row>
    <row r="432" spans="1:26" hidden="1" x14ac:dyDescent="0.25">
      <c r="A432" s="16"/>
      <c r="B432" s="17" t="b">
        <f t="shared" si="110"/>
        <v>0</v>
      </c>
      <c r="C432" s="17" t="b">
        <f t="shared" si="120"/>
        <v>0</v>
      </c>
      <c r="D432" s="17">
        <f t="shared" si="117"/>
        <v>1</v>
      </c>
      <c r="E432" s="17" t="str">
        <f t="shared" si="118"/>
        <v>6. Conclusion</v>
      </c>
      <c r="F432" s="18" t="str">
        <f t="shared" si="109"/>
        <v/>
      </c>
      <c r="G432" s="13" t="str">
        <f t="shared" si="111"/>
        <v/>
      </c>
      <c r="H432">
        <f t="shared" si="112"/>
        <v>0</v>
      </c>
      <c r="I432" s="14">
        <f t="shared" si="119"/>
        <v>0</v>
      </c>
      <c r="J432" s="13">
        <f t="shared" si="113"/>
        <v>4529</v>
      </c>
      <c r="K432">
        <f t="shared" si="114"/>
        <v>1</v>
      </c>
      <c r="L432">
        <f t="shared" si="115"/>
        <v>15</v>
      </c>
      <c r="M432" s="14">
        <f t="shared" si="116"/>
        <v>29</v>
      </c>
      <c r="N432" s="13">
        <f t="shared" si="126"/>
        <v>0</v>
      </c>
      <c r="O432">
        <f t="shared" si="126"/>
        <v>2</v>
      </c>
      <c r="P432">
        <f t="shared" si="126"/>
        <v>53</v>
      </c>
      <c r="Q432" s="14">
        <f t="shared" si="121"/>
        <v>173</v>
      </c>
      <c r="R432" s="13">
        <f t="shared" si="122"/>
        <v>0</v>
      </c>
      <c r="S432">
        <f t="shared" si="123"/>
        <v>2</v>
      </c>
      <c r="T432">
        <f t="shared" si="124"/>
        <v>53</v>
      </c>
      <c r="U432" s="14">
        <f t="shared" si="125"/>
        <v>173</v>
      </c>
      <c r="V432" s="15"/>
      <c r="Z432" s="14"/>
    </row>
    <row r="433" spans="1:26" hidden="1" x14ac:dyDescent="0.25">
      <c r="A433" s="16"/>
      <c r="B433" s="17" t="b">
        <f t="shared" si="110"/>
        <v>0</v>
      </c>
      <c r="C433" s="17" t="b">
        <f t="shared" si="120"/>
        <v>0</v>
      </c>
      <c r="D433" s="17">
        <f t="shared" si="117"/>
        <v>1</v>
      </c>
      <c r="E433" s="17" t="str">
        <f t="shared" si="118"/>
        <v>6. Conclusion</v>
      </c>
      <c r="F433" s="18" t="str">
        <f t="shared" si="109"/>
        <v/>
      </c>
      <c r="G433" s="13" t="str">
        <f t="shared" si="111"/>
        <v/>
      </c>
      <c r="H433">
        <f t="shared" si="112"/>
        <v>0</v>
      </c>
      <c r="I433" s="14">
        <f t="shared" si="119"/>
        <v>0</v>
      </c>
      <c r="J433" s="13">
        <f t="shared" si="113"/>
        <v>4529</v>
      </c>
      <c r="K433">
        <f t="shared" si="114"/>
        <v>1</v>
      </c>
      <c r="L433">
        <f t="shared" si="115"/>
        <v>15</v>
      </c>
      <c r="M433" s="14">
        <f t="shared" si="116"/>
        <v>29</v>
      </c>
      <c r="N433" s="13">
        <f t="shared" si="126"/>
        <v>0</v>
      </c>
      <c r="O433">
        <f t="shared" si="126"/>
        <v>2</v>
      </c>
      <c r="P433">
        <f t="shared" si="126"/>
        <v>53</v>
      </c>
      <c r="Q433" s="14">
        <f t="shared" si="121"/>
        <v>173</v>
      </c>
      <c r="R433" s="13">
        <f t="shared" si="122"/>
        <v>0</v>
      </c>
      <c r="S433">
        <f t="shared" si="123"/>
        <v>2</v>
      </c>
      <c r="T433">
        <f t="shared" si="124"/>
        <v>53</v>
      </c>
      <c r="U433" s="14">
        <f t="shared" si="125"/>
        <v>173</v>
      </c>
      <c r="V433" s="15"/>
      <c r="Z433" s="14"/>
    </row>
    <row r="434" spans="1:26" hidden="1" x14ac:dyDescent="0.25">
      <c r="A434" s="16"/>
      <c r="B434" s="17" t="b">
        <f t="shared" si="110"/>
        <v>0</v>
      </c>
      <c r="C434" s="17" t="b">
        <f t="shared" si="120"/>
        <v>0</v>
      </c>
      <c r="D434" s="17">
        <f t="shared" si="117"/>
        <v>1</v>
      </c>
      <c r="E434" s="17" t="str">
        <f t="shared" si="118"/>
        <v>6. Conclusion</v>
      </c>
      <c r="F434" s="18" t="str">
        <f t="shared" si="109"/>
        <v/>
      </c>
      <c r="G434" s="13" t="str">
        <f t="shared" si="111"/>
        <v/>
      </c>
      <c r="H434">
        <f t="shared" si="112"/>
        <v>0</v>
      </c>
      <c r="I434" s="14">
        <f t="shared" si="119"/>
        <v>0</v>
      </c>
      <c r="J434" s="13">
        <f t="shared" si="113"/>
        <v>4529</v>
      </c>
      <c r="K434">
        <f t="shared" si="114"/>
        <v>1</v>
      </c>
      <c r="L434">
        <f t="shared" si="115"/>
        <v>15</v>
      </c>
      <c r="M434" s="14">
        <f t="shared" si="116"/>
        <v>29</v>
      </c>
      <c r="N434" s="13">
        <f t="shared" si="126"/>
        <v>0</v>
      </c>
      <c r="O434">
        <f t="shared" si="126"/>
        <v>2</v>
      </c>
      <c r="P434">
        <f t="shared" si="126"/>
        <v>53</v>
      </c>
      <c r="Q434" s="14">
        <f t="shared" si="121"/>
        <v>173</v>
      </c>
      <c r="R434" s="13">
        <f t="shared" si="122"/>
        <v>0</v>
      </c>
      <c r="S434">
        <f t="shared" si="123"/>
        <v>2</v>
      </c>
      <c r="T434">
        <f t="shared" si="124"/>
        <v>53</v>
      </c>
      <c r="U434" s="14">
        <f t="shared" si="125"/>
        <v>173</v>
      </c>
      <c r="V434" s="15"/>
      <c r="Z434" s="14"/>
    </row>
    <row r="435" spans="1:26" hidden="1" x14ac:dyDescent="0.25">
      <c r="A435" s="16"/>
      <c r="B435" s="17" t="b">
        <f t="shared" si="110"/>
        <v>0</v>
      </c>
      <c r="C435" s="17" t="b">
        <f t="shared" si="120"/>
        <v>0</v>
      </c>
      <c r="D435" s="17">
        <f t="shared" si="117"/>
        <v>1</v>
      </c>
      <c r="E435" s="17" t="str">
        <f t="shared" si="118"/>
        <v>6. Conclusion</v>
      </c>
      <c r="F435" s="18" t="str">
        <f t="shared" si="109"/>
        <v/>
      </c>
      <c r="G435" s="13" t="str">
        <f t="shared" si="111"/>
        <v/>
      </c>
      <c r="H435">
        <f t="shared" si="112"/>
        <v>0</v>
      </c>
      <c r="I435" s="14">
        <f t="shared" si="119"/>
        <v>0</v>
      </c>
      <c r="J435" s="13">
        <f t="shared" si="113"/>
        <v>4529</v>
      </c>
      <c r="K435">
        <f t="shared" si="114"/>
        <v>1</v>
      </c>
      <c r="L435">
        <f t="shared" si="115"/>
        <v>15</v>
      </c>
      <c r="M435" s="14">
        <f t="shared" si="116"/>
        <v>29</v>
      </c>
      <c r="N435" s="13">
        <f t="shared" si="126"/>
        <v>0</v>
      </c>
      <c r="O435">
        <f t="shared" si="126"/>
        <v>2</v>
      </c>
      <c r="P435">
        <f t="shared" si="126"/>
        <v>53</v>
      </c>
      <c r="Q435" s="14">
        <f t="shared" si="121"/>
        <v>173</v>
      </c>
      <c r="R435" s="13">
        <f t="shared" si="122"/>
        <v>0</v>
      </c>
      <c r="S435">
        <f t="shared" si="123"/>
        <v>2</v>
      </c>
      <c r="T435">
        <f t="shared" si="124"/>
        <v>53</v>
      </c>
      <c r="U435" s="14">
        <f t="shared" si="125"/>
        <v>173</v>
      </c>
      <c r="V435" s="15"/>
      <c r="Z435" s="14"/>
    </row>
    <row r="436" spans="1:26" hidden="1" x14ac:dyDescent="0.25">
      <c r="A436" s="16"/>
      <c r="B436" s="17" t="b">
        <f t="shared" si="110"/>
        <v>0</v>
      </c>
      <c r="C436" s="17" t="b">
        <f t="shared" si="120"/>
        <v>0</v>
      </c>
      <c r="D436" s="17">
        <f t="shared" si="117"/>
        <v>1</v>
      </c>
      <c r="E436" s="17" t="str">
        <f t="shared" si="118"/>
        <v>6. Conclusion</v>
      </c>
      <c r="F436" s="18" t="str">
        <f t="shared" si="109"/>
        <v/>
      </c>
      <c r="G436" s="13" t="str">
        <f t="shared" si="111"/>
        <v/>
      </c>
      <c r="H436">
        <f t="shared" si="112"/>
        <v>0</v>
      </c>
      <c r="I436" s="14">
        <f t="shared" si="119"/>
        <v>0</v>
      </c>
      <c r="J436" s="13">
        <f t="shared" si="113"/>
        <v>4529</v>
      </c>
      <c r="K436">
        <f t="shared" si="114"/>
        <v>1</v>
      </c>
      <c r="L436">
        <f t="shared" si="115"/>
        <v>15</v>
      </c>
      <c r="M436" s="14">
        <f t="shared" si="116"/>
        <v>29</v>
      </c>
      <c r="N436" s="13">
        <f t="shared" si="126"/>
        <v>0</v>
      </c>
      <c r="O436">
        <f t="shared" si="126"/>
        <v>2</v>
      </c>
      <c r="P436">
        <f t="shared" si="126"/>
        <v>53</v>
      </c>
      <c r="Q436" s="14">
        <f t="shared" si="121"/>
        <v>173</v>
      </c>
      <c r="R436" s="13">
        <f t="shared" si="122"/>
        <v>0</v>
      </c>
      <c r="S436">
        <f t="shared" si="123"/>
        <v>2</v>
      </c>
      <c r="T436">
        <f t="shared" si="124"/>
        <v>53</v>
      </c>
      <c r="U436" s="14">
        <f t="shared" si="125"/>
        <v>173</v>
      </c>
      <c r="V436" s="15"/>
      <c r="Z436" s="14"/>
    </row>
    <row r="437" spans="1:26" hidden="1" x14ac:dyDescent="0.25">
      <c r="A437" s="16"/>
      <c r="B437" s="17" t="b">
        <f t="shared" si="110"/>
        <v>0</v>
      </c>
      <c r="C437" s="17" t="b">
        <f t="shared" si="120"/>
        <v>0</v>
      </c>
      <c r="D437" s="17">
        <f t="shared" si="117"/>
        <v>1</v>
      </c>
      <c r="E437" s="17" t="str">
        <f t="shared" si="118"/>
        <v>6. Conclusion</v>
      </c>
      <c r="F437" s="18" t="str">
        <f t="shared" ref="F437:F500" si="127">IF(C437,D437&amp;". "&amp;A437,IF(A437="Chapter Quiz",A437,""))</f>
        <v/>
      </c>
      <c r="G437" s="13" t="str">
        <f t="shared" si="111"/>
        <v/>
      </c>
      <c r="H437">
        <f t="shared" si="112"/>
        <v>0</v>
      </c>
      <c r="I437" s="14">
        <f t="shared" si="119"/>
        <v>0</v>
      </c>
      <c r="J437" s="13">
        <f t="shared" si="113"/>
        <v>4529</v>
      </c>
      <c r="K437">
        <f t="shared" si="114"/>
        <v>1</v>
      </c>
      <c r="L437">
        <f t="shared" si="115"/>
        <v>15</v>
      </c>
      <c r="M437" s="14">
        <f t="shared" si="116"/>
        <v>29</v>
      </c>
      <c r="N437" s="13">
        <f t="shared" si="126"/>
        <v>0</v>
      </c>
      <c r="O437">
        <f t="shared" si="126"/>
        <v>2</v>
      </c>
      <c r="P437">
        <f t="shared" si="126"/>
        <v>53</v>
      </c>
      <c r="Q437" s="14">
        <f t="shared" si="121"/>
        <v>173</v>
      </c>
      <c r="R437" s="13">
        <f t="shared" si="122"/>
        <v>0</v>
      </c>
      <c r="S437">
        <f t="shared" si="123"/>
        <v>2</v>
      </c>
      <c r="T437">
        <f t="shared" si="124"/>
        <v>53</v>
      </c>
      <c r="U437" s="14">
        <f t="shared" si="125"/>
        <v>173</v>
      </c>
      <c r="V437" s="15"/>
      <c r="Z437" s="14"/>
    </row>
    <row r="438" spans="1:26" hidden="1" x14ac:dyDescent="0.25">
      <c r="A438" s="16"/>
      <c r="B438" s="17" t="b">
        <f t="shared" si="110"/>
        <v>0</v>
      </c>
      <c r="C438" s="17" t="b">
        <f t="shared" si="120"/>
        <v>0</v>
      </c>
      <c r="D438" s="17">
        <f t="shared" si="117"/>
        <v>1</v>
      </c>
      <c r="E438" s="17" t="str">
        <f t="shared" si="118"/>
        <v>6. Conclusion</v>
      </c>
      <c r="F438" s="18" t="str">
        <f t="shared" si="127"/>
        <v/>
      </c>
      <c r="G438" s="13" t="str">
        <f t="shared" si="111"/>
        <v/>
      </c>
      <c r="H438">
        <f t="shared" si="112"/>
        <v>0</v>
      </c>
      <c r="I438" s="14">
        <f t="shared" si="119"/>
        <v>0</v>
      </c>
      <c r="J438" s="13">
        <f t="shared" si="113"/>
        <v>4529</v>
      </c>
      <c r="K438">
        <f t="shared" si="114"/>
        <v>1</v>
      </c>
      <c r="L438">
        <f t="shared" si="115"/>
        <v>15</v>
      </c>
      <c r="M438" s="14">
        <f t="shared" si="116"/>
        <v>29</v>
      </c>
      <c r="N438" s="13">
        <f t="shared" si="126"/>
        <v>0</v>
      </c>
      <c r="O438">
        <f t="shared" si="126"/>
        <v>2</v>
      </c>
      <c r="P438">
        <f t="shared" si="126"/>
        <v>53</v>
      </c>
      <c r="Q438" s="14">
        <f t="shared" si="121"/>
        <v>173</v>
      </c>
      <c r="R438" s="13">
        <f t="shared" si="122"/>
        <v>0</v>
      </c>
      <c r="S438">
        <f t="shared" si="123"/>
        <v>2</v>
      </c>
      <c r="T438">
        <f t="shared" si="124"/>
        <v>53</v>
      </c>
      <c r="U438" s="14">
        <f t="shared" si="125"/>
        <v>173</v>
      </c>
      <c r="V438" s="15"/>
      <c r="Z438" s="14"/>
    </row>
    <row r="439" spans="1:26" hidden="1" x14ac:dyDescent="0.25">
      <c r="A439" s="16"/>
      <c r="B439" s="17" t="b">
        <f t="shared" si="110"/>
        <v>0</v>
      </c>
      <c r="C439" s="17" t="b">
        <f t="shared" si="120"/>
        <v>0</v>
      </c>
      <c r="D439" s="17">
        <f t="shared" si="117"/>
        <v>1</v>
      </c>
      <c r="E439" s="17" t="str">
        <f t="shared" si="118"/>
        <v>6. Conclusion</v>
      </c>
      <c r="F439" s="18" t="str">
        <f t="shared" si="127"/>
        <v/>
      </c>
      <c r="G439" s="13" t="str">
        <f t="shared" si="111"/>
        <v/>
      </c>
      <c r="H439">
        <f t="shared" si="112"/>
        <v>0</v>
      </c>
      <c r="I439" s="14">
        <f t="shared" si="119"/>
        <v>0</v>
      </c>
      <c r="J439" s="13">
        <f t="shared" si="113"/>
        <v>4529</v>
      </c>
      <c r="K439">
        <f t="shared" si="114"/>
        <v>1</v>
      </c>
      <c r="L439">
        <f t="shared" si="115"/>
        <v>15</v>
      </c>
      <c r="M439" s="14">
        <f t="shared" si="116"/>
        <v>29</v>
      </c>
      <c r="N439" s="13">
        <f t="shared" si="126"/>
        <v>0</v>
      </c>
      <c r="O439">
        <f t="shared" si="126"/>
        <v>2</v>
      </c>
      <c r="P439">
        <f t="shared" si="126"/>
        <v>53</v>
      </c>
      <c r="Q439" s="14">
        <f t="shared" si="121"/>
        <v>173</v>
      </c>
      <c r="R439" s="13">
        <f t="shared" si="122"/>
        <v>0</v>
      </c>
      <c r="S439">
        <f t="shared" si="123"/>
        <v>2</v>
      </c>
      <c r="T439">
        <f t="shared" si="124"/>
        <v>53</v>
      </c>
      <c r="U439" s="14">
        <f t="shared" si="125"/>
        <v>173</v>
      </c>
      <c r="V439" s="15"/>
      <c r="Z439" s="14"/>
    </row>
    <row r="440" spans="1:26" hidden="1" x14ac:dyDescent="0.25">
      <c r="A440" s="16"/>
      <c r="B440" s="17" t="b">
        <f t="shared" si="110"/>
        <v>0</v>
      </c>
      <c r="C440" s="17" t="b">
        <f t="shared" si="120"/>
        <v>0</v>
      </c>
      <c r="D440" s="17">
        <f t="shared" si="117"/>
        <v>1</v>
      </c>
      <c r="E440" s="17" t="str">
        <f t="shared" si="118"/>
        <v>6. Conclusion</v>
      </c>
      <c r="F440" s="18" t="str">
        <f t="shared" si="127"/>
        <v/>
      </c>
      <c r="G440" s="13" t="str">
        <f t="shared" si="111"/>
        <v/>
      </c>
      <c r="H440">
        <f t="shared" si="112"/>
        <v>0</v>
      </c>
      <c r="I440" s="14">
        <f t="shared" si="119"/>
        <v>0</v>
      </c>
      <c r="J440" s="13">
        <f t="shared" si="113"/>
        <v>4529</v>
      </c>
      <c r="K440">
        <f t="shared" si="114"/>
        <v>1</v>
      </c>
      <c r="L440">
        <f t="shared" si="115"/>
        <v>15</v>
      </c>
      <c r="M440" s="14">
        <f t="shared" si="116"/>
        <v>29</v>
      </c>
      <c r="N440" s="13">
        <f t="shared" si="126"/>
        <v>0</v>
      </c>
      <c r="O440">
        <f t="shared" si="126"/>
        <v>2</v>
      </c>
      <c r="P440">
        <f t="shared" si="126"/>
        <v>53</v>
      </c>
      <c r="Q440" s="14">
        <f t="shared" si="121"/>
        <v>173</v>
      </c>
      <c r="R440" s="13">
        <f t="shared" si="122"/>
        <v>0</v>
      </c>
      <c r="S440">
        <f t="shared" si="123"/>
        <v>2</v>
      </c>
      <c r="T440">
        <f t="shared" si="124"/>
        <v>53</v>
      </c>
      <c r="U440" s="14">
        <f t="shared" si="125"/>
        <v>173</v>
      </c>
      <c r="V440" s="15"/>
      <c r="Z440" s="14"/>
    </row>
    <row r="441" spans="1:26" hidden="1" x14ac:dyDescent="0.25">
      <c r="A441" s="16"/>
      <c r="B441" s="17" t="b">
        <f t="shared" si="110"/>
        <v>0</v>
      </c>
      <c r="C441" s="17" t="b">
        <f t="shared" si="120"/>
        <v>0</v>
      </c>
      <c r="D441" s="17">
        <f t="shared" si="117"/>
        <v>1</v>
      </c>
      <c r="E441" s="17" t="str">
        <f t="shared" si="118"/>
        <v>6. Conclusion</v>
      </c>
      <c r="F441" s="18" t="str">
        <f t="shared" si="127"/>
        <v/>
      </c>
      <c r="G441" s="13" t="str">
        <f t="shared" si="111"/>
        <v/>
      </c>
      <c r="H441">
        <f t="shared" si="112"/>
        <v>0</v>
      </c>
      <c r="I441" s="14">
        <f t="shared" si="119"/>
        <v>0</v>
      </c>
      <c r="J441" s="13">
        <f t="shared" si="113"/>
        <v>4529</v>
      </c>
      <c r="K441">
        <f t="shared" si="114"/>
        <v>1</v>
      </c>
      <c r="L441">
        <f t="shared" si="115"/>
        <v>15</v>
      </c>
      <c r="M441" s="14">
        <f t="shared" si="116"/>
        <v>29</v>
      </c>
      <c r="N441" s="13">
        <f t="shared" si="126"/>
        <v>0</v>
      </c>
      <c r="O441">
        <f t="shared" si="126"/>
        <v>2</v>
      </c>
      <c r="P441">
        <f t="shared" si="126"/>
        <v>53</v>
      </c>
      <c r="Q441" s="14">
        <f t="shared" si="121"/>
        <v>173</v>
      </c>
      <c r="R441" s="13">
        <f t="shared" si="122"/>
        <v>0</v>
      </c>
      <c r="S441">
        <f t="shared" si="123"/>
        <v>2</v>
      </c>
      <c r="T441">
        <f t="shared" si="124"/>
        <v>53</v>
      </c>
      <c r="U441" s="14">
        <f t="shared" si="125"/>
        <v>173</v>
      </c>
      <c r="V441" s="15"/>
      <c r="Z441" s="14"/>
    </row>
    <row r="442" spans="1:26" hidden="1" x14ac:dyDescent="0.25">
      <c r="A442" s="16"/>
      <c r="B442" s="17" t="b">
        <f t="shared" si="110"/>
        <v>0</v>
      </c>
      <c r="C442" s="17" t="b">
        <f t="shared" si="120"/>
        <v>0</v>
      </c>
      <c r="D442" s="17">
        <f t="shared" si="117"/>
        <v>1</v>
      </c>
      <c r="E442" s="17" t="str">
        <f t="shared" si="118"/>
        <v>6. Conclusion</v>
      </c>
      <c r="F442" s="18" t="str">
        <f t="shared" si="127"/>
        <v/>
      </c>
      <c r="G442" s="13" t="str">
        <f t="shared" si="111"/>
        <v/>
      </c>
      <c r="H442">
        <f t="shared" si="112"/>
        <v>0</v>
      </c>
      <c r="I442" s="14">
        <f t="shared" si="119"/>
        <v>0</v>
      </c>
      <c r="J442" s="13">
        <f t="shared" si="113"/>
        <v>4529</v>
      </c>
      <c r="K442">
        <f t="shared" si="114"/>
        <v>1</v>
      </c>
      <c r="L442">
        <f t="shared" si="115"/>
        <v>15</v>
      </c>
      <c r="M442" s="14">
        <f t="shared" si="116"/>
        <v>29</v>
      </c>
      <c r="N442" s="13">
        <f t="shared" si="126"/>
        <v>0</v>
      </c>
      <c r="O442">
        <f t="shared" si="126"/>
        <v>2</v>
      </c>
      <c r="P442">
        <f t="shared" si="126"/>
        <v>53</v>
      </c>
      <c r="Q442" s="14">
        <f t="shared" si="121"/>
        <v>173</v>
      </c>
      <c r="R442" s="13">
        <f t="shared" si="122"/>
        <v>0</v>
      </c>
      <c r="S442">
        <f t="shared" si="123"/>
        <v>2</v>
      </c>
      <c r="T442">
        <f t="shared" si="124"/>
        <v>53</v>
      </c>
      <c r="U442" s="14">
        <f t="shared" si="125"/>
        <v>173</v>
      </c>
      <c r="V442" s="15"/>
      <c r="Z442" s="14"/>
    </row>
    <row r="443" spans="1:26" hidden="1" x14ac:dyDescent="0.25">
      <c r="A443" s="16"/>
      <c r="B443" s="17" t="b">
        <f t="shared" si="110"/>
        <v>0</v>
      </c>
      <c r="C443" s="17" t="b">
        <f t="shared" si="120"/>
        <v>0</v>
      </c>
      <c r="D443" s="17">
        <f t="shared" si="117"/>
        <v>1</v>
      </c>
      <c r="E443" s="17" t="str">
        <f t="shared" si="118"/>
        <v>6. Conclusion</v>
      </c>
      <c r="F443" s="18" t="str">
        <f t="shared" si="127"/>
        <v/>
      </c>
      <c r="G443" s="13" t="str">
        <f t="shared" si="111"/>
        <v/>
      </c>
      <c r="H443">
        <f t="shared" si="112"/>
        <v>0</v>
      </c>
      <c r="I443" s="14">
        <f t="shared" si="119"/>
        <v>0</v>
      </c>
      <c r="J443" s="13">
        <f t="shared" si="113"/>
        <v>4529</v>
      </c>
      <c r="K443">
        <f t="shared" si="114"/>
        <v>1</v>
      </c>
      <c r="L443">
        <f t="shared" si="115"/>
        <v>15</v>
      </c>
      <c r="M443" s="14">
        <f t="shared" si="116"/>
        <v>29</v>
      </c>
      <c r="N443" s="13">
        <f t="shared" si="126"/>
        <v>0</v>
      </c>
      <c r="O443">
        <f t="shared" si="126"/>
        <v>2</v>
      </c>
      <c r="P443">
        <f t="shared" si="126"/>
        <v>53</v>
      </c>
      <c r="Q443" s="14">
        <f t="shared" si="121"/>
        <v>173</v>
      </c>
      <c r="R443" s="13">
        <f t="shared" si="122"/>
        <v>0</v>
      </c>
      <c r="S443">
        <f t="shared" si="123"/>
        <v>2</v>
      </c>
      <c r="T443">
        <f t="shared" si="124"/>
        <v>53</v>
      </c>
      <c r="U443" s="14">
        <f t="shared" si="125"/>
        <v>173</v>
      </c>
      <c r="V443" s="15"/>
      <c r="Z443" s="14"/>
    </row>
    <row r="444" spans="1:26" hidden="1" x14ac:dyDescent="0.25">
      <c r="A444" s="16"/>
      <c r="B444" s="17" t="b">
        <f t="shared" si="110"/>
        <v>0</v>
      </c>
      <c r="C444" s="17" t="b">
        <f t="shared" si="120"/>
        <v>0</v>
      </c>
      <c r="D444" s="17">
        <f t="shared" si="117"/>
        <v>1</v>
      </c>
      <c r="E444" s="17" t="str">
        <f t="shared" si="118"/>
        <v>6. Conclusion</v>
      </c>
      <c r="F444" s="18" t="str">
        <f t="shared" si="127"/>
        <v/>
      </c>
      <c r="G444" s="13" t="str">
        <f t="shared" si="111"/>
        <v/>
      </c>
      <c r="H444">
        <f t="shared" si="112"/>
        <v>0</v>
      </c>
      <c r="I444" s="14">
        <f t="shared" si="119"/>
        <v>0</v>
      </c>
      <c r="J444" s="13">
        <f t="shared" si="113"/>
        <v>4529</v>
      </c>
      <c r="K444">
        <f t="shared" si="114"/>
        <v>1</v>
      </c>
      <c r="L444">
        <f t="shared" si="115"/>
        <v>15</v>
      </c>
      <c r="M444" s="14">
        <f t="shared" si="116"/>
        <v>29</v>
      </c>
      <c r="N444" s="13">
        <f t="shared" si="126"/>
        <v>0</v>
      </c>
      <c r="O444">
        <f t="shared" si="126"/>
        <v>2</v>
      </c>
      <c r="P444">
        <f t="shared" si="126"/>
        <v>53</v>
      </c>
      <c r="Q444" s="14">
        <f t="shared" si="121"/>
        <v>173</v>
      </c>
      <c r="R444" s="13">
        <f t="shared" si="122"/>
        <v>0</v>
      </c>
      <c r="S444">
        <f t="shared" si="123"/>
        <v>2</v>
      </c>
      <c r="T444">
        <f t="shared" si="124"/>
        <v>53</v>
      </c>
      <c r="U444" s="14">
        <f t="shared" si="125"/>
        <v>173</v>
      </c>
      <c r="V444" s="15"/>
      <c r="Z444" s="14"/>
    </row>
    <row r="445" spans="1:26" hidden="1" x14ac:dyDescent="0.25">
      <c r="A445" s="16"/>
      <c r="B445" s="17" t="b">
        <f t="shared" si="110"/>
        <v>0</v>
      </c>
      <c r="C445" s="17" t="b">
        <f t="shared" si="120"/>
        <v>0</v>
      </c>
      <c r="D445" s="17">
        <f t="shared" si="117"/>
        <v>1</v>
      </c>
      <c r="E445" s="17" t="str">
        <f t="shared" si="118"/>
        <v>6. Conclusion</v>
      </c>
      <c r="F445" s="18" t="str">
        <f t="shared" si="127"/>
        <v/>
      </c>
      <c r="G445" s="13" t="str">
        <f t="shared" si="111"/>
        <v/>
      </c>
      <c r="H445">
        <f t="shared" si="112"/>
        <v>0</v>
      </c>
      <c r="I445" s="14">
        <f t="shared" si="119"/>
        <v>0</v>
      </c>
      <c r="J445" s="13">
        <f t="shared" si="113"/>
        <v>4529</v>
      </c>
      <c r="K445">
        <f t="shared" si="114"/>
        <v>1</v>
      </c>
      <c r="L445">
        <f t="shared" si="115"/>
        <v>15</v>
      </c>
      <c r="M445" s="14">
        <f t="shared" si="116"/>
        <v>29</v>
      </c>
      <c r="N445" s="13">
        <f t="shared" si="126"/>
        <v>0</v>
      </c>
      <c r="O445">
        <f t="shared" si="126"/>
        <v>2</v>
      </c>
      <c r="P445">
        <f t="shared" si="126"/>
        <v>53</v>
      </c>
      <c r="Q445" s="14">
        <f t="shared" si="121"/>
        <v>173</v>
      </c>
      <c r="R445" s="13">
        <f t="shared" si="122"/>
        <v>0</v>
      </c>
      <c r="S445">
        <f t="shared" si="123"/>
        <v>2</v>
      </c>
      <c r="T445">
        <f t="shared" si="124"/>
        <v>53</v>
      </c>
      <c r="U445" s="14">
        <f t="shared" si="125"/>
        <v>173</v>
      </c>
      <c r="V445" s="15"/>
      <c r="Z445" s="14"/>
    </row>
    <row r="446" spans="1:26" hidden="1" x14ac:dyDescent="0.25">
      <c r="A446" s="16"/>
      <c r="B446" s="17" t="b">
        <f t="shared" si="110"/>
        <v>0</v>
      </c>
      <c r="C446" s="17" t="b">
        <f t="shared" si="120"/>
        <v>0</v>
      </c>
      <c r="D446" s="17">
        <f t="shared" si="117"/>
        <v>1</v>
      </c>
      <c r="E446" s="17" t="str">
        <f t="shared" si="118"/>
        <v>6. Conclusion</v>
      </c>
      <c r="F446" s="18" t="str">
        <f t="shared" si="127"/>
        <v/>
      </c>
      <c r="G446" s="13" t="str">
        <f t="shared" si="111"/>
        <v/>
      </c>
      <c r="H446">
        <f t="shared" si="112"/>
        <v>0</v>
      </c>
      <c r="I446" s="14">
        <f t="shared" si="119"/>
        <v>0</v>
      </c>
      <c r="J446" s="13">
        <f t="shared" si="113"/>
        <v>4529</v>
      </c>
      <c r="K446">
        <f t="shared" si="114"/>
        <v>1</v>
      </c>
      <c r="L446">
        <f t="shared" si="115"/>
        <v>15</v>
      </c>
      <c r="M446" s="14">
        <f t="shared" si="116"/>
        <v>29</v>
      </c>
      <c r="N446" s="13">
        <f t="shared" si="126"/>
        <v>0</v>
      </c>
      <c r="O446">
        <f t="shared" si="126"/>
        <v>2</v>
      </c>
      <c r="P446">
        <f t="shared" si="126"/>
        <v>53</v>
      </c>
      <c r="Q446" s="14">
        <f t="shared" si="121"/>
        <v>173</v>
      </c>
      <c r="R446" s="13">
        <f t="shared" si="122"/>
        <v>0</v>
      </c>
      <c r="S446">
        <f t="shared" si="123"/>
        <v>2</v>
      </c>
      <c r="T446">
        <f t="shared" si="124"/>
        <v>53</v>
      </c>
      <c r="U446" s="14">
        <f t="shared" si="125"/>
        <v>173</v>
      </c>
      <c r="V446" s="15"/>
      <c r="Z446" s="14"/>
    </row>
    <row r="447" spans="1:26" hidden="1" x14ac:dyDescent="0.25">
      <c r="A447" s="16"/>
      <c r="B447" s="17" t="b">
        <f t="shared" si="110"/>
        <v>0</v>
      </c>
      <c r="C447" s="17" t="b">
        <f t="shared" si="120"/>
        <v>0</v>
      </c>
      <c r="D447" s="17">
        <f t="shared" si="117"/>
        <v>1</v>
      </c>
      <c r="E447" s="17" t="str">
        <f t="shared" si="118"/>
        <v>6. Conclusion</v>
      </c>
      <c r="F447" s="18" t="str">
        <f t="shared" si="127"/>
        <v/>
      </c>
      <c r="G447" s="13" t="str">
        <f t="shared" si="111"/>
        <v/>
      </c>
      <c r="H447">
        <f t="shared" si="112"/>
        <v>0</v>
      </c>
      <c r="I447" s="14">
        <f t="shared" si="119"/>
        <v>0</v>
      </c>
      <c r="J447" s="13">
        <f t="shared" si="113"/>
        <v>4529</v>
      </c>
      <c r="K447">
        <f t="shared" si="114"/>
        <v>1</v>
      </c>
      <c r="L447">
        <f t="shared" si="115"/>
        <v>15</v>
      </c>
      <c r="M447" s="14">
        <f t="shared" si="116"/>
        <v>29</v>
      </c>
      <c r="N447" s="13">
        <f t="shared" si="126"/>
        <v>0</v>
      </c>
      <c r="O447">
        <f t="shared" si="126"/>
        <v>2</v>
      </c>
      <c r="P447">
        <f t="shared" si="126"/>
        <v>53</v>
      </c>
      <c r="Q447" s="14">
        <f t="shared" si="121"/>
        <v>173</v>
      </c>
      <c r="R447" s="13">
        <f t="shared" si="122"/>
        <v>0</v>
      </c>
      <c r="S447">
        <f t="shared" si="123"/>
        <v>2</v>
      </c>
      <c r="T447">
        <f t="shared" si="124"/>
        <v>53</v>
      </c>
      <c r="U447" s="14">
        <f t="shared" si="125"/>
        <v>173</v>
      </c>
      <c r="V447" s="15"/>
      <c r="Z447" s="14"/>
    </row>
    <row r="448" spans="1:26" hidden="1" x14ac:dyDescent="0.25">
      <c r="A448" s="16"/>
      <c r="B448" s="17" t="b">
        <f t="shared" si="110"/>
        <v>0</v>
      </c>
      <c r="C448" s="17" t="b">
        <f t="shared" si="120"/>
        <v>0</v>
      </c>
      <c r="D448" s="17">
        <f t="shared" si="117"/>
        <v>1</v>
      </c>
      <c r="E448" s="17" t="str">
        <f t="shared" si="118"/>
        <v>6. Conclusion</v>
      </c>
      <c r="F448" s="18" t="str">
        <f t="shared" si="127"/>
        <v/>
      </c>
      <c r="G448" s="13" t="str">
        <f t="shared" si="111"/>
        <v/>
      </c>
      <c r="H448">
        <f t="shared" si="112"/>
        <v>0</v>
      </c>
      <c r="I448" s="14">
        <f t="shared" si="119"/>
        <v>0</v>
      </c>
      <c r="J448" s="13">
        <f t="shared" si="113"/>
        <v>4529</v>
      </c>
      <c r="K448">
        <f t="shared" si="114"/>
        <v>1</v>
      </c>
      <c r="L448">
        <f t="shared" si="115"/>
        <v>15</v>
      </c>
      <c r="M448" s="14">
        <f t="shared" si="116"/>
        <v>29</v>
      </c>
      <c r="N448" s="13">
        <f t="shared" si="126"/>
        <v>0</v>
      </c>
      <c r="O448">
        <f t="shared" si="126"/>
        <v>2</v>
      </c>
      <c r="P448">
        <f t="shared" si="126"/>
        <v>53</v>
      </c>
      <c r="Q448" s="14">
        <f t="shared" si="121"/>
        <v>173</v>
      </c>
      <c r="R448" s="13">
        <f t="shared" si="122"/>
        <v>0</v>
      </c>
      <c r="S448">
        <f t="shared" si="123"/>
        <v>2</v>
      </c>
      <c r="T448">
        <f t="shared" si="124"/>
        <v>53</v>
      </c>
      <c r="U448" s="14">
        <f t="shared" si="125"/>
        <v>173</v>
      </c>
      <c r="V448" s="15"/>
      <c r="Z448" s="14"/>
    </row>
    <row r="449" spans="1:26" hidden="1" x14ac:dyDescent="0.25">
      <c r="A449" s="16"/>
      <c r="B449" s="17" t="b">
        <f t="shared" si="110"/>
        <v>0</v>
      </c>
      <c r="C449" s="17" t="b">
        <f t="shared" si="120"/>
        <v>0</v>
      </c>
      <c r="D449" s="17">
        <f t="shared" si="117"/>
        <v>1</v>
      </c>
      <c r="E449" s="17" t="str">
        <f t="shared" si="118"/>
        <v>6. Conclusion</v>
      </c>
      <c r="F449" s="18" t="str">
        <f t="shared" si="127"/>
        <v/>
      </c>
      <c r="G449" s="13" t="str">
        <f t="shared" si="111"/>
        <v/>
      </c>
      <c r="H449">
        <f t="shared" si="112"/>
        <v>0</v>
      </c>
      <c r="I449" s="14">
        <f t="shared" si="119"/>
        <v>0</v>
      </c>
      <c r="J449" s="13">
        <f t="shared" si="113"/>
        <v>4529</v>
      </c>
      <c r="K449">
        <f t="shared" si="114"/>
        <v>1</v>
      </c>
      <c r="L449">
        <f t="shared" si="115"/>
        <v>15</v>
      </c>
      <c r="M449" s="14">
        <f t="shared" si="116"/>
        <v>29</v>
      </c>
      <c r="N449" s="13">
        <f t="shared" si="126"/>
        <v>0</v>
      </c>
      <c r="O449">
        <f t="shared" si="126"/>
        <v>2</v>
      </c>
      <c r="P449">
        <f t="shared" si="126"/>
        <v>53</v>
      </c>
      <c r="Q449" s="14">
        <f t="shared" si="121"/>
        <v>173</v>
      </c>
      <c r="R449" s="13">
        <f t="shared" si="122"/>
        <v>0</v>
      </c>
      <c r="S449">
        <f t="shared" si="123"/>
        <v>2</v>
      </c>
      <c r="T449">
        <f t="shared" si="124"/>
        <v>53</v>
      </c>
      <c r="U449" s="14">
        <f t="shared" si="125"/>
        <v>173</v>
      </c>
      <c r="V449" s="15"/>
      <c r="Z449" s="14"/>
    </row>
    <row r="450" spans="1:26" hidden="1" x14ac:dyDescent="0.25">
      <c r="A450" s="16"/>
      <c r="B450" s="17" t="b">
        <f t="shared" si="110"/>
        <v>0</v>
      </c>
      <c r="C450" s="17" t="b">
        <f t="shared" si="120"/>
        <v>0</v>
      </c>
      <c r="D450" s="17">
        <f t="shared" si="117"/>
        <v>1</v>
      </c>
      <c r="E450" s="17" t="str">
        <f t="shared" si="118"/>
        <v>6. Conclusion</v>
      </c>
      <c r="F450" s="18" t="str">
        <f t="shared" si="127"/>
        <v/>
      </c>
      <c r="G450" s="13" t="str">
        <f t="shared" si="111"/>
        <v/>
      </c>
      <c r="H450">
        <f t="shared" si="112"/>
        <v>0</v>
      </c>
      <c r="I450" s="14">
        <f t="shared" si="119"/>
        <v>0</v>
      </c>
      <c r="J450" s="13">
        <f t="shared" si="113"/>
        <v>4529</v>
      </c>
      <c r="K450">
        <f t="shared" si="114"/>
        <v>1</v>
      </c>
      <c r="L450">
        <f t="shared" si="115"/>
        <v>15</v>
      </c>
      <c r="M450" s="14">
        <f t="shared" si="116"/>
        <v>29</v>
      </c>
      <c r="N450" s="13">
        <f t="shared" si="126"/>
        <v>0</v>
      </c>
      <c r="O450">
        <f t="shared" si="126"/>
        <v>2</v>
      </c>
      <c r="P450">
        <f t="shared" si="126"/>
        <v>53</v>
      </c>
      <c r="Q450" s="14">
        <f t="shared" si="121"/>
        <v>173</v>
      </c>
      <c r="R450" s="13">
        <f t="shared" si="122"/>
        <v>0</v>
      </c>
      <c r="S450">
        <f t="shared" si="123"/>
        <v>2</v>
      </c>
      <c r="T450">
        <f t="shared" si="124"/>
        <v>53</v>
      </c>
      <c r="U450" s="14">
        <f t="shared" si="125"/>
        <v>173</v>
      </c>
      <c r="V450" s="15"/>
      <c r="Z450" s="14"/>
    </row>
    <row r="451" spans="1:26" hidden="1" x14ac:dyDescent="0.25">
      <c r="A451" s="16"/>
      <c r="B451" s="17" t="b">
        <f t="shared" si="110"/>
        <v>0</v>
      </c>
      <c r="C451" s="17" t="b">
        <f t="shared" si="120"/>
        <v>0</v>
      </c>
      <c r="D451" s="17">
        <f t="shared" si="117"/>
        <v>1</v>
      </c>
      <c r="E451" s="17" t="str">
        <f t="shared" si="118"/>
        <v>6. Conclusion</v>
      </c>
      <c r="F451" s="18" t="str">
        <f t="shared" si="127"/>
        <v/>
      </c>
      <c r="G451" s="13" t="str">
        <f t="shared" si="111"/>
        <v/>
      </c>
      <c r="H451">
        <f t="shared" si="112"/>
        <v>0</v>
      </c>
      <c r="I451" s="14">
        <f t="shared" si="119"/>
        <v>0</v>
      </c>
      <c r="J451" s="13">
        <f t="shared" si="113"/>
        <v>4529</v>
      </c>
      <c r="K451">
        <f t="shared" si="114"/>
        <v>1</v>
      </c>
      <c r="L451">
        <f t="shared" si="115"/>
        <v>15</v>
      </c>
      <c r="M451" s="14">
        <f t="shared" si="116"/>
        <v>29</v>
      </c>
      <c r="N451" s="13">
        <f t="shared" si="126"/>
        <v>0</v>
      </c>
      <c r="O451">
        <f t="shared" si="126"/>
        <v>2</v>
      </c>
      <c r="P451">
        <f t="shared" si="126"/>
        <v>53</v>
      </c>
      <c r="Q451" s="14">
        <f t="shared" si="121"/>
        <v>173</v>
      </c>
      <c r="R451" s="13">
        <f t="shared" si="122"/>
        <v>0</v>
      </c>
      <c r="S451">
        <f t="shared" si="123"/>
        <v>2</v>
      </c>
      <c r="T451">
        <f t="shared" si="124"/>
        <v>53</v>
      </c>
      <c r="U451" s="14">
        <f t="shared" si="125"/>
        <v>173</v>
      </c>
      <c r="V451" s="15"/>
      <c r="Z451" s="14"/>
    </row>
    <row r="452" spans="1:26" hidden="1" x14ac:dyDescent="0.25">
      <c r="A452" s="16"/>
      <c r="B452" s="17" t="b">
        <f t="shared" si="110"/>
        <v>0</v>
      </c>
      <c r="C452" s="17" t="b">
        <f t="shared" si="120"/>
        <v>0</v>
      </c>
      <c r="D452" s="17">
        <f t="shared" si="117"/>
        <v>1</v>
      </c>
      <c r="E452" s="17" t="str">
        <f t="shared" si="118"/>
        <v>6. Conclusion</v>
      </c>
      <c r="F452" s="18" t="str">
        <f t="shared" si="127"/>
        <v/>
      </c>
      <c r="G452" s="13" t="str">
        <f t="shared" si="111"/>
        <v/>
      </c>
      <c r="H452">
        <f t="shared" si="112"/>
        <v>0</v>
      </c>
      <c r="I452" s="14">
        <f t="shared" si="119"/>
        <v>0</v>
      </c>
      <c r="J452" s="13">
        <f t="shared" si="113"/>
        <v>4529</v>
      </c>
      <c r="K452">
        <f t="shared" si="114"/>
        <v>1</v>
      </c>
      <c r="L452">
        <f t="shared" si="115"/>
        <v>15</v>
      </c>
      <c r="M452" s="14">
        <f t="shared" si="116"/>
        <v>29</v>
      </c>
      <c r="N452" s="13">
        <f t="shared" si="126"/>
        <v>0</v>
      </c>
      <c r="O452">
        <f t="shared" si="126"/>
        <v>2</v>
      </c>
      <c r="P452">
        <f t="shared" si="126"/>
        <v>53</v>
      </c>
      <c r="Q452" s="14">
        <f t="shared" si="121"/>
        <v>173</v>
      </c>
      <c r="R452" s="13">
        <f t="shared" si="122"/>
        <v>0</v>
      </c>
      <c r="S452">
        <f t="shared" si="123"/>
        <v>2</v>
      </c>
      <c r="T452">
        <f t="shared" si="124"/>
        <v>53</v>
      </c>
      <c r="U452" s="14">
        <f t="shared" si="125"/>
        <v>173</v>
      </c>
      <c r="V452" s="15"/>
      <c r="Z452" s="14"/>
    </row>
    <row r="453" spans="1:26" hidden="1" x14ac:dyDescent="0.25">
      <c r="A453" s="16"/>
      <c r="B453" s="17" t="b">
        <f t="shared" si="110"/>
        <v>0</v>
      </c>
      <c r="C453" s="17" t="b">
        <f t="shared" si="120"/>
        <v>0</v>
      </c>
      <c r="D453" s="17">
        <f t="shared" si="117"/>
        <v>1</v>
      </c>
      <c r="E453" s="17" t="str">
        <f t="shared" si="118"/>
        <v>6. Conclusion</v>
      </c>
      <c r="F453" s="18" t="str">
        <f t="shared" si="127"/>
        <v/>
      </c>
      <c r="G453" s="13" t="str">
        <f t="shared" si="111"/>
        <v/>
      </c>
      <c r="H453">
        <f t="shared" si="112"/>
        <v>0</v>
      </c>
      <c r="I453" s="14">
        <f t="shared" si="119"/>
        <v>0</v>
      </c>
      <c r="J453" s="13">
        <f t="shared" si="113"/>
        <v>4529</v>
      </c>
      <c r="K453">
        <f t="shared" si="114"/>
        <v>1</v>
      </c>
      <c r="L453">
        <f t="shared" si="115"/>
        <v>15</v>
      </c>
      <c r="M453" s="14">
        <f t="shared" si="116"/>
        <v>29</v>
      </c>
      <c r="N453" s="13">
        <f t="shared" si="126"/>
        <v>0</v>
      </c>
      <c r="O453">
        <f t="shared" si="126"/>
        <v>2</v>
      </c>
      <c r="P453">
        <f t="shared" si="126"/>
        <v>53</v>
      </c>
      <c r="Q453" s="14">
        <f t="shared" si="121"/>
        <v>173</v>
      </c>
      <c r="R453" s="13">
        <f t="shared" si="122"/>
        <v>0</v>
      </c>
      <c r="S453">
        <f t="shared" si="123"/>
        <v>2</v>
      </c>
      <c r="T453">
        <f t="shared" si="124"/>
        <v>53</v>
      </c>
      <c r="U453" s="14">
        <f t="shared" si="125"/>
        <v>173</v>
      </c>
      <c r="V453" s="15"/>
      <c r="Z453" s="14"/>
    </row>
    <row r="454" spans="1:26" hidden="1" x14ac:dyDescent="0.25">
      <c r="A454" s="16"/>
      <c r="B454" s="17" t="b">
        <f t="shared" si="110"/>
        <v>0</v>
      </c>
      <c r="C454" s="17" t="b">
        <f t="shared" si="120"/>
        <v>0</v>
      </c>
      <c r="D454" s="17">
        <f t="shared" si="117"/>
        <v>1</v>
      </c>
      <c r="E454" s="17" t="str">
        <f t="shared" si="118"/>
        <v>6. Conclusion</v>
      </c>
      <c r="F454" s="18" t="str">
        <f t="shared" si="127"/>
        <v/>
      </c>
      <c r="G454" s="13" t="str">
        <f t="shared" si="111"/>
        <v/>
      </c>
      <c r="H454">
        <f t="shared" si="112"/>
        <v>0</v>
      </c>
      <c r="I454" s="14">
        <f t="shared" si="119"/>
        <v>0</v>
      </c>
      <c r="J454" s="13">
        <f t="shared" si="113"/>
        <v>4529</v>
      </c>
      <c r="K454">
        <f t="shared" si="114"/>
        <v>1</v>
      </c>
      <c r="L454">
        <f t="shared" si="115"/>
        <v>15</v>
      </c>
      <c r="M454" s="14">
        <f t="shared" si="116"/>
        <v>29</v>
      </c>
      <c r="N454" s="13">
        <f t="shared" si="126"/>
        <v>0</v>
      </c>
      <c r="O454">
        <f t="shared" si="126"/>
        <v>2</v>
      </c>
      <c r="P454">
        <f t="shared" si="126"/>
        <v>53</v>
      </c>
      <c r="Q454" s="14">
        <f t="shared" si="121"/>
        <v>173</v>
      </c>
      <c r="R454" s="13">
        <f t="shared" si="122"/>
        <v>0</v>
      </c>
      <c r="S454">
        <f t="shared" si="123"/>
        <v>2</v>
      </c>
      <c r="T454">
        <f t="shared" si="124"/>
        <v>53</v>
      </c>
      <c r="U454" s="14">
        <f t="shared" si="125"/>
        <v>173</v>
      </c>
      <c r="V454" s="15"/>
      <c r="Z454" s="14"/>
    </row>
    <row r="455" spans="1:26" hidden="1" x14ac:dyDescent="0.25">
      <c r="A455" s="16"/>
      <c r="B455" s="17" t="b">
        <f t="shared" si="110"/>
        <v>0</v>
      </c>
      <c r="C455" s="17" t="b">
        <f t="shared" si="120"/>
        <v>0</v>
      </c>
      <c r="D455" s="17">
        <f t="shared" si="117"/>
        <v>1</v>
      </c>
      <c r="E455" s="17" t="str">
        <f t="shared" si="118"/>
        <v>6. Conclusion</v>
      </c>
      <c r="F455" s="18" t="str">
        <f t="shared" si="127"/>
        <v/>
      </c>
      <c r="G455" s="13" t="str">
        <f t="shared" si="111"/>
        <v/>
      </c>
      <c r="H455">
        <f t="shared" si="112"/>
        <v>0</v>
      </c>
      <c r="I455" s="14">
        <f t="shared" si="119"/>
        <v>0</v>
      </c>
      <c r="J455" s="13">
        <f t="shared" si="113"/>
        <v>4529</v>
      </c>
      <c r="K455">
        <f t="shared" si="114"/>
        <v>1</v>
      </c>
      <c r="L455">
        <f t="shared" si="115"/>
        <v>15</v>
      </c>
      <c r="M455" s="14">
        <f t="shared" si="116"/>
        <v>29</v>
      </c>
      <c r="N455" s="13">
        <f t="shared" si="126"/>
        <v>0</v>
      </c>
      <c r="O455">
        <f t="shared" si="126"/>
        <v>2</v>
      </c>
      <c r="P455">
        <f t="shared" si="126"/>
        <v>53</v>
      </c>
      <c r="Q455" s="14">
        <f t="shared" si="121"/>
        <v>173</v>
      </c>
      <c r="R455" s="13">
        <f t="shared" si="122"/>
        <v>0</v>
      </c>
      <c r="S455">
        <f t="shared" si="123"/>
        <v>2</v>
      </c>
      <c r="T455">
        <f t="shared" si="124"/>
        <v>53</v>
      </c>
      <c r="U455" s="14">
        <f t="shared" si="125"/>
        <v>173</v>
      </c>
      <c r="V455" s="15"/>
      <c r="Z455" s="14"/>
    </row>
    <row r="456" spans="1:26" hidden="1" x14ac:dyDescent="0.25">
      <c r="A456" s="16"/>
      <c r="B456" s="17" t="b">
        <f t="shared" si="110"/>
        <v>0</v>
      </c>
      <c r="C456" s="17" t="b">
        <f t="shared" si="120"/>
        <v>0</v>
      </c>
      <c r="D456" s="17">
        <f t="shared" si="117"/>
        <v>1</v>
      </c>
      <c r="E456" s="17" t="str">
        <f t="shared" si="118"/>
        <v>6. Conclusion</v>
      </c>
      <c r="F456" s="18" t="str">
        <f t="shared" si="127"/>
        <v/>
      </c>
      <c r="G456" s="13" t="str">
        <f t="shared" si="111"/>
        <v/>
      </c>
      <c r="H456">
        <f t="shared" si="112"/>
        <v>0</v>
      </c>
      <c r="I456" s="14">
        <f t="shared" si="119"/>
        <v>0</v>
      </c>
      <c r="J456" s="13">
        <f t="shared" si="113"/>
        <v>4529</v>
      </c>
      <c r="K456">
        <f t="shared" si="114"/>
        <v>1</v>
      </c>
      <c r="L456">
        <f t="shared" si="115"/>
        <v>15</v>
      </c>
      <c r="M456" s="14">
        <f t="shared" si="116"/>
        <v>29</v>
      </c>
      <c r="N456" s="13">
        <f t="shared" si="126"/>
        <v>0</v>
      </c>
      <c r="O456">
        <f t="shared" si="126"/>
        <v>2</v>
      </c>
      <c r="P456">
        <f t="shared" si="126"/>
        <v>53</v>
      </c>
      <c r="Q456" s="14">
        <f t="shared" si="121"/>
        <v>173</v>
      </c>
      <c r="R456" s="13">
        <f t="shared" si="122"/>
        <v>0</v>
      </c>
      <c r="S456">
        <f t="shared" si="123"/>
        <v>2</v>
      </c>
      <c r="T456">
        <f t="shared" si="124"/>
        <v>53</v>
      </c>
      <c r="U456" s="14">
        <f t="shared" si="125"/>
        <v>173</v>
      </c>
      <c r="V456" s="15"/>
      <c r="Z456" s="14"/>
    </row>
    <row r="457" spans="1:26" hidden="1" x14ac:dyDescent="0.25">
      <c r="A457" s="16"/>
      <c r="B457" s="17" t="b">
        <f t="shared" si="110"/>
        <v>0</v>
      </c>
      <c r="C457" s="17" t="b">
        <f t="shared" si="120"/>
        <v>0</v>
      </c>
      <c r="D457" s="17">
        <f t="shared" si="117"/>
        <v>1</v>
      </c>
      <c r="E457" s="17" t="str">
        <f t="shared" si="118"/>
        <v>6. Conclusion</v>
      </c>
      <c r="F457" s="18" t="str">
        <f t="shared" si="127"/>
        <v/>
      </c>
      <c r="G457" s="13" t="str">
        <f t="shared" si="111"/>
        <v/>
      </c>
      <c r="H457">
        <f t="shared" si="112"/>
        <v>0</v>
      </c>
      <c r="I457" s="14">
        <f t="shared" si="119"/>
        <v>0</v>
      </c>
      <c r="J457" s="13">
        <f t="shared" si="113"/>
        <v>4529</v>
      </c>
      <c r="K457">
        <f t="shared" si="114"/>
        <v>1</v>
      </c>
      <c r="L457">
        <f t="shared" si="115"/>
        <v>15</v>
      </c>
      <c r="M457" s="14">
        <f t="shared" si="116"/>
        <v>29</v>
      </c>
      <c r="N457" s="13">
        <f t="shared" si="126"/>
        <v>0</v>
      </c>
      <c r="O457">
        <f t="shared" si="126"/>
        <v>2</v>
      </c>
      <c r="P457">
        <f t="shared" si="126"/>
        <v>53</v>
      </c>
      <c r="Q457" s="14">
        <f t="shared" si="121"/>
        <v>173</v>
      </c>
      <c r="R457" s="13">
        <f t="shared" si="122"/>
        <v>0</v>
      </c>
      <c r="S457">
        <f t="shared" si="123"/>
        <v>2</v>
      </c>
      <c r="T457">
        <f t="shared" si="124"/>
        <v>53</v>
      </c>
      <c r="U457" s="14">
        <f t="shared" si="125"/>
        <v>173</v>
      </c>
      <c r="V457" s="15"/>
      <c r="Z457" s="14"/>
    </row>
    <row r="458" spans="1:26" hidden="1" x14ac:dyDescent="0.25">
      <c r="A458" s="16"/>
      <c r="B458" s="17" t="b">
        <f t="shared" si="110"/>
        <v>0</v>
      </c>
      <c r="C458" s="17" t="b">
        <f t="shared" si="120"/>
        <v>0</v>
      </c>
      <c r="D458" s="17">
        <f t="shared" si="117"/>
        <v>1</v>
      </c>
      <c r="E458" s="17" t="str">
        <f t="shared" si="118"/>
        <v>6. Conclusion</v>
      </c>
      <c r="F458" s="18" t="str">
        <f t="shared" si="127"/>
        <v/>
      </c>
      <c r="G458" s="13" t="str">
        <f t="shared" si="111"/>
        <v/>
      </c>
      <c r="H458">
        <f t="shared" si="112"/>
        <v>0</v>
      </c>
      <c r="I458" s="14">
        <f t="shared" si="119"/>
        <v>0</v>
      </c>
      <c r="J458" s="13">
        <f t="shared" si="113"/>
        <v>4529</v>
      </c>
      <c r="K458">
        <f t="shared" si="114"/>
        <v>1</v>
      </c>
      <c r="L458">
        <f t="shared" si="115"/>
        <v>15</v>
      </c>
      <c r="M458" s="14">
        <f t="shared" si="116"/>
        <v>29</v>
      </c>
      <c r="N458" s="13">
        <f t="shared" si="126"/>
        <v>0</v>
      </c>
      <c r="O458">
        <f t="shared" si="126"/>
        <v>2</v>
      </c>
      <c r="P458">
        <f t="shared" si="126"/>
        <v>53</v>
      </c>
      <c r="Q458" s="14">
        <f t="shared" si="121"/>
        <v>173</v>
      </c>
      <c r="R458" s="13">
        <f t="shared" si="122"/>
        <v>0</v>
      </c>
      <c r="S458">
        <f t="shared" si="123"/>
        <v>2</v>
      </c>
      <c r="T458">
        <f t="shared" si="124"/>
        <v>53</v>
      </c>
      <c r="U458" s="14">
        <f t="shared" si="125"/>
        <v>173</v>
      </c>
      <c r="V458" s="15"/>
      <c r="Z458" s="14"/>
    </row>
    <row r="459" spans="1:26" hidden="1" x14ac:dyDescent="0.25">
      <c r="A459" s="16"/>
      <c r="B459" s="17" t="b">
        <f t="shared" ref="B459:B522" si="128">AND(NOT(ISERROR(FIND(". ",A459))),ISNUMBER(VALUE(LEFT(A459,FIND(". ",A459)-1))))</f>
        <v>0</v>
      </c>
      <c r="C459" s="17" t="b">
        <f t="shared" si="120"/>
        <v>0</v>
      </c>
      <c r="D459" s="17">
        <f t="shared" si="117"/>
        <v>1</v>
      </c>
      <c r="E459" s="17" t="str">
        <f t="shared" si="118"/>
        <v>6. Conclusion</v>
      </c>
      <c r="F459" s="18" t="str">
        <f t="shared" si="127"/>
        <v/>
      </c>
      <c r="G459" s="13" t="str">
        <f t="shared" ref="G459:G522" si="129">IF(C459,IF(ISERROR(FIND("s",A460)),LEFT(A460,FIND("m",A460)),LEFT(A460,FIND("s",A460))),"")</f>
        <v/>
      </c>
      <c r="H459">
        <f t="shared" ref="H459:H522" si="130">IF(OR(G459="",ISERROR(FIND("m",G459))),0,VALUE(LEFT(G459,FIND("m",G459)-1)))</f>
        <v>0</v>
      </c>
      <c r="I459" s="14">
        <f t="shared" si="119"/>
        <v>0</v>
      </c>
      <c r="J459" s="13">
        <f t="shared" ref="J459:J522" si="131">J458+(H459*60+I459)</f>
        <v>4529</v>
      </c>
      <c r="K459">
        <f t="shared" ref="K459:K522" si="132">INT(J459/60/60)</f>
        <v>1</v>
      </c>
      <c r="L459">
        <f t="shared" ref="L459:L522" si="133">INT((J459-(K459*60*60))/60)</f>
        <v>15</v>
      </c>
      <c r="M459" s="14">
        <f t="shared" ref="M459:M522" si="134">J459-(((K459*60)+L459)*60)</f>
        <v>29</v>
      </c>
      <c r="N459" s="13">
        <f t="shared" si="126"/>
        <v>0</v>
      </c>
      <c r="O459">
        <f t="shared" si="126"/>
        <v>2</v>
      </c>
      <c r="P459">
        <f t="shared" si="126"/>
        <v>53</v>
      </c>
      <c r="Q459" s="14">
        <f t="shared" si="121"/>
        <v>173</v>
      </c>
      <c r="R459" s="13">
        <f t="shared" si="122"/>
        <v>0</v>
      </c>
      <c r="S459">
        <f t="shared" si="123"/>
        <v>2</v>
      </c>
      <c r="T459">
        <f t="shared" si="124"/>
        <v>53</v>
      </c>
      <c r="U459" s="14">
        <f t="shared" si="125"/>
        <v>173</v>
      </c>
      <c r="V459" s="15"/>
      <c r="Z459" s="14"/>
    </row>
    <row r="460" spans="1:26" hidden="1" x14ac:dyDescent="0.25">
      <c r="A460" s="16"/>
      <c r="B460" s="17" t="b">
        <f t="shared" si="128"/>
        <v>0</v>
      </c>
      <c r="C460" s="17" t="b">
        <f t="shared" si="120"/>
        <v>0</v>
      </c>
      <c r="D460" s="17">
        <f t="shared" ref="D460:D523" si="135">IF(B460,0,IF(C460,D459+1,D459))</f>
        <v>1</v>
      </c>
      <c r="E460" s="17" t="str">
        <f t="shared" ref="E460:E523" si="136">IF(B460,A460,E459)</f>
        <v>6. Conclusion</v>
      </c>
      <c r="F460" s="18" t="str">
        <f t="shared" si="127"/>
        <v/>
      </c>
      <c r="G460" s="13" t="str">
        <f t="shared" si="129"/>
        <v/>
      </c>
      <c r="H460">
        <f t="shared" si="130"/>
        <v>0</v>
      </c>
      <c r="I460" s="14">
        <f t="shared" ref="I460:I523" si="137">IF(OR(G460="",ISERROR(FIND("s",G460))),0,VALUE(SUBSTITUTE(MID(G460,IF(ISERROR(FIND("m",G460)), 0,FIND("m",G460))+1,LEN(G460)),"s","")))</f>
        <v>0</v>
      </c>
      <c r="J460" s="13">
        <f t="shared" si="131"/>
        <v>4529</v>
      </c>
      <c r="K460">
        <f t="shared" si="132"/>
        <v>1</v>
      </c>
      <c r="L460">
        <f t="shared" si="133"/>
        <v>15</v>
      </c>
      <c r="M460" s="14">
        <f t="shared" si="134"/>
        <v>29</v>
      </c>
      <c r="N460" s="13">
        <f t="shared" si="126"/>
        <v>0</v>
      </c>
      <c r="O460">
        <f t="shared" si="126"/>
        <v>2</v>
      </c>
      <c r="P460">
        <f t="shared" si="126"/>
        <v>53</v>
      </c>
      <c r="Q460" s="14">
        <f t="shared" si="121"/>
        <v>173</v>
      </c>
      <c r="R460" s="13">
        <f t="shared" si="122"/>
        <v>0</v>
      </c>
      <c r="S460">
        <f t="shared" si="123"/>
        <v>2</v>
      </c>
      <c r="T460">
        <f t="shared" si="124"/>
        <v>53</v>
      </c>
      <c r="U460" s="14">
        <f t="shared" si="125"/>
        <v>173</v>
      </c>
      <c r="V460" s="15"/>
      <c r="Z460" s="14"/>
    </row>
    <row r="461" spans="1:26" hidden="1" x14ac:dyDescent="0.25">
      <c r="A461" s="16"/>
      <c r="B461" s="17" t="b">
        <f t="shared" si="128"/>
        <v>0</v>
      </c>
      <c r="C461" s="17" t="b">
        <f t="shared" si="120"/>
        <v>0</v>
      </c>
      <c r="D461" s="17">
        <f t="shared" si="135"/>
        <v>1</v>
      </c>
      <c r="E461" s="17" t="str">
        <f t="shared" si="136"/>
        <v>6. Conclusion</v>
      </c>
      <c r="F461" s="18" t="str">
        <f t="shared" si="127"/>
        <v/>
      </c>
      <c r="G461" s="13" t="str">
        <f t="shared" si="129"/>
        <v/>
      </c>
      <c r="H461">
        <f t="shared" si="130"/>
        <v>0</v>
      </c>
      <c r="I461" s="14">
        <f t="shared" si="137"/>
        <v>0</v>
      </c>
      <c r="J461" s="13">
        <f t="shared" si="131"/>
        <v>4529</v>
      </c>
      <c r="K461">
        <f t="shared" si="132"/>
        <v>1</v>
      </c>
      <c r="L461">
        <f t="shared" si="133"/>
        <v>15</v>
      </c>
      <c r="M461" s="14">
        <f t="shared" si="134"/>
        <v>29</v>
      </c>
      <c r="N461" s="13">
        <f t="shared" si="126"/>
        <v>0</v>
      </c>
      <c r="O461">
        <f t="shared" si="126"/>
        <v>2</v>
      </c>
      <c r="P461">
        <f t="shared" si="126"/>
        <v>53</v>
      </c>
      <c r="Q461" s="14">
        <f t="shared" si="121"/>
        <v>173</v>
      </c>
      <c r="R461" s="13">
        <f t="shared" si="122"/>
        <v>0</v>
      </c>
      <c r="S461">
        <f t="shared" si="123"/>
        <v>2</v>
      </c>
      <c r="T461">
        <f t="shared" si="124"/>
        <v>53</v>
      </c>
      <c r="U461" s="14">
        <f t="shared" si="125"/>
        <v>173</v>
      </c>
      <c r="V461" s="15"/>
      <c r="Z461" s="14"/>
    </row>
    <row r="462" spans="1:26" hidden="1" x14ac:dyDescent="0.25">
      <c r="A462" s="16"/>
      <c r="B462" s="17" t="b">
        <f t="shared" si="128"/>
        <v>0</v>
      </c>
      <c r="C462" s="17" t="b">
        <f t="shared" ref="C462:C525" si="138">OR(AND(NOT(ISERROR(FIND("m",A463))),ISNUMBER(VALUE(LEFT(A463,FIND("m",A463)-1)))),AND(NOT(ISERROR(FIND("s",A463))),ISNUMBER(VALUE(LEFT(A463,FIND("s",A463)-1)))))</f>
        <v>0</v>
      </c>
      <c r="D462" s="17">
        <f t="shared" si="135"/>
        <v>1</v>
      </c>
      <c r="E462" s="17" t="str">
        <f t="shared" si="136"/>
        <v>6. Conclusion</v>
      </c>
      <c r="F462" s="18" t="str">
        <f t="shared" si="127"/>
        <v/>
      </c>
      <c r="G462" s="13" t="str">
        <f t="shared" si="129"/>
        <v/>
      </c>
      <c r="H462">
        <f t="shared" si="130"/>
        <v>0</v>
      </c>
      <c r="I462" s="14">
        <f t="shared" si="137"/>
        <v>0</v>
      </c>
      <c r="J462" s="13">
        <f t="shared" si="131"/>
        <v>4529</v>
      </c>
      <c r="K462">
        <f t="shared" si="132"/>
        <v>1</v>
      </c>
      <c r="L462">
        <f t="shared" si="133"/>
        <v>15</v>
      </c>
      <c r="M462" s="14">
        <f t="shared" si="134"/>
        <v>29</v>
      </c>
      <c r="N462" s="13">
        <f t="shared" si="126"/>
        <v>0</v>
      </c>
      <c r="O462">
        <f t="shared" si="126"/>
        <v>2</v>
      </c>
      <c r="P462">
        <f t="shared" si="126"/>
        <v>53</v>
      </c>
      <c r="Q462" s="14">
        <f t="shared" ref="Q462:Q525" si="139">(((N462*60)+O462)*60)+P462</f>
        <v>173</v>
      </c>
      <c r="R462" s="13">
        <f t="shared" ref="R462:R525" si="140">INT(U462/60/60)</f>
        <v>0</v>
      </c>
      <c r="S462">
        <f t="shared" ref="S462:S525" si="141">INT((U462-(R462*60*60))/60)</f>
        <v>2</v>
      </c>
      <c r="T462">
        <f t="shared" ref="T462:T525" si="142">U462-(((R462*60)+S462)*60)</f>
        <v>53</v>
      </c>
      <c r="U462" s="14">
        <f t="shared" ref="U462:U525" si="143">((H462*60)+I462)+Q462</f>
        <v>173</v>
      </c>
      <c r="V462" s="15"/>
      <c r="Z462" s="14"/>
    </row>
    <row r="463" spans="1:26" hidden="1" x14ac:dyDescent="0.25">
      <c r="A463" s="16"/>
      <c r="B463" s="17" t="b">
        <f t="shared" si="128"/>
        <v>0</v>
      </c>
      <c r="C463" s="17" t="b">
        <f t="shared" si="138"/>
        <v>0</v>
      </c>
      <c r="D463" s="17">
        <f t="shared" si="135"/>
        <v>1</v>
      </c>
      <c r="E463" s="17" t="str">
        <f t="shared" si="136"/>
        <v>6. Conclusion</v>
      </c>
      <c r="F463" s="18" t="str">
        <f t="shared" si="127"/>
        <v/>
      </c>
      <c r="G463" s="13" t="str">
        <f t="shared" si="129"/>
        <v/>
      </c>
      <c r="H463">
        <f t="shared" si="130"/>
        <v>0</v>
      </c>
      <c r="I463" s="14">
        <f t="shared" si="137"/>
        <v>0</v>
      </c>
      <c r="J463" s="13">
        <f t="shared" si="131"/>
        <v>4529</v>
      </c>
      <c r="K463">
        <f t="shared" si="132"/>
        <v>1</v>
      </c>
      <c r="L463">
        <f t="shared" si="133"/>
        <v>15</v>
      </c>
      <c r="M463" s="14">
        <f t="shared" si="134"/>
        <v>29</v>
      </c>
      <c r="N463" s="13">
        <f t="shared" si="126"/>
        <v>0</v>
      </c>
      <c r="O463">
        <f t="shared" si="126"/>
        <v>2</v>
      </c>
      <c r="P463">
        <f t="shared" si="126"/>
        <v>53</v>
      </c>
      <c r="Q463" s="14">
        <f t="shared" si="139"/>
        <v>173</v>
      </c>
      <c r="R463" s="13">
        <f t="shared" si="140"/>
        <v>0</v>
      </c>
      <c r="S463">
        <f t="shared" si="141"/>
        <v>2</v>
      </c>
      <c r="T463">
        <f t="shared" si="142"/>
        <v>53</v>
      </c>
      <c r="U463" s="14">
        <f t="shared" si="143"/>
        <v>173</v>
      </c>
      <c r="V463" s="15"/>
      <c r="Z463" s="14"/>
    </row>
    <row r="464" spans="1:26" hidden="1" x14ac:dyDescent="0.25">
      <c r="A464" s="16"/>
      <c r="B464" s="17" t="b">
        <f t="shared" si="128"/>
        <v>0</v>
      </c>
      <c r="C464" s="17" t="b">
        <f t="shared" si="138"/>
        <v>0</v>
      </c>
      <c r="D464" s="17">
        <f t="shared" si="135"/>
        <v>1</v>
      </c>
      <c r="E464" s="17" t="str">
        <f t="shared" si="136"/>
        <v>6. Conclusion</v>
      </c>
      <c r="F464" s="18" t="str">
        <f t="shared" si="127"/>
        <v/>
      </c>
      <c r="G464" s="13" t="str">
        <f t="shared" si="129"/>
        <v/>
      </c>
      <c r="H464">
        <f t="shared" si="130"/>
        <v>0</v>
      </c>
      <c r="I464" s="14">
        <f t="shared" si="137"/>
        <v>0</v>
      </c>
      <c r="J464" s="13">
        <f t="shared" si="131"/>
        <v>4529</v>
      </c>
      <c r="K464">
        <f t="shared" si="132"/>
        <v>1</v>
      </c>
      <c r="L464">
        <f t="shared" si="133"/>
        <v>15</v>
      </c>
      <c r="M464" s="14">
        <f t="shared" si="134"/>
        <v>29</v>
      </c>
      <c r="N464" s="13">
        <f t="shared" si="126"/>
        <v>0</v>
      </c>
      <c r="O464">
        <f t="shared" si="126"/>
        <v>2</v>
      </c>
      <c r="P464">
        <f t="shared" si="126"/>
        <v>53</v>
      </c>
      <c r="Q464" s="14">
        <f t="shared" si="139"/>
        <v>173</v>
      </c>
      <c r="R464" s="13">
        <f t="shared" si="140"/>
        <v>0</v>
      </c>
      <c r="S464">
        <f t="shared" si="141"/>
        <v>2</v>
      </c>
      <c r="T464">
        <f t="shared" si="142"/>
        <v>53</v>
      </c>
      <c r="U464" s="14">
        <f t="shared" si="143"/>
        <v>173</v>
      </c>
      <c r="V464" s="15"/>
      <c r="Z464" s="14"/>
    </row>
    <row r="465" spans="1:26" hidden="1" x14ac:dyDescent="0.25">
      <c r="A465" s="16"/>
      <c r="B465" s="17" t="b">
        <f t="shared" si="128"/>
        <v>0</v>
      </c>
      <c r="C465" s="17" t="b">
        <f t="shared" si="138"/>
        <v>0</v>
      </c>
      <c r="D465" s="17">
        <f t="shared" si="135"/>
        <v>1</v>
      </c>
      <c r="E465" s="17" t="str">
        <f t="shared" si="136"/>
        <v>6. Conclusion</v>
      </c>
      <c r="F465" s="18" t="str">
        <f t="shared" si="127"/>
        <v/>
      </c>
      <c r="G465" s="13" t="str">
        <f t="shared" si="129"/>
        <v/>
      </c>
      <c r="H465">
        <f t="shared" si="130"/>
        <v>0</v>
      </c>
      <c r="I465" s="14">
        <f t="shared" si="137"/>
        <v>0</v>
      </c>
      <c r="J465" s="13">
        <f t="shared" si="131"/>
        <v>4529</v>
      </c>
      <c r="K465">
        <f t="shared" si="132"/>
        <v>1</v>
      </c>
      <c r="L465">
        <f t="shared" si="133"/>
        <v>15</v>
      </c>
      <c r="M465" s="14">
        <f t="shared" si="134"/>
        <v>29</v>
      </c>
      <c r="N465" s="13">
        <f t="shared" si="126"/>
        <v>0</v>
      </c>
      <c r="O465">
        <f t="shared" si="126"/>
        <v>2</v>
      </c>
      <c r="P465">
        <f t="shared" si="126"/>
        <v>53</v>
      </c>
      <c r="Q465" s="14">
        <f t="shared" si="139"/>
        <v>173</v>
      </c>
      <c r="R465" s="13">
        <f t="shared" si="140"/>
        <v>0</v>
      </c>
      <c r="S465">
        <f t="shared" si="141"/>
        <v>2</v>
      </c>
      <c r="T465">
        <f t="shared" si="142"/>
        <v>53</v>
      </c>
      <c r="U465" s="14">
        <f t="shared" si="143"/>
        <v>173</v>
      </c>
      <c r="V465" s="15"/>
      <c r="Z465" s="14"/>
    </row>
    <row r="466" spans="1:26" hidden="1" x14ac:dyDescent="0.25">
      <c r="A466" s="16"/>
      <c r="B466" s="17" t="b">
        <f t="shared" si="128"/>
        <v>0</v>
      </c>
      <c r="C466" s="17" t="b">
        <f t="shared" si="138"/>
        <v>0</v>
      </c>
      <c r="D466" s="17">
        <f t="shared" si="135"/>
        <v>1</v>
      </c>
      <c r="E466" s="17" t="str">
        <f t="shared" si="136"/>
        <v>6. Conclusion</v>
      </c>
      <c r="F466" s="18" t="str">
        <f t="shared" si="127"/>
        <v/>
      </c>
      <c r="G466" s="13" t="str">
        <f t="shared" si="129"/>
        <v/>
      </c>
      <c r="H466">
        <f t="shared" si="130"/>
        <v>0</v>
      </c>
      <c r="I466" s="14">
        <f t="shared" si="137"/>
        <v>0</v>
      </c>
      <c r="J466" s="13">
        <f t="shared" si="131"/>
        <v>4529</v>
      </c>
      <c r="K466">
        <f t="shared" si="132"/>
        <v>1</v>
      </c>
      <c r="L466">
        <f t="shared" si="133"/>
        <v>15</v>
      </c>
      <c r="M466" s="14">
        <f t="shared" si="134"/>
        <v>29</v>
      </c>
      <c r="N466" s="13">
        <f t="shared" si="126"/>
        <v>0</v>
      </c>
      <c r="O466">
        <f t="shared" si="126"/>
        <v>2</v>
      </c>
      <c r="P466">
        <f t="shared" si="126"/>
        <v>53</v>
      </c>
      <c r="Q466" s="14">
        <f t="shared" si="139"/>
        <v>173</v>
      </c>
      <c r="R466" s="13">
        <f t="shared" si="140"/>
        <v>0</v>
      </c>
      <c r="S466">
        <f t="shared" si="141"/>
        <v>2</v>
      </c>
      <c r="T466">
        <f t="shared" si="142"/>
        <v>53</v>
      </c>
      <c r="U466" s="14">
        <f t="shared" si="143"/>
        <v>173</v>
      </c>
      <c r="V466" s="15"/>
      <c r="Z466" s="14"/>
    </row>
    <row r="467" spans="1:26" hidden="1" x14ac:dyDescent="0.25">
      <c r="A467" s="16"/>
      <c r="B467" s="17" t="b">
        <f t="shared" si="128"/>
        <v>0</v>
      </c>
      <c r="C467" s="17" t="b">
        <f t="shared" si="138"/>
        <v>0</v>
      </c>
      <c r="D467" s="17">
        <f t="shared" si="135"/>
        <v>1</v>
      </c>
      <c r="E467" s="17" t="str">
        <f t="shared" si="136"/>
        <v>6. Conclusion</v>
      </c>
      <c r="F467" s="18" t="str">
        <f t="shared" si="127"/>
        <v/>
      </c>
      <c r="G467" s="13" t="str">
        <f t="shared" si="129"/>
        <v/>
      </c>
      <c r="H467">
        <f t="shared" si="130"/>
        <v>0</v>
      </c>
      <c r="I467" s="14">
        <f t="shared" si="137"/>
        <v>0</v>
      </c>
      <c r="J467" s="13">
        <f t="shared" si="131"/>
        <v>4529</v>
      </c>
      <c r="K467">
        <f t="shared" si="132"/>
        <v>1</v>
      </c>
      <c r="L467">
        <f t="shared" si="133"/>
        <v>15</v>
      </c>
      <c r="M467" s="14">
        <f t="shared" si="134"/>
        <v>29</v>
      </c>
      <c r="N467" s="13">
        <f t="shared" si="126"/>
        <v>0</v>
      </c>
      <c r="O467">
        <f t="shared" si="126"/>
        <v>2</v>
      </c>
      <c r="P467">
        <f t="shared" si="126"/>
        <v>53</v>
      </c>
      <c r="Q467" s="14">
        <f t="shared" si="139"/>
        <v>173</v>
      </c>
      <c r="R467" s="13">
        <f t="shared" si="140"/>
        <v>0</v>
      </c>
      <c r="S467">
        <f t="shared" si="141"/>
        <v>2</v>
      </c>
      <c r="T467">
        <f t="shared" si="142"/>
        <v>53</v>
      </c>
      <c r="U467" s="14">
        <f t="shared" si="143"/>
        <v>173</v>
      </c>
      <c r="V467" s="15"/>
      <c r="Z467" s="14"/>
    </row>
    <row r="468" spans="1:26" hidden="1" x14ac:dyDescent="0.25">
      <c r="A468" s="16"/>
      <c r="B468" s="17" t="b">
        <f t="shared" si="128"/>
        <v>0</v>
      </c>
      <c r="C468" s="17" t="b">
        <f t="shared" si="138"/>
        <v>0</v>
      </c>
      <c r="D468" s="17">
        <f t="shared" si="135"/>
        <v>1</v>
      </c>
      <c r="E468" s="17" t="str">
        <f t="shared" si="136"/>
        <v>6. Conclusion</v>
      </c>
      <c r="F468" s="18" t="str">
        <f t="shared" si="127"/>
        <v/>
      </c>
      <c r="G468" s="13" t="str">
        <f t="shared" si="129"/>
        <v/>
      </c>
      <c r="H468">
        <f t="shared" si="130"/>
        <v>0</v>
      </c>
      <c r="I468" s="14">
        <f t="shared" si="137"/>
        <v>0</v>
      </c>
      <c r="J468" s="13">
        <f t="shared" si="131"/>
        <v>4529</v>
      </c>
      <c r="K468">
        <f t="shared" si="132"/>
        <v>1</v>
      </c>
      <c r="L468">
        <f t="shared" si="133"/>
        <v>15</v>
      </c>
      <c r="M468" s="14">
        <f t="shared" si="134"/>
        <v>29</v>
      </c>
      <c r="N468" s="13">
        <f t="shared" si="126"/>
        <v>0</v>
      </c>
      <c r="O468">
        <f t="shared" si="126"/>
        <v>2</v>
      </c>
      <c r="P468">
        <f t="shared" si="126"/>
        <v>53</v>
      </c>
      <c r="Q468" s="14">
        <f t="shared" si="139"/>
        <v>173</v>
      </c>
      <c r="R468" s="13">
        <f t="shared" si="140"/>
        <v>0</v>
      </c>
      <c r="S468">
        <f t="shared" si="141"/>
        <v>2</v>
      </c>
      <c r="T468">
        <f t="shared" si="142"/>
        <v>53</v>
      </c>
      <c r="U468" s="14">
        <f t="shared" si="143"/>
        <v>173</v>
      </c>
      <c r="V468" s="15"/>
      <c r="Z468" s="14"/>
    </row>
    <row r="469" spans="1:26" hidden="1" x14ac:dyDescent="0.25">
      <c r="A469" s="16"/>
      <c r="B469" s="17" t="b">
        <f t="shared" si="128"/>
        <v>0</v>
      </c>
      <c r="C469" s="17" t="b">
        <f t="shared" si="138"/>
        <v>0</v>
      </c>
      <c r="D469" s="17">
        <f t="shared" si="135"/>
        <v>1</v>
      </c>
      <c r="E469" s="17" t="str">
        <f t="shared" si="136"/>
        <v>6. Conclusion</v>
      </c>
      <c r="F469" s="18" t="str">
        <f t="shared" si="127"/>
        <v/>
      </c>
      <c r="G469" s="13" t="str">
        <f t="shared" si="129"/>
        <v/>
      </c>
      <c r="H469">
        <f t="shared" si="130"/>
        <v>0</v>
      </c>
      <c r="I469" s="14">
        <f t="shared" si="137"/>
        <v>0</v>
      </c>
      <c r="J469" s="13">
        <f t="shared" si="131"/>
        <v>4529</v>
      </c>
      <c r="K469">
        <f t="shared" si="132"/>
        <v>1</v>
      </c>
      <c r="L469">
        <f t="shared" si="133"/>
        <v>15</v>
      </c>
      <c r="M469" s="14">
        <f t="shared" si="134"/>
        <v>29</v>
      </c>
      <c r="N469" s="13">
        <f t="shared" si="126"/>
        <v>0</v>
      </c>
      <c r="O469">
        <f t="shared" si="126"/>
        <v>2</v>
      </c>
      <c r="P469">
        <f t="shared" si="126"/>
        <v>53</v>
      </c>
      <c r="Q469" s="14">
        <f t="shared" si="139"/>
        <v>173</v>
      </c>
      <c r="R469" s="13">
        <f t="shared" si="140"/>
        <v>0</v>
      </c>
      <c r="S469">
        <f t="shared" si="141"/>
        <v>2</v>
      </c>
      <c r="T469">
        <f t="shared" si="142"/>
        <v>53</v>
      </c>
      <c r="U469" s="14">
        <f t="shared" si="143"/>
        <v>173</v>
      </c>
      <c r="V469" s="15"/>
      <c r="Z469" s="14"/>
    </row>
    <row r="470" spans="1:26" hidden="1" x14ac:dyDescent="0.25">
      <c r="A470" s="16"/>
      <c r="B470" s="17" t="b">
        <f t="shared" si="128"/>
        <v>0</v>
      </c>
      <c r="C470" s="17" t="b">
        <f t="shared" si="138"/>
        <v>0</v>
      </c>
      <c r="D470" s="17">
        <f t="shared" si="135"/>
        <v>1</v>
      </c>
      <c r="E470" s="17" t="str">
        <f t="shared" si="136"/>
        <v>6. Conclusion</v>
      </c>
      <c r="F470" s="18" t="str">
        <f t="shared" si="127"/>
        <v/>
      </c>
      <c r="G470" s="13" t="str">
        <f t="shared" si="129"/>
        <v/>
      </c>
      <c r="H470">
        <f t="shared" si="130"/>
        <v>0</v>
      </c>
      <c r="I470" s="14">
        <f t="shared" si="137"/>
        <v>0</v>
      </c>
      <c r="J470" s="13">
        <f t="shared" si="131"/>
        <v>4529</v>
      </c>
      <c r="K470">
        <f t="shared" si="132"/>
        <v>1</v>
      </c>
      <c r="L470">
        <f t="shared" si="133"/>
        <v>15</v>
      </c>
      <c r="M470" s="14">
        <f t="shared" si="134"/>
        <v>29</v>
      </c>
      <c r="N470" s="13">
        <f t="shared" si="126"/>
        <v>0</v>
      </c>
      <c r="O470">
        <f t="shared" si="126"/>
        <v>2</v>
      </c>
      <c r="P470">
        <f t="shared" si="126"/>
        <v>53</v>
      </c>
      <c r="Q470" s="14">
        <f t="shared" si="139"/>
        <v>173</v>
      </c>
      <c r="R470" s="13">
        <f t="shared" si="140"/>
        <v>0</v>
      </c>
      <c r="S470">
        <f t="shared" si="141"/>
        <v>2</v>
      </c>
      <c r="T470">
        <f t="shared" si="142"/>
        <v>53</v>
      </c>
      <c r="U470" s="14">
        <f t="shared" si="143"/>
        <v>173</v>
      </c>
      <c r="V470" s="15"/>
      <c r="Z470" s="14"/>
    </row>
    <row r="471" spans="1:26" hidden="1" x14ac:dyDescent="0.25">
      <c r="A471" s="16"/>
      <c r="B471" s="17" t="b">
        <f t="shared" si="128"/>
        <v>0</v>
      </c>
      <c r="C471" s="17" t="b">
        <f t="shared" si="138"/>
        <v>0</v>
      </c>
      <c r="D471" s="17">
        <f t="shared" si="135"/>
        <v>1</v>
      </c>
      <c r="E471" s="17" t="str">
        <f t="shared" si="136"/>
        <v>6. Conclusion</v>
      </c>
      <c r="F471" s="18" t="str">
        <f t="shared" si="127"/>
        <v/>
      </c>
      <c r="G471" s="13" t="str">
        <f t="shared" si="129"/>
        <v/>
      </c>
      <c r="H471">
        <f t="shared" si="130"/>
        <v>0</v>
      </c>
      <c r="I471" s="14">
        <f t="shared" si="137"/>
        <v>0</v>
      </c>
      <c r="J471" s="13">
        <f t="shared" si="131"/>
        <v>4529</v>
      </c>
      <c r="K471">
        <f t="shared" si="132"/>
        <v>1</v>
      </c>
      <c r="L471">
        <f t="shared" si="133"/>
        <v>15</v>
      </c>
      <c r="M471" s="14">
        <f t="shared" si="134"/>
        <v>29</v>
      </c>
      <c r="N471" s="13">
        <f t="shared" si="126"/>
        <v>0</v>
      </c>
      <c r="O471">
        <f t="shared" si="126"/>
        <v>2</v>
      </c>
      <c r="P471">
        <f t="shared" si="126"/>
        <v>53</v>
      </c>
      <c r="Q471" s="14">
        <f t="shared" si="139"/>
        <v>173</v>
      </c>
      <c r="R471" s="13">
        <f t="shared" si="140"/>
        <v>0</v>
      </c>
      <c r="S471">
        <f t="shared" si="141"/>
        <v>2</v>
      </c>
      <c r="T471">
        <f t="shared" si="142"/>
        <v>53</v>
      </c>
      <c r="U471" s="14">
        <f t="shared" si="143"/>
        <v>173</v>
      </c>
      <c r="V471" s="15"/>
      <c r="Z471" s="14"/>
    </row>
    <row r="472" spans="1:26" hidden="1" x14ac:dyDescent="0.25">
      <c r="A472" s="16"/>
      <c r="B472" s="17" t="b">
        <f t="shared" si="128"/>
        <v>0</v>
      </c>
      <c r="C472" s="17" t="b">
        <f t="shared" si="138"/>
        <v>0</v>
      </c>
      <c r="D472" s="17">
        <f t="shared" si="135"/>
        <v>1</v>
      </c>
      <c r="E472" s="17" t="str">
        <f t="shared" si="136"/>
        <v>6. Conclusion</v>
      </c>
      <c r="F472" s="18" t="str">
        <f t="shared" si="127"/>
        <v/>
      </c>
      <c r="G472" s="13" t="str">
        <f t="shared" si="129"/>
        <v/>
      </c>
      <c r="H472">
        <f t="shared" si="130"/>
        <v>0</v>
      </c>
      <c r="I472" s="14">
        <f t="shared" si="137"/>
        <v>0</v>
      </c>
      <c r="J472" s="13">
        <f t="shared" si="131"/>
        <v>4529</v>
      </c>
      <c r="K472">
        <f t="shared" si="132"/>
        <v>1</v>
      </c>
      <c r="L472">
        <f t="shared" si="133"/>
        <v>15</v>
      </c>
      <c r="M472" s="14">
        <f t="shared" si="134"/>
        <v>29</v>
      </c>
      <c r="N472" s="13">
        <f t="shared" si="126"/>
        <v>0</v>
      </c>
      <c r="O472">
        <f t="shared" si="126"/>
        <v>2</v>
      </c>
      <c r="P472">
        <f t="shared" si="126"/>
        <v>53</v>
      </c>
      <c r="Q472" s="14">
        <f t="shared" si="139"/>
        <v>173</v>
      </c>
      <c r="R472" s="13">
        <f t="shared" si="140"/>
        <v>0</v>
      </c>
      <c r="S472">
        <f t="shared" si="141"/>
        <v>2</v>
      </c>
      <c r="T472">
        <f t="shared" si="142"/>
        <v>53</v>
      </c>
      <c r="U472" s="14">
        <f t="shared" si="143"/>
        <v>173</v>
      </c>
      <c r="V472" s="15"/>
      <c r="Z472" s="14"/>
    </row>
    <row r="473" spans="1:26" hidden="1" x14ac:dyDescent="0.25">
      <c r="A473" s="16"/>
      <c r="B473" s="17" t="b">
        <f t="shared" si="128"/>
        <v>0</v>
      </c>
      <c r="C473" s="17" t="b">
        <f t="shared" si="138"/>
        <v>0</v>
      </c>
      <c r="D473" s="17">
        <f t="shared" si="135"/>
        <v>1</v>
      </c>
      <c r="E473" s="17" t="str">
        <f t="shared" si="136"/>
        <v>6. Conclusion</v>
      </c>
      <c r="F473" s="18" t="str">
        <f t="shared" si="127"/>
        <v/>
      </c>
      <c r="G473" s="13" t="str">
        <f t="shared" si="129"/>
        <v/>
      </c>
      <c r="H473">
        <f t="shared" si="130"/>
        <v>0</v>
      </c>
      <c r="I473" s="14">
        <f t="shared" si="137"/>
        <v>0</v>
      </c>
      <c r="J473" s="13">
        <f t="shared" si="131"/>
        <v>4529</v>
      </c>
      <c r="K473">
        <f t="shared" si="132"/>
        <v>1</v>
      </c>
      <c r="L473">
        <f t="shared" si="133"/>
        <v>15</v>
      </c>
      <c r="M473" s="14">
        <f t="shared" si="134"/>
        <v>29</v>
      </c>
      <c r="N473" s="13">
        <f t="shared" si="126"/>
        <v>0</v>
      </c>
      <c r="O473">
        <f t="shared" si="126"/>
        <v>2</v>
      </c>
      <c r="P473">
        <f t="shared" si="126"/>
        <v>53</v>
      </c>
      <c r="Q473" s="14">
        <f t="shared" si="139"/>
        <v>173</v>
      </c>
      <c r="R473" s="13">
        <f t="shared" si="140"/>
        <v>0</v>
      </c>
      <c r="S473">
        <f t="shared" si="141"/>
        <v>2</v>
      </c>
      <c r="T473">
        <f t="shared" si="142"/>
        <v>53</v>
      </c>
      <c r="U473" s="14">
        <f t="shared" si="143"/>
        <v>173</v>
      </c>
      <c r="V473" s="15"/>
      <c r="Z473" s="14"/>
    </row>
    <row r="474" spans="1:26" hidden="1" x14ac:dyDescent="0.25">
      <c r="A474" s="16"/>
      <c r="B474" s="17" t="b">
        <f t="shared" si="128"/>
        <v>0</v>
      </c>
      <c r="C474" s="17" t="b">
        <f t="shared" si="138"/>
        <v>0</v>
      </c>
      <c r="D474" s="17">
        <f t="shared" si="135"/>
        <v>1</v>
      </c>
      <c r="E474" s="17" t="str">
        <f t="shared" si="136"/>
        <v>6. Conclusion</v>
      </c>
      <c r="F474" s="18" t="str">
        <f t="shared" si="127"/>
        <v/>
      </c>
      <c r="G474" s="13" t="str">
        <f t="shared" si="129"/>
        <v/>
      </c>
      <c r="H474">
        <f t="shared" si="130"/>
        <v>0</v>
      </c>
      <c r="I474" s="14">
        <f t="shared" si="137"/>
        <v>0</v>
      </c>
      <c r="J474" s="13">
        <f t="shared" si="131"/>
        <v>4529</v>
      </c>
      <c r="K474">
        <f t="shared" si="132"/>
        <v>1</v>
      </c>
      <c r="L474">
        <f t="shared" si="133"/>
        <v>15</v>
      </c>
      <c r="M474" s="14">
        <f t="shared" si="134"/>
        <v>29</v>
      </c>
      <c r="N474" s="13">
        <f t="shared" si="126"/>
        <v>0</v>
      </c>
      <c r="O474">
        <f t="shared" si="126"/>
        <v>2</v>
      </c>
      <c r="P474">
        <f t="shared" si="126"/>
        <v>53</v>
      </c>
      <c r="Q474" s="14">
        <f t="shared" si="139"/>
        <v>173</v>
      </c>
      <c r="R474" s="13">
        <f t="shared" si="140"/>
        <v>0</v>
      </c>
      <c r="S474">
        <f t="shared" si="141"/>
        <v>2</v>
      </c>
      <c r="T474">
        <f t="shared" si="142"/>
        <v>53</v>
      </c>
      <c r="U474" s="14">
        <f t="shared" si="143"/>
        <v>173</v>
      </c>
      <c r="V474" s="15"/>
      <c r="Z474" s="14"/>
    </row>
    <row r="475" spans="1:26" hidden="1" x14ac:dyDescent="0.25">
      <c r="A475" s="16"/>
      <c r="B475" s="17" t="b">
        <f t="shared" si="128"/>
        <v>0</v>
      </c>
      <c r="C475" s="17" t="b">
        <f t="shared" si="138"/>
        <v>0</v>
      </c>
      <c r="D475" s="17">
        <f t="shared" si="135"/>
        <v>1</v>
      </c>
      <c r="E475" s="17" t="str">
        <f t="shared" si="136"/>
        <v>6. Conclusion</v>
      </c>
      <c r="F475" s="18" t="str">
        <f t="shared" si="127"/>
        <v/>
      </c>
      <c r="G475" s="13" t="str">
        <f t="shared" si="129"/>
        <v/>
      </c>
      <c r="H475">
        <f t="shared" si="130"/>
        <v>0</v>
      </c>
      <c r="I475" s="14">
        <f t="shared" si="137"/>
        <v>0</v>
      </c>
      <c r="J475" s="13">
        <f t="shared" si="131"/>
        <v>4529</v>
      </c>
      <c r="K475">
        <f t="shared" si="132"/>
        <v>1</v>
      </c>
      <c r="L475">
        <f t="shared" si="133"/>
        <v>15</v>
      </c>
      <c r="M475" s="14">
        <f t="shared" si="134"/>
        <v>29</v>
      </c>
      <c r="N475" s="13">
        <f t="shared" si="126"/>
        <v>0</v>
      </c>
      <c r="O475">
        <f t="shared" si="126"/>
        <v>2</v>
      </c>
      <c r="P475">
        <f t="shared" si="126"/>
        <v>53</v>
      </c>
      <c r="Q475" s="14">
        <f t="shared" si="139"/>
        <v>173</v>
      </c>
      <c r="R475" s="13">
        <f t="shared" si="140"/>
        <v>0</v>
      </c>
      <c r="S475">
        <f t="shared" si="141"/>
        <v>2</v>
      </c>
      <c r="T475">
        <f t="shared" si="142"/>
        <v>53</v>
      </c>
      <c r="U475" s="14">
        <f t="shared" si="143"/>
        <v>173</v>
      </c>
      <c r="V475" s="15"/>
      <c r="Z475" s="14"/>
    </row>
    <row r="476" spans="1:26" hidden="1" x14ac:dyDescent="0.25">
      <c r="A476" s="16"/>
      <c r="B476" s="17" t="b">
        <f t="shared" si="128"/>
        <v>0</v>
      </c>
      <c r="C476" s="17" t="b">
        <f t="shared" si="138"/>
        <v>0</v>
      </c>
      <c r="D476" s="17">
        <f t="shared" si="135"/>
        <v>1</v>
      </c>
      <c r="E476" s="17" t="str">
        <f t="shared" si="136"/>
        <v>6. Conclusion</v>
      </c>
      <c r="F476" s="18" t="str">
        <f t="shared" si="127"/>
        <v/>
      </c>
      <c r="G476" s="13" t="str">
        <f t="shared" si="129"/>
        <v/>
      </c>
      <c r="H476">
        <f t="shared" si="130"/>
        <v>0</v>
      </c>
      <c r="I476" s="14">
        <f t="shared" si="137"/>
        <v>0</v>
      </c>
      <c r="J476" s="13">
        <f t="shared" si="131"/>
        <v>4529</v>
      </c>
      <c r="K476">
        <f t="shared" si="132"/>
        <v>1</v>
      </c>
      <c r="L476">
        <f t="shared" si="133"/>
        <v>15</v>
      </c>
      <c r="M476" s="14">
        <f t="shared" si="134"/>
        <v>29</v>
      </c>
      <c r="N476" s="13">
        <f t="shared" ref="N476:P539" si="144">R475</f>
        <v>0</v>
      </c>
      <c r="O476">
        <f t="shared" si="144"/>
        <v>2</v>
      </c>
      <c r="P476">
        <f t="shared" si="144"/>
        <v>53</v>
      </c>
      <c r="Q476" s="14">
        <f t="shared" si="139"/>
        <v>173</v>
      </c>
      <c r="R476" s="13">
        <f t="shared" si="140"/>
        <v>0</v>
      </c>
      <c r="S476">
        <f t="shared" si="141"/>
        <v>2</v>
      </c>
      <c r="T476">
        <f t="shared" si="142"/>
        <v>53</v>
      </c>
      <c r="U476" s="14">
        <f t="shared" si="143"/>
        <v>173</v>
      </c>
      <c r="V476" s="15"/>
      <c r="Z476" s="14"/>
    </row>
    <row r="477" spans="1:26" hidden="1" x14ac:dyDescent="0.25">
      <c r="A477" s="16"/>
      <c r="B477" s="17" t="b">
        <f t="shared" si="128"/>
        <v>0</v>
      </c>
      <c r="C477" s="17" t="b">
        <f t="shared" si="138"/>
        <v>0</v>
      </c>
      <c r="D477" s="17">
        <f t="shared" si="135"/>
        <v>1</v>
      </c>
      <c r="E477" s="17" t="str">
        <f t="shared" si="136"/>
        <v>6. Conclusion</v>
      </c>
      <c r="F477" s="18" t="str">
        <f t="shared" si="127"/>
        <v/>
      </c>
      <c r="G477" s="13" t="str">
        <f t="shared" si="129"/>
        <v/>
      </c>
      <c r="H477">
        <f t="shared" si="130"/>
        <v>0</v>
      </c>
      <c r="I477" s="14">
        <f t="shared" si="137"/>
        <v>0</v>
      </c>
      <c r="J477" s="13">
        <f t="shared" si="131"/>
        <v>4529</v>
      </c>
      <c r="K477">
        <f t="shared" si="132"/>
        <v>1</v>
      </c>
      <c r="L477">
        <f t="shared" si="133"/>
        <v>15</v>
      </c>
      <c r="M477" s="14">
        <f t="shared" si="134"/>
        <v>29</v>
      </c>
      <c r="N477" s="13">
        <f t="shared" si="144"/>
        <v>0</v>
      </c>
      <c r="O477">
        <f t="shared" si="144"/>
        <v>2</v>
      </c>
      <c r="P477">
        <f t="shared" si="144"/>
        <v>53</v>
      </c>
      <c r="Q477" s="14">
        <f t="shared" si="139"/>
        <v>173</v>
      </c>
      <c r="R477" s="13">
        <f t="shared" si="140"/>
        <v>0</v>
      </c>
      <c r="S477">
        <f t="shared" si="141"/>
        <v>2</v>
      </c>
      <c r="T477">
        <f t="shared" si="142"/>
        <v>53</v>
      </c>
      <c r="U477" s="14">
        <f t="shared" si="143"/>
        <v>173</v>
      </c>
      <c r="V477" s="15"/>
      <c r="Z477" s="14"/>
    </row>
    <row r="478" spans="1:26" hidden="1" x14ac:dyDescent="0.25">
      <c r="A478" s="16"/>
      <c r="B478" s="17" t="b">
        <f t="shared" si="128"/>
        <v>0</v>
      </c>
      <c r="C478" s="17" t="b">
        <f t="shared" si="138"/>
        <v>0</v>
      </c>
      <c r="D478" s="17">
        <f t="shared" si="135"/>
        <v>1</v>
      </c>
      <c r="E478" s="17" t="str">
        <f t="shared" si="136"/>
        <v>6. Conclusion</v>
      </c>
      <c r="F478" s="18" t="str">
        <f t="shared" si="127"/>
        <v/>
      </c>
      <c r="G478" s="13" t="str">
        <f t="shared" si="129"/>
        <v/>
      </c>
      <c r="H478">
        <f t="shared" si="130"/>
        <v>0</v>
      </c>
      <c r="I478" s="14">
        <f t="shared" si="137"/>
        <v>0</v>
      </c>
      <c r="J478" s="13">
        <f t="shared" si="131"/>
        <v>4529</v>
      </c>
      <c r="K478">
        <f t="shared" si="132"/>
        <v>1</v>
      </c>
      <c r="L478">
        <f t="shared" si="133"/>
        <v>15</v>
      </c>
      <c r="M478" s="14">
        <f t="shared" si="134"/>
        <v>29</v>
      </c>
      <c r="N478" s="13">
        <f t="shared" si="144"/>
        <v>0</v>
      </c>
      <c r="O478">
        <f t="shared" si="144"/>
        <v>2</v>
      </c>
      <c r="P478">
        <f t="shared" si="144"/>
        <v>53</v>
      </c>
      <c r="Q478" s="14">
        <f t="shared" si="139"/>
        <v>173</v>
      </c>
      <c r="R478" s="13">
        <f t="shared" si="140"/>
        <v>0</v>
      </c>
      <c r="S478">
        <f t="shared" si="141"/>
        <v>2</v>
      </c>
      <c r="T478">
        <f t="shared" si="142"/>
        <v>53</v>
      </c>
      <c r="U478" s="14">
        <f t="shared" si="143"/>
        <v>173</v>
      </c>
      <c r="V478" s="15"/>
      <c r="Z478" s="14"/>
    </row>
    <row r="479" spans="1:26" hidden="1" x14ac:dyDescent="0.25">
      <c r="A479" s="16"/>
      <c r="B479" s="17" t="b">
        <f t="shared" si="128"/>
        <v>0</v>
      </c>
      <c r="C479" s="17" t="b">
        <f t="shared" si="138"/>
        <v>0</v>
      </c>
      <c r="D479" s="17">
        <f t="shared" si="135"/>
        <v>1</v>
      </c>
      <c r="E479" s="17" t="str">
        <f t="shared" si="136"/>
        <v>6. Conclusion</v>
      </c>
      <c r="F479" s="18" t="str">
        <f t="shared" si="127"/>
        <v/>
      </c>
      <c r="G479" s="13" t="str">
        <f t="shared" si="129"/>
        <v/>
      </c>
      <c r="H479">
        <f t="shared" si="130"/>
        <v>0</v>
      </c>
      <c r="I479" s="14">
        <f t="shared" si="137"/>
        <v>0</v>
      </c>
      <c r="J479" s="13">
        <f t="shared" si="131"/>
        <v>4529</v>
      </c>
      <c r="K479">
        <f t="shared" si="132"/>
        <v>1</v>
      </c>
      <c r="L479">
        <f t="shared" si="133"/>
        <v>15</v>
      </c>
      <c r="M479" s="14">
        <f t="shared" si="134"/>
        <v>29</v>
      </c>
      <c r="N479" s="13">
        <f t="shared" si="144"/>
        <v>0</v>
      </c>
      <c r="O479">
        <f t="shared" si="144"/>
        <v>2</v>
      </c>
      <c r="P479">
        <f t="shared" si="144"/>
        <v>53</v>
      </c>
      <c r="Q479" s="14">
        <f t="shared" si="139"/>
        <v>173</v>
      </c>
      <c r="R479" s="13">
        <f t="shared" si="140"/>
        <v>0</v>
      </c>
      <c r="S479">
        <f t="shared" si="141"/>
        <v>2</v>
      </c>
      <c r="T479">
        <f t="shared" si="142"/>
        <v>53</v>
      </c>
      <c r="U479" s="14">
        <f t="shared" si="143"/>
        <v>173</v>
      </c>
      <c r="V479" s="15"/>
      <c r="Z479" s="14"/>
    </row>
    <row r="480" spans="1:26" hidden="1" x14ac:dyDescent="0.25">
      <c r="A480" s="16"/>
      <c r="B480" s="17" t="b">
        <f t="shared" si="128"/>
        <v>0</v>
      </c>
      <c r="C480" s="17" t="b">
        <f t="shared" si="138"/>
        <v>0</v>
      </c>
      <c r="D480" s="17">
        <f t="shared" si="135"/>
        <v>1</v>
      </c>
      <c r="E480" s="17" t="str">
        <f t="shared" si="136"/>
        <v>6. Conclusion</v>
      </c>
      <c r="F480" s="18" t="str">
        <f t="shared" si="127"/>
        <v/>
      </c>
      <c r="G480" s="13" t="str">
        <f t="shared" si="129"/>
        <v/>
      </c>
      <c r="H480">
        <f t="shared" si="130"/>
        <v>0</v>
      </c>
      <c r="I480" s="14">
        <f t="shared" si="137"/>
        <v>0</v>
      </c>
      <c r="J480" s="13">
        <f t="shared" si="131"/>
        <v>4529</v>
      </c>
      <c r="K480">
        <f t="shared" si="132"/>
        <v>1</v>
      </c>
      <c r="L480">
        <f t="shared" si="133"/>
        <v>15</v>
      </c>
      <c r="M480" s="14">
        <f t="shared" si="134"/>
        <v>29</v>
      </c>
      <c r="N480" s="13">
        <f t="shared" si="144"/>
        <v>0</v>
      </c>
      <c r="O480">
        <f t="shared" si="144"/>
        <v>2</v>
      </c>
      <c r="P480">
        <f t="shared" si="144"/>
        <v>53</v>
      </c>
      <c r="Q480" s="14">
        <f t="shared" si="139"/>
        <v>173</v>
      </c>
      <c r="R480" s="13">
        <f t="shared" si="140"/>
        <v>0</v>
      </c>
      <c r="S480">
        <f t="shared" si="141"/>
        <v>2</v>
      </c>
      <c r="T480">
        <f t="shared" si="142"/>
        <v>53</v>
      </c>
      <c r="U480" s="14">
        <f t="shared" si="143"/>
        <v>173</v>
      </c>
      <c r="V480" s="15"/>
      <c r="Z480" s="14"/>
    </row>
    <row r="481" spans="1:26" hidden="1" x14ac:dyDescent="0.25">
      <c r="A481" s="16"/>
      <c r="B481" s="17" t="b">
        <f t="shared" si="128"/>
        <v>0</v>
      </c>
      <c r="C481" s="17" t="b">
        <f t="shared" si="138"/>
        <v>0</v>
      </c>
      <c r="D481" s="17">
        <f t="shared" si="135"/>
        <v>1</v>
      </c>
      <c r="E481" s="17" t="str">
        <f t="shared" si="136"/>
        <v>6. Conclusion</v>
      </c>
      <c r="F481" s="18" t="str">
        <f t="shared" si="127"/>
        <v/>
      </c>
      <c r="G481" s="13" t="str">
        <f t="shared" si="129"/>
        <v/>
      </c>
      <c r="H481">
        <f t="shared" si="130"/>
        <v>0</v>
      </c>
      <c r="I481" s="14">
        <f t="shared" si="137"/>
        <v>0</v>
      </c>
      <c r="J481" s="13">
        <f t="shared" si="131"/>
        <v>4529</v>
      </c>
      <c r="K481">
        <f t="shared" si="132"/>
        <v>1</v>
      </c>
      <c r="L481">
        <f t="shared" si="133"/>
        <v>15</v>
      </c>
      <c r="M481" s="14">
        <f t="shared" si="134"/>
        <v>29</v>
      </c>
      <c r="N481" s="13">
        <f t="shared" si="144"/>
        <v>0</v>
      </c>
      <c r="O481">
        <f t="shared" si="144"/>
        <v>2</v>
      </c>
      <c r="P481">
        <f t="shared" si="144"/>
        <v>53</v>
      </c>
      <c r="Q481" s="14">
        <f t="shared" si="139"/>
        <v>173</v>
      </c>
      <c r="R481" s="13">
        <f t="shared" si="140"/>
        <v>0</v>
      </c>
      <c r="S481">
        <f t="shared" si="141"/>
        <v>2</v>
      </c>
      <c r="T481">
        <f t="shared" si="142"/>
        <v>53</v>
      </c>
      <c r="U481" s="14">
        <f t="shared" si="143"/>
        <v>173</v>
      </c>
      <c r="V481" s="15"/>
      <c r="Z481" s="14"/>
    </row>
    <row r="482" spans="1:26" hidden="1" x14ac:dyDescent="0.25">
      <c r="A482" s="16"/>
      <c r="B482" s="17" t="b">
        <f t="shared" si="128"/>
        <v>0</v>
      </c>
      <c r="C482" s="17" t="b">
        <f t="shared" si="138"/>
        <v>0</v>
      </c>
      <c r="D482" s="17">
        <f t="shared" si="135"/>
        <v>1</v>
      </c>
      <c r="E482" s="17" t="str">
        <f t="shared" si="136"/>
        <v>6. Conclusion</v>
      </c>
      <c r="F482" s="18" t="str">
        <f t="shared" si="127"/>
        <v/>
      </c>
      <c r="G482" s="13" t="str">
        <f t="shared" si="129"/>
        <v/>
      </c>
      <c r="H482">
        <f t="shared" si="130"/>
        <v>0</v>
      </c>
      <c r="I482" s="14">
        <f t="shared" si="137"/>
        <v>0</v>
      </c>
      <c r="J482" s="13">
        <f t="shared" si="131"/>
        <v>4529</v>
      </c>
      <c r="K482">
        <f t="shared" si="132"/>
        <v>1</v>
      </c>
      <c r="L482">
        <f t="shared" si="133"/>
        <v>15</v>
      </c>
      <c r="M482" s="14">
        <f t="shared" si="134"/>
        <v>29</v>
      </c>
      <c r="N482" s="13">
        <f t="shared" si="144"/>
        <v>0</v>
      </c>
      <c r="O482">
        <f t="shared" si="144"/>
        <v>2</v>
      </c>
      <c r="P482">
        <f t="shared" si="144"/>
        <v>53</v>
      </c>
      <c r="Q482" s="14">
        <f t="shared" si="139"/>
        <v>173</v>
      </c>
      <c r="R482" s="13">
        <f t="shared" si="140"/>
        <v>0</v>
      </c>
      <c r="S482">
        <f t="shared" si="141"/>
        <v>2</v>
      </c>
      <c r="T482">
        <f t="shared" si="142"/>
        <v>53</v>
      </c>
      <c r="U482" s="14">
        <f t="shared" si="143"/>
        <v>173</v>
      </c>
      <c r="V482" s="15"/>
      <c r="Z482" s="14"/>
    </row>
    <row r="483" spans="1:26" hidden="1" x14ac:dyDescent="0.25">
      <c r="A483" s="16"/>
      <c r="B483" s="17" t="b">
        <f t="shared" si="128"/>
        <v>0</v>
      </c>
      <c r="C483" s="17" t="b">
        <f t="shared" si="138"/>
        <v>0</v>
      </c>
      <c r="D483" s="17">
        <f t="shared" si="135"/>
        <v>1</v>
      </c>
      <c r="E483" s="17" t="str">
        <f t="shared" si="136"/>
        <v>6. Conclusion</v>
      </c>
      <c r="F483" s="18" t="str">
        <f t="shared" si="127"/>
        <v/>
      </c>
      <c r="G483" s="13" t="str">
        <f t="shared" si="129"/>
        <v/>
      </c>
      <c r="H483">
        <f t="shared" si="130"/>
        <v>0</v>
      </c>
      <c r="I483" s="14">
        <f t="shared" si="137"/>
        <v>0</v>
      </c>
      <c r="J483" s="13">
        <f t="shared" si="131"/>
        <v>4529</v>
      </c>
      <c r="K483">
        <f t="shared" si="132"/>
        <v>1</v>
      </c>
      <c r="L483">
        <f t="shared" si="133"/>
        <v>15</v>
      </c>
      <c r="M483" s="14">
        <f t="shared" si="134"/>
        <v>29</v>
      </c>
      <c r="N483" s="13">
        <f t="shared" si="144"/>
        <v>0</v>
      </c>
      <c r="O483">
        <f t="shared" si="144"/>
        <v>2</v>
      </c>
      <c r="P483">
        <f t="shared" si="144"/>
        <v>53</v>
      </c>
      <c r="Q483" s="14">
        <f t="shared" si="139"/>
        <v>173</v>
      </c>
      <c r="R483" s="13">
        <f t="shared" si="140"/>
        <v>0</v>
      </c>
      <c r="S483">
        <f t="shared" si="141"/>
        <v>2</v>
      </c>
      <c r="T483">
        <f t="shared" si="142"/>
        <v>53</v>
      </c>
      <c r="U483" s="14">
        <f t="shared" si="143"/>
        <v>173</v>
      </c>
      <c r="V483" s="15"/>
      <c r="Z483" s="14"/>
    </row>
    <row r="484" spans="1:26" hidden="1" x14ac:dyDescent="0.25">
      <c r="A484" s="16"/>
      <c r="B484" s="17" t="b">
        <f t="shared" si="128"/>
        <v>0</v>
      </c>
      <c r="C484" s="17" t="b">
        <f t="shared" si="138"/>
        <v>0</v>
      </c>
      <c r="D484" s="17">
        <f t="shared" si="135"/>
        <v>1</v>
      </c>
      <c r="E484" s="17" t="str">
        <f t="shared" si="136"/>
        <v>6. Conclusion</v>
      </c>
      <c r="F484" s="18" t="str">
        <f t="shared" si="127"/>
        <v/>
      </c>
      <c r="G484" s="13" t="str">
        <f t="shared" si="129"/>
        <v/>
      </c>
      <c r="H484">
        <f t="shared" si="130"/>
        <v>0</v>
      </c>
      <c r="I484" s="14">
        <f t="shared" si="137"/>
        <v>0</v>
      </c>
      <c r="J484" s="13">
        <f t="shared" si="131"/>
        <v>4529</v>
      </c>
      <c r="K484">
        <f t="shared" si="132"/>
        <v>1</v>
      </c>
      <c r="L484">
        <f t="shared" si="133"/>
        <v>15</v>
      </c>
      <c r="M484" s="14">
        <f t="shared" si="134"/>
        <v>29</v>
      </c>
      <c r="N484" s="13">
        <f t="shared" si="144"/>
        <v>0</v>
      </c>
      <c r="O484">
        <f t="shared" si="144"/>
        <v>2</v>
      </c>
      <c r="P484">
        <f t="shared" si="144"/>
        <v>53</v>
      </c>
      <c r="Q484" s="14">
        <f t="shared" si="139"/>
        <v>173</v>
      </c>
      <c r="R484" s="13">
        <f t="shared" si="140"/>
        <v>0</v>
      </c>
      <c r="S484">
        <f t="shared" si="141"/>
        <v>2</v>
      </c>
      <c r="T484">
        <f t="shared" si="142"/>
        <v>53</v>
      </c>
      <c r="U484" s="14">
        <f t="shared" si="143"/>
        <v>173</v>
      </c>
      <c r="V484" s="15"/>
      <c r="Z484" s="14"/>
    </row>
    <row r="485" spans="1:26" hidden="1" x14ac:dyDescent="0.25">
      <c r="A485" s="16"/>
      <c r="B485" s="17" t="b">
        <f t="shared" si="128"/>
        <v>0</v>
      </c>
      <c r="C485" s="17" t="b">
        <f t="shared" si="138"/>
        <v>0</v>
      </c>
      <c r="D485" s="17">
        <f t="shared" si="135"/>
        <v>1</v>
      </c>
      <c r="E485" s="17" t="str">
        <f t="shared" si="136"/>
        <v>6. Conclusion</v>
      </c>
      <c r="F485" s="18" t="str">
        <f t="shared" si="127"/>
        <v/>
      </c>
      <c r="G485" s="13" t="str">
        <f t="shared" si="129"/>
        <v/>
      </c>
      <c r="H485">
        <f t="shared" si="130"/>
        <v>0</v>
      </c>
      <c r="I485" s="14">
        <f t="shared" si="137"/>
        <v>0</v>
      </c>
      <c r="J485" s="13">
        <f t="shared" si="131"/>
        <v>4529</v>
      </c>
      <c r="K485">
        <f t="shared" si="132"/>
        <v>1</v>
      </c>
      <c r="L485">
        <f t="shared" si="133"/>
        <v>15</v>
      </c>
      <c r="M485" s="14">
        <f t="shared" si="134"/>
        <v>29</v>
      </c>
      <c r="N485" s="13">
        <f t="shared" si="144"/>
        <v>0</v>
      </c>
      <c r="O485">
        <f t="shared" si="144"/>
        <v>2</v>
      </c>
      <c r="P485">
        <f t="shared" si="144"/>
        <v>53</v>
      </c>
      <c r="Q485" s="14">
        <f t="shared" si="139"/>
        <v>173</v>
      </c>
      <c r="R485" s="13">
        <f t="shared" si="140"/>
        <v>0</v>
      </c>
      <c r="S485">
        <f t="shared" si="141"/>
        <v>2</v>
      </c>
      <c r="T485">
        <f t="shared" si="142"/>
        <v>53</v>
      </c>
      <c r="U485" s="14">
        <f t="shared" si="143"/>
        <v>173</v>
      </c>
      <c r="V485" s="15"/>
      <c r="Z485" s="14"/>
    </row>
    <row r="486" spans="1:26" hidden="1" x14ac:dyDescent="0.25">
      <c r="A486" s="16"/>
      <c r="B486" s="17" t="b">
        <f t="shared" si="128"/>
        <v>0</v>
      </c>
      <c r="C486" s="17" t="b">
        <f t="shared" si="138"/>
        <v>0</v>
      </c>
      <c r="D486" s="17">
        <f t="shared" si="135"/>
        <v>1</v>
      </c>
      <c r="E486" s="17" t="str">
        <f t="shared" si="136"/>
        <v>6. Conclusion</v>
      </c>
      <c r="F486" s="18" t="str">
        <f t="shared" si="127"/>
        <v/>
      </c>
      <c r="G486" s="13" t="str">
        <f t="shared" si="129"/>
        <v/>
      </c>
      <c r="H486">
        <f t="shared" si="130"/>
        <v>0</v>
      </c>
      <c r="I486" s="14">
        <f t="shared" si="137"/>
        <v>0</v>
      </c>
      <c r="J486" s="13">
        <f t="shared" si="131"/>
        <v>4529</v>
      </c>
      <c r="K486">
        <f t="shared" si="132"/>
        <v>1</v>
      </c>
      <c r="L486">
        <f t="shared" si="133"/>
        <v>15</v>
      </c>
      <c r="M486" s="14">
        <f t="shared" si="134"/>
        <v>29</v>
      </c>
      <c r="N486" s="13">
        <f t="shared" si="144"/>
        <v>0</v>
      </c>
      <c r="O486">
        <f t="shared" si="144"/>
        <v>2</v>
      </c>
      <c r="P486">
        <f t="shared" si="144"/>
        <v>53</v>
      </c>
      <c r="Q486" s="14">
        <f t="shared" si="139"/>
        <v>173</v>
      </c>
      <c r="R486" s="13">
        <f t="shared" si="140"/>
        <v>0</v>
      </c>
      <c r="S486">
        <f t="shared" si="141"/>
        <v>2</v>
      </c>
      <c r="T486">
        <f t="shared" si="142"/>
        <v>53</v>
      </c>
      <c r="U486" s="14">
        <f t="shared" si="143"/>
        <v>173</v>
      </c>
      <c r="V486" s="15"/>
      <c r="Z486" s="14"/>
    </row>
    <row r="487" spans="1:26" hidden="1" x14ac:dyDescent="0.25">
      <c r="A487" s="16"/>
      <c r="B487" s="17" t="b">
        <f t="shared" si="128"/>
        <v>0</v>
      </c>
      <c r="C487" s="17" t="b">
        <f t="shared" si="138"/>
        <v>0</v>
      </c>
      <c r="D487" s="17">
        <f t="shared" si="135"/>
        <v>1</v>
      </c>
      <c r="E487" s="17" t="str">
        <f t="shared" si="136"/>
        <v>6. Conclusion</v>
      </c>
      <c r="F487" s="18" t="str">
        <f t="shared" si="127"/>
        <v/>
      </c>
      <c r="G487" s="13" t="str">
        <f t="shared" si="129"/>
        <v/>
      </c>
      <c r="H487">
        <f t="shared" si="130"/>
        <v>0</v>
      </c>
      <c r="I487" s="14">
        <f t="shared" si="137"/>
        <v>0</v>
      </c>
      <c r="J487" s="13">
        <f t="shared" si="131"/>
        <v>4529</v>
      </c>
      <c r="K487">
        <f t="shared" si="132"/>
        <v>1</v>
      </c>
      <c r="L487">
        <f t="shared" si="133"/>
        <v>15</v>
      </c>
      <c r="M487" s="14">
        <f t="shared" si="134"/>
        <v>29</v>
      </c>
      <c r="N487" s="13">
        <f t="shared" si="144"/>
        <v>0</v>
      </c>
      <c r="O487">
        <f t="shared" si="144"/>
        <v>2</v>
      </c>
      <c r="P487">
        <f t="shared" si="144"/>
        <v>53</v>
      </c>
      <c r="Q487" s="14">
        <f t="shared" si="139"/>
        <v>173</v>
      </c>
      <c r="R487" s="13">
        <f t="shared" si="140"/>
        <v>0</v>
      </c>
      <c r="S487">
        <f t="shared" si="141"/>
        <v>2</v>
      </c>
      <c r="T487">
        <f t="shared" si="142"/>
        <v>53</v>
      </c>
      <c r="U487" s="14">
        <f t="shared" si="143"/>
        <v>173</v>
      </c>
      <c r="V487" s="15"/>
      <c r="Z487" s="14"/>
    </row>
    <row r="488" spans="1:26" hidden="1" x14ac:dyDescent="0.25">
      <c r="A488" s="16"/>
      <c r="B488" s="17" t="b">
        <f t="shared" si="128"/>
        <v>0</v>
      </c>
      <c r="C488" s="17" t="b">
        <f t="shared" si="138"/>
        <v>0</v>
      </c>
      <c r="D488" s="17">
        <f t="shared" si="135"/>
        <v>1</v>
      </c>
      <c r="E488" s="17" t="str">
        <f t="shared" si="136"/>
        <v>6. Conclusion</v>
      </c>
      <c r="F488" s="18" t="str">
        <f t="shared" si="127"/>
        <v/>
      </c>
      <c r="G488" s="13" t="str">
        <f t="shared" si="129"/>
        <v/>
      </c>
      <c r="H488">
        <f t="shared" si="130"/>
        <v>0</v>
      </c>
      <c r="I488" s="14">
        <f t="shared" si="137"/>
        <v>0</v>
      </c>
      <c r="J488" s="13">
        <f t="shared" si="131"/>
        <v>4529</v>
      </c>
      <c r="K488">
        <f t="shared" si="132"/>
        <v>1</v>
      </c>
      <c r="L488">
        <f t="shared" si="133"/>
        <v>15</v>
      </c>
      <c r="M488" s="14">
        <f t="shared" si="134"/>
        <v>29</v>
      </c>
      <c r="N488" s="13">
        <f t="shared" si="144"/>
        <v>0</v>
      </c>
      <c r="O488">
        <f t="shared" si="144"/>
        <v>2</v>
      </c>
      <c r="P488">
        <f t="shared" si="144"/>
        <v>53</v>
      </c>
      <c r="Q488" s="14">
        <f t="shared" si="139"/>
        <v>173</v>
      </c>
      <c r="R488" s="13">
        <f t="shared" si="140"/>
        <v>0</v>
      </c>
      <c r="S488">
        <f t="shared" si="141"/>
        <v>2</v>
      </c>
      <c r="T488">
        <f t="shared" si="142"/>
        <v>53</v>
      </c>
      <c r="U488" s="14">
        <f t="shared" si="143"/>
        <v>173</v>
      </c>
      <c r="V488" s="15"/>
      <c r="Z488" s="14"/>
    </row>
    <row r="489" spans="1:26" hidden="1" x14ac:dyDescent="0.25">
      <c r="A489" s="16"/>
      <c r="B489" s="17" t="b">
        <f t="shared" si="128"/>
        <v>0</v>
      </c>
      <c r="C489" s="17" t="b">
        <f t="shared" si="138"/>
        <v>0</v>
      </c>
      <c r="D489" s="17">
        <f t="shared" si="135"/>
        <v>1</v>
      </c>
      <c r="E489" s="17" t="str">
        <f t="shared" si="136"/>
        <v>6. Conclusion</v>
      </c>
      <c r="F489" s="18" t="str">
        <f t="shared" si="127"/>
        <v/>
      </c>
      <c r="G489" s="13" t="str">
        <f t="shared" si="129"/>
        <v/>
      </c>
      <c r="H489">
        <f t="shared" si="130"/>
        <v>0</v>
      </c>
      <c r="I489" s="14">
        <f t="shared" si="137"/>
        <v>0</v>
      </c>
      <c r="J489" s="13">
        <f t="shared" si="131"/>
        <v>4529</v>
      </c>
      <c r="K489">
        <f t="shared" si="132"/>
        <v>1</v>
      </c>
      <c r="L489">
        <f t="shared" si="133"/>
        <v>15</v>
      </c>
      <c r="M489" s="14">
        <f t="shared" si="134"/>
        <v>29</v>
      </c>
      <c r="N489" s="13">
        <f t="shared" si="144"/>
        <v>0</v>
      </c>
      <c r="O489">
        <f t="shared" si="144"/>
        <v>2</v>
      </c>
      <c r="P489">
        <f t="shared" si="144"/>
        <v>53</v>
      </c>
      <c r="Q489" s="14">
        <f t="shared" si="139"/>
        <v>173</v>
      </c>
      <c r="R489" s="13">
        <f t="shared" si="140"/>
        <v>0</v>
      </c>
      <c r="S489">
        <f t="shared" si="141"/>
        <v>2</v>
      </c>
      <c r="T489">
        <f t="shared" si="142"/>
        <v>53</v>
      </c>
      <c r="U489" s="14">
        <f t="shared" si="143"/>
        <v>173</v>
      </c>
      <c r="V489" s="15"/>
      <c r="Z489" s="14"/>
    </row>
    <row r="490" spans="1:26" hidden="1" x14ac:dyDescent="0.25">
      <c r="A490" s="16"/>
      <c r="B490" s="17" t="b">
        <f t="shared" si="128"/>
        <v>0</v>
      </c>
      <c r="C490" s="17" t="b">
        <f t="shared" si="138"/>
        <v>0</v>
      </c>
      <c r="D490" s="17">
        <f t="shared" si="135"/>
        <v>1</v>
      </c>
      <c r="E490" s="17" t="str">
        <f t="shared" si="136"/>
        <v>6. Conclusion</v>
      </c>
      <c r="F490" s="18" t="str">
        <f t="shared" si="127"/>
        <v/>
      </c>
      <c r="G490" s="13" t="str">
        <f t="shared" si="129"/>
        <v/>
      </c>
      <c r="H490">
        <f t="shared" si="130"/>
        <v>0</v>
      </c>
      <c r="I490" s="14">
        <f t="shared" si="137"/>
        <v>0</v>
      </c>
      <c r="J490" s="13">
        <f t="shared" si="131"/>
        <v>4529</v>
      </c>
      <c r="K490">
        <f t="shared" si="132"/>
        <v>1</v>
      </c>
      <c r="L490">
        <f t="shared" si="133"/>
        <v>15</v>
      </c>
      <c r="M490" s="14">
        <f t="shared" si="134"/>
        <v>29</v>
      </c>
      <c r="N490" s="13">
        <f t="shared" si="144"/>
        <v>0</v>
      </c>
      <c r="O490">
        <f t="shared" si="144"/>
        <v>2</v>
      </c>
      <c r="P490">
        <f t="shared" si="144"/>
        <v>53</v>
      </c>
      <c r="Q490" s="14">
        <f t="shared" si="139"/>
        <v>173</v>
      </c>
      <c r="R490" s="13">
        <f t="shared" si="140"/>
        <v>0</v>
      </c>
      <c r="S490">
        <f t="shared" si="141"/>
        <v>2</v>
      </c>
      <c r="T490">
        <f t="shared" si="142"/>
        <v>53</v>
      </c>
      <c r="U490" s="14">
        <f t="shared" si="143"/>
        <v>173</v>
      </c>
      <c r="V490" s="15"/>
      <c r="Z490" s="14"/>
    </row>
    <row r="491" spans="1:26" hidden="1" x14ac:dyDescent="0.25">
      <c r="A491" s="16"/>
      <c r="B491" s="17" t="b">
        <f t="shared" si="128"/>
        <v>0</v>
      </c>
      <c r="C491" s="17" t="b">
        <f t="shared" si="138"/>
        <v>0</v>
      </c>
      <c r="D491" s="17">
        <f t="shared" si="135"/>
        <v>1</v>
      </c>
      <c r="E491" s="17" t="str">
        <f t="shared" si="136"/>
        <v>6. Conclusion</v>
      </c>
      <c r="F491" s="18" t="str">
        <f t="shared" si="127"/>
        <v/>
      </c>
      <c r="G491" s="13" t="str">
        <f t="shared" si="129"/>
        <v/>
      </c>
      <c r="H491">
        <f t="shared" si="130"/>
        <v>0</v>
      </c>
      <c r="I491" s="14">
        <f t="shared" si="137"/>
        <v>0</v>
      </c>
      <c r="J491" s="13">
        <f t="shared" si="131"/>
        <v>4529</v>
      </c>
      <c r="K491">
        <f t="shared" si="132"/>
        <v>1</v>
      </c>
      <c r="L491">
        <f t="shared" si="133"/>
        <v>15</v>
      </c>
      <c r="M491" s="14">
        <f t="shared" si="134"/>
        <v>29</v>
      </c>
      <c r="N491" s="13">
        <f t="shared" si="144"/>
        <v>0</v>
      </c>
      <c r="O491">
        <f t="shared" si="144"/>
        <v>2</v>
      </c>
      <c r="P491">
        <f t="shared" si="144"/>
        <v>53</v>
      </c>
      <c r="Q491" s="14">
        <f t="shared" si="139"/>
        <v>173</v>
      </c>
      <c r="R491" s="13">
        <f t="shared" si="140"/>
        <v>0</v>
      </c>
      <c r="S491">
        <f t="shared" si="141"/>
        <v>2</v>
      </c>
      <c r="T491">
        <f t="shared" si="142"/>
        <v>53</v>
      </c>
      <c r="U491" s="14">
        <f t="shared" si="143"/>
        <v>173</v>
      </c>
      <c r="V491" s="15"/>
      <c r="Z491" s="14"/>
    </row>
    <row r="492" spans="1:26" hidden="1" x14ac:dyDescent="0.25">
      <c r="A492" s="16"/>
      <c r="B492" s="17" t="b">
        <f t="shared" si="128"/>
        <v>0</v>
      </c>
      <c r="C492" s="17" t="b">
        <f t="shared" si="138"/>
        <v>0</v>
      </c>
      <c r="D492" s="17">
        <f t="shared" si="135"/>
        <v>1</v>
      </c>
      <c r="E492" s="17" t="str">
        <f t="shared" si="136"/>
        <v>6. Conclusion</v>
      </c>
      <c r="F492" s="18" t="str">
        <f t="shared" si="127"/>
        <v/>
      </c>
      <c r="G492" s="13" t="str">
        <f t="shared" si="129"/>
        <v/>
      </c>
      <c r="H492">
        <f t="shared" si="130"/>
        <v>0</v>
      </c>
      <c r="I492" s="14">
        <f t="shared" si="137"/>
        <v>0</v>
      </c>
      <c r="J492" s="13">
        <f t="shared" si="131"/>
        <v>4529</v>
      </c>
      <c r="K492">
        <f t="shared" si="132"/>
        <v>1</v>
      </c>
      <c r="L492">
        <f t="shared" si="133"/>
        <v>15</v>
      </c>
      <c r="M492" s="14">
        <f t="shared" si="134"/>
        <v>29</v>
      </c>
      <c r="N492" s="13">
        <f t="shared" si="144"/>
        <v>0</v>
      </c>
      <c r="O492">
        <f t="shared" si="144"/>
        <v>2</v>
      </c>
      <c r="P492">
        <f t="shared" si="144"/>
        <v>53</v>
      </c>
      <c r="Q492" s="14">
        <f t="shared" si="139"/>
        <v>173</v>
      </c>
      <c r="R492" s="13">
        <f t="shared" si="140"/>
        <v>0</v>
      </c>
      <c r="S492">
        <f t="shared" si="141"/>
        <v>2</v>
      </c>
      <c r="T492">
        <f t="shared" si="142"/>
        <v>53</v>
      </c>
      <c r="U492" s="14">
        <f t="shared" si="143"/>
        <v>173</v>
      </c>
      <c r="V492" s="15"/>
      <c r="Z492" s="14"/>
    </row>
    <row r="493" spans="1:26" hidden="1" x14ac:dyDescent="0.25">
      <c r="A493" s="16"/>
      <c r="B493" s="17" t="b">
        <f t="shared" si="128"/>
        <v>0</v>
      </c>
      <c r="C493" s="17" t="b">
        <f t="shared" si="138"/>
        <v>0</v>
      </c>
      <c r="D493" s="17">
        <f t="shared" si="135"/>
        <v>1</v>
      </c>
      <c r="E493" s="17" t="str">
        <f t="shared" si="136"/>
        <v>6. Conclusion</v>
      </c>
      <c r="F493" s="18" t="str">
        <f t="shared" si="127"/>
        <v/>
      </c>
      <c r="G493" s="13" t="str">
        <f t="shared" si="129"/>
        <v/>
      </c>
      <c r="H493">
        <f t="shared" si="130"/>
        <v>0</v>
      </c>
      <c r="I493" s="14">
        <f t="shared" si="137"/>
        <v>0</v>
      </c>
      <c r="J493" s="13">
        <f t="shared" si="131"/>
        <v>4529</v>
      </c>
      <c r="K493">
        <f t="shared" si="132"/>
        <v>1</v>
      </c>
      <c r="L493">
        <f t="shared" si="133"/>
        <v>15</v>
      </c>
      <c r="M493" s="14">
        <f t="shared" si="134"/>
        <v>29</v>
      </c>
      <c r="N493" s="13">
        <f t="shared" si="144"/>
        <v>0</v>
      </c>
      <c r="O493">
        <f t="shared" si="144"/>
        <v>2</v>
      </c>
      <c r="P493">
        <f t="shared" si="144"/>
        <v>53</v>
      </c>
      <c r="Q493" s="14">
        <f t="shared" si="139"/>
        <v>173</v>
      </c>
      <c r="R493" s="13">
        <f t="shared" si="140"/>
        <v>0</v>
      </c>
      <c r="S493">
        <f t="shared" si="141"/>
        <v>2</v>
      </c>
      <c r="T493">
        <f t="shared" si="142"/>
        <v>53</v>
      </c>
      <c r="U493" s="14">
        <f t="shared" si="143"/>
        <v>173</v>
      </c>
      <c r="V493" s="15"/>
      <c r="Z493" s="14"/>
    </row>
    <row r="494" spans="1:26" hidden="1" x14ac:dyDescent="0.25">
      <c r="A494" s="16"/>
      <c r="B494" s="17" t="b">
        <f t="shared" si="128"/>
        <v>0</v>
      </c>
      <c r="C494" s="17" t="b">
        <f t="shared" si="138"/>
        <v>0</v>
      </c>
      <c r="D494" s="17">
        <f t="shared" si="135"/>
        <v>1</v>
      </c>
      <c r="E494" s="17" t="str">
        <f t="shared" si="136"/>
        <v>6. Conclusion</v>
      </c>
      <c r="F494" s="18" t="str">
        <f t="shared" si="127"/>
        <v/>
      </c>
      <c r="G494" s="13" t="str">
        <f t="shared" si="129"/>
        <v/>
      </c>
      <c r="H494">
        <f t="shared" si="130"/>
        <v>0</v>
      </c>
      <c r="I494" s="14">
        <f t="shared" si="137"/>
        <v>0</v>
      </c>
      <c r="J494" s="13">
        <f t="shared" si="131"/>
        <v>4529</v>
      </c>
      <c r="K494">
        <f t="shared" si="132"/>
        <v>1</v>
      </c>
      <c r="L494">
        <f t="shared" si="133"/>
        <v>15</v>
      </c>
      <c r="M494" s="14">
        <f t="shared" si="134"/>
        <v>29</v>
      </c>
      <c r="N494" s="13">
        <f t="shared" si="144"/>
        <v>0</v>
      </c>
      <c r="O494">
        <f t="shared" si="144"/>
        <v>2</v>
      </c>
      <c r="P494">
        <f t="shared" si="144"/>
        <v>53</v>
      </c>
      <c r="Q494" s="14">
        <f t="shared" si="139"/>
        <v>173</v>
      </c>
      <c r="R494" s="13">
        <f t="shared" si="140"/>
        <v>0</v>
      </c>
      <c r="S494">
        <f t="shared" si="141"/>
        <v>2</v>
      </c>
      <c r="T494">
        <f t="shared" si="142"/>
        <v>53</v>
      </c>
      <c r="U494" s="14">
        <f t="shared" si="143"/>
        <v>173</v>
      </c>
      <c r="V494" s="15"/>
      <c r="Z494" s="14"/>
    </row>
    <row r="495" spans="1:26" hidden="1" x14ac:dyDescent="0.25">
      <c r="A495" s="16"/>
      <c r="B495" s="17" t="b">
        <f t="shared" si="128"/>
        <v>0</v>
      </c>
      <c r="C495" s="17" t="b">
        <f t="shared" si="138"/>
        <v>0</v>
      </c>
      <c r="D495" s="17">
        <f t="shared" si="135"/>
        <v>1</v>
      </c>
      <c r="E495" s="17" t="str">
        <f t="shared" si="136"/>
        <v>6. Conclusion</v>
      </c>
      <c r="F495" s="18" t="str">
        <f t="shared" si="127"/>
        <v/>
      </c>
      <c r="G495" s="13" t="str">
        <f t="shared" si="129"/>
        <v/>
      </c>
      <c r="H495">
        <f t="shared" si="130"/>
        <v>0</v>
      </c>
      <c r="I495" s="14">
        <f t="shared" si="137"/>
        <v>0</v>
      </c>
      <c r="J495" s="13">
        <f t="shared" si="131"/>
        <v>4529</v>
      </c>
      <c r="K495">
        <f t="shared" si="132"/>
        <v>1</v>
      </c>
      <c r="L495">
        <f t="shared" si="133"/>
        <v>15</v>
      </c>
      <c r="M495" s="14">
        <f t="shared" si="134"/>
        <v>29</v>
      </c>
      <c r="N495" s="13">
        <f t="shared" si="144"/>
        <v>0</v>
      </c>
      <c r="O495">
        <f t="shared" si="144"/>
        <v>2</v>
      </c>
      <c r="P495">
        <f t="shared" si="144"/>
        <v>53</v>
      </c>
      <c r="Q495" s="14">
        <f t="shared" si="139"/>
        <v>173</v>
      </c>
      <c r="R495" s="13">
        <f t="shared" si="140"/>
        <v>0</v>
      </c>
      <c r="S495">
        <f t="shared" si="141"/>
        <v>2</v>
      </c>
      <c r="T495">
        <f t="shared" si="142"/>
        <v>53</v>
      </c>
      <c r="U495" s="14">
        <f t="shared" si="143"/>
        <v>173</v>
      </c>
      <c r="V495" s="15"/>
      <c r="Z495" s="14"/>
    </row>
    <row r="496" spans="1:26" hidden="1" x14ac:dyDescent="0.25">
      <c r="A496" s="16"/>
      <c r="B496" s="17" t="b">
        <f t="shared" si="128"/>
        <v>0</v>
      </c>
      <c r="C496" s="17" t="b">
        <f t="shared" si="138"/>
        <v>0</v>
      </c>
      <c r="D496" s="17">
        <f t="shared" si="135"/>
        <v>1</v>
      </c>
      <c r="E496" s="17" t="str">
        <f t="shared" si="136"/>
        <v>6. Conclusion</v>
      </c>
      <c r="F496" s="18" t="str">
        <f t="shared" si="127"/>
        <v/>
      </c>
      <c r="G496" s="13" t="str">
        <f t="shared" si="129"/>
        <v/>
      </c>
      <c r="H496">
        <f t="shared" si="130"/>
        <v>0</v>
      </c>
      <c r="I496" s="14">
        <f t="shared" si="137"/>
        <v>0</v>
      </c>
      <c r="J496" s="13">
        <f t="shared" si="131"/>
        <v>4529</v>
      </c>
      <c r="K496">
        <f t="shared" si="132"/>
        <v>1</v>
      </c>
      <c r="L496">
        <f t="shared" si="133"/>
        <v>15</v>
      </c>
      <c r="M496" s="14">
        <f t="shared" si="134"/>
        <v>29</v>
      </c>
      <c r="N496" s="13">
        <f t="shared" si="144"/>
        <v>0</v>
      </c>
      <c r="O496">
        <f t="shared" si="144"/>
        <v>2</v>
      </c>
      <c r="P496">
        <f t="shared" si="144"/>
        <v>53</v>
      </c>
      <c r="Q496" s="14">
        <f t="shared" si="139"/>
        <v>173</v>
      </c>
      <c r="R496" s="13">
        <f t="shared" si="140"/>
        <v>0</v>
      </c>
      <c r="S496">
        <f t="shared" si="141"/>
        <v>2</v>
      </c>
      <c r="T496">
        <f t="shared" si="142"/>
        <v>53</v>
      </c>
      <c r="U496" s="14">
        <f t="shared" si="143"/>
        <v>173</v>
      </c>
      <c r="V496" s="15"/>
      <c r="Z496" s="14"/>
    </row>
    <row r="497" spans="1:26" hidden="1" x14ac:dyDescent="0.25">
      <c r="A497" s="16"/>
      <c r="B497" s="17" t="b">
        <f t="shared" si="128"/>
        <v>0</v>
      </c>
      <c r="C497" s="17" t="b">
        <f t="shared" si="138"/>
        <v>0</v>
      </c>
      <c r="D497" s="17">
        <f t="shared" si="135"/>
        <v>1</v>
      </c>
      <c r="E497" s="17" t="str">
        <f t="shared" si="136"/>
        <v>6. Conclusion</v>
      </c>
      <c r="F497" s="18" t="str">
        <f t="shared" si="127"/>
        <v/>
      </c>
      <c r="G497" s="13" t="str">
        <f t="shared" si="129"/>
        <v/>
      </c>
      <c r="H497">
        <f t="shared" si="130"/>
        <v>0</v>
      </c>
      <c r="I497" s="14">
        <f t="shared" si="137"/>
        <v>0</v>
      </c>
      <c r="J497" s="13">
        <f t="shared" si="131"/>
        <v>4529</v>
      </c>
      <c r="K497">
        <f t="shared" si="132"/>
        <v>1</v>
      </c>
      <c r="L497">
        <f t="shared" si="133"/>
        <v>15</v>
      </c>
      <c r="M497" s="14">
        <f t="shared" si="134"/>
        <v>29</v>
      </c>
      <c r="N497" s="13">
        <f t="shared" si="144"/>
        <v>0</v>
      </c>
      <c r="O497">
        <f t="shared" si="144"/>
        <v>2</v>
      </c>
      <c r="P497">
        <f t="shared" si="144"/>
        <v>53</v>
      </c>
      <c r="Q497" s="14">
        <f t="shared" si="139"/>
        <v>173</v>
      </c>
      <c r="R497" s="13">
        <f t="shared" si="140"/>
        <v>0</v>
      </c>
      <c r="S497">
        <f t="shared" si="141"/>
        <v>2</v>
      </c>
      <c r="T497">
        <f t="shared" si="142"/>
        <v>53</v>
      </c>
      <c r="U497" s="14">
        <f t="shared" si="143"/>
        <v>173</v>
      </c>
      <c r="V497" s="15"/>
      <c r="Z497" s="14"/>
    </row>
    <row r="498" spans="1:26" hidden="1" x14ac:dyDescent="0.25">
      <c r="A498" s="16"/>
      <c r="B498" s="17" t="b">
        <f t="shared" si="128"/>
        <v>0</v>
      </c>
      <c r="C498" s="17" t="b">
        <f t="shared" si="138"/>
        <v>0</v>
      </c>
      <c r="D498" s="17">
        <f t="shared" si="135"/>
        <v>1</v>
      </c>
      <c r="E498" s="17" t="str">
        <f t="shared" si="136"/>
        <v>6. Conclusion</v>
      </c>
      <c r="F498" s="18" t="str">
        <f t="shared" si="127"/>
        <v/>
      </c>
      <c r="G498" s="13" t="str">
        <f t="shared" si="129"/>
        <v/>
      </c>
      <c r="H498">
        <f t="shared" si="130"/>
        <v>0</v>
      </c>
      <c r="I498" s="14">
        <f t="shared" si="137"/>
        <v>0</v>
      </c>
      <c r="J498" s="13">
        <f t="shared" si="131"/>
        <v>4529</v>
      </c>
      <c r="K498">
        <f t="shared" si="132"/>
        <v>1</v>
      </c>
      <c r="L498">
        <f t="shared" si="133"/>
        <v>15</v>
      </c>
      <c r="M498" s="14">
        <f t="shared" si="134"/>
        <v>29</v>
      </c>
      <c r="N498" s="13">
        <f t="shared" si="144"/>
        <v>0</v>
      </c>
      <c r="O498">
        <f t="shared" si="144"/>
        <v>2</v>
      </c>
      <c r="P498">
        <f t="shared" si="144"/>
        <v>53</v>
      </c>
      <c r="Q498" s="14">
        <f t="shared" si="139"/>
        <v>173</v>
      </c>
      <c r="R498" s="13">
        <f t="shared" si="140"/>
        <v>0</v>
      </c>
      <c r="S498">
        <f t="shared" si="141"/>
        <v>2</v>
      </c>
      <c r="T498">
        <f t="shared" si="142"/>
        <v>53</v>
      </c>
      <c r="U498" s="14">
        <f t="shared" si="143"/>
        <v>173</v>
      </c>
      <c r="V498" s="15"/>
      <c r="Z498" s="14"/>
    </row>
    <row r="499" spans="1:26" hidden="1" x14ac:dyDescent="0.25">
      <c r="A499" s="16"/>
      <c r="B499" s="17" t="b">
        <f t="shared" si="128"/>
        <v>0</v>
      </c>
      <c r="C499" s="17" t="b">
        <f t="shared" si="138"/>
        <v>0</v>
      </c>
      <c r="D499" s="17">
        <f t="shared" si="135"/>
        <v>1</v>
      </c>
      <c r="E499" s="17" t="str">
        <f t="shared" si="136"/>
        <v>6. Conclusion</v>
      </c>
      <c r="F499" s="18" t="str">
        <f t="shared" si="127"/>
        <v/>
      </c>
      <c r="G499" s="13" t="str">
        <f t="shared" si="129"/>
        <v/>
      </c>
      <c r="H499">
        <f t="shared" si="130"/>
        <v>0</v>
      </c>
      <c r="I499" s="14">
        <f t="shared" si="137"/>
        <v>0</v>
      </c>
      <c r="J499" s="13">
        <f t="shared" si="131"/>
        <v>4529</v>
      </c>
      <c r="K499">
        <f t="shared" si="132"/>
        <v>1</v>
      </c>
      <c r="L499">
        <f t="shared" si="133"/>
        <v>15</v>
      </c>
      <c r="M499" s="14">
        <f t="shared" si="134"/>
        <v>29</v>
      </c>
      <c r="N499" s="13">
        <f t="shared" si="144"/>
        <v>0</v>
      </c>
      <c r="O499">
        <f t="shared" si="144"/>
        <v>2</v>
      </c>
      <c r="P499">
        <f t="shared" si="144"/>
        <v>53</v>
      </c>
      <c r="Q499" s="14">
        <f t="shared" si="139"/>
        <v>173</v>
      </c>
      <c r="R499" s="13">
        <f t="shared" si="140"/>
        <v>0</v>
      </c>
      <c r="S499">
        <f t="shared" si="141"/>
        <v>2</v>
      </c>
      <c r="T499">
        <f t="shared" si="142"/>
        <v>53</v>
      </c>
      <c r="U499" s="14">
        <f t="shared" si="143"/>
        <v>173</v>
      </c>
      <c r="V499" s="15"/>
      <c r="Z499" s="14"/>
    </row>
    <row r="500" spans="1:26" hidden="1" x14ac:dyDescent="0.25">
      <c r="A500" s="16"/>
      <c r="B500" s="17" t="b">
        <f t="shared" si="128"/>
        <v>0</v>
      </c>
      <c r="C500" s="17" t="b">
        <f t="shared" si="138"/>
        <v>0</v>
      </c>
      <c r="D500" s="17">
        <f t="shared" si="135"/>
        <v>1</v>
      </c>
      <c r="E500" s="17" t="str">
        <f t="shared" si="136"/>
        <v>6. Conclusion</v>
      </c>
      <c r="F500" s="18" t="str">
        <f t="shared" si="127"/>
        <v/>
      </c>
      <c r="G500" s="13" t="str">
        <f t="shared" si="129"/>
        <v/>
      </c>
      <c r="H500">
        <f t="shared" si="130"/>
        <v>0</v>
      </c>
      <c r="I500" s="14">
        <f t="shared" si="137"/>
        <v>0</v>
      </c>
      <c r="J500" s="13">
        <f t="shared" si="131"/>
        <v>4529</v>
      </c>
      <c r="K500">
        <f t="shared" si="132"/>
        <v>1</v>
      </c>
      <c r="L500">
        <f t="shared" si="133"/>
        <v>15</v>
      </c>
      <c r="M500" s="14">
        <f t="shared" si="134"/>
        <v>29</v>
      </c>
      <c r="N500" s="13">
        <f t="shared" si="144"/>
        <v>0</v>
      </c>
      <c r="O500">
        <f t="shared" si="144"/>
        <v>2</v>
      </c>
      <c r="P500">
        <f t="shared" si="144"/>
        <v>53</v>
      </c>
      <c r="Q500" s="14">
        <f t="shared" si="139"/>
        <v>173</v>
      </c>
      <c r="R500" s="13">
        <f t="shared" si="140"/>
        <v>0</v>
      </c>
      <c r="S500">
        <f t="shared" si="141"/>
        <v>2</v>
      </c>
      <c r="T500">
        <f t="shared" si="142"/>
        <v>53</v>
      </c>
      <c r="U500" s="14">
        <f t="shared" si="143"/>
        <v>173</v>
      </c>
      <c r="V500" s="15"/>
      <c r="Z500" s="14"/>
    </row>
    <row r="501" spans="1:26" hidden="1" x14ac:dyDescent="0.25">
      <c r="A501" s="16"/>
      <c r="B501" s="17" t="b">
        <f t="shared" si="128"/>
        <v>0</v>
      </c>
      <c r="C501" s="17" t="b">
        <f t="shared" si="138"/>
        <v>0</v>
      </c>
      <c r="D501" s="17">
        <f t="shared" si="135"/>
        <v>1</v>
      </c>
      <c r="E501" s="17" t="str">
        <f t="shared" si="136"/>
        <v>6. Conclusion</v>
      </c>
      <c r="F501" s="18" t="str">
        <f t="shared" ref="F501:F564" si="145">IF(C501,D501&amp;". "&amp;A501,IF(A501="Chapter Quiz",A501,""))</f>
        <v/>
      </c>
      <c r="G501" s="13" t="str">
        <f t="shared" si="129"/>
        <v/>
      </c>
      <c r="H501">
        <f t="shared" si="130"/>
        <v>0</v>
      </c>
      <c r="I501" s="14">
        <f t="shared" si="137"/>
        <v>0</v>
      </c>
      <c r="J501" s="13">
        <f t="shared" si="131"/>
        <v>4529</v>
      </c>
      <c r="K501">
        <f t="shared" si="132"/>
        <v>1</v>
      </c>
      <c r="L501">
        <f t="shared" si="133"/>
        <v>15</v>
      </c>
      <c r="M501" s="14">
        <f t="shared" si="134"/>
        <v>29</v>
      </c>
      <c r="N501" s="13">
        <f t="shared" si="144"/>
        <v>0</v>
      </c>
      <c r="O501">
        <f t="shared" si="144"/>
        <v>2</v>
      </c>
      <c r="P501">
        <f t="shared" si="144"/>
        <v>53</v>
      </c>
      <c r="Q501" s="14">
        <f t="shared" si="139"/>
        <v>173</v>
      </c>
      <c r="R501" s="13">
        <f t="shared" si="140"/>
        <v>0</v>
      </c>
      <c r="S501">
        <f t="shared" si="141"/>
        <v>2</v>
      </c>
      <c r="T501">
        <f t="shared" si="142"/>
        <v>53</v>
      </c>
      <c r="U501" s="14">
        <f t="shared" si="143"/>
        <v>173</v>
      </c>
      <c r="V501" s="15"/>
      <c r="Z501" s="14"/>
    </row>
    <row r="502" spans="1:26" hidden="1" x14ac:dyDescent="0.25">
      <c r="A502" s="16"/>
      <c r="B502" s="17" t="b">
        <f t="shared" si="128"/>
        <v>0</v>
      </c>
      <c r="C502" s="17" t="b">
        <f t="shared" si="138"/>
        <v>0</v>
      </c>
      <c r="D502" s="17">
        <f t="shared" si="135"/>
        <v>1</v>
      </c>
      <c r="E502" s="17" t="str">
        <f t="shared" si="136"/>
        <v>6. Conclusion</v>
      </c>
      <c r="F502" s="18" t="str">
        <f t="shared" si="145"/>
        <v/>
      </c>
      <c r="G502" s="13" t="str">
        <f t="shared" si="129"/>
        <v/>
      </c>
      <c r="H502">
        <f t="shared" si="130"/>
        <v>0</v>
      </c>
      <c r="I502" s="14">
        <f t="shared" si="137"/>
        <v>0</v>
      </c>
      <c r="J502" s="13">
        <f t="shared" si="131"/>
        <v>4529</v>
      </c>
      <c r="K502">
        <f t="shared" si="132"/>
        <v>1</v>
      </c>
      <c r="L502">
        <f t="shared" si="133"/>
        <v>15</v>
      </c>
      <c r="M502" s="14">
        <f t="shared" si="134"/>
        <v>29</v>
      </c>
      <c r="N502" s="13">
        <f t="shared" si="144"/>
        <v>0</v>
      </c>
      <c r="O502">
        <f t="shared" si="144"/>
        <v>2</v>
      </c>
      <c r="P502">
        <f t="shared" si="144"/>
        <v>53</v>
      </c>
      <c r="Q502" s="14">
        <f t="shared" si="139"/>
        <v>173</v>
      </c>
      <c r="R502" s="13">
        <f t="shared" si="140"/>
        <v>0</v>
      </c>
      <c r="S502">
        <f t="shared" si="141"/>
        <v>2</v>
      </c>
      <c r="T502">
        <f t="shared" si="142"/>
        <v>53</v>
      </c>
      <c r="U502" s="14">
        <f t="shared" si="143"/>
        <v>173</v>
      </c>
      <c r="V502" s="15"/>
      <c r="Z502" s="14"/>
    </row>
    <row r="503" spans="1:26" hidden="1" x14ac:dyDescent="0.25">
      <c r="A503" s="16"/>
      <c r="B503" s="17" t="b">
        <f t="shared" si="128"/>
        <v>0</v>
      </c>
      <c r="C503" s="17" t="b">
        <f t="shared" si="138"/>
        <v>0</v>
      </c>
      <c r="D503" s="17">
        <f t="shared" si="135"/>
        <v>1</v>
      </c>
      <c r="E503" s="17" t="str">
        <f t="shared" si="136"/>
        <v>6. Conclusion</v>
      </c>
      <c r="F503" s="18" t="str">
        <f t="shared" si="145"/>
        <v/>
      </c>
      <c r="G503" s="13" t="str">
        <f t="shared" si="129"/>
        <v/>
      </c>
      <c r="H503">
        <f t="shared" si="130"/>
        <v>0</v>
      </c>
      <c r="I503" s="14">
        <f t="shared" si="137"/>
        <v>0</v>
      </c>
      <c r="J503" s="13">
        <f t="shared" si="131"/>
        <v>4529</v>
      </c>
      <c r="K503">
        <f t="shared" si="132"/>
        <v>1</v>
      </c>
      <c r="L503">
        <f t="shared" si="133"/>
        <v>15</v>
      </c>
      <c r="M503" s="14">
        <f t="shared" si="134"/>
        <v>29</v>
      </c>
      <c r="N503" s="13">
        <f t="shared" si="144"/>
        <v>0</v>
      </c>
      <c r="O503">
        <f t="shared" si="144"/>
        <v>2</v>
      </c>
      <c r="P503">
        <f t="shared" si="144"/>
        <v>53</v>
      </c>
      <c r="Q503" s="14">
        <f t="shared" si="139"/>
        <v>173</v>
      </c>
      <c r="R503" s="13">
        <f t="shared" si="140"/>
        <v>0</v>
      </c>
      <c r="S503">
        <f t="shared" si="141"/>
        <v>2</v>
      </c>
      <c r="T503">
        <f t="shared" si="142"/>
        <v>53</v>
      </c>
      <c r="U503" s="14">
        <f t="shared" si="143"/>
        <v>173</v>
      </c>
      <c r="V503" s="15"/>
      <c r="Z503" s="14"/>
    </row>
    <row r="504" spans="1:26" hidden="1" x14ac:dyDescent="0.25">
      <c r="A504" s="16"/>
      <c r="B504" s="17" t="b">
        <f t="shared" si="128"/>
        <v>0</v>
      </c>
      <c r="C504" s="17" t="b">
        <f t="shared" si="138"/>
        <v>0</v>
      </c>
      <c r="D504" s="17">
        <f t="shared" si="135"/>
        <v>1</v>
      </c>
      <c r="E504" s="17" t="str">
        <f t="shared" si="136"/>
        <v>6. Conclusion</v>
      </c>
      <c r="F504" s="18" t="str">
        <f t="shared" si="145"/>
        <v/>
      </c>
      <c r="G504" s="13" t="str">
        <f t="shared" si="129"/>
        <v/>
      </c>
      <c r="H504">
        <f t="shared" si="130"/>
        <v>0</v>
      </c>
      <c r="I504" s="14">
        <f t="shared" si="137"/>
        <v>0</v>
      </c>
      <c r="J504" s="13">
        <f t="shared" si="131"/>
        <v>4529</v>
      </c>
      <c r="K504">
        <f t="shared" si="132"/>
        <v>1</v>
      </c>
      <c r="L504">
        <f t="shared" si="133"/>
        <v>15</v>
      </c>
      <c r="M504" s="14">
        <f t="shared" si="134"/>
        <v>29</v>
      </c>
      <c r="N504" s="13">
        <f t="shared" si="144"/>
        <v>0</v>
      </c>
      <c r="O504">
        <f t="shared" si="144"/>
        <v>2</v>
      </c>
      <c r="P504">
        <f t="shared" si="144"/>
        <v>53</v>
      </c>
      <c r="Q504" s="14">
        <f t="shared" si="139"/>
        <v>173</v>
      </c>
      <c r="R504" s="13">
        <f t="shared" si="140"/>
        <v>0</v>
      </c>
      <c r="S504">
        <f t="shared" si="141"/>
        <v>2</v>
      </c>
      <c r="T504">
        <f t="shared" si="142"/>
        <v>53</v>
      </c>
      <c r="U504" s="14">
        <f t="shared" si="143"/>
        <v>173</v>
      </c>
      <c r="V504" s="15"/>
      <c r="Z504" s="14"/>
    </row>
    <row r="505" spans="1:26" hidden="1" x14ac:dyDescent="0.25">
      <c r="A505" s="16"/>
      <c r="B505" s="17" t="b">
        <f t="shared" si="128"/>
        <v>0</v>
      </c>
      <c r="C505" s="17" t="b">
        <f t="shared" si="138"/>
        <v>0</v>
      </c>
      <c r="D505" s="17">
        <f t="shared" si="135"/>
        <v>1</v>
      </c>
      <c r="E505" s="17" t="str">
        <f t="shared" si="136"/>
        <v>6. Conclusion</v>
      </c>
      <c r="F505" s="18" t="str">
        <f t="shared" si="145"/>
        <v/>
      </c>
      <c r="G505" s="13" t="str">
        <f t="shared" si="129"/>
        <v/>
      </c>
      <c r="H505">
        <f t="shared" si="130"/>
        <v>0</v>
      </c>
      <c r="I505" s="14">
        <f t="shared" si="137"/>
        <v>0</v>
      </c>
      <c r="J505" s="13">
        <f t="shared" si="131"/>
        <v>4529</v>
      </c>
      <c r="K505">
        <f t="shared" si="132"/>
        <v>1</v>
      </c>
      <c r="L505">
        <f t="shared" si="133"/>
        <v>15</v>
      </c>
      <c r="M505" s="14">
        <f t="shared" si="134"/>
        <v>29</v>
      </c>
      <c r="N505" s="13">
        <f t="shared" si="144"/>
        <v>0</v>
      </c>
      <c r="O505">
        <f t="shared" si="144"/>
        <v>2</v>
      </c>
      <c r="P505">
        <f t="shared" si="144"/>
        <v>53</v>
      </c>
      <c r="Q505" s="14">
        <f t="shared" si="139"/>
        <v>173</v>
      </c>
      <c r="R505" s="13">
        <f t="shared" si="140"/>
        <v>0</v>
      </c>
      <c r="S505">
        <f t="shared" si="141"/>
        <v>2</v>
      </c>
      <c r="T505">
        <f t="shared" si="142"/>
        <v>53</v>
      </c>
      <c r="U505" s="14">
        <f t="shared" si="143"/>
        <v>173</v>
      </c>
      <c r="V505" s="15"/>
      <c r="Z505" s="14"/>
    </row>
    <row r="506" spans="1:26" hidden="1" x14ac:dyDescent="0.25">
      <c r="A506" s="16"/>
      <c r="B506" s="17" t="b">
        <f t="shared" si="128"/>
        <v>0</v>
      </c>
      <c r="C506" s="17" t="b">
        <f t="shared" si="138"/>
        <v>0</v>
      </c>
      <c r="D506" s="17">
        <f t="shared" si="135"/>
        <v>1</v>
      </c>
      <c r="E506" s="17" t="str">
        <f t="shared" si="136"/>
        <v>6. Conclusion</v>
      </c>
      <c r="F506" s="18" t="str">
        <f t="shared" si="145"/>
        <v/>
      </c>
      <c r="G506" s="13" t="str">
        <f t="shared" si="129"/>
        <v/>
      </c>
      <c r="H506">
        <f t="shared" si="130"/>
        <v>0</v>
      </c>
      <c r="I506" s="14">
        <f t="shared" si="137"/>
        <v>0</v>
      </c>
      <c r="J506" s="13">
        <f t="shared" si="131"/>
        <v>4529</v>
      </c>
      <c r="K506">
        <f t="shared" si="132"/>
        <v>1</v>
      </c>
      <c r="L506">
        <f t="shared" si="133"/>
        <v>15</v>
      </c>
      <c r="M506" s="14">
        <f t="shared" si="134"/>
        <v>29</v>
      </c>
      <c r="N506" s="13">
        <f t="shared" si="144"/>
        <v>0</v>
      </c>
      <c r="O506">
        <f t="shared" si="144"/>
        <v>2</v>
      </c>
      <c r="P506">
        <f t="shared" si="144"/>
        <v>53</v>
      </c>
      <c r="Q506" s="14">
        <f t="shared" si="139"/>
        <v>173</v>
      </c>
      <c r="R506" s="13">
        <f t="shared" si="140"/>
        <v>0</v>
      </c>
      <c r="S506">
        <f t="shared" si="141"/>
        <v>2</v>
      </c>
      <c r="T506">
        <f t="shared" si="142"/>
        <v>53</v>
      </c>
      <c r="U506" s="14">
        <f t="shared" si="143"/>
        <v>173</v>
      </c>
      <c r="V506" s="15"/>
      <c r="Z506" s="14"/>
    </row>
    <row r="507" spans="1:26" hidden="1" x14ac:dyDescent="0.25">
      <c r="A507" s="16"/>
      <c r="B507" s="17" t="b">
        <f t="shared" si="128"/>
        <v>0</v>
      </c>
      <c r="C507" s="17" t="b">
        <f t="shared" si="138"/>
        <v>0</v>
      </c>
      <c r="D507" s="17">
        <f t="shared" si="135"/>
        <v>1</v>
      </c>
      <c r="E507" s="17" t="str">
        <f t="shared" si="136"/>
        <v>6. Conclusion</v>
      </c>
      <c r="F507" s="18" t="str">
        <f t="shared" si="145"/>
        <v/>
      </c>
      <c r="G507" s="13" t="str">
        <f t="shared" si="129"/>
        <v/>
      </c>
      <c r="H507">
        <f t="shared" si="130"/>
        <v>0</v>
      </c>
      <c r="I507" s="14">
        <f t="shared" si="137"/>
        <v>0</v>
      </c>
      <c r="J507" s="13">
        <f t="shared" si="131"/>
        <v>4529</v>
      </c>
      <c r="K507">
        <f t="shared" si="132"/>
        <v>1</v>
      </c>
      <c r="L507">
        <f t="shared" si="133"/>
        <v>15</v>
      </c>
      <c r="M507" s="14">
        <f t="shared" si="134"/>
        <v>29</v>
      </c>
      <c r="N507" s="13">
        <f t="shared" si="144"/>
        <v>0</v>
      </c>
      <c r="O507">
        <f t="shared" si="144"/>
        <v>2</v>
      </c>
      <c r="P507">
        <f t="shared" si="144"/>
        <v>53</v>
      </c>
      <c r="Q507" s="14">
        <f t="shared" si="139"/>
        <v>173</v>
      </c>
      <c r="R507" s="13">
        <f t="shared" si="140"/>
        <v>0</v>
      </c>
      <c r="S507">
        <f t="shared" si="141"/>
        <v>2</v>
      </c>
      <c r="T507">
        <f t="shared" si="142"/>
        <v>53</v>
      </c>
      <c r="U507" s="14">
        <f t="shared" si="143"/>
        <v>173</v>
      </c>
      <c r="V507" s="15"/>
      <c r="Z507" s="14"/>
    </row>
    <row r="508" spans="1:26" hidden="1" x14ac:dyDescent="0.25">
      <c r="A508" s="16"/>
      <c r="B508" s="17" t="b">
        <f t="shared" si="128"/>
        <v>0</v>
      </c>
      <c r="C508" s="17" t="b">
        <f t="shared" si="138"/>
        <v>0</v>
      </c>
      <c r="D508" s="17">
        <f t="shared" si="135"/>
        <v>1</v>
      </c>
      <c r="E508" s="17" t="str">
        <f t="shared" si="136"/>
        <v>6. Conclusion</v>
      </c>
      <c r="F508" s="18" t="str">
        <f t="shared" si="145"/>
        <v/>
      </c>
      <c r="G508" s="13" t="str">
        <f t="shared" si="129"/>
        <v/>
      </c>
      <c r="H508">
        <f t="shared" si="130"/>
        <v>0</v>
      </c>
      <c r="I508" s="14">
        <f t="shared" si="137"/>
        <v>0</v>
      </c>
      <c r="J508" s="13">
        <f t="shared" si="131"/>
        <v>4529</v>
      </c>
      <c r="K508">
        <f t="shared" si="132"/>
        <v>1</v>
      </c>
      <c r="L508">
        <f t="shared" si="133"/>
        <v>15</v>
      </c>
      <c r="M508" s="14">
        <f t="shared" si="134"/>
        <v>29</v>
      </c>
      <c r="N508" s="13">
        <f t="shared" si="144"/>
        <v>0</v>
      </c>
      <c r="O508">
        <f t="shared" si="144"/>
        <v>2</v>
      </c>
      <c r="P508">
        <f t="shared" si="144"/>
        <v>53</v>
      </c>
      <c r="Q508" s="14">
        <f t="shared" si="139"/>
        <v>173</v>
      </c>
      <c r="R508" s="13">
        <f t="shared" si="140"/>
        <v>0</v>
      </c>
      <c r="S508">
        <f t="shared" si="141"/>
        <v>2</v>
      </c>
      <c r="T508">
        <f t="shared" si="142"/>
        <v>53</v>
      </c>
      <c r="U508" s="14">
        <f t="shared" si="143"/>
        <v>173</v>
      </c>
      <c r="V508" s="15"/>
      <c r="Z508" s="14"/>
    </row>
    <row r="509" spans="1:26" hidden="1" x14ac:dyDescent="0.25">
      <c r="A509" s="16"/>
      <c r="B509" s="17" t="b">
        <f t="shared" si="128"/>
        <v>0</v>
      </c>
      <c r="C509" s="17" t="b">
        <f t="shared" si="138"/>
        <v>0</v>
      </c>
      <c r="D509" s="17">
        <f t="shared" si="135"/>
        <v>1</v>
      </c>
      <c r="E509" s="17" t="str">
        <f t="shared" si="136"/>
        <v>6. Conclusion</v>
      </c>
      <c r="F509" s="18" t="str">
        <f t="shared" si="145"/>
        <v/>
      </c>
      <c r="G509" s="13" t="str">
        <f t="shared" si="129"/>
        <v/>
      </c>
      <c r="H509">
        <f t="shared" si="130"/>
        <v>0</v>
      </c>
      <c r="I509" s="14">
        <f t="shared" si="137"/>
        <v>0</v>
      </c>
      <c r="J509" s="13">
        <f t="shared" si="131"/>
        <v>4529</v>
      </c>
      <c r="K509">
        <f t="shared" si="132"/>
        <v>1</v>
      </c>
      <c r="L509">
        <f t="shared" si="133"/>
        <v>15</v>
      </c>
      <c r="M509" s="14">
        <f t="shared" si="134"/>
        <v>29</v>
      </c>
      <c r="N509" s="13">
        <f t="shared" si="144"/>
        <v>0</v>
      </c>
      <c r="O509">
        <f t="shared" si="144"/>
        <v>2</v>
      </c>
      <c r="P509">
        <f t="shared" si="144"/>
        <v>53</v>
      </c>
      <c r="Q509" s="14">
        <f t="shared" si="139"/>
        <v>173</v>
      </c>
      <c r="R509" s="13">
        <f t="shared" si="140"/>
        <v>0</v>
      </c>
      <c r="S509">
        <f t="shared" si="141"/>
        <v>2</v>
      </c>
      <c r="T509">
        <f t="shared" si="142"/>
        <v>53</v>
      </c>
      <c r="U509" s="14">
        <f t="shared" si="143"/>
        <v>173</v>
      </c>
      <c r="V509" s="15"/>
      <c r="Z509" s="14"/>
    </row>
    <row r="510" spans="1:26" hidden="1" x14ac:dyDescent="0.25">
      <c r="A510" s="16"/>
      <c r="B510" s="17" t="b">
        <f t="shared" si="128"/>
        <v>0</v>
      </c>
      <c r="C510" s="17" t="b">
        <f t="shared" si="138"/>
        <v>0</v>
      </c>
      <c r="D510" s="17">
        <f t="shared" si="135"/>
        <v>1</v>
      </c>
      <c r="E510" s="17" t="str">
        <f t="shared" si="136"/>
        <v>6. Conclusion</v>
      </c>
      <c r="F510" s="18" t="str">
        <f t="shared" si="145"/>
        <v/>
      </c>
      <c r="G510" s="13" t="str">
        <f t="shared" si="129"/>
        <v/>
      </c>
      <c r="H510">
        <f t="shared" si="130"/>
        <v>0</v>
      </c>
      <c r="I510" s="14">
        <f t="shared" si="137"/>
        <v>0</v>
      </c>
      <c r="J510" s="13">
        <f t="shared" si="131"/>
        <v>4529</v>
      </c>
      <c r="K510">
        <f t="shared" si="132"/>
        <v>1</v>
      </c>
      <c r="L510">
        <f t="shared" si="133"/>
        <v>15</v>
      </c>
      <c r="M510" s="14">
        <f t="shared" si="134"/>
        <v>29</v>
      </c>
      <c r="N510" s="13">
        <f t="shared" si="144"/>
        <v>0</v>
      </c>
      <c r="O510">
        <f t="shared" si="144"/>
        <v>2</v>
      </c>
      <c r="P510">
        <f t="shared" si="144"/>
        <v>53</v>
      </c>
      <c r="Q510" s="14">
        <f t="shared" si="139"/>
        <v>173</v>
      </c>
      <c r="R510" s="13">
        <f t="shared" si="140"/>
        <v>0</v>
      </c>
      <c r="S510">
        <f t="shared" si="141"/>
        <v>2</v>
      </c>
      <c r="T510">
        <f t="shared" si="142"/>
        <v>53</v>
      </c>
      <c r="U510" s="14">
        <f t="shared" si="143"/>
        <v>173</v>
      </c>
      <c r="V510" s="15"/>
      <c r="Z510" s="14"/>
    </row>
    <row r="511" spans="1:26" hidden="1" x14ac:dyDescent="0.25">
      <c r="A511" s="16"/>
      <c r="B511" s="17" t="b">
        <f t="shared" si="128"/>
        <v>0</v>
      </c>
      <c r="C511" s="17" t="b">
        <f t="shared" si="138"/>
        <v>0</v>
      </c>
      <c r="D511" s="17">
        <f t="shared" si="135"/>
        <v>1</v>
      </c>
      <c r="E511" s="17" t="str">
        <f t="shared" si="136"/>
        <v>6. Conclusion</v>
      </c>
      <c r="F511" s="18" t="str">
        <f t="shared" si="145"/>
        <v/>
      </c>
      <c r="G511" s="13" t="str">
        <f t="shared" si="129"/>
        <v/>
      </c>
      <c r="H511">
        <f t="shared" si="130"/>
        <v>0</v>
      </c>
      <c r="I511" s="14">
        <f t="shared" si="137"/>
        <v>0</v>
      </c>
      <c r="J511" s="13">
        <f t="shared" si="131"/>
        <v>4529</v>
      </c>
      <c r="K511">
        <f t="shared" si="132"/>
        <v>1</v>
      </c>
      <c r="L511">
        <f t="shared" si="133"/>
        <v>15</v>
      </c>
      <c r="M511" s="14">
        <f t="shared" si="134"/>
        <v>29</v>
      </c>
      <c r="N511" s="13">
        <f t="shared" si="144"/>
        <v>0</v>
      </c>
      <c r="O511">
        <f t="shared" si="144"/>
        <v>2</v>
      </c>
      <c r="P511">
        <f t="shared" si="144"/>
        <v>53</v>
      </c>
      <c r="Q511" s="14">
        <f t="shared" si="139"/>
        <v>173</v>
      </c>
      <c r="R511" s="13">
        <f t="shared" si="140"/>
        <v>0</v>
      </c>
      <c r="S511">
        <f t="shared" si="141"/>
        <v>2</v>
      </c>
      <c r="T511">
        <f t="shared" si="142"/>
        <v>53</v>
      </c>
      <c r="U511" s="14">
        <f t="shared" si="143"/>
        <v>173</v>
      </c>
      <c r="V511" s="15"/>
      <c r="Z511" s="14"/>
    </row>
    <row r="512" spans="1:26" hidden="1" x14ac:dyDescent="0.25">
      <c r="A512" s="16"/>
      <c r="B512" s="17" t="b">
        <f t="shared" si="128"/>
        <v>0</v>
      </c>
      <c r="C512" s="17" t="b">
        <f t="shared" si="138"/>
        <v>0</v>
      </c>
      <c r="D512" s="17">
        <f t="shared" si="135"/>
        <v>1</v>
      </c>
      <c r="E512" s="17" t="str">
        <f t="shared" si="136"/>
        <v>6. Conclusion</v>
      </c>
      <c r="F512" s="18" t="str">
        <f t="shared" si="145"/>
        <v/>
      </c>
      <c r="G512" s="13" t="str">
        <f t="shared" si="129"/>
        <v/>
      </c>
      <c r="H512">
        <f t="shared" si="130"/>
        <v>0</v>
      </c>
      <c r="I512" s="14">
        <f t="shared" si="137"/>
        <v>0</v>
      </c>
      <c r="J512" s="13">
        <f t="shared" si="131"/>
        <v>4529</v>
      </c>
      <c r="K512">
        <f t="shared" si="132"/>
        <v>1</v>
      </c>
      <c r="L512">
        <f t="shared" si="133"/>
        <v>15</v>
      </c>
      <c r="M512" s="14">
        <f t="shared" si="134"/>
        <v>29</v>
      </c>
      <c r="N512" s="13">
        <f t="shared" si="144"/>
        <v>0</v>
      </c>
      <c r="O512">
        <f t="shared" si="144"/>
        <v>2</v>
      </c>
      <c r="P512">
        <f t="shared" si="144"/>
        <v>53</v>
      </c>
      <c r="Q512" s="14">
        <f t="shared" si="139"/>
        <v>173</v>
      </c>
      <c r="R512" s="13">
        <f t="shared" si="140"/>
        <v>0</v>
      </c>
      <c r="S512">
        <f t="shared" si="141"/>
        <v>2</v>
      </c>
      <c r="T512">
        <f t="shared" si="142"/>
        <v>53</v>
      </c>
      <c r="U512" s="14">
        <f t="shared" si="143"/>
        <v>173</v>
      </c>
      <c r="V512" s="15"/>
      <c r="Z512" s="14"/>
    </row>
    <row r="513" spans="1:26" hidden="1" x14ac:dyDescent="0.25">
      <c r="A513" s="16"/>
      <c r="B513" s="17" t="b">
        <f t="shared" si="128"/>
        <v>0</v>
      </c>
      <c r="C513" s="17" t="b">
        <f t="shared" si="138"/>
        <v>0</v>
      </c>
      <c r="D513" s="17">
        <f t="shared" si="135"/>
        <v>1</v>
      </c>
      <c r="E513" s="17" t="str">
        <f t="shared" si="136"/>
        <v>6. Conclusion</v>
      </c>
      <c r="F513" s="18" t="str">
        <f t="shared" si="145"/>
        <v/>
      </c>
      <c r="G513" s="13" t="str">
        <f t="shared" si="129"/>
        <v/>
      </c>
      <c r="H513">
        <f t="shared" si="130"/>
        <v>0</v>
      </c>
      <c r="I513" s="14">
        <f t="shared" si="137"/>
        <v>0</v>
      </c>
      <c r="J513" s="13">
        <f t="shared" si="131"/>
        <v>4529</v>
      </c>
      <c r="K513">
        <f t="shared" si="132"/>
        <v>1</v>
      </c>
      <c r="L513">
        <f t="shared" si="133"/>
        <v>15</v>
      </c>
      <c r="M513" s="14">
        <f t="shared" si="134"/>
        <v>29</v>
      </c>
      <c r="N513" s="13">
        <f t="shared" si="144"/>
        <v>0</v>
      </c>
      <c r="O513">
        <f t="shared" si="144"/>
        <v>2</v>
      </c>
      <c r="P513">
        <f t="shared" si="144"/>
        <v>53</v>
      </c>
      <c r="Q513" s="14">
        <f t="shared" si="139"/>
        <v>173</v>
      </c>
      <c r="R513" s="13">
        <f t="shared" si="140"/>
        <v>0</v>
      </c>
      <c r="S513">
        <f t="shared" si="141"/>
        <v>2</v>
      </c>
      <c r="T513">
        <f t="shared" si="142"/>
        <v>53</v>
      </c>
      <c r="U513" s="14">
        <f t="shared" si="143"/>
        <v>173</v>
      </c>
      <c r="V513" s="15"/>
      <c r="Z513" s="14"/>
    </row>
    <row r="514" spans="1:26" hidden="1" x14ac:dyDescent="0.25">
      <c r="A514" s="16"/>
      <c r="B514" s="17" t="b">
        <f t="shared" si="128"/>
        <v>0</v>
      </c>
      <c r="C514" s="17" t="b">
        <f t="shared" si="138"/>
        <v>0</v>
      </c>
      <c r="D514" s="17">
        <f t="shared" si="135"/>
        <v>1</v>
      </c>
      <c r="E514" s="17" t="str">
        <f t="shared" si="136"/>
        <v>6. Conclusion</v>
      </c>
      <c r="F514" s="18" t="str">
        <f t="shared" si="145"/>
        <v/>
      </c>
      <c r="G514" s="13" t="str">
        <f t="shared" si="129"/>
        <v/>
      </c>
      <c r="H514">
        <f t="shared" si="130"/>
        <v>0</v>
      </c>
      <c r="I514" s="14">
        <f t="shared" si="137"/>
        <v>0</v>
      </c>
      <c r="J514" s="13">
        <f t="shared" si="131"/>
        <v>4529</v>
      </c>
      <c r="K514">
        <f t="shared" si="132"/>
        <v>1</v>
      </c>
      <c r="L514">
        <f t="shared" si="133"/>
        <v>15</v>
      </c>
      <c r="M514" s="14">
        <f t="shared" si="134"/>
        <v>29</v>
      </c>
      <c r="N514" s="13">
        <f t="shared" si="144"/>
        <v>0</v>
      </c>
      <c r="O514">
        <f t="shared" si="144"/>
        <v>2</v>
      </c>
      <c r="P514">
        <f t="shared" si="144"/>
        <v>53</v>
      </c>
      <c r="Q514" s="14">
        <f t="shared" si="139"/>
        <v>173</v>
      </c>
      <c r="R514" s="13">
        <f t="shared" si="140"/>
        <v>0</v>
      </c>
      <c r="S514">
        <f t="shared" si="141"/>
        <v>2</v>
      </c>
      <c r="T514">
        <f t="shared" si="142"/>
        <v>53</v>
      </c>
      <c r="U514" s="14">
        <f t="shared" si="143"/>
        <v>173</v>
      </c>
      <c r="V514" s="15"/>
      <c r="Z514" s="14"/>
    </row>
    <row r="515" spans="1:26" hidden="1" x14ac:dyDescent="0.25">
      <c r="A515" s="16"/>
      <c r="B515" s="17" t="b">
        <f t="shared" si="128"/>
        <v>0</v>
      </c>
      <c r="C515" s="17" t="b">
        <f t="shared" si="138"/>
        <v>0</v>
      </c>
      <c r="D515" s="17">
        <f t="shared" si="135"/>
        <v>1</v>
      </c>
      <c r="E515" s="17" t="str">
        <f t="shared" si="136"/>
        <v>6. Conclusion</v>
      </c>
      <c r="F515" s="18" t="str">
        <f t="shared" si="145"/>
        <v/>
      </c>
      <c r="G515" s="13" t="str">
        <f t="shared" si="129"/>
        <v/>
      </c>
      <c r="H515">
        <f t="shared" si="130"/>
        <v>0</v>
      </c>
      <c r="I515" s="14">
        <f t="shared" si="137"/>
        <v>0</v>
      </c>
      <c r="J515" s="13">
        <f t="shared" si="131"/>
        <v>4529</v>
      </c>
      <c r="K515">
        <f t="shared" si="132"/>
        <v>1</v>
      </c>
      <c r="L515">
        <f t="shared" si="133"/>
        <v>15</v>
      </c>
      <c r="M515" s="14">
        <f t="shared" si="134"/>
        <v>29</v>
      </c>
      <c r="N515" s="13">
        <f t="shared" si="144"/>
        <v>0</v>
      </c>
      <c r="O515">
        <f t="shared" si="144"/>
        <v>2</v>
      </c>
      <c r="P515">
        <f t="shared" si="144"/>
        <v>53</v>
      </c>
      <c r="Q515" s="14">
        <f t="shared" si="139"/>
        <v>173</v>
      </c>
      <c r="R515" s="13">
        <f t="shared" si="140"/>
        <v>0</v>
      </c>
      <c r="S515">
        <f t="shared" si="141"/>
        <v>2</v>
      </c>
      <c r="T515">
        <f t="shared" si="142"/>
        <v>53</v>
      </c>
      <c r="U515" s="14">
        <f t="shared" si="143"/>
        <v>173</v>
      </c>
      <c r="V515" s="15"/>
      <c r="Z515" s="14"/>
    </row>
    <row r="516" spans="1:26" hidden="1" x14ac:dyDescent="0.25">
      <c r="A516" s="16"/>
      <c r="B516" s="17" t="b">
        <f t="shared" si="128"/>
        <v>0</v>
      </c>
      <c r="C516" s="17" t="b">
        <f t="shared" si="138"/>
        <v>0</v>
      </c>
      <c r="D516" s="17">
        <f t="shared" si="135"/>
        <v>1</v>
      </c>
      <c r="E516" s="17" t="str">
        <f t="shared" si="136"/>
        <v>6. Conclusion</v>
      </c>
      <c r="F516" s="18" t="str">
        <f t="shared" si="145"/>
        <v/>
      </c>
      <c r="G516" s="13" t="str">
        <f t="shared" si="129"/>
        <v/>
      </c>
      <c r="H516">
        <f t="shared" si="130"/>
        <v>0</v>
      </c>
      <c r="I516" s="14">
        <f t="shared" si="137"/>
        <v>0</v>
      </c>
      <c r="J516" s="13">
        <f t="shared" si="131"/>
        <v>4529</v>
      </c>
      <c r="K516">
        <f t="shared" si="132"/>
        <v>1</v>
      </c>
      <c r="L516">
        <f t="shared" si="133"/>
        <v>15</v>
      </c>
      <c r="M516" s="14">
        <f t="shared" si="134"/>
        <v>29</v>
      </c>
      <c r="N516" s="13">
        <f t="shared" si="144"/>
        <v>0</v>
      </c>
      <c r="O516">
        <f t="shared" si="144"/>
        <v>2</v>
      </c>
      <c r="P516">
        <f t="shared" si="144"/>
        <v>53</v>
      </c>
      <c r="Q516" s="14">
        <f t="shared" si="139"/>
        <v>173</v>
      </c>
      <c r="R516" s="13">
        <f t="shared" si="140"/>
        <v>0</v>
      </c>
      <c r="S516">
        <f t="shared" si="141"/>
        <v>2</v>
      </c>
      <c r="T516">
        <f t="shared" si="142"/>
        <v>53</v>
      </c>
      <c r="U516" s="14">
        <f t="shared" si="143"/>
        <v>173</v>
      </c>
      <c r="V516" s="15"/>
      <c r="Z516" s="14"/>
    </row>
    <row r="517" spans="1:26" hidden="1" x14ac:dyDescent="0.25">
      <c r="A517" s="16"/>
      <c r="B517" s="17" t="b">
        <f t="shared" si="128"/>
        <v>0</v>
      </c>
      <c r="C517" s="17" t="b">
        <f t="shared" si="138"/>
        <v>0</v>
      </c>
      <c r="D517" s="17">
        <f t="shared" si="135"/>
        <v>1</v>
      </c>
      <c r="E517" s="17" t="str">
        <f t="shared" si="136"/>
        <v>6. Conclusion</v>
      </c>
      <c r="F517" s="18" t="str">
        <f t="shared" si="145"/>
        <v/>
      </c>
      <c r="G517" s="13" t="str">
        <f t="shared" si="129"/>
        <v/>
      </c>
      <c r="H517">
        <f t="shared" si="130"/>
        <v>0</v>
      </c>
      <c r="I517" s="14">
        <f t="shared" si="137"/>
        <v>0</v>
      </c>
      <c r="J517" s="13">
        <f t="shared" si="131"/>
        <v>4529</v>
      </c>
      <c r="K517">
        <f t="shared" si="132"/>
        <v>1</v>
      </c>
      <c r="L517">
        <f t="shared" si="133"/>
        <v>15</v>
      </c>
      <c r="M517" s="14">
        <f t="shared" si="134"/>
        <v>29</v>
      </c>
      <c r="N517" s="13">
        <f t="shared" si="144"/>
        <v>0</v>
      </c>
      <c r="O517">
        <f t="shared" si="144"/>
        <v>2</v>
      </c>
      <c r="P517">
        <f t="shared" si="144"/>
        <v>53</v>
      </c>
      <c r="Q517" s="14">
        <f t="shared" si="139"/>
        <v>173</v>
      </c>
      <c r="R517" s="13">
        <f t="shared" si="140"/>
        <v>0</v>
      </c>
      <c r="S517">
        <f t="shared" si="141"/>
        <v>2</v>
      </c>
      <c r="T517">
        <f t="shared" si="142"/>
        <v>53</v>
      </c>
      <c r="U517" s="14">
        <f t="shared" si="143"/>
        <v>173</v>
      </c>
      <c r="V517" s="15"/>
      <c r="Z517" s="14"/>
    </row>
    <row r="518" spans="1:26" hidden="1" x14ac:dyDescent="0.25">
      <c r="A518" s="16"/>
      <c r="B518" s="17" t="b">
        <f t="shared" si="128"/>
        <v>0</v>
      </c>
      <c r="C518" s="17" t="b">
        <f t="shared" si="138"/>
        <v>0</v>
      </c>
      <c r="D518" s="17">
        <f t="shared" si="135"/>
        <v>1</v>
      </c>
      <c r="E518" s="17" t="str">
        <f t="shared" si="136"/>
        <v>6. Conclusion</v>
      </c>
      <c r="F518" s="18" t="str">
        <f t="shared" si="145"/>
        <v/>
      </c>
      <c r="G518" s="13" t="str">
        <f t="shared" si="129"/>
        <v/>
      </c>
      <c r="H518">
        <f t="shared" si="130"/>
        <v>0</v>
      </c>
      <c r="I518" s="14">
        <f t="shared" si="137"/>
        <v>0</v>
      </c>
      <c r="J518" s="13">
        <f t="shared" si="131"/>
        <v>4529</v>
      </c>
      <c r="K518">
        <f t="shared" si="132"/>
        <v>1</v>
      </c>
      <c r="L518">
        <f t="shared" si="133"/>
        <v>15</v>
      </c>
      <c r="M518" s="14">
        <f t="shared" si="134"/>
        <v>29</v>
      </c>
      <c r="N518" s="13">
        <f t="shared" si="144"/>
        <v>0</v>
      </c>
      <c r="O518">
        <f t="shared" si="144"/>
        <v>2</v>
      </c>
      <c r="P518">
        <f t="shared" si="144"/>
        <v>53</v>
      </c>
      <c r="Q518" s="14">
        <f t="shared" si="139"/>
        <v>173</v>
      </c>
      <c r="R518" s="13">
        <f t="shared" si="140"/>
        <v>0</v>
      </c>
      <c r="S518">
        <f t="shared" si="141"/>
        <v>2</v>
      </c>
      <c r="T518">
        <f t="shared" si="142"/>
        <v>53</v>
      </c>
      <c r="U518" s="14">
        <f t="shared" si="143"/>
        <v>173</v>
      </c>
      <c r="V518" s="15"/>
      <c r="Z518" s="14"/>
    </row>
    <row r="519" spans="1:26" hidden="1" x14ac:dyDescent="0.25">
      <c r="A519" s="16"/>
      <c r="B519" s="17" t="b">
        <f t="shared" si="128"/>
        <v>0</v>
      </c>
      <c r="C519" s="17" t="b">
        <f t="shared" si="138"/>
        <v>0</v>
      </c>
      <c r="D519" s="17">
        <f t="shared" si="135"/>
        <v>1</v>
      </c>
      <c r="E519" s="17" t="str">
        <f t="shared" si="136"/>
        <v>6. Conclusion</v>
      </c>
      <c r="F519" s="18" t="str">
        <f t="shared" si="145"/>
        <v/>
      </c>
      <c r="G519" s="13" t="str">
        <f t="shared" si="129"/>
        <v/>
      </c>
      <c r="H519">
        <f t="shared" si="130"/>
        <v>0</v>
      </c>
      <c r="I519" s="14">
        <f t="shared" si="137"/>
        <v>0</v>
      </c>
      <c r="J519" s="13">
        <f t="shared" si="131"/>
        <v>4529</v>
      </c>
      <c r="K519">
        <f t="shared" si="132"/>
        <v>1</v>
      </c>
      <c r="L519">
        <f t="shared" si="133"/>
        <v>15</v>
      </c>
      <c r="M519" s="14">
        <f t="shared" si="134"/>
        <v>29</v>
      </c>
      <c r="N519" s="13">
        <f t="shared" si="144"/>
        <v>0</v>
      </c>
      <c r="O519">
        <f t="shared" si="144"/>
        <v>2</v>
      </c>
      <c r="P519">
        <f t="shared" si="144"/>
        <v>53</v>
      </c>
      <c r="Q519" s="14">
        <f t="shared" si="139"/>
        <v>173</v>
      </c>
      <c r="R519" s="13">
        <f t="shared" si="140"/>
        <v>0</v>
      </c>
      <c r="S519">
        <f t="shared" si="141"/>
        <v>2</v>
      </c>
      <c r="T519">
        <f t="shared" si="142"/>
        <v>53</v>
      </c>
      <c r="U519" s="14">
        <f t="shared" si="143"/>
        <v>173</v>
      </c>
      <c r="V519" s="15"/>
      <c r="Z519" s="14"/>
    </row>
    <row r="520" spans="1:26" hidden="1" x14ac:dyDescent="0.25">
      <c r="A520" s="16"/>
      <c r="B520" s="17" t="b">
        <f t="shared" si="128"/>
        <v>0</v>
      </c>
      <c r="C520" s="17" t="b">
        <f t="shared" si="138"/>
        <v>0</v>
      </c>
      <c r="D520" s="17">
        <f t="shared" si="135"/>
        <v>1</v>
      </c>
      <c r="E520" s="17" t="str">
        <f t="shared" si="136"/>
        <v>6. Conclusion</v>
      </c>
      <c r="F520" s="18" t="str">
        <f t="shared" si="145"/>
        <v/>
      </c>
      <c r="G520" s="13" t="str">
        <f t="shared" si="129"/>
        <v/>
      </c>
      <c r="H520">
        <f t="shared" si="130"/>
        <v>0</v>
      </c>
      <c r="I520" s="14">
        <f t="shared" si="137"/>
        <v>0</v>
      </c>
      <c r="J520" s="13">
        <f t="shared" si="131"/>
        <v>4529</v>
      </c>
      <c r="K520">
        <f t="shared" si="132"/>
        <v>1</v>
      </c>
      <c r="L520">
        <f t="shared" si="133"/>
        <v>15</v>
      </c>
      <c r="M520" s="14">
        <f t="shared" si="134"/>
        <v>29</v>
      </c>
      <c r="N520" s="13">
        <f t="shared" si="144"/>
        <v>0</v>
      </c>
      <c r="O520">
        <f t="shared" si="144"/>
        <v>2</v>
      </c>
      <c r="P520">
        <f t="shared" si="144"/>
        <v>53</v>
      </c>
      <c r="Q520" s="14">
        <f t="shared" si="139"/>
        <v>173</v>
      </c>
      <c r="R520" s="13">
        <f t="shared" si="140"/>
        <v>0</v>
      </c>
      <c r="S520">
        <f t="shared" si="141"/>
        <v>2</v>
      </c>
      <c r="T520">
        <f t="shared" si="142"/>
        <v>53</v>
      </c>
      <c r="U520" s="14">
        <f t="shared" si="143"/>
        <v>173</v>
      </c>
      <c r="V520" s="15"/>
      <c r="Z520" s="14"/>
    </row>
    <row r="521" spans="1:26" hidden="1" x14ac:dyDescent="0.25">
      <c r="A521" s="16"/>
      <c r="B521" s="17" t="b">
        <f t="shared" si="128"/>
        <v>0</v>
      </c>
      <c r="C521" s="17" t="b">
        <f t="shared" si="138"/>
        <v>0</v>
      </c>
      <c r="D521" s="17">
        <f t="shared" si="135"/>
        <v>1</v>
      </c>
      <c r="E521" s="17" t="str">
        <f t="shared" si="136"/>
        <v>6. Conclusion</v>
      </c>
      <c r="F521" s="18" t="str">
        <f t="shared" si="145"/>
        <v/>
      </c>
      <c r="G521" s="13" t="str">
        <f t="shared" si="129"/>
        <v/>
      </c>
      <c r="H521">
        <f t="shared" si="130"/>
        <v>0</v>
      </c>
      <c r="I521" s="14">
        <f t="shared" si="137"/>
        <v>0</v>
      </c>
      <c r="J521" s="13">
        <f t="shared" si="131"/>
        <v>4529</v>
      </c>
      <c r="K521">
        <f t="shared" si="132"/>
        <v>1</v>
      </c>
      <c r="L521">
        <f t="shared" si="133"/>
        <v>15</v>
      </c>
      <c r="M521" s="14">
        <f t="shared" si="134"/>
        <v>29</v>
      </c>
      <c r="N521" s="13">
        <f t="shared" si="144"/>
        <v>0</v>
      </c>
      <c r="O521">
        <f t="shared" si="144"/>
        <v>2</v>
      </c>
      <c r="P521">
        <f t="shared" si="144"/>
        <v>53</v>
      </c>
      <c r="Q521" s="14">
        <f t="shared" si="139"/>
        <v>173</v>
      </c>
      <c r="R521" s="13">
        <f t="shared" si="140"/>
        <v>0</v>
      </c>
      <c r="S521">
        <f t="shared" si="141"/>
        <v>2</v>
      </c>
      <c r="T521">
        <f t="shared" si="142"/>
        <v>53</v>
      </c>
      <c r="U521" s="14">
        <f t="shared" si="143"/>
        <v>173</v>
      </c>
      <c r="V521" s="15"/>
      <c r="Z521" s="14"/>
    </row>
    <row r="522" spans="1:26" hidden="1" x14ac:dyDescent="0.25">
      <c r="A522" s="16"/>
      <c r="B522" s="17" t="b">
        <f t="shared" si="128"/>
        <v>0</v>
      </c>
      <c r="C522" s="17" t="b">
        <f t="shared" si="138"/>
        <v>0</v>
      </c>
      <c r="D522" s="17">
        <f t="shared" si="135"/>
        <v>1</v>
      </c>
      <c r="E522" s="17" t="str">
        <f t="shared" si="136"/>
        <v>6. Conclusion</v>
      </c>
      <c r="F522" s="18" t="str">
        <f t="shared" si="145"/>
        <v/>
      </c>
      <c r="G522" s="13" t="str">
        <f t="shared" si="129"/>
        <v/>
      </c>
      <c r="H522">
        <f t="shared" si="130"/>
        <v>0</v>
      </c>
      <c r="I522" s="14">
        <f t="shared" si="137"/>
        <v>0</v>
      </c>
      <c r="J522" s="13">
        <f t="shared" si="131"/>
        <v>4529</v>
      </c>
      <c r="K522">
        <f t="shared" si="132"/>
        <v>1</v>
      </c>
      <c r="L522">
        <f t="shared" si="133"/>
        <v>15</v>
      </c>
      <c r="M522" s="14">
        <f t="shared" si="134"/>
        <v>29</v>
      </c>
      <c r="N522" s="13">
        <f t="shared" si="144"/>
        <v>0</v>
      </c>
      <c r="O522">
        <f t="shared" si="144"/>
        <v>2</v>
      </c>
      <c r="P522">
        <f t="shared" si="144"/>
        <v>53</v>
      </c>
      <c r="Q522" s="14">
        <f t="shared" si="139"/>
        <v>173</v>
      </c>
      <c r="R522" s="13">
        <f t="shared" si="140"/>
        <v>0</v>
      </c>
      <c r="S522">
        <f t="shared" si="141"/>
        <v>2</v>
      </c>
      <c r="T522">
        <f t="shared" si="142"/>
        <v>53</v>
      </c>
      <c r="U522" s="14">
        <f t="shared" si="143"/>
        <v>173</v>
      </c>
      <c r="V522" s="15"/>
      <c r="Z522" s="14"/>
    </row>
    <row r="523" spans="1:26" hidden="1" x14ac:dyDescent="0.25">
      <c r="A523" s="16"/>
      <c r="B523" s="17" t="b">
        <f t="shared" ref="B523:B566" si="146">AND(NOT(ISERROR(FIND(". ",A523))),ISNUMBER(VALUE(LEFT(A523,FIND(". ",A523)-1))))</f>
        <v>0</v>
      </c>
      <c r="C523" s="17" t="b">
        <f t="shared" si="138"/>
        <v>0</v>
      </c>
      <c r="D523" s="17">
        <f t="shared" si="135"/>
        <v>1</v>
      </c>
      <c r="E523" s="17" t="str">
        <f t="shared" si="136"/>
        <v>6. Conclusion</v>
      </c>
      <c r="F523" s="18" t="str">
        <f t="shared" si="145"/>
        <v/>
      </c>
      <c r="G523" s="13" t="str">
        <f t="shared" ref="G523:G566" si="147">IF(C523,IF(ISERROR(FIND("s",A524)),LEFT(A524,FIND("m",A524)),LEFT(A524,FIND("s",A524))),"")</f>
        <v/>
      </c>
      <c r="H523">
        <f t="shared" ref="H523:H566" si="148">IF(OR(G523="",ISERROR(FIND("m",G523))),0,VALUE(LEFT(G523,FIND("m",G523)-1)))</f>
        <v>0</v>
      </c>
      <c r="I523" s="14">
        <f t="shared" si="137"/>
        <v>0</v>
      </c>
      <c r="J523" s="13">
        <f t="shared" ref="J523:J566" si="149">J522+(H523*60+I523)</f>
        <v>4529</v>
      </c>
      <c r="K523">
        <f t="shared" ref="K523:K566" si="150">INT(J523/60/60)</f>
        <v>1</v>
      </c>
      <c r="L523">
        <f t="shared" ref="L523:L566" si="151">INT((J523-(K523*60*60))/60)</f>
        <v>15</v>
      </c>
      <c r="M523" s="14">
        <f t="shared" ref="M523:M566" si="152">J523-(((K523*60)+L523)*60)</f>
        <v>29</v>
      </c>
      <c r="N523" s="13">
        <f t="shared" si="144"/>
        <v>0</v>
      </c>
      <c r="O523">
        <f t="shared" si="144"/>
        <v>2</v>
      </c>
      <c r="P523">
        <f t="shared" si="144"/>
        <v>53</v>
      </c>
      <c r="Q523" s="14">
        <f t="shared" si="139"/>
        <v>173</v>
      </c>
      <c r="R523" s="13">
        <f t="shared" si="140"/>
        <v>0</v>
      </c>
      <c r="S523">
        <f t="shared" si="141"/>
        <v>2</v>
      </c>
      <c r="T523">
        <f t="shared" si="142"/>
        <v>53</v>
      </c>
      <c r="U523" s="14">
        <f t="shared" si="143"/>
        <v>173</v>
      </c>
      <c r="V523" s="15"/>
      <c r="Z523" s="14"/>
    </row>
    <row r="524" spans="1:26" hidden="1" x14ac:dyDescent="0.25">
      <c r="A524" s="16"/>
      <c r="B524" s="17" t="b">
        <f t="shared" si="146"/>
        <v>0</v>
      </c>
      <c r="C524" s="17" t="b">
        <f t="shared" si="138"/>
        <v>0</v>
      </c>
      <c r="D524" s="17">
        <f t="shared" ref="D524:D566" si="153">IF(B524,0,IF(C524,D523+1,D523))</f>
        <v>1</v>
      </c>
      <c r="E524" s="17" t="str">
        <f t="shared" ref="E524:E566" si="154">IF(B524,A524,E523)</f>
        <v>6. Conclusion</v>
      </c>
      <c r="F524" s="18" t="str">
        <f t="shared" si="145"/>
        <v/>
      </c>
      <c r="G524" s="13" t="str">
        <f t="shared" si="147"/>
        <v/>
      </c>
      <c r="H524">
        <f t="shared" si="148"/>
        <v>0</v>
      </c>
      <c r="I524" s="14">
        <f t="shared" ref="I524:I566" si="155">IF(OR(G524="",ISERROR(FIND("s",G524))),0,VALUE(SUBSTITUTE(MID(G524,IF(ISERROR(FIND("m",G524)), 0,FIND("m",G524))+1,LEN(G524)),"s","")))</f>
        <v>0</v>
      </c>
      <c r="J524" s="13">
        <f t="shared" si="149"/>
        <v>4529</v>
      </c>
      <c r="K524">
        <f t="shared" si="150"/>
        <v>1</v>
      </c>
      <c r="L524">
        <f t="shared" si="151"/>
        <v>15</v>
      </c>
      <c r="M524" s="14">
        <f t="shared" si="152"/>
        <v>29</v>
      </c>
      <c r="N524" s="13">
        <f t="shared" si="144"/>
        <v>0</v>
      </c>
      <c r="O524">
        <f t="shared" si="144"/>
        <v>2</v>
      </c>
      <c r="P524">
        <f t="shared" si="144"/>
        <v>53</v>
      </c>
      <c r="Q524" s="14">
        <f t="shared" si="139"/>
        <v>173</v>
      </c>
      <c r="R524" s="13">
        <f t="shared" si="140"/>
        <v>0</v>
      </c>
      <c r="S524">
        <f t="shared" si="141"/>
        <v>2</v>
      </c>
      <c r="T524">
        <f t="shared" si="142"/>
        <v>53</v>
      </c>
      <c r="U524" s="14">
        <f t="shared" si="143"/>
        <v>173</v>
      </c>
      <c r="V524" s="15"/>
      <c r="Z524" s="14"/>
    </row>
    <row r="525" spans="1:26" hidden="1" x14ac:dyDescent="0.25">
      <c r="A525" s="16"/>
      <c r="B525" s="17" t="b">
        <f t="shared" si="146"/>
        <v>0</v>
      </c>
      <c r="C525" s="17" t="b">
        <f t="shared" si="138"/>
        <v>0</v>
      </c>
      <c r="D525" s="17">
        <f t="shared" si="153"/>
        <v>1</v>
      </c>
      <c r="E525" s="17" t="str">
        <f t="shared" si="154"/>
        <v>6. Conclusion</v>
      </c>
      <c r="F525" s="18" t="str">
        <f t="shared" si="145"/>
        <v/>
      </c>
      <c r="G525" s="13" t="str">
        <f t="shared" si="147"/>
        <v/>
      </c>
      <c r="H525">
        <f t="shared" si="148"/>
        <v>0</v>
      </c>
      <c r="I525" s="14">
        <f t="shared" si="155"/>
        <v>0</v>
      </c>
      <c r="J525" s="13">
        <f t="shared" si="149"/>
        <v>4529</v>
      </c>
      <c r="K525">
        <f t="shared" si="150"/>
        <v>1</v>
      </c>
      <c r="L525">
        <f t="shared" si="151"/>
        <v>15</v>
      </c>
      <c r="M525" s="14">
        <f t="shared" si="152"/>
        <v>29</v>
      </c>
      <c r="N525" s="13">
        <f t="shared" si="144"/>
        <v>0</v>
      </c>
      <c r="O525">
        <f t="shared" si="144"/>
        <v>2</v>
      </c>
      <c r="P525">
        <f t="shared" si="144"/>
        <v>53</v>
      </c>
      <c r="Q525" s="14">
        <f t="shared" si="139"/>
        <v>173</v>
      </c>
      <c r="R525" s="13">
        <f t="shared" si="140"/>
        <v>0</v>
      </c>
      <c r="S525">
        <f t="shared" si="141"/>
        <v>2</v>
      </c>
      <c r="T525">
        <f t="shared" si="142"/>
        <v>53</v>
      </c>
      <c r="U525" s="14">
        <f t="shared" si="143"/>
        <v>173</v>
      </c>
      <c r="V525" s="15"/>
      <c r="Z525" s="14"/>
    </row>
    <row r="526" spans="1:26" hidden="1" x14ac:dyDescent="0.25">
      <c r="A526" s="16"/>
      <c r="B526" s="17" t="b">
        <f t="shared" si="146"/>
        <v>0</v>
      </c>
      <c r="C526" s="17" t="b">
        <f t="shared" ref="C526:C566" si="156">OR(AND(NOT(ISERROR(FIND("m",A527))),ISNUMBER(VALUE(LEFT(A527,FIND("m",A527)-1)))),AND(NOT(ISERROR(FIND("s",A527))),ISNUMBER(VALUE(LEFT(A527,FIND("s",A527)-1)))))</f>
        <v>0</v>
      </c>
      <c r="D526" s="17">
        <f t="shared" si="153"/>
        <v>1</v>
      </c>
      <c r="E526" s="17" t="str">
        <f t="shared" si="154"/>
        <v>6. Conclusion</v>
      </c>
      <c r="F526" s="18" t="str">
        <f t="shared" si="145"/>
        <v/>
      </c>
      <c r="G526" s="13" t="str">
        <f t="shared" si="147"/>
        <v/>
      </c>
      <c r="H526">
        <f t="shared" si="148"/>
        <v>0</v>
      </c>
      <c r="I526" s="14">
        <f t="shared" si="155"/>
        <v>0</v>
      </c>
      <c r="J526" s="13">
        <f t="shared" si="149"/>
        <v>4529</v>
      </c>
      <c r="K526">
        <f t="shared" si="150"/>
        <v>1</v>
      </c>
      <c r="L526">
        <f t="shared" si="151"/>
        <v>15</v>
      </c>
      <c r="M526" s="14">
        <f t="shared" si="152"/>
        <v>29</v>
      </c>
      <c r="N526" s="13">
        <f t="shared" si="144"/>
        <v>0</v>
      </c>
      <c r="O526">
        <f t="shared" si="144"/>
        <v>2</v>
      </c>
      <c r="P526">
        <f t="shared" si="144"/>
        <v>53</v>
      </c>
      <c r="Q526" s="14">
        <f t="shared" ref="Q526:Q566" si="157">(((N526*60)+O526)*60)+P526</f>
        <v>173</v>
      </c>
      <c r="R526" s="13">
        <f t="shared" ref="R526:R566" si="158">INT(U526/60/60)</f>
        <v>0</v>
      </c>
      <c r="S526">
        <f t="shared" ref="S526:S566" si="159">INT((U526-(R526*60*60))/60)</f>
        <v>2</v>
      </c>
      <c r="T526">
        <f t="shared" ref="T526:T566" si="160">U526-(((R526*60)+S526)*60)</f>
        <v>53</v>
      </c>
      <c r="U526" s="14">
        <f t="shared" ref="U526:U566" si="161">((H526*60)+I526)+Q526</f>
        <v>173</v>
      </c>
      <c r="V526" s="15"/>
      <c r="Z526" s="14"/>
    </row>
    <row r="527" spans="1:26" hidden="1" x14ac:dyDescent="0.25">
      <c r="A527" s="16"/>
      <c r="B527" s="17" t="b">
        <f t="shared" si="146"/>
        <v>0</v>
      </c>
      <c r="C527" s="17" t="b">
        <f t="shared" si="156"/>
        <v>0</v>
      </c>
      <c r="D527" s="17">
        <f t="shared" si="153"/>
        <v>1</v>
      </c>
      <c r="E527" s="17" t="str">
        <f t="shared" si="154"/>
        <v>6. Conclusion</v>
      </c>
      <c r="F527" s="18" t="str">
        <f t="shared" si="145"/>
        <v/>
      </c>
      <c r="G527" s="13" t="str">
        <f t="shared" si="147"/>
        <v/>
      </c>
      <c r="H527">
        <f t="shared" si="148"/>
        <v>0</v>
      </c>
      <c r="I527" s="14">
        <f t="shared" si="155"/>
        <v>0</v>
      </c>
      <c r="J527" s="13">
        <f t="shared" si="149"/>
        <v>4529</v>
      </c>
      <c r="K527">
        <f t="shared" si="150"/>
        <v>1</v>
      </c>
      <c r="L527">
        <f t="shared" si="151"/>
        <v>15</v>
      </c>
      <c r="M527" s="14">
        <f t="shared" si="152"/>
        <v>29</v>
      </c>
      <c r="N527" s="13">
        <f t="shared" si="144"/>
        <v>0</v>
      </c>
      <c r="O527">
        <f t="shared" si="144"/>
        <v>2</v>
      </c>
      <c r="P527">
        <f t="shared" si="144"/>
        <v>53</v>
      </c>
      <c r="Q527" s="14">
        <f t="shared" si="157"/>
        <v>173</v>
      </c>
      <c r="R527" s="13">
        <f t="shared" si="158"/>
        <v>0</v>
      </c>
      <c r="S527">
        <f t="shared" si="159"/>
        <v>2</v>
      </c>
      <c r="T527">
        <f t="shared" si="160"/>
        <v>53</v>
      </c>
      <c r="U527" s="14">
        <f t="shared" si="161"/>
        <v>173</v>
      </c>
      <c r="V527" s="15"/>
      <c r="Z527" s="14"/>
    </row>
    <row r="528" spans="1:26" hidden="1" x14ac:dyDescent="0.25">
      <c r="A528" s="16"/>
      <c r="B528" s="17" t="b">
        <f t="shared" si="146"/>
        <v>0</v>
      </c>
      <c r="C528" s="17" t="b">
        <f t="shared" si="156"/>
        <v>0</v>
      </c>
      <c r="D528" s="17">
        <f t="shared" si="153"/>
        <v>1</v>
      </c>
      <c r="E528" s="17" t="str">
        <f t="shared" si="154"/>
        <v>6. Conclusion</v>
      </c>
      <c r="F528" s="18" t="str">
        <f t="shared" si="145"/>
        <v/>
      </c>
      <c r="G528" s="13" t="str">
        <f t="shared" si="147"/>
        <v/>
      </c>
      <c r="H528">
        <f t="shared" si="148"/>
        <v>0</v>
      </c>
      <c r="I528" s="14">
        <f t="shared" si="155"/>
        <v>0</v>
      </c>
      <c r="J528" s="13">
        <f t="shared" si="149"/>
        <v>4529</v>
      </c>
      <c r="K528">
        <f t="shared" si="150"/>
        <v>1</v>
      </c>
      <c r="L528">
        <f t="shared" si="151"/>
        <v>15</v>
      </c>
      <c r="M528" s="14">
        <f t="shared" si="152"/>
        <v>29</v>
      </c>
      <c r="N528" s="13">
        <f t="shared" si="144"/>
        <v>0</v>
      </c>
      <c r="O528">
        <f t="shared" si="144"/>
        <v>2</v>
      </c>
      <c r="P528">
        <f t="shared" si="144"/>
        <v>53</v>
      </c>
      <c r="Q528" s="14">
        <f t="shared" si="157"/>
        <v>173</v>
      </c>
      <c r="R528" s="13">
        <f t="shared" si="158"/>
        <v>0</v>
      </c>
      <c r="S528">
        <f t="shared" si="159"/>
        <v>2</v>
      </c>
      <c r="T528">
        <f t="shared" si="160"/>
        <v>53</v>
      </c>
      <c r="U528" s="14">
        <f t="shared" si="161"/>
        <v>173</v>
      </c>
      <c r="V528" s="15"/>
      <c r="Z528" s="14"/>
    </row>
    <row r="529" spans="1:26" hidden="1" x14ac:dyDescent="0.25">
      <c r="A529" s="16"/>
      <c r="B529" s="17" t="b">
        <f t="shared" si="146"/>
        <v>0</v>
      </c>
      <c r="C529" s="17" t="b">
        <f t="shared" si="156"/>
        <v>0</v>
      </c>
      <c r="D529" s="17">
        <f t="shared" si="153"/>
        <v>1</v>
      </c>
      <c r="E529" s="17" t="str">
        <f t="shared" si="154"/>
        <v>6. Conclusion</v>
      </c>
      <c r="F529" s="18" t="str">
        <f t="shared" si="145"/>
        <v/>
      </c>
      <c r="G529" s="13" t="str">
        <f t="shared" si="147"/>
        <v/>
      </c>
      <c r="H529">
        <f t="shared" si="148"/>
        <v>0</v>
      </c>
      <c r="I529" s="14">
        <f t="shared" si="155"/>
        <v>0</v>
      </c>
      <c r="J529" s="13">
        <f t="shared" si="149"/>
        <v>4529</v>
      </c>
      <c r="K529">
        <f t="shared" si="150"/>
        <v>1</v>
      </c>
      <c r="L529">
        <f t="shared" si="151"/>
        <v>15</v>
      </c>
      <c r="M529" s="14">
        <f t="shared" si="152"/>
        <v>29</v>
      </c>
      <c r="N529" s="13">
        <f t="shared" si="144"/>
        <v>0</v>
      </c>
      <c r="O529">
        <f t="shared" si="144"/>
        <v>2</v>
      </c>
      <c r="P529">
        <f t="shared" si="144"/>
        <v>53</v>
      </c>
      <c r="Q529" s="14">
        <f t="shared" si="157"/>
        <v>173</v>
      </c>
      <c r="R529" s="13">
        <f t="shared" si="158"/>
        <v>0</v>
      </c>
      <c r="S529">
        <f t="shared" si="159"/>
        <v>2</v>
      </c>
      <c r="T529">
        <f t="shared" si="160"/>
        <v>53</v>
      </c>
      <c r="U529" s="14">
        <f t="shared" si="161"/>
        <v>173</v>
      </c>
      <c r="V529" s="15"/>
      <c r="Z529" s="14"/>
    </row>
    <row r="530" spans="1:26" hidden="1" x14ac:dyDescent="0.25">
      <c r="A530" s="16"/>
      <c r="B530" s="17" t="b">
        <f t="shared" si="146"/>
        <v>0</v>
      </c>
      <c r="C530" s="17" t="b">
        <f t="shared" si="156"/>
        <v>0</v>
      </c>
      <c r="D530" s="17">
        <f t="shared" si="153"/>
        <v>1</v>
      </c>
      <c r="E530" s="17" t="str">
        <f t="shared" si="154"/>
        <v>6. Conclusion</v>
      </c>
      <c r="F530" s="18" t="str">
        <f t="shared" si="145"/>
        <v/>
      </c>
      <c r="G530" s="13" t="str">
        <f t="shared" si="147"/>
        <v/>
      </c>
      <c r="H530">
        <f t="shared" si="148"/>
        <v>0</v>
      </c>
      <c r="I530" s="14">
        <f t="shared" si="155"/>
        <v>0</v>
      </c>
      <c r="J530" s="13">
        <f t="shared" si="149"/>
        <v>4529</v>
      </c>
      <c r="K530">
        <f t="shared" si="150"/>
        <v>1</v>
      </c>
      <c r="L530">
        <f t="shared" si="151"/>
        <v>15</v>
      </c>
      <c r="M530" s="14">
        <f t="shared" si="152"/>
        <v>29</v>
      </c>
      <c r="N530" s="13">
        <f t="shared" si="144"/>
        <v>0</v>
      </c>
      <c r="O530">
        <f t="shared" si="144"/>
        <v>2</v>
      </c>
      <c r="P530">
        <f t="shared" si="144"/>
        <v>53</v>
      </c>
      <c r="Q530" s="14">
        <f t="shared" si="157"/>
        <v>173</v>
      </c>
      <c r="R530" s="13">
        <f t="shared" si="158"/>
        <v>0</v>
      </c>
      <c r="S530">
        <f t="shared" si="159"/>
        <v>2</v>
      </c>
      <c r="T530">
        <f t="shared" si="160"/>
        <v>53</v>
      </c>
      <c r="U530" s="14">
        <f t="shared" si="161"/>
        <v>173</v>
      </c>
      <c r="V530" s="15"/>
      <c r="Z530" s="14"/>
    </row>
    <row r="531" spans="1:26" hidden="1" x14ac:dyDescent="0.25">
      <c r="A531" s="16"/>
      <c r="B531" s="17" t="b">
        <f t="shared" si="146"/>
        <v>0</v>
      </c>
      <c r="C531" s="17" t="b">
        <f t="shared" si="156"/>
        <v>0</v>
      </c>
      <c r="D531" s="17">
        <f t="shared" si="153"/>
        <v>1</v>
      </c>
      <c r="E531" s="17" t="str">
        <f t="shared" si="154"/>
        <v>6. Conclusion</v>
      </c>
      <c r="F531" s="18" t="str">
        <f t="shared" si="145"/>
        <v/>
      </c>
      <c r="G531" s="13" t="str">
        <f t="shared" si="147"/>
        <v/>
      </c>
      <c r="H531">
        <f t="shared" si="148"/>
        <v>0</v>
      </c>
      <c r="I531" s="14">
        <f t="shared" si="155"/>
        <v>0</v>
      </c>
      <c r="J531" s="13">
        <f t="shared" si="149"/>
        <v>4529</v>
      </c>
      <c r="K531">
        <f t="shared" si="150"/>
        <v>1</v>
      </c>
      <c r="L531">
        <f t="shared" si="151"/>
        <v>15</v>
      </c>
      <c r="M531" s="14">
        <f t="shared" si="152"/>
        <v>29</v>
      </c>
      <c r="N531" s="13">
        <f t="shared" si="144"/>
        <v>0</v>
      </c>
      <c r="O531">
        <f t="shared" si="144"/>
        <v>2</v>
      </c>
      <c r="P531">
        <f t="shared" si="144"/>
        <v>53</v>
      </c>
      <c r="Q531" s="14">
        <f t="shared" si="157"/>
        <v>173</v>
      </c>
      <c r="R531" s="13">
        <f t="shared" si="158"/>
        <v>0</v>
      </c>
      <c r="S531">
        <f t="shared" si="159"/>
        <v>2</v>
      </c>
      <c r="T531">
        <f t="shared" si="160"/>
        <v>53</v>
      </c>
      <c r="U531" s="14">
        <f t="shared" si="161"/>
        <v>173</v>
      </c>
      <c r="V531" s="15"/>
      <c r="Z531" s="14"/>
    </row>
    <row r="532" spans="1:26" hidden="1" x14ac:dyDescent="0.25">
      <c r="A532" s="16"/>
      <c r="B532" s="17" t="b">
        <f t="shared" si="146"/>
        <v>0</v>
      </c>
      <c r="C532" s="17" t="b">
        <f t="shared" si="156"/>
        <v>0</v>
      </c>
      <c r="D532" s="17">
        <f t="shared" si="153"/>
        <v>1</v>
      </c>
      <c r="E532" s="17" t="str">
        <f t="shared" si="154"/>
        <v>6. Conclusion</v>
      </c>
      <c r="F532" s="18" t="str">
        <f t="shared" si="145"/>
        <v/>
      </c>
      <c r="G532" s="13" t="str">
        <f t="shared" si="147"/>
        <v/>
      </c>
      <c r="H532">
        <f t="shared" si="148"/>
        <v>0</v>
      </c>
      <c r="I532" s="14">
        <f t="shared" si="155"/>
        <v>0</v>
      </c>
      <c r="J532" s="13">
        <f t="shared" si="149"/>
        <v>4529</v>
      </c>
      <c r="K532">
        <f t="shared" si="150"/>
        <v>1</v>
      </c>
      <c r="L532">
        <f t="shared" si="151"/>
        <v>15</v>
      </c>
      <c r="M532" s="14">
        <f t="shared" si="152"/>
        <v>29</v>
      </c>
      <c r="N532" s="13">
        <f t="shared" si="144"/>
        <v>0</v>
      </c>
      <c r="O532">
        <f t="shared" si="144"/>
        <v>2</v>
      </c>
      <c r="P532">
        <f t="shared" si="144"/>
        <v>53</v>
      </c>
      <c r="Q532" s="14">
        <f t="shared" si="157"/>
        <v>173</v>
      </c>
      <c r="R532" s="13">
        <f t="shared" si="158"/>
        <v>0</v>
      </c>
      <c r="S532">
        <f t="shared" si="159"/>
        <v>2</v>
      </c>
      <c r="T532">
        <f t="shared" si="160"/>
        <v>53</v>
      </c>
      <c r="U532" s="14">
        <f t="shared" si="161"/>
        <v>173</v>
      </c>
      <c r="V532" s="15"/>
      <c r="Z532" s="14"/>
    </row>
    <row r="533" spans="1:26" hidden="1" x14ac:dyDescent="0.25">
      <c r="A533" s="16"/>
      <c r="B533" s="17" t="b">
        <f t="shared" si="146"/>
        <v>0</v>
      </c>
      <c r="C533" s="17" t="b">
        <f t="shared" si="156"/>
        <v>0</v>
      </c>
      <c r="D533" s="17">
        <f t="shared" si="153"/>
        <v>1</v>
      </c>
      <c r="E533" s="17" t="str">
        <f t="shared" si="154"/>
        <v>6. Conclusion</v>
      </c>
      <c r="F533" s="18" t="str">
        <f t="shared" si="145"/>
        <v/>
      </c>
      <c r="G533" s="13" t="str">
        <f t="shared" si="147"/>
        <v/>
      </c>
      <c r="H533">
        <f t="shared" si="148"/>
        <v>0</v>
      </c>
      <c r="I533" s="14">
        <f t="shared" si="155"/>
        <v>0</v>
      </c>
      <c r="J533" s="13">
        <f t="shared" si="149"/>
        <v>4529</v>
      </c>
      <c r="K533">
        <f t="shared" si="150"/>
        <v>1</v>
      </c>
      <c r="L533">
        <f t="shared" si="151"/>
        <v>15</v>
      </c>
      <c r="M533" s="14">
        <f t="shared" si="152"/>
        <v>29</v>
      </c>
      <c r="N533" s="13">
        <f t="shared" si="144"/>
        <v>0</v>
      </c>
      <c r="O533">
        <f t="shared" si="144"/>
        <v>2</v>
      </c>
      <c r="P533">
        <f t="shared" si="144"/>
        <v>53</v>
      </c>
      <c r="Q533" s="14">
        <f t="shared" si="157"/>
        <v>173</v>
      </c>
      <c r="R533" s="13">
        <f t="shared" si="158"/>
        <v>0</v>
      </c>
      <c r="S533">
        <f t="shared" si="159"/>
        <v>2</v>
      </c>
      <c r="T533">
        <f t="shared" si="160"/>
        <v>53</v>
      </c>
      <c r="U533" s="14">
        <f t="shared" si="161"/>
        <v>173</v>
      </c>
      <c r="V533" s="15"/>
      <c r="Z533" s="14"/>
    </row>
    <row r="534" spans="1:26" hidden="1" x14ac:dyDescent="0.25">
      <c r="A534" s="16"/>
      <c r="B534" s="17" t="b">
        <f t="shared" si="146"/>
        <v>0</v>
      </c>
      <c r="C534" s="17" t="b">
        <f t="shared" si="156"/>
        <v>0</v>
      </c>
      <c r="D534" s="17">
        <f t="shared" si="153"/>
        <v>1</v>
      </c>
      <c r="E534" s="17" t="str">
        <f t="shared" si="154"/>
        <v>6. Conclusion</v>
      </c>
      <c r="F534" s="18" t="str">
        <f t="shared" si="145"/>
        <v/>
      </c>
      <c r="G534" s="13" t="str">
        <f t="shared" si="147"/>
        <v/>
      </c>
      <c r="H534">
        <f t="shared" si="148"/>
        <v>0</v>
      </c>
      <c r="I534" s="14">
        <f t="shared" si="155"/>
        <v>0</v>
      </c>
      <c r="J534" s="13">
        <f t="shared" si="149"/>
        <v>4529</v>
      </c>
      <c r="K534">
        <f t="shared" si="150"/>
        <v>1</v>
      </c>
      <c r="L534">
        <f t="shared" si="151"/>
        <v>15</v>
      </c>
      <c r="M534" s="14">
        <f t="shared" si="152"/>
        <v>29</v>
      </c>
      <c r="N534" s="13">
        <f t="shared" si="144"/>
        <v>0</v>
      </c>
      <c r="O534">
        <f t="shared" si="144"/>
        <v>2</v>
      </c>
      <c r="P534">
        <f t="shared" si="144"/>
        <v>53</v>
      </c>
      <c r="Q534" s="14">
        <f t="shared" si="157"/>
        <v>173</v>
      </c>
      <c r="R534" s="13">
        <f t="shared" si="158"/>
        <v>0</v>
      </c>
      <c r="S534">
        <f t="shared" si="159"/>
        <v>2</v>
      </c>
      <c r="T534">
        <f t="shared" si="160"/>
        <v>53</v>
      </c>
      <c r="U534" s="14">
        <f t="shared" si="161"/>
        <v>173</v>
      </c>
      <c r="V534" s="15"/>
      <c r="Z534" s="14"/>
    </row>
    <row r="535" spans="1:26" hidden="1" x14ac:dyDescent="0.25">
      <c r="A535" s="16"/>
      <c r="B535" s="17" t="b">
        <f t="shared" si="146"/>
        <v>0</v>
      </c>
      <c r="C535" s="17" t="b">
        <f t="shared" si="156"/>
        <v>0</v>
      </c>
      <c r="D535" s="17">
        <f t="shared" si="153"/>
        <v>1</v>
      </c>
      <c r="E535" s="17" t="str">
        <f t="shared" si="154"/>
        <v>6. Conclusion</v>
      </c>
      <c r="F535" s="18" t="str">
        <f t="shared" si="145"/>
        <v/>
      </c>
      <c r="G535" s="13" t="str">
        <f t="shared" si="147"/>
        <v/>
      </c>
      <c r="H535">
        <f t="shared" si="148"/>
        <v>0</v>
      </c>
      <c r="I535" s="14">
        <f t="shared" si="155"/>
        <v>0</v>
      </c>
      <c r="J535" s="13">
        <f t="shared" si="149"/>
        <v>4529</v>
      </c>
      <c r="K535">
        <f t="shared" si="150"/>
        <v>1</v>
      </c>
      <c r="L535">
        <f t="shared" si="151"/>
        <v>15</v>
      </c>
      <c r="M535" s="14">
        <f t="shared" si="152"/>
        <v>29</v>
      </c>
      <c r="N535" s="13">
        <f t="shared" si="144"/>
        <v>0</v>
      </c>
      <c r="O535">
        <f t="shared" si="144"/>
        <v>2</v>
      </c>
      <c r="P535">
        <f t="shared" si="144"/>
        <v>53</v>
      </c>
      <c r="Q535" s="14">
        <f t="shared" si="157"/>
        <v>173</v>
      </c>
      <c r="R535" s="13">
        <f t="shared" si="158"/>
        <v>0</v>
      </c>
      <c r="S535">
        <f t="shared" si="159"/>
        <v>2</v>
      </c>
      <c r="T535">
        <f t="shared" si="160"/>
        <v>53</v>
      </c>
      <c r="U535" s="14">
        <f t="shared" si="161"/>
        <v>173</v>
      </c>
      <c r="V535" s="15"/>
      <c r="Z535" s="14"/>
    </row>
    <row r="536" spans="1:26" hidden="1" x14ac:dyDescent="0.25">
      <c r="A536" s="16"/>
      <c r="B536" s="17" t="b">
        <f t="shared" si="146"/>
        <v>0</v>
      </c>
      <c r="C536" s="17" t="b">
        <f t="shared" si="156"/>
        <v>0</v>
      </c>
      <c r="D536" s="17">
        <f t="shared" si="153"/>
        <v>1</v>
      </c>
      <c r="E536" s="17" t="str">
        <f t="shared" si="154"/>
        <v>6. Conclusion</v>
      </c>
      <c r="F536" s="18" t="str">
        <f t="shared" si="145"/>
        <v/>
      </c>
      <c r="G536" s="13" t="str">
        <f t="shared" si="147"/>
        <v/>
      </c>
      <c r="H536">
        <f t="shared" si="148"/>
        <v>0</v>
      </c>
      <c r="I536" s="14">
        <f t="shared" si="155"/>
        <v>0</v>
      </c>
      <c r="J536" s="13">
        <f t="shared" si="149"/>
        <v>4529</v>
      </c>
      <c r="K536">
        <f t="shared" si="150"/>
        <v>1</v>
      </c>
      <c r="L536">
        <f t="shared" si="151"/>
        <v>15</v>
      </c>
      <c r="M536" s="14">
        <f t="shared" si="152"/>
        <v>29</v>
      </c>
      <c r="N536" s="13">
        <f t="shared" si="144"/>
        <v>0</v>
      </c>
      <c r="O536">
        <f t="shared" si="144"/>
        <v>2</v>
      </c>
      <c r="P536">
        <f t="shared" si="144"/>
        <v>53</v>
      </c>
      <c r="Q536" s="14">
        <f t="shared" si="157"/>
        <v>173</v>
      </c>
      <c r="R536" s="13">
        <f t="shared" si="158"/>
        <v>0</v>
      </c>
      <c r="S536">
        <f t="shared" si="159"/>
        <v>2</v>
      </c>
      <c r="T536">
        <f t="shared" si="160"/>
        <v>53</v>
      </c>
      <c r="U536" s="14">
        <f t="shared" si="161"/>
        <v>173</v>
      </c>
      <c r="V536" s="15"/>
      <c r="Z536" s="14"/>
    </row>
    <row r="537" spans="1:26" hidden="1" x14ac:dyDescent="0.25">
      <c r="A537" s="16"/>
      <c r="B537" s="17" t="b">
        <f t="shared" si="146"/>
        <v>0</v>
      </c>
      <c r="C537" s="17" t="b">
        <f t="shared" si="156"/>
        <v>0</v>
      </c>
      <c r="D537" s="17">
        <f t="shared" si="153"/>
        <v>1</v>
      </c>
      <c r="E537" s="17" t="str">
        <f t="shared" si="154"/>
        <v>6. Conclusion</v>
      </c>
      <c r="F537" s="18" t="str">
        <f t="shared" si="145"/>
        <v/>
      </c>
      <c r="G537" s="13" t="str">
        <f t="shared" si="147"/>
        <v/>
      </c>
      <c r="H537">
        <f t="shared" si="148"/>
        <v>0</v>
      </c>
      <c r="I537" s="14">
        <f t="shared" si="155"/>
        <v>0</v>
      </c>
      <c r="J537" s="13">
        <f t="shared" si="149"/>
        <v>4529</v>
      </c>
      <c r="K537">
        <f t="shared" si="150"/>
        <v>1</v>
      </c>
      <c r="L537">
        <f t="shared" si="151"/>
        <v>15</v>
      </c>
      <c r="M537" s="14">
        <f t="shared" si="152"/>
        <v>29</v>
      </c>
      <c r="N537" s="13">
        <f t="shared" si="144"/>
        <v>0</v>
      </c>
      <c r="O537">
        <f t="shared" si="144"/>
        <v>2</v>
      </c>
      <c r="P537">
        <f t="shared" si="144"/>
        <v>53</v>
      </c>
      <c r="Q537" s="14">
        <f t="shared" si="157"/>
        <v>173</v>
      </c>
      <c r="R537" s="13">
        <f t="shared" si="158"/>
        <v>0</v>
      </c>
      <c r="S537">
        <f t="shared" si="159"/>
        <v>2</v>
      </c>
      <c r="T537">
        <f t="shared" si="160"/>
        <v>53</v>
      </c>
      <c r="U537" s="14">
        <f t="shared" si="161"/>
        <v>173</v>
      </c>
      <c r="V537" s="15"/>
      <c r="Z537" s="14"/>
    </row>
    <row r="538" spans="1:26" hidden="1" x14ac:dyDescent="0.25">
      <c r="A538" s="16"/>
      <c r="B538" s="17" t="b">
        <f t="shared" si="146"/>
        <v>0</v>
      </c>
      <c r="C538" s="17" t="b">
        <f t="shared" si="156"/>
        <v>0</v>
      </c>
      <c r="D538" s="17">
        <f t="shared" si="153"/>
        <v>1</v>
      </c>
      <c r="E538" s="17" t="str">
        <f t="shared" si="154"/>
        <v>6. Conclusion</v>
      </c>
      <c r="F538" s="18" t="str">
        <f t="shared" si="145"/>
        <v/>
      </c>
      <c r="G538" s="13" t="str">
        <f t="shared" si="147"/>
        <v/>
      </c>
      <c r="H538">
        <f t="shared" si="148"/>
        <v>0</v>
      </c>
      <c r="I538" s="14">
        <f t="shared" si="155"/>
        <v>0</v>
      </c>
      <c r="J538" s="13">
        <f t="shared" si="149"/>
        <v>4529</v>
      </c>
      <c r="K538">
        <f t="shared" si="150"/>
        <v>1</v>
      </c>
      <c r="L538">
        <f t="shared" si="151"/>
        <v>15</v>
      </c>
      <c r="M538" s="14">
        <f t="shared" si="152"/>
        <v>29</v>
      </c>
      <c r="N538" s="13">
        <f t="shared" si="144"/>
        <v>0</v>
      </c>
      <c r="O538">
        <f t="shared" si="144"/>
        <v>2</v>
      </c>
      <c r="P538">
        <f t="shared" si="144"/>
        <v>53</v>
      </c>
      <c r="Q538" s="14">
        <f t="shared" si="157"/>
        <v>173</v>
      </c>
      <c r="R538" s="13">
        <f t="shared" si="158"/>
        <v>0</v>
      </c>
      <c r="S538">
        <f t="shared" si="159"/>
        <v>2</v>
      </c>
      <c r="T538">
        <f t="shared" si="160"/>
        <v>53</v>
      </c>
      <c r="U538" s="14">
        <f t="shared" si="161"/>
        <v>173</v>
      </c>
      <c r="V538" s="15"/>
      <c r="Z538" s="14"/>
    </row>
    <row r="539" spans="1:26" hidden="1" x14ac:dyDescent="0.25">
      <c r="A539" s="16"/>
      <c r="B539" s="17" t="b">
        <f t="shared" si="146"/>
        <v>0</v>
      </c>
      <c r="C539" s="17" t="b">
        <f t="shared" si="156"/>
        <v>0</v>
      </c>
      <c r="D539" s="17">
        <f t="shared" si="153"/>
        <v>1</v>
      </c>
      <c r="E539" s="17" t="str">
        <f t="shared" si="154"/>
        <v>6. Conclusion</v>
      </c>
      <c r="F539" s="18" t="str">
        <f t="shared" si="145"/>
        <v/>
      </c>
      <c r="G539" s="13" t="str">
        <f t="shared" si="147"/>
        <v/>
      </c>
      <c r="H539">
        <f t="shared" si="148"/>
        <v>0</v>
      </c>
      <c r="I539" s="14">
        <f t="shared" si="155"/>
        <v>0</v>
      </c>
      <c r="J539" s="13">
        <f t="shared" si="149"/>
        <v>4529</v>
      </c>
      <c r="K539">
        <f t="shared" si="150"/>
        <v>1</v>
      </c>
      <c r="L539">
        <f t="shared" si="151"/>
        <v>15</v>
      </c>
      <c r="M539" s="14">
        <f t="shared" si="152"/>
        <v>29</v>
      </c>
      <c r="N539" s="13">
        <f t="shared" si="144"/>
        <v>0</v>
      </c>
      <c r="O539">
        <f t="shared" si="144"/>
        <v>2</v>
      </c>
      <c r="P539">
        <f t="shared" si="144"/>
        <v>53</v>
      </c>
      <c r="Q539" s="14">
        <f t="shared" si="157"/>
        <v>173</v>
      </c>
      <c r="R539" s="13">
        <f t="shared" si="158"/>
        <v>0</v>
      </c>
      <c r="S539">
        <f t="shared" si="159"/>
        <v>2</v>
      </c>
      <c r="T539">
        <f t="shared" si="160"/>
        <v>53</v>
      </c>
      <c r="U539" s="14">
        <f t="shared" si="161"/>
        <v>173</v>
      </c>
      <c r="V539" s="15"/>
      <c r="Z539" s="14"/>
    </row>
    <row r="540" spans="1:26" hidden="1" x14ac:dyDescent="0.25">
      <c r="A540" s="16"/>
      <c r="B540" s="17" t="b">
        <f t="shared" si="146"/>
        <v>0</v>
      </c>
      <c r="C540" s="17" t="b">
        <f t="shared" si="156"/>
        <v>0</v>
      </c>
      <c r="D540" s="17">
        <f t="shared" si="153"/>
        <v>1</v>
      </c>
      <c r="E540" s="17" t="str">
        <f t="shared" si="154"/>
        <v>6. Conclusion</v>
      </c>
      <c r="F540" s="18" t="str">
        <f t="shared" si="145"/>
        <v/>
      </c>
      <c r="G540" s="13" t="str">
        <f t="shared" si="147"/>
        <v/>
      </c>
      <c r="H540">
        <f t="shared" si="148"/>
        <v>0</v>
      </c>
      <c r="I540" s="14">
        <f t="shared" si="155"/>
        <v>0</v>
      </c>
      <c r="J540" s="13">
        <f t="shared" si="149"/>
        <v>4529</v>
      </c>
      <c r="K540">
        <f t="shared" si="150"/>
        <v>1</v>
      </c>
      <c r="L540">
        <f t="shared" si="151"/>
        <v>15</v>
      </c>
      <c r="M540" s="14">
        <f t="shared" si="152"/>
        <v>29</v>
      </c>
      <c r="N540" s="13">
        <f t="shared" ref="N540:P566" si="162">R539</f>
        <v>0</v>
      </c>
      <c r="O540">
        <f t="shared" si="162"/>
        <v>2</v>
      </c>
      <c r="P540">
        <f t="shared" si="162"/>
        <v>53</v>
      </c>
      <c r="Q540" s="14">
        <f t="shared" si="157"/>
        <v>173</v>
      </c>
      <c r="R540" s="13">
        <f t="shared" si="158"/>
        <v>0</v>
      </c>
      <c r="S540">
        <f t="shared" si="159"/>
        <v>2</v>
      </c>
      <c r="T540">
        <f t="shared" si="160"/>
        <v>53</v>
      </c>
      <c r="U540" s="14">
        <f t="shared" si="161"/>
        <v>173</v>
      </c>
      <c r="V540" s="15"/>
      <c r="Z540" s="14"/>
    </row>
    <row r="541" spans="1:26" hidden="1" x14ac:dyDescent="0.25">
      <c r="A541" s="16"/>
      <c r="B541" s="17" t="b">
        <f t="shared" si="146"/>
        <v>0</v>
      </c>
      <c r="C541" s="17" t="b">
        <f t="shared" si="156"/>
        <v>0</v>
      </c>
      <c r="D541" s="17">
        <f t="shared" si="153"/>
        <v>1</v>
      </c>
      <c r="E541" s="17" t="str">
        <f t="shared" si="154"/>
        <v>6. Conclusion</v>
      </c>
      <c r="F541" s="18" t="str">
        <f t="shared" si="145"/>
        <v/>
      </c>
      <c r="G541" s="13" t="str">
        <f t="shared" si="147"/>
        <v/>
      </c>
      <c r="H541">
        <f t="shared" si="148"/>
        <v>0</v>
      </c>
      <c r="I541" s="14">
        <f t="shared" si="155"/>
        <v>0</v>
      </c>
      <c r="J541" s="13">
        <f t="shared" si="149"/>
        <v>4529</v>
      </c>
      <c r="K541">
        <f t="shared" si="150"/>
        <v>1</v>
      </c>
      <c r="L541">
        <f t="shared" si="151"/>
        <v>15</v>
      </c>
      <c r="M541" s="14">
        <f t="shared" si="152"/>
        <v>29</v>
      </c>
      <c r="N541" s="13">
        <f t="shared" si="162"/>
        <v>0</v>
      </c>
      <c r="O541">
        <f t="shared" si="162"/>
        <v>2</v>
      </c>
      <c r="P541">
        <f t="shared" si="162"/>
        <v>53</v>
      </c>
      <c r="Q541" s="14">
        <f t="shared" si="157"/>
        <v>173</v>
      </c>
      <c r="R541" s="13">
        <f t="shared" si="158"/>
        <v>0</v>
      </c>
      <c r="S541">
        <f t="shared" si="159"/>
        <v>2</v>
      </c>
      <c r="T541">
        <f t="shared" si="160"/>
        <v>53</v>
      </c>
      <c r="U541" s="14">
        <f t="shared" si="161"/>
        <v>173</v>
      </c>
      <c r="V541" s="15"/>
      <c r="Z541" s="14"/>
    </row>
    <row r="542" spans="1:26" hidden="1" x14ac:dyDescent="0.25">
      <c r="A542" s="16"/>
      <c r="B542" s="17" t="b">
        <f t="shared" si="146"/>
        <v>0</v>
      </c>
      <c r="C542" s="17" t="b">
        <f t="shared" si="156"/>
        <v>0</v>
      </c>
      <c r="D542" s="17">
        <f t="shared" si="153"/>
        <v>1</v>
      </c>
      <c r="E542" s="17" t="str">
        <f t="shared" si="154"/>
        <v>6. Conclusion</v>
      </c>
      <c r="F542" s="18" t="str">
        <f t="shared" si="145"/>
        <v/>
      </c>
      <c r="G542" s="13" t="str">
        <f t="shared" si="147"/>
        <v/>
      </c>
      <c r="H542">
        <f t="shared" si="148"/>
        <v>0</v>
      </c>
      <c r="I542" s="14">
        <f t="shared" si="155"/>
        <v>0</v>
      </c>
      <c r="J542" s="13">
        <f t="shared" si="149"/>
        <v>4529</v>
      </c>
      <c r="K542">
        <f t="shared" si="150"/>
        <v>1</v>
      </c>
      <c r="L542">
        <f t="shared" si="151"/>
        <v>15</v>
      </c>
      <c r="M542" s="14">
        <f t="shared" si="152"/>
        <v>29</v>
      </c>
      <c r="N542" s="13">
        <f t="shared" si="162"/>
        <v>0</v>
      </c>
      <c r="O542">
        <f t="shared" si="162"/>
        <v>2</v>
      </c>
      <c r="P542">
        <f t="shared" si="162"/>
        <v>53</v>
      </c>
      <c r="Q542" s="14">
        <f t="shared" si="157"/>
        <v>173</v>
      </c>
      <c r="R542" s="13">
        <f t="shared" si="158"/>
        <v>0</v>
      </c>
      <c r="S542">
        <f t="shared" si="159"/>
        <v>2</v>
      </c>
      <c r="T542">
        <f t="shared" si="160"/>
        <v>53</v>
      </c>
      <c r="U542" s="14">
        <f t="shared" si="161"/>
        <v>173</v>
      </c>
      <c r="V542" s="15"/>
      <c r="Z542" s="14"/>
    </row>
    <row r="543" spans="1:26" hidden="1" x14ac:dyDescent="0.25">
      <c r="A543" s="16"/>
      <c r="B543" s="17" t="b">
        <f t="shared" si="146"/>
        <v>0</v>
      </c>
      <c r="C543" s="17" t="b">
        <f t="shared" si="156"/>
        <v>0</v>
      </c>
      <c r="D543" s="17">
        <f t="shared" si="153"/>
        <v>1</v>
      </c>
      <c r="E543" s="17" t="str">
        <f t="shared" si="154"/>
        <v>6. Conclusion</v>
      </c>
      <c r="F543" s="18" t="str">
        <f t="shared" si="145"/>
        <v/>
      </c>
      <c r="G543" s="13" t="str">
        <f t="shared" si="147"/>
        <v/>
      </c>
      <c r="H543">
        <f t="shared" si="148"/>
        <v>0</v>
      </c>
      <c r="I543" s="14">
        <f t="shared" si="155"/>
        <v>0</v>
      </c>
      <c r="J543" s="13">
        <f t="shared" si="149"/>
        <v>4529</v>
      </c>
      <c r="K543">
        <f t="shared" si="150"/>
        <v>1</v>
      </c>
      <c r="L543">
        <f t="shared" si="151"/>
        <v>15</v>
      </c>
      <c r="M543" s="14">
        <f t="shared" si="152"/>
        <v>29</v>
      </c>
      <c r="N543" s="13">
        <f t="shared" si="162"/>
        <v>0</v>
      </c>
      <c r="O543">
        <f t="shared" si="162"/>
        <v>2</v>
      </c>
      <c r="P543">
        <f t="shared" si="162"/>
        <v>53</v>
      </c>
      <c r="Q543" s="14">
        <f t="shared" si="157"/>
        <v>173</v>
      </c>
      <c r="R543" s="13">
        <f t="shared" si="158"/>
        <v>0</v>
      </c>
      <c r="S543">
        <f t="shared" si="159"/>
        <v>2</v>
      </c>
      <c r="T543">
        <f t="shared" si="160"/>
        <v>53</v>
      </c>
      <c r="U543" s="14">
        <f t="shared" si="161"/>
        <v>173</v>
      </c>
      <c r="V543" s="15"/>
      <c r="Z543" s="14"/>
    </row>
    <row r="544" spans="1:26" hidden="1" x14ac:dyDescent="0.25">
      <c r="A544" s="16"/>
      <c r="B544" s="17" t="b">
        <f t="shared" si="146"/>
        <v>0</v>
      </c>
      <c r="C544" s="17" t="b">
        <f t="shared" si="156"/>
        <v>0</v>
      </c>
      <c r="D544" s="17">
        <f t="shared" si="153"/>
        <v>1</v>
      </c>
      <c r="E544" s="17" t="str">
        <f t="shared" si="154"/>
        <v>6. Conclusion</v>
      </c>
      <c r="F544" s="18" t="str">
        <f t="shared" si="145"/>
        <v/>
      </c>
      <c r="G544" s="13" t="str">
        <f t="shared" si="147"/>
        <v/>
      </c>
      <c r="H544">
        <f t="shared" si="148"/>
        <v>0</v>
      </c>
      <c r="I544" s="14">
        <f t="shared" si="155"/>
        <v>0</v>
      </c>
      <c r="J544" s="13">
        <f t="shared" si="149"/>
        <v>4529</v>
      </c>
      <c r="K544">
        <f t="shared" si="150"/>
        <v>1</v>
      </c>
      <c r="L544">
        <f t="shared" si="151"/>
        <v>15</v>
      </c>
      <c r="M544" s="14">
        <f t="shared" si="152"/>
        <v>29</v>
      </c>
      <c r="N544" s="13">
        <f t="shared" si="162"/>
        <v>0</v>
      </c>
      <c r="O544">
        <f t="shared" si="162"/>
        <v>2</v>
      </c>
      <c r="P544">
        <f t="shared" si="162"/>
        <v>53</v>
      </c>
      <c r="Q544" s="14">
        <f t="shared" si="157"/>
        <v>173</v>
      </c>
      <c r="R544" s="13">
        <f t="shared" si="158"/>
        <v>0</v>
      </c>
      <c r="S544">
        <f t="shared" si="159"/>
        <v>2</v>
      </c>
      <c r="T544">
        <f t="shared" si="160"/>
        <v>53</v>
      </c>
      <c r="U544" s="14">
        <f t="shared" si="161"/>
        <v>173</v>
      </c>
      <c r="V544" s="15"/>
      <c r="Z544" s="14"/>
    </row>
    <row r="545" spans="1:26" hidden="1" x14ac:dyDescent="0.25">
      <c r="A545" s="16"/>
      <c r="B545" s="17" t="b">
        <f t="shared" si="146"/>
        <v>0</v>
      </c>
      <c r="C545" s="17" t="b">
        <f t="shared" si="156"/>
        <v>0</v>
      </c>
      <c r="D545" s="17">
        <f t="shared" si="153"/>
        <v>1</v>
      </c>
      <c r="E545" s="17" t="str">
        <f t="shared" si="154"/>
        <v>6. Conclusion</v>
      </c>
      <c r="F545" s="18" t="str">
        <f t="shared" si="145"/>
        <v/>
      </c>
      <c r="G545" s="13" t="str">
        <f t="shared" si="147"/>
        <v/>
      </c>
      <c r="H545">
        <f t="shared" si="148"/>
        <v>0</v>
      </c>
      <c r="I545" s="14">
        <f t="shared" si="155"/>
        <v>0</v>
      </c>
      <c r="J545" s="13">
        <f t="shared" si="149"/>
        <v>4529</v>
      </c>
      <c r="K545">
        <f t="shared" si="150"/>
        <v>1</v>
      </c>
      <c r="L545">
        <f t="shared" si="151"/>
        <v>15</v>
      </c>
      <c r="M545" s="14">
        <f t="shared" si="152"/>
        <v>29</v>
      </c>
      <c r="N545" s="13">
        <f t="shared" si="162"/>
        <v>0</v>
      </c>
      <c r="O545">
        <f t="shared" si="162"/>
        <v>2</v>
      </c>
      <c r="P545">
        <f t="shared" si="162"/>
        <v>53</v>
      </c>
      <c r="Q545" s="14">
        <f t="shared" si="157"/>
        <v>173</v>
      </c>
      <c r="R545" s="13">
        <f t="shared" si="158"/>
        <v>0</v>
      </c>
      <c r="S545">
        <f t="shared" si="159"/>
        <v>2</v>
      </c>
      <c r="T545">
        <f t="shared" si="160"/>
        <v>53</v>
      </c>
      <c r="U545" s="14">
        <f t="shared" si="161"/>
        <v>173</v>
      </c>
      <c r="V545" s="15"/>
      <c r="Z545" s="14"/>
    </row>
    <row r="546" spans="1:26" hidden="1" x14ac:dyDescent="0.25">
      <c r="A546" s="16"/>
      <c r="B546" s="17" t="b">
        <f t="shared" si="146"/>
        <v>0</v>
      </c>
      <c r="C546" s="17" t="b">
        <f t="shared" si="156"/>
        <v>0</v>
      </c>
      <c r="D546" s="17">
        <f t="shared" si="153"/>
        <v>1</v>
      </c>
      <c r="E546" s="17" t="str">
        <f t="shared" si="154"/>
        <v>6. Conclusion</v>
      </c>
      <c r="F546" s="18" t="str">
        <f t="shared" si="145"/>
        <v/>
      </c>
      <c r="G546" s="13" t="str">
        <f t="shared" si="147"/>
        <v/>
      </c>
      <c r="H546">
        <f t="shared" si="148"/>
        <v>0</v>
      </c>
      <c r="I546" s="14">
        <f t="shared" si="155"/>
        <v>0</v>
      </c>
      <c r="J546" s="13">
        <f t="shared" si="149"/>
        <v>4529</v>
      </c>
      <c r="K546">
        <f t="shared" si="150"/>
        <v>1</v>
      </c>
      <c r="L546">
        <f t="shared" si="151"/>
        <v>15</v>
      </c>
      <c r="M546" s="14">
        <f t="shared" si="152"/>
        <v>29</v>
      </c>
      <c r="N546" s="13">
        <f t="shared" si="162"/>
        <v>0</v>
      </c>
      <c r="O546">
        <f t="shared" si="162"/>
        <v>2</v>
      </c>
      <c r="P546">
        <f t="shared" si="162"/>
        <v>53</v>
      </c>
      <c r="Q546" s="14">
        <f t="shared" si="157"/>
        <v>173</v>
      </c>
      <c r="R546" s="13">
        <f t="shared" si="158"/>
        <v>0</v>
      </c>
      <c r="S546">
        <f t="shared" si="159"/>
        <v>2</v>
      </c>
      <c r="T546">
        <f t="shared" si="160"/>
        <v>53</v>
      </c>
      <c r="U546" s="14">
        <f t="shared" si="161"/>
        <v>173</v>
      </c>
      <c r="V546" s="15"/>
      <c r="Z546" s="14"/>
    </row>
    <row r="547" spans="1:26" hidden="1" x14ac:dyDescent="0.25">
      <c r="A547" s="16"/>
      <c r="B547" s="17" t="b">
        <f t="shared" si="146"/>
        <v>0</v>
      </c>
      <c r="C547" s="17" t="b">
        <f t="shared" si="156"/>
        <v>0</v>
      </c>
      <c r="D547" s="17">
        <f t="shared" si="153"/>
        <v>1</v>
      </c>
      <c r="E547" s="17" t="str">
        <f t="shared" si="154"/>
        <v>6. Conclusion</v>
      </c>
      <c r="F547" s="18" t="str">
        <f t="shared" si="145"/>
        <v/>
      </c>
      <c r="G547" s="13" t="str">
        <f t="shared" si="147"/>
        <v/>
      </c>
      <c r="H547">
        <f t="shared" si="148"/>
        <v>0</v>
      </c>
      <c r="I547" s="14">
        <f t="shared" si="155"/>
        <v>0</v>
      </c>
      <c r="J547" s="13">
        <f t="shared" si="149"/>
        <v>4529</v>
      </c>
      <c r="K547">
        <f t="shared" si="150"/>
        <v>1</v>
      </c>
      <c r="L547">
        <f t="shared" si="151"/>
        <v>15</v>
      </c>
      <c r="M547" s="14">
        <f t="shared" si="152"/>
        <v>29</v>
      </c>
      <c r="N547" s="13">
        <f t="shared" si="162"/>
        <v>0</v>
      </c>
      <c r="O547">
        <f t="shared" si="162"/>
        <v>2</v>
      </c>
      <c r="P547">
        <f t="shared" si="162"/>
        <v>53</v>
      </c>
      <c r="Q547" s="14">
        <f t="shared" si="157"/>
        <v>173</v>
      </c>
      <c r="R547" s="13">
        <f t="shared" si="158"/>
        <v>0</v>
      </c>
      <c r="S547">
        <f t="shared" si="159"/>
        <v>2</v>
      </c>
      <c r="T547">
        <f t="shared" si="160"/>
        <v>53</v>
      </c>
      <c r="U547" s="14">
        <f t="shared" si="161"/>
        <v>173</v>
      </c>
      <c r="V547" s="15"/>
      <c r="Z547" s="14"/>
    </row>
    <row r="548" spans="1:26" hidden="1" x14ac:dyDescent="0.25">
      <c r="A548" s="16"/>
      <c r="B548" s="17" t="b">
        <f t="shared" si="146"/>
        <v>0</v>
      </c>
      <c r="C548" s="17" t="b">
        <f t="shared" si="156"/>
        <v>0</v>
      </c>
      <c r="D548" s="17">
        <f t="shared" si="153"/>
        <v>1</v>
      </c>
      <c r="E548" s="17" t="str">
        <f t="shared" si="154"/>
        <v>6. Conclusion</v>
      </c>
      <c r="F548" s="18" t="str">
        <f t="shared" si="145"/>
        <v/>
      </c>
      <c r="G548" s="13" t="str">
        <f t="shared" si="147"/>
        <v/>
      </c>
      <c r="H548">
        <f t="shared" si="148"/>
        <v>0</v>
      </c>
      <c r="I548" s="14">
        <f t="shared" si="155"/>
        <v>0</v>
      </c>
      <c r="J548" s="13">
        <f t="shared" si="149"/>
        <v>4529</v>
      </c>
      <c r="K548">
        <f t="shared" si="150"/>
        <v>1</v>
      </c>
      <c r="L548">
        <f t="shared" si="151"/>
        <v>15</v>
      </c>
      <c r="M548" s="14">
        <f t="shared" si="152"/>
        <v>29</v>
      </c>
      <c r="N548" s="13">
        <f t="shared" si="162"/>
        <v>0</v>
      </c>
      <c r="O548">
        <f t="shared" si="162"/>
        <v>2</v>
      </c>
      <c r="P548">
        <f t="shared" si="162"/>
        <v>53</v>
      </c>
      <c r="Q548" s="14">
        <f t="shared" si="157"/>
        <v>173</v>
      </c>
      <c r="R548" s="13">
        <f t="shared" si="158"/>
        <v>0</v>
      </c>
      <c r="S548">
        <f t="shared" si="159"/>
        <v>2</v>
      </c>
      <c r="T548">
        <f t="shared" si="160"/>
        <v>53</v>
      </c>
      <c r="U548" s="14">
        <f t="shared" si="161"/>
        <v>173</v>
      </c>
      <c r="V548" s="15"/>
      <c r="Z548" s="14"/>
    </row>
    <row r="549" spans="1:26" hidden="1" x14ac:dyDescent="0.25">
      <c r="A549" s="16"/>
      <c r="B549" s="17" t="b">
        <f t="shared" si="146"/>
        <v>0</v>
      </c>
      <c r="C549" s="17" t="b">
        <f t="shared" si="156"/>
        <v>0</v>
      </c>
      <c r="D549" s="17">
        <f t="shared" si="153"/>
        <v>1</v>
      </c>
      <c r="E549" s="17" t="str">
        <f t="shared" si="154"/>
        <v>6. Conclusion</v>
      </c>
      <c r="F549" s="18" t="str">
        <f t="shared" si="145"/>
        <v/>
      </c>
      <c r="G549" s="13" t="str">
        <f t="shared" si="147"/>
        <v/>
      </c>
      <c r="H549">
        <f t="shared" si="148"/>
        <v>0</v>
      </c>
      <c r="I549" s="14">
        <f t="shared" si="155"/>
        <v>0</v>
      </c>
      <c r="J549" s="13">
        <f t="shared" si="149"/>
        <v>4529</v>
      </c>
      <c r="K549">
        <f t="shared" si="150"/>
        <v>1</v>
      </c>
      <c r="L549">
        <f t="shared" si="151"/>
        <v>15</v>
      </c>
      <c r="M549" s="14">
        <f t="shared" si="152"/>
        <v>29</v>
      </c>
      <c r="N549" s="13">
        <f t="shared" si="162"/>
        <v>0</v>
      </c>
      <c r="O549">
        <f t="shared" si="162"/>
        <v>2</v>
      </c>
      <c r="P549">
        <f t="shared" si="162"/>
        <v>53</v>
      </c>
      <c r="Q549" s="14">
        <f t="shared" si="157"/>
        <v>173</v>
      </c>
      <c r="R549" s="13">
        <f t="shared" si="158"/>
        <v>0</v>
      </c>
      <c r="S549">
        <f t="shared" si="159"/>
        <v>2</v>
      </c>
      <c r="T549">
        <f t="shared" si="160"/>
        <v>53</v>
      </c>
      <c r="U549" s="14">
        <f t="shared" si="161"/>
        <v>173</v>
      </c>
      <c r="V549" s="15"/>
      <c r="Z549" s="14"/>
    </row>
    <row r="550" spans="1:26" hidden="1" x14ac:dyDescent="0.25">
      <c r="A550" s="16"/>
      <c r="B550" s="17" t="b">
        <f t="shared" si="146"/>
        <v>0</v>
      </c>
      <c r="C550" s="17" t="b">
        <f t="shared" si="156"/>
        <v>0</v>
      </c>
      <c r="D550" s="17">
        <f t="shared" si="153"/>
        <v>1</v>
      </c>
      <c r="E550" s="17" t="str">
        <f t="shared" si="154"/>
        <v>6. Conclusion</v>
      </c>
      <c r="F550" s="18" t="str">
        <f t="shared" si="145"/>
        <v/>
      </c>
      <c r="G550" s="13" t="str">
        <f t="shared" si="147"/>
        <v/>
      </c>
      <c r="H550">
        <f t="shared" si="148"/>
        <v>0</v>
      </c>
      <c r="I550" s="14">
        <f t="shared" si="155"/>
        <v>0</v>
      </c>
      <c r="J550" s="13">
        <f t="shared" si="149"/>
        <v>4529</v>
      </c>
      <c r="K550">
        <f t="shared" si="150"/>
        <v>1</v>
      </c>
      <c r="L550">
        <f t="shared" si="151"/>
        <v>15</v>
      </c>
      <c r="M550" s="14">
        <f t="shared" si="152"/>
        <v>29</v>
      </c>
      <c r="N550" s="13">
        <f t="shared" si="162"/>
        <v>0</v>
      </c>
      <c r="O550">
        <f t="shared" si="162"/>
        <v>2</v>
      </c>
      <c r="P550">
        <f t="shared" si="162"/>
        <v>53</v>
      </c>
      <c r="Q550" s="14">
        <f t="shared" si="157"/>
        <v>173</v>
      </c>
      <c r="R550" s="13">
        <f t="shared" si="158"/>
        <v>0</v>
      </c>
      <c r="S550">
        <f t="shared" si="159"/>
        <v>2</v>
      </c>
      <c r="T550">
        <f t="shared" si="160"/>
        <v>53</v>
      </c>
      <c r="U550" s="14">
        <f t="shared" si="161"/>
        <v>173</v>
      </c>
      <c r="V550" s="15"/>
      <c r="Z550" s="14"/>
    </row>
    <row r="551" spans="1:26" hidden="1" x14ac:dyDescent="0.25">
      <c r="A551" s="16"/>
      <c r="B551" s="17" t="b">
        <f t="shared" si="146"/>
        <v>0</v>
      </c>
      <c r="C551" s="17" t="b">
        <f t="shared" si="156"/>
        <v>0</v>
      </c>
      <c r="D551" s="17">
        <f t="shared" si="153"/>
        <v>1</v>
      </c>
      <c r="E551" s="17" t="str">
        <f t="shared" si="154"/>
        <v>6. Conclusion</v>
      </c>
      <c r="F551" s="18" t="str">
        <f t="shared" si="145"/>
        <v/>
      </c>
      <c r="G551" s="13" t="str">
        <f t="shared" si="147"/>
        <v/>
      </c>
      <c r="H551">
        <f t="shared" si="148"/>
        <v>0</v>
      </c>
      <c r="I551" s="14">
        <f t="shared" si="155"/>
        <v>0</v>
      </c>
      <c r="J551" s="13">
        <f t="shared" si="149"/>
        <v>4529</v>
      </c>
      <c r="K551">
        <f t="shared" si="150"/>
        <v>1</v>
      </c>
      <c r="L551">
        <f t="shared" si="151"/>
        <v>15</v>
      </c>
      <c r="M551" s="14">
        <f t="shared" si="152"/>
        <v>29</v>
      </c>
      <c r="N551" s="13">
        <f t="shared" si="162"/>
        <v>0</v>
      </c>
      <c r="O551">
        <f t="shared" si="162"/>
        <v>2</v>
      </c>
      <c r="P551">
        <f t="shared" si="162"/>
        <v>53</v>
      </c>
      <c r="Q551" s="14">
        <f t="shared" si="157"/>
        <v>173</v>
      </c>
      <c r="R551" s="13">
        <f t="shared" si="158"/>
        <v>0</v>
      </c>
      <c r="S551">
        <f t="shared" si="159"/>
        <v>2</v>
      </c>
      <c r="T551">
        <f t="shared" si="160"/>
        <v>53</v>
      </c>
      <c r="U551" s="14">
        <f t="shared" si="161"/>
        <v>173</v>
      </c>
      <c r="V551" s="15"/>
      <c r="Z551" s="14"/>
    </row>
    <row r="552" spans="1:26" hidden="1" x14ac:dyDescent="0.25">
      <c r="A552" s="16"/>
      <c r="B552" s="17" t="b">
        <f t="shared" si="146"/>
        <v>0</v>
      </c>
      <c r="C552" s="17" t="b">
        <f t="shared" si="156"/>
        <v>0</v>
      </c>
      <c r="D552" s="17">
        <f t="shared" si="153"/>
        <v>1</v>
      </c>
      <c r="E552" s="17" t="str">
        <f t="shared" si="154"/>
        <v>6. Conclusion</v>
      </c>
      <c r="F552" s="18" t="str">
        <f t="shared" si="145"/>
        <v/>
      </c>
      <c r="G552" s="13" t="str">
        <f t="shared" si="147"/>
        <v/>
      </c>
      <c r="H552">
        <f t="shared" si="148"/>
        <v>0</v>
      </c>
      <c r="I552" s="14">
        <f t="shared" si="155"/>
        <v>0</v>
      </c>
      <c r="J552" s="13">
        <f t="shared" si="149"/>
        <v>4529</v>
      </c>
      <c r="K552">
        <f t="shared" si="150"/>
        <v>1</v>
      </c>
      <c r="L552">
        <f t="shared" si="151"/>
        <v>15</v>
      </c>
      <c r="M552" s="14">
        <f t="shared" si="152"/>
        <v>29</v>
      </c>
      <c r="N552" s="13">
        <f t="shared" si="162"/>
        <v>0</v>
      </c>
      <c r="O552">
        <f t="shared" si="162"/>
        <v>2</v>
      </c>
      <c r="P552">
        <f t="shared" si="162"/>
        <v>53</v>
      </c>
      <c r="Q552" s="14">
        <f t="shared" si="157"/>
        <v>173</v>
      </c>
      <c r="R552" s="13">
        <f t="shared" si="158"/>
        <v>0</v>
      </c>
      <c r="S552">
        <f t="shared" si="159"/>
        <v>2</v>
      </c>
      <c r="T552">
        <f t="shared" si="160"/>
        <v>53</v>
      </c>
      <c r="U552" s="14">
        <f t="shared" si="161"/>
        <v>173</v>
      </c>
      <c r="V552" s="15"/>
      <c r="Z552" s="14"/>
    </row>
    <row r="553" spans="1:26" hidden="1" x14ac:dyDescent="0.25">
      <c r="A553" s="16"/>
      <c r="B553" s="17" t="b">
        <f t="shared" si="146"/>
        <v>0</v>
      </c>
      <c r="C553" s="17" t="b">
        <f t="shared" si="156"/>
        <v>0</v>
      </c>
      <c r="D553" s="17">
        <f t="shared" si="153"/>
        <v>1</v>
      </c>
      <c r="E553" s="17" t="str">
        <f t="shared" si="154"/>
        <v>6. Conclusion</v>
      </c>
      <c r="F553" s="18" t="str">
        <f t="shared" si="145"/>
        <v/>
      </c>
      <c r="G553" s="13" t="str">
        <f t="shared" si="147"/>
        <v/>
      </c>
      <c r="H553">
        <f t="shared" si="148"/>
        <v>0</v>
      </c>
      <c r="I553" s="14">
        <f t="shared" si="155"/>
        <v>0</v>
      </c>
      <c r="J553" s="13">
        <f t="shared" si="149"/>
        <v>4529</v>
      </c>
      <c r="K553">
        <f t="shared" si="150"/>
        <v>1</v>
      </c>
      <c r="L553">
        <f t="shared" si="151"/>
        <v>15</v>
      </c>
      <c r="M553" s="14">
        <f t="shared" si="152"/>
        <v>29</v>
      </c>
      <c r="N553" s="13">
        <f t="shared" si="162"/>
        <v>0</v>
      </c>
      <c r="O553">
        <f t="shared" si="162"/>
        <v>2</v>
      </c>
      <c r="P553">
        <f t="shared" si="162"/>
        <v>53</v>
      </c>
      <c r="Q553" s="14">
        <f t="shared" si="157"/>
        <v>173</v>
      </c>
      <c r="R553" s="13">
        <f t="shared" si="158"/>
        <v>0</v>
      </c>
      <c r="S553">
        <f t="shared" si="159"/>
        <v>2</v>
      </c>
      <c r="T553">
        <f t="shared" si="160"/>
        <v>53</v>
      </c>
      <c r="U553" s="14">
        <f t="shared" si="161"/>
        <v>173</v>
      </c>
      <c r="V553" s="15"/>
      <c r="Z553" s="14"/>
    </row>
    <row r="554" spans="1:26" hidden="1" x14ac:dyDescent="0.25">
      <c r="A554" s="16"/>
      <c r="B554" s="17" t="b">
        <f t="shared" si="146"/>
        <v>0</v>
      </c>
      <c r="C554" s="17" t="b">
        <f t="shared" si="156"/>
        <v>0</v>
      </c>
      <c r="D554" s="17">
        <f t="shared" si="153"/>
        <v>1</v>
      </c>
      <c r="E554" s="17" t="str">
        <f t="shared" si="154"/>
        <v>6. Conclusion</v>
      </c>
      <c r="F554" s="18" t="str">
        <f t="shared" si="145"/>
        <v/>
      </c>
      <c r="G554" s="13" t="str">
        <f t="shared" si="147"/>
        <v/>
      </c>
      <c r="H554">
        <f t="shared" si="148"/>
        <v>0</v>
      </c>
      <c r="I554" s="14">
        <f t="shared" si="155"/>
        <v>0</v>
      </c>
      <c r="J554" s="13">
        <f t="shared" si="149"/>
        <v>4529</v>
      </c>
      <c r="K554">
        <f t="shared" si="150"/>
        <v>1</v>
      </c>
      <c r="L554">
        <f t="shared" si="151"/>
        <v>15</v>
      </c>
      <c r="M554" s="14">
        <f t="shared" si="152"/>
        <v>29</v>
      </c>
      <c r="N554" s="13">
        <f t="shared" si="162"/>
        <v>0</v>
      </c>
      <c r="O554">
        <f t="shared" si="162"/>
        <v>2</v>
      </c>
      <c r="P554">
        <f t="shared" si="162"/>
        <v>53</v>
      </c>
      <c r="Q554" s="14">
        <f t="shared" si="157"/>
        <v>173</v>
      </c>
      <c r="R554" s="13">
        <f t="shared" si="158"/>
        <v>0</v>
      </c>
      <c r="S554">
        <f t="shared" si="159"/>
        <v>2</v>
      </c>
      <c r="T554">
        <f t="shared" si="160"/>
        <v>53</v>
      </c>
      <c r="U554" s="14">
        <f t="shared" si="161"/>
        <v>173</v>
      </c>
      <c r="V554" s="15"/>
      <c r="Z554" s="14"/>
    </row>
    <row r="555" spans="1:26" hidden="1" x14ac:dyDescent="0.25">
      <c r="A555" s="16"/>
      <c r="B555" s="17" t="b">
        <f t="shared" si="146"/>
        <v>0</v>
      </c>
      <c r="C555" s="17" t="b">
        <f t="shared" si="156"/>
        <v>0</v>
      </c>
      <c r="D555" s="17">
        <f t="shared" si="153"/>
        <v>1</v>
      </c>
      <c r="E555" s="17" t="str">
        <f t="shared" si="154"/>
        <v>6. Conclusion</v>
      </c>
      <c r="F555" s="18" t="str">
        <f t="shared" si="145"/>
        <v/>
      </c>
      <c r="G555" s="13" t="str">
        <f t="shared" si="147"/>
        <v/>
      </c>
      <c r="H555">
        <f t="shared" si="148"/>
        <v>0</v>
      </c>
      <c r="I555" s="14">
        <f t="shared" si="155"/>
        <v>0</v>
      </c>
      <c r="J555" s="13">
        <f t="shared" si="149"/>
        <v>4529</v>
      </c>
      <c r="K555">
        <f t="shared" si="150"/>
        <v>1</v>
      </c>
      <c r="L555">
        <f t="shared" si="151"/>
        <v>15</v>
      </c>
      <c r="M555" s="14">
        <f t="shared" si="152"/>
        <v>29</v>
      </c>
      <c r="N555" s="13">
        <f t="shared" si="162"/>
        <v>0</v>
      </c>
      <c r="O555">
        <f t="shared" si="162"/>
        <v>2</v>
      </c>
      <c r="P555">
        <f t="shared" si="162"/>
        <v>53</v>
      </c>
      <c r="Q555" s="14">
        <f t="shared" si="157"/>
        <v>173</v>
      </c>
      <c r="R555" s="13">
        <f t="shared" si="158"/>
        <v>0</v>
      </c>
      <c r="S555">
        <f t="shared" si="159"/>
        <v>2</v>
      </c>
      <c r="T555">
        <f t="shared" si="160"/>
        <v>53</v>
      </c>
      <c r="U555" s="14">
        <f t="shared" si="161"/>
        <v>173</v>
      </c>
      <c r="V555" s="15"/>
      <c r="Z555" s="14"/>
    </row>
    <row r="556" spans="1:26" hidden="1" x14ac:dyDescent="0.25">
      <c r="A556" s="16"/>
      <c r="B556" s="17" t="b">
        <f t="shared" si="146"/>
        <v>0</v>
      </c>
      <c r="C556" s="17" t="b">
        <f t="shared" si="156"/>
        <v>0</v>
      </c>
      <c r="D556" s="17">
        <f t="shared" si="153"/>
        <v>1</v>
      </c>
      <c r="E556" s="17" t="str">
        <f t="shared" si="154"/>
        <v>6. Conclusion</v>
      </c>
      <c r="F556" s="18" t="str">
        <f t="shared" si="145"/>
        <v/>
      </c>
      <c r="G556" s="13" t="str">
        <f t="shared" si="147"/>
        <v/>
      </c>
      <c r="H556">
        <f t="shared" si="148"/>
        <v>0</v>
      </c>
      <c r="I556" s="14">
        <f t="shared" si="155"/>
        <v>0</v>
      </c>
      <c r="J556" s="13">
        <f t="shared" si="149"/>
        <v>4529</v>
      </c>
      <c r="K556">
        <f t="shared" si="150"/>
        <v>1</v>
      </c>
      <c r="L556">
        <f t="shared" si="151"/>
        <v>15</v>
      </c>
      <c r="M556" s="14">
        <f t="shared" si="152"/>
        <v>29</v>
      </c>
      <c r="N556" s="13">
        <f t="shared" si="162"/>
        <v>0</v>
      </c>
      <c r="O556">
        <f t="shared" si="162"/>
        <v>2</v>
      </c>
      <c r="P556">
        <f t="shared" si="162"/>
        <v>53</v>
      </c>
      <c r="Q556" s="14">
        <f t="shared" si="157"/>
        <v>173</v>
      </c>
      <c r="R556" s="13">
        <f t="shared" si="158"/>
        <v>0</v>
      </c>
      <c r="S556">
        <f t="shared" si="159"/>
        <v>2</v>
      </c>
      <c r="T556">
        <f t="shared" si="160"/>
        <v>53</v>
      </c>
      <c r="U556" s="14">
        <f t="shared" si="161"/>
        <v>173</v>
      </c>
      <c r="V556" s="15"/>
      <c r="Z556" s="14"/>
    </row>
    <row r="557" spans="1:26" hidden="1" x14ac:dyDescent="0.25">
      <c r="A557" s="16"/>
      <c r="B557" s="17" t="b">
        <f t="shared" si="146"/>
        <v>0</v>
      </c>
      <c r="C557" s="17" t="b">
        <f t="shared" si="156"/>
        <v>0</v>
      </c>
      <c r="D557" s="17">
        <f t="shared" si="153"/>
        <v>1</v>
      </c>
      <c r="E557" s="17" t="str">
        <f t="shared" si="154"/>
        <v>6. Conclusion</v>
      </c>
      <c r="F557" s="18" t="str">
        <f t="shared" si="145"/>
        <v/>
      </c>
      <c r="G557" s="13" t="str">
        <f t="shared" si="147"/>
        <v/>
      </c>
      <c r="H557">
        <f t="shared" si="148"/>
        <v>0</v>
      </c>
      <c r="I557" s="14">
        <f t="shared" si="155"/>
        <v>0</v>
      </c>
      <c r="J557" s="13">
        <f t="shared" si="149"/>
        <v>4529</v>
      </c>
      <c r="K557">
        <f t="shared" si="150"/>
        <v>1</v>
      </c>
      <c r="L557">
        <f t="shared" si="151"/>
        <v>15</v>
      </c>
      <c r="M557" s="14">
        <f t="shared" si="152"/>
        <v>29</v>
      </c>
      <c r="N557" s="13">
        <f t="shared" si="162"/>
        <v>0</v>
      </c>
      <c r="O557">
        <f t="shared" si="162"/>
        <v>2</v>
      </c>
      <c r="P557">
        <f t="shared" si="162"/>
        <v>53</v>
      </c>
      <c r="Q557" s="14">
        <f t="shared" si="157"/>
        <v>173</v>
      </c>
      <c r="R557" s="13">
        <f t="shared" si="158"/>
        <v>0</v>
      </c>
      <c r="S557">
        <f t="shared" si="159"/>
        <v>2</v>
      </c>
      <c r="T557">
        <f t="shared" si="160"/>
        <v>53</v>
      </c>
      <c r="U557" s="14">
        <f t="shared" si="161"/>
        <v>173</v>
      </c>
      <c r="V557" s="15"/>
      <c r="Z557" s="14"/>
    </row>
    <row r="558" spans="1:26" hidden="1" x14ac:dyDescent="0.25">
      <c r="A558" s="16"/>
      <c r="B558" s="17" t="b">
        <f t="shared" si="146"/>
        <v>0</v>
      </c>
      <c r="C558" s="17" t="b">
        <f t="shared" si="156"/>
        <v>0</v>
      </c>
      <c r="D558" s="17">
        <f t="shared" si="153"/>
        <v>1</v>
      </c>
      <c r="E558" s="17" t="str">
        <f t="shared" si="154"/>
        <v>6. Conclusion</v>
      </c>
      <c r="F558" s="18" t="str">
        <f t="shared" si="145"/>
        <v/>
      </c>
      <c r="G558" s="13" t="str">
        <f t="shared" si="147"/>
        <v/>
      </c>
      <c r="H558">
        <f t="shared" si="148"/>
        <v>0</v>
      </c>
      <c r="I558" s="14">
        <f t="shared" si="155"/>
        <v>0</v>
      </c>
      <c r="J558" s="13">
        <f t="shared" si="149"/>
        <v>4529</v>
      </c>
      <c r="K558">
        <f t="shared" si="150"/>
        <v>1</v>
      </c>
      <c r="L558">
        <f t="shared" si="151"/>
        <v>15</v>
      </c>
      <c r="M558" s="14">
        <f t="shared" si="152"/>
        <v>29</v>
      </c>
      <c r="N558" s="13">
        <f t="shared" si="162"/>
        <v>0</v>
      </c>
      <c r="O558">
        <f t="shared" si="162"/>
        <v>2</v>
      </c>
      <c r="P558">
        <f t="shared" si="162"/>
        <v>53</v>
      </c>
      <c r="Q558" s="14">
        <f t="shared" si="157"/>
        <v>173</v>
      </c>
      <c r="R558" s="13">
        <f t="shared" si="158"/>
        <v>0</v>
      </c>
      <c r="S558">
        <f t="shared" si="159"/>
        <v>2</v>
      </c>
      <c r="T558">
        <f t="shared" si="160"/>
        <v>53</v>
      </c>
      <c r="U558" s="14">
        <f t="shared" si="161"/>
        <v>173</v>
      </c>
      <c r="V558" s="15"/>
      <c r="Z558" s="14"/>
    </row>
    <row r="559" spans="1:26" hidden="1" x14ac:dyDescent="0.25">
      <c r="A559" s="16"/>
      <c r="B559" s="17" t="b">
        <f t="shared" si="146"/>
        <v>0</v>
      </c>
      <c r="C559" s="17" t="b">
        <f t="shared" si="156"/>
        <v>0</v>
      </c>
      <c r="D559" s="17">
        <f t="shared" si="153"/>
        <v>1</v>
      </c>
      <c r="E559" s="17" t="str">
        <f t="shared" si="154"/>
        <v>6. Conclusion</v>
      </c>
      <c r="F559" s="18" t="str">
        <f t="shared" si="145"/>
        <v/>
      </c>
      <c r="G559" s="13" t="str">
        <f t="shared" si="147"/>
        <v/>
      </c>
      <c r="H559">
        <f t="shared" si="148"/>
        <v>0</v>
      </c>
      <c r="I559" s="14">
        <f t="shared" si="155"/>
        <v>0</v>
      </c>
      <c r="J559" s="13">
        <f t="shared" si="149"/>
        <v>4529</v>
      </c>
      <c r="K559">
        <f t="shared" si="150"/>
        <v>1</v>
      </c>
      <c r="L559">
        <f t="shared" si="151"/>
        <v>15</v>
      </c>
      <c r="M559" s="14">
        <f t="shared" si="152"/>
        <v>29</v>
      </c>
      <c r="N559" s="13">
        <f t="shared" si="162"/>
        <v>0</v>
      </c>
      <c r="O559">
        <f t="shared" si="162"/>
        <v>2</v>
      </c>
      <c r="P559">
        <f t="shared" si="162"/>
        <v>53</v>
      </c>
      <c r="Q559" s="14">
        <f t="shared" si="157"/>
        <v>173</v>
      </c>
      <c r="R559" s="13">
        <f t="shared" si="158"/>
        <v>0</v>
      </c>
      <c r="S559">
        <f t="shared" si="159"/>
        <v>2</v>
      </c>
      <c r="T559">
        <f t="shared" si="160"/>
        <v>53</v>
      </c>
      <c r="U559" s="14">
        <f t="shared" si="161"/>
        <v>173</v>
      </c>
      <c r="V559" s="15"/>
      <c r="Z559" s="14"/>
    </row>
    <row r="560" spans="1:26" hidden="1" x14ac:dyDescent="0.25">
      <c r="A560" s="16"/>
      <c r="B560" s="17" t="b">
        <f t="shared" si="146"/>
        <v>0</v>
      </c>
      <c r="C560" s="17" t="b">
        <f t="shared" si="156"/>
        <v>0</v>
      </c>
      <c r="D560" s="17">
        <f t="shared" si="153"/>
        <v>1</v>
      </c>
      <c r="E560" s="17" t="str">
        <f t="shared" si="154"/>
        <v>6. Conclusion</v>
      </c>
      <c r="F560" s="18" t="str">
        <f t="shared" si="145"/>
        <v/>
      </c>
      <c r="G560" s="13" t="str">
        <f t="shared" si="147"/>
        <v/>
      </c>
      <c r="H560">
        <f t="shared" si="148"/>
        <v>0</v>
      </c>
      <c r="I560" s="14">
        <f t="shared" si="155"/>
        <v>0</v>
      </c>
      <c r="J560" s="13">
        <f t="shared" si="149"/>
        <v>4529</v>
      </c>
      <c r="K560">
        <f t="shared" si="150"/>
        <v>1</v>
      </c>
      <c r="L560">
        <f t="shared" si="151"/>
        <v>15</v>
      </c>
      <c r="M560" s="14">
        <f t="shared" si="152"/>
        <v>29</v>
      </c>
      <c r="N560" s="13">
        <f t="shared" si="162"/>
        <v>0</v>
      </c>
      <c r="O560">
        <f t="shared" si="162"/>
        <v>2</v>
      </c>
      <c r="P560">
        <f t="shared" si="162"/>
        <v>53</v>
      </c>
      <c r="Q560" s="14">
        <f t="shared" si="157"/>
        <v>173</v>
      </c>
      <c r="R560" s="13">
        <f t="shared" si="158"/>
        <v>0</v>
      </c>
      <c r="S560">
        <f t="shared" si="159"/>
        <v>2</v>
      </c>
      <c r="T560">
        <f t="shared" si="160"/>
        <v>53</v>
      </c>
      <c r="U560" s="14">
        <f t="shared" si="161"/>
        <v>173</v>
      </c>
      <c r="V560" s="15"/>
      <c r="Z560" s="14"/>
    </row>
    <row r="561" spans="1:26" hidden="1" x14ac:dyDescent="0.25">
      <c r="A561" s="16"/>
      <c r="B561" s="17" t="b">
        <f t="shared" si="146"/>
        <v>0</v>
      </c>
      <c r="C561" s="17" t="b">
        <f t="shared" si="156"/>
        <v>0</v>
      </c>
      <c r="D561" s="17">
        <f t="shared" si="153"/>
        <v>1</v>
      </c>
      <c r="E561" s="17" t="str">
        <f t="shared" si="154"/>
        <v>6. Conclusion</v>
      </c>
      <c r="F561" s="18" t="str">
        <f t="shared" si="145"/>
        <v/>
      </c>
      <c r="G561" s="13" t="str">
        <f t="shared" si="147"/>
        <v/>
      </c>
      <c r="H561">
        <f t="shared" si="148"/>
        <v>0</v>
      </c>
      <c r="I561" s="14">
        <f t="shared" si="155"/>
        <v>0</v>
      </c>
      <c r="J561" s="13">
        <f t="shared" si="149"/>
        <v>4529</v>
      </c>
      <c r="K561">
        <f t="shared" si="150"/>
        <v>1</v>
      </c>
      <c r="L561">
        <f t="shared" si="151"/>
        <v>15</v>
      </c>
      <c r="M561" s="14">
        <f t="shared" si="152"/>
        <v>29</v>
      </c>
      <c r="N561" s="13">
        <f t="shared" si="162"/>
        <v>0</v>
      </c>
      <c r="O561">
        <f t="shared" si="162"/>
        <v>2</v>
      </c>
      <c r="P561">
        <f t="shared" si="162"/>
        <v>53</v>
      </c>
      <c r="Q561" s="14">
        <f t="shared" si="157"/>
        <v>173</v>
      </c>
      <c r="R561" s="13">
        <f t="shared" si="158"/>
        <v>0</v>
      </c>
      <c r="S561">
        <f t="shared" si="159"/>
        <v>2</v>
      </c>
      <c r="T561">
        <f t="shared" si="160"/>
        <v>53</v>
      </c>
      <c r="U561" s="14">
        <f t="shared" si="161"/>
        <v>173</v>
      </c>
      <c r="V561" s="15"/>
      <c r="Z561" s="14"/>
    </row>
    <row r="562" spans="1:26" hidden="1" x14ac:dyDescent="0.25">
      <c r="A562" s="16"/>
      <c r="B562" s="17" t="b">
        <f t="shared" si="146"/>
        <v>0</v>
      </c>
      <c r="C562" s="17" t="b">
        <f t="shared" si="156"/>
        <v>0</v>
      </c>
      <c r="D562" s="17">
        <f t="shared" si="153"/>
        <v>1</v>
      </c>
      <c r="E562" s="17" t="str">
        <f t="shared" si="154"/>
        <v>6. Conclusion</v>
      </c>
      <c r="F562" s="18" t="str">
        <f t="shared" si="145"/>
        <v/>
      </c>
      <c r="G562" s="13" t="str">
        <f t="shared" si="147"/>
        <v/>
      </c>
      <c r="H562">
        <f t="shared" si="148"/>
        <v>0</v>
      </c>
      <c r="I562" s="14">
        <f t="shared" si="155"/>
        <v>0</v>
      </c>
      <c r="J562" s="13">
        <f t="shared" si="149"/>
        <v>4529</v>
      </c>
      <c r="K562">
        <f t="shared" si="150"/>
        <v>1</v>
      </c>
      <c r="L562">
        <f t="shared" si="151"/>
        <v>15</v>
      </c>
      <c r="M562" s="14">
        <f t="shared" si="152"/>
        <v>29</v>
      </c>
      <c r="N562" s="13">
        <f t="shared" si="162"/>
        <v>0</v>
      </c>
      <c r="O562">
        <f t="shared" si="162"/>
        <v>2</v>
      </c>
      <c r="P562">
        <f t="shared" si="162"/>
        <v>53</v>
      </c>
      <c r="Q562" s="14">
        <f t="shared" si="157"/>
        <v>173</v>
      </c>
      <c r="R562" s="13">
        <f t="shared" si="158"/>
        <v>0</v>
      </c>
      <c r="S562">
        <f t="shared" si="159"/>
        <v>2</v>
      </c>
      <c r="T562">
        <f t="shared" si="160"/>
        <v>53</v>
      </c>
      <c r="U562" s="14">
        <f t="shared" si="161"/>
        <v>173</v>
      </c>
      <c r="V562" s="15"/>
      <c r="Z562" s="14"/>
    </row>
    <row r="563" spans="1:26" hidden="1" x14ac:dyDescent="0.25">
      <c r="A563" s="16"/>
      <c r="B563" s="17" t="b">
        <f t="shared" si="146"/>
        <v>0</v>
      </c>
      <c r="C563" s="17" t="b">
        <f t="shared" si="156"/>
        <v>0</v>
      </c>
      <c r="D563" s="17">
        <f t="shared" si="153"/>
        <v>1</v>
      </c>
      <c r="E563" s="17" t="str">
        <f t="shared" si="154"/>
        <v>6. Conclusion</v>
      </c>
      <c r="F563" s="18" t="str">
        <f t="shared" si="145"/>
        <v/>
      </c>
      <c r="G563" s="13" t="str">
        <f t="shared" si="147"/>
        <v/>
      </c>
      <c r="H563">
        <f t="shared" si="148"/>
        <v>0</v>
      </c>
      <c r="I563" s="14">
        <f t="shared" si="155"/>
        <v>0</v>
      </c>
      <c r="J563" s="13">
        <f t="shared" si="149"/>
        <v>4529</v>
      </c>
      <c r="K563">
        <f t="shared" si="150"/>
        <v>1</v>
      </c>
      <c r="L563">
        <f t="shared" si="151"/>
        <v>15</v>
      </c>
      <c r="M563" s="14">
        <f t="shared" si="152"/>
        <v>29</v>
      </c>
      <c r="N563" s="13">
        <f t="shared" si="162"/>
        <v>0</v>
      </c>
      <c r="O563">
        <f t="shared" si="162"/>
        <v>2</v>
      </c>
      <c r="P563">
        <f t="shared" si="162"/>
        <v>53</v>
      </c>
      <c r="Q563" s="14">
        <f t="shared" si="157"/>
        <v>173</v>
      </c>
      <c r="R563" s="13">
        <f t="shared" si="158"/>
        <v>0</v>
      </c>
      <c r="S563">
        <f t="shared" si="159"/>
        <v>2</v>
      </c>
      <c r="T563">
        <f t="shared" si="160"/>
        <v>53</v>
      </c>
      <c r="U563" s="14">
        <f t="shared" si="161"/>
        <v>173</v>
      </c>
      <c r="V563" s="15"/>
      <c r="Z563" s="14"/>
    </row>
    <row r="564" spans="1:26" hidden="1" x14ac:dyDescent="0.25">
      <c r="A564" s="16"/>
      <c r="B564" s="17" t="b">
        <f t="shared" si="146"/>
        <v>0</v>
      </c>
      <c r="C564" s="17" t="b">
        <f t="shared" si="156"/>
        <v>0</v>
      </c>
      <c r="D564" s="17">
        <f t="shared" si="153"/>
        <v>1</v>
      </c>
      <c r="E564" s="17" t="str">
        <f t="shared" si="154"/>
        <v>6. Conclusion</v>
      </c>
      <c r="F564" s="18" t="str">
        <f t="shared" si="145"/>
        <v/>
      </c>
      <c r="G564" s="13" t="str">
        <f t="shared" si="147"/>
        <v/>
      </c>
      <c r="H564">
        <f t="shared" si="148"/>
        <v>0</v>
      </c>
      <c r="I564" s="14">
        <f t="shared" si="155"/>
        <v>0</v>
      </c>
      <c r="J564" s="13">
        <f t="shared" si="149"/>
        <v>4529</v>
      </c>
      <c r="K564">
        <f t="shared" si="150"/>
        <v>1</v>
      </c>
      <c r="L564">
        <f t="shared" si="151"/>
        <v>15</v>
      </c>
      <c r="M564" s="14">
        <f t="shared" si="152"/>
        <v>29</v>
      </c>
      <c r="N564" s="13">
        <f t="shared" si="162"/>
        <v>0</v>
      </c>
      <c r="O564">
        <f t="shared" si="162"/>
        <v>2</v>
      </c>
      <c r="P564">
        <f t="shared" si="162"/>
        <v>53</v>
      </c>
      <c r="Q564" s="14">
        <f t="shared" si="157"/>
        <v>173</v>
      </c>
      <c r="R564" s="13">
        <f t="shared" si="158"/>
        <v>0</v>
      </c>
      <c r="S564">
        <f t="shared" si="159"/>
        <v>2</v>
      </c>
      <c r="T564">
        <f t="shared" si="160"/>
        <v>53</v>
      </c>
      <c r="U564" s="14">
        <f t="shared" si="161"/>
        <v>173</v>
      </c>
      <c r="V564" s="15"/>
      <c r="Z564" s="14"/>
    </row>
    <row r="565" spans="1:26" hidden="1" x14ac:dyDescent="0.25">
      <c r="A565" s="16"/>
      <c r="B565" s="17" t="b">
        <f t="shared" si="146"/>
        <v>0</v>
      </c>
      <c r="C565" s="17" t="b">
        <f t="shared" si="156"/>
        <v>0</v>
      </c>
      <c r="D565" s="17">
        <f t="shared" si="153"/>
        <v>1</v>
      </c>
      <c r="E565" s="17" t="str">
        <f t="shared" si="154"/>
        <v>6. Conclusion</v>
      </c>
      <c r="F565" s="18" t="str">
        <f t="shared" ref="F565:F566" si="163">IF(C565,D565&amp;". "&amp;A565,IF(A565="Chapter Quiz",A565,""))</f>
        <v/>
      </c>
      <c r="G565" s="13" t="str">
        <f t="shared" si="147"/>
        <v/>
      </c>
      <c r="H565">
        <f t="shared" si="148"/>
        <v>0</v>
      </c>
      <c r="I565" s="14">
        <f t="shared" si="155"/>
        <v>0</v>
      </c>
      <c r="J565" s="13">
        <f t="shared" si="149"/>
        <v>4529</v>
      </c>
      <c r="K565">
        <f t="shared" si="150"/>
        <v>1</v>
      </c>
      <c r="L565">
        <f t="shared" si="151"/>
        <v>15</v>
      </c>
      <c r="M565" s="14">
        <f t="shared" si="152"/>
        <v>29</v>
      </c>
      <c r="N565" s="13">
        <f t="shared" si="162"/>
        <v>0</v>
      </c>
      <c r="O565">
        <f t="shared" si="162"/>
        <v>2</v>
      </c>
      <c r="P565">
        <f t="shared" si="162"/>
        <v>53</v>
      </c>
      <c r="Q565" s="14">
        <f t="shared" si="157"/>
        <v>173</v>
      </c>
      <c r="R565" s="13">
        <f t="shared" si="158"/>
        <v>0</v>
      </c>
      <c r="S565">
        <f t="shared" si="159"/>
        <v>2</v>
      </c>
      <c r="T565">
        <f t="shared" si="160"/>
        <v>53</v>
      </c>
      <c r="U565" s="14">
        <f t="shared" si="161"/>
        <v>173</v>
      </c>
      <c r="V565" s="15"/>
      <c r="Z565" s="14"/>
    </row>
    <row r="566" spans="1:26" hidden="1" x14ac:dyDescent="0.25">
      <c r="A566" s="16"/>
      <c r="B566" s="17" t="b">
        <f t="shared" si="146"/>
        <v>0</v>
      </c>
      <c r="C566" s="17" t="b">
        <f t="shared" si="156"/>
        <v>0</v>
      </c>
      <c r="D566" s="17">
        <f t="shared" si="153"/>
        <v>1</v>
      </c>
      <c r="E566" s="17" t="str">
        <f t="shared" si="154"/>
        <v>6. Conclusion</v>
      </c>
      <c r="F566" s="18" t="str">
        <f t="shared" si="163"/>
        <v/>
      </c>
      <c r="G566" s="13" t="str">
        <f t="shared" si="147"/>
        <v/>
      </c>
      <c r="H566">
        <f t="shared" si="148"/>
        <v>0</v>
      </c>
      <c r="I566" s="14">
        <f t="shared" si="155"/>
        <v>0</v>
      </c>
      <c r="J566" s="13">
        <f t="shared" si="149"/>
        <v>4529</v>
      </c>
      <c r="K566">
        <f t="shared" si="150"/>
        <v>1</v>
      </c>
      <c r="L566">
        <f t="shared" si="151"/>
        <v>15</v>
      </c>
      <c r="M566" s="14">
        <f t="shared" si="152"/>
        <v>29</v>
      </c>
      <c r="N566" s="13">
        <f t="shared" si="162"/>
        <v>0</v>
      </c>
      <c r="O566">
        <f t="shared" si="162"/>
        <v>2</v>
      </c>
      <c r="P566">
        <f t="shared" si="162"/>
        <v>53</v>
      </c>
      <c r="Q566" s="14">
        <f t="shared" si="157"/>
        <v>173</v>
      </c>
      <c r="R566" s="13">
        <f t="shared" si="158"/>
        <v>0</v>
      </c>
      <c r="S566">
        <f t="shared" si="159"/>
        <v>2</v>
      </c>
      <c r="T566">
        <f t="shared" si="160"/>
        <v>53</v>
      </c>
      <c r="U566" s="14">
        <f t="shared" si="161"/>
        <v>173</v>
      </c>
      <c r="V566" s="15"/>
      <c r="Z566" s="14"/>
    </row>
  </sheetData>
  <autoFilter ref="A11:Z566" xr:uid="{0BDCDE38-D8B0-4132-81E9-3DD3DAC46586}">
    <filterColumn colId="5">
      <customFilters>
        <customFilter operator="notEqual" val=" "/>
      </customFilters>
    </filterColumn>
  </autoFilter>
  <mergeCells count="12">
    <mergeCell ref="N8:Q8"/>
    <mergeCell ref="R8:U8"/>
    <mergeCell ref="V8:Z8"/>
    <mergeCell ref="A1:M1"/>
    <mergeCell ref="A8:A9"/>
    <mergeCell ref="B8:B9"/>
    <mergeCell ref="C8:C9"/>
    <mergeCell ref="D8:D9"/>
    <mergeCell ref="E8:E9"/>
    <mergeCell ref="F8:F9"/>
    <mergeCell ref="G8:I8"/>
    <mergeCell ref="J8:M8"/>
  </mergeCells>
  <conditionalFormatting sqref="A11:U566">
    <cfRule type="expression" dxfId="3" priority="4">
      <formula>$F11&lt;&gt;""</formula>
    </cfRule>
  </conditionalFormatting>
  <conditionalFormatting sqref="E10">
    <cfRule type="cellIs" dxfId="2" priority="3" operator="equal">
      <formula>"No"</formula>
    </cfRule>
  </conditionalFormatting>
  <conditionalFormatting sqref="A1:M1">
    <cfRule type="cellIs" dxfId="1" priority="2" operator="equal">
      <formula>""</formula>
    </cfRule>
  </conditionalFormatting>
  <conditionalFormatting sqref="E3:E6 G3:G6">
    <cfRule type="cellIs" dxfId="0" priority="1" operator="equal">
      <formula>"No"</formula>
    </cfRule>
  </conditionalFormatting>
  <dataValidations disablePrompts="1" count="1">
    <dataValidation type="list" allowBlank="1" showInputMessage="1" sqref="E3:E5 G3:G6" xr:uid="{D1E0F4B3-8E97-49DA-8371-A35A6E079B28}">
      <formula1>"Yes, No, N/A"</formula1>
    </dataValidation>
  </dataValidations>
  <hyperlinks>
    <hyperlink ref="E2" r:id="rId1" xr:uid="{96FCBB0F-5EE2-4442-B0A1-72919B1FBF3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LearningSpringWithSpringBoot</vt:lpstr>
      <vt:lpstr>Spring Boot Tricks</vt:lpstr>
      <vt:lpstr>Getting Started with Java, Mave</vt:lpstr>
      <vt:lpstr>Sheet2</vt:lpstr>
      <vt:lpstr>Complete guide from development</vt:lpstr>
      <vt:lpstr>Spring Framework And Dependency</vt:lpstr>
      <vt:lpstr>Framework in 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Zachary</cp:lastModifiedBy>
  <dcterms:created xsi:type="dcterms:W3CDTF">2023-04-05T11:04:55Z</dcterms:created>
  <dcterms:modified xsi:type="dcterms:W3CDTF">2023-07-12T13:36:28Z</dcterms:modified>
</cp:coreProperties>
</file>